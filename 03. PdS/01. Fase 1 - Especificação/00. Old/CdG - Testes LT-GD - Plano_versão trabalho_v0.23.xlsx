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1. Gestão/03. PdS/00. Old/"/>
    </mc:Choice>
  </mc:AlternateContent>
  <xr:revisionPtr revIDLastSave="421" documentId="8_{F20B59BC-DD4C-44D3-875C-B3C9DEF5CAD8}" xr6:coauthVersionLast="47" xr6:coauthVersionMax="47" xr10:uidLastSave="{773DC6CF-A906-42E3-BFC2-B115FD2B712E}"/>
  <bookViews>
    <workbookView xWindow="-110" yWindow="-110" windowWidth="19420" windowHeight="10420" tabRatio="856" firstSheet="3" activeTab="3" xr2:uid="{00000000-000D-0000-FFFF-FFFF00000000}"/>
  </bookViews>
  <sheets>
    <sheet name="1. Status Resumo" sheetId="15" state="hidden" r:id="rId1"/>
    <sheet name="2. Status Detalhe Campos" sheetId="17" state="hidden" r:id="rId2"/>
    <sheet name="3. Plano_Detalhado" sheetId="20" state="hidden" r:id="rId3"/>
    <sheet name="MacroPlano" sheetId="29" r:id="rId4"/>
    <sheet name="MacroPlano - Auxiliar" sheetId="38" r:id="rId5"/>
    <sheet name="Reunião 30jan" sheetId="35" state="hidden" r:id="rId6"/>
    <sheet name="Análise" sheetId="37" state="hidden" r:id="rId7"/>
    <sheet name="Macro_Plano_2025_v1" sheetId="24" state="hidden" r:id="rId8"/>
    <sheet name="Auxiliar_GD" sheetId="23" r:id="rId9"/>
    <sheet name="Pivots_GD" sheetId="25" r:id="rId10"/>
    <sheet name="Analise Campos FC" sheetId="31" state="hidden" r:id="rId11"/>
    <sheet name="Analise FC" sheetId="28" state="hidden" r:id="rId12"/>
  </sheets>
  <externalReferences>
    <externalReference r:id="rId13"/>
  </externalReferences>
  <definedNames>
    <definedName name="_1.2.1">MacroPlano!$C$25:$C$31</definedName>
    <definedName name="_1.2.2">MacroPlano!$C$25</definedName>
    <definedName name="_1.2.3">MacroPlano!$C$26</definedName>
    <definedName name="_1.2.4">MacroPlano!$C$27</definedName>
    <definedName name="_1.2.5">MacroPlano!$C$28</definedName>
    <definedName name="_1.2.6">MacroPlano!$C$29</definedName>
    <definedName name="_1.2.7">MacroPlano!$C$30</definedName>
    <definedName name="_1.2.8">MacroPlano!$C$31</definedName>
    <definedName name="_xlnm._FilterDatabase" localSheetId="1" hidden="1">'2. Status Detalhe Campos'!$A$6:$J$526</definedName>
    <definedName name="_xlnm._FilterDatabase" localSheetId="2" hidden="1">'3. Plano_Detalhado'!$B$49:$CC$124</definedName>
    <definedName name="_xlnm._FilterDatabase" localSheetId="6" hidden="1">Análise!$B$3:$H$72</definedName>
    <definedName name="_xlnm._FilterDatabase" localSheetId="10" hidden="1">'Analise Campos FC'!$A$10:$J$87</definedName>
    <definedName name="_xlnm._FilterDatabase" localSheetId="11" hidden="1">'Analise FC'!$R$5:$S$50</definedName>
    <definedName name="_xlnm._FilterDatabase" localSheetId="4" hidden="1">'MacroPlano - Auxiliar'!$B$2:$L$71</definedName>
    <definedName name="_xlnm._FilterDatabase" localSheetId="5" hidden="1">'Reunião 30jan'!$B$8:$I$77</definedName>
    <definedName name="_xlcn.WorksheetConnection_2.StatusDetalheCamposB6G6051" hidden="1">'2. Status Detalhe Campos'!$B$6:$G$31</definedName>
    <definedName name="_xlcn.WorksheetConnection_Sheet2B2G5451" hidden="1">'2. Status Detalhe Campos'!$B$6:$G$31</definedName>
    <definedName name="asefadf">#REF!</definedName>
    <definedName name="bn">#REF!</definedName>
    <definedName name="INTRNL_TRNSFR_RT">MacroPlano!$C$25:$C$31</definedName>
  </definedNames>
  <calcPr calcId="191029"/>
  <pivotCaches>
    <pivotCache cacheId="3" r:id="rId1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2!$B$2:$G$545"/>
          <x15:modelTable id="Range 2" name="Range 2" connection="WorksheetConnection_2. Status Detalhe Campos!$B$6:$G$605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7" l="1" a="1"/>
  <c r="I7" i="17" s="1"/>
  <c r="I8" i="17" a="1"/>
  <c r="I8" i="17" s="1"/>
  <c r="I9" i="17" a="1"/>
  <c r="I9" i="17" s="1"/>
  <c r="I10" i="17" a="1"/>
  <c r="I10" i="17" s="1"/>
  <c r="I11" i="17" a="1"/>
  <c r="I11" i="17" s="1"/>
  <c r="I12" i="17" a="1"/>
  <c r="I12" i="17" s="1"/>
  <c r="I13" i="17" a="1"/>
  <c r="I13" i="17" s="1"/>
  <c r="I14" i="17" a="1"/>
  <c r="I14" i="17" s="1"/>
  <c r="I15" i="17" a="1"/>
  <c r="I15" i="17" s="1"/>
  <c r="I16" i="17" a="1"/>
  <c r="I16" i="17" s="1"/>
  <c r="I17" i="17" a="1"/>
  <c r="I17" i="17" s="1"/>
  <c r="I18" i="17" a="1"/>
  <c r="I18" i="17" s="1"/>
  <c r="I19" i="17" a="1"/>
  <c r="I19" i="17" s="1"/>
  <c r="I20" i="17" a="1"/>
  <c r="I20" i="17" s="1"/>
  <c r="I21" i="17" a="1"/>
  <c r="I21" i="17" s="1"/>
  <c r="I22" i="17" a="1"/>
  <c r="I22" i="17" s="1"/>
  <c r="I23" i="17" a="1"/>
  <c r="I23" i="17" s="1"/>
  <c r="I24" i="17" a="1"/>
  <c r="I24" i="17" s="1"/>
  <c r="I25" i="17" a="1"/>
  <c r="I25" i="17" s="1"/>
  <c r="I26" i="17" a="1"/>
  <c r="I26" i="17" s="1"/>
  <c r="I27" i="17" a="1"/>
  <c r="I27" i="17" s="1"/>
  <c r="I28" i="17" a="1"/>
  <c r="I28" i="17" s="1"/>
  <c r="I29" i="17" a="1"/>
  <c r="I29" i="17" s="1"/>
  <c r="I30" i="17" a="1"/>
  <c r="I30" i="17" s="1"/>
  <c r="I31" i="17" a="1"/>
  <c r="I31" i="17" s="1"/>
  <c r="I32" i="17" a="1"/>
  <c r="I32" i="17" s="1"/>
  <c r="I33" i="17" a="1"/>
  <c r="I33" i="17" s="1"/>
  <c r="I34" i="17" a="1"/>
  <c r="I34" i="17" s="1"/>
  <c r="I35" i="17" a="1"/>
  <c r="I35" i="17" s="1"/>
  <c r="I36" i="17" a="1"/>
  <c r="I36" i="17" s="1"/>
  <c r="I37" i="17" a="1"/>
  <c r="I37" i="17" s="1"/>
  <c r="I38" i="17" a="1"/>
  <c r="I38" i="17" s="1"/>
  <c r="I39" i="17" a="1"/>
  <c r="I39" i="17" s="1"/>
  <c r="I40" i="17" a="1"/>
  <c r="I40" i="17" s="1"/>
  <c r="I41" i="17" a="1"/>
  <c r="I41" i="17" s="1"/>
  <c r="I42" i="17" a="1"/>
  <c r="I42" i="17" s="1"/>
  <c r="I43" i="17" a="1"/>
  <c r="I43" i="17" s="1"/>
  <c r="I44" i="17" a="1"/>
  <c r="I44" i="17" s="1"/>
  <c r="I45" i="17" a="1"/>
  <c r="I45" i="17" s="1"/>
  <c r="I46" i="17" a="1"/>
  <c r="I46" i="17" s="1"/>
  <c r="I47" i="17" a="1"/>
  <c r="I47" i="17" s="1"/>
  <c r="I48" i="17" a="1"/>
  <c r="I48" i="17" s="1"/>
  <c r="I49" i="17" a="1"/>
  <c r="I49" i="17" s="1"/>
  <c r="I50" i="17" a="1"/>
  <c r="I50" i="17" s="1"/>
  <c r="I51" i="17" a="1"/>
  <c r="I51" i="17" s="1"/>
  <c r="I52" i="17" a="1"/>
  <c r="I52" i="17" s="1"/>
  <c r="I53" i="17" a="1"/>
  <c r="I53" i="17" s="1"/>
  <c r="I54" i="17" a="1"/>
  <c r="I54" i="17" s="1"/>
  <c r="I55" i="17" a="1"/>
  <c r="I55" i="17" s="1"/>
  <c r="I56" i="17" a="1"/>
  <c r="I56" i="17" s="1"/>
  <c r="I57" i="17" a="1"/>
  <c r="I57" i="17" s="1"/>
  <c r="I58" i="17" a="1"/>
  <c r="I58" i="17" s="1"/>
  <c r="I59" i="17" a="1"/>
  <c r="I59" i="17" s="1"/>
  <c r="I60" i="17" a="1"/>
  <c r="I60" i="17" s="1"/>
  <c r="I61" i="17" a="1"/>
  <c r="I61" i="17" s="1"/>
  <c r="I62" i="17" a="1"/>
  <c r="I62" i="17" s="1"/>
  <c r="I63" i="17" a="1"/>
  <c r="I63" i="17" s="1"/>
  <c r="I64" i="17" a="1"/>
  <c r="I64" i="17" s="1"/>
  <c r="I65" i="17" a="1"/>
  <c r="I65" i="17" s="1"/>
  <c r="I66" i="17" a="1"/>
  <c r="I66" i="17" s="1"/>
  <c r="I67" i="17" a="1"/>
  <c r="I67" i="17" s="1"/>
  <c r="I68" i="17" a="1"/>
  <c r="I68" i="17" s="1"/>
  <c r="I69" i="17" a="1"/>
  <c r="I69" i="17" s="1"/>
  <c r="I70" i="17" a="1"/>
  <c r="I70" i="17" s="1"/>
  <c r="I71" i="17" a="1"/>
  <c r="I71" i="17" s="1"/>
  <c r="I72" i="17" a="1"/>
  <c r="I72" i="17" s="1"/>
  <c r="I73" i="17" a="1"/>
  <c r="I73" i="17" s="1"/>
  <c r="I74" i="17" a="1"/>
  <c r="I74" i="17" s="1"/>
  <c r="I75" i="17" a="1"/>
  <c r="I75" i="17" s="1"/>
  <c r="I76" i="17" a="1"/>
  <c r="I76" i="17" s="1"/>
  <c r="I77" i="17" a="1"/>
  <c r="I77" i="17" s="1"/>
  <c r="I78" i="17" a="1"/>
  <c r="I78" i="17" s="1"/>
  <c r="I79" i="17" a="1"/>
  <c r="I79" i="17" s="1"/>
  <c r="I80" i="17" a="1"/>
  <c r="I80" i="17" s="1"/>
  <c r="I81" i="17" a="1"/>
  <c r="I81" i="17" s="1"/>
  <c r="I82" i="17" a="1"/>
  <c r="I82" i="17" s="1"/>
  <c r="I83" i="17" a="1"/>
  <c r="I83" i="17" s="1"/>
  <c r="I84" i="17" a="1"/>
  <c r="I84" i="17" s="1"/>
  <c r="I85" i="17" a="1"/>
  <c r="I85" i="17" s="1"/>
  <c r="I86" i="17" a="1"/>
  <c r="I86" i="17" s="1"/>
  <c r="I87" i="17" a="1"/>
  <c r="I87" i="17" s="1"/>
  <c r="I88" i="17" a="1"/>
  <c r="I88" i="17" s="1"/>
  <c r="I89" i="17" a="1"/>
  <c r="I89" i="17" s="1"/>
  <c r="I90" i="17" a="1"/>
  <c r="I90" i="17" s="1"/>
  <c r="I91" i="17" a="1"/>
  <c r="I91" i="17" s="1"/>
  <c r="I92" i="17" a="1"/>
  <c r="I92" i="17" s="1"/>
  <c r="I93" i="17" a="1"/>
  <c r="I93" i="17" s="1"/>
  <c r="I94" i="17" a="1"/>
  <c r="I94" i="17" s="1"/>
  <c r="I95" i="17" a="1"/>
  <c r="I95" i="17" s="1"/>
  <c r="I96" i="17" a="1"/>
  <c r="I96" i="17" s="1"/>
  <c r="I97" i="17" a="1"/>
  <c r="I97" i="17" s="1"/>
  <c r="I98" i="17" a="1"/>
  <c r="I98" i="17" s="1"/>
  <c r="I99" i="17" a="1"/>
  <c r="I99" i="17" s="1"/>
  <c r="I100" i="17" a="1"/>
  <c r="I100" i="17" s="1"/>
  <c r="I101" i="17" a="1"/>
  <c r="I101" i="17" s="1"/>
  <c r="I102" i="17" a="1"/>
  <c r="I102" i="17" s="1"/>
  <c r="I103" i="17" a="1"/>
  <c r="I103" i="17" s="1"/>
  <c r="I104" i="17" a="1"/>
  <c r="I104" i="17" s="1"/>
  <c r="I105" i="17" a="1"/>
  <c r="I105" i="17" s="1"/>
  <c r="I106" i="17" a="1"/>
  <c r="I106" i="17" s="1"/>
  <c r="I107" i="17" a="1"/>
  <c r="I107" i="17" s="1"/>
  <c r="I108" i="17" a="1"/>
  <c r="I108" i="17" s="1"/>
  <c r="I109" i="17" a="1"/>
  <c r="I109" i="17" s="1"/>
  <c r="I110" i="17" a="1"/>
  <c r="I110" i="17" s="1"/>
  <c r="I111" i="17" a="1"/>
  <c r="I111" i="17" s="1"/>
  <c r="I112" i="17" a="1"/>
  <c r="I112" i="17" s="1"/>
  <c r="I113" i="17" a="1"/>
  <c r="I113" i="17" s="1"/>
  <c r="I114" i="17" a="1"/>
  <c r="I114" i="17" s="1"/>
  <c r="I115" i="17" a="1"/>
  <c r="I115" i="17" s="1"/>
  <c r="I116" i="17" a="1"/>
  <c r="I116" i="17" s="1"/>
  <c r="I117" i="17" a="1"/>
  <c r="I117" i="17" s="1"/>
  <c r="I118" i="17" a="1"/>
  <c r="I118" i="17" s="1"/>
  <c r="I119" i="17" a="1"/>
  <c r="I119" i="17" s="1"/>
  <c r="I120" i="17" a="1"/>
  <c r="I120" i="17" s="1"/>
  <c r="I121" i="17" a="1"/>
  <c r="I121" i="17" s="1"/>
  <c r="I122" i="17" a="1"/>
  <c r="I122" i="17" s="1"/>
  <c r="I123" i="17" a="1"/>
  <c r="I123" i="17" s="1"/>
  <c r="I124" i="17" a="1"/>
  <c r="I124" i="17" s="1"/>
  <c r="I125" i="17" a="1"/>
  <c r="I125" i="17" s="1"/>
  <c r="I126" i="17" a="1"/>
  <c r="I126" i="17" s="1"/>
  <c r="I127" i="17" a="1"/>
  <c r="I127" i="17" s="1"/>
  <c r="I128" i="17" a="1"/>
  <c r="I128" i="17" s="1"/>
  <c r="I129" i="17" a="1"/>
  <c r="I129" i="17" s="1"/>
  <c r="I130" i="17" a="1"/>
  <c r="I130" i="17" s="1"/>
  <c r="I131" i="17" a="1"/>
  <c r="I131" i="17" s="1"/>
  <c r="I132" i="17" a="1"/>
  <c r="I132" i="17" s="1"/>
  <c r="I133" i="17" a="1"/>
  <c r="I133" i="17" s="1"/>
  <c r="I134" i="17" a="1"/>
  <c r="I134" i="17" s="1"/>
  <c r="I135" i="17" a="1"/>
  <c r="I135" i="17" s="1"/>
  <c r="I136" i="17" a="1"/>
  <c r="I136" i="17" s="1"/>
  <c r="I137" i="17" a="1"/>
  <c r="I137" i="17" s="1"/>
  <c r="I138" i="17" a="1"/>
  <c r="I138" i="17" s="1"/>
  <c r="I139" i="17" a="1"/>
  <c r="I139" i="17" s="1"/>
  <c r="I140" i="17" a="1"/>
  <c r="I140" i="17" s="1"/>
  <c r="I141" i="17" a="1"/>
  <c r="I141" i="17" s="1"/>
  <c r="I142" i="17" a="1"/>
  <c r="I142" i="17" s="1"/>
  <c r="I143" i="17" a="1"/>
  <c r="I143" i="17" s="1"/>
  <c r="I144" i="17" a="1"/>
  <c r="I144" i="17" s="1"/>
  <c r="I145" i="17" a="1"/>
  <c r="I145" i="17" s="1"/>
  <c r="I146" i="17" a="1"/>
  <c r="I146" i="17" s="1"/>
  <c r="I147" i="17" a="1"/>
  <c r="I147" i="17" s="1"/>
  <c r="I148" i="17" a="1"/>
  <c r="I148" i="17" s="1"/>
  <c r="I149" i="17" a="1"/>
  <c r="I149" i="17" s="1"/>
  <c r="I150" i="17" a="1"/>
  <c r="I150" i="17" s="1"/>
  <c r="I151" i="17" a="1"/>
  <c r="I151" i="17" s="1"/>
  <c r="I152" i="17" a="1"/>
  <c r="I152" i="17" s="1"/>
  <c r="I153" i="17" a="1"/>
  <c r="I153" i="17" s="1"/>
  <c r="I154" i="17" a="1"/>
  <c r="I154" i="17" s="1"/>
  <c r="I155" i="17" a="1"/>
  <c r="I155" i="17" s="1"/>
  <c r="I156" i="17" a="1"/>
  <c r="I156" i="17" s="1"/>
  <c r="I157" i="17" a="1"/>
  <c r="I157" i="17" s="1"/>
  <c r="I158" i="17" a="1"/>
  <c r="I158" i="17" s="1"/>
  <c r="I159" i="17" a="1"/>
  <c r="I159" i="17" s="1"/>
  <c r="I160" i="17" a="1"/>
  <c r="I160" i="17" s="1"/>
  <c r="I161" i="17" a="1"/>
  <c r="I161" i="17" s="1"/>
  <c r="I162" i="17" a="1"/>
  <c r="I162" i="17" s="1"/>
  <c r="I163" i="17" a="1"/>
  <c r="I163" i="17" s="1"/>
  <c r="I164" i="17" a="1"/>
  <c r="I164" i="17" s="1"/>
  <c r="I165" i="17" a="1"/>
  <c r="I165" i="17" s="1"/>
  <c r="I166" i="17" a="1"/>
  <c r="I166" i="17" s="1"/>
  <c r="I167" i="17" a="1"/>
  <c r="I167" i="17" s="1"/>
  <c r="I168" i="17" a="1"/>
  <c r="I168" i="17" s="1"/>
  <c r="I169" i="17" a="1"/>
  <c r="I169" i="17" s="1"/>
  <c r="I170" i="17" a="1"/>
  <c r="I170" i="17" s="1"/>
  <c r="I171" i="17" a="1"/>
  <c r="I171" i="17" s="1"/>
  <c r="I172" i="17" a="1"/>
  <c r="I172" i="17" s="1"/>
  <c r="I173" i="17" a="1"/>
  <c r="I173" i="17" s="1"/>
  <c r="I174" i="17" a="1"/>
  <c r="I174" i="17" s="1"/>
  <c r="I175" i="17" a="1"/>
  <c r="I175" i="17" s="1"/>
  <c r="I176" i="17" a="1"/>
  <c r="I176" i="17" s="1"/>
  <c r="I177" i="17" a="1"/>
  <c r="I177" i="17" s="1"/>
  <c r="I178" i="17" a="1"/>
  <c r="I178" i="17" s="1"/>
  <c r="I179" i="17" a="1"/>
  <c r="I179" i="17" s="1"/>
  <c r="I180" i="17" a="1"/>
  <c r="I180" i="17" s="1"/>
  <c r="I181" i="17" a="1"/>
  <c r="I181" i="17" s="1"/>
  <c r="I182" i="17" a="1"/>
  <c r="I182" i="17" s="1"/>
  <c r="I183" i="17" a="1"/>
  <c r="I183" i="17" s="1"/>
  <c r="I184" i="17" a="1"/>
  <c r="I184" i="17" s="1"/>
  <c r="I185" i="17" a="1"/>
  <c r="I185" i="17" s="1"/>
  <c r="I186" i="17" a="1"/>
  <c r="I186" i="17" s="1"/>
  <c r="I187" i="17" a="1"/>
  <c r="I187" i="17" s="1"/>
  <c r="G77" i="35" l="1" a="1"/>
  <c r="G77" i="35" s="1"/>
  <c r="G76" i="35" a="1"/>
  <c r="G76" i="35" s="1"/>
  <c r="G75" i="35" a="1"/>
  <c r="G75" i="35" s="1"/>
  <c r="G74" i="35" a="1"/>
  <c r="G74" i="35" s="1"/>
  <c r="G73" i="35" a="1"/>
  <c r="G73" i="35" s="1"/>
  <c r="G72" i="35" a="1"/>
  <c r="G72" i="35" s="1"/>
  <c r="G71" i="35" a="1"/>
  <c r="G71" i="35" s="1"/>
  <c r="G70" i="35" a="1"/>
  <c r="G70" i="35" s="1"/>
  <c r="G69" i="35" a="1"/>
  <c r="G69" i="35" s="1"/>
  <c r="G68" i="35" a="1"/>
  <c r="G68" i="35" s="1"/>
  <c r="G67" i="35" a="1"/>
  <c r="G67" i="35" s="1"/>
  <c r="G66" i="35" a="1"/>
  <c r="G66" i="35" s="1"/>
  <c r="G65" i="35" a="1"/>
  <c r="G65" i="35" s="1"/>
  <c r="G64" i="35" a="1"/>
  <c r="G64" i="35" s="1"/>
  <c r="G63" i="35" a="1"/>
  <c r="G63" i="35" s="1"/>
  <c r="G62" i="35" a="1"/>
  <c r="G62" i="35" s="1"/>
  <c r="G61" i="35" a="1"/>
  <c r="G61" i="35" s="1"/>
  <c r="G60" i="35" a="1"/>
  <c r="G60" i="35" s="1"/>
  <c r="G59" i="35" a="1"/>
  <c r="G59" i="35" s="1"/>
  <c r="G58" i="35" a="1"/>
  <c r="G58" i="35" s="1"/>
  <c r="G57" i="35" a="1"/>
  <c r="G57" i="35" s="1"/>
  <c r="G56" i="35" a="1"/>
  <c r="G56" i="35" s="1"/>
  <c r="G55" i="35" a="1"/>
  <c r="G55" i="35" s="1"/>
  <c r="G54" i="35" a="1"/>
  <c r="G54" i="35" s="1"/>
  <c r="G53" i="35" a="1"/>
  <c r="G53" i="35" s="1"/>
  <c r="G52" i="35" a="1"/>
  <c r="G52" i="35" s="1"/>
  <c r="G51" i="35" a="1"/>
  <c r="G51" i="35" s="1"/>
  <c r="G50" i="35" a="1"/>
  <c r="G50" i="35" s="1"/>
  <c r="G49" i="35" a="1"/>
  <c r="G49" i="35" s="1"/>
  <c r="G48" i="35" a="1"/>
  <c r="G48" i="35" s="1"/>
  <c r="G47" i="35" a="1"/>
  <c r="G47" i="35" s="1"/>
  <c r="G46" i="35" a="1"/>
  <c r="G46" i="35" s="1"/>
  <c r="G45" i="35" a="1"/>
  <c r="G45" i="35" s="1"/>
  <c r="G44" i="35" a="1"/>
  <c r="G44" i="35" s="1"/>
  <c r="G43" i="35" a="1"/>
  <c r="G43" i="35" s="1"/>
  <c r="G42" i="35" a="1"/>
  <c r="G42" i="35" s="1"/>
  <c r="G41" i="35" a="1"/>
  <c r="G41" i="35" s="1"/>
  <c r="G40" i="35" a="1"/>
  <c r="G40" i="35" s="1"/>
  <c r="G39" i="35" a="1"/>
  <c r="G39" i="35" s="1"/>
  <c r="G38" i="35" a="1"/>
  <c r="G38" i="35" s="1"/>
  <c r="G37" i="35" a="1"/>
  <c r="G37" i="35" s="1"/>
  <c r="G36" i="35" a="1"/>
  <c r="G36" i="35" s="1"/>
  <c r="G35" i="35" a="1"/>
  <c r="G35" i="35" s="1"/>
  <c r="G34" i="35" a="1"/>
  <c r="G34" i="35" s="1"/>
  <c r="G33" i="35" a="1"/>
  <c r="G33" i="35" s="1"/>
  <c r="G32" i="35" a="1"/>
  <c r="G32" i="35" s="1"/>
  <c r="G31" i="35" a="1"/>
  <c r="G31" i="35" s="1"/>
  <c r="G30" i="35" a="1"/>
  <c r="G30" i="35" s="1"/>
  <c r="G29" i="35" a="1"/>
  <c r="G29" i="35" s="1"/>
  <c r="G28" i="35" a="1"/>
  <c r="G28" i="35" s="1"/>
  <c r="G27" i="35" a="1"/>
  <c r="G27" i="35" s="1"/>
  <c r="G26" i="35" a="1"/>
  <c r="G26" i="35" s="1"/>
  <c r="G25" i="35" a="1"/>
  <c r="G25" i="35" s="1"/>
  <c r="G24" i="35" a="1"/>
  <c r="G24" i="35" s="1"/>
  <c r="G23" i="35" a="1"/>
  <c r="G23" i="35" s="1"/>
  <c r="G22" i="35" a="1"/>
  <c r="G22" i="35" s="1"/>
  <c r="G21" i="35" a="1"/>
  <c r="G21" i="35" s="1"/>
  <c r="G20" i="35" a="1"/>
  <c r="G20" i="35" s="1"/>
  <c r="G19" i="35" a="1"/>
  <c r="G19" i="35" s="1"/>
  <c r="G18" i="35" a="1"/>
  <c r="G18" i="35" s="1"/>
  <c r="G17" i="35" a="1"/>
  <c r="G17" i="35" s="1"/>
  <c r="G16" i="35" a="1"/>
  <c r="G16" i="35" s="1"/>
  <c r="G15" i="35" a="1"/>
  <c r="G15" i="35" s="1"/>
  <c r="G14" i="35" a="1"/>
  <c r="G14" i="35" s="1"/>
  <c r="G13" i="35" a="1"/>
  <c r="G13" i="35" s="1"/>
  <c r="G12" i="35" a="1"/>
  <c r="G12" i="35" s="1"/>
  <c r="G11" i="35" a="1"/>
  <c r="G11" i="35" s="1"/>
  <c r="G10" i="35" a="1"/>
  <c r="G10" i="35" s="1"/>
  <c r="G9" i="35" a="1"/>
  <c r="G9" i="35" s="1"/>
  <c r="D74" i="17" a="1"/>
  <c r="D74" i="17" s="1"/>
  <c r="G74" i="17" a="1"/>
  <c r="G74" i="17" s="1"/>
  <c r="H74" i="17" a="1"/>
  <c r="H74" i="17" s="1"/>
  <c r="H7" i="17" a="1"/>
  <c r="H7" i="17" s="1"/>
  <c r="H8" i="17" a="1"/>
  <c r="H8" i="17" s="1"/>
  <c r="H9" i="17" a="1"/>
  <c r="H9" i="17" s="1"/>
  <c r="H10" i="17" a="1"/>
  <c r="H10" i="17" s="1"/>
  <c r="H11" i="17" a="1"/>
  <c r="H11" i="17" s="1"/>
  <c r="H12" i="17" a="1"/>
  <c r="H12" i="17" s="1"/>
  <c r="H13" i="17" a="1"/>
  <c r="H13" i="17" s="1"/>
  <c r="H14" i="17" a="1"/>
  <c r="H14" i="17" s="1"/>
  <c r="H15" i="17" a="1"/>
  <c r="H15" i="17" s="1"/>
  <c r="H16" i="17" a="1"/>
  <c r="H16" i="17" s="1"/>
  <c r="H17" i="17" a="1"/>
  <c r="H17" i="17" s="1"/>
  <c r="H18" i="17" a="1"/>
  <c r="H18" i="17" s="1"/>
  <c r="H19" i="17" a="1"/>
  <c r="H19" i="17" s="1"/>
  <c r="H20" i="17" a="1"/>
  <c r="H20" i="17" s="1"/>
  <c r="H21" i="17" a="1"/>
  <c r="H21" i="17" s="1"/>
  <c r="H22" i="17" a="1"/>
  <c r="H22" i="17" s="1"/>
  <c r="H23" i="17" a="1"/>
  <c r="H23" i="17" s="1"/>
  <c r="H24" i="17" a="1"/>
  <c r="H24" i="17" s="1"/>
  <c r="H25" i="17" a="1"/>
  <c r="H25" i="17" s="1"/>
  <c r="H26" i="17" a="1"/>
  <c r="H26" i="17" s="1"/>
  <c r="H27" i="17" a="1"/>
  <c r="H27" i="17" s="1"/>
  <c r="H28" i="17" a="1"/>
  <c r="H28" i="17" s="1"/>
  <c r="H29" i="17" a="1"/>
  <c r="H29" i="17" s="1"/>
  <c r="H30" i="17" a="1"/>
  <c r="H30" i="17" s="1"/>
  <c r="H31" i="17" a="1"/>
  <c r="H31" i="17" s="1"/>
  <c r="H32" i="17" a="1"/>
  <c r="H32" i="17" s="1"/>
  <c r="H33" i="17" a="1"/>
  <c r="H33" i="17" s="1"/>
  <c r="H34" i="17" a="1"/>
  <c r="H34" i="17" s="1"/>
  <c r="H35" i="17" a="1"/>
  <c r="H35" i="17" s="1"/>
  <c r="H36" i="17" a="1"/>
  <c r="H36" i="17" s="1"/>
  <c r="H37" i="17" a="1"/>
  <c r="H37" i="17" s="1"/>
  <c r="H38" i="17" a="1"/>
  <c r="H38" i="17" s="1"/>
  <c r="H39" i="17" a="1"/>
  <c r="H39" i="17" s="1"/>
  <c r="H40" i="17" a="1"/>
  <c r="H40" i="17" s="1"/>
  <c r="H41" i="17" a="1"/>
  <c r="H41" i="17" s="1"/>
  <c r="H42" i="17" a="1"/>
  <c r="H42" i="17" s="1"/>
  <c r="H43" i="17" a="1"/>
  <c r="H43" i="17" s="1"/>
  <c r="H44" i="17" a="1"/>
  <c r="H44" i="17" s="1"/>
  <c r="H45" i="17" a="1"/>
  <c r="H45" i="17" s="1"/>
  <c r="H46" i="17" a="1"/>
  <c r="H46" i="17" s="1"/>
  <c r="H47" i="17" a="1"/>
  <c r="H47" i="17" s="1"/>
  <c r="H48" i="17" a="1"/>
  <c r="H48" i="17" s="1"/>
  <c r="H49" i="17" a="1"/>
  <c r="H49" i="17" s="1"/>
  <c r="H50" i="17" a="1"/>
  <c r="H50" i="17" s="1"/>
  <c r="H51" i="17" a="1"/>
  <c r="H51" i="17" s="1"/>
  <c r="H52" i="17" a="1"/>
  <c r="H52" i="17" s="1"/>
  <c r="H53" i="17" a="1"/>
  <c r="H53" i="17" s="1"/>
  <c r="H54" i="17" a="1"/>
  <c r="H54" i="17" s="1"/>
  <c r="H55" i="17" a="1"/>
  <c r="H55" i="17" s="1"/>
  <c r="H56" i="17" a="1"/>
  <c r="H56" i="17" s="1"/>
  <c r="H57" i="17" a="1"/>
  <c r="H57" i="17" s="1"/>
  <c r="H58" i="17" a="1"/>
  <c r="H58" i="17" s="1"/>
  <c r="H59" i="17" a="1"/>
  <c r="H59" i="17" s="1"/>
  <c r="H60" i="17" a="1"/>
  <c r="H60" i="17" s="1"/>
  <c r="H61" i="17" a="1"/>
  <c r="H61" i="17" s="1"/>
  <c r="H62" i="17" a="1"/>
  <c r="H62" i="17" s="1"/>
  <c r="H63" i="17" a="1"/>
  <c r="H63" i="17" s="1"/>
  <c r="H64" i="17" a="1"/>
  <c r="H64" i="17" s="1"/>
  <c r="H65" i="17" a="1"/>
  <c r="H65" i="17" s="1"/>
  <c r="H66" i="17" a="1"/>
  <c r="H66" i="17" s="1"/>
  <c r="H67" i="17" a="1"/>
  <c r="H67" i="17" s="1"/>
  <c r="H68" i="17" a="1"/>
  <c r="H68" i="17" s="1"/>
  <c r="H69" i="17" a="1"/>
  <c r="H69" i="17" s="1"/>
  <c r="H70" i="17" a="1"/>
  <c r="H70" i="17" s="1"/>
  <c r="H71" i="17" a="1"/>
  <c r="H71" i="17" s="1"/>
  <c r="H72" i="17" a="1"/>
  <c r="H72" i="17" s="1"/>
  <c r="H73" i="17" a="1"/>
  <c r="H73" i="17" s="1"/>
  <c r="H75" i="17" a="1"/>
  <c r="H75" i="17" s="1"/>
  <c r="H76" i="17" a="1"/>
  <c r="H76" i="17" s="1"/>
  <c r="H77" i="17" a="1"/>
  <c r="H77" i="17" s="1"/>
  <c r="H78" i="17" a="1"/>
  <c r="H78" i="17" s="1"/>
  <c r="H79" i="17" a="1"/>
  <c r="H79" i="17" s="1"/>
  <c r="H80" i="17" a="1"/>
  <c r="H80" i="17" s="1"/>
  <c r="H81" i="17" a="1"/>
  <c r="H81" i="17" s="1"/>
  <c r="H82" i="17" a="1"/>
  <c r="H82" i="17" s="1"/>
  <c r="H83" i="17" a="1"/>
  <c r="H83" i="17" s="1"/>
  <c r="H84" i="17" a="1"/>
  <c r="H84" i="17" s="1"/>
  <c r="H85" i="17" a="1"/>
  <c r="H85" i="17" s="1"/>
  <c r="H86" i="17" a="1"/>
  <c r="H86" i="17" s="1"/>
  <c r="H87" i="17" a="1"/>
  <c r="H87" i="17" s="1"/>
  <c r="H88" i="17" a="1"/>
  <c r="H88" i="17" s="1"/>
  <c r="H89" i="17" a="1"/>
  <c r="H89" i="17" s="1"/>
  <c r="H90" i="17" a="1"/>
  <c r="H90" i="17" s="1"/>
  <c r="H91" i="17" a="1"/>
  <c r="H91" i="17" s="1"/>
  <c r="H92" i="17" a="1"/>
  <c r="H92" i="17" s="1"/>
  <c r="H93" i="17" a="1"/>
  <c r="H93" i="17" s="1"/>
  <c r="H94" i="17" a="1"/>
  <c r="H94" i="17" s="1"/>
  <c r="H95" i="17" a="1"/>
  <c r="H95" i="17" s="1"/>
  <c r="H96" i="17" a="1"/>
  <c r="H96" i="17" s="1"/>
  <c r="H97" i="17" a="1"/>
  <c r="H97" i="17" s="1"/>
  <c r="H98" i="17" a="1"/>
  <c r="H98" i="17" s="1"/>
  <c r="H99" i="17" a="1"/>
  <c r="H99" i="17" s="1"/>
  <c r="H100" i="17" a="1"/>
  <c r="H100" i="17" s="1"/>
  <c r="H101" i="17" a="1"/>
  <c r="H101" i="17" s="1"/>
  <c r="H102" i="17" a="1"/>
  <c r="H102" i="17" s="1"/>
  <c r="H103" i="17" a="1"/>
  <c r="H103" i="17" s="1"/>
  <c r="H104" i="17" a="1"/>
  <c r="H104" i="17" s="1"/>
  <c r="H105" i="17" a="1"/>
  <c r="H105" i="17" s="1"/>
  <c r="H106" i="17" a="1"/>
  <c r="H106" i="17" s="1"/>
  <c r="H107" i="17" a="1"/>
  <c r="H107" i="17" s="1"/>
  <c r="H108" i="17" a="1"/>
  <c r="H108" i="17" s="1"/>
  <c r="H109" i="17" a="1"/>
  <c r="H109" i="17" s="1"/>
  <c r="H110" i="17" a="1"/>
  <c r="H110" i="17" s="1"/>
  <c r="H111" i="17" a="1"/>
  <c r="H111" i="17" s="1"/>
  <c r="H112" i="17" a="1"/>
  <c r="H112" i="17" s="1"/>
  <c r="H113" i="17" a="1"/>
  <c r="H113" i="17" s="1"/>
  <c r="H114" i="17" a="1"/>
  <c r="H114" i="17" s="1"/>
  <c r="H115" i="17" a="1"/>
  <c r="H115" i="17" s="1"/>
  <c r="H116" i="17" a="1"/>
  <c r="H116" i="17" s="1"/>
  <c r="H117" i="17" a="1"/>
  <c r="H117" i="17" s="1"/>
  <c r="H118" i="17" a="1"/>
  <c r="H118" i="17" s="1"/>
  <c r="H119" i="17" a="1"/>
  <c r="H119" i="17" s="1"/>
  <c r="H120" i="17" a="1"/>
  <c r="H120" i="17" s="1"/>
  <c r="H121" i="17" a="1"/>
  <c r="H121" i="17" s="1"/>
  <c r="H122" i="17" a="1"/>
  <c r="H122" i="17" s="1"/>
  <c r="H123" i="17" a="1"/>
  <c r="H123" i="17" s="1"/>
  <c r="H124" i="17" a="1"/>
  <c r="H124" i="17" s="1"/>
  <c r="H125" i="17" a="1"/>
  <c r="H125" i="17" s="1"/>
  <c r="H126" i="17" a="1"/>
  <c r="H126" i="17" s="1"/>
  <c r="H127" i="17" a="1"/>
  <c r="H127" i="17" s="1"/>
  <c r="H128" i="17" a="1"/>
  <c r="H128" i="17" s="1"/>
  <c r="H129" i="17" a="1"/>
  <c r="H129" i="17" s="1"/>
  <c r="H130" i="17" a="1"/>
  <c r="H130" i="17" s="1"/>
  <c r="H131" i="17" a="1"/>
  <c r="H131" i="17" s="1"/>
  <c r="H132" i="17" a="1"/>
  <c r="H132" i="17" s="1"/>
  <c r="H133" i="17" a="1"/>
  <c r="H133" i="17" s="1"/>
  <c r="H134" i="17" a="1"/>
  <c r="H134" i="17" s="1"/>
  <c r="H135" i="17" a="1"/>
  <c r="H135" i="17" s="1"/>
  <c r="H136" i="17" a="1"/>
  <c r="H136" i="17" s="1"/>
  <c r="H137" i="17" a="1"/>
  <c r="H137" i="17" s="1"/>
  <c r="H138" i="17" a="1"/>
  <c r="H138" i="17" s="1"/>
  <c r="H139" i="17" a="1"/>
  <c r="H139" i="17" s="1"/>
  <c r="H140" i="17" a="1"/>
  <c r="H140" i="17" s="1"/>
  <c r="H141" i="17" a="1"/>
  <c r="H141" i="17" s="1"/>
  <c r="H142" i="17" a="1"/>
  <c r="H142" i="17" s="1"/>
  <c r="H143" i="17" a="1"/>
  <c r="H143" i="17" s="1"/>
  <c r="H144" i="17" a="1"/>
  <c r="H144" i="17" s="1"/>
  <c r="H145" i="17" a="1"/>
  <c r="H145" i="17" s="1"/>
  <c r="H146" i="17" a="1"/>
  <c r="H146" i="17" s="1"/>
  <c r="H147" i="17" a="1"/>
  <c r="H147" i="17" s="1"/>
  <c r="H148" i="17" a="1"/>
  <c r="H148" i="17" s="1"/>
  <c r="H149" i="17" a="1"/>
  <c r="H149" i="17" s="1"/>
  <c r="H150" i="17" a="1"/>
  <c r="H150" i="17" s="1"/>
  <c r="H151" i="17" a="1"/>
  <c r="H151" i="17" s="1"/>
  <c r="H152" i="17" a="1"/>
  <c r="H152" i="17" s="1"/>
  <c r="H153" i="17" a="1"/>
  <c r="H153" i="17" s="1"/>
  <c r="H154" i="17" a="1"/>
  <c r="H154" i="17" s="1"/>
  <c r="H155" i="17" a="1"/>
  <c r="H155" i="17" s="1"/>
  <c r="H156" i="17" a="1"/>
  <c r="H156" i="17" s="1"/>
  <c r="H157" i="17" a="1"/>
  <c r="H157" i="17" s="1"/>
  <c r="H158" i="17" a="1"/>
  <c r="H158" i="17" s="1"/>
  <c r="H159" i="17" a="1"/>
  <c r="H159" i="17" s="1"/>
  <c r="H160" i="17" a="1"/>
  <c r="H160" i="17" s="1"/>
  <c r="H161" i="17" a="1"/>
  <c r="H161" i="17" s="1"/>
  <c r="H162" i="17" a="1"/>
  <c r="H162" i="17" s="1"/>
  <c r="H163" i="17" a="1"/>
  <c r="H163" i="17" s="1"/>
  <c r="H164" i="17" a="1"/>
  <c r="H164" i="17" s="1"/>
  <c r="H165" i="17" a="1"/>
  <c r="H165" i="17" s="1"/>
  <c r="H166" i="17" a="1"/>
  <c r="H166" i="17" s="1"/>
  <c r="H167" i="17" a="1"/>
  <c r="H167" i="17" s="1"/>
  <c r="H168" i="17" a="1"/>
  <c r="H168" i="17" s="1"/>
  <c r="H169" i="17" a="1"/>
  <c r="H169" i="17" s="1"/>
  <c r="H170" i="17" a="1"/>
  <c r="H170" i="17" s="1"/>
  <c r="H171" i="17" a="1"/>
  <c r="H171" i="17" s="1"/>
  <c r="H172" i="17" a="1"/>
  <c r="H172" i="17" s="1"/>
  <c r="H173" i="17" a="1"/>
  <c r="H173" i="17" s="1"/>
  <c r="H174" i="17" a="1"/>
  <c r="H174" i="17" s="1"/>
  <c r="H175" i="17" a="1"/>
  <c r="H175" i="17" s="1"/>
  <c r="H176" i="17" a="1"/>
  <c r="H176" i="17" s="1"/>
  <c r="H177" i="17" a="1"/>
  <c r="H177" i="17" s="1"/>
  <c r="H178" i="17" a="1"/>
  <c r="H178" i="17" s="1"/>
  <c r="H179" i="17" a="1"/>
  <c r="H179" i="17" s="1"/>
  <c r="H180" i="17" a="1"/>
  <c r="H180" i="17" s="1"/>
  <c r="H181" i="17" a="1"/>
  <c r="H181" i="17" s="1"/>
  <c r="H182" i="17" a="1"/>
  <c r="H182" i="17" s="1"/>
  <c r="H183" i="17" a="1"/>
  <c r="H183" i="17" s="1"/>
  <c r="H184" i="17" a="1"/>
  <c r="H184" i="17" s="1"/>
  <c r="H185" i="17" a="1"/>
  <c r="H185" i="17" s="1"/>
  <c r="H186" i="17" a="1"/>
  <c r="H186" i="17" s="1"/>
  <c r="H187" i="17" a="1"/>
  <c r="H187" i="17" s="1"/>
  <c r="G7" i="17" a="1"/>
  <c r="G7" i="17" s="1"/>
  <c r="G8" i="17" a="1"/>
  <c r="G8" i="17" s="1"/>
  <c r="G9" i="17" a="1"/>
  <c r="G9" i="17" s="1"/>
  <c r="G10" i="17" a="1"/>
  <c r="G10" i="17" s="1"/>
  <c r="G11" i="17" a="1"/>
  <c r="G11" i="17" s="1"/>
  <c r="G12" i="17" a="1"/>
  <c r="G12" i="17" s="1"/>
  <c r="G13" i="17" a="1"/>
  <c r="G13" i="17" s="1"/>
  <c r="G14" i="17" a="1"/>
  <c r="G14" i="17" s="1"/>
  <c r="G15" i="17" a="1"/>
  <c r="G15" i="17" s="1"/>
  <c r="G16" i="17" a="1"/>
  <c r="G16" i="17" s="1"/>
  <c r="G17" i="17" a="1"/>
  <c r="G17" i="17" s="1"/>
  <c r="G18" i="17" a="1"/>
  <c r="G18" i="17" s="1"/>
  <c r="G19" i="17" a="1"/>
  <c r="G19" i="17" s="1"/>
  <c r="G20" i="17" a="1"/>
  <c r="G20" i="17" s="1"/>
  <c r="G21" i="17" a="1"/>
  <c r="G21" i="17" s="1"/>
  <c r="G22" i="17" a="1"/>
  <c r="G22" i="17" s="1"/>
  <c r="G23" i="17" a="1"/>
  <c r="G23" i="17" s="1"/>
  <c r="G24" i="17" a="1"/>
  <c r="G24" i="17" s="1"/>
  <c r="G25" i="17" a="1"/>
  <c r="G25" i="17" s="1"/>
  <c r="G26" i="17" a="1"/>
  <c r="G26" i="17" s="1"/>
  <c r="G27" i="17" a="1"/>
  <c r="G27" i="17" s="1"/>
  <c r="G28" i="17" a="1"/>
  <c r="G28" i="17" s="1"/>
  <c r="G29" i="17" a="1"/>
  <c r="G29" i="17" s="1"/>
  <c r="G30" i="17" a="1"/>
  <c r="G30" i="17" s="1"/>
  <c r="G31" i="17" a="1"/>
  <c r="G31" i="17" s="1"/>
  <c r="G32" i="17" a="1"/>
  <c r="G32" i="17" s="1"/>
  <c r="G33" i="17" a="1"/>
  <c r="G33" i="17" s="1"/>
  <c r="G34" i="17" a="1"/>
  <c r="G34" i="17" s="1"/>
  <c r="G35" i="17" a="1"/>
  <c r="G35" i="17" s="1"/>
  <c r="G36" i="17" a="1"/>
  <c r="G36" i="17" s="1"/>
  <c r="G37" i="17" a="1"/>
  <c r="G37" i="17" s="1"/>
  <c r="G38" i="17" a="1"/>
  <c r="G38" i="17" s="1"/>
  <c r="G39" i="17" a="1"/>
  <c r="G39" i="17" s="1"/>
  <c r="G40" i="17" a="1"/>
  <c r="G40" i="17" s="1"/>
  <c r="G41" i="17" a="1"/>
  <c r="G41" i="17" s="1"/>
  <c r="G42" i="17" a="1"/>
  <c r="G42" i="17" s="1"/>
  <c r="G43" i="17" a="1"/>
  <c r="G43" i="17" s="1"/>
  <c r="G44" i="17" a="1"/>
  <c r="G44" i="17" s="1"/>
  <c r="G45" i="17" a="1"/>
  <c r="G45" i="17" s="1"/>
  <c r="G46" i="17" a="1"/>
  <c r="G46" i="17" s="1"/>
  <c r="G47" i="17" a="1"/>
  <c r="G47" i="17" s="1"/>
  <c r="G48" i="17" a="1"/>
  <c r="G48" i="17" s="1"/>
  <c r="G49" i="17" a="1"/>
  <c r="G49" i="17" s="1"/>
  <c r="G50" i="17" a="1"/>
  <c r="G50" i="17" s="1"/>
  <c r="G51" i="17" a="1"/>
  <c r="G51" i="17" s="1"/>
  <c r="G52" i="17" a="1"/>
  <c r="G52" i="17" s="1"/>
  <c r="G53" i="17" a="1"/>
  <c r="G53" i="17" s="1"/>
  <c r="G54" i="17" a="1"/>
  <c r="G54" i="17" s="1"/>
  <c r="G55" i="17" a="1"/>
  <c r="G55" i="17" s="1"/>
  <c r="G56" i="17" a="1"/>
  <c r="G56" i="17" s="1"/>
  <c r="G57" i="17" a="1"/>
  <c r="G57" i="17" s="1"/>
  <c r="G58" i="17" a="1"/>
  <c r="G58" i="17" s="1"/>
  <c r="G59" i="17" a="1"/>
  <c r="G59" i="17" s="1"/>
  <c r="G60" i="17" a="1"/>
  <c r="G60" i="17" s="1"/>
  <c r="G61" i="17" a="1"/>
  <c r="G61" i="17" s="1"/>
  <c r="G62" i="17" a="1"/>
  <c r="G62" i="17" s="1"/>
  <c r="G63" i="17" a="1"/>
  <c r="G63" i="17" s="1"/>
  <c r="G64" i="17" a="1"/>
  <c r="G64" i="17" s="1"/>
  <c r="G65" i="17" a="1"/>
  <c r="G65" i="17" s="1"/>
  <c r="G66" i="17" a="1"/>
  <c r="G66" i="17" s="1"/>
  <c r="G67" i="17" a="1"/>
  <c r="G67" i="17" s="1"/>
  <c r="G68" i="17" a="1"/>
  <c r="G68" i="17" s="1"/>
  <c r="G69" i="17" a="1"/>
  <c r="G69" i="17" s="1"/>
  <c r="G70" i="17" a="1"/>
  <c r="G70" i="17" s="1"/>
  <c r="G71" i="17" a="1"/>
  <c r="G71" i="17" s="1"/>
  <c r="G72" i="17" a="1"/>
  <c r="G72" i="17" s="1"/>
  <c r="G73" i="17" a="1"/>
  <c r="G73" i="17" s="1"/>
  <c r="G75" i="17" a="1"/>
  <c r="G75" i="17" s="1"/>
  <c r="G76" i="17" a="1"/>
  <c r="G76" i="17" s="1"/>
  <c r="G77" i="17" a="1"/>
  <c r="G77" i="17" s="1"/>
  <c r="G78" i="17" a="1"/>
  <c r="G78" i="17" s="1"/>
  <c r="G79" i="17" a="1"/>
  <c r="G79" i="17" s="1"/>
  <c r="G80" i="17" a="1"/>
  <c r="G80" i="17" s="1"/>
  <c r="G81" i="17" a="1"/>
  <c r="G81" i="17" s="1"/>
  <c r="G82" i="17" a="1"/>
  <c r="G82" i="17" s="1"/>
  <c r="G83" i="17" a="1"/>
  <c r="G83" i="17" s="1"/>
  <c r="G84" i="17" a="1"/>
  <c r="G84" i="17" s="1"/>
  <c r="G85" i="17" a="1"/>
  <c r="G85" i="17" s="1"/>
  <c r="G86" i="17" a="1"/>
  <c r="G86" i="17" s="1"/>
  <c r="G87" i="17" a="1"/>
  <c r="G87" i="17" s="1"/>
  <c r="G88" i="17" a="1"/>
  <c r="G88" i="17" s="1"/>
  <c r="G89" i="17" a="1"/>
  <c r="G89" i="17" s="1"/>
  <c r="G90" i="17" a="1"/>
  <c r="G90" i="17" s="1"/>
  <c r="G91" i="17" a="1"/>
  <c r="G91" i="17" s="1"/>
  <c r="G92" i="17" a="1"/>
  <c r="G92" i="17" s="1"/>
  <c r="G93" i="17" a="1"/>
  <c r="G93" i="17" s="1"/>
  <c r="G94" i="17" a="1"/>
  <c r="G94" i="17" s="1"/>
  <c r="G95" i="17" a="1"/>
  <c r="G95" i="17" s="1"/>
  <c r="G96" i="17" a="1"/>
  <c r="G96" i="17" s="1"/>
  <c r="G97" i="17" a="1"/>
  <c r="G97" i="17" s="1"/>
  <c r="G98" i="17" a="1"/>
  <c r="G98" i="17" s="1"/>
  <c r="G99" i="17" a="1"/>
  <c r="G99" i="17" s="1"/>
  <c r="G100" i="17" a="1"/>
  <c r="G100" i="17" s="1"/>
  <c r="G101" i="17" a="1"/>
  <c r="G101" i="17" s="1"/>
  <c r="G102" i="17" a="1"/>
  <c r="G102" i="17" s="1"/>
  <c r="G103" i="17" a="1"/>
  <c r="G103" i="17" s="1"/>
  <c r="G104" i="17" a="1"/>
  <c r="G104" i="17" s="1"/>
  <c r="G105" i="17" a="1"/>
  <c r="G105" i="17" s="1"/>
  <c r="G106" i="17" a="1"/>
  <c r="G106" i="17" s="1"/>
  <c r="G107" i="17" a="1"/>
  <c r="G107" i="17" s="1"/>
  <c r="G108" i="17" a="1"/>
  <c r="G108" i="17" s="1"/>
  <c r="G109" i="17" a="1"/>
  <c r="G109" i="17" s="1"/>
  <c r="G110" i="17" a="1"/>
  <c r="G110" i="17" s="1"/>
  <c r="G111" i="17" a="1"/>
  <c r="G111" i="17" s="1"/>
  <c r="G112" i="17" a="1"/>
  <c r="G112" i="17" s="1"/>
  <c r="G113" i="17" a="1"/>
  <c r="G113" i="17" s="1"/>
  <c r="G114" i="17" a="1"/>
  <c r="G114" i="17" s="1"/>
  <c r="G115" i="17" a="1"/>
  <c r="G115" i="17" s="1"/>
  <c r="G116" i="17" a="1"/>
  <c r="G116" i="17" s="1"/>
  <c r="G117" i="17" a="1"/>
  <c r="G117" i="17" s="1"/>
  <c r="G118" i="17" a="1"/>
  <c r="G118" i="17" s="1"/>
  <c r="G119" i="17" a="1"/>
  <c r="G119" i="17" s="1"/>
  <c r="G120" i="17" a="1"/>
  <c r="G120" i="17" s="1"/>
  <c r="G121" i="17" a="1"/>
  <c r="G121" i="17" s="1"/>
  <c r="G122" i="17" a="1"/>
  <c r="G122" i="17" s="1"/>
  <c r="G123" i="17" a="1"/>
  <c r="G123" i="17" s="1"/>
  <c r="G124" i="17" a="1"/>
  <c r="G124" i="17" s="1"/>
  <c r="G125" i="17" a="1"/>
  <c r="G125" i="17" s="1"/>
  <c r="G126" i="17" a="1"/>
  <c r="G126" i="17" s="1"/>
  <c r="G127" i="17" a="1"/>
  <c r="G127" i="17" s="1"/>
  <c r="G128" i="17" a="1"/>
  <c r="G128" i="17" s="1"/>
  <c r="G129" i="17" a="1"/>
  <c r="G129" i="17" s="1"/>
  <c r="G130" i="17" a="1"/>
  <c r="G130" i="17" s="1"/>
  <c r="G131" i="17" a="1"/>
  <c r="G131" i="17" s="1"/>
  <c r="G132" i="17" a="1"/>
  <c r="G132" i="17" s="1"/>
  <c r="G133" i="17" a="1"/>
  <c r="G133" i="17" s="1"/>
  <c r="G134" i="17" a="1"/>
  <c r="G134" i="17" s="1"/>
  <c r="G135" i="17" a="1"/>
  <c r="G135" i="17" s="1"/>
  <c r="G136" i="17" a="1"/>
  <c r="G136" i="17" s="1"/>
  <c r="G137" i="17" a="1"/>
  <c r="G137" i="17" s="1"/>
  <c r="G138" i="17" a="1"/>
  <c r="G138" i="17" s="1"/>
  <c r="G139" i="17" a="1"/>
  <c r="G139" i="17" s="1"/>
  <c r="G140" i="17" a="1"/>
  <c r="G140" i="17" s="1"/>
  <c r="G141" i="17" a="1"/>
  <c r="G141" i="17" s="1"/>
  <c r="G142" i="17" a="1"/>
  <c r="G142" i="17" s="1"/>
  <c r="G143" i="17" a="1"/>
  <c r="G143" i="17" s="1"/>
  <c r="G144" i="17" a="1"/>
  <c r="G144" i="17" s="1"/>
  <c r="G145" i="17" a="1"/>
  <c r="G145" i="17" s="1"/>
  <c r="G146" i="17" a="1"/>
  <c r="G146" i="17" s="1"/>
  <c r="G147" i="17" a="1"/>
  <c r="G147" i="17" s="1"/>
  <c r="G148" i="17" a="1"/>
  <c r="G148" i="17" s="1"/>
  <c r="G149" i="17" a="1"/>
  <c r="G149" i="17" s="1"/>
  <c r="G150" i="17" a="1"/>
  <c r="G150" i="17" s="1"/>
  <c r="G151" i="17" a="1"/>
  <c r="G151" i="17" s="1"/>
  <c r="G152" i="17" a="1"/>
  <c r="G152" i="17" s="1"/>
  <c r="G153" i="17" a="1"/>
  <c r="G153" i="17" s="1"/>
  <c r="G154" i="17" a="1"/>
  <c r="G154" i="17" s="1"/>
  <c r="G155" i="17" a="1"/>
  <c r="G155" i="17" s="1"/>
  <c r="G156" i="17" a="1"/>
  <c r="G156" i="17" s="1"/>
  <c r="G157" i="17" a="1"/>
  <c r="G157" i="17" s="1"/>
  <c r="G158" i="17" a="1"/>
  <c r="G158" i="17" s="1"/>
  <c r="G159" i="17" a="1"/>
  <c r="G159" i="17" s="1"/>
  <c r="G160" i="17" a="1"/>
  <c r="G160" i="17" s="1"/>
  <c r="G161" i="17" a="1"/>
  <c r="G161" i="17" s="1"/>
  <c r="G162" i="17" a="1"/>
  <c r="G162" i="17" s="1"/>
  <c r="G163" i="17" a="1"/>
  <c r="G163" i="17" s="1"/>
  <c r="G164" i="17" a="1"/>
  <c r="G164" i="17" s="1"/>
  <c r="G165" i="17" a="1"/>
  <c r="G165" i="17" s="1"/>
  <c r="G166" i="17" a="1"/>
  <c r="G166" i="17" s="1"/>
  <c r="G167" i="17" a="1"/>
  <c r="G167" i="17" s="1"/>
  <c r="G168" i="17" a="1"/>
  <c r="G168" i="17" s="1"/>
  <c r="G169" i="17" a="1"/>
  <c r="G169" i="17" s="1"/>
  <c r="G170" i="17" a="1"/>
  <c r="G170" i="17" s="1"/>
  <c r="G171" i="17" a="1"/>
  <c r="G171" i="17" s="1"/>
  <c r="G172" i="17" a="1"/>
  <c r="G172" i="17" s="1"/>
  <c r="G173" i="17" a="1"/>
  <c r="G173" i="17" s="1"/>
  <c r="G174" i="17" a="1"/>
  <c r="G174" i="17" s="1"/>
  <c r="G175" i="17" a="1"/>
  <c r="G175" i="17" s="1"/>
  <c r="G176" i="17" a="1"/>
  <c r="G176" i="17" s="1"/>
  <c r="G177" i="17" a="1"/>
  <c r="G177" i="17" s="1"/>
  <c r="G178" i="17" a="1"/>
  <c r="G178" i="17" s="1"/>
  <c r="G179" i="17" a="1"/>
  <c r="G179" i="17" s="1"/>
  <c r="G180" i="17" a="1"/>
  <c r="G180" i="17" s="1"/>
  <c r="G181" i="17" a="1"/>
  <c r="G181" i="17" s="1"/>
  <c r="G182" i="17" a="1"/>
  <c r="G182" i="17" s="1"/>
  <c r="G183" i="17" a="1"/>
  <c r="G183" i="17" s="1"/>
  <c r="G184" i="17" a="1"/>
  <c r="G184" i="17" s="1"/>
  <c r="G185" i="17" a="1"/>
  <c r="G185" i="17" s="1"/>
  <c r="G186" i="17" a="1"/>
  <c r="G186" i="17" s="1"/>
  <c r="G187" i="17" a="1"/>
  <c r="G187" i="17" s="1"/>
  <c r="D7" i="17" a="1"/>
  <c r="D7" i="17" s="1"/>
  <c r="D8" i="17" a="1"/>
  <c r="D8" i="17" s="1"/>
  <c r="D9" i="17" a="1"/>
  <c r="D9" i="17" s="1"/>
  <c r="D10" i="17" a="1"/>
  <c r="D10" i="17" s="1"/>
  <c r="D11" i="17" a="1"/>
  <c r="D11" i="17" s="1"/>
  <c r="D12" i="17" a="1"/>
  <c r="D12" i="17" s="1"/>
  <c r="D13" i="17" a="1"/>
  <c r="D13" i="17" s="1"/>
  <c r="D14" i="17" a="1"/>
  <c r="D14" i="17" s="1"/>
  <c r="D15" i="17" a="1"/>
  <c r="D15" i="17" s="1"/>
  <c r="D16" i="17" a="1"/>
  <c r="D16" i="17" s="1"/>
  <c r="D17" i="17" a="1"/>
  <c r="D17" i="17" s="1"/>
  <c r="D18" i="17" a="1"/>
  <c r="D18" i="17" s="1"/>
  <c r="D19" i="17" a="1"/>
  <c r="D19" i="17" s="1"/>
  <c r="D20" i="17" a="1"/>
  <c r="D20" i="17" s="1"/>
  <c r="D21" i="17" a="1"/>
  <c r="D21" i="17" s="1"/>
  <c r="D22" i="17" a="1"/>
  <c r="D22" i="17" s="1"/>
  <c r="D23" i="17" a="1"/>
  <c r="D23" i="17" s="1"/>
  <c r="D24" i="17" a="1"/>
  <c r="D24" i="17" s="1"/>
  <c r="D25" i="17" a="1"/>
  <c r="D25" i="17" s="1"/>
  <c r="D26" i="17" a="1"/>
  <c r="D26" i="17" s="1"/>
  <c r="D27" i="17" a="1"/>
  <c r="D27" i="17" s="1"/>
  <c r="D28" i="17" a="1"/>
  <c r="D28" i="17" s="1"/>
  <c r="D29" i="17" a="1"/>
  <c r="D29" i="17" s="1"/>
  <c r="D30" i="17" a="1"/>
  <c r="D30" i="17" s="1"/>
  <c r="D31" i="17" a="1"/>
  <c r="D31" i="17" s="1"/>
  <c r="D32" i="17" a="1"/>
  <c r="D32" i="17" s="1"/>
  <c r="D33" i="17" a="1"/>
  <c r="D33" i="17" s="1"/>
  <c r="D34" i="17" a="1"/>
  <c r="D34" i="17" s="1"/>
  <c r="D35" i="17" a="1"/>
  <c r="D35" i="17" s="1"/>
  <c r="D36" i="17" a="1"/>
  <c r="D36" i="17" s="1"/>
  <c r="D37" i="17" a="1"/>
  <c r="D37" i="17" s="1"/>
  <c r="D38" i="17" a="1"/>
  <c r="D38" i="17" s="1"/>
  <c r="D39" i="17" a="1"/>
  <c r="D39" i="17" s="1"/>
  <c r="D40" i="17" a="1"/>
  <c r="D40" i="17" s="1"/>
  <c r="D41" i="17" a="1"/>
  <c r="D41" i="17" s="1"/>
  <c r="D42" i="17" a="1"/>
  <c r="D42" i="17" s="1"/>
  <c r="D43" i="17" a="1"/>
  <c r="D43" i="17" s="1"/>
  <c r="D44" i="17" a="1"/>
  <c r="D44" i="17" s="1"/>
  <c r="D45" i="17" a="1"/>
  <c r="D45" i="17" s="1"/>
  <c r="D46" i="17" a="1"/>
  <c r="D46" i="17" s="1"/>
  <c r="D47" i="17" a="1"/>
  <c r="D47" i="17" s="1"/>
  <c r="D48" i="17" a="1"/>
  <c r="D48" i="17" s="1"/>
  <c r="D49" i="17" a="1"/>
  <c r="D49" i="17" s="1"/>
  <c r="D50" i="17" a="1"/>
  <c r="D50" i="17" s="1"/>
  <c r="D51" i="17" a="1"/>
  <c r="D51" i="17" s="1"/>
  <c r="D52" i="17" a="1"/>
  <c r="D52" i="17" s="1"/>
  <c r="D53" i="17" a="1"/>
  <c r="D53" i="17" s="1"/>
  <c r="D54" i="17" a="1"/>
  <c r="D54" i="17" s="1"/>
  <c r="D55" i="17" a="1"/>
  <c r="D55" i="17" s="1"/>
  <c r="D56" i="17" a="1"/>
  <c r="D56" i="17" s="1"/>
  <c r="D57" i="17" a="1"/>
  <c r="D57" i="17" s="1"/>
  <c r="D58" i="17" a="1"/>
  <c r="D58" i="17" s="1"/>
  <c r="D59" i="17" a="1"/>
  <c r="D59" i="17" s="1"/>
  <c r="D60" i="17" a="1"/>
  <c r="D60" i="17" s="1"/>
  <c r="D61" i="17" a="1"/>
  <c r="D61" i="17" s="1"/>
  <c r="D62" i="17" a="1"/>
  <c r="D62" i="17" s="1"/>
  <c r="D63" i="17" a="1"/>
  <c r="D63" i="17" s="1"/>
  <c r="D64" i="17" a="1"/>
  <c r="D64" i="17" s="1"/>
  <c r="D65" i="17" a="1"/>
  <c r="D65" i="17" s="1"/>
  <c r="D66" i="17" a="1"/>
  <c r="D66" i="17" s="1"/>
  <c r="D67" i="17" a="1"/>
  <c r="D67" i="17" s="1"/>
  <c r="D68" i="17" a="1"/>
  <c r="D68" i="17" s="1"/>
  <c r="D69" i="17" a="1"/>
  <c r="D69" i="17" s="1"/>
  <c r="D70" i="17" a="1"/>
  <c r="D70" i="17" s="1"/>
  <c r="D71" i="17" a="1"/>
  <c r="D71" i="17" s="1"/>
  <c r="D72" i="17" a="1"/>
  <c r="D72" i="17" s="1"/>
  <c r="D73" i="17" a="1"/>
  <c r="D73" i="17" s="1"/>
  <c r="D75" i="17" a="1"/>
  <c r="D75" i="17" s="1"/>
  <c r="D76" i="17" a="1"/>
  <c r="D76" i="17" s="1"/>
  <c r="D77" i="17" a="1"/>
  <c r="D77" i="17" s="1"/>
  <c r="D78" i="17" a="1"/>
  <c r="D78" i="17" s="1"/>
  <c r="D79" i="17" a="1"/>
  <c r="D79" i="17" s="1"/>
  <c r="D80" i="17" a="1"/>
  <c r="D80" i="17" s="1"/>
  <c r="D81" i="17" a="1"/>
  <c r="D81" i="17" s="1"/>
  <c r="D82" i="17" a="1"/>
  <c r="D82" i="17" s="1"/>
  <c r="D83" i="17" a="1"/>
  <c r="D83" i="17" s="1"/>
  <c r="D84" i="17" a="1"/>
  <c r="D84" i="17" s="1"/>
  <c r="D85" i="17" a="1"/>
  <c r="D85" i="17" s="1"/>
  <c r="D86" i="17" a="1"/>
  <c r="D86" i="17" s="1"/>
  <c r="D87" i="17" a="1"/>
  <c r="D87" i="17" s="1"/>
  <c r="D88" i="17" a="1"/>
  <c r="D88" i="17" s="1"/>
  <c r="D89" i="17" a="1"/>
  <c r="D89" i="17" s="1"/>
  <c r="D90" i="17" a="1"/>
  <c r="D90" i="17" s="1"/>
  <c r="D91" i="17" a="1"/>
  <c r="D91" i="17" s="1"/>
  <c r="D92" i="17" a="1"/>
  <c r="D92" i="17" s="1"/>
  <c r="D93" i="17" a="1"/>
  <c r="D93" i="17" s="1"/>
  <c r="D94" i="17" a="1"/>
  <c r="D94" i="17" s="1"/>
  <c r="D95" i="17" a="1"/>
  <c r="D95" i="17" s="1"/>
  <c r="D96" i="17" a="1"/>
  <c r="D96" i="17" s="1"/>
  <c r="D97" i="17" a="1"/>
  <c r="D97" i="17" s="1"/>
  <c r="D98" i="17" a="1"/>
  <c r="D98" i="17" s="1"/>
  <c r="D99" i="17" a="1"/>
  <c r="D99" i="17" s="1"/>
  <c r="D100" i="17" a="1"/>
  <c r="D100" i="17" s="1"/>
  <c r="D101" i="17" a="1"/>
  <c r="D101" i="17" s="1"/>
  <c r="D102" i="17" a="1"/>
  <c r="D102" i="17" s="1"/>
  <c r="D103" i="17" a="1"/>
  <c r="D103" i="17" s="1"/>
  <c r="D104" i="17" a="1"/>
  <c r="D104" i="17" s="1"/>
  <c r="D105" i="17" a="1"/>
  <c r="D105" i="17" s="1"/>
  <c r="D106" i="17" a="1"/>
  <c r="D106" i="17" s="1"/>
  <c r="D107" i="17" a="1"/>
  <c r="D107" i="17" s="1"/>
  <c r="D108" i="17" a="1"/>
  <c r="D108" i="17" s="1"/>
  <c r="D109" i="17" a="1"/>
  <c r="D109" i="17" s="1"/>
  <c r="D110" i="17" a="1"/>
  <c r="D110" i="17" s="1"/>
  <c r="D111" i="17" a="1"/>
  <c r="D111" i="17" s="1"/>
  <c r="D112" i="17" a="1"/>
  <c r="D112" i="17" s="1"/>
  <c r="D113" i="17" a="1"/>
  <c r="D113" i="17" s="1"/>
  <c r="D114" i="17" a="1"/>
  <c r="D114" i="17" s="1"/>
  <c r="D115" i="17" a="1"/>
  <c r="D115" i="17" s="1"/>
  <c r="D116" i="17" a="1"/>
  <c r="D116" i="17" s="1"/>
  <c r="D117" i="17" a="1"/>
  <c r="D117" i="17" s="1"/>
  <c r="D118" i="17" a="1"/>
  <c r="D118" i="17" s="1"/>
  <c r="D119" i="17" a="1"/>
  <c r="D119" i="17" s="1"/>
  <c r="D120" i="17" a="1"/>
  <c r="D120" i="17" s="1"/>
  <c r="D121" i="17" a="1"/>
  <c r="D121" i="17" s="1"/>
  <c r="D122" i="17" a="1"/>
  <c r="D122" i="17" s="1"/>
  <c r="D123" i="17" a="1"/>
  <c r="D123" i="17" s="1"/>
  <c r="D124" i="17" a="1"/>
  <c r="D124" i="17" s="1"/>
  <c r="D125" i="17" a="1"/>
  <c r="D125" i="17" s="1"/>
  <c r="D126" i="17" a="1"/>
  <c r="D126" i="17" s="1"/>
  <c r="D127" i="17" a="1"/>
  <c r="D127" i="17" s="1"/>
  <c r="D128" i="17" a="1"/>
  <c r="D128" i="17" s="1"/>
  <c r="D129" i="17" a="1"/>
  <c r="D129" i="17" s="1"/>
  <c r="D130" i="17" a="1"/>
  <c r="D130" i="17" s="1"/>
  <c r="D131" i="17" a="1"/>
  <c r="D131" i="17" s="1"/>
  <c r="D132" i="17" a="1"/>
  <c r="D132" i="17" s="1"/>
  <c r="D133" i="17" a="1"/>
  <c r="D133" i="17" s="1"/>
  <c r="D134" i="17" a="1"/>
  <c r="D134" i="17" s="1"/>
  <c r="D135" i="17" a="1"/>
  <c r="D135" i="17" s="1"/>
  <c r="D136" i="17" a="1"/>
  <c r="D136" i="17" s="1"/>
  <c r="D137" i="17" a="1"/>
  <c r="D137" i="17" s="1"/>
  <c r="D138" i="17" a="1"/>
  <c r="D138" i="17" s="1"/>
  <c r="D139" i="17" a="1"/>
  <c r="D139" i="17" s="1"/>
  <c r="D140" i="17" a="1"/>
  <c r="D140" i="17" s="1"/>
  <c r="D141" i="17" a="1"/>
  <c r="D141" i="17" s="1"/>
  <c r="D142" i="17" a="1"/>
  <c r="D142" i="17" s="1"/>
  <c r="D143" i="17" a="1"/>
  <c r="D143" i="17" s="1"/>
  <c r="D144" i="17" a="1"/>
  <c r="D144" i="17" s="1"/>
  <c r="D145" i="17" a="1"/>
  <c r="D145" i="17" s="1"/>
  <c r="D146" i="17" a="1"/>
  <c r="D146" i="17" s="1"/>
  <c r="D147" i="17" a="1"/>
  <c r="D147" i="17" s="1"/>
  <c r="D148" i="17" a="1"/>
  <c r="D148" i="17" s="1"/>
  <c r="D149" i="17" a="1"/>
  <c r="D149" i="17" s="1"/>
  <c r="D150" i="17" a="1"/>
  <c r="D150" i="17" s="1"/>
  <c r="D151" i="17" a="1"/>
  <c r="D151" i="17" s="1"/>
  <c r="D152" i="17" a="1"/>
  <c r="D152" i="17" s="1"/>
  <c r="D153" i="17" a="1"/>
  <c r="D153" i="17" s="1"/>
  <c r="D154" i="17" a="1"/>
  <c r="D154" i="17" s="1"/>
  <c r="D155" i="17" a="1"/>
  <c r="D155" i="17" s="1"/>
  <c r="D156" i="17" a="1"/>
  <c r="D156" i="17" s="1"/>
  <c r="D157" i="17" a="1"/>
  <c r="D157" i="17" s="1"/>
  <c r="D158" i="17" a="1"/>
  <c r="D158" i="17" s="1"/>
  <c r="D159" i="17" a="1"/>
  <c r="D159" i="17" s="1"/>
  <c r="D160" i="17" a="1"/>
  <c r="D160" i="17" s="1"/>
  <c r="D161" i="17" a="1"/>
  <c r="D161" i="17" s="1"/>
  <c r="D162" i="17" a="1"/>
  <c r="D162" i="17" s="1"/>
  <c r="D163" i="17" a="1"/>
  <c r="D163" i="17" s="1"/>
  <c r="D164" i="17" a="1"/>
  <c r="D164" i="17" s="1"/>
  <c r="D165" i="17" a="1"/>
  <c r="D165" i="17" s="1"/>
  <c r="D166" i="17" a="1"/>
  <c r="D166" i="17" s="1"/>
  <c r="D167" i="17" a="1"/>
  <c r="D167" i="17" s="1"/>
  <c r="D168" i="17" a="1"/>
  <c r="D168" i="17" s="1"/>
  <c r="D169" i="17" a="1"/>
  <c r="D169" i="17" s="1"/>
  <c r="D170" i="17" a="1"/>
  <c r="D170" i="17" s="1"/>
  <c r="D171" i="17" a="1"/>
  <c r="D171" i="17" s="1"/>
  <c r="D172" i="17" a="1"/>
  <c r="D172" i="17" s="1"/>
  <c r="D173" i="17" a="1"/>
  <c r="D173" i="17" s="1"/>
  <c r="D174" i="17" a="1"/>
  <c r="D174" i="17" s="1"/>
  <c r="D175" i="17" a="1"/>
  <c r="D175" i="17" s="1"/>
  <c r="D176" i="17" a="1"/>
  <c r="D176" i="17" s="1"/>
  <c r="D177" i="17" a="1"/>
  <c r="D177" i="17" s="1"/>
  <c r="D178" i="17" a="1"/>
  <c r="D178" i="17" s="1"/>
  <c r="D179" i="17" a="1"/>
  <c r="D179" i="17" s="1"/>
  <c r="D180" i="17" a="1"/>
  <c r="D180" i="17" s="1"/>
  <c r="D181" i="17" a="1"/>
  <c r="D181" i="17" s="1"/>
  <c r="D182" i="17" a="1"/>
  <c r="D182" i="17" s="1"/>
  <c r="D183" i="17" a="1"/>
  <c r="D183" i="17" s="1"/>
  <c r="D184" i="17" a="1"/>
  <c r="D184" i="17" s="1"/>
  <c r="D185" i="17" a="1"/>
  <c r="D185" i="17" s="1"/>
  <c r="D186" i="17" a="1"/>
  <c r="D186" i="17" s="1"/>
  <c r="D187" i="17" a="1"/>
  <c r="D187" i="17" s="1"/>
  <c r="K48" i="15" l="1"/>
  <c r="K50" i="15"/>
  <c r="K47" i="15"/>
  <c r="K19" i="15"/>
  <c r="K20" i="15"/>
  <c r="K46" i="15"/>
  <c r="K49" i="15"/>
  <c r="K45" i="15"/>
  <c r="K21" i="15"/>
  <c r="K24" i="15"/>
  <c r="K23" i="15"/>
  <c r="K22" i="15"/>
  <c r="L24" i="15"/>
  <c r="L23" i="15"/>
  <c r="L50" i="15"/>
  <c r="L49" i="15"/>
  <c r="L21" i="15"/>
  <c r="L20" i="15"/>
  <c r="L48" i="15"/>
  <c r="L47" i="15"/>
  <c r="L19" i="15"/>
  <c r="L46" i="15"/>
  <c r="L22" i="15"/>
  <c r="L45" i="15"/>
  <c r="C2" i="31"/>
  <c r="G87" i="31" a="1"/>
  <c r="G87" i="31" s="1"/>
  <c r="G86" i="31" a="1"/>
  <c r="G86" i="31" s="1"/>
  <c r="G85" i="31" a="1"/>
  <c r="G85" i="31" s="1"/>
  <c r="G84" i="31" a="1"/>
  <c r="G84" i="31" s="1"/>
  <c r="G83" i="31" a="1"/>
  <c r="G83" i="31" s="1"/>
  <c r="G82" i="31" a="1"/>
  <c r="G82" i="31" s="1"/>
  <c r="G81" i="31" a="1"/>
  <c r="G81" i="31" s="1"/>
  <c r="G80" i="31" a="1"/>
  <c r="G80" i="31" s="1"/>
  <c r="G79" i="31" a="1"/>
  <c r="G79" i="31" s="1"/>
  <c r="G78" i="31" a="1"/>
  <c r="G78" i="31" s="1"/>
  <c r="G77" i="31" a="1"/>
  <c r="G77" i="31" s="1"/>
  <c r="G76" i="31" a="1"/>
  <c r="G76" i="31" s="1"/>
  <c r="G75" i="31" a="1"/>
  <c r="G75" i="31" s="1"/>
  <c r="G74" i="31" a="1"/>
  <c r="G74" i="31" s="1"/>
  <c r="G73" i="31" a="1"/>
  <c r="G73" i="31" s="1"/>
  <c r="G72" i="31" a="1"/>
  <c r="G72" i="31" s="1"/>
  <c r="G71" i="31" a="1"/>
  <c r="G71" i="31" s="1"/>
  <c r="G70" i="31" a="1"/>
  <c r="G70" i="31" s="1"/>
  <c r="G69" i="31" a="1"/>
  <c r="G69" i="31" s="1"/>
  <c r="G68" i="31" a="1"/>
  <c r="G68" i="31" s="1"/>
  <c r="G67" i="31" a="1"/>
  <c r="G67" i="31" s="1"/>
  <c r="G66" i="31" a="1"/>
  <c r="G66" i="31" s="1"/>
  <c r="G65" i="31" a="1"/>
  <c r="G65" i="31" s="1"/>
  <c r="G64" i="31" a="1"/>
  <c r="G64" i="31" s="1"/>
  <c r="G63" i="31" a="1"/>
  <c r="G63" i="31" s="1"/>
  <c r="G62" i="31" a="1"/>
  <c r="G62" i="31" s="1"/>
  <c r="G61" i="31" a="1"/>
  <c r="G61" i="31" s="1"/>
  <c r="G60" i="31" a="1"/>
  <c r="G60" i="31" s="1"/>
  <c r="G59" i="31" a="1"/>
  <c r="G59" i="31" s="1"/>
  <c r="G58" i="31" a="1"/>
  <c r="G58" i="31" s="1"/>
  <c r="G57" i="31" a="1"/>
  <c r="G57" i="31" s="1"/>
  <c r="G56" i="31" a="1"/>
  <c r="G56" i="31" s="1"/>
  <c r="G55" i="31" a="1"/>
  <c r="G55" i="31" s="1"/>
  <c r="G54" i="31" a="1"/>
  <c r="G54" i="31" s="1"/>
  <c r="G53" i="31" a="1"/>
  <c r="G53" i="31" s="1"/>
  <c r="G52" i="31" a="1"/>
  <c r="G52" i="31" s="1"/>
  <c r="G51" i="31" a="1"/>
  <c r="G51" i="31" s="1"/>
  <c r="G50" i="31" a="1"/>
  <c r="G50" i="31" s="1"/>
  <c r="G49" i="31" a="1"/>
  <c r="G49" i="31" s="1"/>
  <c r="G39" i="31" a="1"/>
  <c r="G39" i="31" s="1"/>
  <c r="G38" i="31" a="1"/>
  <c r="G38" i="31" s="1"/>
  <c r="G37" i="31" a="1"/>
  <c r="G37" i="31" s="1"/>
  <c r="G36" i="31" a="1"/>
  <c r="G36" i="31" s="1"/>
  <c r="G35" i="31" a="1"/>
  <c r="G35" i="31" s="1"/>
  <c r="G34" i="31" a="1"/>
  <c r="G34" i="31" s="1"/>
  <c r="G33" i="31" a="1"/>
  <c r="G33" i="31" s="1"/>
  <c r="G32" i="31" a="1"/>
  <c r="G32" i="31" s="1"/>
  <c r="G31" i="31" a="1"/>
  <c r="G31" i="31" s="1"/>
  <c r="G30" i="31" a="1"/>
  <c r="G30" i="31" s="1"/>
  <c r="G29" i="31" a="1"/>
  <c r="G29" i="31" s="1"/>
  <c r="G28" i="31" a="1"/>
  <c r="G28" i="31" s="1"/>
  <c r="G27" i="31" a="1"/>
  <c r="G27" i="31" s="1"/>
  <c r="G26" i="31" a="1"/>
  <c r="G26" i="31" s="1"/>
  <c r="G25" i="31" a="1"/>
  <c r="G25" i="31" s="1"/>
  <c r="G24" i="31" a="1"/>
  <c r="G24" i="31" s="1"/>
  <c r="G23" i="31" a="1"/>
  <c r="G23" i="31" s="1"/>
  <c r="G22" i="31" a="1"/>
  <c r="G22" i="31" s="1"/>
  <c r="G21" i="31" a="1"/>
  <c r="G21" i="31" s="1"/>
  <c r="G20" i="31" a="1"/>
  <c r="G20" i="31" s="1"/>
  <c r="G19" i="31" a="1"/>
  <c r="G19" i="31" s="1"/>
  <c r="G18" i="31" a="1"/>
  <c r="G18" i="31" s="1"/>
  <c r="G17" i="31" a="1"/>
  <c r="G17" i="31" s="1"/>
  <c r="G16" i="31" a="1"/>
  <c r="G16" i="31" s="1"/>
  <c r="G15" i="31" a="1"/>
  <c r="G15" i="31" s="1"/>
  <c r="G14" i="31" a="1"/>
  <c r="G14" i="31" s="1"/>
  <c r="G13" i="31" a="1"/>
  <c r="G13" i="31" s="1"/>
  <c r="G12" i="31" a="1"/>
  <c r="G12" i="31" s="1"/>
  <c r="G11" i="31" a="1"/>
  <c r="G11" i="31" s="1"/>
  <c r="F82" i="31" a="1"/>
  <c r="F82" i="31" s="1"/>
  <c r="F81" i="31" a="1"/>
  <c r="F81" i="31" s="1"/>
  <c r="F80" i="31" a="1"/>
  <c r="F80" i="31" s="1"/>
  <c r="F79" i="31" a="1"/>
  <c r="F79" i="31" s="1"/>
  <c r="F78" i="31" a="1"/>
  <c r="F78" i="31" s="1"/>
  <c r="F77" i="31" a="1"/>
  <c r="F77" i="31" s="1"/>
  <c r="F76" i="31" a="1"/>
  <c r="F76" i="31" s="1"/>
  <c r="F75" i="31" a="1"/>
  <c r="F75" i="31" s="1"/>
  <c r="F74" i="31" a="1"/>
  <c r="F74" i="31" s="1"/>
  <c r="F73" i="31" a="1"/>
  <c r="F73" i="31" s="1"/>
  <c r="F72" i="31" a="1"/>
  <c r="F72" i="31" s="1"/>
  <c r="F71" i="31" a="1"/>
  <c r="F71" i="31" s="1"/>
  <c r="F70" i="31" a="1"/>
  <c r="F70" i="31" s="1"/>
  <c r="F69" i="31" a="1"/>
  <c r="F69" i="31" s="1"/>
  <c r="F68" i="31" a="1"/>
  <c r="F68" i="31" s="1"/>
  <c r="F67" i="31" a="1"/>
  <c r="F67" i="31" s="1"/>
  <c r="F66" i="31" a="1"/>
  <c r="F66" i="31" s="1"/>
  <c r="F65" i="31" a="1"/>
  <c r="F65" i="31" s="1"/>
  <c r="F64" i="31" a="1"/>
  <c r="F64" i="31" s="1"/>
  <c r="F63" i="31" a="1"/>
  <c r="F63" i="31" s="1"/>
  <c r="F62" i="31" a="1"/>
  <c r="F62" i="31" s="1"/>
  <c r="F61" i="31" a="1"/>
  <c r="F61" i="31" s="1"/>
  <c r="F60" i="31" a="1"/>
  <c r="F60" i="31" s="1"/>
  <c r="F59" i="31" a="1"/>
  <c r="F59" i="31" s="1"/>
  <c r="F58" i="31" a="1"/>
  <c r="F58" i="31" s="1"/>
  <c r="F57" i="31" a="1"/>
  <c r="F57" i="31" s="1"/>
  <c r="F56" i="31" a="1"/>
  <c r="F56" i="31" s="1"/>
  <c r="F55" i="31" a="1"/>
  <c r="F55" i="31" s="1"/>
  <c r="F54" i="31" a="1"/>
  <c r="F54" i="31" s="1"/>
  <c r="F53" i="31" a="1"/>
  <c r="F53" i="31" s="1"/>
  <c r="F52" i="31" a="1"/>
  <c r="F52" i="31" s="1"/>
  <c r="F51" i="31" a="1"/>
  <c r="F51" i="31" s="1"/>
  <c r="F50" i="31" a="1"/>
  <c r="F50" i="31" s="1"/>
  <c r="F49" i="31" a="1"/>
  <c r="F49" i="31" s="1"/>
  <c r="F39" i="31" a="1"/>
  <c r="F39" i="31" s="1"/>
  <c r="F38" i="31" a="1"/>
  <c r="F38" i="31" s="1"/>
  <c r="F37" i="31" a="1"/>
  <c r="F37" i="31" s="1"/>
  <c r="F36" i="31" a="1"/>
  <c r="F36" i="31" s="1"/>
  <c r="F35" i="31" a="1"/>
  <c r="F35" i="31" s="1"/>
  <c r="F34" i="31" a="1"/>
  <c r="F34" i="31" s="1"/>
  <c r="F33" i="31" a="1"/>
  <c r="F33" i="31" s="1"/>
  <c r="F32" i="31" a="1"/>
  <c r="F32" i="31" s="1"/>
  <c r="F31" i="31" a="1"/>
  <c r="F31" i="31" s="1"/>
  <c r="F30" i="31" a="1"/>
  <c r="F30" i="31" s="1"/>
  <c r="F29" i="31" a="1"/>
  <c r="F29" i="31" s="1"/>
  <c r="F28" i="31" a="1"/>
  <c r="F28" i="31" s="1"/>
  <c r="F27" i="31" a="1"/>
  <c r="F27" i="31" s="1"/>
  <c r="F26" i="31" a="1"/>
  <c r="F26" i="31" s="1"/>
  <c r="F25" i="31" a="1"/>
  <c r="F25" i="31" s="1"/>
  <c r="F24" i="31" a="1"/>
  <c r="F24" i="31" s="1"/>
  <c r="F23" i="31" a="1"/>
  <c r="F23" i="31" s="1"/>
  <c r="F22" i="31" a="1"/>
  <c r="F22" i="31" s="1"/>
  <c r="F21" i="31" a="1"/>
  <c r="F21" i="31" s="1"/>
  <c r="F20" i="31" a="1"/>
  <c r="F20" i="31" s="1"/>
  <c r="F19" i="31" a="1"/>
  <c r="F19" i="31" s="1"/>
  <c r="F18" i="31" a="1"/>
  <c r="F18" i="31" s="1"/>
  <c r="F17" i="31" a="1"/>
  <c r="F17" i="31" s="1"/>
  <c r="F16" i="31" a="1"/>
  <c r="F16" i="31" s="1"/>
  <c r="F15" i="31" a="1"/>
  <c r="F15" i="31" s="1"/>
  <c r="F14" i="31" a="1"/>
  <c r="F14" i="31" s="1"/>
  <c r="F13" i="31" a="1"/>
  <c r="F13" i="31" s="1"/>
  <c r="F12" i="31" a="1"/>
  <c r="F12" i="31" s="1"/>
  <c r="F11" i="31" a="1"/>
  <c r="F11" i="31" s="1"/>
  <c r="E87" i="31" a="1"/>
  <c r="E87" i="31" s="1"/>
  <c r="E86" i="31" a="1"/>
  <c r="E86" i="31" s="1"/>
  <c r="E85" i="31" a="1"/>
  <c r="E85" i="31" s="1"/>
  <c r="E84" i="31" a="1"/>
  <c r="E84" i="31" s="1"/>
  <c r="E83" i="31" a="1"/>
  <c r="E83" i="31" s="1"/>
  <c r="E82" i="31" a="1"/>
  <c r="E82" i="31" s="1"/>
  <c r="E81" i="31" a="1"/>
  <c r="E81" i="31" s="1"/>
  <c r="E80" i="31" a="1"/>
  <c r="E80" i="31" s="1"/>
  <c r="E79" i="31" a="1"/>
  <c r="E79" i="31" s="1"/>
  <c r="E78" i="31" a="1"/>
  <c r="E78" i="31" s="1"/>
  <c r="E77" i="31" a="1"/>
  <c r="E77" i="31" s="1"/>
  <c r="E76" i="31" a="1"/>
  <c r="E76" i="31" s="1"/>
  <c r="E75" i="31" a="1"/>
  <c r="E75" i="31" s="1"/>
  <c r="E74" i="31" a="1"/>
  <c r="E74" i="31" s="1"/>
  <c r="E73" i="31" a="1"/>
  <c r="E73" i="31" s="1"/>
  <c r="E72" i="31" a="1"/>
  <c r="E72" i="31" s="1"/>
  <c r="E71" i="31" a="1"/>
  <c r="E71" i="31" s="1"/>
  <c r="E70" i="31" a="1"/>
  <c r="E70" i="31" s="1"/>
  <c r="E69" i="31" a="1"/>
  <c r="E69" i="31" s="1"/>
  <c r="E68" i="31" a="1"/>
  <c r="E68" i="31" s="1"/>
  <c r="E67" i="31" a="1"/>
  <c r="E67" i="31" s="1"/>
  <c r="E66" i="31" a="1"/>
  <c r="E66" i="31" s="1"/>
  <c r="E65" i="31" a="1"/>
  <c r="E65" i="31" s="1"/>
  <c r="E64" i="31" a="1"/>
  <c r="E64" i="31" s="1"/>
  <c r="E63" i="31" a="1"/>
  <c r="E63" i="31" s="1"/>
  <c r="E62" i="31" a="1"/>
  <c r="E62" i="31" s="1"/>
  <c r="E61" i="31" a="1"/>
  <c r="E61" i="31" s="1"/>
  <c r="E60" i="31" a="1"/>
  <c r="E60" i="31" s="1"/>
  <c r="E59" i="31" a="1"/>
  <c r="E59" i="31" s="1"/>
  <c r="E58" i="31" a="1"/>
  <c r="E58" i="31" s="1"/>
  <c r="E57" i="31" a="1"/>
  <c r="E57" i="31" s="1"/>
  <c r="E56" i="31" a="1"/>
  <c r="E56" i="31" s="1"/>
  <c r="E55" i="31" a="1"/>
  <c r="E55" i="31" s="1"/>
  <c r="E54" i="31" a="1"/>
  <c r="E54" i="31" s="1"/>
  <c r="E53" i="31" a="1"/>
  <c r="E53" i="31" s="1"/>
  <c r="E52" i="31" a="1"/>
  <c r="E52" i="31" s="1"/>
  <c r="E51" i="31" a="1"/>
  <c r="E51" i="31" s="1"/>
  <c r="E50" i="31" a="1"/>
  <c r="E50" i="31" s="1"/>
  <c r="E49" i="31" a="1"/>
  <c r="E49" i="31" s="1"/>
  <c r="E39" i="31" a="1"/>
  <c r="E39" i="31" s="1"/>
  <c r="E38" i="31" a="1"/>
  <c r="E38" i="31" s="1"/>
  <c r="E37" i="31" a="1"/>
  <c r="E37" i="31" s="1"/>
  <c r="E36" i="31" a="1"/>
  <c r="E36" i="31" s="1"/>
  <c r="E35" i="31" a="1"/>
  <c r="E35" i="31" s="1"/>
  <c r="E34" i="31" a="1"/>
  <c r="E34" i="31" s="1"/>
  <c r="E33" i="31" a="1"/>
  <c r="E33" i="31" s="1"/>
  <c r="E32" i="31" a="1"/>
  <c r="E32" i="31" s="1"/>
  <c r="E31" i="31" a="1"/>
  <c r="E31" i="31" s="1"/>
  <c r="E30" i="31" a="1"/>
  <c r="E30" i="31" s="1"/>
  <c r="E29" i="31" a="1"/>
  <c r="E29" i="31" s="1"/>
  <c r="E28" i="31" a="1"/>
  <c r="E28" i="31" s="1"/>
  <c r="E27" i="31" a="1"/>
  <c r="E27" i="31" s="1"/>
  <c r="E26" i="31" a="1"/>
  <c r="E26" i="31" s="1"/>
  <c r="E25" i="31" a="1"/>
  <c r="E25" i="31" s="1"/>
  <c r="E24" i="31" a="1"/>
  <c r="E24" i="31" s="1"/>
  <c r="E23" i="31" a="1"/>
  <c r="E23" i="31" s="1"/>
  <c r="E22" i="31" a="1"/>
  <c r="E22" i="31" s="1"/>
  <c r="E21" i="31" a="1"/>
  <c r="E21" i="31" s="1"/>
  <c r="E20" i="31" a="1"/>
  <c r="E20" i="31" s="1"/>
  <c r="E19" i="31" a="1"/>
  <c r="E19" i="31" s="1"/>
  <c r="E18" i="31" a="1"/>
  <c r="E18" i="31" s="1"/>
  <c r="E17" i="31" a="1"/>
  <c r="E17" i="31" s="1"/>
  <c r="E16" i="31" a="1"/>
  <c r="E16" i="31" s="1"/>
  <c r="E15" i="31" a="1"/>
  <c r="E15" i="31" s="1"/>
  <c r="E14" i="31" a="1"/>
  <c r="E14" i="31" s="1"/>
  <c r="E13" i="31" a="1"/>
  <c r="E13" i="31" s="1"/>
  <c r="E12" i="31" a="1"/>
  <c r="E12" i="31" s="1"/>
  <c r="E11" i="31" a="1"/>
  <c r="E11" i="31" s="1"/>
  <c r="D87" i="31" a="1"/>
  <c r="D87" i="31" s="1"/>
  <c r="D86" i="31" a="1"/>
  <c r="D86" i="31" s="1"/>
  <c r="D85" i="31" a="1"/>
  <c r="D85" i="31" s="1"/>
  <c r="D84" i="31" a="1"/>
  <c r="D84" i="31" s="1"/>
  <c r="D83" i="31" a="1"/>
  <c r="D83" i="31" s="1"/>
  <c r="D82" i="31" a="1"/>
  <c r="D82" i="31" s="1"/>
  <c r="D81" i="31" a="1"/>
  <c r="D81" i="31" s="1"/>
  <c r="D80" i="31" a="1"/>
  <c r="D80" i="31" s="1"/>
  <c r="D79" i="31" a="1"/>
  <c r="D79" i="31" s="1"/>
  <c r="D78" i="31" a="1"/>
  <c r="D78" i="31" s="1"/>
  <c r="D77" i="31" a="1"/>
  <c r="D77" i="31" s="1"/>
  <c r="D76" i="31" a="1"/>
  <c r="D76" i="31" s="1"/>
  <c r="D75" i="31" a="1"/>
  <c r="D75" i="31" s="1"/>
  <c r="D74" i="31" a="1"/>
  <c r="D74" i="31" s="1"/>
  <c r="D73" i="31" a="1"/>
  <c r="D73" i="31" s="1"/>
  <c r="D72" i="31" a="1"/>
  <c r="D72" i="31" s="1"/>
  <c r="D71" i="31" a="1"/>
  <c r="D71" i="31" s="1"/>
  <c r="D70" i="31" a="1"/>
  <c r="D70" i="31" s="1"/>
  <c r="D69" i="31" a="1"/>
  <c r="D69" i="31" s="1"/>
  <c r="D68" i="31" a="1"/>
  <c r="D68" i="31" s="1"/>
  <c r="D67" i="31" a="1"/>
  <c r="D67" i="31" s="1"/>
  <c r="D66" i="31" a="1"/>
  <c r="D66" i="31" s="1"/>
  <c r="D65" i="31" a="1"/>
  <c r="D65" i="31" s="1"/>
  <c r="D64" i="31" a="1"/>
  <c r="D64" i="31" s="1"/>
  <c r="D63" i="31" a="1"/>
  <c r="D63" i="31" s="1"/>
  <c r="D62" i="31" a="1"/>
  <c r="D62" i="31" s="1"/>
  <c r="D61" i="31" a="1"/>
  <c r="D61" i="31" s="1"/>
  <c r="D60" i="31" a="1"/>
  <c r="D60" i="31" s="1"/>
  <c r="D59" i="31" a="1"/>
  <c r="D59" i="31" s="1"/>
  <c r="D58" i="31" a="1"/>
  <c r="D58" i="31" s="1"/>
  <c r="D57" i="31" a="1"/>
  <c r="D57" i="31" s="1"/>
  <c r="D56" i="31" a="1"/>
  <c r="D56" i="31" s="1"/>
  <c r="D55" i="31" a="1"/>
  <c r="D55" i="31" s="1"/>
  <c r="D54" i="31" a="1"/>
  <c r="D54" i="31" s="1"/>
  <c r="D53" i="31" a="1"/>
  <c r="D53" i="31" s="1"/>
  <c r="D52" i="31" a="1"/>
  <c r="D52" i="31" s="1"/>
  <c r="D51" i="31" a="1"/>
  <c r="D51" i="31" s="1"/>
  <c r="D50" i="31" a="1"/>
  <c r="D50" i="31" s="1"/>
  <c r="D49" i="31" a="1"/>
  <c r="D49" i="31" s="1"/>
  <c r="D39" i="31" a="1"/>
  <c r="D39" i="31" s="1"/>
  <c r="D38" i="31" a="1"/>
  <c r="D38" i="31" s="1"/>
  <c r="D37" i="31" a="1"/>
  <c r="D37" i="31" s="1"/>
  <c r="D36" i="31" a="1"/>
  <c r="D36" i="31" s="1"/>
  <c r="D35" i="31" a="1"/>
  <c r="D35" i="31" s="1"/>
  <c r="D34" i="31" a="1"/>
  <c r="D34" i="31" s="1"/>
  <c r="D33" i="31" a="1"/>
  <c r="D33" i="31" s="1"/>
  <c r="D32" i="31" a="1"/>
  <c r="D32" i="31" s="1"/>
  <c r="D31" i="31" a="1"/>
  <c r="D31" i="31" s="1"/>
  <c r="D30" i="31" a="1"/>
  <c r="D30" i="31" s="1"/>
  <c r="D29" i="31" a="1"/>
  <c r="D29" i="31" s="1"/>
  <c r="D28" i="31" a="1"/>
  <c r="D28" i="31" s="1"/>
  <c r="D27" i="31" a="1"/>
  <c r="D27" i="31" s="1"/>
  <c r="D26" i="31" a="1"/>
  <c r="D26" i="31" s="1"/>
  <c r="D25" i="31" a="1"/>
  <c r="D25" i="31" s="1"/>
  <c r="D24" i="31" a="1"/>
  <c r="D24" i="31" s="1"/>
  <c r="D23" i="31" a="1"/>
  <c r="D23" i="31" s="1"/>
  <c r="D22" i="31" a="1"/>
  <c r="D22" i="31" s="1"/>
  <c r="D21" i="31" a="1"/>
  <c r="D21" i="31" s="1"/>
  <c r="D20" i="31" a="1"/>
  <c r="D20" i="31" s="1"/>
  <c r="D19" i="31" a="1"/>
  <c r="D19" i="31" s="1"/>
  <c r="D18" i="31" a="1"/>
  <c r="D18" i="31" s="1"/>
  <c r="D17" i="31" a="1"/>
  <c r="D17" i="31" s="1"/>
  <c r="D16" i="31" a="1"/>
  <c r="D16" i="31" s="1"/>
  <c r="D15" i="31" a="1"/>
  <c r="D15" i="31" s="1"/>
  <c r="D14" i="31" a="1"/>
  <c r="D14" i="31" s="1"/>
  <c r="D13" i="31" a="1"/>
  <c r="D13" i="31" s="1"/>
  <c r="D12" i="31" a="1"/>
  <c r="D12" i="31" s="1"/>
  <c r="D11" i="31" a="1"/>
  <c r="D11" i="31" s="1"/>
  <c r="K51" i="15" l="1"/>
  <c r="K25" i="15"/>
  <c r="L51" i="15"/>
  <c r="M51" i="15" s="1"/>
  <c r="M45" i="15" l="1"/>
  <c r="M47" i="15"/>
  <c r="M46" i="15"/>
  <c r="M48" i="15"/>
  <c r="M50" i="15"/>
  <c r="M49" i="15"/>
  <c r="V50" i="28" a="1"/>
  <c r="V50" i="28" s="1"/>
  <c r="V49" i="28" a="1"/>
  <c r="V49" i="28" s="1"/>
  <c r="V48" i="28" a="1"/>
  <c r="V48" i="28" s="1"/>
  <c r="V47" i="28" a="1"/>
  <c r="V47" i="28" s="1"/>
  <c r="V46" i="28" a="1"/>
  <c r="V46" i="28" s="1"/>
  <c r="V45" i="28" a="1"/>
  <c r="V45" i="28" s="1"/>
  <c r="V44" i="28" a="1"/>
  <c r="V44" i="28" s="1"/>
  <c r="V43" i="28" a="1"/>
  <c r="V43" i="28" s="1"/>
  <c r="V42" i="28" a="1"/>
  <c r="V42" i="28" s="1"/>
  <c r="V41" i="28" a="1"/>
  <c r="V41" i="28" s="1"/>
  <c r="V40" i="28" a="1"/>
  <c r="V40" i="28" s="1"/>
  <c r="V39" i="28" a="1"/>
  <c r="V39" i="28" s="1"/>
  <c r="V38" i="28" a="1"/>
  <c r="V38" i="28" s="1"/>
  <c r="V37" i="28" a="1"/>
  <c r="V37" i="28" s="1"/>
  <c r="V36" i="28" a="1"/>
  <c r="V36" i="28" s="1"/>
  <c r="V35" i="28" a="1"/>
  <c r="V35" i="28" s="1"/>
  <c r="V34" i="28" a="1"/>
  <c r="V34" i="28" s="1"/>
  <c r="V33" i="28" a="1"/>
  <c r="V33" i="28" s="1"/>
  <c r="V32" i="28" a="1"/>
  <c r="V32" i="28" s="1"/>
  <c r="V31" i="28" a="1"/>
  <c r="V31" i="28" s="1"/>
  <c r="V30" i="28" a="1"/>
  <c r="V30" i="28" s="1"/>
  <c r="V29" i="28" a="1"/>
  <c r="V29" i="28" s="1"/>
  <c r="V28" i="28" a="1"/>
  <c r="V28" i="28" s="1"/>
  <c r="V27" i="28" a="1"/>
  <c r="V27" i="28" s="1"/>
  <c r="V26" i="28" a="1"/>
  <c r="V26" i="28" s="1"/>
  <c r="V25" i="28" a="1"/>
  <c r="V25" i="28" s="1"/>
  <c r="V24" i="28" a="1"/>
  <c r="V24" i="28" s="1"/>
  <c r="V23" i="28" a="1"/>
  <c r="V23" i="28" s="1"/>
  <c r="V22" i="28" a="1"/>
  <c r="V22" i="28" s="1"/>
  <c r="V21" i="28" a="1"/>
  <c r="V21" i="28" s="1"/>
  <c r="V20" i="28" a="1"/>
  <c r="V20" i="28" s="1"/>
  <c r="V19" i="28" a="1"/>
  <c r="V19" i="28" s="1"/>
  <c r="V18" i="28" a="1"/>
  <c r="V18" i="28" s="1"/>
  <c r="V17" i="28" a="1"/>
  <c r="V17" i="28" s="1"/>
  <c r="V16" i="28" a="1"/>
  <c r="V16" i="28" s="1"/>
  <c r="V15" i="28" a="1"/>
  <c r="V15" i="28" s="1"/>
  <c r="V14" i="28" a="1"/>
  <c r="V14" i="28" s="1"/>
  <c r="V13" i="28" a="1"/>
  <c r="V13" i="28" s="1"/>
  <c r="V12" i="28" a="1"/>
  <c r="V12" i="28" s="1"/>
  <c r="V11" i="28" a="1"/>
  <c r="V11" i="28" s="1"/>
  <c r="V10" i="28" a="1"/>
  <c r="V10" i="28" s="1"/>
  <c r="V9" i="28" a="1"/>
  <c r="V9" i="28" s="1"/>
  <c r="V8" i="28" a="1"/>
  <c r="V8" i="28" s="1"/>
  <c r="V7" i="28" a="1"/>
  <c r="V7" i="28" s="1"/>
  <c r="V6" i="28" a="1"/>
  <c r="V6" i="28" s="1"/>
  <c r="U50" i="28" a="1"/>
  <c r="U50" i="28" s="1"/>
  <c r="U49" i="28" a="1"/>
  <c r="U49" i="28" s="1"/>
  <c r="U48" i="28" a="1"/>
  <c r="U48" i="28" s="1"/>
  <c r="U47" i="28" a="1"/>
  <c r="U47" i="28" s="1"/>
  <c r="U46" i="28" a="1"/>
  <c r="U46" i="28" s="1"/>
  <c r="U45" i="28" a="1"/>
  <c r="U45" i="28" s="1"/>
  <c r="U44" i="28" a="1"/>
  <c r="U44" i="28" s="1"/>
  <c r="U43" i="28" a="1"/>
  <c r="U43" i="28" s="1"/>
  <c r="U42" i="28" a="1"/>
  <c r="U42" i="28" s="1"/>
  <c r="U41" i="28" a="1"/>
  <c r="U41" i="28" s="1"/>
  <c r="U40" i="28" a="1"/>
  <c r="U40" i="28" s="1"/>
  <c r="U39" i="28" a="1"/>
  <c r="U39" i="28" s="1"/>
  <c r="U38" i="28" a="1"/>
  <c r="U38" i="28" s="1"/>
  <c r="U37" i="28" a="1"/>
  <c r="U37" i="28" s="1"/>
  <c r="U36" i="28" a="1"/>
  <c r="U36" i="28" s="1"/>
  <c r="U35" i="28" a="1"/>
  <c r="U35" i="28" s="1"/>
  <c r="U34" i="28" a="1"/>
  <c r="U34" i="28" s="1"/>
  <c r="U33" i="28" a="1"/>
  <c r="U33" i="28" s="1"/>
  <c r="U32" i="28" a="1"/>
  <c r="U32" i="28" s="1"/>
  <c r="U31" i="28" a="1"/>
  <c r="U31" i="28" s="1"/>
  <c r="U30" i="28" a="1"/>
  <c r="U30" i="28" s="1"/>
  <c r="U29" i="28" a="1"/>
  <c r="U29" i="28" s="1"/>
  <c r="U28" i="28" a="1"/>
  <c r="U28" i="28" s="1"/>
  <c r="U27" i="28" a="1"/>
  <c r="U27" i="28" s="1"/>
  <c r="U26" i="28" a="1"/>
  <c r="U26" i="28" s="1"/>
  <c r="U25" i="28" a="1"/>
  <c r="U25" i="28" s="1"/>
  <c r="U24" i="28" a="1"/>
  <c r="U24" i="28" s="1"/>
  <c r="U23" i="28" a="1"/>
  <c r="U23" i="28" s="1"/>
  <c r="U22" i="28" a="1"/>
  <c r="U22" i="28" s="1"/>
  <c r="U21" i="28" a="1"/>
  <c r="U21" i="28" s="1"/>
  <c r="U20" i="28" a="1"/>
  <c r="U20" i="28" s="1"/>
  <c r="U19" i="28" a="1"/>
  <c r="U19" i="28" s="1"/>
  <c r="U18" i="28" a="1"/>
  <c r="U18" i="28" s="1"/>
  <c r="U17" i="28" a="1"/>
  <c r="U17" i="28" s="1"/>
  <c r="U16" i="28" a="1"/>
  <c r="U16" i="28" s="1"/>
  <c r="U15" i="28" a="1"/>
  <c r="U15" i="28" s="1"/>
  <c r="U14" i="28" a="1"/>
  <c r="U14" i="28" s="1"/>
  <c r="U13" i="28" a="1"/>
  <c r="U13" i="28" s="1"/>
  <c r="U12" i="28" a="1"/>
  <c r="U12" i="28" s="1"/>
  <c r="U11" i="28" a="1"/>
  <c r="U11" i="28" s="1"/>
  <c r="U10" i="28" a="1"/>
  <c r="U10" i="28" s="1"/>
  <c r="U9" i="28" a="1"/>
  <c r="U9" i="28" s="1"/>
  <c r="U8" i="28" a="1"/>
  <c r="U8" i="28" s="1"/>
  <c r="U7" i="28" a="1"/>
  <c r="U7" i="28" s="1"/>
  <c r="U6" i="28" a="1"/>
  <c r="U6" i="28" s="1"/>
  <c r="T6" i="28" a="1"/>
  <c r="T6" i="28" s="1"/>
  <c r="T50" i="28" a="1"/>
  <c r="T50" i="28" s="1"/>
  <c r="T49" i="28" a="1"/>
  <c r="T49" i="28" s="1"/>
  <c r="T48" i="28" a="1"/>
  <c r="T48" i="28" s="1"/>
  <c r="T47" i="28" a="1"/>
  <c r="T47" i="28" s="1"/>
  <c r="T46" i="28" a="1"/>
  <c r="T46" i="28" s="1"/>
  <c r="T45" i="28" a="1"/>
  <c r="T45" i="28" s="1"/>
  <c r="T44" i="28" a="1"/>
  <c r="T44" i="28" s="1"/>
  <c r="T43" i="28" a="1"/>
  <c r="T43" i="28" s="1"/>
  <c r="T42" i="28" a="1"/>
  <c r="T42" i="28" s="1"/>
  <c r="T41" i="28" a="1"/>
  <c r="T41" i="28" s="1"/>
  <c r="T40" i="28" a="1"/>
  <c r="T40" i="28" s="1"/>
  <c r="T39" i="28" a="1"/>
  <c r="T39" i="28" s="1"/>
  <c r="T38" i="28" a="1"/>
  <c r="T38" i="28" s="1"/>
  <c r="T37" i="28" a="1"/>
  <c r="T37" i="28" s="1"/>
  <c r="T36" i="28" a="1"/>
  <c r="T36" i="28" s="1"/>
  <c r="T35" i="28" a="1"/>
  <c r="T35" i="28" s="1"/>
  <c r="T34" i="28" a="1"/>
  <c r="T34" i="28" s="1"/>
  <c r="T33" i="28" a="1"/>
  <c r="T33" i="28" s="1"/>
  <c r="T32" i="28" a="1"/>
  <c r="T32" i="28" s="1"/>
  <c r="T31" i="28" a="1"/>
  <c r="T31" i="28" s="1"/>
  <c r="T30" i="28" a="1"/>
  <c r="T30" i="28" s="1"/>
  <c r="T29" i="28" a="1"/>
  <c r="T29" i="28" s="1"/>
  <c r="T28" i="28" a="1"/>
  <c r="T28" i="28" s="1"/>
  <c r="T27" i="28" a="1"/>
  <c r="T27" i="28" s="1"/>
  <c r="T26" i="28" a="1"/>
  <c r="T26" i="28" s="1"/>
  <c r="T25" i="28" a="1"/>
  <c r="T25" i="28" s="1"/>
  <c r="T24" i="28" a="1"/>
  <c r="T24" i="28" s="1"/>
  <c r="T23" i="28" a="1"/>
  <c r="T23" i="28" s="1"/>
  <c r="T22" i="28" a="1"/>
  <c r="T22" i="28" s="1"/>
  <c r="T21" i="28" a="1"/>
  <c r="T21" i="28" s="1"/>
  <c r="T20" i="28" a="1"/>
  <c r="T20" i="28" s="1"/>
  <c r="T19" i="28" a="1"/>
  <c r="T19" i="28" s="1"/>
  <c r="T18" i="28" a="1"/>
  <c r="T18" i="28" s="1"/>
  <c r="T17" i="28" a="1"/>
  <c r="T17" i="28" s="1"/>
  <c r="T16" i="28" a="1"/>
  <c r="T16" i="28" s="1"/>
  <c r="T15" i="28" a="1"/>
  <c r="T15" i="28" s="1"/>
  <c r="T14" i="28" a="1"/>
  <c r="T14" i="28" s="1"/>
  <c r="T13" i="28" a="1"/>
  <c r="T13" i="28" s="1"/>
  <c r="T12" i="28" a="1"/>
  <c r="T12" i="28" s="1"/>
  <c r="T11" i="28" a="1"/>
  <c r="T11" i="28" s="1"/>
  <c r="T10" i="28" a="1"/>
  <c r="T10" i="28" s="1"/>
  <c r="T9" i="28" a="1"/>
  <c r="T9" i="28" s="1"/>
  <c r="T8" i="28" a="1"/>
  <c r="T8" i="28" s="1"/>
  <c r="T7" i="28" a="1"/>
  <c r="T7" i="28" s="1"/>
  <c r="I28" i="28" a="1"/>
  <c r="I28" i="28" s="1"/>
  <c r="I27" i="28" a="1"/>
  <c r="I27" i="28" s="1"/>
  <c r="I26" i="28" a="1"/>
  <c r="I26" i="28" s="1"/>
  <c r="I25" i="28" a="1"/>
  <c r="I25" i="28" s="1"/>
  <c r="I24" i="28" a="1"/>
  <c r="I24" i="28" s="1"/>
  <c r="I23" i="28" a="1"/>
  <c r="I23" i="28" s="1"/>
  <c r="I22" i="28" a="1"/>
  <c r="I22" i="28" s="1"/>
  <c r="I21" i="28" a="1"/>
  <c r="I21" i="28" s="1"/>
  <c r="I20" i="28" a="1"/>
  <c r="I20" i="28" s="1"/>
  <c r="I19" i="28" a="1"/>
  <c r="I19" i="28" s="1"/>
  <c r="I18" i="28" a="1"/>
  <c r="I18" i="28" s="1"/>
  <c r="I17" i="28" a="1"/>
  <c r="I17" i="28" s="1"/>
  <c r="I16" i="28" a="1"/>
  <c r="I16" i="28" s="1"/>
  <c r="I15" i="28" a="1"/>
  <c r="I15" i="28" s="1"/>
  <c r="I14" i="28" a="1"/>
  <c r="I14" i="28" s="1"/>
  <c r="I13" i="28" a="1"/>
  <c r="I13" i="28" s="1"/>
  <c r="I12" i="28" a="1"/>
  <c r="I12" i="28" s="1"/>
  <c r="I11" i="28" a="1"/>
  <c r="I11" i="28" s="1"/>
  <c r="I10" i="28" a="1"/>
  <c r="I10" i="28" s="1"/>
  <c r="I9" i="28" a="1"/>
  <c r="I9" i="28" s="1"/>
  <c r="I8" i="28" a="1"/>
  <c r="I8" i="28" s="1"/>
  <c r="I7" i="28" a="1"/>
  <c r="I7" i="28" s="1"/>
  <c r="I6" i="28" a="1"/>
  <c r="I6" i="28" s="1"/>
  <c r="S3" i="28"/>
  <c r="N3" i="28"/>
  <c r="H3" i="28"/>
  <c r="C3" i="28"/>
  <c r="L34" i="20" l="1"/>
  <c r="L33" i="20"/>
  <c r="L32" i="20"/>
  <c r="L31" i="20"/>
  <c r="L30" i="20"/>
  <c r="L29" i="20"/>
  <c r="L28" i="20"/>
  <c r="L27" i="20"/>
  <c r="L26" i="20"/>
  <c r="L25" i="20"/>
  <c r="L24" i="20"/>
  <c r="L23" i="20"/>
  <c r="L22" i="20"/>
  <c r="L21" i="20"/>
  <c r="L20" i="20"/>
  <c r="L19" i="20"/>
  <c r="L18" i="20"/>
  <c r="L17" i="20"/>
  <c r="L16" i="20"/>
  <c r="L15" i="20"/>
  <c r="L14" i="20"/>
  <c r="L13" i="20"/>
  <c r="L12" i="20"/>
  <c r="L11" i="20"/>
  <c r="L10" i="20"/>
  <c r="J9" i="20"/>
  <c r="J14" i="20" s="1"/>
  <c r="N17" i="24"/>
  <c r="V11" i="24"/>
  <c r="U11" i="24"/>
  <c r="T11" i="24"/>
  <c r="S11" i="24"/>
  <c r="R11" i="24"/>
  <c r="Q11" i="24"/>
  <c r="P11" i="24"/>
  <c r="O11" i="24"/>
  <c r="N11" i="24"/>
  <c r="M11" i="24"/>
  <c r="L11" i="24"/>
  <c r="L9" i="20" l="1"/>
  <c r="M10" i="20"/>
  <c r="M9" i="20" s="1"/>
  <c r="K9" i="20"/>
  <c r="J33" i="20"/>
  <c r="J29" i="20"/>
  <c r="J17" i="20"/>
  <c r="J13" i="20"/>
  <c r="J25" i="20"/>
  <c r="J21" i="20"/>
  <c r="J32" i="20"/>
  <c r="J28" i="20"/>
  <c r="J24" i="20"/>
  <c r="J20" i="20"/>
  <c r="J16" i="20"/>
  <c r="J10" i="20"/>
  <c r="J31" i="20"/>
  <c r="J27" i="20"/>
  <c r="J23" i="20"/>
  <c r="J19" i="20"/>
  <c r="J15" i="20"/>
  <c r="J11" i="20"/>
  <c r="J12" i="20"/>
  <c r="J34" i="20"/>
  <c r="J30" i="20"/>
  <c r="J26" i="20"/>
  <c r="J22" i="20"/>
  <c r="J18" i="20"/>
  <c r="B105" i="24"/>
  <c r="J105" i="24" s="1"/>
  <c r="T105" i="24" s="1"/>
  <c r="B104" i="24"/>
  <c r="J104" i="24" s="1"/>
  <c r="T104" i="24" s="1"/>
  <c r="B103" i="24"/>
  <c r="J103" i="24" s="1"/>
  <c r="B102" i="24"/>
  <c r="J102" i="24" s="1"/>
  <c r="S102" i="24" s="1"/>
  <c r="B101" i="24"/>
  <c r="J101" i="24" s="1"/>
  <c r="S101" i="24" s="1"/>
  <c r="B100" i="24"/>
  <c r="J100" i="24" s="1"/>
  <c r="S100" i="24" s="1"/>
  <c r="B99" i="24"/>
  <c r="J99" i="24" s="1"/>
  <c r="S99" i="24" s="1"/>
  <c r="B98" i="24"/>
  <c r="J98" i="24" s="1"/>
  <c r="S98" i="24" s="1"/>
  <c r="B97" i="24"/>
  <c r="J97" i="24" s="1"/>
  <c r="S97" i="24" s="1"/>
  <c r="B96" i="24"/>
  <c r="J96" i="24" s="1"/>
  <c r="S96" i="24" s="1"/>
  <c r="B95" i="24"/>
  <c r="J95" i="24" s="1"/>
  <c r="S95" i="24" s="1"/>
  <c r="B94" i="24"/>
  <c r="J94" i="24" s="1"/>
  <c r="S94" i="24" s="1"/>
  <c r="B93" i="24"/>
  <c r="J93" i="24" s="1"/>
  <c r="S93" i="24" s="1"/>
  <c r="B92" i="24"/>
  <c r="J92" i="24" s="1"/>
  <c r="S92" i="24" s="1"/>
  <c r="B91" i="24"/>
  <c r="J91" i="24" s="1"/>
  <c r="S91" i="24" s="1"/>
  <c r="B90" i="24"/>
  <c r="J90" i="24" s="1"/>
  <c r="S90" i="24" s="1"/>
  <c r="B89" i="24"/>
  <c r="J89" i="24" s="1"/>
  <c r="S89" i="24" s="1"/>
  <c r="B88" i="24"/>
  <c r="J88" i="24" s="1"/>
  <c r="S88" i="24" s="1"/>
  <c r="B87" i="24"/>
  <c r="J87" i="24" s="1"/>
  <c r="S87" i="24" s="1"/>
  <c r="B86" i="24"/>
  <c r="J86" i="24" s="1"/>
  <c r="R86" i="24" s="1"/>
  <c r="B85" i="24"/>
  <c r="J85" i="24" s="1"/>
  <c r="R85" i="24" s="1"/>
  <c r="B84" i="24"/>
  <c r="J84" i="24" s="1"/>
  <c r="R84" i="24" s="1"/>
  <c r="B83" i="24"/>
  <c r="J83" i="24" s="1"/>
  <c r="R83" i="24" s="1"/>
  <c r="B82" i="24"/>
  <c r="J82" i="24" s="1"/>
  <c r="R82" i="24" s="1"/>
  <c r="B81" i="24"/>
  <c r="J81" i="24" s="1"/>
  <c r="R81" i="24" s="1"/>
  <c r="B80" i="24"/>
  <c r="J80" i="24" s="1"/>
  <c r="R80" i="24" s="1"/>
  <c r="B79" i="24"/>
  <c r="J79" i="24" s="1"/>
  <c r="R79" i="24" s="1"/>
  <c r="B78" i="24"/>
  <c r="J78" i="24" s="1"/>
  <c r="R78" i="24" s="1"/>
  <c r="B77" i="24"/>
  <c r="J77" i="24" s="1"/>
  <c r="R77" i="24" s="1"/>
  <c r="B76" i="24"/>
  <c r="J76" i="24" s="1"/>
  <c r="B75" i="24"/>
  <c r="J75" i="24" s="1"/>
  <c r="Q75" i="24" s="1"/>
  <c r="B74" i="24"/>
  <c r="J74" i="24" s="1"/>
  <c r="Q74" i="24" s="1"/>
  <c r="B73" i="24"/>
  <c r="J73" i="24" s="1"/>
  <c r="Q73" i="24" s="1"/>
  <c r="B72" i="24"/>
  <c r="J72" i="24" s="1"/>
  <c r="Q72" i="24" s="1"/>
  <c r="B71" i="24"/>
  <c r="J71" i="24" s="1"/>
  <c r="Q71" i="24" s="1"/>
  <c r="B70" i="24"/>
  <c r="J70" i="24" s="1"/>
  <c r="B69" i="24"/>
  <c r="J69" i="24" s="1"/>
  <c r="P69" i="24" s="1"/>
  <c r="B68" i="24"/>
  <c r="J68" i="24" s="1"/>
  <c r="P68" i="24" s="1"/>
  <c r="B67" i="24"/>
  <c r="J67" i="24" s="1"/>
  <c r="P67" i="24" s="1"/>
  <c r="B66" i="24"/>
  <c r="J66" i="24" s="1"/>
  <c r="P66" i="24" s="1"/>
  <c r="B65" i="24"/>
  <c r="J65" i="24" s="1"/>
  <c r="B64" i="24"/>
  <c r="J64" i="24" s="1"/>
  <c r="O64" i="24" s="1"/>
  <c r="B63" i="24"/>
  <c r="J63" i="24" s="1"/>
  <c r="O63" i="24" s="1"/>
  <c r="B62" i="24"/>
  <c r="J62" i="24" s="1"/>
  <c r="O62" i="24" s="1"/>
  <c r="B61" i="24"/>
  <c r="J61" i="24" s="1"/>
  <c r="O61" i="24" s="1"/>
  <c r="H60" i="24"/>
  <c r="B56" i="24"/>
  <c r="J56" i="24" s="1"/>
  <c r="B55" i="24"/>
  <c r="J55" i="24" s="1"/>
  <c r="N55" i="24" s="1"/>
  <c r="B54" i="24"/>
  <c r="J54" i="24" s="1"/>
  <c r="N54" i="24" s="1"/>
  <c r="B53" i="24"/>
  <c r="J53" i="24" s="1"/>
  <c r="N53" i="24" s="1"/>
  <c r="B52" i="24"/>
  <c r="J52" i="24" s="1"/>
  <c r="N52" i="24" s="1"/>
  <c r="B51" i="24"/>
  <c r="J51" i="24" s="1"/>
  <c r="N51" i="24" s="1"/>
  <c r="B50" i="24"/>
  <c r="J50" i="24" s="1"/>
  <c r="B49" i="24"/>
  <c r="J49" i="24" s="1"/>
  <c r="N49" i="24" s="1"/>
  <c r="B48" i="24"/>
  <c r="J48" i="24" s="1"/>
  <c r="B47" i="24"/>
  <c r="J47" i="24" s="1"/>
  <c r="B46" i="24"/>
  <c r="J46" i="24" s="1"/>
  <c r="B45" i="24"/>
  <c r="J45" i="24" s="1"/>
  <c r="B44" i="24"/>
  <c r="J44" i="24" s="1"/>
  <c r="B43" i="24"/>
  <c r="J43" i="24" s="1"/>
  <c r="H42" i="24"/>
  <c r="B40" i="24"/>
  <c r="J40" i="24" s="1"/>
  <c r="B39" i="24"/>
  <c r="J39" i="24" s="1"/>
  <c r="N39" i="24" s="1"/>
  <c r="B38" i="24"/>
  <c r="J38" i="24" s="1"/>
  <c r="B37" i="24"/>
  <c r="J37" i="24" s="1"/>
  <c r="N37" i="24" s="1"/>
  <c r="B36" i="24"/>
  <c r="J36" i="24" s="1"/>
  <c r="B35" i="24"/>
  <c r="J35" i="24" s="1"/>
  <c r="N35" i="24" s="1"/>
  <c r="B34" i="24"/>
  <c r="J34" i="24" s="1"/>
  <c r="B33" i="24"/>
  <c r="J33" i="24" s="1"/>
  <c r="N33" i="24" s="1"/>
  <c r="B32" i="24"/>
  <c r="J32" i="24" s="1"/>
  <c r="B31" i="24"/>
  <c r="J31" i="24" s="1"/>
  <c r="N31" i="24" s="1"/>
  <c r="B30" i="24"/>
  <c r="J30" i="24" s="1"/>
  <c r="B29" i="24"/>
  <c r="J29" i="24" s="1"/>
  <c r="N29" i="24" s="1"/>
  <c r="B28" i="24"/>
  <c r="J28" i="24" s="1"/>
  <c r="B27" i="24"/>
  <c r="J27" i="24" s="1"/>
  <c r="B26" i="24"/>
  <c r="J26" i="24" s="1"/>
  <c r="N26" i="24" s="1"/>
  <c r="B25" i="24"/>
  <c r="J25" i="24" s="1"/>
  <c r="N25" i="24" s="1"/>
  <c r="B24" i="24"/>
  <c r="J24" i="24" s="1"/>
  <c r="B23" i="24"/>
  <c r="J23" i="24" s="1"/>
  <c r="B22" i="24"/>
  <c r="J22" i="24" s="1"/>
  <c r="I22" i="24" s="1"/>
  <c r="B21" i="24"/>
  <c r="J21" i="24" s="1"/>
  <c r="M21" i="24" s="1"/>
  <c r="B20" i="24"/>
  <c r="J20" i="24" s="1"/>
  <c r="M20" i="24" s="1"/>
  <c r="B19" i="24"/>
  <c r="J19" i="24" s="1"/>
  <c r="M19" i="24" s="1"/>
  <c r="B18" i="24"/>
  <c r="J18" i="24" s="1"/>
  <c r="H17" i="24"/>
  <c r="J15" i="24"/>
  <c r="J13" i="24"/>
  <c r="J11" i="24"/>
  <c r="M9" i="24"/>
  <c r="N9" i="24" s="1"/>
  <c r="O9" i="24" s="1"/>
  <c r="P9" i="24" s="1"/>
  <c r="Q9" i="24" s="1"/>
  <c r="R9" i="24" s="1"/>
  <c r="S9" i="24" s="1"/>
  <c r="T9" i="24" s="1"/>
  <c r="U9" i="24" s="1"/>
  <c r="V9" i="24" s="1"/>
  <c r="K12" i="20" l="1"/>
  <c r="K16" i="20"/>
  <c r="K20" i="20"/>
  <c r="K24" i="20"/>
  <c r="K28" i="20"/>
  <c r="K32" i="20"/>
  <c r="K13" i="20"/>
  <c r="K17" i="20"/>
  <c r="K21" i="20"/>
  <c r="K25" i="20"/>
  <c r="K29" i="20"/>
  <c r="K33" i="20"/>
  <c r="K14" i="20"/>
  <c r="K10" i="20"/>
  <c r="K11" i="20"/>
  <c r="K15" i="20"/>
  <c r="K19" i="20"/>
  <c r="K23" i="20"/>
  <c r="K27" i="20"/>
  <c r="K31" i="20"/>
  <c r="K34" i="20"/>
  <c r="K18" i="20"/>
  <c r="K22" i="20"/>
  <c r="K26" i="20"/>
  <c r="K30" i="20"/>
  <c r="I46" i="24"/>
  <c r="N46" i="24"/>
  <c r="M18" i="24"/>
  <c r="M22" i="24" s="1"/>
  <c r="N22" i="24" s="1"/>
  <c r="I18" i="24"/>
  <c r="I38" i="24"/>
  <c r="N38" i="24"/>
  <c r="N50" i="24"/>
  <c r="I50" i="24"/>
  <c r="I47" i="24"/>
  <c r="N47" i="24"/>
  <c r="O56" i="24"/>
  <c r="I56" i="24"/>
  <c r="I36" i="24"/>
  <c r="N36" i="24"/>
  <c r="I44" i="24"/>
  <c r="N44" i="24"/>
  <c r="I48" i="24"/>
  <c r="N48" i="24"/>
  <c r="I34" i="24"/>
  <c r="N34" i="24"/>
  <c r="I43" i="24"/>
  <c r="N43" i="24"/>
  <c r="I30" i="24"/>
  <c r="N30" i="24"/>
  <c r="I45" i="24"/>
  <c r="N45" i="24"/>
  <c r="I23" i="24"/>
  <c r="N23" i="24"/>
  <c r="I24" i="24"/>
  <c r="N24" i="24"/>
  <c r="I32" i="24"/>
  <c r="N32" i="24"/>
  <c r="I40" i="24"/>
  <c r="N40" i="24"/>
  <c r="S103" i="24"/>
  <c r="T103" i="24" s="1"/>
  <c r="I27" i="24"/>
  <c r="N27" i="24"/>
  <c r="O65" i="24"/>
  <c r="P65" i="24" s="1"/>
  <c r="P70" i="24" s="1"/>
  <c r="Q70" i="24" s="1"/>
  <c r="Q76" i="24" s="1"/>
  <c r="R76" i="24" s="1"/>
  <c r="I28" i="24"/>
  <c r="N28" i="24"/>
  <c r="I29" i="24"/>
  <c r="I25" i="24"/>
  <c r="I52" i="24"/>
  <c r="I54" i="24"/>
  <c r="I39" i="24"/>
  <c r="I20" i="24"/>
  <c r="I37" i="24"/>
  <c r="I31" i="24"/>
  <c r="I21" i="24"/>
  <c r="I35" i="24"/>
  <c r="I33" i="24"/>
  <c r="J17" i="24"/>
  <c r="I26" i="24"/>
  <c r="I51" i="24"/>
  <c r="I55" i="24"/>
  <c r="J60" i="24"/>
  <c r="J58" i="24" s="1"/>
  <c r="I19" i="24"/>
  <c r="J42" i="24"/>
  <c r="I49" i="24"/>
  <c r="I53" i="24"/>
  <c r="I42" i="24" l="1"/>
  <c r="I17" i="24"/>
  <c r="O10" i="20" l="1"/>
  <c r="N10" i="20"/>
  <c r="P10" i="20" l="1"/>
  <c r="O9" i="20"/>
  <c r="A31" i="17" l="1"/>
  <c r="A30" i="17"/>
  <c r="A29" i="17"/>
  <c r="A28" i="17"/>
  <c r="A27" i="17"/>
  <c r="A26" i="17"/>
  <c r="A25" i="17"/>
  <c r="A24" i="17"/>
  <c r="A23" i="17"/>
  <c r="A22" i="17"/>
  <c r="A21" i="17"/>
  <c r="A20" i="17"/>
  <c r="A19" i="17"/>
  <c r="A18" i="17"/>
  <c r="A17" i="17"/>
  <c r="A16" i="17"/>
  <c r="A15" i="17"/>
  <c r="A14" i="17"/>
  <c r="A13" i="17"/>
  <c r="A12" i="17"/>
  <c r="A11" i="17"/>
  <c r="A10" i="17"/>
  <c r="A9" i="17"/>
  <c r="A8" i="17"/>
  <c r="J50" i="20" l="1"/>
  <c r="K49" i="20"/>
  <c r="S9" i="20"/>
  <c r="R8" i="20"/>
  <c r="S8" i="20" l="1"/>
  <c r="M49" i="20"/>
  <c r="J49" i="20"/>
  <c r="T9" i="20"/>
  <c r="N9" i="20" l="1"/>
  <c r="P9" i="20" s="1"/>
  <c r="L49" i="20"/>
  <c r="T8" i="20"/>
  <c r="U9" i="20"/>
  <c r="V9" i="20" l="1"/>
  <c r="U8" i="20"/>
  <c r="W9" i="20" l="1"/>
  <c r="V8" i="20"/>
  <c r="X9" i="20" l="1"/>
  <c r="W8" i="20"/>
  <c r="L25" i="15" l="1"/>
  <c r="Y9" i="20"/>
  <c r="X8" i="20"/>
  <c r="A7" i="17"/>
  <c r="M20" i="15" l="1"/>
  <c r="M25" i="15"/>
  <c r="M21" i="15"/>
  <c r="M19" i="15"/>
  <c r="M24" i="15"/>
  <c r="M22" i="15"/>
  <c r="M23" i="15"/>
  <c r="Z9" i="20"/>
  <c r="Y8" i="20"/>
  <c r="Z8" i="20" l="1"/>
  <c r="AA9" i="20"/>
  <c r="AA8" i="20" l="1"/>
  <c r="AB9" i="20"/>
  <c r="AB8" i="20" l="1"/>
  <c r="AC9" i="20"/>
  <c r="AD9" i="20" l="1"/>
  <c r="AC8" i="20"/>
  <c r="AE9" i="20" l="1"/>
  <c r="AD8" i="20"/>
  <c r="AF9" i="20" l="1"/>
  <c r="AE8" i="20"/>
  <c r="AG9" i="20" l="1"/>
  <c r="AF8" i="20"/>
  <c r="AH9" i="20" l="1"/>
  <c r="AG8" i="20"/>
  <c r="AH8" i="20" l="1"/>
  <c r="AI9" i="20"/>
  <c r="AI8" i="20" l="1"/>
  <c r="AJ9" i="20"/>
  <c r="AJ8" i="20" l="1"/>
  <c r="AK9" i="20"/>
  <c r="AL9" i="20" l="1"/>
  <c r="AK8" i="20"/>
  <c r="AM9" i="20" l="1"/>
  <c r="AL8" i="20"/>
  <c r="AN9" i="20" l="1"/>
  <c r="AM8" i="20"/>
  <c r="AO9" i="20" l="1"/>
  <c r="AN8" i="20"/>
  <c r="AP9" i="20" l="1"/>
  <c r="AO8" i="20"/>
  <c r="AP8" i="20" l="1"/>
  <c r="AQ9" i="20"/>
  <c r="AQ8" i="20" l="1"/>
  <c r="AR9" i="20"/>
  <c r="AR8" i="20" l="1"/>
  <c r="AS9" i="20"/>
  <c r="AT9" i="20" l="1"/>
  <c r="AS8" i="20"/>
  <c r="AU9" i="20" l="1"/>
  <c r="AT8" i="20"/>
  <c r="AV9" i="20" l="1"/>
  <c r="AU8" i="20"/>
  <c r="AW9" i="20" l="1"/>
  <c r="AV8" i="20"/>
  <c r="AX9" i="20" l="1"/>
  <c r="AW8" i="20"/>
  <c r="AX8" i="20" l="1"/>
  <c r="AY9" i="20"/>
  <c r="AY8" i="20" l="1"/>
  <c r="AZ9" i="20"/>
  <c r="AZ8" i="20" l="1"/>
  <c r="BA9" i="20"/>
  <c r="BB9" i="20" l="1"/>
  <c r="BA8" i="20"/>
  <c r="BC9" i="20" l="1"/>
  <c r="BB8" i="20"/>
  <c r="BD9" i="20" l="1"/>
  <c r="BC8" i="20"/>
  <c r="BE9" i="20" l="1"/>
  <c r="BD8" i="20"/>
  <c r="BF9" i="20" l="1"/>
  <c r="BE8" i="20"/>
  <c r="BF8" i="20" l="1"/>
  <c r="BG9" i="20"/>
  <c r="BG8" i="20" l="1"/>
  <c r="BH9" i="20"/>
  <c r="BH8" i="20" l="1"/>
  <c r="BI9" i="20"/>
  <c r="BJ9" i="20" l="1"/>
  <c r="BI8" i="20"/>
  <c r="BK9" i="20" l="1"/>
  <c r="BJ8" i="20"/>
  <c r="BL9" i="20" l="1"/>
  <c r="BK8" i="20"/>
  <c r="BM9" i="20" l="1"/>
  <c r="BL8" i="20"/>
  <c r="BN9" i="20" l="1"/>
  <c r="BM8" i="20"/>
  <c r="BN8" i="20" l="1"/>
  <c r="BO9" i="20"/>
  <c r="K198" i="20" l="1"/>
  <c r="M198" i="20" l="1"/>
  <c r="O198" i="20" l="1"/>
  <c r="BO8" i="20"/>
  <c r="BP9" i="20"/>
  <c r="BP8" i="20" s="1"/>
  <c r="BQ9" i="20" l="1"/>
  <c r="BQ8" i="20" l="1"/>
  <c r="BR9" i="20"/>
  <c r="BS9" i="20" l="1"/>
  <c r="BR8" i="20"/>
  <c r="BT9" i="20" l="1"/>
  <c r="BS8" i="20"/>
  <c r="BT8" i="20" l="1"/>
  <c r="BU9" i="20"/>
  <c r="BU8" i="20" l="1"/>
  <c r="BV9" i="20"/>
  <c r="BW9" i="20" l="1"/>
  <c r="BV8" i="20"/>
  <c r="BX9" i="20" l="1"/>
  <c r="BW8" i="20"/>
  <c r="BX8" i="20" l="1"/>
  <c r="BY9" i="20"/>
  <c r="BZ9" i="20" l="1"/>
  <c r="BY8" i="20"/>
  <c r="CA9" i="20" l="1"/>
  <c r="BZ8" i="20"/>
  <c r="CB9" i="20" l="1"/>
  <c r="CA8" i="20"/>
  <c r="CB8" i="20" l="1"/>
  <c r="N198" i="20" l="1"/>
  <c r="P198" i="2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tc={3DDF1627-CBBA-4CDD-9CC0-4FA1FD5A83B4}</author>
    <author>tc={B8606550-E3D7-4A67-9E4C-0CE6A6B82975}</author>
    <author>tc={3902B1B2-ADA3-4EA6-8768-66507680AFBD}</author>
    <author>tc={021C254B-EA5F-49C1-ABFA-7D8CBC6D7FAF}</author>
    <author>tc={088BDE53-5581-401B-970B-F528D7E139A8}</author>
  </authors>
  <commentList>
    <comment ref="F83" authorId="0" shapeId="0" xr:uid="{3DDF1627-CBBA-4CDD-9CC0-4FA1FD5A83B4}">
      <text>
        <t>[Threaded comment]
Your version of Excel allows you to read this threaded comment; however, any edits to it will get removed if the file is opened in a newer version of Excel. Learn more: https://go.microsoft.com/fwlink/?linkid=870924
Comment:
    new</t>
      </text>
    </comment>
    <comment ref="F84" authorId="1" shapeId="0" xr:uid="{B8606550-E3D7-4A67-9E4C-0CE6A6B8297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New
</t>
      </text>
    </comment>
    <comment ref="F85" authorId="2" shapeId="0" xr:uid="{3902B1B2-ADA3-4EA6-8768-66507680AFBD}">
      <text>
        <t>[Threaded comment]
Your version of Excel allows you to read this threaded comment; however, any edits to it will get removed if the file is opened in a newer version of Excel. Learn more: https://go.microsoft.com/fwlink/?linkid=870924
Comment:
    new</t>
      </text>
    </comment>
    <comment ref="F86" authorId="3" shapeId="0" xr:uid="{021C254B-EA5F-49C1-ABFA-7D8CBC6D7FAF}">
      <text>
        <t>[Threaded comment]
Your version of Excel allows you to read this threaded comment; however, any edits to it will get removed if the file is opened in a newer version of Excel. Learn more: https://go.microsoft.com/fwlink/?linkid=870924
Comment:
    new</t>
      </text>
    </comment>
    <comment ref="F87" authorId="4" shapeId="0" xr:uid="{088BDE53-5581-401B-970B-F528D7E139A8}">
      <text>
        <t>[Threaded comment]
Your version of Excel allows you to read this threaded comment; however, any edits to it will get removed if the file is opened in a newer version of Excel. Learn more: https://go.microsoft.com/fwlink/?linkid=870924
Comment:
    new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2. Status Detalhe Campos!$B$6:$G$605" type="102" refreshedVersion="6" minRefreshableVersion="5">
    <extLst>
      <ext xmlns:x15="http://schemas.microsoft.com/office/spreadsheetml/2010/11/main" uri="{DE250136-89BD-433C-8126-D09CA5730AF9}">
        <x15:connection id="Range 2" autoDelete="1">
          <x15:rangePr sourceName="_xlcn.WorksheetConnection_2.StatusDetalheCamposB6G6051"/>
        </x15:connection>
      </ext>
    </extLst>
  </connection>
  <connection id="3" xr16:uid="{00000000-0015-0000-FFFF-FFFF02000000}" name="WorksheetConnection_Sheet2!$B$2:$G$545" type="102" refreshedVersion="6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2B2G545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<sst xmlns="http://schemas.openxmlformats.org/spreadsheetml/2006/main" count="5647" uniqueCount="671">
  <si>
    <t>Âmbito</t>
  </si>
  <si>
    <t>Sub-âmbito</t>
  </si>
  <si>
    <t>Tipo de teste</t>
  </si>
  <si>
    <t>Tabela</t>
  </si>
  <si>
    <t>Campo</t>
  </si>
  <si>
    <t>Status</t>
  </si>
  <si>
    <t>Horas previstas</t>
  </si>
  <si>
    <t>Dias</t>
  </si>
  <si>
    <t>Horas efetivas</t>
  </si>
  <si>
    <t>Dias efetivos</t>
  </si>
  <si>
    <t>Status Estimado</t>
  </si>
  <si>
    <t>Status Real</t>
  </si>
  <si>
    <t>Desvios</t>
  </si>
  <si>
    <t>Observações</t>
  </si>
  <si>
    <t>1. Assessment</t>
  </si>
  <si>
    <t>N/A</t>
  </si>
  <si>
    <t>Pilar III</t>
  </si>
  <si>
    <t>GD</t>
  </si>
  <si>
    <t>Bens Imóveis - Input</t>
  </si>
  <si>
    <t>1. Universo</t>
  </si>
  <si>
    <t>n.a.</t>
  </si>
  <si>
    <t>2. Campo</t>
  </si>
  <si>
    <t>Re-testes</t>
  </si>
  <si>
    <t>Bens Imóveis - Output</t>
  </si>
  <si>
    <t>Modelo Verde - Input</t>
  </si>
  <si>
    <t>ref_date</t>
  </si>
  <si>
    <t>ordem</t>
  </si>
  <si>
    <t>Modelo Verde - Output</t>
  </si>
  <si>
    <t>lt004_protection</t>
  </si>
  <si>
    <t>lt002_instrument</t>
  </si>
  <si>
    <t>ambito</t>
  </si>
  <si>
    <t>x</t>
  </si>
  <si>
    <r>
      <t xml:space="preserve">4. </t>
    </r>
    <r>
      <rPr>
        <b/>
        <i/>
        <sz val="11"/>
        <color theme="1"/>
        <rFont val="Santander Text"/>
        <family val="2"/>
      </rPr>
      <t xml:space="preserve">Status </t>
    </r>
    <r>
      <rPr>
        <b/>
        <sz val="11"/>
        <color theme="1"/>
        <rFont val="Santander Text"/>
        <family val="2"/>
      </rPr>
      <t xml:space="preserve">Global </t>
    </r>
  </si>
  <si>
    <t>Janeiro</t>
  </si>
  <si>
    <t>Documentação</t>
  </si>
  <si>
    <t>Green Dashboard</t>
  </si>
  <si>
    <t>Resumo</t>
  </si>
  <si>
    <t>Detalhe por Tabela</t>
  </si>
  <si>
    <t>Highlights</t>
  </si>
  <si>
    <t>0. Cancelado</t>
  </si>
  <si>
    <t>1. Concluído</t>
  </si>
  <si>
    <t>Status Atual</t>
  </si>
  <si>
    <t>Status Anterior</t>
  </si>
  <si>
    <t>Data de Pedido correção/esclarecimento</t>
  </si>
  <si>
    <t>Data de correção prevista</t>
  </si>
  <si>
    <t>Data de correção efetiva</t>
  </si>
  <si>
    <t>Grand Total</t>
  </si>
  <si>
    <t>Column Labels</t>
  </si>
  <si>
    <t>Row Labels</t>
  </si>
  <si>
    <t>Notas</t>
  </si>
  <si>
    <t>Owner</t>
  </si>
  <si>
    <t>COD_SOC</t>
  </si>
  <si>
    <t>DT_RFRNC</t>
  </si>
  <si>
    <t>INSTRMNT_ID</t>
  </si>
  <si>
    <t>INSTRUMENT</t>
  </si>
  <si>
    <t>DFLT_STTS_INSTRMNT</t>
  </si>
  <si>
    <t>PRFRMNG_STTS</t>
  </si>
  <si>
    <t>LCL_INSTMRNT_ID</t>
  </si>
  <si>
    <t>SSTNBL_INDCTR</t>
  </si>
  <si>
    <t>SSTNBL_CTGRY</t>
  </si>
  <si>
    <t>NW_BSNSS</t>
  </si>
  <si>
    <t>BSNSS_AREA</t>
  </si>
  <si>
    <t>FLG_INTRBSNSS</t>
  </si>
  <si>
    <t>BSNSS_AREA_CCRR</t>
  </si>
  <si>
    <t>CNCLLD_INSTRMNT_STTS</t>
  </si>
  <si>
    <t>FLG_INSTRMNT_CNCLLD</t>
  </si>
  <si>
    <t>IDCMB</t>
  </si>
  <si>
    <t>INSTR_PROTECTION</t>
  </si>
  <si>
    <t>SUBPORTFOLIO_ID</t>
  </si>
  <si>
    <t>IMPRMNT_STTS</t>
  </si>
  <si>
    <t>TYP_INSTRMNT</t>
  </si>
  <si>
    <t>GRSS_CRRYNG_AMNT_INSTRMNT</t>
  </si>
  <si>
    <t>ACCMLTD_CHNGS_FV_CR_INSTRMNT</t>
  </si>
  <si>
    <t>ACCNTNG_CLSSFCTN</t>
  </si>
  <si>
    <t>OFF_BLNC_SHT_AMNT_INSTRMNT</t>
  </si>
  <si>
    <t>PRVSNS_OFF_BLNC_SHT</t>
  </si>
  <si>
    <t>RWA</t>
  </si>
  <si>
    <t>ACCMLTD_IMPRMNT_INSTRMNT</t>
  </si>
  <si>
    <t>COD_SOC_INTRGRP</t>
  </si>
  <si>
    <t>AVRG_BLNC</t>
  </si>
  <si>
    <t>GRSS_INTRST_INCM</t>
  </si>
  <si>
    <t>GRSS_CMMSSN_INCM</t>
  </si>
  <si>
    <t>INTRNL_TRNSFR_RT</t>
  </si>
  <si>
    <t>NT_LN_LSS_PRVSN</t>
  </si>
  <si>
    <t>MNGMNT_PRDCT</t>
  </si>
  <si>
    <t>GRSS_CMMSSN_EXPNS</t>
  </si>
  <si>
    <t>GNS_FNNCL_TRNSCTN_EXCHNG_DFFRNCS</t>
  </si>
  <si>
    <t>INTRBSNSS_ADJ_COD</t>
  </si>
  <si>
    <t>COD_SOC_DSTNTN</t>
  </si>
  <si>
    <t>BSNSS_AREA_DSTNTN</t>
  </si>
  <si>
    <t>AVRG_BLNC_OFF_BLNC</t>
  </si>
  <si>
    <t>INTRNL_TRNSFR_RT_OFF_BLNC</t>
  </si>
  <si>
    <t>GRSS_CMMSSN_INCM_OFF_BLNC</t>
  </si>
  <si>
    <t>GRSS_CMMSSN_EXPNS_OFF_BLNC</t>
  </si>
  <si>
    <t>RWA_OFF_BLNC</t>
  </si>
  <si>
    <t>GRSS_INTRST_EXPNS</t>
  </si>
  <si>
    <t>NT_LN_LSS_PRVSN_OFF_BLNC</t>
  </si>
  <si>
    <t>GRSS_INTRST_INCM_CCRR</t>
  </si>
  <si>
    <t>GRSS_INTRST_EXPNS_CCRR</t>
  </si>
  <si>
    <t>GRSS_CMMSSN_INCM_CCRR</t>
  </si>
  <si>
    <t>GRSS_CMMSSN_EXPNS_CCRR</t>
  </si>
  <si>
    <t>GNS_FNNCL_TRNSCTN_EXCHNG_CCRR</t>
  </si>
  <si>
    <t>GRSS_CMMSSN_INCM_OFF_BLNC_CCRR</t>
  </si>
  <si>
    <t>GRSS_CMMSSN_EXPNS_OFF_BLNC_CCRR</t>
  </si>
  <si>
    <t>PROTECTION</t>
  </si>
  <si>
    <t>Descrição</t>
  </si>
  <si>
    <t>Data Prevista de Re-especificação</t>
  </si>
  <si>
    <t>Data Prevista de Teste</t>
  </si>
  <si>
    <t>lt007_instr_activity</t>
  </si>
  <si>
    <t>Concluído</t>
  </si>
  <si>
    <t>CCF</t>
  </si>
  <si>
    <t>EAD</t>
  </si>
  <si>
    <t>TYP_OFF_BLNC_PRDCT</t>
  </si>
  <si>
    <t>PRTCTN_ID</t>
  </si>
  <si>
    <t>TYP_PRTCTN</t>
  </si>
  <si>
    <t>PRTCTN_VL</t>
  </si>
  <si>
    <t>PRCNTG_ACTVTY</t>
  </si>
  <si>
    <t>TYP_RLTN</t>
  </si>
  <si>
    <t>FLG_ELCTRC_VHCL</t>
  </si>
  <si>
    <t>Assessment</t>
  </si>
  <si>
    <t>Categoria</t>
  </si>
  <si>
    <t>Neyond</t>
  </si>
  <si>
    <t>Campo cancelado</t>
  </si>
  <si>
    <t>Tipo de Teste</t>
  </si>
  <si>
    <t>Validação do universo</t>
  </si>
  <si>
    <t>Validação à informação do campo</t>
  </si>
  <si>
    <t>Validação da especificação efetuada pela Deloitte</t>
  </si>
  <si>
    <t xml:space="preserve"># Campos </t>
  </si>
  <si>
    <t>Testes Regressivos Campos Concluídos</t>
  </si>
  <si>
    <t>Testes regressivos aos campos já concluídos</t>
  </si>
  <si>
    <t>Testes Regressivos Campos Novos</t>
  </si>
  <si>
    <t>Testes aos novos campos de forma a garantir a correta implementação</t>
  </si>
  <si>
    <t>CdG</t>
  </si>
  <si>
    <t>2 corresponde a 1 dia de trabalho</t>
  </si>
  <si>
    <t>Fevereiro</t>
  </si>
  <si>
    <t xml:space="preserve">Março </t>
  </si>
  <si>
    <t>ID</t>
  </si>
  <si>
    <t>Atividade</t>
  </si>
  <si>
    <t># Campos</t>
  </si>
  <si>
    <t xml:space="preserve">Duração (semana) </t>
  </si>
  <si>
    <t>Duração (horas)</t>
  </si>
  <si>
    <t xml:space="preserve">0. </t>
  </si>
  <si>
    <t>Gestão Projeto</t>
  </si>
  <si>
    <t>1.</t>
  </si>
  <si>
    <t>Set-Up</t>
  </si>
  <si>
    <t>2.</t>
  </si>
  <si>
    <t>Assessment ao Green Dashboard (Especificação Atual)</t>
  </si>
  <si>
    <t>3.</t>
  </si>
  <si>
    <t>Testes regressivos aos campos concluidos do GD (âmbito projeto anterior)</t>
  </si>
  <si>
    <t>3.1.</t>
  </si>
  <si>
    <t>3.2.</t>
  </si>
  <si>
    <t>3.3.</t>
  </si>
  <si>
    <t>3.4.</t>
  </si>
  <si>
    <t>3.5.</t>
  </si>
  <si>
    <t>3.6.</t>
  </si>
  <si>
    <t>3.7.</t>
  </si>
  <si>
    <t>3.8.</t>
  </si>
  <si>
    <t>3.9.</t>
  </si>
  <si>
    <t>3.10.</t>
  </si>
  <si>
    <t>3.11.</t>
  </si>
  <si>
    <t>3.12.</t>
  </si>
  <si>
    <t>3.13.</t>
  </si>
  <si>
    <t>3.14.</t>
  </si>
  <si>
    <t>3.15.</t>
  </si>
  <si>
    <t>3.16.</t>
  </si>
  <si>
    <t>3.17.</t>
  </si>
  <si>
    <t>3.18.</t>
  </si>
  <si>
    <t>3.19.</t>
  </si>
  <si>
    <t>3.20.</t>
  </si>
  <si>
    <t>3.21.</t>
  </si>
  <si>
    <t>3.22.</t>
  </si>
  <si>
    <t>3.23.</t>
  </si>
  <si>
    <t>4.</t>
  </si>
  <si>
    <t>Re-especificações e especificação de novos requisitos</t>
  </si>
  <si>
    <t>4.1.</t>
  </si>
  <si>
    <t>4.2.</t>
  </si>
  <si>
    <t>4.3.</t>
  </si>
  <si>
    <t>4.4.</t>
  </si>
  <si>
    <t>4.5.</t>
  </si>
  <si>
    <t>4.6.</t>
  </si>
  <si>
    <t>4.7.</t>
  </si>
  <si>
    <t>4.8.</t>
  </si>
  <si>
    <t>4.9.</t>
  </si>
  <si>
    <t>4.10</t>
  </si>
  <si>
    <t>4.11.</t>
  </si>
  <si>
    <t>4.12.</t>
  </si>
  <si>
    <t>4.13.</t>
  </si>
  <si>
    <t>4.14.</t>
  </si>
  <si>
    <t>INSTR_ACTIVITY</t>
  </si>
  <si>
    <t>5.</t>
  </si>
  <si>
    <t>Testes/Re-testes às métricas do GD</t>
  </si>
  <si>
    <t>5.1.</t>
  </si>
  <si>
    <t xml:space="preserve">Testes ao Universo </t>
  </si>
  <si>
    <t>5.2.</t>
  </si>
  <si>
    <t>Simulação/ Testes aos Campos</t>
  </si>
  <si>
    <t>5.2.1</t>
  </si>
  <si>
    <t>5.2.2.</t>
  </si>
  <si>
    <t>5.2.3.</t>
  </si>
  <si>
    <t>5.2.4.</t>
  </si>
  <si>
    <t>5.2.5.</t>
  </si>
  <si>
    <t>5.2.6.</t>
  </si>
  <si>
    <t>5.2.7.</t>
  </si>
  <si>
    <t>5.2.8.</t>
  </si>
  <si>
    <t>5.2.9.</t>
  </si>
  <si>
    <t>5.2.10.</t>
  </si>
  <si>
    <t>5.2.11.</t>
  </si>
  <si>
    <t>5.2.12.</t>
  </si>
  <si>
    <t>5.2.13.</t>
  </si>
  <si>
    <t>5.2.14.</t>
  </si>
  <si>
    <t>5.2.15.</t>
  </si>
  <si>
    <t>5.2.16.</t>
  </si>
  <si>
    <t>5.2.17.</t>
  </si>
  <si>
    <t>5.2.18.</t>
  </si>
  <si>
    <t>5.2.19.</t>
  </si>
  <si>
    <t>5.2.20.</t>
  </si>
  <si>
    <t>5.2.21.</t>
  </si>
  <si>
    <t>5.2.22.</t>
  </si>
  <si>
    <t>5.2.23.</t>
  </si>
  <si>
    <t>5.2.24.</t>
  </si>
  <si>
    <t>5.2.25.</t>
  </si>
  <si>
    <t>5.2.26.</t>
  </si>
  <si>
    <t>5.2.27.</t>
  </si>
  <si>
    <t>5.2.28.</t>
  </si>
  <si>
    <t>5.2.29.</t>
  </si>
  <si>
    <t>5.2.30.</t>
  </si>
  <si>
    <t>5.2.31.</t>
  </si>
  <si>
    <t>5.2.32.</t>
  </si>
  <si>
    <t>5.2.33.</t>
  </si>
  <si>
    <t>5.2.34.</t>
  </si>
  <si>
    <t>5.2.35.</t>
  </si>
  <si>
    <t>5.2.36.</t>
  </si>
  <si>
    <t>5.2.37.</t>
  </si>
  <si>
    <t>5.2.38.</t>
  </si>
  <si>
    <t>5.2.39.</t>
  </si>
  <si>
    <t>5.2.40.</t>
  </si>
  <si>
    <t>5.2.41.</t>
  </si>
  <si>
    <t>5.2.42.</t>
  </si>
  <si>
    <t>5.2.43.</t>
  </si>
  <si>
    <t>5.2.44.</t>
  </si>
  <si>
    <t>5.2.45.</t>
  </si>
  <si>
    <t>5.3</t>
  </si>
  <si>
    <t>6.</t>
  </si>
  <si>
    <t>Campo concluído com sucesso</t>
  </si>
  <si>
    <t>Campo em especificação/re-especificação pela equipa de testes</t>
  </si>
  <si>
    <t>Campo não inciado pela equipa de testes</t>
  </si>
  <si>
    <t>Campo a aguardar informação de outros intervenientes para a sua especificação</t>
  </si>
  <si>
    <t>Especificação para validação da área de negócio</t>
  </si>
  <si>
    <t>Testes Implementação Campos Novos</t>
  </si>
  <si>
    <t>Testes regressivos de forma a garantir que os novos campos não impactaram outros</t>
  </si>
  <si>
    <t>Outras áreas</t>
  </si>
  <si>
    <t>49 dias</t>
  </si>
  <si>
    <t>Exclusivo GD - Campos Deloitte</t>
  </si>
  <si>
    <t>Março</t>
  </si>
  <si>
    <r>
      <t>Status</t>
    </r>
    <r>
      <rPr>
        <b/>
        <sz val="11"/>
        <color theme="0"/>
        <rFont val="Santander Text"/>
        <family val="2"/>
      </rPr>
      <t xml:space="preserve"> Atual</t>
    </r>
  </si>
  <si>
    <r>
      <rPr>
        <b/>
        <i/>
        <sz val="11"/>
        <color theme="0"/>
        <rFont val="Santander Text"/>
        <family val="2"/>
      </rPr>
      <t>Status</t>
    </r>
    <r>
      <rPr>
        <b/>
        <sz val="11"/>
        <color theme="0"/>
        <rFont val="Santander Text"/>
        <family val="2"/>
      </rPr>
      <t xml:space="preserve"> Anterior</t>
    </r>
  </si>
  <si>
    <t>8. Por Iniciar</t>
  </si>
  <si>
    <t>Count of Status Atual</t>
  </si>
  <si>
    <t>Total</t>
  </si>
  <si>
    <t>%</t>
  </si>
  <si>
    <r>
      <rPr>
        <b/>
        <i/>
        <sz val="11"/>
        <color theme="1"/>
        <rFont val="Santander Text"/>
        <family val="2"/>
      </rPr>
      <t>Status</t>
    </r>
    <r>
      <rPr>
        <b/>
        <sz val="11"/>
        <color theme="1"/>
        <rFont val="Santander Text"/>
        <family val="2"/>
      </rPr>
      <t xml:space="preserve"> (campos)</t>
    </r>
  </si>
  <si>
    <r>
      <rPr>
        <b/>
        <i/>
        <sz val="11"/>
        <color theme="1"/>
        <rFont val="Calibri"/>
        <family val="2"/>
      </rPr>
      <t>Status</t>
    </r>
    <r>
      <rPr>
        <b/>
        <sz val="11"/>
        <color theme="1"/>
        <rFont val="Calibri"/>
        <family val="2"/>
      </rPr>
      <t xml:space="preserve"> para Especificações/Re-especificações</t>
    </r>
  </si>
  <si>
    <t>Especificação do campo validada com CdG</t>
  </si>
  <si>
    <t>1. Fora de âmbito</t>
  </si>
  <si>
    <t>Campo não se encontra no âmbito do projeto</t>
  </si>
  <si>
    <r>
      <rPr>
        <b/>
        <i/>
        <sz val="11"/>
        <color theme="1"/>
        <rFont val="Calibri"/>
        <family val="2"/>
      </rPr>
      <t>Status</t>
    </r>
    <r>
      <rPr>
        <b/>
        <sz val="11"/>
        <color theme="1"/>
        <rFont val="Calibri"/>
        <family val="2"/>
      </rPr>
      <t xml:space="preserve"> para </t>
    </r>
    <r>
      <rPr>
        <b/>
        <i/>
        <sz val="11"/>
        <color theme="1"/>
        <rFont val="Calibri"/>
        <family val="2"/>
      </rPr>
      <t>Assessment</t>
    </r>
    <r>
      <rPr>
        <b/>
        <sz val="11"/>
        <color theme="1"/>
        <rFont val="Calibri"/>
        <family val="2"/>
      </rPr>
      <t xml:space="preserve"> - Campos especificados anteriormente pela Deloitte</t>
    </r>
  </si>
  <si>
    <t>Campo em análise pela equipa Neyond</t>
  </si>
  <si>
    <t>2. Concluído</t>
  </si>
  <si>
    <t>3. Em Análise</t>
  </si>
  <si>
    <t>4. Validação da especificação</t>
  </si>
  <si>
    <t>lt824_assoc_kpi_gd</t>
  </si>
  <si>
    <t>tipo_conta_local</t>
  </si>
  <si>
    <t>valor_gd</t>
  </si>
  <si>
    <t>kpi</t>
  </si>
  <si>
    <r>
      <t xml:space="preserve">1. </t>
    </r>
    <r>
      <rPr>
        <b/>
        <i/>
        <u/>
        <sz val="14"/>
        <color theme="4"/>
        <rFont val="Santander Text"/>
        <family val="2"/>
      </rPr>
      <t>Assesment</t>
    </r>
  </si>
  <si>
    <t>5. Por Iniciar</t>
  </si>
  <si>
    <t>lt006_instr_protection</t>
  </si>
  <si>
    <t>Campos Assessment (especificação DTT)</t>
  </si>
  <si>
    <t>Existe na especificação da DTT?</t>
  </si>
  <si>
    <t>Testes Regressivos (campos concluídos Neyond)</t>
  </si>
  <si>
    <t>Next Step</t>
  </si>
  <si>
    <t>Validar a qualidade do campo através do teste regressivo</t>
  </si>
  <si>
    <t>Revalidar especificação --&gt; validar a qualidade do campo através do teste regressivo</t>
  </si>
  <si>
    <t>A aguardar feedback da equipa anterior da Neyond</t>
  </si>
  <si>
    <t>Especificação validada com CdG.</t>
  </si>
  <si>
    <t>Next Steps</t>
  </si>
  <si>
    <t>Fazer a especificação do campo</t>
  </si>
  <si>
    <t>Existe DTT?</t>
  </si>
  <si>
    <t>Existe Neyond anterior?</t>
  </si>
  <si>
    <t>Existe nova especificação?</t>
  </si>
  <si>
    <t>Novo nome "CNCLLD_INSTRMNT_STTS", e passou de ser um campo Y/N para uma code list</t>
  </si>
  <si>
    <t>Campo que mudou de nome</t>
  </si>
  <si>
    <t>campo que mudou de tabela</t>
  </si>
  <si>
    <t>Datas Estimadas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</si>
  <si>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</si>
  <si>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</si>
  <si>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</si>
  <si>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</si>
  <si>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</si>
  <si>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</si>
  <si>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</si>
  <si>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</si>
  <si>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</si>
  <si>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</si>
  <si>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</si>
  <si>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</si>
  <si>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Atividades</t>
  </si>
  <si>
    <t>Data Inicio</t>
  </si>
  <si>
    <t>Data Fim</t>
  </si>
  <si>
    <t>1.1</t>
  </si>
  <si>
    <t>=</t>
  </si>
  <si>
    <t>2.1</t>
  </si>
  <si>
    <t>3.1</t>
  </si>
  <si>
    <t>3.2</t>
  </si>
  <si>
    <t>4.1</t>
  </si>
  <si>
    <t>«</t>
  </si>
  <si>
    <t>4.2</t>
  </si>
  <si>
    <t>5.1</t>
  </si>
  <si>
    <t>Legenda:</t>
  </si>
  <si>
    <t>Feriados</t>
  </si>
  <si>
    <t>Em progresso</t>
  </si>
  <si>
    <t>Por iniciar</t>
  </si>
  <si>
    <t>Entregas</t>
  </si>
  <si>
    <t>MacroPlano | Testes GD</t>
  </si>
  <si>
    <t>5.2</t>
  </si>
  <si>
    <t>13/jan-17/jan</t>
  </si>
  <si>
    <t>20/jan-24/jan</t>
  </si>
  <si>
    <t>27/jan-31/jan</t>
  </si>
  <si>
    <t>10/fev-14/fev</t>
  </si>
  <si>
    <t>17/fev-21/fev</t>
  </si>
  <si>
    <t>24/fev-28/fev</t>
  </si>
  <si>
    <t>10/mar-14/mar</t>
  </si>
  <si>
    <t>17/mar-21/mar</t>
  </si>
  <si>
    <t>03/fev-07/fev</t>
  </si>
  <si>
    <t>03/mar-07/mar</t>
  </si>
  <si>
    <t>02/jan-03/jan</t>
  </si>
  <si>
    <t>06/jan-10/jan</t>
  </si>
  <si>
    <t>Passou para a lt007_instr_activity; capitalizar a info do projeto Pilar 3</t>
  </si>
  <si>
    <t>Fazer a especificação do campo, capitalizar info do Pilar 3, e necessário desagregar por linhas</t>
  </si>
  <si>
    <t>ver c/ JB e HF</t>
  </si>
  <si>
    <t>falar com mafalda do leasing</t>
  </si>
  <si>
    <t>Re-especificação / Especificação</t>
  </si>
  <si>
    <t>2. Em Especificação/Re-especificação</t>
  </si>
  <si>
    <t>3. Pendente de outros desenvolvimentos/validações</t>
  </si>
  <si>
    <t>2. Re-especificação / Especificação</t>
  </si>
  <si>
    <t>Simulação/Testes</t>
  </si>
  <si>
    <t>assessment</t>
  </si>
  <si>
    <t>teste_regressivo</t>
  </si>
  <si>
    <t>especificação</t>
  </si>
  <si>
    <t>simulação_testes</t>
  </si>
  <si>
    <t>tbm deviam estar na Especificação?</t>
  </si>
  <si>
    <t>n/a</t>
  </si>
  <si>
    <t>Total Campos</t>
  </si>
  <si>
    <t>Testes Regressivos (campos Neyond)</t>
  </si>
  <si>
    <t>Re-especificação/Especificação</t>
  </si>
  <si>
    <t>Notas FC</t>
  </si>
  <si>
    <t>Questões:</t>
  </si>
  <si>
    <t>1. Dos campos do assessment que não são comuns à Neyond, devemos sempre simular o campo e comparar com o que está implementado pois isso nunca foi feito pela equipa anterior?</t>
  </si>
  <si>
    <t>OK</t>
  </si>
  <si>
    <t>2. O INSTRMNT_ID é considerado para especificação na lt006, mas não na lt002 e lt007, porquê? Não deveria ser só considerado para a lt007 pois é a tabela nova?</t>
  </si>
  <si>
    <t>questionar JB e HC por causa da especificação, caso so haja em codigo temos de passar para word</t>
  </si>
  <si>
    <t>necessário estar na especificação pois temos de dizer que para ambito='GD' vai ter de ser preenchido com '00100'? Não, ver com Gonçalo</t>
  </si>
  <si>
    <t>não devia ser só para simulação/testes? Não, pois eles têm de especificar as linhas para o nosso ambito</t>
  </si>
  <si>
    <t>3. A DT_RFRNC não devia ser só para simulação/testes na lt006 e lt004? Não, tbm de ser especificação. --&gt; pedir ao Gonçalo e JB+HC</t>
  </si>
  <si>
    <t>Y</t>
  </si>
  <si>
    <t>tbm deviam estar na Especificação? Sim</t>
  </si>
  <si>
    <t>Para novembro já se encontra com a nova cod list, quem especificou? --&gt; questionar JB e HC se começaram este campo</t>
  </si>
  <si>
    <t>comum com Pilar 3</t>
  </si>
  <si>
    <t>comum com PM, mas somos nós a fazer a especificação; e tbm comum com pilar 3</t>
  </si>
  <si>
    <t>comum com pilar 3, mas será a JB e o HF a fazer a especificação</t>
  </si>
  <si>
    <t>usar a especificação de PM, a Mariana não consegue criar as tabelas sem as chaves, por isso, nestes casos vamos apenas colocar a especificação no excel igual ao que está no loan tape estrutural, não colocamos no word.</t>
  </si>
  <si>
    <t>2. Re-especificação/Especificação</t>
  </si>
  <si>
    <t>Exclusivo GD - Âmbito anterior e atual</t>
  </si>
  <si>
    <t>Estrutural</t>
  </si>
  <si>
    <t>Exclusivo GD - Novo Campo</t>
  </si>
  <si>
    <t>Nova Tabela - Comum Pilar 3</t>
  </si>
  <si>
    <t>Exclusivo GD - Alteração Campo</t>
  </si>
  <si>
    <t>3. Testes Regressivos (Campos Neyond)</t>
  </si>
  <si>
    <t>4. Simulação / Testes</t>
  </si>
  <si>
    <t>Novo Campo - Pilar 3</t>
  </si>
  <si>
    <r>
      <t>Sumário Executivo</t>
    </r>
    <r>
      <rPr>
        <b/>
        <sz val="14"/>
        <color theme="4"/>
        <rFont val="Santander Text"/>
        <family val="2"/>
      </rPr>
      <t xml:space="preserve"> | </t>
    </r>
    <r>
      <rPr>
        <b/>
        <sz val="12"/>
        <color theme="4"/>
        <rFont val="Santander Text"/>
        <family val="2"/>
      </rPr>
      <t>17/jan a 22/jan</t>
    </r>
  </si>
  <si>
    <t>Testes Regressivos (Campos Neyond)</t>
  </si>
  <si>
    <t>Simulação / Testes</t>
  </si>
  <si>
    <t>A aguardar resposta da Corporação relativamente à desagregação do BA.</t>
  </si>
  <si>
    <t>Preenchimento validado com a Corporação (email de 20/jan).</t>
  </si>
  <si>
    <t>implementado na CD</t>
  </si>
  <si>
    <t>passou a ser do ambito de LF, tem incidencias e não esta implementado</t>
  </si>
  <si>
    <t>de acordo com o Gonçalo isto passou para ambito do LF, vai ser alterada a especificação</t>
  </si>
  <si>
    <t>em testes, não esta fechado do lado de PM, há incidencias</t>
  </si>
  <si>
    <t>Notas DE</t>
  </si>
  <si>
    <t xml:space="preserve">Notas RM </t>
  </si>
  <si>
    <t>Notas reunião GF</t>
  </si>
  <si>
    <t>0.</t>
  </si>
  <si>
    <t>Gestão</t>
  </si>
  <si>
    <t>0.1</t>
  </si>
  <si>
    <t>Reuniões de PdS</t>
  </si>
  <si>
    <t>Neyond/CdG/IT</t>
  </si>
  <si>
    <r>
      <rPr>
        <b/>
        <sz val="11"/>
        <rFont val="Santander Text"/>
        <family val="2"/>
      </rPr>
      <t xml:space="preserve">Dos 38 campos em âmbito do </t>
    </r>
    <r>
      <rPr>
        <b/>
        <i/>
        <sz val="11"/>
        <rFont val="Santander Text"/>
        <family val="2"/>
      </rPr>
      <t>Assessment</t>
    </r>
    <r>
      <rPr>
        <b/>
        <sz val="11"/>
        <rFont val="Santander Text"/>
        <family val="2"/>
      </rPr>
      <t xml:space="preserve"> inicial, temos:
</t>
    </r>
    <r>
      <rPr>
        <sz val="11"/>
        <rFont val="Santander Text"/>
        <family val="2"/>
      </rPr>
      <t xml:space="preserve">
</t>
    </r>
    <r>
      <rPr>
        <sz val="11"/>
        <rFont val="Calibri"/>
        <family val="2"/>
      </rPr>
      <t xml:space="preserve"> • </t>
    </r>
    <r>
      <rPr>
        <u/>
        <sz val="11"/>
        <rFont val="Santander Text"/>
        <family val="2"/>
      </rPr>
      <t>3 campos cancelados</t>
    </r>
    <r>
      <rPr>
        <sz val="11"/>
        <rFont val="Santander Text"/>
        <family val="2"/>
      </rPr>
      <t xml:space="preserve">:
    - LG_INSTRMNT_CNCLLD: passou a chamar-se CNCLLD_INSTRMNT_STTS e deixou de ser um campo de sim/não e passou a ser uma </t>
    </r>
    <r>
      <rPr>
        <i/>
        <sz val="11"/>
        <rFont val="Santander Text"/>
        <family val="2"/>
      </rPr>
      <t xml:space="preserve">code list;
    -  </t>
    </r>
    <r>
      <rPr>
        <sz val="11"/>
        <rFont val="Santander Text"/>
        <family val="2"/>
      </rPr>
      <t xml:space="preserve">SSTNBL_INDCTR: campo continua a existir mas mudou de tabela (passou da lt002_instrument para a lt007_instr_activity);
    - SSTNBL_CTGRY: campo continua a existir mas mudou de tabela (passou da lt002_instrument para a lt007_instr_activity)
</t>
    </r>
    <r>
      <rPr>
        <sz val="11"/>
        <rFont val="Calibri"/>
        <family val="2"/>
      </rPr>
      <t xml:space="preserve"> 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>35 campos concluídos:</t>
    </r>
    <r>
      <rPr>
        <sz val="11"/>
        <rFont val="Santander Text"/>
        <family val="2"/>
      </rPr>
      <t xml:space="preserve"> especificação validada com CdG.</t>
    </r>
  </si>
  <si>
    <r>
      <t>- Envio da documentação (</t>
    </r>
    <r>
      <rPr>
        <i/>
        <sz val="12"/>
        <rFont val="Santander Text"/>
        <family val="2"/>
      </rPr>
      <t>word</t>
    </r>
    <r>
      <rPr>
        <sz val="12"/>
        <rFont val="Santander Text"/>
        <family val="2"/>
      </rPr>
      <t xml:space="preserve"> e </t>
    </r>
    <r>
      <rPr>
        <i/>
        <sz val="12"/>
        <rFont val="Santander Text"/>
        <family val="2"/>
      </rPr>
      <t>excel</t>
    </r>
    <r>
      <rPr>
        <sz val="12"/>
        <rFont val="Santander Text"/>
        <family val="2"/>
      </rPr>
      <t xml:space="preserve">) com a proposta de especificação </t>
    </r>
    <r>
      <rPr>
        <i/>
        <sz val="12"/>
        <rFont val="Santander Text"/>
        <family val="2"/>
      </rPr>
      <t xml:space="preserve">to-be </t>
    </r>
    <r>
      <rPr>
        <sz val="12"/>
        <rFont val="Santander Text"/>
        <family val="2"/>
      </rPr>
      <t xml:space="preserve">do 1º </t>
    </r>
    <r>
      <rPr>
        <i/>
        <sz val="12"/>
        <rFont val="Santander Text"/>
        <family val="2"/>
      </rPr>
      <t xml:space="preserve">package </t>
    </r>
    <r>
      <rPr>
        <sz val="12"/>
        <rFont val="Santander Text"/>
        <family val="2"/>
      </rPr>
      <t>de campos</t>
    </r>
    <r>
      <rPr>
        <i/>
        <sz val="12"/>
        <rFont val="Santander Text"/>
        <family val="2"/>
      </rPr>
      <t xml:space="preserve"> </t>
    </r>
    <r>
      <rPr>
        <sz val="12"/>
        <rFont val="Santander Text"/>
        <family val="2"/>
      </rPr>
      <t xml:space="preserve">(20 campos do </t>
    </r>
    <r>
      <rPr>
        <i/>
        <sz val="12"/>
        <rFont val="Santander Text"/>
        <family val="2"/>
      </rPr>
      <t>assessment</t>
    </r>
    <r>
      <rPr>
        <sz val="12"/>
        <rFont val="Santander Text"/>
        <family val="2"/>
      </rPr>
      <t xml:space="preserve"> inicial)</t>
    </r>
    <r>
      <rPr>
        <i/>
        <sz val="12"/>
        <rFont val="Santander Text"/>
        <family val="2"/>
      </rPr>
      <t xml:space="preserve"> </t>
    </r>
    <r>
      <rPr>
        <sz val="12"/>
        <rFont val="Santander Text"/>
        <family val="2"/>
      </rPr>
      <t>para implementação por parte de IT.
- Início da análise ao universo que deve ser considerado como contratos intramês.
- Especificação dos campos comuns com PM, e atualização da documentação em conformidade.</t>
    </r>
  </si>
  <si>
    <r>
      <t xml:space="preserve">Total </t>
    </r>
    <r>
      <rPr>
        <b/>
        <vertAlign val="superscript"/>
        <sz val="11"/>
        <color theme="1"/>
        <rFont val="Santander Text"/>
        <family val="2"/>
      </rPr>
      <t>1</t>
    </r>
  </si>
  <si>
    <t>Novo Campo - Comum Pilar 3</t>
  </si>
  <si>
    <t>TYP_VHCL</t>
  </si>
  <si>
    <t>Encontra-se como âmbito LF, devemos esperar pela implementação ou especificamos nós? Quando estava do lado de PM o status era "Alterar especificação".</t>
  </si>
  <si>
    <t xml:space="preserve">Encontra-se como âmbito LF, no entanto quando era do âmbito PM o status era "Analisar controlos e completude", podemos dar como concluido? </t>
  </si>
  <si>
    <t>Encontra-se como âmbito LF, devemos esperar pela implementação ou especificamos nós? Quando estava do lado de PM o status era "Em testes - Re-especificação".</t>
  </si>
  <si>
    <t>Comum com PM e o status é "Em testes - Re-especificação". Na nossa especificação devemos dizer que o campo ainda não se encontra concluído, no entanto a especificação será igual a PM?</t>
  </si>
  <si>
    <t>Exclusivo GD</t>
  </si>
  <si>
    <t>Decisão</t>
  </si>
  <si>
    <t>Encontra-se como âmbito LF, devemos esperar pela implementação ou especificamos nós? Quando estava do lado de PM o status era "Especificação".</t>
  </si>
  <si>
    <t>A especificar pela equipa GD.</t>
  </si>
  <si>
    <t>Em análise por equipa GD.</t>
  </si>
  <si>
    <t>1. Detalhe dos campos para especificação</t>
  </si>
  <si>
    <t>Comum Pilar 3</t>
  </si>
  <si>
    <t>Novo campo adicionado à listagem a 28/jan.</t>
  </si>
  <si>
    <r>
      <t xml:space="preserve">Preenchimento validado com a Corporação (email de 20/jan). Uma vez que, FLG_INTRBSNSS = 'N' então o campo INTRBSNSS_ADJ_COD deve ser preenchido com valor de </t>
    </r>
    <r>
      <rPr>
        <i/>
        <sz val="11"/>
        <color theme="1"/>
        <rFont val="Santander Text"/>
        <family val="2"/>
      </rPr>
      <t>not applicable</t>
    </r>
  </si>
  <si>
    <r>
      <t xml:space="preserve">Preenchimento validado com a Corporação (email de 20/jan). Uma vez que, FLG_INTRBSNSS = 'N' então o campo COD_SOC_DSTNTN deve ser preenchido com valor de </t>
    </r>
    <r>
      <rPr>
        <i/>
        <sz val="11"/>
        <color theme="1"/>
        <rFont val="Santander Text"/>
        <family val="2"/>
      </rPr>
      <t>not applicable</t>
    </r>
  </si>
  <si>
    <r>
      <t xml:space="preserve">Preenchimento validado com a Corporação (email de 20/jan). Uma vez que, FLG_INTRBSNSS = 'N' então o campo BSNSS_AREA_DSTNTN deve ser preenchido com valor de </t>
    </r>
    <r>
      <rPr>
        <i/>
        <sz val="11"/>
        <color theme="1"/>
        <rFont val="Santander Text"/>
        <family val="2"/>
      </rPr>
      <t>not applicable</t>
    </r>
  </si>
  <si>
    <t>Preenchimento validado com a Corporação (email de 20/jan). Uma vez que, o BS não tem operações internegócio para produtos de crédito na sua carteira então FLG_INTRBSNSS = 'N'.</t>
  </si>
  <si>
    <t>Pilar 3: data prevista de entrega 4/fev</t>
  </si>
  <si>
    <t>N</t>
  </si>
  <si>
    <t>LF</t>
  </si>
  <si>
    <t>Word</t>
  </si>
  <si>
    <t xml:space="preserve">Excel </t>
  </si>
  <si>
    <t>Preenchimento validado com a Corporação (email de 29/jan). Regras diferentes face ao que se encontra altualmente implementado.</t>
  </si>
  <si>
    <t>Validação Final</t>
  </si>
  <si>
    <t>Excel - Alterado no doc. Final de envio</t>
  </si>
  <si>
    <t>Code List</t>
  </si>
  <si>
    <t>Visão: acumulado durante o ano</t>
  </si>
  <si>
    <t>Visual:  acumulado durante o ano</t>
  </si>
  <si>
    <t>Visual: acumulado durante o ano</t>
  </si>
  <si>
    <t>Anual e não mensal</t>
  </si>
  <si>
    <t>Code List + Anual e não mensal</t>
  </si>
  <si>
    <t xml:space="preserve">- Default Value. Alterado no doc final para enviar
- Word </t>
  </si>
  <si>
    <t>Não encontro no word</t>
  </si>
  <si>
    <t>Concluido</t>
  </si>
  <si>
    <t>Alteração da Especificação GR</t>
  </si>
  <si>
    <t>Alterar de modo a ficar apenas acumulado do ano</t>
  </si>
  <si>
    <t xml:space="preserve">Alterar </t>
  </si>
  <si>
    <t>? Comum com ambito PM</t>
  </si>
  <si>
    <t>Alterar especificação</t>
  </si>
  <si>
    <t>Não alterar especificação</t>
  </si>
  <si>
    <t>Alteração no Guia Corporativo</t>
  </si>
  <si>
    <r>
      <t>Status</t>
    </r>
    <r>
      <rPr>
        <b/>
        <sz val="11"/>
        <color theme="0"/>
        <rFont val="Santander Text"/>
        <family val="2"/>
      </rPr>
      <t xml:space="preserve"> a 27/jan</t>
    </r>
  </si>
  <si>
    <t>Alteração no Guia Corporativo?</t>
  </si>
  <si>
    <t>Passou a ser na ótica YTD.</t>
  </si>
  <si>
    <t>A aguardar resposta da Corporação relativamente à desagregação do BA. Passou a ser na ótica YTD.</t>
  </si>
  <si>
    <t>Novo Campo - Exclusivo GD</t>
  </si>
  <si>
    <t>No sprint 3 da equipa de LF (5/mai a 23/jun)</t>
  </si>
  <si>
    <t>No sprint 1 da equipa de LF (termina a 10/mar)</t>
  </si>
  <si>
    <t>No sprint 2.2 da equipa de LF (final de mar até 28/abr)</t>
  </si>
  <si>
    <t>No sprint 4 da equipa de LF (17/fev a 24/mar)</t>
  </si>
  <si>
    <t>Âmbito de PM com o seguinte status "Analisar controlos e completude".
31/jan/25 - A 30/set/24 não existiam inconsistências na máquina Corporativa.</t>
  </si>
  <si>
    <t>Data provisórias LF: Sprint 3 | 5 maio até 23 junho</t>
  </si>
  <si>
    <t>Datas provisórias LF: Sprint 1 | Termina 10 março</t>
  </si>
  <si>
    <t>Datas provisórias LF: Sprint 2.2 | Final de março até 28 abril</t>
  </si>
  <si>
    <t>Datas provisórias LF: Sprint 4 | 17 fevereiro até 24 março</t>
  </si>
  <si>
    <t>Comum com PM e o status é "Em testes - Re-especificação". Na nossa especificação devemos dizer que o campo ainda não se encontra concluído, no entanto a especificação será igual a PM?
31/jan/25 - 30/set/24 não existiam inconsistências na máquina Corporativa</t>
  </si>
  <si>
    <t xml:space="preserve">Comum com PM e o status é "Em testes - Incidência". Existem garantias com valor a 0.
31/jan/25 - A 30/nov/24 já não existem garantias com valor 0. Assim, o campo encontra-se concluido. </t>
  </si>
  <si>
    <t>Email enviado a LCM + CdG no dia 05/fev para validação da especificação.</t>
  </si>
  <si>
    <t>Na reunião de dia 31/jan com a Corporação ficou definido que se vai manter a desagregação pela BA. Este campo deve manter a especificação que já se encontra implementada.</t>
  </si>
  <si>
    <t>Do lado de PM em testes</t>
  </si>
  <si>
    <t>31/jan: A 30/set/24 não existiam inconsistências na máquina Corporativa.</t>
  </si>
  <si>
    <t>31/jan: Já não existem incidência, ou seja, garantias com valor 0. Assim, o campo encontra-se concluido.</t>
  </si>
  <si>
    <t>31/jan: 30/set/24 não existiam inconsistências na máquina Corporativa</t>
  </si>
  <si>
    <t>Concluido do lado de PM</t>
  </si>
  <si>
    <r>
      <rPr>
        <vertAlign val="superscript"/>
        <sz val="9"/>
        <color theme="1"/>
        <rFont val="Santander Text"/>
        <family val="2"/>
      </rPr>
      <t>1</t>
    </r>
    <r>
      <rPr>
        <sz val="9"/>
        <color theme="1"/>
        <rFont val="Santander Text"/>
        <family val="2"/>
      </rPr>
      <t xml:space="preserve"> No âmbito do projeto, o total de campos é 68. No entanto, a tabela reflete 75 campos uma vez que estão a ser incluidos os campos referentes à lt824 (tabela de parametrização).</t>
    </r>
  </si>
  <si>
    <r>
      <rPr>
        <b/>
        <sz val="11"/>
        <rFont val="Santander Text"/>
        <family val="2"/>
      </rPr>
      <t xml:space="preserve">Dos 75 campos, temos:
</t>
    </r>
    <r>
      <rPr>
        <sz val="11"/>
        <rFont val="Santander Text"/>
        <family val="2"/>
      </rPr>
      <t xml:space="preserve">
 </t>
    </r>
    <r>
      <rPr>
        <sz val="11"/>
        <rFont val="Calibri"/>
        <family val="2"/>
      </rPr>
      <t>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>39 campos concluídos:</t>
    </r>
    <r>
      <rPr>
        <sz val="11"/>
        <rFont val="Santander Text"/>
        <family val="2"/>
      </rPr>
      <t xml:space="preserve">
    - 13 campos previamente definidos pela Deloitte, para os quais a sua especificação foi validada com a equipa de CdG, posteriormente atualizada e enviada à equipa de IT.
    - 4 campos especificados pela equipa anterior.
    - 22 campos especificados em linha com o que se encontra implementado em âmbito PM.
 </t>
    </r>
    <r>
      <rPr>
        <sz val="11"/>
        <rFont val="Calibri"/>
        <family val="2"/>
      </rPr>
      <t>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 xml:space="preserve">14 campos em especificação:
</t>
    </r>
    <r>
      <rPr>
        <sz val="11"/>
        <rFont val="Santander Text"/>
        <family val="2"/>
      </rPr>
      <t xml:space="preserve">    - Dos quais, 8 campos são comuns com o Pilar 3 e já nos encontramos em sinergias com a equipa.
    - 6 campos referentes à tabela de parametrização lt824.
 </t>
    </r>
    <r>
      <rPr>
        <sz val="11"/>
        <rFont val="Calibri"/>
        <family val="2"/>
      </rPr>
      <t>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 xml:space="preserve">12 campos em processo de validação de especificação.
</t>
    </r>
    <r>
      <rPr>
        <sz val="11"/>
        <rFont val="Santander Text"/>
        <family val="2"/>
      </rPr>
      <t xml:space="preserve">
 </t>
    </r>
    <r>
      <rPr>
        <sz val="11"/>
        <rFont val="Calibri"/>
        <family val="2"/>
      </rPr>
      <t>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>10 campos por iniciar</t>
    </r>
    <r>
      <rPr>
        <sz val="11"/>
        <rFont val="Santander Text"/>
        <family val="2"/>
      </rPr>
      <t>.</t>
    </r>
  </si>
  <si>
    <r>
      <rPr>
        <b/>
        <sz val="10"/>
        <color theme="1"/>
        <rFont val="Santander Text"/>
        <family val="2"/>
      </rPr>
      <t>Nota:</t>
    </r>
    <r>
      <rPr>
        <sz val="10"/>
        <color theme="1"/>
        <rFont val="Santander Text"/>
        <family val="2"/>
      </rPr>
      <t xml:space="preserve"> Existe um aumento no número total de campos uma vez que foi adicionado um novo campo ao âmbito GD de acordo com o novo Guia Corporativo.</t>
    </r>
  </si>
  <si>
    <t>Ver com JB</t>
  </si>
  <si>
    <t>Pilar 3: data prevista de entrega 4/fev. Colocar ultima semana de fev</t>
  </si>
  <si>
    <t>Colocar ultima semana de fev</t>
  </si>
  <si>
    <t>Package 1</t>
  </si>
  <si>
    <t>já enviado no word + excel</t>
  </si>
  <si>
    <t>necessário reenviar</t>
  </si>
  <si>
    <t>enviar pela 1ª vez</t>
  </si>
  <si>
    <t>a especificar por GD</t>
  </si>
  <si>
    <t>a especificar por GD + Pilar 3</t>
  </si>
  <si>
    <t>Package 2</t>
  </si>
  <si>
    <t>Package 4</t>
  </si>
  <si>
    <t>Package 3</t>
  </si>
  <si>
    <t>Não alterou para YTD, e vai ser sempre preenchido com o N/A.</t>
  </si>
  <si>
    <t>Data estimada</t>
  </si>
  <si>
    <t>Package 6</t>
  </si>
  <si>
    <t>Package 7</t>
  </si>
  <si>
    <t>Package 5</t>
  </si>
  <si>
    <t>1.2</t>
  </si>
  <si>
    <r>
      <t xml:space="preserve">Definição de requisitos - campos da </t>
    </r>
    <r>
      <rPr>
        <i/>
        <sz val="11"/>
        <rFont val="Santander Text"/>
        <family val="2"/>
      </rPr>
      <t>lt002_instrument</t>
    </r>
  </si>
  <si>
    <t>1.1.1</t>
  </si>
  <si>
    <t>1.1.2</t>
  </si>
  <si>
    <t>1.1.3</t>
  </si>
  <si>
    <t>1.1.4</t>
  </si>
  <si>
    <t>1.1.5</t>
  </si>
  <si>
    <t>1.1.6</t>
  </si>
  <si>
    <t>1.1.7</t>
  </si>
  <si>
    <t>1.1.8</t>
  </si>
  <si>
    <t>necessário reenviar, falta saber se é para preencher para linhas BA</t>
  </si>
  <si>
    <t>2.1.1</t>
  </si>
  <si>
    <t>2.1.2</t>
  </si>
  <si>
    <t>2.1.3</t>
  </si>
  <si>
    <t>2.1.4</t>
  </si>
  <si>
    <t>2.1.5</t>
  </si>
  <si>
    <t>2.1.6</t>
  </si>
  <si>
    <t>2.1.7</t>
  </si>
  <si>
    <t>2.1.8</t>
  </si>
  <si>
    <t>2.1.9</t>
  </si>
  <si>
    <t>2.1.10</t>
  </si>
  <si>
    <t>2.1.11</t>
  </si>
  <si>
    <t>2.1.12</t>
  </si>
  <si>
    <t>2.1.13</t>
  </si>
  <si>
    <t>2.1.14</t>
  </si>
  <si>
    <t>2.1.15</t>
  </si>
  <si>
    <t>2.1.16</t>
  </si>
  <si>
    <t>2.1.17</t>
  </si>
  <si>
    <t>2.1.18</t>
  </si>
  <si>
    <t>2.2</t>
  </si>
  <si>
    <t>3.1.1</t>
  </si>
  <si>
    <t>3.1.2</t>
  </si>
  <si>
    <t>3.1.3</t>
  </si>
  <si>
    <t>3.1.4</t>
  </si>
  <si>
    <t>3.1.5</t>
  </si>
  <si>
    <t>3.1.6</t>
  </si>
  <si>
    <t>3.1.7</t>
  </si>
  <si>
    <t>3.1.8</t>
  </si>
  <si>
    <t>3.1.9</t>
  </si>
  <si>
    <t>4.1.1</t>
  </si>
  <si>
    <t>4.1.2</t>
  </si>
  <si>
    <t>4.1.3</t>
  </si>
  <si>
    <t>4.1.4</t>
  </si>
  <si>
    <t>4.1.5</t>
  </si>
  <si>
    <t>4.1.6</t>
  </si>
  <si>
    <t>4.1.7</t>
  </si>
  <si>
    <r>
      <t xml:space="preserve">Definição de requisitos - campos da </t>
    </r>
    <r>
      <rPr>
        <i/>
        <sz val="11"/>
        <rFont val="Santander Text"/>
        <family val="2"/>
      </rPr>
      <t>lt007_instr_activity</t>
    </r>
  </si>
  <si>
    <t>5.1.1</t>
  </si>
  <si>
    <t>5.1.2</t>
  </si>
  <si>
    <t>5.1.3</t>
  </si>
  <si>
    <t>5.1.4</t>
  </si>
  <si>
    <t>5.1.5</t>
  </si>
  <si>
    <t>6.1</t>
  </si>
  <si>
    <t>6.1.1</t>
  </si>
  <si>
    <t>6.1.2</t>
  </si>
  <si>
    <t>6.1.3</t>
  </si>
  <si>
    <t>6.1.4</t>
  </si>
  <si>
    <t>6.1.5</t>
  </si>
  <si>
    <t>6.2</t>
  </si>
  <si>
    <t>7.</t>
  </si>
  <si>
    <t>7.1</t>
  </si>
  <si>
    <t>7.1.1</t>
  </si>
  <si>
    <t>7.1.2</t>
  </si>
  <si>
    <t>7.1.3</t>
  </si>
  <si>
    <t>7.1.4</t>
  </si>
  <si>
    <t>7.2</t>
  </si>
  <si>
    <t>Datas Reais</t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</si>
  <si>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1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</si>
  <si>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7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</si>
  <si>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6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</si>
  <si>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5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</si>
  <si>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4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</si>
  <si>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3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</si>
  <si>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2</t>
    </r>
  </si>
  <si>
    <t>Fase de Entrega</t>
  </si>
  <si>
    <t>Altera corporação?</t>
  </si>
  <si>
    <t>Fazer a simulação</t>
  </si>
  <si>
    <t>Analisar e ajustar metodologia de cruzamento no word + fazer a simulação</t>
  </si>
  <si>
    <t>Validar mapeamento entre BA e ckarea + atualizar a ct875 (CdG) + atualizar documento word + fazer a simulação</t>
  </si>
  <si>
    <t>A aguardar validação da Corporação dos campos a preencher + atualizar documento word + fazer a simulação</t>
  </si>
  <si>
    <t>Atualizar documento word + fazer a simulação</t>
  </si>
  <si>
    <t>Fazer especificação com JB (a aguardar feedback da equipa LEA) + atualizar documento word + fazer a simulação</t>
  </si>
  <si>
    <t>Fazer a especificação + atualizar documento word + fazer a simulação</t>
  </si>
  <si>
    <t>Analisar com a JB + Atualizar o documento word + fazer a simulação</t>
  </si>
  <si>
    <t>Necessário simular?</t>
  </si>
  <si>
    <t>Não, apenas comparar a simulação da Mariana com os dados de PM</t>
  </si>
  <si>
    <t>Não, apenas comparar a simulação da Mariana com os dados de LF</t>
  </si>
  <si>
    <t>Sim</t>
  </si>
  <si>
    <t>Sim, mas será preenchido com o valor de N/A</t>
  </si>
  <si>
    <t>Sim, pois o nosso universo é &lt;&gt; PM + Necessário criar nova chave para linhas adicionais das BA</t>
  </si>
  <si>
    <r>
      <t xml:space="preserve">Definição de requisitos - campos da </t>
    </r>
    <r>
      <rPr>
        <i/>
        <sz val="11"/>
        <rFont val="Santander Text"/>
        <family val="2"/>
      </rPr>
      <t>lt002_instrument</t>
    </r>
    <r>
      <rPr>
        <sz val="11"/>
        <rFont val="Santander Text"/>
        <family val="2"/>
      </rPr>
      <t xml:space="preserve"> (comum PM e LF)</t>
    </r>
  </si>
  <si>
    <r>
      <t xml:space="preserve">Definição de requisitos - campos da </t>
    </r>
    <r>
      <rPr>
        <i/>
        <sz val="11"/>
        <rFont val="Santander Text"/>
        <family val="2"/>
      </rPr>
      <t>lt004_instrument e lt006_instr_protection</t>
    </r>
    <r>
      <rPr>
        <sz val="11"/>
        <rFont val="Santander Text"/>
        <family val="2"/>
      </rPr>
      <t xml:space="preserve"> (comuns com PM)</t>
    </r>
  </si>
  <si>
    <t>4.1.8</t>
  </si>
  <si>
    <t>4.1.9</t>
  </si>
  <si>
    <t>4.1.10</t>
  </si>
  <si>
    <t>4.1.11</t>
  </si>
  <si>
    <t>4.1.12</t>
  </si>
  <si>
    <t>4.1.13</t>
  </si>
  <si>
    <t>4.1.14</t>
  </si>
  <si>
    <t>4.1.15</t>
  </si>
  <si>
    <t>4.1.16</t>
  </si>
  <si>
    <t>4.1.17</t>
  </si>
  <si>
    <t>4.1.18</t>
  </si>
  <si>
    <t>4.1.19</t>
  </si>
  <si>
    <r>
      <t xml:space="preserve">Definição de requisitos - campos da </t>
    </r>
    <r>
      <rPr>
        <i/>
        <sz val="11"/>
        <rFont val="Santander Text"/>
        <family val="2"/>
      </rPr>
      <t>lt002_instrument</t>
    </r>
    <r>
      <rPr>
        <sz val="11"/>
        <rFont val="Santander Text"/>
        <family val="2"/>
      </rPr>
      <t xml:space="preserve">, </t>
    </r>
    <r>
      <rPr>
        <i/>
        <sz val="11"/>
        <rFont val="Santander Text"/>
        <family val="2"/>
      </rPr>
      <t>lt004_protection</t>
    </r>
    <r>
      <rPr>
        <sz val="11"/>
        <rFont val="Santander Text"/>
        <family val="2"/>
      </rPr>
      <t xml:space="preserve"> e </t>
    </r>
    <r>
      <rPr>
        <i/>
        <sz val="11"/>
        <rFont val="Santander Text"/>
        <family val="2"/>
      </rPr>
      <t>lt006_instr_protection</t>
    </r>
  </si>
  <si>
    <r>
      <rPr>
        <b/>
        <i/>
        <sz val="10"/>
        <color theme="0"/>
        <rFont val="Santandr text"/>
      </rPr>
      <t>Status</t>
    </r>
    <r>
      <rPr>
        <b/>
        <sz val="10"/>
        <color theme="0"/>
        <rFont val="Santandr text"/>
      </rPr>
      <t xml:space="preserve"> a 06/fev</t>
    </r>
  </si>
  <si>
    <t>Atualizar documento word</t>
  </si>
  <si>
    <t>TBD</t>
  </si>
  <si>
    <t>Caso LF implemente isto até 10/mar podemos voltar a retificar do nosso lado e voltar a colocar como "igual a metodologia PM"</t>
  </si>
  <si>
    <t>1.2.1</t>
  </si>
  <si>
    <t>1.2.2</t>
  </si>
  <si>
    <t>1.2.3</t>
  </si>
  <si>
    <t>1.2.4</t>
  </si>
  <si>
    <t>1.2.5</t>
  </si>
  <si>
    <t>1.2.6</t>
  </si>
  <si>
    <t>1.2.7</t>
  </si>
  <si>
    <t>1.2.8</t>
  </si>
  <si>
    <r>
      <t xml:space="preserve">Simulação dos campos do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1</t>
    </r>
  </si>
  <si>
    <r>
      <t xml:space="preserve">Simulação dos campos do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2</t>
    </r>
  </si>
  <si>
    <t>2.2.1</t>
  </si>
  <si>
    <t>2.2.2</t>
  </si>
  <si>
    <t>2.2.3</t>
  </si>
  <si>
    <t>2.2.4</t>
  </si>
  <si>
    <t>2.2.5</t>
  </si>
  <si>
    <t>2.2.6</t>
  </si>
  <si>
    <t>2.2.7</t>
  </si>
  <si>
    <t>2.2.8</t>
  </si>
  <si>
    <t>2.2.9</t>
  </si>
  <si>
    <t>2.2.10</t>
  </si>
  <si>
    <t>2.2.11</t>
  </si>
  <si>
    <t>2.2.12</t>
  </si>
  <si>
    <t>2.2.13</t>
  </si>
  <si>
    <t>2.2.14</t>
  </si>
  <si>
    <t>2.2.15</t>
  </si>
  <si>
    <t>2.2.16</t>
  </si>
  <si>
    <t>2.2.17</t>
  </si>
  <si>
    <t>2.2.18</t>
  </si>
  <si>
    <r>
      <t xml:space="preserve">Simulação dos campos do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3</t>
    </r>
  </si>
  <si>
    <t>3.2.1</t>
  </si>
  <si>
    <t>3.2.2</t>
  </si>
  <si>
    <t>3.2.3</t>
  </si>
  <si>
    <t>3.2.4</t>
  </si>
  <si>
    <t>3.2.5</t>
  </si>
  <si>
    <t>3.2.6</t>
  </si>
  <si>
    <t>3.2.7</t>
  </si>
  <si>
    <t>3.2.8</t>
  </si>
  <si>
    <t>3.2.9</t>
  </si>
  <si>
    <r>
      <t xml:space="preserve">Simulação dos campos do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4</t>
    </r>
  </si>
  <si>
    <t>4.2.1</t>
  </si>
  <si>
    <t>4.2.2</t>
  </si>
  <si>
    <t>4.2.3</t>
  </si>
  <si>
    <t>4.2.4</t>
  </si>
  <si>
    <t>4.2.5</t>
  </si>
  <si>
    <t>4.2.6</t>
  </si>
  <si>
    <t>4.2.7</t>
  </si>
  <si>
    <t>4.2.8</t>
  </si>
  <si>
    <t>4.2.9</t>
  </si>
  <si>
    <t>4.2.10</t>
  </si>
  <si>
    <t>4.2.11</t>
  </si>
  <si>
    <t>4.2.12</t>
  </si>
  <si>
    <t>4.2.13</t>
  </si>
  <si>
    <t>4.2.14</t>
  </si>
  <si>
    <t>4.2.15</t>
  </si>
  <si>
    <t>4.2.16</t>
  </si>
  <si>
    <t>4.2.17</t>
  </si>
  <si>
    <t>4.2.18</t>
  </si>
  <si>
    <t>4.2.19</t>
  </si>
  <si>
    <r>
      <t xml:space="preserve">Simulação dos campos do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5</t>
    </r>
  </si>
  <si>
    <t>5.2.2</t>
  </si>
  <si>
    <t>5.2.3</t>
  </si>
  <si>
    <t>5.2.4</t>
  </si>
  <si>
    <t>5.2.5</t>
  </si>
  <si>
    <r>
      <t xml:space="preserve">Simulação dos campos do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6</t>
    </r>
  </si>
  <si>
    <t>6.2.1</t>
  </si>
  <si>
    <t>6.2.2</t>
  </si>
  <si>
    <t>6.2.3</t>
  </si>
  <si>
    <t>6.2.4</t>
  </si>
  <si>
    <t>6.2.5</t>
  </si>
  <si>
    <r>
      <t xml:space="preserve">Simulação dos campos do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7</t>
    </r>
  </si>
  <si>
    <t>7.2.1</t>
  </si>
  <si>
    <t>7.2.2</t>
  </si>
  <si>
    <t>7.2.3</t>
  </si>
  <si>
    <t>7.2.4</t>
  </si>
  <si>
    <t>Devido ao campo cnclld ainda está por definir como vamos proceder para os casos em que o contrato está cancelado mas temos de preencher estes campos</t>
  </si>
  <si>
    <t>N/A &amp; TBD</t>
  </si>
  <si>
    <t>7.1.5</t>
  </si>
  <si>
    <t>7.2.5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</si>
</sst>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"/>
    <numFmt numFmtId="165" formatCode="ddd"/>
    <numFmt numFmtId="166" formatCode="0.0"/>
    <numFmt numFmtId="167" formatCode="0.0%"/>
    <numFmt numFmtId="168" formatCode="[$-816]dd/mmm;@"/>
  </numFmts>
  <fonts count="80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Santander Text"/>
      <family val="2"/>
    </font>
    <font>
      <sz val="11"/>
      <name val="Santander Text"/>
      <family val="2"/>
    </font>
    <font>
      <sz val="12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color theme="0"/>
      <name val="Santander Text"/>
      <family val="2"/>
    </font>
    <font>
      <b/>
      <i/>
      <sz val="11"/>
      <color theme="0"/>
      <name val="Santander Text"/>
      <family val="2"/>
    </font>
    <font>
      <b/>
      <sz val="11"/>
      <color theme="1"/>
      <name val="Santander Text"/>
      <family val="2"/>
    </font>
    <font>
      <b/>
      <sz val="11"/>
      <name val="Santander Text"/>
      <family val="2"/>
    </font>
    <font>
      <b/>
      <sz val="10"/>
      <color theme="1"/>
      <name val="Santander Text"/>
      <family val="2"/>
    </font>
    <font>
      <sz val="10"/>
      <color theme="1"/>
      <name val="Santander Text"/>
      <family val="2"/>
    </font>
    <font>
      <sz val="9"/>
      <color theme="1"/>
      <name val="Santander Text"/>
      <family val="2"/>
    </font>
    <font>
      <b/>
      <u/>
      <sz val="14"/>
      <color theme="4"/>
      <name val="Santander Text"/>
      <family val="2"/>
    </font>
    <font>
      <b/>
      <u/>
      <sz val="11"/>
      <color theme="1"/>
      <name val="Santander Text"/>
      <family val="2"/>
    </font>
    <font>
      <sz val="11"/>
      <color theme="0" tint="-4.9989318521683403E-2"/>
      <name val="Santander Text"/>
      <family val="2"/>
    </font>
    <font>
      <b/>
      <i/>
      <u/>
      <sz val="11"/>
      <color theme="1"/>
      <name val="Santander Text"/>
      <family val="2"/>
    </font>
    <font>
      <b/>
      <sz val="10"/>
      <color theme="0"/>
      <name val="Santander Text"/>
      <family val="2"/>
    </font>
    <font>
      <sz val="10"/>
      <name val="Santander Text"/>
      <family val="2"/>
    </font>
    <font>
      <b/>
      <sz val="16"/>
      <color theme="1"/>
      <name val="Santander Text"/>
      <family val="2"/>
    </font>
    <font>
      <b/>
      <sz val="14"/>
      <color theme="4"/>
      <name val="Santander Text"/>
      <family val="2"/>
    </font>
    <font>
      <b/>
      <i/>
      <sz val="11"/>
      <color theme="1"/>
      <name val="Santander Text"/>
      <family val="2"/>
    </font>
    <font>
      <sz val="11"/>
      <color theme="1"/>
      <name val="Calibri"/>
      <family val="2"/>
    </font>
    <font>
      <sz val="10"/>
      <color theme="1"/>
      <name val="Santander Text"/>
      <family val="2"/>
    </font>
    <font>
      <b/>
      <sz val="11"/>
      <color theme="0"/>
      <name val="Santander Text"/>
      <family val="2"/>
    </font>
    <font>
      <b/>
      <sz val="10"/>
      <name val="Santander Text"/>
      <family val="2"/>
    </font>
    <font>
      <sz val="11"/>
      <name val="Arial"/>
      <family val="2"/>
      <scheme val="minor"/>
    </font>
    <font>
      <b/>
      <sz val="11"/>
      <color theme="1"/>
      <name val="Calibri"/>
      <family val="2"/>
    </font>
    <font>
      <b/>
      <sz val="12"/>
      <color theme="0"/>
      <name val="Santander Text"/>
      <family val="2"/>
    </font>
    <font>
      <b/>
      <i/>
      <sz val="12"/>
      <color theme="0"/>
      <name val="Santander Text"/>
      <family val="2"/>
    </font>
    <font>
      <b/>
      <sz val="8"/>
      <color theme="0" tint="-0.499984740745262"/>
      <name val="Calibri"/>
      <family val="2"/>
    </font>
    <font>
      <b/>
      <sz val="10"/>
      <color theme="3"/>
      <name val="Arial"/>
      <family val="2"/>
      <scheme val="major"/>
    </font>
    <font>
      <b/>
      <sz val="10"/>
      <color theme="1"/>
      <name val="Arial"/>
      <family val="2"/>
      <scheme val="major"/>
    </font>
    <font>
      <sz val="10"/>
      <color theme="1"/>
      <name val="Arial"/>
      <family val="2"/>
      <scheme val="major"/>
    </font>
    <font>
      <b/>
      <sz val="10"/>
      <color theme="3"/>
      <name val="Santander Text"/>
      <family val="2"/>
    </font>
    <font>
      <sz val="11"/>
      <color rgb="FFFF9191"/>
      <name val="Santander Text"/>
      <family val="2"/>
    </font>
    <font>
      <b/>
      <sz val="10"/>
      <color theme="0"/>
      <name val="Arial"/>
      <family val="2"/>
      <scheme val="major"/>
    </font>
    <font>
      <sz val="11"/>
      <color rgb="FFFF9191"/>
      <name val="Arial"/>
      <family val="2"/>
      <scheme val="minor"/>
    </font>
    <font>
      <sz val="10"/>
      <color theme="0" tint="-0.14999847407452621"/>
      <name val="Arial"/>
      <family val="2"/>
      <scheme val="major"/>
    </font>
    <font>
      <b/>
      <sz val="11"/>
      <color theme="3"/>
      <name val="Santander Text"/>
      <family val="2"/>
    </font>
    <font>
      <sz val="11"/>
      <color rgb="FFFFC8C8"/>
      <name val="Arial"/>
      <family val="2"/>
      <scheme val="minor"/>
    </font>
    <font>
      <b/>
      <sz val="11"/>
      <color theme="0"/>
      <name val="Calibri"/>
      <family val="2"/>
    </font>
    <font>
      <b/>
      <i/>
      <sz val="11"/>
      <color theme="0"/>
      <name val="Calibri"/>
      <family val="2"/>
    </font>
    <font>
      <b/>
      <i/>
      <sz val="11"/>
      <color theme="1"/>
      <name val="Calibri"/>
      <family val="2"/>
    </font>
    <font>
      <sz val="11"/>
      <name val="Calibri"/>
      <family val="2"/>
    </font>
    <font>
      <i/>
      <sz val="11"/>
      <name val="Santander Text"/>
      <family val="2"/>
    </font>
    <font>
      <u/>
      <sz val="11"/>
      <name val="Santander Text"/>
      <family val="2"/>
    </font>
    <font>
      <b/>
      <i/>
      <sz val="11"/>
      <name val="Santander Text"/>
      <family val="2"/>
    </font>
    <font>
      <b/>
      <sz val="12"/>
      <color theme="4"/>
      <name val="Santander Text"/>
      <family val="2"/>
    </font>
    <font>
      <b/>
      <i/>
      <u/>
      <sz val="14"/>
      <color theme="4"/>
      <name val="Santander Text"/>
      <family val="2"/>
    </font>
    <font>
      <b/>
      <sz val="12"/>
      <color rgb="FF92D050"/>
      <name val="Webdings"/>
      <family val="1"/>
      <charset val="2"/>
    </font>
    <font>
      <b/>
      <sz val="12"/>
      <color rgb="FFFFC000"/>
      <name val="Webdings"/>
      <family val="1"/>
      <charset val="2"/>
    </font>
    <font>
      <b/>
      <sz val="12"/>
      <color rgb="FFFF0000"/>
      <name val="Webdings"/>
      <family val="1"/>
      <charset val="2"/>
    </font>
    <font>
      <sz val="11"/>
      <color theme="1"/>
      <name val="Calibri"/>
      <family val="2"/>
    </font>
    <font>
      <b/>
      <sz val="10"/>
      <color theme="0"/>
      <name val="Santander Text"/>
      <family val="2"/>
    </font>
    <font>
      <sz val="10"/>
      <color theme="1"/>
      <name val="Santander Text"/>
      <family val="2"/>
    </font>
    <font>
      <sz val="11"/>
      <color rgb="FFFF0000"/>
      <name val="Calibri"/>
      <family val="2"/>
    </font>
    <font>
      <sz val="11"/>
      <color rgb="FF0070C0"/>
      <name val="Calibri"/>
      <family val="2"/>
    </font>
    <font>
      <sz val="11"/>
      <color theme="0" tint="-0.14999847407452621"/>
      <name val="Santander Text"/>
      <family val="2"/>
    </font>
    <font>
      <b/>
      <sz val="11"/>
      <color rgb="FF92D050"/>
      <name val="Webdings"/>
      <family val="1"/>
      <charset val="2"/>
    </font>
    <font>
      <sz val="11"/>
      <color theme="8" tint="-0.499984740745262"/>
      <name val="Webdings"/>
      <family val="1"/>
      <charset val="2"/>
    </font>
    <font>
      <sz val="11"/>
      <name val="Webdings"/>
      <family val="1"/>
      <charset val="2"/>
    </font>
    <font>
      <b/>
      <sz val="11"/>
      <color rgb="FFFFC000"/>
      <name val="Webdings"/>
      <family val="1"/>
      <charset val="2"/>
    </font>
    <font>
      <sz val="11"/>
      <color rgb="FF002060"/>
      <name val="Santander Text"/>
      <family val="2"/>
    </font>
    <font>
      <sz val="11"/>
      <color theme="8" tint="-0.499984740745262"/>
      <name val="Santander Text"/>
      <family val="2"/>
    </font>
    <font>
      <sz val="11"/>
      <color theme="1"/>
      <name val="Webdings"/>
      <family val="1"/>
      <charset val="2"/>
    </font>
    <font>
      <b/>
      <sz val="11"/>
      <color theme="8" tint="-0.249977111117893"/>
      <name val="Wingdings"/>
      <charset val="2"/>
    </font>
    <font>
      <b/>
      <sz val="11"/>
      <color rgb="FFFF0000"/>
      <name val="Webdings"/>
      <family val="1"/>
      <charset val="2"/>
    </font>
    <font>
      <sz val="12"/>
      <name val="Santander Text"/>
      <family val="2"/>
    </font>
    <font>
      <i/>
      <sz val="12"/>
      <name val="Santander Text"/>
      <family val="2"/>
    </font>
    <font>
      <b/>
      <vertAlign val="superscript"/>
      <sz val="11"/>
      <color theme="1"/>
      <name val="Santander Text"/>
      <family val="2"/>
    </font>
    <font>
      <vertAlign val="superscript"/>
      <sz val="9"/>
      <color theme="1"/>
      <name val="Santander Text"/>
      <family val="2"/>
    </font>
    <font>
      <i/>
      <sz val="11"/>
      <color theme="1"/>
      <name val="Santander Text"/>
      <family val="2"/>
    </font>
    <font>
      <sz val="10"/>
      <color theme="1"/>
      <name val="Arial"/>
      <family val="2"/>
      <scheme val="minor"/>
    </font>
    <font>
      <sz val="10"/>
      <name val="Arial"/>
      <family val="2"/>
      <scheme val="minor"/>
    </font>
    <font>
      <sz val="10"/>
      <color theme="1"/>
      <name val="Santandr text"/>
    </font>
    <font>
      <sz val="11"/>
      <color theme="1"/>
      <name val="Wingdings"/>
      <charset val="2"/>
    </font>
    <font>
      <b/>
      <sz val="10"/>
      <color theme="0"/>
      <name val="Santandr text"/>
    </font>
    <font>
      <b/>
      <i/>
      <sz val="10"/>
      <color theme="0"/>
      <name val="Santandr text"/>
    </font>
    <font>
      <b/>
      <sz val="10"/>
      <color theme="1"/>
      <name val="Santandr text"/>
    </font>
  </fonts>
  <fills count="3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darkDown">
        <fgColor theme="5"/>
        <bgColor theme="0" tint="-0.3499862666707357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9191"/>
        <bgColor indexed="64"/>
      </patternFill>
    </fill>
    <fill>
      <patternFill patternType="solid">
        <fgColor rgb="FFFFC8C8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-9.9978637043366805E-2"/>
        <bgColor indexed="64"/>
      </patternFill>
    </fill>
  </fills>
  <borders count="5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34998626667073579"/>
      </left>
      <right/>
      <top/>
      <bottom style="thin">
        <color theme="0" tint="-0.249977111117893"/>
      </bottom>
      <diagonal/>
    </border>
    <border>
      <left/>
      <right style="thin">
        <color theme="0" tint="-0.34998626667073579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hair">
        <color theme="0"/>
      </left>
      <right/>
      <top/>
      <bottom/>
      <diagonal/>
    </border>
    <border>
      <left/>
      <right style="hair">
        <color theme="0"/>
      </right>
      <top/>
      <bottom/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/>
      <right/>
      <top/>
      <bottom style="hair">
        <color theme="0" tint="-0.249977111117893"/>
      </bottom>
      <diagonal/>
    </border>
    <border>
      <left/>
      <right/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/>
      <bottom/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/>
      <diagonal/>
    </border>
    <border>
      <left/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/>
      <bottom style="hair">
        <color theme="0" tint="-0.249977111117893"/>
      </bottom>
      <diagonal/>
    </border>
    <border>
      <left style="hair">
        <color theme="0" tint="-0.249977111117893"/>
      </left>
      <right/>
      <top style="hair">
        <color theme="0" tint="-0.249977111117893"/>
      </top>
      <bottom style="hair">
        <color theme="0" tint="-0.249977111117893"/>
      </bottom>
      <diagonal/>
    </border>
    <border>
      <left/>
      <right style="hair">
        <color theme="0" tint="-0.249977111117893"/>
      </right>
      <top/>
      <bottom style="hair">
        <color theme="0" tint="-0.24997711111789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/>
      <right/>
      <top style="medium">
        <color theme="0"/>
      </top>
      <bottom style="hair">
        <color theme="0" tint="-0.249977111117893"/>
      </bottom>
      <diagonal/>
    </border>
    <border>
      <left style="hair">
        <color theme="0" tint="-0.499984740745262"/>
      </left>
      <right style="hair">
        <color theme="0" tint="-0.249977111117893"/>
      </right>
      <top style="medium">
        <color theme="0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499984740745262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499984740745262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hair">
        <color theme="0" tint="-0.499984740745262"/>
      </left>
      <right style="hair">
        <color theme="0" tint="-0.249977111117893"/>
      </right>
      <top/>
      <bottom style="hair">
        <color theme="0" tint="-0.249977111117893"/>
      </bottom>
      <diagonal/>
    </border>
    <border>
      <left style="hair">
        <color theme="0" tint="-0.249977111117893"/>
      </left>
      <right/>
      <top style="hair">
        <color theme="0" tint="-0.249977111117893"/>
      </top>
      <bottom/>
      <diagonal/>
    </border>
    <border>
      <left style="hair">
        <color theme="0" tint="-0.249977111117893"/>
      </left>
      <right/>
      <top/>
      <bottom style="hair">
        <color theme="0" tint="-0.249977111117893"/>
      </bottom>
      <diagonal/>
    </border>
    <border>
      <left style="hair">
        <color theme="0" tint="-0.499984740745262"/>
      </left>
      <right style="hair">
        <color theme="0" tint="-0.499984740745262"/>
      </right>
      <top style="medium">
        <color theme="0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499984740745262"/>
      </right>
      <top style="hair">
        <color theme="0" tint="-0.249977111117893"/>
      </top>
      <bottom style="medium">
        <color theme="0"/>
      </bottom>
      <diagonal/>
    </border>
    <border>
      <left style="hair">
        <color theme="0" tint="-0.499984740745262"/>
      </left>
      <right style="hair">
        <color theme="0" tint="-0.249977111117893"/>
      </right>
      <top style="hair">
        <color theme="0" tint="-0.249977111117893"/>
      </top>
      <bottom style="medium">
        <color theme="0"/>
      </bottom>
      <diagonal/>
    </border>
    <border>
      <left style="hair">
        <color theme="0" tint="-0.249977111117893"/>
      </left>
      <right style="hair">
        <color theme="0" tint="-0.499984740745262"/>
      </right>
      <top style="hair">
        <color theme="0" tint="-0.249977111117893"/>
      </top>
      <bottom/>
      <diagonal/>
    </border>
    <border>
      <left style="hair">
        <color theme="0" tint="-0.499984740745262"/>
      </left>
      <right style="hair">
        <color theme="0" tint="-0.249977111117893"/>
      </right>
      <top style="hair">
        <color theme="0" tint="-0.249977111117893"/>
      </top>
      <bottom/>
      <diagonal/>
    </border>
    <border>
      <left style="hair">
        <color theme="0" tint="-0.249977111117893"/>
      </left>
      <right style="hair">
        <color theme="0" tint="-0.499984740745262"/>
      </right>
      <top/>
      <bottom style="hair">
        <color theme="0" tint="-0.249977111117893"/>
      </bottom>
      <diagonal/>
    </border>
    <border>
      <left style="hair">
        <color theme="0" tint="-0.499984740745262"/>
      </left>
      <right style="hair">
        <color theme="0" tint="-0.249977111117893"/>
      </right>
      <top style="medium">
        <color theme="0"/>
      </top>
      <bottom/>
      <diagonal/>
    </border>
    <border>
      <left/>
      <right/>
      <top style="hair">
        <color theme="0" tint="-0.249977111117893"/>
      </top>
      <bottom/>
      <diagonal/>
    </border>
    <border>
      <left/>
      <right/>
      <top/>
      <bottom style="medium">
        <color theme="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4" fillId="0" borderId="0"/>
  </cellStyleXfs>
  <cellXfs count="391">
    <xf numFmtId="0" fontId="0" fillId="0" borderId="0" xfId="0"/>
    <xf numFmtId="0" fontId="2" fillId="0" borderId="0" xfId="0" applyFont="1"/>
    <xf numFmtId="0" fontId="5" fillId="0" borderId="0" xfId="0" applyFont="1"/>
    <xf numFmtId="0" fontId="0" fillId="3" borderId="0" xfId="0" applyFill="1"/>
    <xf numFmtId="0" fontId="8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2" fillId="0" borderId="4" xfId="0" applyFont="1" applyBorder="1"/>
    <xf numFmtId="166" fontId="12" fillId="0" borderId="0" xfId="0" applyNumberFormat="1" applyFont="1" applyAlignment="1">
      <alignment horizontal="center" vertical="center"/>
    </xf>
    <xf numFmtId="0" fontId="8" fillId="0" borderId="4" xfId="0" applyFont="1" applyBorder="1" applyAlignment="1">
      <alignment vertical="center"/>
    </xf>
    <xf numFmtId="0" fontId="2" fillId="9" borderId="0" xfId="0" applyFont="1" applyFill="1"/>
    <xf numFmtId="0" fontId="2" fillId="4" borderId="0" xfId="0" applyFont="1" applyFill="1"/>
    <xf numFmtId="9" fontId="2" fillId="0" borderId="0" xfId="1" applyFont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13" fillId="4" borderId="0" xfId="0" applyFont="1" applyFill="1"/>
    <xf numFmtId="0" fontId="15" fillId="4" borderId="0" xfId="0" applyFont="1" applyFill="1"/>
    <xf numFmtId="0" fontId="8" fillId="0" borderId="1" xfId="0" applyFont="1" applyBorder="1"/>
    <xf numFmtId="0" fontId="2" fillId="0" borderId="1" xfId="0" applyFont="1" applyBorder="1"/>
    <xf numFmtId="16" fontId="8" fillId="0" borderId="1" xfId="0" applyNumberFormat="1" applyFont="1" applyBorder="1"/>
    <xf numFmtId="0" fontId="11" fillId="0" borderId="15" xfId="0" applyFont="1" applyBorder="1" applyAlignment="1">
      <alignment vertical="center"/>
    </xf>
    <xf numFmtId="0" fontId="11" fillId="0" borderId="15" xfId="0" applyFont="1" applyBorder="1" applyAlignment="1">
      <alignment horizontal="left" vertical="center"/>
    </xf>
    <xf numFmtId="0" fontId="11" fillId="0" borderId="15" xfId="0" applyFont="1" applyBorder="1"/>
    <xf numFmtId="14" fontId="11" fillId="0" borderId="15" xfId="0" applyNumberFormat="1" applyFont="1" applyBorder="1"/>
    <xf numFmtId="0" fontId="14" fillId="0" borderId="0" xfId="0" applyFont="1"/>
    <xf numFmtId="0" fontId="16" fillId="0" borderId="0" xfId="0" applyFont="1"/>
    <xf numFmtId="0" fontId="22" fillId="0" borderId="0" xfId="0" applyFont="1"/>
    <xf numFmtId="0" fontId="2" fillId="0" borderId="4" xfId="0" applyFont="1" applyBorder="1" applyAlignment="1">
      <alignment horizontal="center" vertical="center"/>
    </xf>
    <xf numFmtId="9" fontId="2" fillId="0" borderId="4" xfId="1" applyFont="1" applyBorder="1" applyAlignment="1">
      <alignment horizontal="center" vertical="center"/>
    </xf>
    <xf numFmtId="9" fontId="8" fillId="0" borderId="4" xfId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14" fontId="23" fillId="0" borderId="15" xfId="0" applyNumberFormat="1" applyFont="1" applyBorder="1"/>
    <xf numFmtId="14" fontId="23" fillId="0" borderId="19" xfId="0" applyNumberFormat="1" applyFont="1" applyBorder="1"/>
    <xf numFmtId="0" fontId="6" fillId="9" borderId="5" xfId="0" applyFont="1" applyFill="1" applyBorder="1" applyAlignment="1">
      <alignment horizontal="left" vertical="center"/>
    </xf>
    <xf numFmtId="0" fontId="6" fillId="9" borderId="15" xfId="0" applyFont="1" applyFill="1" applyBorder="1" applyAlignment="1">
      <alignment horizontal="left" vertical="center"/>
    </xf>
    <xf numFmtId="0" fontId="6" fillId="9" borderId="10" xfId="0" applyFont="1" applyFill="1" applyBorder="1" applyAlignment="1">
      <alignment horizontal="left" vertical="center"/>
    </xf>
    <xf numFmtId="0" fontId="6" fillId="11" borderId="10" xfId="0" applyFont="1" applyFill="1" applyBorder="1" applyAlignment="1">
      <alignment horizontal="left" vertical="center"/>
    </xf>
    <xf numFmtId="0" fontId="6" fillId="11" borderId="0" xfId="0" applyFont="1" applyFill="1" applyAlignment="1">
      <alignment horizontal="left" vertical="center"/>
    </xf>
    <xf numFmtId="0" fontId="24" fillId="11" borderId="20" xfId="0" applyFont="1" applyFill="1" applyBorder="1" applyAlignment="1">
      <alignment horizontal="left" vertical="center"/>
    </xf>
    <xf numFmtId="0" fontId="6" fillId="11" borderId="20" xfId="0" applyFont="1" applyFill="1" applyBorder="1" applyAlignment="1">
      <alignment horizontal="left" vertical="center"/>
    </xf>
    <xf numFmtId="0" fontId="17" fillId="12" borderId="5" xfId="0" applyFont="1" applyFill="1" applyBorder="1" applyAlignment="1">
      <alignment vertical="center"/>
    </xf>
    <xf numFmtId="0" fontId="17" fillId="12" borderId="15" xfId="0" applyFont="1" applyFill="1" applyBorder="1" applyAlignment="1">
      <alignment vertical="center"/>
    </xf>
    <xf numFmtId="0" fontId="6" fillId="13" borderId="15" xfId="0" applyFont="1" applyFill="1" applyBorder="1" applyAlignment="1">
      <alignment horizontal="left" vertical="center"/>
    </xf>
    <xf numFmtId="0" fontId="0" fillId="0" borderId="0" xfId="0" quotePrefix="1"/>
    <xf numFmtId="0" fontId="6" fillId="3" borderId="0" xfId="0" applyFont="1" applyFill="1"/>
    <xf numFmtId="0" fontId="6" fillId="3" borderId="21" xfId="0" applyFont="1" applyFill="1" applyBorder="1"/>
    <xf numFmtId="0" fontId="6" fillId="3" borderId="22" xfId="0" applyFont="1" applyFill="1" applyBorder="1"/>
    <xf numFmtId="0" fontId="28" fillId="3" borderId="0" xfId="0" applyFont="1" applyFill="1" applyAlignment="1">
      <alignment horizontal="left" vertical="center"/>
    </xf>
    <xf numFmtId="0" fontId="29" fillId="3" borderId="0" xfId="0" applyFont="1" applyFill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0" fillId="0" borderId="0" xfId="0" applyFont="1" applyAlignment="1">
      <alignment horizontal="center" vertical="center"/>
    </xf>
    <xf numFmtId="164" fontId="6" fillId="14" borderId="0" xfId="0" applyNumberFormat="1" applyFont="1" applyFill="1" applyAlignment="1">
      <alignment horizontal="center"/>
    </xf>
    <xf numFmtId="164" fontId="6" fillId="14" borderId="21" xfId="0" applyNumberFormat="1" applyFont="1" applyFill="1" applyBorder="1" applyAlignment="1">
      <alignment horizontal="center"/>
    </xf>
    <xf numFmtId="164" fontId="6" fillId="14" borderId="22" xfId="0" applyNumberFormat="1" applyFont="1" applyFill="1" applyBorder="1" applyAlignment="1">
      <alignment horizontal="center"/>
    </xf>
    <xf numFmtId="0" fontId="31" fillId="0" borderId="0" xfId="0" applyFont="1" applyAlignment="1">
      <alignment vertical="center"/>
    </xf>
    <xf numFmtId="0" fontId="3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2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3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34" fillId="0" borderId="0" xfId="0" applyFont="1" applyAlignment="1">
      <alignment vertical="center"/>
    </xf>
    <xf numFmtId="2" fontId="32" fillId="0" borderId="0" xfId="0" applyNumberFormat="1" applyFont="1" applyAlignment="1">
      <alignment vertical="center"/>
    </xf>
    <xf numFmtId="0" fontId="35" fillId="15" borderId="23" xfId="0" applyFont="1" applyFill="1" applyBorder="1" applyAlignment="1">
      <alignment horizontal="center" vertical="center"/>
    </xf>
    <xf numFmtId="0" fontId="8" fillId="12" borderId="0" xfId="0" applyFont="1" applyFill="1" applyAlignment="1">
      <alignment horizontal="left" vertical="center"/>
    </xf>
    <xf numFmtId="0" fontId="9" fillId="12" borderId="0" xfId="0" applyFont="1" applyFill="1" applyAlignment="1">
      <alignment horizontal="left" vertical="center"/>
    </xf>
    <xf numFmtId="0" fontId="10" fillId="12" borderId="0" xfId="0" applyFont="1" applyFill="1" applyAlignment="1">
      <alignment horizontal="left" vertical="center"/>
    </xf>
    <xf numFmtId="0" fontId="34" fillId="12" borderId="0" xfId="0" applyFont="1" applyFill="1" applyAlignment="1">
      <alignment vertical="center"/>
    </xf>
    <xf numFmtId="0" fontId="25" fillId="12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2" fontId="32" fillId="2" borderId="0" xfId="0" applyNumberFormat="1" applyFont="1" applyFill="1" applyAlignment="1">
      <alignment vertical="center"/>
    </xf>
    <xf numFmtId="0" fontId="35" fillId="12" borderId="23" xfId="0" applyFont="1" applyFill="1" applyBorder="1" applyAlignment="1">
      <alignment horizontal="center" vertical="center"/>
    </xf>
    <xf numFmtId="0" fontId="0" fillId="0" borderId="23" xfId="0" applyBorder="1"/>
    <xf numFmtId="0" fontId="0" fillId="2" borderId="0" xfId="0" applyFill="1"/>
    <xf numFmtId="0" fontId="0" fillId="12" borderId="23" xfId="0" applyFill="1" applyBorder="1"/>
    <xf numFmtId="0" fontId="36" fillId="0" borderId="0" xfId="0" applyFont="1" applyAlignment="1">
      <alignment horizontal="center" vertical="center"/>
    </xf>
    <xf numFmtId="0" fontId="18" fillId="0" borderId="24" xfId="0" applyFont="1" applyBorder="1" applyAlignment="1">
      <alignment horizontal="left" vertical="center"/>
    </xf>
    <xf numFmtId="0" fontId="18" fillId="0" borderId="24" xfId="0" applyFont="1" applyBorder="1" applyAlignment="1">
      <alignment horizontal="center" vertical="center"/>
    </xf>
    <xf numFmtId="0" fontId="11" fillId="0" borderId="24" xfId="0" applyFont="1" applyBorder="1" applyAlignment="1">
      <alignment horizontal="left" vertical="center"/>
    </xf>
    <xf numFmtId="0" fontId="34" fillId="0" borderId="24" xfId="0" applyFont="1" applyBorder="1" applyAlignment="1">
      <alignment vertical="center"/>
    </xf>
    <xf numFmtId="0" fontId="2" fillId="0" borderId="24" xfId="0" applyFont="1" applyBorder="1" applyAlignment="1">
      <alignment horizontal="center"/>
    </xf>
    <xf numFmtId="0" fontId="10" fillId="0" borderId="24" xfId="0" applyFont="1" applyBorder="1" applyAlignment="1">
      <alignment horizontal="center" vertical="center"/>
    </xf>
    <xf numFmtId="0" fontId="0" fillId="16" borderId="23" xfId="0" applyFill="1" applyBorder="1"/>
    <xf numFmtId="0" fontId="18" fillId="0" borderId="25" xfId="0" applyFont="1" applyBorder="1" applyAlignment="1">
      <alignment horizontal="left" vertical="center"/>
    </xf>
    <xf numFmtId="0" fontId="18" fillId="0" borderId="25" xfId="0" applyFont="1" applyBorder="1" applyAlignment="1">
      <alignment horizontal="center" vertical="center"/>
    </xf>
    <xf numFmtId="0" fontId="11" fillId="0" borderId="25" xfId="0" applyFont="1" applyBorder="1" applyAlignment="1">
      <alignment horizontal="left" vertical="center"/>
    </xf>
    <xf numFmtId="0" fontId="34" fillId="0" borderId="25" xfId="0" applyFont="1" applyBorder="1" applyAlignment="1">
      <alignment vertical="center"/>
    </xf>
    <xf numFmtId="0" fontId="2" fillId="0" borderId="25" xfId="0" applyFont="1" applyBorder="1" applyAlignment="1">
      <alignment horizontal="center"/>
    </xf>
    <xf numFmtId="0" fontId="10" fillId="0" borderId="25" xfId="0" applyFont="1" applyBorder="1" applyAlignment="1">
      <alignment horizontal="center" vertical="center"/>
    </xf>
    <xf numFmtId="0" fontId="0" fillId="0" borderId="26" xfId="0" applyBorder="1"/>
    <xf numFmtId="0" fontId="18" fillId="12" borderId="0" xfId="0" applyFont="1" applyFill="1" applyAlignment="1">
      <alignment horizontal="left" vertical="center"/>
    </xf>
    <xf numFmtId="0" fontId="18" fillId="12" borderId="0" xfId="0" applyFont="1" applyFill="1" applyAlignment="1">
      <alignment horizontal="center" vertical="center"/>
    </xf>
    <xf numFmtId="0" fontId="11" fillId="12" borderId="0" xfId="0" applyFont="1" applyFill="1" applyAlignment="1">
      <alignment horizontal="left" vertical="center"/>
    </xf>
    <xf numFmtId="0" fontId="2" fillId="12" borderId="0" xfId="0" applyFont="1" applyFill="1" applyAlignment="1">
      <alignment horizontal="center"/>
    </xf>
    <xf numFmtId="0" fontId="32" fillId="0" borderId="0" xfId="0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37" fillId="15" borderId="23" xfId="0" applyFont="1" applyFill="1" applyBorder="1"/>
    <xf numFmtId="0" fontId="26" fillId="0" borderId="23" xfId="0" applyFont="1" applyBorder="1"/>
    <xf numFmtId="0" fontId="25" fillId="12" borderId="0" xfId="0" applyFont="1" applyFill="1" applyAlignment="1">
      <alignment horizontal="left" vertical="center"/>
    </xf>
    <xf numFmtId="0" fontId="0" fillId="12" borderId="27" xfId="0" applyFill="1" applyBorder="1"/>
    <xf numFmtId="0" fontId="0" fillId="12" borderId="0" xfId="0" applyFill="1"/>
    <xf numFmtId="0" fontId="38" fillId="0" borderId="0" xfId="0" applyFont="1" applyAlignment="1">
      <alignment horizontal="center" vertical="center"/>
    </xf>
    <xf numFmtId="0" fontId="3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0" fillId="0" borderId="28" xfId="0" applyBorder="1"/>
    <xf numFmtId="0" fontId="25" fillId="0" borderId="24" xfId="0" applyFont="1" applyBorder="1" applyAlignment="1">
      <alignment horizontal="left" vertical="center"/>
    </xf>
    <xf numFmtId="0" fontId="2" fillId="0" borderId="24" xfId="0" applyFont="1" applyBorder="1"/>
    <xf numFmtId="0" fontId="8" fillId="0" borderId="24" xfId="0" applyFont="1" applyBorder="1" applyAlignment="1">
      <alignment horizontal="left" vertical="center"/>
    </xf>
    <xf numFmtId="0" fontId="25" fillId="0" borderId="24" xfId="0" applyFont="1" applyBorder="1" applyAlignment="1">
      <alignment horizontal="center" vertical="center"/>
    </xf>
    <xf numFmtId="0" fontId="0" fillId="0" borderId="29" xfId="0" applyBorder="1"/>
    <xf numFmtId="0" fontId="0" fillId="0" borderId="30" xfId="0" applyBorder="1"/>
    <xf numFmtId="0" fontId="25" fillId="0" borderId="25" xfId="0" applyFont="1" applyBorder="1" applyAlignment="1">
      <alignment horizontal="left" vertical="center"/>
    </xf>
    <xf numFmtId="0" fontId="2" fillId="0" borderId="25" xfId="0" applyFont="1" applyBorder="1"/>
    <xf numFmtId="0" fontId="8" fillId="0" borderId="25" xfId="0" applyFont="1" applyBorder="1" applyAlignment="1">
      <alignment horizontal="left" vertical="center"/>
    </xf>
    <xf numFmtId="0" fontId="25" fillId="0" borderId="25" xfId="0" applyFont="1" applyBorder="1" applyAlignment="1">
      <alignment horizontal="center" vertical="center"/>
    </xf>
    <xf numFmtId="0" fontId="40" fillId="16" borderId="23" xfId="0" applyFont="1" applyFill="1" applyBorder="1"/>
    <xf numFmtId="2" fontId="32" fillId="0" borderId="31" xfId="0" applyNumberFormat="1" applyFont="1" applyBorder="1" applyAlignment="1">
      <alignment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0" fillId="0" borderId="25" xfId="0" applyFont="1" applyBorder="1" applyAlignment="1">
      <alignment horizontal="left" vertical="center"/>
    </xf>
    <xf numFmtId="0" fontId="0" fillId="12" borderId="30" xfId="0" applyFill="1" applyBorder="1"/>
    <xf numFmtId="1" fontId="25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4" fontId="10" fillId="0" borderId="0" xfId="0" applyNumberFormat="1" applyFont="1" applyAlignment="1">
      <alignment horizontal="left" vertical="center"/>
    </xf>
    <xf numFmtId="0" fontId="41" fillId="3" borderId="32" xfId="0" applyFont="1" applyFill="1" applyBorder="1" applyAlignment="1">
      <alignment horizontal="center" vertical="center"/>
    </xf>
    <xf numFmtId="0" fontId="42" fillId="3" borderId="32" xfId="0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27" fillId="4" borderId="32" xfId="0" applyFont="1" applyFill="1" applyBorder="1" applyAlignment="1">
      <alignment vertical="center"/>
    </xf>
    <xf numFmtId="0" fontId="22" fillId="0" borderId="32" xfId="0" applyFont="1" applyBorder="1" applyAlignment="1">
      <alignment vertical="center"/>
    </xf>
    <xf numFmtId="0" fontId="43" fillId="4" borderId="32" xfId="0" applyFont="1" applyFill="1" applyBorder="1" applyAlignment="1">
      <alignment vertical="center"/>
    </xf>
    <xf numFmtId="0" fontId="27" fillId="18" borderId="32" xfId="0" applyFont="1" applyFill="1" applyBorder="1" applyAlignment="1">
      <alignment vertical="center"/>
    </xf>
    <xf numFmtId="0" fontId="27" fillId="10" borderId="32" xfId="0" applyFont="1" applyFill="1" applyBorder="1" applyAlignment="1">
      <alignment vertical="center"/>
    </xf>
    <xf numFmtId="9" fontId="2" fillId="0" borderId="4" xfId="1" applyFont="1" applyFill="1" applyBorder="1" applyAlignment="1">
      <alignment horizontal="center" vertical="center"/>
    </xf>
    <xf numFmtId="0" fontId="8" fillId="17" borderId="3" xfId="0" applyFont="1" applyFill="1" applyBorder="1" applyAlignment="1">
      <alignment vertical="center"/>
    </xf>
    <xf numFmtId="0" fontId="2" fillId="17" borderId="4" xfId="0" applyFont="1" applyFill="1" applyBorder="1" applyAlignment="1">
      <alignment vertical="center"/>
    </xf>
    <xf numFmtId="0" fontId="8" fillId="17" borderId="4" xfId="0" applyFont="1" applyFill="1" applyBorder="1" applyAlignment="1">
      <alignment horizontal="center" vertical="center"/>
    </xf>
    <xf numFmtId="9" fontId="8" fillId="17" borderId="4" xfId="1" applyFont="1" applyFill="1" applyBorder="1" applyAlignment="1">
      <alignment horizontal="center" vertical="center"/>
    </xf>
    <xf numFmtId="2" fontId="8" fillId="17" borderId="4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167" fontId="2" fillId="0" borderId="0" xfId="1" applyNumberFormat="1" applyFont="1" applyBorder="1" applyAlignment="1">
      <alignment vertical="center"/>
    </xf>
    <xf numFmtId="0" fontId="8" fillId="0" borderId="2" xfId="0" applyFont="1" applyBorder="1"/>
    <xf numFmtId="0" fontId="2" fillId="0" borderId="2" xfId="0" applyFont="1" applyBorder="1"/>
    <xf numFmtId="0" fontId="27" fillId="19" borderId="32" xfId="0" applyFont="1" applyFill="1" applyBorder="1" applyAlignment="1">
      <alignment vertical="center"/>
    </xf>
    <xf numFmtId="0" fontId="27" fillId="20" borderId="32" xfId="0" applyFont="1" applyFill="1" applyBorder="1" applyAlignment="1">
      <alignment vertical="center"/>
    </xf>
    <xf numFmtId="0" fontId="27" fillId="21" borderId="32" xfId="0" applyFont="1" applyFill="1" applyBorder="1" applyAlignment="1">
      <alignment vertical="center"/>
    </xf>
    <xf numFmtId="0" fontId="27" fillId="12" borderId="32" xfId="0" applyFont="1" applyFill="1" applyBorder="1" applyAlignment="1">
      <alignment vertical="center"/>
    </xf>
    <xf numFmtId="16" fontId="8" fillId="0" borderId="1" xfId="0" applyNumberFormat="1" applyFont="1" applyBorder="1" applyAlignment="1">
      <alignment horizontal="right" vertical="center"/>
    </xf>
    <xf numFmtId="0" fontId="8" fillId="4" borderId="0" xfId="0" applyFont="1" applyFill="1"/>
    <xf numFmtId="0" fontId="27" fillId="0" borderId="1" xfId="0" applyFont="1" applyBorder="1" applyAlignment="1">
      <alignment vertical="center"/>
    </xf>
    <xf numFmtId="0" fontId="22" fillId="0" borderId="1" xfId="0" applyFont="1" applyBorder="1" applyAlignment="1">
      <alignment vertical="center"/>
    </xf>
    <xf numFmtId="0" fontId="27" fillId="22" borderId="32" xfId="0" applyFont="1" applyFill="1" applyBorder="1" applyAlignment="1">
      <alignment vertical="center"/>
    </xf>
    <xf numFmtId="14" fontId="11" fillId="0" borderId="5" xfId="0" applyNumberFormat="1" applyFont="1" applyBorder="1"/>
    <xf numFmtId="0" fontId="11" fillId="0" borderId="34" xfId="0" applyFont="1" applyBorder="1" applyAlignment="1">
      <alignment vertical="center"/>
    </xf>
    <xf numFmtId="0" fontId="11" fillId="0" borderId="34" xfId="0" applyFont="1" applyBorder="1" applyAlignment="1">
      <alignment horizontal="left" vertical="center"/>
    </xf>
    <xf numFmtId="0" fontId="11" fillId="0" borderId="34" xfId="0" applyFont="1" applyBorder="1"/>
    <xf numFmtId="14" fontId="11" fillId="0" borderId="9" xfId="0" applyNumberFormat="1" applyFont="1" applyBorder="1"/>
    <xf numFmtId="14" fontId="11" fillId="0" borderId="34" xfId="0" applyNumberFormat="1" applyFont="1" applyBorder="1"/>
    <xf numFmtId="0" fontId="3" fillId="0" borderId="11" xfId="0" applyFont="1" applyBorder="1" applyAlignment="1">
      <alignment horizontal="left" vertical="center" wrapText="1"/>
    </xf>
    <xf numFmtId="0" fontId="11" fillId="5" borderId="25" xfId="0" applyFont="1" applyFill="1" applyBorder="1" applyAlignment="1">
      <alignment horizontal="left" vertical="center"/>
    </xf>
    <xf numFmtId="167" fontId="2" fillId="0" borderId="0" xfId="1" applyNumberFormat="1" applyFont="1" applyFill="1" applyBorder="1" applyAlignment="1">
      <alignment vertical="center"/>
    </xf>
    <xf numFmtId="0" fontId="27" fillId="23" borderId="32" xfId="0" applyFont="1" applyFill="1" applyBorder="1" applyAlignment="1">
      <alignment vertical="center"/>
    </xf>
    <xf numFmtId="0" fontId="22" fillId="9" borderId="0" xfId="0" applyFont="1" applyFill="1"/>
    <xf numFmtId="0" fontId="27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44" fillId="0" borderId="25" xfId="0" applyFont="1" applyBorder="1" applyAlignment="1">
      <alignment horizontal="left" vertical="center"/>
    </xf>
    <xf numFmtId="0" fontId="50" fillId="0" borderId="0" xfId="0" quotePrefix="1" applyFont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52" fillId="0" borderId="0" xfId="0" quotePrefix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25" borderId="0" xfId="0" applyFont="1" applyFill="1" applyAlignment="1">
      <alignment horizontal="left" vertical="center"/>
    </xf>
    <xf numFmtId="0" fontId="22" fillId="25" borderId="0" xfId="0" applyFont="1" applyFill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53" fillId="0" borderId="0" xfId="0" applyFont="1"/>
    <xf numFmtId="0" fontId="53" fillId="0" borderId="0" xfId="0" applyFont="1" applyAlignment="1">
      <alignment horizontal="left"/>
    </xf>
    <xf numFmtId="0" fontId="0" fillId="4" borderId="0" xfId="0" applyFill="1"/>
    <xf numFmtId="0" fontId="54" fillId="12" borderId="15" xfId="0" applyFont="1" applyFill="1" applyBorder="1" applyAlignment="1">
      <alignment vertical="center"/>
    </xf>
    <xf numFmtId="0" fontId="55" fillId="0" borderId="15" xfId="0" applyFont="1" applyBorder="1" applyAlignment="1">
      <alignment horizontal="left" vertical="center"/>
    </xf>
    <xf numFmtId="0" fontId="55" fillId="0" borderId="15" xfId="0" applyFont="1" applyBorder="1"/>
    <xf numFmtId="14" fontId="55" fillId="0" borderId="5" xfId="0" applyNumberFormat="1" applyFont="1" applyBorder="1"/>
    <xf numFmtId="14" fontId="55" fillId="0" borderId="15" xfId="0" applyNumberFormat="1" applyFont="1" applyBorder="1"/>
    <xf numFmtId="0" fontId="55" fillId="0" borderId="34" xfId="0" applyFont="1" applyBorder="1" applyAlignment="1">
      <alignment horizontal="left" vertical="center"/>
    </xf>
    <xf numFmtId="0" fontId="55" fillId="0" borderId="34" xfId="0" applyFont="1" applyBorder="1"/>
    <xf numFmtId="14" fontId="55" fillId="0" borderId="9" xfId="0" applyNumberFormat="1" applyFont="1" applyBorder="1"/>
    <xf numFmtId="14" fontId="55" fillId="0" borderId="34" xfId="0" applyNumberFormat="1" applyFont="1" applyBorder="1"/>
    <xf numFmtId="167" fontId="8" fillId="0" borderId="2" xfId="1" applyNumberFormat="1" applyFont="1" applyBorder="1" applyAlignment="1">
      <alignment vertical="center"/>
    </xf>
    <xf numFmtId="0" fontId="56" fillId="0" borderId="0" xfId="0" applyFont="1" applyAlignment="1">
      <alignment vertical="center"/>
    </xf>
    <xf numFmtId="0" fontId="57" fillId="0" borderId="0" xfId="0" applyFont="1" applyAlignment="1">
      <alignment vertical="center"/>
    </xf>
    <xf numFmtId="0" fontId="27" fillId="0" borderId="0" xfId="0" applyFont="1"/>
    <xf numFmtId="0" fontId="22" fillId="5" borderId="0" xfId="0" applyFont="1" applyFill="1" applyAlignment="1">
      <alignment vertical="center"/>
    </xf>
    <xf numFmtId="0" fontId="22" fillId="8" borderId="0" xfId="0" applyFont="1" applyFill="1" applyAlignment="1">
      <alignment vertical="center"/>
    </xf>
    <xf numFmtId="0" fontId="27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33" xfId="0" applyFont="1" applyBorder="1"/>
    <xf numFmtId="0" fontId="2" fillId="7" borderId="33" xfId="0" applyFont="1" applyFill="1" applyBorder="1"/>
    <xf numFmtId="0" fontId="2" fillId="0" borderId="6" xfId="0" applyFont="1" applyBorder="1"/>
    <xf numFmtId="0" fontId="2" fillId="7" borderId="6" xfId="0" applyFont="1" applyFill="1" applyBorder="1"/>
    <xf numFmtId="0" fontId="2" fillId="7" borderId="4" xfId="0" applyFont="1" applyFill="1" applyBorder="1"/>
    <xf numFmtId="0" fontId="8" fillId="0" borderId="0" xfId="0" applyFont="1"/>
    <xf numFmtId="0" fontId="55" fillId="0" borderId="3" xfId="0" applyFont="1" applyBorder="1" applyAlignment="1">
      <alignment horizontal="left" vertical="center"/>
    </xf>
    <xf numFmtId="0" fontId="55" fillId="0" borderId="5" xfId="0" applyFont="1" applyBorder="1"/>
    <xf numFmtId="0" fontId="54" fillId="12" borderId="34" xfId="0" applyFont="1" applyFill="1" applyBorder="1" applyAlignment="1">
      <alignment vertical="center"/>
    </xf>
    <xf numFmtId="0" fontId="55" fillId="0" borderId="7" xfId="0" applyFont="1" applyBorder="1" applyAlignment="1">
      <alignment horizontal="left" vertical="center"/>
    </xf>
    <xf numFmtId="0" fontId="55" fillId="0" borderId="9" xfId="0" applyFont="1" applyBorder="1"/>
    <xf numFmtId="0" fontId="58" fillId="0" borderId="0" xfId="0" applyFont="1"/>
    <xf numFmtId="0" fontId="2" fillId="0" borderId="13" xfId="0" applyFont="1" applyBorder="1" applyAlignment="1">
      <alignment vertical="center"/>
    </xf>
    <xf numFmtId="0" fontId="2" fillId="7" borderId="13" xfId="0" applyFont="1" applyFill="1" applyBorder="1"/>
    <xf numFmtId="0" fontId="8" fillId="0" borderId="23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2" fillId="0" borderId="23" xfId="0" applyFont="1" applyBorder="1" applyAlignment="1">
      <alignment horizontal="center" vertical="center"/>
    </xf>
    <xf numFmtId="2" fontId="2" fillId="0" borderId="23" xfId="0" applyNumberFormat="1" applyFont="1" applyBorder="1" applyAlignment="1">
      <alignment horizontal="center" vertical="center"/>
    </xf>
    <xf numFmtId="9" fontId="2" fillId="0" borderId="23" xfId="1" applyFont="1" applyFill="1" applyBorder="1" applyAlignment="1">
      <alignment horizontal="center" vertical="center"/>
    </xf>
    <xf numFmtId="0" fontId="2" fillId="0" borderId="23" xfId="0" applyFont="1" applyBorder="1"/>
    <xf numFmtId="0" fontId="2" fillId="7" borderId="23" xfId="0" applyFont="1" applyFill="1" applyBorder="1"/>
    <xf numFmtId="0" fontId="2" fillId="6" borderId="23" xfId="0" applyFont="1" applyFill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2" fillId="0" borderId="29" xfId="0" applyFont="1" applyBorder="1" applyAlignment="1">
      <alignment horizontal="center" vertical="center"/>
    </xf>
    <xf numFmtId="2" fontId="2" fillId="0" borderId="29" xfId="0" applyNumberFormat="1" applyFont="1" applyBorder="1" applyAlignment="1">
      <alignment horizontal="center" vertical="center"/>
    </xf>
    <xf numFmtId="9" fontId="2" fillId="0" borderId="29" xfId="1" applyFont="1" applyFill="1" applyBorder="1" applyAlignment="1">
      <alignment horizontal="center" vertical="center"/>
    </xf>
    <xf numFmtId="165" fontId="10" fillId="17" borderId="44" xfId="0" applyNumberFormat="1" applyFont="1" applyFill="1" applyBorder="1" applyAlignment="1">
      <alignment horizontal="center" vertical="center"/>
    </xf>
    <xf numFmtId="0" fontId="2" fillId="0" borderId="29" xfId="0" applyFont="1" applyBorder="1"/>
    <xf numFmtId="0" fontId="2" fillId="7" borderId="29" xfId="0" applyFont="1" applyFill="1" applyBorder="1"/>
    <xf numFmtId="164" fontId="8" fillId="4" borderId="44" xfId="0" applyNumberFormat="1" applyFont="1" applyFill="1" applyBorder="1" applyAlignment="1" applyProtection="1">
      <alignment horizontal="center" vertical="center"/>
      <protection hidden="1"/>
    </xf>
    <xf numFmtId="0" fontId="6" fillId="3" borderId="44" xfId="0" applyFont="1" applyFill="1" applyBorder="1" applyAlignment="1">
      <alignment horizontal="center" vertical="center"/>
    </xf>
    <xf numFmtId="0" fontId="7" fillId="3" borderId="44" xfId="0" applyFont="1" applyFill="1" applyBorder="1" applyAlignment="1">
      <alignment horizontal="center" vertical="center"/>
    </xf>
    <xf numFmtId="0" fontId="8" fillId="17" borderId="45" xfId="0" applyFont="1" applyFill="1" applyBorder="1" applyAlignment="1">
      <alignment vertical="center"/>
    </xf>
    <xf numFmtId="0" fontId="2" fillId="17" borderId="46" xfId="0" applyFont="1" applyFill="1" applyBorder="1" applyAlignment="1">
      <alignment vertical="center"/>
    </xf>
    <xf numFmtId="0" fontId="8" fillId="17" borderId="46" xfId="0" applyFont="1" applyFill="1" applyBorder="1" applyAlignment="1">
      <alignment horizontal="center" vertical="center"/>
    </xf>
    <xf numFmtId="2" fontId="8" fillId="17" borderId="46" xfId="0" applyNumberFormat="1" applyFont="1" applyFill="1" applyBorder="1" applyAlignment="1">
      <alignment horizontal="center" vertical="center"/>
    </xf>
    <xf numFmtId="9" fontId="8" fillId="17" borderId="46" xfId="1" applyFont="1" applyFill="1" applyBorder="1" applyAlignment="1">
      <alignment horizontal="center" vertical="center"/>
    </xf>
    <xf numFmtId="0" fontId="22" fillId="26" borderId="0" xfId="0" applyFont="1" applyFill="1" applyAlignment="1">
      <alignment vertical="center"/>
    </xf>
    <xf numFmtId="0" fontId="60" fillId="12" borderId="38" xfId="0" applyFont="1" applyFill="1" applyBorder="1" applyAlignment="1">
      <alignment horizontal="center" vertical="center"/>
    </xf>
    <xf numFmtId="0" fontId="63" fillId="0" borderId="0" xfId="0" applyFont="1" applyAlignment="1">
      <alignment horizontal="right" vertical="center"/>
    </xf>
    <xf numFmtId="0" fontId="8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6" fillId="3" borderId="39" xfId="0" applyFont="1" applyFill="1" applyBorder="1" applyAlignment="1">
      <alignment horizontal="center" vertical="center"/>
    </xf>
    <xf numFmtId="0" fontId="7" fillId="3" borderId="39" xfId="0" applyFont="1" applyFill="1" applyBorder="1" applyAlignment="1">
      <alignment horizontal="center" vertical="center"/>
    </xf>
    <xf numFmtId="0" fontId="9" fillId="24" borderId="39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4" fillId="12" borderId="35" xfId="0" applyFont="1" applyFill="1" applyBorder="1" applyAlignment="1">
      <alignment horizontal="left" vertical="center"/>
    </xf>
    <xf numFmtId="0" fontId="64" fillId="12" borderId="38" xfId="0" applyFont="1" applyFill="1" applyBorder="1" applyAlignment="1">
      <alignment vertical="center"/>
    </xf>
    <xf numFmtId="0" fontId="2" fillId="12" borderId="38" xfId="0" applyFont="1" applyFill="1" applyBorder="1" applyAlignment="1">
      <alignment vertical="center"/>
    </xf>
    <xf numFmtId="9" fontId="3" fillId="0" borderId="0" xfId="0" applyNumberFormat="1" applyFont="1" applyAlignment="1">
      <alignment vertical="center"/>
    </xf>
    <xf numFmtId="0" fontId="2" fillId="0" borderId="30" xfId="0" applyFont="1" applyBorder="1" applyAlignment="1">
      <alignment vertical="center"/>
    </xf>
    <xf numFmtId="0" fontId="2" fillId="0" borderId="28" xfId="0" applyFont="1" applyBorder="1" applyAlignment="1">
      <alignment vertical="center"/>
    </xf>
    <xf numFmtId="0" fontId="2" fillId="0" borderId="42" xfId="0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indent="1"/>
    </xf>
    <xf numFmtId="0" fontId="3" fillId="0" borderId="25" xfId="0" applyFont="1" applyBorder="1" applyAlignment="1">
      <alignment horizontal="center" vertical="center"/>
    </xf>
    <xf numFmtId="0" fontId="2" fillId="0" borderId="43" xfId="0" applyFont="1" applyBorder="1" applyAlignment="1">
      <alignment vertical="center"/>
    </xf>
    <xf numFmtId="0" fontId="3" fillId="0" borderId="25" xfId="0" applyFont="1" applyBorder="1" applyAlignment="1">
      <alignment horizontal="left" vertical="center"/>
    </xf>
    <xf numFmtId="0" fontId="64" fillId="12" borderId="38" xfId="0" applyFont="1" applyFill="1" applyBorder="1" applyAlignment="1">
      <alignment horizontal="center" vertical="center"/>
    </xf>
    <xf numFmtId="0" fontId="3" fillId="0" borderId="24" xfId="0" applyFont="1" applyBorder="1" applyAlignment="1">
      <alignment horizontal="left" vertical="center"/>
    </xf>
    <xf numFmtId="0" fontId="14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2" fillId="8" borderId="23" xfId="0" applyFont="1" applyFill="1" applyBorder="1" applyAlignment="1">
      <alignment vertical="center"/>
    </xf>
    <xf numFmtId="0" fontId="2" fillId="0" borderId="0" xfId="0" applyFont="1" applyAlignment="1">
      <alignment horizontal="left" vertical="center" indent="1"/>
    </xf>
    <xf numFmtId="0" fontId="65" fillId="0" borderId="0" xfId="0" applyFont="1" applyAlignment="1">
      <alignment vertical="center"/>
    </xf>
    <xf numFmtId="0" fontId="2" fillId="0" borderId="47" xfId="0" applyFont="1" applyBorder="1" applyAlignment="1">
      <alignment vertical="center"/>
    </xf>
    <xf numFmtId="0" fontId="66" fillId="0" borderId="23" xfId="0" applyFont="1" applyBorder="1" applyAlignment="1">
      <alignment horizontal="center" vertical="center"/>
    </xf>
    <xf numFmtId="0" fontId="62" fillId="0" borderId="0" xfId="0" quotePrefix="1" applyFont="1" applyAlignment="1">
      <alignment horizontal="center" vertical="center"/>
    </xf>
    <xf numFmtId="16" fontId="8" fillId="0" borderId="0" xfId="0" applyNumberFormat="1" applyFont="1" applyAlignment="1">
      <alignment horizontal="right" vertical="center"/>
    </xf>
    <xf numFmtId="167" fontId="8" fillId="0" borderId="0" xfId="1" applyNumberFormat="1" applyFont="1" applyBorder="1" applyAlignment="1">
      <alignment vertical="center"/>
    </xf>
    <xf numFmtId="0" fontId="2" fillId="0" borderId="0" xfId="0" applyFont="1" applyAlignment="1">
      <alignment horizontal="left"/>
    </xf>
    <xf numFmtId="0" fontId="2" fillId="9" borderId="0" xfId="0" applyFont="1" applyFill="1" applyAlignment="1">
      <alignment horizontal="left"/>
    </xf>
    <xf numFmtId="0" fontId="8" fillId="17" borderId="46" xfId="0" applyFont="1" applyFill="1" applyBorder="1" applyAlignment="1">
      <alignment horizontal="left" vertical="center"/>
    </xf>
    <xf numFmtId="0" fontId="2" fillId="0" borderId="29" xfId="0" applyFont="1" applyBorder="1" applyAlignment="1">
      <alignment horizontal="left" vertical="center"/>
    </xf>
    <xf numFmtId="0" fontId="2" fillId="0" borderId="23" xfId="0" applyFont="1" applyBorder="1" applyAlignment="1">
      <alignment horizontal="left" vertical="center"/>
    </xf>
    <xf numFmtId="0" fontId="2" fillId="0" borderId="13" xfId="0" applyFont="1" applyBorder="1" applyAlignment="1">
      <alignment horizontal="left"/>
    </xf>
    <xf numFmtId="0" fontId="8" fillId="17" borderId="4" xfId="0" applyFont="1" applyFill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4" xfId="0" applyFont="1" applyBorder="1" applyAlignment="1">
      <alignment horizontal="left"/>
    </xf>
    <xf numFmtId="0" fontId="8" fillId="0" borderId="5" xfId="0" quotePrefix="1" applyFont="1" applyBorder="1" applyAlignment="1">
      <alignment horizontal="left"/>
    </xf>
    <xf numFmtId="0" fontId="8" fillId="0" borderId="5" xfId="0" quotePrefix="1" applyFont="1" applyBorder="1" applyAlignment="1">
      <alignment horizontal="left" vertical="center" wrapText="1"/>
    </xf>
    <xf numFmtId="0" fontId="6" fillId="3" borderId="33" xfId="0" applyFont="1" applyFill="1" applyBorder="1" applyAlignment="1">
      <alignment horizontal="center" vertical="center"/>
    </xf>
    <xf numFmtId="0" fontId="7" fillId="3" borderId="33" xfId="0" applyFont="1" applyFill="1" applyBorder="1" applyAlignment="1">
      <alignment horizontal="center" vertical="center"/>
    </xf>
    <xf numFmtId="0" fontId="2" fillId="0" borderId="33" xfId="0" applyFont="1" applyBorder="1" applyAlignment="1">
      <alignment vertical="center"/>
    </xf>
    <xf numFmtId="0" fontId="2" fillId="0" borderId="33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73" fillId="0" borderId="0" xfId="0" applyFont="1"/>
    <xf numFmtId="0" fontId="17" fillId="3" borderId="33" xfId="0" applyFont="1" applyFill="1" applyBorder="1" applyAlignment="1">
      <alignment horizontal="center" vertical="center"/>
    </xf>
    <xf numFmtId="0" fontId="11" fillId="0" borderId="33" xfId="0" applyFont="1" applyBorder="1" applyAlignment="1">
      <alignment vertical="center"/>
    </xf>
    <xf numFmtId="0" fontId="8" fillId="4" borderId="33" xfId="0" applyFont="1" applyFill="1" applyBorder="1" applyAlignment="1">
      <alignment vertical="center"/>
    </xf>
    <xf numFmtId="0" fontId="2" fillId="0" borderId="33" xfId="0" applyFont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2" fillId="0" borderId="33" xfId="0" applyFont="1" applyBorder="1" applyAlignment="1">
      <alignment horizontal="left" vertical="center" wrapText="1"/>
    </xf>
    <xf numFmtId="0" fontId="2" fillId="5" borderId="33" xfId="0" applyFont="1" applyFill="1" applyBorder="1" applyAlignment="1">
      <alignment vertical="center"/>
    </xf>
    <xf numFmtId="0" fontId="2" fillId="6" borderId="4" xfId="0" applyFont="1" applyFill="1" applyBorder="1" applyAlignment="1">
      <alignment vertical="center"/>
    </xf>
    <xf numFmtId="0" fontId="2" fillId="8" borderId="4" xfId="0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5" xfId="0" quotePrefix="1" applyFont="1" applyBorder="1" applyAlignment="1">
      <alignment horizontal="center" vertical="center"/>
    </xf>
    <xf numFmtId="0" fontId="22" fillId="0" borderId="0" xfId="0" pivotButton="1" applyFont="1"/>
    <xf numFmtId="0" fontId="22" fillId="0" borderId="0" xfId="0" applyFont="1" applyAlignment="1">
      <alignment horizontal="left"/>
    </xf>
    <xf numFmtId="0" fontId="6" fillId="3" borderId="35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vertical="center"/>
    </xf>
    <xf numFmtId="0" fontId="75" fillId="0" borderId="0" xfId="0" applyFont="1"/>
    <xf numFmtId="0" fontId="3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 indent="1"/>
    </xf>
    <xf numFmtId="0" fontId="3" fillId="0" borderId="24" xfId="0" applyFont="1" applyBorder="1" applyAlignment="1">
      <alignment horizontal="center" vertical="center"/>
    </xf>
    <xf numFmtId="0" fontId="59" fillId="0" borderId="25" xfId="0" quotePrefix="1" applyFont="1" applyBorder="1" applyAlignment="1">
      <alignment horizontal="center" vertical="center"/>
    </xf>
    <xf numFmtId="0" fontId="2" fillId="0" borderId="27" xfId="0" applyFont="1" applyBorder="1" applyAlignment="1">
      <alignment vertical="center"/>
    </xf>
    <xf numFmtId="0" fontId="2" fillId="0" borderId="48" xfId="0" applyFont="1" applyBorder="1" applyAlignment="1">
      <alignment vertical="center"/>
    </xf>
    <xf numFmtId="0" fontId="2" fillId="0" borderId="49" xfId="0" applyFont="1" applyBorder="1" applyAlignment="1">
      <alignment vertical="center"/>
    </xf>
    <xf numFmtId="0" fontId="2" fillId="0" borderId="31" xfId="0" applyFont="1" applyBorder="1" applyAlignment="1">
      <alignment vertical="center"/>
    </xf>
    <xf numFmtId="0" fontId="18" fillId="0" borderId="25" xfId="0" applyFont="1" applyBorder="1" applyAlignment="1">
      <alignment horizontal="left" vertical="center" indent="1"/>
    </xf>
    <xf numFmtId="0" fontId="2" fillId="0" borderId="51" xfId="0" applyFont="1" applyBorder="1" applyAlignment="1">
      <alignment vertical="center"/>
    </xf>
    <xf numFmtId="0" fontId="66" fillId="0" borderId="52" xfId="0" applyFont="1" applyBorder="1" applyAlignment="1">
      <alignment horizontal="center" vertical="center"/>
    </xf>
    <xf numFmtId="0" fontId="2" fillId="0" borderId="53" xfId="0" applyFont="1" applyBorder="1" applyAlignment="1">
      <alignment vertical="center"/>
    </xf>
    <xf numFmtId="0" fontId="2" fillId="0" borderId="54" xfId="0" applyFont="1" applyBorder="1" applyAlignment="1">
      <alignment vertical="center"/>
    </xf>
    <xf numFmtId="0" fontId="2" fillId="0" borderId="55" xfId="0" applyFont="1" applyBorder="1" applyAlignment="1">
      <alignment vertical="center"/>
    </xf>
    <xf numFmtId="0" fontId="9" fillId="4" borderId="40" xfId="0" applyFont="1" applyFill="1" applyBorder="1" applyAlignment="1">
      <alignment horizontal="left" vertical="center"/>
    </xf>
    <xf numFmtId="0" fontId="61" fillId="4" borderId="40" xfId="0" applyFont="1" applyFill="1" applyBorder="1" applyAlignment="1">
      <alignment horizontal="left" vertical="center"/>
    </xf>
    <xf numFmtId="0" fontId="3" fillId="4" borderId="40" xfId="0" applyFont="1" applyFill="1" applyBorder="1" applyAlignment="1">
      <alignment horizontal="center" vertical="center"/>
    </xf>
    <xf numFmtId="0" fontId="2" fillId="4" borderId="41" xfId="0" applyFont="1" applyFill="1" applyBorder="1" applyAlignment="1">
      <alignment vertical="center"/>
    </xf>
    <xf numFmtId="0" fontId="2" fillId="4" borderId="50" xfId="0" applyFont="1" applyFill="1" applyBorder="1" applyAlignment="1">
      <alignment vertical="center"/>
    </xf>
    <xf numFmtId="0" fontId="2" fillId="4" borderId="23" xfId="0" applyFont="1" applyFill="1" applyBorder="1" applyAlignment="1">
      <alignment vertical="center"/>
    </xf>
    <xf numFmtId="0" fontId="2" fillId="4" borderId="30" xfId="0" applyFont="1" applyFill="1" applyBorder="1" applyAlignment="1">
      <alignment vertical="center"/>
    </xf>
    <xf numFmtId="0" fontId="2" fillId="4" borderId="28" xfId="0" applyFont="1" applyFill="1" applyBorder="1" applyAlignment="1">
      <alignment vertical="center"/>
    </xf>
    <xf numFmtId="0" fontId="2" fillId="4" borderId="42" xfId="0" applyFont="1" applyFill="1" applyBorder="1" applyAlignment="1">
      <alignment vertical="center"/>
    </xf>
    <xf numFmtId="0" fontId="61" fillId="4" borderId="40" xfId="0" applyFont="1" applyFill="1" applyBorder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68" fontId="64" fillId="12" borderId="38" xfId="0" applyNumberFormat="1" applyFont="1" applyFill="1" applyBorder="1" applyAlignment="1">
      <alignment vertical="center"/>
    </xf>
    <xf numFmtId="168" fontId="3" fillId="4" borderId="40" xfId="0" applyNumberFormat="1" applyFont="1" applyFill="1" applyBorder="1" applyAlignment="1">
      <alignment horizontal="center" vertical="center"/>
    </xf>
    <xf numFmtId="168" fontId="3" fillId="0" borderId="24" xfId="0" applyNumberFormat="1" applyFont="1" applyBorder="1" applyAlignment="1">
      <alignment horizontal="center" vertical="center"/>
    </xf>
    <xf numFmtId="168" fontId="3" fillId="0" borderId="25" xfId="0" applyNumberFormat="1" applyFont="1" applyBorder="1" applyAlignment="1">
      <alignment horizontal="center" vertical="center"/>
    </xf>
    <xf numFmtId="168" fontId="64" fillId="12" borderId="38" xfId="0" applyNumberFormat="1" applyFont="1" applyFill="1" applyBorder="1" applyAlignment="1">
      <alignment horizontal="center" vertical="center"/>
    </xf>
    <xf numFmtId="0" fontId="76" fillId="0" borderId="0" xfId="0" applyFont="1" applyAlignment="1">
      <alignment horizontal="center" vertical="center"/>
    </xf>
    <xf numFmtId="0" fontId="62" fillId="0" borderId="25" xfId="0" quotePrefix="1" applyFont="1" applyBorder="1" applyAlignment="1">
      <alignment horizontal="center" vertical="center"/>
    </xf>
    <xf numFmtId="0" fontId="67" fillId="0" borderId="25" xfId="0" quotePrefix="1" applyFont="1" applyBorder="1" applyAlignment="1">
      <alignment horizontal="center" vertical="center"/>
    </xf>
    <xf numFmtId="0" fontId="76" fillId="0" borderId="43" xfId="0" applyFont="1" applyBorder="1" applyAlignment="1">
      <alignment horizontal="center" vertical="center"/>
    </xf>
    <xf numFmtId="0" fontId="2" fillId="4" borderId="27" xfId="0" applyFont="1" applyFill="1" applyBorder="1" applyAlignment="1">
      <alignment vertical="center"/>
    </xf>
    <xf numFmtId="0" fontId="2" fillId="4" borderId="56" xfId="0" applyFont="1" applyFill="1" applyBorder="1" applyAlignment="1">
      <alignment vertical="center"/>
    </xf>
    <xf numFmtId="0" fontId="3" fillId="0" borderId="57" xfId="0" applyFont="1" applyBorder="1" applyAlignment="1">
      <alignment horizontal="center" vertical="center"/>
    </xf>
    <xf numFmtId="0" fontId="76" fillId="0" borderId="23" xfId="0" applyFont="1" applyBorder="1" applyAlignment="1">
      <alignment horizontal="center" vertical="center"/>
    </xf>
    <xf numFmtId="168" fontId="18" fillId="0" borderId="25" xfId="0" applyNumberFormat="1" applyFont="1" applyBorder="1" applyAlignment="1">
      <alignment horizontal="center" vertical="center"/>
    </xf>
    <xf numFmtId="168" fontId="18" fillId="0" borderId="0" xfId="0" applyNumberFormat="1" applyFont="1" applyAlignment="1">
      <alignment horizontal="center" vertical="center"/>
    </xf>
    <xf numFmtId="0" fontId="77" fillId="3" borderId="23" xfId="0" applyFont="1" applyFill="1" applyBorder="1" applyAlignment="1">
      <alignment horizontal="center" vertical="center"/>
    </xf>
    <xf numFmtId="0" fontId="75" fillId="0" borderId="23" xfId="0" applyFont="1" applyBorder="1"/>
    <xf numFmtId="16" fontId="75" fillId="0" borderId="23" xfId="0" applyNumberFormat="1" applyFont="1" applyBorder="1"/>
    <xf numFmtId="0" fontId="75" fillId="4" borderId="23" xfId="0" applyFont="1" applyFill="1" applyBorder="1"/>
    <xf numFmtId="0" fontId="75" fillId="28" borderId="23" xfId="0" applyFont="1" applyFill="1" applyBorder="1"/>
    <xf numFmtId="0" fontId="76" fillId="0" borderId="42" xfId="0" applyFont="1" applyBorder="1" applyAlignment="1">
      <alignment horizontal="center" vertical="center"/>
    </xf>
    <xf numFmtId="0" fontId="79" fillId="0" borderId="23" xfId="0" applyFont="1" applyBorder="1"/>
    <xf numFmtId="0" fontId="9" fillId="4" borderId="40" xfId="0" applyFont="1" applyFill="1" applyBorder="1" applyAlignment="1">
      <alignment horizontal="center" vertical="center"/>
    </xf>
    <xf numFmtId="0" fontId="75" fillId="5" borderId="23" xfId="0" applyFont="1" applyFill="1" applyBorder="1"/>
    <xf numFmtId="0" fontId="75" fillId="5" borderId="0" xfId="0" applyFont="1" applyFill="1"/>
    <xf numFmtId="0" fontId="2" fillId="0" borderId="58" xfId="0" applyFont="1" applyBorder="1" applyAlignment="1">
      <alignment vertical="center"/>
    </xf>
    <xf numFmtId="0" fontId="75" fillId="29" borderId="23" xfId="0" applyFont="1" applyFill="1" applyBorder="1"/>
    <xf numFmtId="0" fontId="75" fillId="29" borderId="0" xfId="0" applyFont="1" applyFill="1"/>
    <xf numFmtId="168" fontId="18" fillId="0" borderId="24" xfId="0" applyNumberFormat="1" applyFont="1" applyBorder="1" applyAlignment="1">
      <alignment horizontal="center" vertical="center"/>
    </xf>
    <xf numFmtId="0" fontId="2" fillId="8" borderId="0" xfId="0" applyFont="1" applyFill="1" applyAlignment="1">
      <alignment vertical="center"/>
    </xf>
    <xf numFmtId="0" fontId="68" fillId="0" borderId="7" xfId="0" quotePrefix="1" applyFont="1" applyBorder="1" applyAlignment="1">
      <alignment horizontal="left" vertical="center" wrapText="1" indent="1"/>
    </xf>
    <xf numFmtId="0" fontId="68" fillId="0" borderId="8" xfId="0" applyFont="1" applyBorder="1" applyAlignment="1">
      <alignment horizontal="left" vertical="center" wrapText="1" indent="1"/>
    </xf>
    <xf numFmtId="0" fontId="68" fillId="0" borderId="9" xfId="0" applyFont="1" applyBorder="1" applyAlignment="1">
      <alignment horizontal="left" vertical="center" wrapText="1" indent="1"/>
    </xf>
    <xf numFmtId="0" fontId="68" fillId="0" borderId="10" xfId="0" applyFont="1" applyBorder="1" applyAlignment="1">
      <alignment horizontal="left" vertical="center" wrapText="1" indent="1"/>
    </xf>
    <xf numFmtId="0" fontId="68" fillId="0" borderId="0" xfId="0" applyFont="1" applyAlignment="1">
      <alignment horizontal="left" vertical="center" wrapText="1" indent="1"/>
    </xf>
    <xf numFmtId="0" fontId="68" fillId="0" borderId="11" xfId="0" applyFont="1" applyBorder="1" applyAlignment="1">
      <alignment horizontal="left" vertical="center" wrapText="1" indent="1"/>
    </xf>
    <xf numFmtId="0" fontId="68" fillId="0" borderId="12" xfId="0" applyFont="1" applyBorder="1" applyAlignment="1">
      <alignment horizontal="left" vertical="center" wrapText="1" indent="1"/>
    </xf>
    <xf numFmtId="0" fontId="68" fillId="0" borderId="13" xfId="0" applyFont="1" applyBorder="1" applyAlignment="1">
      <alignment horizontal="left" vertical="center" wrapText="1" indent="1"/>
    </xf>
    <xf numFmtId="0" fontId="68" fillId="0" borderId="14" xfId="0" applyFont="1" applyBorder="1" applyAlignment="1">
      <alignment horizontal="left" vertical="center" wrapText="1" indent="1"/>
    </xf>
    <xf numFmtId="0" fontId="3" fillId="8" borderId="7" xfId="0" applyFont="1" applyFill="1" applyBorder="1" applyAlignment="1">
      <alignment horizontal="left" vertical="center" wrapText="1"/>
    </xf>
    <xf numFmtId="0" fontId="3" fillId="8" borderId="8" xfId="0" applyFont="1" applyFill="1" applyBorder="1" applyAlignment="1">
      <alignment horizontal="left" vertical="center" wrapText="1"/>
    </xf>
    <xf numFmtId="0" fontId="3" fillId="8" borderId="9" xfId="0" applyFont="1" applyFill="1" applyBorder="1" applyAlignment="1">
      <alignment horizontal="left" vertical="center" wrapText="1"/>
    </xf>
    <xf numFmtId="0" fontId="3" fillId="8" borderId="10" xfId="0" applyFont="1" applyFill="1" applyBorder="1" applyAlignment="1">
      <alignment horizontal="left" vertical="center" wrapText="1"/>
    </xf>
    <xf numFmtId="0" fontId="3" fillId="8" borderId="0" xfId="0" applyFont="1" applyFill="1" applyAlignment="1">
      <alignment horizontal="left" vertical="center" wrapText="1"/>
    </xf>
    <xf numFmtId="0" fontId="3" fillId="8" borderId="11" xfId="0" applyFont="1" applyFill="1" applyBorder="1" applyAlignment="1">
      <alignment horizontal="left" vertical="center" wrapText="1"/>
    </xf>
    <xf numFmtId="0" fontId="3" fillId="8" borderId="17" xfId="0" applyFont="1" applyFill="1" applyBorder="1" applyAlignment="1">
      <alignment horizontal="left" vertical="center" wrapText="1"/>
    </xf>
    <xf numFmtId="0" fontId="3" fillId="8" borderId="16" xfId="0" applyFont="1" applyFill="1" applyBorder="1" applyAlignment="1">
      <alignment horizontal="left" vertical="center" wrapText="1"/>
    </xf>
    <xf numFmtId="0" fontId="3" fillId="8" borderId="18" xfId="0" applyFont="1" applyFill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6" fillId="3" borderId="44" xfId="0" applyFont="1" applyFill="1" applyBorder="1" applyAlignment="1">
      <alignment horizontal="center"/>
    </xf>
    <xf numFmtId="0" fontId="10" fillId="24" borderId="35" xfId="0" applyFont="1" applyFill="1" applyBorder="1" applyAlignment="1">
      <alignment horizontal="center" vertical="center"/>
    </xf>
    <xf numFmtId="0" fontId="10" fillId="24" borderId="38" xfId="0" applyFont="1" applyFill="1" applyBorder="1" applyAlignment="1">
      <alignment horizontal="center" vertical="center"/>
    </xf>
    <xf numFmtId="0" fontId="10" fillId="24" borderId="36" xfId="0" applyFont="1" applyFill="1" applyBorder="1" applyAlignment="1">
      <alignment horizontal="center" vertical="center"/>
    </xf>
    <xf numFmtId="0" fontId="6" fillId="3" borderId="37" xfId="0" applyFont="1" applyFill="1" applyBorder="1" applyAlignment="1">
      <alignment horizontal="center" vertical="center"/>
    </xf>
    <xf numFmtId="0" fontId="6" fillId="3" borderId="35" xfId="0" applyFont="1" applyFill="1" applyBorder="1" applyAlignment="1">
      <alignment horizontal="center" vertical="center"/>
    </xf>
    <xf numFmtId="0" fontId="6" fillId="3" borderId="36" xfId="0" applyFont="1" applyFill="1" applyBorder="1" applyAlignment="1">
      <alignment horizontal="center" vertical="center"/>
    </xf>
    <xf numFmtId="0" fontId="74" fillId="27" borderId="0" xfId="0" applyFont="1" applyFill="1" applyAlignment="1">
      <alignment horizontal="center"/>
    </xf>
    <xf numFmtId="0" fontId="6" fillId="3" borderId="21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</cellXfs>
  <cellStyles count="4">
    <cellStyle name="Normal" xfId="0" builtinId="0"/>
    <cellStyle name="Normal 2" xfId="3" xr:uid="{00000000-0005-0000-0000-000001000000}"/>
    <cellStyle name="Normal 3" xfId="2" xr:uid="{00000000-0005-0000-0000-000002000000}"/>
    <cellStyle name="Percent" xfId="1" builtinId="5"/>
  </cellStyles>
  <dxfs count="99">
    <dxf>
      <fill>
        <patternFill>
          <bgColor theme="7" tint="0.79998168889431442"/>
        </patternFill>
      </fill>
    </dxf>
    <dxf>
      <fill>
        <patternFill>
          <bgColor rgb="FFFFDDDD"/>
        </patternFill>
      </fill>
    </dxf>
    <dxf>
      <fill>
        <patternFill>
          <bgColor theme="7" tint="0.79998168889431442"/>
        </patternFill>
      </fill>
    </dxf>
    <dxf>
      <fill>
        <patternFill>
          <bgColor rgb="FFFFDDDD"/>
        </patternFill>
      </fill>
    </dxf>
    <dxf>
      <font>
        <color rgb="FFFF9191"/>
      </font>
      <fill>
        <patternFill>
          <bgColor rgb="FFFF9191"/>
        </patternFill>
      </fill>
    </dxf>
    <dxf>
      <font>
        <color rgb="FFFF9191"/>
      </font>
      <fill>
        <patternFill>
          <bgColor rgb="FFFF9191"/>
        </patternFill>
      </fill>
    </dxf>
    <dxf>
      <font>
        <color rgb="FFFFC8C8"/>
      </font>
      <fill>
        <patternFill>
          <bgColor rgb="FFFFC8C8"/>
        </patternFill>
      </fill>
    </dxf>
    <dxf>
      <fill>
        <patternFill>
          <bgColor theme="0"/>
        </patternFill>
      </fill>
    </dxf>
    <dxf>
      <font>
        <color rgb="FFFFC8C8"/>
      </font>
      <fill>
        <patternFill>
          <bgColor rgb="FFFFC8C8"/>
        </patternFill>
      </fill>
    </dxf>
    <dxf>
      <fill>
        <patternFill>
          <bgColor theme="0"/>
        </patternFill>
      </fill>
    </dxf>
    <dxf>
      <font>
        <color rgb="FFFF9191"/>
      </font>
      <fill>
        <patternFill>
          <bgColor rgb="FFFF9191"/>
        </patternFill>
      </fill>
    </dxf>
    <dxf>
      <fill>
        <patternFill>
          <bgColor rgb="FFFFDDDD"/>
        </patternFill>
      </fill>
    </dxf>
    <dxf>
      <fill>
        <patternFill>
          <bgColor theme="7" tint="0.79998168889431442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b/>
        <i val="0"/>
        <color rgb="FFFFC000"/>
      </font>
      <fill>
        <patternFill>
          <bgColor theme="9" tint="0.59996337778862885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color rgb="FFFF0000"/>
      </font>
      <fill>
        <patternFill>
          <bgColor rgb="FFFFDDDD"/>
        </patternFill>
      </fill>
    </dxf>
    <dxf>
      <font>
        <b/>
        <i val="0"/>
        <color rgb="FFFF0000"/>
      </font>
      <fill>
        <patternFill>
          <bgColor rgb="FFFFA893"/>
        </patternFill>
      </fill>
    </dxf>
    <dxf>
      <font>
        <b/>
        <i val="0"/>
        <color rgb="FF00B050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theme="7" tint="0.59996337778862885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b/>
        <i val="0"/>
        <color rgb="FFFF0000"/>
      </font>
    </dxf>
    <dxf>
      <font>
        <color rgb="FFFF0000"/>
      </font>
      <fill>
        <patternFill>
          <bgColor theme="4" tint="0.79998168889431442"/>
        </patternFill>
      </fill>
    </dxf>
    <dxf>
      <font>
        <color rgb="FF00B050"/>
      </font>
      <fill>
        <patternFill>
          <bgColor theme="7" tint="0.79998168889431442"/>
        </patternFill>
      </fill>
    </dxf>
    <dxf>
      <font>
        <color rgb="FF00B05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4" tint="0.79998168889431442"/>
        </patternFill>
      </fill>
    </dxf>
    <dxf>
      <font>
        <color rgb="FF00B05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4" tint="0.79998168889431442"/>
        </patternFill>
      </fill>
    </dxf>
    <dxf>
      <font>
        <color rgb="FF00B05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4" tint="0.79998168889431442"/>
        </patternFill>
      </fill>
    </dxf>
    <dxf>
      <font>
        <b/>
        <i val="0"/>
        <color rgb="FFFFC000"/>
      </font>
      <fill>
        <patternFill>
          <bgColor theme="9" tint="0.59996337778862885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b/>
        <i val="0"/>
        <color rgb="FFFFC000"/>
      </font>
      <fill>
        <patternFill>
          <bgColor theme="9" tint="0.59996337778862885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b/>
        <i val="0"/>
        <color rgb="FFFFC000"/>
      </font>
      <fill>
        <patternFill>
          <bgColor theme="9" tint="0.59996337778862885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rgb="FFFFC000"/>
      </font>
      <fill>
        <patternFill>
          <bgColor theme="9" tint="0.59996337778862885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 outline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0" formatCode="General"/>
      <border diagonalUp="0" diagonalDown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/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family val="2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antander Text"/>
        <scheme val="none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antander Tex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border outline="0">
        <left style="thin">
          <color theme="0" tint="-0.34998626667073579"/>
        </left>
        <right style="thin">
          <color theme="0" tint="-0.34998626667073579"/>
        </right>
        <bottom style="thin">
          <color theme="0" tint="-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antander Text"/>
        <scheme val="none"/>
      </font>
      <fill>
        <patternFill patternType="solid">
          <fgColor indexed="64"/>
          <bgColor theme="4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</dxfs>
  <tableStyles count="0" defaultTableStyle="TableStyleMedium2" defaultPivotStyle="PivotStyleLight16"/>
  <colors>
    <mruColors>
      <color rgb="FFFF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haredStrings" Target="sharedStrings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microsoft.com/office/2022/11/relationships/FeaturePropertyBag" Target="featurePropertyBag/featurePropertyBag.xml"/><Relationship Id="rId27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 - Testes LT-GD - Plano_versão trabalho_v0.23.xlsx]Pivots_GD!PivotTable1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bg1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3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4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0"/>
        <c:ser>
          <c:idx val="0"/>
          <c:order val="0"/>
          <c:tx>
            <c:strRef>
              <c:f>Pivots_GD!$C$4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dPt>
            <c:idx val="0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3F5-45C1-87B6-53BCD3D69CCD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3F5-45C1-87B6-53BCD3D69CCD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5-43F5-45C1-87B6-53BCD3D69CCD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7-48B7-414C-A219-48DB8A257391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6-48B7-414C-A219-48DB8A25739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Pivots_GD!$B$5:$B$7</c:f>
              <c:strCache>
                <c:ptCount val="2"/>
                <c:pt idx="0">
                  <c:v>0. Cancelado</c:v>
                </c:pt>
                <c:pt idx="1">
                  <c:v>2. Concluído</c:v>
                </c:pt>
              </c:strCache>
            </c:strRef>
          </c:cat>
          <c:val>
            <c:numRef>
              <c:f>Pivots_GD!$C$5:$C$7</c:f>
              <c:numCache>
                <c:formatCode>General</c:formatCode>
                <c:ptCount val="2"/>
                <c:pt idx="0">
                  <c:v>3</c:v>
                </c:pt>
                <c:pt idx="1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3F5-45C1-87B6-53BCD3D69C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 - Testes LT-GD - Plano_versão trabalho_v0.23.xlsx]Pivots_GD!PivotTable2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3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</c:pivotFmt>
      <c:pivotFmt>
        <c:idx val="16"/>
        <c:spPr>
          <a:solidFill>
            <a:schemeClr val="accent4"/>
          </a:solidFill>
          <a:ln>
            <a:noFill/>
          </a:ln>
          <a:effectLst/>
        </c:spPr>
      </c:pivotFmt>
      <c:pivotFmt>
        <c:idx val="17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</c:pivotFmt>
      <c:pivotFmt>
        <c:idx val="19"/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Pivots_GD!$C$14:$C$15</c:f>
              <c:strCache>
                <c:ptCount val="1"/>
                <c:pt idx="0">
                  <c:v>0. Cancelado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Pivots_GD!$B$16:$B$18</c:f>
              <c:strCache>
                <c:ptCount val="2"/>
                <c:pt idx="0">
                  <c:v>lt002_instrument</c:v>
                </c:pt>
                <c:pt idx="1">
                  <c:v>lt824_assoc_kpi_gd</c:v>
                </c:pt>
              </c:strCache>
            </c:strRef>
          </c:cat>
          <c:val>
            <c:numRef>
              <c:f>Pivots_GD!$C$16:$C$18</c:f>
              <c:numCache>
                <c:formatCode>General</c:formatCode>
                <c:ptCount val="2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34-4910-A4EC-EE8B43B1D6A5}"/>
            </c:ext>
          </c:extLst>
        </c:ser>
        <c:ser>
          <c:idx val="1"/>
          <c:order val="1"/>
          <c:tx>
            <c:strRef>
              <c:f>Pivots_GD!$D$14:$D$15</c:f>
              <c:strCache>
                <c:ptCount val="1"/>
                <c:pt idx="0">
                  <c:v>2. Concluído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CA9-4239-AC64-B8597B14CC4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Pivots_GD!$B$16:$B$18</c:f>
              <c:strCache>
                <c:ptCount val="2"/>
                <c:pt idx="0">
                  <c:v>lt002_instrument</c:v>
                </c:pt>
                <c:pt idx="1">
                  <c:v>lt824_assoc_kpi_gd</c:v>
                </c:pt>
              </c:strCache>
            </c:strRef>
          </c:cat>
          <c:val>
            <c:numRef>
              <c:f>Pivots_GD!$D$16:$D$18</c:f>
              <c:numCache>
                <c:formatCode>General</c:formatCode>
                <c:ptCount val="2"/>
                <c:pt idx="0">
                  <c:v>29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34-4910-A4EC-EE8B43B1D6A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575245664"/>
        <c:axId val="1060630656"/>
      </c:barChart>
      <c:catAx>
        <c:axId val="157524566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1060630656"/>
        <c:crosses val="autoZero"/>
        <c:auto val="1"/>
        <c:lblAlgn val="ctr"/>
        <c:lblOffset val="100"/>
        <c:noMultiLvlLbl val="0"/>
      </c:catAx>
      <c:valAx>
        <c:axId val="10606306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7524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 - Testes LT-GD - Plano_versão trabalho_v0.23.xlsx]Pivots_GD!PivotTable4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Pivots_GD!$C$28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97C-478C-9BD5-0FCE6BC24AF7}"/>
              </c:ext>
            </c:extLst>
          </c:dPt>
          <c:dPt>
            <c:idx val="1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97C-478C-9BD5-0FCE6BC24AF7}"/>
              </c:ext>
            </c:extLst>
          </c:dPt>
          <c:dPt>
            <c:idx val="2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82E-43C7-B308-F3C512E83367}"/>
              </c:ext>
            </c:extLst>
          </c:dPt>
          <c:dPt>
            <c:idx val="3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1B4-4334-9699-5D7C4F2C4A7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48A-40D1-9B2A-BBF6FD16B23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Pivots_GD!$B$29:$B$33</c:f>
              <c:strCache>
                <c:ptCount val="4"/>
                <c:pt idx="0">
                  <c:v>1. Concluído</c:v>
                </c:pt>
                <c:pt idx="1">
                  <c:v>4. Validação da especificação</c:v>
                </c:pt>
                <c:pt idx="2">
                  <c:v>2. Em Especificação/Re-especificação</c:v>
                </c:pt>
                <c:pt idx="3">
                  <c:v>5. Por Iniciar</c:v>
                </c:pt>
              </c:strCache>
            </c:strRef>
          </c:cat>
          <c:val>
            <c:numRef>
              <c:f>Pivots_GD!$C$29:$C$33</c:f>
              <c:numCache>
                <c:formatCode>General</c:formatCode>
                <c:ptCount val="4"/>
                <c:pt idx="0">
                  <c:v>39</c:v>
                </c:pt>
                <c:pt idx="1">
                  <c:v>12</c:v>
                </c:pt>
                <c:pt idx="2">
                  <c:v>14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97C-478C-9BD5-0FCE6BC24AF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 - Testes LT-GD - Plano_versão trabalho_v0.23.xlsx]Pivots_GD!PivotTable5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ln>
                    <a:noFill/>
                  </a:ln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bg1">
              <a:lumMod val="75000"/>
            </a:schemeClr>
          </a:solidFill>
          <a:ln>
            <a:noFill/>
          </a:ln>
          <a:effectLst/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Pivots_GD!$C$39:$C$40</c:f>
              <c:strCache>
                <c:ptCount val="1"/>
                <c:pt idx="0">
                  <c:v>1. Concluído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Pivots_GD!$B$41:$B$46</c:f>
              <c:strCache>
                <c:ptCount val="5"/>
                <c:pt idx="0">
                  <c:v>lt002_instrument</c:v>
                </c:pt>
                <c:pt idx="1">
                  <c:v>lt004_protection</c:v>
                </c:pt>
                <c:pt idx="2">
                  <c:v>lt006_instr_protection</c:v>
                </c:pt>
                <c:pt idx="3">
                  <c:v>lt007_instr_activity</c:v>
                </c:pt>
                <c:pt idx="4">
                  <c:v>lt824_assoc_kpi_gd</c:v>
                </c:pt>
              </c:strCache>
            </c:strRef>
          </c:cat>
          <c:val>
            <c:numRef>
              <c:f>Pivots_GD!$C$41:$C$46</c:f>
              <c:numCache>
                <c:formatCode>General</c:formatCode>
                <c:ptCount val="5"/>
                <c:pt idx="0">
                  <c:v>30</c:v>
                </c:pt>
                <c:pt idx="1">
                  <c:v>5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4D-4EDA-BE1A-9B63D502E814}"/>
            </c:ext>
          </c:extLst>
        </c:ser>
        <c:ser>
          <c:idx val="1"/>
          <c:order val="1"/>
          <c:tx>
            <c:strRef>
              <c:f>Pivots_GD!$D$39:$D$40</c:f>
              <c:strCache>
                <c:ptCount val="1"/>
                <c:pt idx="0">
                  <c:v>4. Validação da especificação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Pivots_GD!$B$41:$B$46</c:f>
              <c:strCache>
                <c:ptCount val="5"/>
                <c:pt idx="0">
                  <c:v>lt002_instrument</c:v>
                </c:pt>
                <c:pt idx="1">
                  <c:v>lt004_protection</c:v>
                </c:pt>
                <c:pt idx="2">
                  <c:v>lt006_instr_protection</c:v>
                </c:pt>
                <c:pt idx="3">
                  <c:v>lt007_instr_activity</c:v>
                </c:pt>
                <c:pt idx="4">
                  <c:v>lt824_assoc_kpi_gd</c:v>
                </c:pt>
              </c:strCache>
            </c:strRef>
          </c:cat>
          <c:val>
            <c:numRef>
              <c:f>Pivots_GD!$D$41:$D$46</c:f>
              <c:numCache>
                <c:formatCode>General</c:formatCode>
                <c:ptCount val="5"/>
                <c:pt idx="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4D-4EDA-BE1A-9B63D502E814}"/>
            </c:ext>
          </c:extLst>
        </c:ser>
        <c:ser>
          <c:idx val="2"/>
          <c:order val="2"/>
          <c:tx>
            <c:strRef>
              <c:f>Pivots_GD!$E$39:$E$40</c:f>
              <c:strCache>
                <c:ptCount val="1"/>
                <c:pt idx="0">
                  <c:v>2. Em Especificação/Re-especificação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Pivots_GD!$B$41:$B$46</c:f>
              <c:strCache>
                <c:ptCount val="5"/>
                <c:pt idx="0">
                  <c:v>lt002_instrument</c:v>
                </c:pt>
                <c:pt idx="1">
                  <c:v>lt004_protection</c:v>
                </c:pt>
                <c:pt idx="2">
                  <c:v>lt006_instr_protection</c:v>
                </c:pt>
                <c:pt idx="3">
                  <c:v>lt007_instr_activity</c:v>
                </c:pt>
                <c:pt idx="4">
                  <c:v>lt824_assoc_kpi_gd</c:v>
                </c:pt>
              </c:strCache>
            </c:strRef>
          </c:cat>
          <c:val>
            <c:numRef>
              <c:f>Pivots_GD!$E$41:$E$46</c:f>
              <c:numCache>
                <c:formatCode>General</c:formatCode>
                <c:ptCount val="5"/>
                <c:pt idx="0">
                  <c:v>1</c:v>
                </c:pt>
                <c:pt idx="2">
                  <c:v>1</c:v>
                </c:pt>
                <c:pt idx="3">
                  <c:v>6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54-40B1-BD86-992106C0C576}"/>
            </c:ext>
          </c:extLst>
        </c:ser>
        <c:ser>
          <c:idx val="3"/>
          <c:order val="3"/>
          <c:tx>
            <c:strRef>
              <c:f>Pivots_GD!$F$39:$F$40</c:f>
              <c:strCache>
                <c:ptCount val="1"/>
                <c:pt idx="0">
                  <c:v>5. Por Iniciar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ln>
                      <a:noFill/>
                    </a:ln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Pivots_GD!$B$41:$B$46</c:f>
              <c:strCache>
                <c:ptCount val="5"/>
                <c:pt idx="0">
                  <c:v>lt002_instrument</c:v>
                </c:pt>
                <c:pt idx="1">
                  <c:v>lt004_protection</c:v>
                </c:pt>
                <c:pt idx="2">
                  <c:v>lt006_instr_protection</c:v>
                </c:pt>
                <c:pt idx="3">
                  <c:v>lt007_instr_activity</c:v>
                </c:pt>
                <c:pt idx="4">
                  <c:v>lt824_assoc_kpi_gd</c:v>
                </c:pt>
              </c:strCache>
            </c:strRef>
          </c:cat>
          <c:val>
            <c:numRef>
              <c:f>Pivots_GD!$F$41:$F$46</c:f>
              <c:numCache>
                <c:formatCode>General</c:formatCode>
                <c:ptCount val="5"/>
                <c:pt idx="0">
                  <c:v>8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69-44B7-9018-6EFAB90EA5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2007519"/>
        <c:axId val="961995519"/>
      </c:barChart>
      <c:catAx>
        <c:axId val="962007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961995519"/>
        <c:crosses val="autoZero"/>
        <c:auto val="1"/>
        <c:lblAlgn val="ctr"/>
        <c:lblOffset val="100"/>
        <c:noMultiLvlLbl val="0"/>
      </c:catAx>
      <c:valAx>
        <c:axId val="9619955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62007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chart" Target="../charts/chart4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chart" Target="../charts/chart3.xml"/><Relationship Id="rId5" Type="http://schemas.openxmlformats.org/officeDocument/2006/relationships/chart" Target="../charts/chart2.xml"/><Relationship Id="rId4" Type="http://schemas.openxmlformats.org/officeDocument/2006/relationships/image" Target="../media/image3.sv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103372</xdr:colOff>
      <xdr:row>17</xdr:row>
      <xdr:rowOff>0</xdr:rowOff>
    </xdr:from>
    <xdr:to>
      <xdr:col>5</xdr:col>
      <xdr:colOff>1049722</xdr:colOff>
      <xdr:row>28</xdr:row>
      <xdr:rowOff>95251</xdr:rowOff>
    </xdr:to>
    <xdr:graphicFrame macro="">
      <xdr:nvGraphicFramePr>
        <xdr:cNvPr id="40" name="Chart 60">
          <a:extLst>
            <a:ext uri="{FF2B5EF4-FFF2-40B4-BE49-F238E27FC236}">
              <a16:creationId xmlns:a16="http://schemas.microsoft.com/office/drawing/2014/main" id="{491CC9A2-0BAD-4204-BB8C-8E971B727B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530948</xdr:colOff>
      <xdr:row>0</xdr:row>
      <xdr:rowOff>92802</xdr:rowOff>
    </xdr:from>
    <xdr:to>
      <xdr:col>4</xdr:col>
      <xdr:colOff>806262</xdr:colOff>
      <xdr:row>2</xdr:row>
      <xdr:rowOff>93382</xdr:rowOff>
    </xdr:to>
    <xdr:pic>
      <xdr:nvPicPr>
        <xdr:cNvPr id="11" name="Graphic 267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69198" y="92802"/>
          <a:ext cx="1227814" cy="438730"/>
        </a:xfrm>
        <a:prstGeom prst="rect">
          <a:avLst/>
        </a:prstGeom>
      </xdr:spPr>
    </xdr:pic>
    <xdr:clientData/>
  </xdr:twoCellAnchor>
  <xdr:twoCellAnchor>
    <xdr:from>
      <xdr:col>6</xdr:col>
      <xdr:colOff>513109</xdr:colOff>
      <xdr:row>18</xdr:row>
      <xdr:rowOff>56603</xdr:rowOff>
    </xdr:from>
    <xdr:to>
      <xdr:col>6</xdr:col>
      <xdr:colOff>631909</xdr:colOff>
      <xdr:row>18</xdr:row>
      <xdr:rowOff>167783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spect="1"/>
        </xdr:cNvSpPr>
      </xdr:nvSpPr>
      <xdr:spPr>
        <a:xfrm>
          <a:off x="12505084" y="9714953"/>
          <a:ext cx="118800" cy="111180"/>
        </a:xfrm>
        <a:prstGeom prst="ellipse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19</xdr:row>
      <xdr:rowOff>58238</xdr:rowOff>
    </xdr:from>
    <xdr:to>
      <xdr:col>6</xdr:col>
      <xdr:colOff>628099</xdr:colOff>
      <xdr:row>19</xdr:row>
      <xdr:rowOff>169418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spect="1"/>
        </xdr:cNvSpPr>
      </xdr:nvSpPr>
      <xdr:spPr>
        <a:xfrm>
          <a:off x="9089419" y="5360488"/>
          <a:ext cx="111180" cy="111180"/>
        </a:xfrm>
        <a:prstGeom prst="ellipse">
          <a:avLst/>
        </a:prstGeom>
        <a:solidFill>
          <a:schemeClr val="accent3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20</xdr:row>
      <xdr:rowOff>56063</xdr:rowOff>
    </xdr:from>
    <xdr:to>
      <xdr:col>6</xdr:col>
      <xdr:colOff>628099</xdr:colOff>
      <xdr:row>20</xdr:row>
      <xdr:rowOff>167243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spect="1"/>
        </xdr:cNvSpPr>
      </xdr:nvSpPr>
      <xdr:spPr>
        <a:xfrm>
          <a:off x="9089419" y="5575271"/>
          <a:ext cx="111180" cy="11118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22</xdr:row>
      <xdr:rowOff>59331</xdr:rowOff>
    </xdr:from>
    <xdr:to>
      <xdr:col>6</xdr:col>
      <xdr:colOff>629912</xdr:colOff>
      <xdr:row>22</xdr:row>
      <xdr:rowOff>178131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Aspect="1"/>
        </xdr:cNvSpPr>
      </xdr:nvSpPr>
      <xdr:spPr>
        <a:xfrm>
          <a:off x="5184169" y="10593981"/>
          <a:ext cx="112993" cy="118800"/>
        </a:xfrm>
        <a:prstGeom prst="ellipse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513109</xdr:colOff>
      <xdr:row>23</xdr:row>
      <xdr:rowOff>60155</xdr:rowOff>
    </xdr:from>
    <xdr:to>
      <xdr:col>6</xdr:col>
      <xdr:colOff>631909</xdr:colOff>
      <xdr:row>23</xdr:row>
      <xdr:rowOff>171335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>
          <a:spLocks noChangeAspect="1"/>
        </xdr:cNvSpPr>
      </xdr:nvSpPr>
      <xdr:spPr>
        <a:xfrm>
          <a:off x="9085609" y="6881113"/>
          <a:ext cx="118800" cy="111180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0</xdr:col>
      <xdr:colOff>156209</xdr:colOff>
      <xdr:row>0</xdr:row>
      <xdr:rowOff>165522</xdr:rowOff>
    </xdr:from>
    <xdr:to>
      <xdr:col>3</xdr:col>
      <xdr:colOff>307824</xdr:colOff>
      <xdr:row>2</xdr:row>
      <xdr:rowOff>78105</xdr:rowOff>
    </xdr:to>
    <xdr:pic>
      <xdr:nvPicPr>
        <xdr:cNvPr id="15" name="Gráfico 10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56209" y="186477"/>
          <a:ext cx="1350314" cy="368694"/>
        </a:xfrm>
        <a:prstGeom prst="rect">
          <a:avLst/>
        </a:prstGeom>
      </xdr:spPr>
    </xdr:pic>
    <xdr:clientData/>
  </xdr:twoCellAnchor>
  <xdr:twoCellAnchor>
    <xdr:from>
      <xdr:col>6</xdr:col>
      <xdr:colOff>516919</xdr:colOff>
      <xdr:row>21</xdr:row>
      <xdr:rowOff>53887</xdr:rowOff>
    </xdr:from>
    <xdr:to>
      <xdr:col>6</xdr:col>
      <xdr:colOff>628099</xdr:colOff>
      <xdr:row>21</xdr:row>
      <xdr:rowOff>172687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spect="1"/>
        </xdr:cNvSpPr>
      </xdr:nvSpPr>
      <xdr:spPr>
        <a:xfrm>
          <a:off x="9089419" y="5790054"/>
          <a:ext cx="111180" cy="118800"/>
        </a:xfrm>
        <a:prstGeom prst="ellipse">
          <a:avLst/>
        </a:prstGeom>
        <a:solidFill>
          <a:schemeClr val="accent4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</xdr:col>
      <xdr:colOff>103372</xdr:colOff>
      <xdr:row>30</xdr:row>
      <xdr:rowOff>114299</xdr:rowOff>
    </xdr:from>
    <xdr:to>
      <xdr:col>6</xdr:col>
      <xdr:colOff>312923</xdr:colOff>
      <xdr:row>37</xdr:row>
      <xdr:rowOff>200025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E235610-1344-4958-9969-1ABABFE45B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516919</xdr:colOff>
      <xdr:row>44</xdr:row>
      <xdr:rowOff>60413</xdr:rowOff>
    </xdr:from>
    <xdr:to>
      <xdr:col>6</xdr:col>
      <xdr:colOff>628099</xdr:colOff>
      <xdr:row>44</xdr:row>
      <xdr:rowOff>171593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DD1152B3-1D2A-437D-9068-495A57E4BBCF}"/>
            </a:ext>
          </a:extLst>
        </xdr:cNvPr>
        <xdr:cNvSpPr>
          <a:spLocks noChangeAspect="1"/>
        </xdr:cNvSpPr>
      </xdr:nvSpPr>
      <xdr:spPr>
        <a:xfrm>
          <a:off x="5131252" y="9468996"/>
          <a:ext cx="111180" cy="111180"/>
        </a:xfrm>
        <a:prstGeom prst="ellipse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46</xdr:row>
      <xdr:rowOff>56063</xdr:rowOff>
    </xdr:from>
    <xdr:to>
      <xdr:col>6</xdr:col>
      <xdr:colOff>628099</xdr:colOff>
      <xdr:row>46</xdr:row>
      <xdr:rowOff>167243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946AC157-99FA-42F4-9E14-A758DE7BF4F7}"/>
            </a:ext>
          </a:extLst>
        </xdr:cNvPr>
        <xdr:cNvSpPr>
          <a:spLocks noChangeAspect="1"/>
        </xdr:cNvSpPr>
      </xdr:nvSpPr>
      <xdr:spPr>
        <a:xfrm>
          <a:off x="5136544" y="3723188"/>
          <a:ext cx="111180" cy="111180"/>
        </a:xfrm>
        <a:prstGeom prst="ellips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48</xdr:row>
      <xdr:rowOff>59331</xdr:rowOff>
    </xdr:from>
    <xdr:to>
      <xdr:col>6</xdr:col>
      <xdr:colOff>629912</xdr:colOff>
      <xdr:row>48</xdr:row>
      <xdr:rowOff>178131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A2EA01BD-32CA-4200-8FAA-CE0BFDA61C6F}"/>
            </a:ext>
          </a:extLst>
        </xdr:cNvPr>
        <xdr:cNvSpPr>
          <a:spLocks noChangeAspect="1"/>
        </xdr:cNvSpPr>
      </xdr:nvSpPr>
      <xdr:spPr>
        <a:xfrm>
          <a:off x="5136544" y="4164606"/>
          <a:ext cx="112993" cy="118800"/>
        </a:xfrm>
        <a:prstGeom prst="ellipse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513109</xdr:colOff>
      <xdr:row>49</xdr:row>
      <xdr:rowOff>60155</xdr:rowOff>
    </xdr:from>
    <xdr:to>
      <xdr:col>6</xdr:col>
      <xdr:colOff>631909</xdr:colOff>
      <xdr:row>49</xdr:row>
      <xdr:rowOff>171335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DD6843CD-4C93-4130-944D-91FF6D7AB6BF}"/>
            </a:ext>
          </a:extLst>
        </xdr:cNvPr>
        <xdr:cNvSpPr>
          <a:spLocks noChangeAspect="1"/>
        </xdr:cNvSpPr>
      </xdr:nvSpPr>
      <xdr:spPr>
        <a:xfrm>
          <a:off x="5132734" y="4384505"/>
          <a:ext cx="118800" cy="111180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516919</xdr:colOff>
      <xdr:row>47</xdr:row>
      <xdr:rowOff>53887</xdr:rowOff>
    </xdr:from>
    <xdr:to>
      <xdr:col>6</xdr:col>
      <xdr:colOff>628099</xdr:colOff>
      <xdr:row>47</xdr:row>
      <xdr:rowOff>172687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099A465C-53AA-4937-89CB-43000A765B09}"/>
            </a:ext>
          </a:extLst>
        </xdr:cNvPr>
        <xdr:cNvSpPr>
          <a:spLocks noChangeAspect="1"/>
        </xdr:cNvSpPr>
      </xdr:nvSpPr>
      <xdr:spPr>
        <a:xfrm>
          <a:off x="5136544" y="3940087"/>
          <a:ext cx="111180" cy="118800"/>
        </a:xfrm>
        <a:prstGeom prst="ellipse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</xdr:col>
      <xdr:colOff>103372</xdr:colOff>
      <xdr:row>42</xdr:row>
      <xdr:rowOff>190500</xdr:rowOff>
    </xdr:from>
    <xdr:to>
      <xdr:col>5</xdr:col>
      <xdr:colOff>1049497</xdr:colOff>
      <xdr:row>54</xdr:row>
      <xdr:rowOff>66150</xdr:rowOff>
    </xdr:to>
    <xdr:graphicFrame macro="">
      <xdr:nvGraphicFramePr>
        <xdr:cNvPr id="68" name="Chart 18">
          <a:extLst>
            <a:ext uri="{FF2B5EF4-FFF2-40B4-BE49-F238E27FC236}">
              <a16:creationId xmlns:a16="http://schemas.microsoft.com/office/drawing/2014/main" id="{3566026F-2225-4D92-A558-D9E077BA1A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103372</xdr:colOff>
      <xdr:row>55</xdr:row>
      <xdr:rowOff>152400</xdr:rowOff>
    </xdr:from>
    <xdr:to>
      <xdr:col>7</xdr:col>
      <xdr:colOff>542925</xdr:colOff>
      <xdr:row>65</xdr:row>
      <xdr:rowOff>185057</xdr:rowOff>
    </xdr:to>
    <xdr:graphicFrame macro="">
      <xdr:nvGraphicFramePr>
        <xdr:cNvPr id="69" name="Chart 19">
          <a:extLst>
            <a:ext uri="{FF2B5EF4-FFF2-40B4-BE49-F238E27FC236}">
              <a16:creationId xmlns:a16="http://schemas.microsoft.com/office/drawing/2014/main" id="{F40DC890-E704-4C35-87C4-E43BC359B9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516919</xdr:colOff>
      <xdr:row>45</xdr:row>
      <xdr:rowOff>56063</xdr:rowOff>
    </xdr:from>
    <xdr:to>
      <xdr:col>6</xdr:col>
      <xdr:colOff>628099</xdr:colOff>
      <xdr:row>45</xdr:row>
      <xdr:rowOff>174863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F0EA45F6-5FEF-4FC0-B913-3C90FBAA79A4}"/>
            </a:ext>
          </a:extLst>
        </xdr:cNvPr>
        <xdr:cNvSpPr>
          <a:spLocks noChangeAspect="1"/>
        </xdr:cNvSpPr>
      </xdr:nvSpPr>
      <xdr:spPr>
        <a:xfrm>
          <a:off x="5131252" y="9708063"/>
          <a:ext cx="111180" cy="11880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11</xdr:col>
      <xdr:colOff>845343</xdr:colOff>
      <xdr:row>19</xdr:row>
      <xdr:rowOff>170974</xdr:rowOff>
    </xdr:from>
    <xdr:to>
      <xdr:col>12</xdr:col>
      <xdr:colOff>234315</xdr:colOff>
      <xdr:row>20</xdr:row>
      <xdr:rowOff>130969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DB3F3D6A-5AB9-E351-D208-13541D23EE1D}"/>
            </a:ext>
          </a:extLst>
        </xdr:cNvPr>
        <xdr:cNvSpPr/>
      </xdr:nvSpPr>
      <xdr:spPr>
        <a:xfrm>
          <a:off x="9965531" y="3992880"/>
          <a:ext cx="341472" cy="17430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800" b="1" kern="1200">
              <a:solidFill>
                <a:srgbClr val="00B050"/>
              </a:solidFill>
              <a:latin typeface="Santander Text" panose="020B0504020201020104" pitchFamily="34" charset="0"/>
            </a:rPr>
            <a:t>+ 4</a:t>
          </a:r>
        </a:p>
      </xdr:txBody>
    </xdr:sp>
    <xdr:clientData/>
  </xdr:twoCellAnchor>
  <xdr:twoCellAnchor>
    <xdr:from>
      <xdr:col>11</xdr:col>
      <xdr:colOff>841058</xdr:colOff>
      <xdr:row>44</xdr:row>
      <xdr:rowOff>206216</xdr:rowOff>
    </xdr:from>
    <xdr:to>
      <xdr:col>12</xdr:col>
      <xdr:colOff>321469</xdr:colOff>
      <xdr:row>45</xdr:row>
      <xdr:rowOff>114777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CE9A3E2A-A55D-43EF-80CF-0C6A6115F8B4}"/>
            </a:ext>
          </a:extLst>
        </xdr:cNvPr>
        <xdr:cNvSpPr/>
      </xdr:nvSpPr>
      <xdr:spPr>
        <a:xfrm>
          <a:off x="9961246" y="9326404"/>
          <a:ext cx="432911" cy="14668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800" b="1" kern="1200">
              <a:solidFill>
                <a:srgbClr val="00B050"/>
              </a:solidFill>
              <a:latin typeface="Santander Text" panose="020B0504020201020104" pitchFamily="34" charset="0"/>
            </a:rPr>
            <a:t>- 10</a:t>
          </a:r>
        </a:p>
      </xdr:txBody>
    </xdr:sp>
    <xdr:clientData/>
  </xdr:twoCellAnchor>
  <xdr:twoCellAnchor>
    <xdr:from>
      <xdr:col>11</xdr:col>
      <xdr:colOff>841058</xdr:colOff>
      <xdr:row>47</xdr:row>
      <xdr:rowOff>144781</xdr:rowOff>
    </xdr:from>
    <xdr:to>
      <xdr:col>12</xdr:col>
      <xdr:colOff>320768</xdr:colOff>
      <xdr:row>48</xdr:row>
      <xdr:rowOff>144780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FEDDD101-4B52-4CF1-B59C-44F719E39AE6}"/>
            </a:ext>
          </a:extLst>
        </xdr:cNvPr>
        <xdr:cNvSpPr/>
      </xdr:nvSpPr>
      <xdr:spPr>
        <a:xfrm>
          <a:off x="9961246" y="9931719"/>
          <a:ext cx="432210" cy="21431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800" b="1" kern="1200">
              <a:solidFill>
                <a:srgbClr val="00B050"/>
              </a:solidFill>
              <a:latin typeface="Santander Text" panose="020B0504020201020104" pitchFamily="34" charset="0"/>
            </a:rPr>
            <a:t>+ 12</a:t>
          </a:r>
        </a:p>
      </xdr:txBody>
    </xdr:sp>
    <xdr:clientData/>
  </xdr:twoCellAnchor>
  <xdr:twoCellAnchor>
    <xdr:from>
      <xdr:col>11</xdr:col>
      <xdr:colOff>841058</xdr:colOff>
      <xdr:row>48</xdr:row>
      <xdr:rowOff>130970</xdr:rowOff>
    </xdr:from>
    <xdr:to>
      <xdr:col>12</xdr:col>
      <xdr:colOff>309338</xdr:colOff>
      <xdr:row>49</xdr:row>
      <xdr:rowOff>130968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AC2979B1-C23C-4DE2-AA95-E92B56333742}"/>
            </a:ext>
          </a:extLst>
        </xdr:cNvPr>
        <xdr:cNvSpPr/>
      </xdr:nvSpPr>
      <xdr:spPr>
        <a:xfrm>
          <a:off x="9961246" y="10132220"/>
          <a:ext cx="420780" cy="21431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800" b="1" kern="1200">
              <a:solidFill>
                <a:srgbClr val="FF0000"/>
              </a:solidFill>
              <a:latin typeface="Santander Text" panose="020B0504020201020104" pitchFamily="34" charset="0"/>
            </a:rPr>
            <a:t>+</a:t>
          </a:r>
          <a:r>
            <a:rPr lang="pt-PT" sz="800" b="1" kern="1200" baseline="0">
              <a:solidFill>
                <a:srgbClr val="FF0000"/>
              </a:solidFill>
              <a:latin typeface="Santander Text" panose="020B0504020201020104" pitchFamily="34" charset="0"/>
            </a:rPr>
            <a:t> 3</a:t>
          </a:r>
          <a:endParaRPr lang="pt-PT" sz="800" b="1" kern="1200">
            <a:solidFill>
              <a:srgbClr val="FF0000"/>
            </a:solidFill>
            <a:latin typeface="Santander Text" panose="020B0504020201020104" pitchFamily="34" charset="0"/>
          </a:endParaRPr>
        </a:p>
      </xdr:txBody>
    </xdr:sp>
    <xdr:clientData/>
  </xdr:twoCellAnchor>
  <xdr:twoCellAnchor>
    <xdr:from>
      <xdr:col>11</xdr:col>
      <xdr:colOff>866141</xdr:colOff>
      <xdr:row>45</xdr:row>
      <xdr:rowOff>182404</xdr:rowOff>
    </xdr:from>
    <xdr:to>
      <xdr:col>12</xdr:col>
      <xdr:colOff>340202</xdr:colOff>
      <xdr:row>46</xdr:row>
      <xdr:rowOff>114460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46116FA5-5DAC-4653-87C5-222CE96B508A}"/>
            </a:ext>
          </a:extLst>
        </xdr:cNvPr>
        <xdr:cNvSpPr/>
      </xdr:nvSpPr>
      <xdr:spPr>
        <a:xfrm>
          <a:off x="10375266" y="9794717"/>
          <a:ext cx="426561" cy="15430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800" b="1" kern="1200">
              <a:solidFill>
                <a:srgbClr val="00B050"/>
              </a:solidFill>
              <a:latin typeface="Santander Text" panose="020B0504020201020104" pitchFamily="34" charset="0"/>
            </a:rPr>
            <a:t>-</a:t>
          </a:r>
          <a:r>
            <a:rPr lang="pt-PT" sz="800" b="1" kern="1200" baseline="0">
              <a:solidFill>
                <a:srgbClr val="00B050"/>
              </a:solidFill>
              <a:latin typeface="Santander Text" panose="020B0504020201020104" pitchFamily="34" charset="0"/>
            </a:rPr>
            <a:t> 4</a:t>
          </a:r>
          <a:endParaRPr lang="pt-PT" sz="800" b="1" kern="1200">
            <a:solidFill>
              <a:srgbClr val="00B050"/>
            </a:solidFill>
            <a:latin typeface="Santander Text" panose="020B05040202010201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873681</xdr:colOff>
      <xdr:row>1</xdr:row>
      <xdr:rowOff>151838</xdr:rowOff>
    </xdr:to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91353" y="224118"/>
          <a:ext cx="863035" cy="151838"/>
        </a:xfrm>
        <a:prstGeom prst="rect">
          <a:avLst/>
        </a:prstGeom>
      </xdr:spPr>
    </xdr:pic>
    <xdr:clientData/>
  </xdr:twoCellAnchor>
  <xdr:twoCellAnchor>
    <xdr:from>
      <xdr:col>2</xdr:col>
      <xdr:colOff>494741</xdr:colOff>
      <xdr:row>0</xdr:row>
      <xdr:rowOff>102756</xdr:rowOff>
    </xdr:from>
    <xdr:to>
      <xdr:col>2</xdr:col>
      <xdr:colOff>1457648</xdr:colOff>
      <xdr:row>2</xdr:row>
      <xdr:rowOff>103336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90359" y="102756"/>
          <a:ext cx="962907" cy="4488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262891</xdr:colOff>
      <xdr:row>0</xdr:row>
      <xdr:rowOff>148674</xdr:rowOff>
    </xdr:from>
    <xdr:to>
      <xdr:col>2</xdr:col>
      <xdr:colOff>453685</xdr:colOff>
      <xdr:row>1</xdr:row>
      <xdr:rowOff>193515</xdr:rowOff>
    </xdr:to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34316" y="139784"/>
          <a:ext cx="1123292" cy="284554"/>
        </a:xfrm>
        <a:prstGeom prst="rect">
          <a:avLst/>
        </a:prstGeom>
      </xdr:spPr>
    </xdr:pic>
    <xdr:clientData/>
  </xdr:twoCellAnchor>
  <xdr:twoCellAnchor>
    <xdr:from>
      <xdr:col>2</xdr:col>
      <xdr:colOff>740134</xdr:colOff>
      <xdr:row>0</xdr:row>
      <xdr:rowOff>135870</xdr:rowOff>
    </xdr:from>
    <xdr:to>
      <xdr:col>2</xdr:col>
      <xdr:colOff>1693628</xdr:colOff>
      <xdr:row>2</xdr:row>
      <xdr:rowOff>138430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68822" y="135870"/>
          <a:ext cx="953494" cy="43118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122767</xdr:colOff>
      <xdr:row>0</xdr:row>
      <xdr:rowOff>134410</xdr:rowOff>
    </xdr:from>
    <xdr:to>
      <xdr:col>2</xdr:col>
      <xdr:colOff>879474</xdr:colOff>
      <xdr:row>1</xdr:row>
      <xdr:rowOff>154942</xdr:rowOff>
    </xdr:to>
    <xdr:pic>
      <xdr:nvPicPr>
        <xdr:cNvPr id="2" name="Gráfico 8">
          <a:extLst>
            <a:ext uri="{FF2B5EF4-FFF2-40B4-BE49-F238E27FC236}">
              <a16:creationId xmlns:a16="http://schemas.microsoft.com/office/drawing/2014/main" id="{DCBCF749-6D8D-49CF-89A7-EFE305778D9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767" y="134410"/>
          <a:ext cx="1526327" cy="27643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245746</xdr:colOff>
      <xdr:row>0</xdr:row>
      <xdr:rowOff>131529</xdr:rowOff>
    </xdr:from>
    <xdr:to>
      <xdr:col>2</xdr:col>
      <xdr:colOff>436540</xdr:colOff>
      <xdr:row>2</xdr:row>
      <xdr:rowOff>3015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BFFEEF5E-2284-409A-BBA2-5EB61200C7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7651" y="135974"/>
          <a:ext cx="1120434" cy="291221"/>
        </a:xfrm>
        <a:prstGeom prst="rect">
          <a:avLst/>
        </a:prstGeom>
      </xdr:spPr>
    </xdr:pic>
    <xdr:clientData/>
  </xdr:twoCellAnchor>
  <xdr:twoCellAnchor>
    <xdr:from>
      <xdr:col>2</xdr:col>
      <xdr:colOff>740134</xdr:colOff>
      <xdr:row>0</xdr:row>
      <xdr:rowOff>135870</xdr:rowOff>
    </xdr:from>
    <xdr:to>
      <xdr:col>2</xdr:col>
      <xdr:colOff>1693628</xdr:colOff>
      <xdr:row>2</xdr:row>
      <xdr:rowOff>138430</xdr:rowOff>
    </xdr:to>
    <xdr:pic>
      <xdr:nvPicPr>
        <xdr:cNvPr id="3" name="Graphic 267">
          <a:extLst>
            <a:ext uri="{FF2B5EF4-FFF2-40B4-BE49-F238E27FC236}">
              <a16:creationId xmlns:a16="http://schemas.microsoft.com/office/drawing/2014/main" id="{797CA0F0-80A3-4BB6-BF5C-BFDC6D98F3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69774" y="135870"/>
          <a:ext cx="953494" cy="4445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186267</xdr:colOff>
      <xdr:row>0</xdr:row>
      <xdr:rowOff>116418</xdr:rowOff>
    </xdr:from>
    <xdr:to>
      <xdr:col>3</xdr:col>
      <xdr:colOff>159174</xdr:colOff>
      <xdr:row>2</xdr:row>
      <xdr:rowOff>45491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CB033CDB-32BA-45AD-9565-633866D31E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9917" y="116418"/>
          <a:ext cx="1313392" cy="29515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1952066</xdr:colOff>
      <xdr:row>0</xdr:row>
      <xdr:rowOff>121806</xdr:rowOff>
    </xdr:from>
    <xdr:to>
      <xdr:col>1</xdr:col>
      <xdr:colOff>2914973</xdr:colOff>
      <xdr:row>2</xdr:row>
      <xdr:rowOff>122386</xdr:rowOff>
    </xdr:to>
    <xdr:pic>
      <xdr:nvPicPr>
        <xdr:cNvPr id="2" name="Graphic 267">
          <a:extLst>
            <a:ext uri="{FF2B5EF4-FFF2-40B4-BE49-F238E27FC236}">
              <a16:creationId xmlns:a16="http://schemas.microsoft.com/office/drawing/2014/main" id="{018696DC-BFDA-42A3-A053-DC70326C55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37816" y="121806"/>
          <a:ext cx="962907" cy="438730"/>
        </a:xfrm>
        <a:prstGeom prst="rect">
          <a:avLst/>
        </a:prstGeom>
      </xdr:spPr>
    </xdr:pic>
    <xdr:clientData/>
  </xdr:twoCellAnchor>
  <xdr:twoCellAnchor editAs="absolute">
    <xdr:from>
      <xdr:col>0</xdr:col>
      <xdr:colOff>171450</xdr:colOff>
      <xdr:row>1</xdr:row>
      <xdr:rowOff>9524</xdr:rowOff>
    </xdr:from>
    <xdr:to>
      <xdr:col>1</xdr:col>
      <xdr:colOff>1420307</xdr:colOff>
      <xdr:row>2</xdr:row>
      <xdr:rowOff>123825</xdr:rowOff>
    </xdr:to>
    <xdr:pic>
      <xdr:nvPicPr>
        <xdr:cNvPr id="3" name="Gráfico 10">
          <a:extLst>
            <a:ext uri="{FF2B5EF4-FFF2-40B4-BE49-F238E27FC236}">
              <a16:creationId xmlns:a16="http://schemas.microsoft.com/office/drawing/2014/main" id="{B193A742-4463-4CC8-A835-C1906CD6C0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71450" y="200024"/>
          <a:ext cx="1534607" cy="26670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antandernet.sharepoint.com/sites/LoanTapeGD-Testes/Shared%20Documents/Geral/01.%20Gest&#227;o/00.%20Plano%20Projeto/LT%20-%20GD%20-%20Plano%20Projeto%20-%20v0.2.xlsx" TargetMode="External"/><Relationship Id="rId1" Type="http://schemas.openxmlformats.org/officeDocument/2006/relationships/externalLinkPath" Target="/sites/LoanTapeGD-Testes/Shared%20Documents/Geral/01.%20Gest&#227;o/00.%20Plano%20Projeto/LT%20-%20GD%20-%20Plano%20Projeto%20-%20v0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o_DE"/>
      <sheetName val="Macro_Plano_2025_v1"/>
      <sheetName val="Lista - Âmbito Projeto GD"/>
      <sheetName val="Aux"/>
      <sheetName val="Férias"/>
    </sheetNames>
    <sheetDataSet>
      <sheetData sheetId="0"/>
      <sheetData sheetId="1"/>
      <sheetData sheetId="2"/>
      <sheetData sheetId="3">
        <row r="3">
          <cell r="H3">
            <v>15</v>
          </cell>
          <cell r="I3">
            <v>178.5</v>
          </cell>
          <cell r="O3">
            <v>285.5</v>
          </cell>
        </row>
        <row r="4">
          <cell r="B4" t="str">
            <v>CONCAT</v>
          </cell>
          <cell r="H4" t="str">
            <v>Especificação</v>
          </cell>
          <cell r="I4" t="str">
            <v>Simulação</v>
          </cell>
          <cell r="O4" t="str">
            <v>Total Testes</v>
          </cell>
        </row>
        <row r="5">
          <cell r="B5" t="str">
            <v>INSTRUMENT_COD_SOC</v>
          </cell>
          <cell r="H5">
            <v>0</v>
          </cell>
          <cell r="I5">
            <v>1</v>
          </cell>
          <cell r="O5">
            <v>2.5</v>
          </cell>
        </row>
        <row r="6">
          <cell r="B6" t="str">
            <v>INSTRUMENT_SUBPORTFOLIO_ID</v>
          </cell>
          <cell r="H6">
            <v>0</v>
          </cell>
          <cell r="I6">
            <v>1</v>
          </cell>
          <cell r="O6">
            <v>2.5</v>
          </cell>
        </row>
        <row r="7">
          <cell r="B7" t="str">
            <v>INSTRUMENT_DT_RFRNC</v>
          </cell>
          <cell r="H7">
            <v>0</v>
          </cell>
          <cell r="I7">
            <v>1</v>
          </cell>
          <cell r="O7">
            <v>2.5</v>
          </cell>
        </row>
        <row r="8">
          <cell r="B8" t="str">
            <v>INSTRUMENT_INSTRMNT_ID</v>
          </cell>
          <cell r="H8">
            <v>0</v>
          </cell>
          <cell r="I8">
            <v>12</v>
          </cell>
          <cell r="O8">
            <v>10</v>
          </cell>
        </row>
        <row r="9">
          <cell r="B9" t="str">
            <v>INSTRUMENT_DFLT_STTS_INSTRMNT</v>
          </cell>
          <cell r="H9">
            <v>0</v>
          </cell>
          <cell r="I9">
            <v>1</v>
          </cell>
          <cell r="O9">
            <v>2.5</v>
          </cell>
        </row>
        <row r="10">
          <cell r="B10" t="str">
            <v>INSTRUMENT_IMPRMNT_STTS</v>
          </cell>
          <cell r="H10">
            <v>0</v>
          </cell>
          <cell r="I10">
            <v>1</v>
          </cell>
          <cell r="O10">
            <v>2.5</v>
          </cell>
        </row>
        <row r="11">
          <cell r="B11" t="str">
            <v>INSTRUMENT_PRFRMNG_STTS</v>
          </cell>
          <cell r="H11">
            <v>0</v>
          </cell>
          <cell r="I11">
            <v>1</v>
          </cell>
          <cell r="O11">
            <v>2.5</v>
          </cell>
        </row>
        <row r="12">
          <cell r="B12" t="str">
            <v>INSTRUMENT_TYP_INSTRMNT</v>
          </cell>
          <cell r="H12">
            <v>0</v>
          </cell>
          <cell r="I12">
            <v>1</v>
          </cell>
          <cell r="O12">
            <v>2.5</v>
          </cell>
        </row>
        <row r="13">
          <cell r="B13" t="str">
            <v>INSTRUMENT_GRSS_CRRYNG_AMNT_INSTRMNT</v>
          </cell>
          <cell r="H13">
            <v>0</v>
          </cell>
          <cell r="I13">
            <v>1</v>
          </cell>
          <cell r="O13">
            <v>2.5</v>
          </cell>
        </row>
        <row r="14">
          <cell r="B14" t="str">
            <v>INSTRUMENT_ACCMLTD_CHNGS_FV_CR_INSTRMNT</v>
          </cell>
          <cell r="H14">
            <v>0</v>
          </cell>
          <cell r="I14">
            <v>1</v>
          </cell>
          <cell r="O14">
            <v>2.5</v>
          </cell>
        </row>
        <row r="15">
          <cell r="B15" t="str">
            <v>INSTRUMENT_ACCNTNG_CLSSFCTN</v>
          </cell>
          <cell r="H15">
            <v>0</v>
          </cell>
          <cell r="I15">
            <v>1</v>
          </cell>
          <cell r="O15">
            <v>2.5</v>
          </cell>
        </row>
        <row r="16">
          <cell r="B16" t="str">
            <v>INSTRUMENT_CCF</v>
          </cell>
          <cell r="H16">
            <v>1</v>
          </cell>
          <cell r="I16">
            <v>1</v>
          </cell>
          <cell r="O16">
            <v>2.5</v>
          </cell>
        </row>
        <row r="17">
          <cell r="B17" t="str">
            <v>INSTRUMENT_EAD</v>
          </cell>
          <cell r="H17">
            <v>1</v>
          </cell>
          <cell r="I17">
            <v>1</v>
          </cell>
          <cell r="O17">
            <v>2.5</v>
          </cell>
        </row>
        <row r="18">
          <cell r="B18" t="str">
            <v>INSTRUMENT_OFF_BLNC_SHT_AMNT_INSTRMNT</v>
          </cell>
          <cell r="H18">
            <v>0</v>
          </cell>
          <cell r="I18">
            <v>1</v>
          </cell>
          <cell r="O18">
            <v>2.5</v>
          </cell>
        </row>
        <row r="19">
          <cell r="B19" t="str">
            <v>INSTRUMENT_PRVSNS_OFF_BLNC_SHT</v>
          </cell>
          <cell r="H19">
            <v>0</v>
          </cell>
          <cell r="I19">
            <v>1</v>
          </cell>
          <cell r="O19">
            <v>2.5</v>
          </cell>
        </row>
        <row r="20">
          <cell r="B20" t="str">
            <v>INSTRUMENT_RWA</v>
          </cell>
          <cell r="H20">
            <v>0</v>
          </cell>
          <cell r="I20">
            <v>1</v>
          </cell>
          <cell r="O20">
            <v>2.5</v>
          </cell>
        </row>
        <row r="21">
          <cell r="B21" t="str">
            <v>INSTRUMENT_ACCMLTD_IMPRMNT_INSTRMNT</v>
          </cell>
          <cell r="H21">
            <v>0</v>
          </cell>
          <cell r="I21">
            <v>1</v>
          </cell>
          <cell r="O21">
            <v>2.5</v>
          </cell>
        </row>
        <row r="22">
          <cell r="B22" t="str">
            <v>INSTRUMENT_COD_SOC_INTRGRP</v>
          </cell>
          <cell r="H22">
            <v>0</v>
          </cell>
          <cell r="I22">
            <v>1</v>
          </cell>
          <cell r="O22">
            <v>2.5</v>
          </cell>
        </row>
        <row r="23">
          <cell r="B23" t="str">
            <v>INSTRUMENT_LCL_INSTMRNT_ID</v>
          </cell>
          <cell r="H23">
            <v>0</v>
          </cell>
          <cell r="I23">
            <v>1</v>
          </cell>
          <cell r="O23">
            <v>2.5</v>
          </cell>
        </row>
        <row r="24">
          <cell r="B24" t="str">
            <v>INSTRUMENT_AVRG_BLNC</v>
          </cell>
          <cell r="H24">
            <v>0</v>
          </cell>
          <cell r="I24">
            <v>3</v>
          </cell>
          <cell r="O24">
            <v>4.5</v>
          </cell>
        </row>
        <row r="25">
          <cell r="B25" t="str">
            <v>INSTRUMENT_NW_BSNSS</v>
          </cell>
          <cell r="H25">
            <v>0</v>
          </cell>
          <cell r="I25">
            <v>8</v>
          </cell>
          <cell r="O25">
            <v>7</v>
          </cell>
        </row>
        <row r="26">
          <cell r="B26" t="str">
            <v>INSTRUMENT_GRSS_INTRST_INCM</v>
          </cell>
          <cell r="H26">
            <v>0</v>
          </cell>
          <cell r="I26">
            <v>8</v>
          </cell>
          <cell r="O26">
            <v>10</v>
          </cell>
        </row>
        <row r="27">
          <cell r="B27" t="str">
            <v>INSTRUMENT_GRSS_CMMSSN_INCM</v>
          </cell>
          <cell r="H27">
            <v>0</v>
          </cell>
          <cell r="I27">
            <v>8</v>
          </cell>
          <cell r="O27">
            <v>10</v>
          </cell>
        </row>
        <row r="28">
          <cell r="B28" t="str">
            <v>INSTRUMENT_INTRNL_TRNSFR_RT</v>
          </cell>
          <cell r="H28">
            <v>0</v>
          </cell>
          <cell r="I28">
            <v>3</v>
          </cell>
          <cell r="O28">
            <v>4.5</v>
          </cell>
        </row>
        <row r="29">
          <cell r="B29" t="str">
            <v>INSTRUMENT_NT_LN_LSS_PRVSN</v>
          </cell>
          <cell r="H29">
            <v>0</v>
          </cell>
          <cell r="I29">
            <v>3</v>
          </cell>
          <cell r="O29">
            <v>4.5</v>
          </cell>
        </row>
        <row r="30">
          <cell r="B30" t="str">
            <v>INSTRUMENT_BSNSS_AREA</v>
          </cell>
          <cell r="H30">
            <v>0</v>
          </cell>
          <cell r="I30">
            <v>15</v>
          </cell>
          <cell r="O30">
            <v>20</v>
          </cell>
        </row>
        <row r="31">
          <cell r="B31" t="str">
            <v>INSTRUMENT_MNGMNT_PRDCT</v>
          </cell>
          <cell r="H31">
            <v>0</v>
          </cell>
          <cell r="I31">
            <v>8</v>
          </cell>
          <cell r="O31">
            <v>10</v>
          </cell>
        </row>
        <row r="32">
          <cell r="B32" t="str">
            <v>INSTRUMENT_GRSS_CMMSSN_EXPNS</v>
          </cell>
          <cell r="H32">
            <v>0</v>
          </cell>
          <cell r="I32">
            <v>3</v>
          </cell>
          <cell r="O32">
            <v>4.5</v>
          </cell>
        </row>
        <row r="33">
          <cell r="B33" t="str">
            <v>INSTRUMENT_GNS_FNNCL_TRNSCTN_EXCHNG_DFFRNCS</v>
          </cell>
          <cell r="H33">
            <v>0</v>
          </cell>
          <cell r="I33">
            <v>3</v>
          </cell>
          <cell r="O33">
            <v>4.5</v>
          </cell>
        </row>
        <row r="34">
          <cell r="B34" t="str">
            <v>INSTRUMENT_FLG_INTRBSNSS</v>
          </cell>
          <cell r="H34">
            <v>0</v>
          </cell>
          <cell r="I34">
            <v>1</v>
          </cell>
          <cell r="O34">
            <v>3</v>
          </cell>
        </row>
        <row r="35">
          <cell r="B35" t="str">
            <v>INSTRUMENT_INTRBSNSS_ADJ_COD</v>
          </cell>
          <cell r="H35">
            <v>0</v>
          </cell>
          <cell r="I35">
            <v>1</v>
          </cell>
          <cell r="O35">
            <v>3</v>
          </cell>
        </row>
        <row r="36">
          <cell r="B36" t="str">
            <v>INSTRUMENT_COD_SOC_DSTNTN</v>
          </cell>
          <cell r="H36">
            <v>0</v>
          </cell>
          <cell r="I36">
            <v>1</v>
          </cell>
          <cell r="O36">
            <v>2.5</v>
          </cell>
        </row>
        <row r="37">
          <cell r="B37" t="str">
            <v>INSTRUMENT_BSNSS_AREA_DSTNTN</v>
          </cell>
          <cell r="H37">
            <v>0</v>
          </cell>
          <cell r="I37">
            <v>1</v>
          </cell>
          <cell r="O37">
            <v>3</v>
          </cell>
        </row>
        <row r="38">
          <cell r="B38" t="str">
            <v>INSTRUMENT_AVRG_BLNC_OFF_BLNC</v>
          </cell>
          <cell r="H38">
            <v>0</v>
          </cell>
          <cell r="I38">
            <v>3</v>
          </cell>
          <cell r="O38">
            <v>4.5</v>
          </cell>
        </row>
        <row r="39">
          <cell r="B39" t="str">
            <v>INSTRUMENT_INTRNL_TRNSFR_RT_OFF_BLNC</v>
          </cell>
          <cell r="H39">
            <v>0</v>
          </cell>
          <cell r="I39">
            <v>1</v>
          </cell>
          <cell r="O39">
            <v>2.5</v>
          </cell>
        </row>
        <row r="40">
          <cell r="B40" t="str">
            <v>INSTRUMENT_GRSS_CMMSSN_INCM_OFF_BLNC</v>
          </cell>
          <cell r="H40">
            <v>0</v>
          </cell>
          <cell r="I40">
            <v>8</v>
          </cell>
          <cell r="O40">
            <v>10</v>
          </cell>
        </row>
        <row r="41">
          <cell r="B41" t="str">
            <v>INSTRUMENT_GRSS_CMMSSN_EXPNS_OFF_BLNC</v>
          </cell>
          <cell r="H41">
            <v>0</v>
          </cell>
          <cell r="I41">
            <v>3</v>
          </cell>
          <cell r="O41">
            <v>4.5</v>
          </cell>
        </row>
        <row r="42">
          <cell r="B42" t="str">
            <v>INSTRUMENT_RWA_OFF_BLNC</v>
          </cell>
          <cell r="H42">
            <v>0</v>
          </cell>
          <cell r="I42">
            <v>1</v>
          </cell>
          <cell r="O42">
            <v>2.5</v>
          </cell>
        </row>
        <row r="43">
          <cell r="B43" t="str">
            <v>INSTRUMENT_GRSS_INTRST_EXPNS</v>
          </cell>
          <cell r="H43">
            <v>0</v>
          </cell>
          <cell r="I43">
            <v>3</v>
          </cell>
          <cell r="O43">
            <v>4.5</v>
          </cell>
        </row>
        <row r="44">
          <cell r="B44" t="str">
            <v>INSTRUMENT_NT_LN_LSS_PRVSN_OFF_BLNC</v>
          </cell>
          <cell r="H44">
            <v>0</v>
          </cell>
          <cell r="I44">
            <v>3</v>
          </cell>
          <cell r="O44">
            <v>4.5</v>
          </cell>
        </row>
        <row r="45">
          <cell r="B45" t="str">
            <v>INSTRUMENT_GRSS_INTRST_INCM_CCRR</v>
          </cell>
          <cell r="H45">
            <v>0</v>
          </cell>
          <cell r="I45">
            <v>3</v>
          </cell>
          <cell r="O45">
            <v>4.5</v>
          </cell>
        </row>
        <row r="46">
          <cell r="B46" t="str">
            <v>INSTRUMENT_GRSS_INTRST_EXPNS_CCRR</v>
          </cell>
          <cell r="H46">
            <v>0</v>
          </cell>
          <cell r="I46">
            <v>3</v>
          </cell>
          <cell r="O46">
            <v>4.5</v>
          </cell>
        </row>
        <row r="47">
          <cell r="B47" t="str">
            <v>INSTRUMENT_GRSS_CMMSSN_INCM_CCRR</v>
          </cell>
          <cell r="H47">
            <v>0</v>
          </cell>
          <cell r="I47">
            <v>3</v>
          </cell>
          <cell r="O47">
            <v>4.5</v>
          </cell>
        </row>
        <row r="48">
          <cell r="B48" t="str">
            <v>INSTRUMENT_GRSS_CMMSSN_EXPNS_CCRR</v>
          </cell>
          <cell r="H48">
            <v>0</v>
          </cell>
          <cell r="I48">
            <v>3</v>
          </cell>
          <cell r="O48">
            <v>4.5</v>
          </cell>
        </row>
        <row r="49">
          <cell r="B49" t="str">
            <v>INSTRUMENT_GNS_FNNCL_TRNSCTN_EXCHNG_CCRR</v>
          </cell>
          <cell r="H49">
            <v>0</v>
          </cell>
          <cell r="I49">
            <v>3</v>
          </cell>
          <cell r="O49">
            <v>4.5</v>
          </cell>
        </row>
        <row r="50">
          <cell r="B50" t="str">
            <v>INSTRUMENT_BSNSS_AREA_CCRR</v>
          </cell>
          <cell r="H50">
            <v>0</v>
          </cell>
          <cell r="I50">
            <v>3</v>
          </cell>
          <cell r="O50">
            <v>5</v>
          </cell>
        </row>
        <row r="51">
          <cell r="B51" t="str">
            <v>INSTRUMENT_GRSS_CMMSSN_INCM_OFF_BLNC_CCRR</v>
          </cell>
          <cell r="H51">
            <v>0</v>
          </cell>
          <cell r="I51">
            <v>3</v>
          </cell>
          <cell r="O51">
            <v>4.5</v>
          </cell>
        </row>
        <row r="52">
          <cell r="B52" t="str">
            <v>INSTRUMENT_GRSS_CMMSSN_EXPNS_OFF_BLNC_CCRR</v>
          </cell>
          <cell r="H52">
            <v>0</v>
          </cell>
          <cell r="I52">
            <v>3</v>
          </cell>
          <cell r="O52">
            <v>4.5</v>
          </cell>
        </row>
        <row r="53">
          <cell r="B53" t="str">
            <v>INSTRUMENT_CNCLLD_INSTRMNT_STTS</v>
          </cell>
          <cell r="H53">
            <v>0</v>
          </cell>
          <cell r="I53">
            <v>3</v>
          </cell>
          <cell r="O53">
            <v>5</v>
          </cell>
        </row>
        <row r="54">
          <cell r="B54" t="str">
            <v>INSTRUMENT_IDCMB</v>
          </cell>
          <cell r="H54">
            <v>0</v>
          </cell>
          <cell r="I54">
            <v>1</v>
          </cell>
          <cell r="O54">
            <v>2.5</v>
          </cell>
        </row>
        <row r="55">
          <cell r="B55" t="str">
            <v>INSTRUMENT_TYP_OFF_BLNC_PRDCT</v>
          </cell>
          <cell r="H55">
            <v>1</v>
          </cell>
          <cell r="I55">
            <v>1</v>
          </cell>
          <cell r="O55">
            <v>3</v>
          </cell>
        </row>
        <row r="56">
          <cell r="B56" t="str">
            <v>INSTR_PROTECTION_COD_SOC</v>
          </cell>
          <cell r="H56">
            <v>1</v>
          </cell>
          <cell r="I56">
            <v>1</v>
          </cell>
          <cell r="O56">
            <v>2.5</v>
          </cell>
        </row>
        <row r="57">
          <cell r="B57" t="str">
            <v>INSTR_PROTECTION_DT_RFRNC</v>
          </cell>
          <cell r="H57">
            <v>1</v>
          </cell>
          <cell r="I57">
            <v>1</v>
          </cell>
          <cell r="O57">
            <v>2.5</v>
          </cell>
        </row>
        <row r="58">
          <cell r="B58" t="str">
            <v>INSTR_PROTECTION_INSTRMNT_ID</v>
          </cell>
          <cell r="H58">
            <v>1</v>
          </cell>
          <cell r="I58">
            <v>1</v>
          </cell>
          <cell r="O58">
            <v>2.5</v>
          </cell>
        </row>
        <row r="59">
          <cell r="B59" t="str">
            <v>INSTR_PROTECTION_PRTCTN_ID</v>
          </cell>
          <cell r="H59">
            <v>1</v>
          </cell>
          <cell r="I59">
            <v>1</v>
          </cell>
          <cell r="O59">
            <v>2.5</v>
          </cell>
        </row>
        <row r="60">
          <cell r="B60" t="str">
            <v>INSTR_PROTECTION_TYP_RLTN</v>
          </cell>
          <cell r="H60">
            <v>0</v>
          </cell>
          <cell r="I60">
            <v>1</v>
          </cell>
          <cell r="O60">
            <v>3</v>
          </cell>
        </row>
        <row r="61">
          <cell r="B61" t="str">
            <v>PROTECTION_COD_SOC</v>
          </cell>
          <cell r="H61">
            <v>1</v>
          </cell>
          <cell r="I61">
            <v>1</v>
          </cell>
          <cell r="O61">
            <v>2.5</v>
          </cell>
        </row>
        <row r="62">
          <cell r="B62" t="str">
            <v>PROTECTION_DT_RFRNC</v>
          </cell>
          <cell r="H62">
            <v>1</v>
          </cell>
          <cell r="I62">
            <v>1</v>
          </cell>
          <cell r="O62">
            <v>2.5</v>
          </cell>
        </row>
        <row r="63">
          <cell r="B63" t="str">
            <v>PROTECTION_PRTCTN_ID</v>
          </cell>
          <cell r="H63">
            <v>1</v>
          </cell>
          <cell r="I63">
            <v>1</v>
          </cell>
          <cell r="O63">
            <v>2.5</v>
          </cell>
        </row>
        <row r="64">
          <cell r="B64" t="str">
            <v>PROTECTION_TYP_PRTCTN</v>
          </cell>
          <cell r="H64">
            <v>1</v>
          </cell>
          <cell r="I64">
            <v>1</v>
          </cell>
          <cell r="O64">
            <v>3</v>
          </cell>
        </row>
        <row r="65">
          <cell r="B65" t="str">
            <v>PROTECTION_PRTCTN_VL</v>
          </cell>
          <cell r="H65">
            <v>1</v>
          </cell>
          <cell r="I65">
            <v>1</v>
          </cell>
          <cell r="O65">
            <v>2.5</v>
          </cell>
        </row>
        <row r="66">
          <cell r="B66" t="str">
            <v>PROTECTION_FLG_ELCTRC_VHCL</v>
          </cell>
          <cell r="H66">
            <v>2</v>
          </cell>
          <cell r="I66">
            <v>1.5</v>
          </cell>
          <cell r="O66">
            <v>3.5</v>
          </cell>
        </row>
        <row r="67">
          <cell r="B67" t="str">
            <v>INSTR_ACTIVITY_COD_SOC</v>
          </cell>
          <cell r="H67">
            <v>0</v>
          </cell>
          <cell r="I67">
            <v>1</v>
          </cell>
          <cell r="O67">
            <v>2.5</v>
          </cell>
        </row>
        <row r="68">
          <cell r="B68" t="str">
            <v>INSTR_ACTIVITY_DT_RFRNC</v>
          </cell>
          <cell r="H68">
            <v>0</v>
          </cell>
          <cell r="I68">
            <v>1</v>
          </cell>
          <cell r="O68">
            <v>2.5</v>
          </cell>
        </row>
        <row r="69">
          <cell r="B69" t="str">
            <v>INSTR_ACTIVITY_INSTRMNT_ID</v>
          </cell>
          <cell r="H69">
            <v>0</v>
          </cell>
          <cell r="I69">
            <v>1</v>
          </cell>
          <cell r="O69">
            <v>2.5</v>
          </cell>
        </row>
        <row r="70">
          <cell r="B70" t="str">
            <v>INSTR_ACTIVITY_SSTNBL_CTGRY</v>
          </cell>
          <cell r="H70">
            <v>0</v>
          </cell>
          <cell r="I70">
            <v>8</v>
          </cell>
          <cell r="O70">
            <v>10</v>
          </cell>
        </row>
        <row r="71">
          <cell r="B71" t="str">
            <v>INSTR_ACTIVITY_PRCNTG_ACTVTY</v>
          </cell>
          <cell r="H71">
            <v>1</v>
          </cell>
          <cell r="I71">
            <v>1</v>
          </cell>
          <cell r="O71">
            <v>2.5</v>
          </cell>
        </row>
        <row r="72">
          <cell r="B72" t="str">
            <v>INSTR_ACTIVITY_SSTNBL_INDCTR</v>
          </cell>
          <cell r="H72">
            <v>0</v>
          </cell>
          <cell r="I72">
            <v>8</v>
          </cell>
          <cell r="O72">
            <v>10</v>
          </cell>
        </row>
      </sheetData>
      <sheetData sheetId="4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Ana Filipa Silva Carreira" id="{AAE3E7EA-1169-4EE9-9AA9-2013F9C8C081}" userId="S::E801803@corp.santander.pt::8b9d2cd8-bf8b-4ed8-b68f-b8ba1ba995c2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 Filipa Silva Carreira" refreshedDate="45694.453690856484" createdVersion="6" refreshedVersion="8" minRefreshableVersion="3" recordCount="181" xr:uid="{00000000-000A-0000-FFFF-FFFFFB000000}">
  <cacheSource type="worksheet">
    <worksheetSource name="Table4"/>
  </cacheSource>
  <cacheFields count="13">
    <cacheField name="Âmbito" numFmtId="0">
      <sharedItems/>
    </cacheField>
    <cacheField name="Categoria" numFmtId="0">
      <sharedItems count="4">
        <s v="Assessment"/>
        <s v="Re-especificação / Especificação"/>
        <s v="Testes Regressivos (Campos Neyond)"/>
        <s v="Simulação / Testes"/>
      </sharedItems>
    </cacheField>
    <cacheField name="Tipo de teste" numFmtId="0">
      <sharedItems/>
    </cacheField>
    <cacheField name="Tabela" numFmtId="0">
      <sharedItems count="5">
        <s v="lt002_instrument"/>
        <s v="lt824_assoc_kpi_gd"/>
        <s v="lt006_instr_protection"/>
        <s v="lt004_protection"/>
        <s v="lt007_instr_activity"/>
      </sharedItems>
    </cacheField>
    <cacheField name="Campo" numFmtId="0">
      <sharedItems/>
    </cacheField>
    <cacheField name="Status Atual" numFmtId="0">
      <sharedItems count="17">
        <s v="2. Concluído"/>
        <s v="0. Cancelado"/>
        <s v="1. Concluído"/>
        <s v="5. Por Iniciar"/>
        <s v="2. Em Especificação/Re-especificação"/>
        <s v="4. Validação da especificação"/>
        <s v=""/>
        <s v="3. Em Análise" u="1"/>
        <s v="8. Por Iniciar" u="1"/>
        <s v="3. Em Especificação/Re-especificação" u="1"/>
        <s v="1. Fora de âmbito" u="1"/>
        <s v="2. Em Teste" u="1"/>
        <s v="6. Em implementação (re-especificação)" u="1"/>
        <s v="4. Validação EF" u="1"/>
        <s v="2.1 Em Teste" u="1"/>
        <s v="5. Em Correção" u="1"/>
        <s v="3. Pendente de outros desenvolvimentos" u="1"/>
      </sharedItems>
    </cacheField>
    <cacheField name="Status Anterior" numFmtId="0">
      <sharedItems/>
    </cacheField>
    <cacheField name="Observações" numFmtId="0">
      <sharedItems/>
    </cacheField>
    <cacheField name="Data de Pedido correção/esclarecimento" numFmtId="14">
      <sharedItems containsNonDate="0" containsString="0" containsBlank="1"/>
    </cacheField>
    <cacheField name="Data de correção prevista" numFmtId="14">
      <sharedItems containsNonDate="0" containsString="0" containsBlank="1"/>
    </cacheField>
    <cacheField name="Data de correção efetiva" numFmtId="14">
      <sharedItems containsNonDate="0" containsString="0" containsBlank="1"/>
    </cacheField>
    <cacheField name="Data Prevista de Re-especificação" numFmtId="14">
      <sharedItems containsNonDate="0" containsString="0" containsBlank="1"/>
    </cacheField>
    <cacheField name="Data Prevista de Teste" numFmtId="14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1">
  <r>
    <s v="Green Dashboard"/>
    <x v="0"/>
    <s v="2. Campo"/>
    <x v="0"/>
    <s v="AVRG_BLNC"/>
    <x v="0"/>
    <s v="2. Concluído"/>
    <s v=""/>
    <m/>
    <m/>
    <m/>
    <m/>
    <m/>
  </r>
  <r>
    <s v="Green Dashboard"/>
    <x v="0"/>
    <s v="2. Campo"/>
    <x v="0"/>
    <s v="NW_BSNSS"/>
    <x v="0"/>
    <s v="4. Validação da especificação"/>
    <s v=""/>
    <m/>
    <m/>
    <m/>
    <m/>
    <m/>
  </r>
  <r>
    <s v="Green Dashboard"/>
    <x v="0"/>
    <s v="2. Campo"/>
    <x v="0"/>
    <s v="GRSS_INTRST_INCM"/>
    <x v="0"/>
    <s v="2. Concluído"/>
    <s v=""/>
    <m/>
    <m/>
    <m/>
    <m/>
    <m/>
  </r>
  <r>
    <s v="Green Dashboard"/>
    <x v="0"/>
    <s v="2. Campo"/>
    <x v="0"/>
    <s v="GRSS_CMMSSN_INCM"/>
    <x v="0"/>
    <s v="2. Concluído"/>
    <s v=""/>
    <m/>
    <m/>
    <m/>
    <m/>
    <m/>
  </r>
  <r>
    <s v="Green Dashboard"/>
    <x v="0"/>
    <s v="2. Campo"/>
    <x v="0"/>
    <s v="INTRNL_TRNSFR_RT"/>
    <x v="0"/>
    <s v="2. Concluído"/>
    <s v=""/>
    <m/>
    <m/>
    <m/>
    <m/>
    <m/>
  </r>
  <r>
    <s v="Green Dashboard"/>
    <x v="0"/>
    <s v="2. Campo"/>
    <x v="0"/>
    <s v="NT_LN_LSS_PRVSN"/>
    <x v="0"/>
    <s v="2. Concluído"/>
    <s v=""/>
    <m/>
    <m/>
    <m/>
    <m/>
    <m/>
  </r>
  <r>
    <s v="Green Dashboard"/>
    <x v="0"/>
    <s v="2. Campo"/>
    <x v="0"/>
    <s v="BSNSS_AREA"/>
    <x v="0"/>
    <s v="2. Concluído"/>
    <s v=""/>
    <m/>
    <m/>
    <m/>
    <m/>
    <m/>
  </r>
  <r>
    <s v="Green Dashboard"/>
    <x v="0"/>
    <s v="2. Campo"/>
    <x v="0"/>
    <s v="MNGMNT_PRDCT"/>
    <x v="0"/>
    <s v="2. Concluído"/>
    <s v=""/>
    <m/>
    <m/>
    <m/>
    <m/>
    <m/>
  </r>
  <r>
    <s v="Green Dashboard"/>
    <x v="0"/>
    <s v="2. Campo"/>
    <x v="0"/>
    <s v="GRSS_CMMSSN_EXPNS"/>
    <x v="0"/>
    <s v="2. Concluído"/>
    <s v=""/>
    <m/>
    <m/>
    <m/>
    <m/>
    <m/>
  </r>
  <r>
    <s v="Green Dashboard"/>
    <x v="0"/>
    <s v="2. Campo"/>
    <x v="0"/>
    <s v="GNS_FNNCL_TRNSCTN_EXCHNG_DFFRNCS"/>
    <x v="0"/>
    <s v="2. Concluído"/>
    <s v=""/>
    <m/>
    <m/>
    <m/>
    <m/>
    <m/>
  </r>
  <r>
    <s v="Green Dashboard"/>
    <x v="0"/>
    <s v="2. Campo"/>
    <x v="0"/>
    <s v="FLG_INTRBSNSS"/>
    <x v="0"/>
    <s v="3. Em Análise"/>
    <s v=""/>
    <m/>
    <m/>
    <m/>
    <m/>
    <m/>
  </r>
  <r>
    <s v="Green Dashboard"/>
    <x v="0"/>
    <s v="2. Campo"/>
    <x v="0"/>
    <s v="INTRBSNSS_ADJ_COD"/>
    <x v="0"/>
    <s v="3. Em Análise"/>
    <s v=""/>
    <m/>
    <m/>
    <m/>
    <m/>
    <m/>
  </r>
  <r>
    <s v="Green Dashboard"/>
    <x v="0"/>
    <s v="2. Campo"/>
    <x v="0"/>
    <s v="COD_SOC_DSTNTN"/>
    <x v="0"/>
    <s v="3. Em Análise"/>
    <s v=""/>
    <m/>
    <m/>
    <m/>
    <m/>
    <m/>
  </r>
  <r>
    <s v="Green Dashboard"/>
    <x v="0"/>
    <s v="2. Campo"/>
    <x v="0"/>
    <s v="BSNSS_AREA_DSTNTN"/>
    <x v="0"/>
    <s v="2. Concluído"/>
    <s v=""/>
    <m/>
    <m/>
    <m/>
    <m/>
    <m/>
  </r>
  <r>
    <s v="Green Dashboard"/>
    <x v="0"/>
    <s v="2. Campo"/>
    <x v="0"/>
    <s v="AVRG_BLNC_OFF_BLNC"/>
    <x v="0"/>
    <s v="2. Concluído"/>
    <s v=""/>
    <m/>
    <m/>
    <m/>
    <m/>
    <m/>
  </r>
  <r>
    <s v="Green Dashboard"/>
    <x v="0"/>
    <s v="2. Campo"/>
    <x v="0"/>
    <s v="INTRNL_TRNSFR_RT_OFF_BLNC"/>
    <x v="0"/>
    <s v="2. Concluído"/>
    <s v=""/>
    <m/>
    <m/>
    <m/>
    <m/>
    <m/>
  </r>
  <r>
    <s v="Green Dashboard"/>
    <x v="0"/>
    <s v="2. Campo"/>
    <x v="0"/>
    <s v="GRSS_CMMSSN_INCM_OFF_BLNC"/>
    <x v="0"/>
    <s v="2. Concluído"/>
    <s v=""/>
    <m/>
    <m/>
    <m/>
    <m/>
    <m/>
  </r>
  <r>
    <s v="Green Dashboard"/>
    <x v="0"/>
    <s v="2. Campo"/>
    <x v="0"/>
    <s v="GRSS_CMMSSN_EXPNS_OFF_BLNC"/>
    <x v="0"/>
    <s v="2. Concluído"/>
    <s v=""/>
    <m/>
    <m/>
    <m/>
    <m/>
    <m/>
  </r>
  <r>
    <s v="Green Dashboard"/>
    <x v="0"/>
    <s v="2. Campo"/>
    <x v="0"/>
    <s v="RWA_OFF_BLNC"/>
    <x v="0"/>
    <s v="2. Concluído"/>
    <s v=""/>
    <m/>
    <m/>
    <m/>
    <m/>
    <m/>
  </r>
  <r>
    <s v="Green Dashboard"/>
    <x v="0"/>
    <s v="2. Campo"/>
    <x v="0"/>
    <s v="GRSS_INTRST_EXPNS"/>
    <x v="0"/>
    <s v="2. Concluído"/>
    <s v=""/>
    <m/>
    <m/>
    <m/>
    <m/>
    <m/>
  </r>
  <r>
    <s v="Green Dashboard"/>
    <x v="0"/>
    <s v="2. Campo"/>
    <x v="0"/>
    <s v="NT_LN_LSS_PRVSN_OFF_BLNC"/>
    <x v="0"/>
    <s v="2. Concluído"/>
    <s v=""/>
    <m/>
    <m/>
    <m/>
    <m/>
    <m/>
  </r>
  <r>
    <s v="Green Dashboard"/>
    <x v="0"/>
    <s v="2. Campo"/>
    <x v="0"/>
    <s v="GRSS_INTRST_INCM_CCRR"/>
    <x v="0"/>
    <s v="2. Concluído"/>
    <s v=""/>
    <m/>
    <m/>
    <m/>
    <m/>
    <m/>
  </r>
  <r>
    <s v="Green Dashboard"/>
    <x v="0"/>
    <s v="2. Campo"/>
    <x v="0"/>
    <s v="GRSS_INTRST_EXPNS_CCRR"/>
    <x v="0"/>
    <s v="2. Concluído"/>
    <s v=""/>
    <m/>
    <m/>
    <m/>
    <m/>
    <m/>
  </r>
  <r>
    <s v="Green Dashboard"/>
    <x v="0"/>
    <s v="2. Campo"/>
    <x v="0"/>
    <s v="GRSS_CMMSSN_INCM_CCRR"/>
    <x v="0"/>
    <s v="2. Concluído"/>
    <s v=""/>
    <m/>
    <m/>
    <m/>
    <m/>
    <m/>
  </r>
  <r>
    <s v="Green Dashboard"/>
    <x v="0"/>
    <s v="2. Campo"/>
    <x v="0"/>
    <s v="GRSS_CMMSSN_EXPNS_CCRR"/>
    <x v="0"/>
    <s v="2. Concluído"/>
    <s v=""/>
    <m/>
    <m/>
    <m/>
    <m/>
    <m/>
  </r>
  <r>
    <s v="Green Dashboard"/>
    <x v="0"/>
    <s v="2. Campo"/>
    <x v="0"/>
    <s v="GNS_FNNCL_TRNSCTN_EXCHNG_CCRR"/>
    <x v="0"/>
    <s v="2. Concluído"/>
    <s v=""/>
    <m/>
    <m/>
    <m/>
    <m/>
    <m/>
  </r>
  <r>
    <s v="Green Dashboard"/>
    <x v="0"/>
    <s v="2. Campo"/>
    <x v="0"/>
    <s v="BSNSS_AREA_CCRR"/>
    <x v="0"/>
    <s v="2. Concluído"/>
    <s v=""/>
    <m/>
    <m/>
    <m/>
    <m/>
    <m/>
  </r>
  <r>
    <s v="Green Dashboard"/>
    <x v="0"/>
    <s v="2. Campo"/>
    <x v="0"/>
    <s v="GRSS_CMMSSN_INCM_OFF_BLNC_CCRR"/>
    <x v="0"/>
    <s v="2. Concluído"/>
    <s v=""/>
    <m/>
    <m/>
    <m/>
    <m/>
    <m/>
  </r>
  <r>
    <s v="Green Dashboard"/>
    <x v="0"/>
    <s v="2. Campo"/>
    <x v="0"/>
    <s v="GRSS_CMMSSN_EXPNS_OFF_BLNC_CCRR"/>
    <x v="0"/>
    <s v="2. Concluído"/>
    <s v=""/>
    <m/>
    <m/>
    <m/>
    <m/>
    <m/>
  </r>
  <r>
    <s v="Green Dashboard"/>
    <x v="0"/>
    <s v="2. Campo"/>
    <x v="0"/>
    <s v="FLG_INSTRMNT_CNCLLD"/>
    <x v="1"/>
    <s v="0. Cancelado"/>
    <s v=""/>
    <m/>
    <m/>
    <m/>
    <m/>
    <m/>
  </r>
  <r>
    <s v="Green Dashboard"/>
    <x v="0"/>
    <s v="2. Campo"/>
    <x v="1"/>
    <s v="ambito"/>
    <x v="0"/>
    <s v="2. Concluído"/>
    <s v=""/>
    <m/>
    <m/>
    <m/>
    <m/>
    <m/>
  </r>
  <r>
    <s v="Green Dashboard"/>
    <x v="0"/>
    <s v="2. Campo"/>
    <x v="1"/>
    <s v="tipo_conta_local"/>
    <x v="0"/>
    <s v="2. Concluído"/>
    <s v=""/>
    <m/>
    <m/>
    <m/>
    <m/>
    <m/>
  </r>
  <r>
    <s v="Green Dashboard"/>
    <x v="0"/>
    <s v="2. Campo"/>
    <x v="1"/>
    <s v="valor_gd"/>
    <x v="0"/>
    <s v="2. Concluído"/>
    <s v=""/>
    <m/>
    <m/>
    <m/>
    <m/>
    <m/>
  </r>
  <r>
    <s v="Green Dashboard"/>
    <x v="0"/>
    <s v="2. Campo"/>
    <x v="1"/>
    <s v="kpi"/>
    <x v="0"/>
    <s v="2. Concluído"/>
    <s v=""/>
    <m/>
    <m/>
    <m/>
    <m/>
    <m/>
  </r>
  <r>
    <s v="Green Dashboard"/>
    <x v="0"/>
    <s v="2. Campo"/>
    <x v="1"/>
    <s v="ordem"/>
    <x v="0"/>
    <s v="2. Concluído"/>
    <s v=""/>
    <m/>
    <m/>
    <m/>
    <m/>
    <m/>
  </r>
  <r>
    <s v="Green Dashboard"/>
    <x v="0"/>
    <s v="2. Campo"/>
    <x v="1"/>
    <s v="ref_date"/>
    <x v="0"/>
    <s v="2. Concluído"/>
    <s v=""/>
    <m/>
    <m/>
    <m/>
    <m/>
    <m/>
  </r>
  <r>
    <s v="Green Dashboard"/>
    <x v="0"/>
    <s v="2. Campo"/>
    <x v="0"/>
    <s v="SSTNBL_INDCTR"/>
    <x v="1"/>
    <s v="0. Cancelado"/>
    <s v=""/>
    <m/>
    <m/>
    <m/>
    <m/>
    <m/>
  </r>
  <r>
    <s v="Green Dashboard"/>
    <x v="0"/>
    <s v="2. Campo"/>
    <x v="0"/>
    <s v="SSTNBL_CTGRY"/>
    <x v="1"/>
    <s v="0. Cancelado"/>
    <s v=""/>
    <m/>
    <m/>
    <m/>
    <m/>
    <m/>
  </r>
  <r>
    <s v="Green Dashboard"/>
    <x v="1"/>
    <s v="2. Campo"/>
    <x v="0"/>
    <s v="CCF"/>
    <x v="2"/>
    <s v="1. Concluído"/>
    <s v=""/>
    <m/>
    <m/>
    <m/>
    <m/>
    <m/>
  </r>
  <r>
    <s v="Green Dashboard"/>
    <x v="1"/>
    <s v="2. Campo"/>
    <x v="0"/>
    <s v="EAD"/>
    <x v="3"/>
    <s v="1. Concluído"/>
    <s v="No sprint 3 da equipa de LF (5/mai a 23/jun)"/>
    <m/>
    <m/>
    <m/>
    <m/>
    <m/>
  </r>
  <r>
    <s v="Green Dashboard"/>
    <x v="1"/>
    <s v="2. Campo"/>
    <x v="0"/>
    <s v="TYP_OFF_BLNC_PRDCT"/>
    <x v="3"/>
    <s v="5. Por Iniciar"/>
    <s v="No sprint 1 da equipa de LF (termina a 10/mar)"/>
    <m/>
    <m/>
    <m/>
    <m/>
    <m/>
  </r>
  <r>
    <s v="Green Dashboard"/>
    <x v="1"/>
    <s v="2. Campo"/>
    <x v="0"/>
    <s v="COD_SOC"/>
    <x v="2"/>
    <s v="1. Concluído"/>
    <s v=""/>
    <m/>
    <m/>
    <m/>
    <m/>
    <m/>
  </r>
  <r>
    <s v="Green Dashboard"/>
    <x v="1"/>
    <s v="2. Campo"/>
    <x v="0"/>
    <s v="SUBPORTFOLIO_ID"/>
    <x v="2"/>
    <s v="1. Concluído"/>
    <s v=""/>
    <m/>
    <m/>
    <m/>
    <m/>
    <m/>
  </r>
  <r>
    <s v="Green Dashboard"/>
    <x v="1"/>
    <s v="2. Campo"/>
    <x v="0"/>
    <s v="DT_RFRNC"/>
    <x v="2"/>
    <s v="1. Concluído"/>
    <s v=""/>
    <m/>
    <m/>
    <m/>
    <m/>
    <m/>
  </r>
  <r>
    <s v="Green Dashboard"/>
    <x v="1"/>
    <s v="2. Campo"/>
    <x v="0"/>
    <s v="DFLT_STTS_INSTRMNT"/>
    <x v="3"/>
    <s v="1. Concluído"/>
    <s v="No sprint 2.2 da equipa de LF (final de mar até 28/abr)"/>
    <m/>
    <m/>
    <m/>
    <m/>
    <m/>
  </r>
  <r>
    <s v="Green Dashboard"/>
    <x v="1"/>
    <s v="2. Campo"/>
    <x v="0"/>
    <s v="IMPRMNT_STTS"/>
    <x v="3"/>
    <s v="1. Concluído"/>
    <s v="Do lado de PM em testes"/>
    <m/>
    <m/>
    <m/>
    <m/>
    <m/>
  </r>
  <r>
    <s v="Green Dashboard"/>
    <x v="1"/>
    <s v="2. Campo"/>
    <x v="0"/>
    <s v="PRFRMNG_STTS"/>
    <x v="3"/>
    <s v="1. Concluído"/>
    <s v="Do lado de PM em testes"/>
    <m/>
    <m/>
    <m/>
    <m/>
    <m/>
  </r>
  <r>
    <s v="Green Dashboard"/>
    <x v="1"/>
    <s v="2. Campo"/>
    <x v="0"/>
    <s v="TYP_INSTRMNT"/>
    <x v="2"/>
    <s v="1. Concluído"/>
    <s v="Concluido do lado de PM"/>
    <m/>
    <m/>
    <m/>
    <m/>
    <m/>
  </r>
  <r>
    <s v="Green Dashboard"/>
    <x v="1"/>
    <s v="2. Campo"/>
    <x v="0"/>
    <s v="GRSS_CRRYNG_AMNT_INSTRMNT"/>
    <x v="2"/>
    <s v="1. Concluído"/>
    <s v=""/>
    <m/>
    <m/>
    <m/>
    <m/>
    <m/>
  </r>
  <r>
    <s v="Green Dashboard"/>
    <x v="1"/>
    <s v="2. Campo"/>
    <x v="0"/>
    <s v="ACCMLTD_CHNGS_FV_CR_INSTRMNT"/>
    <x v="2"/>
    <s v="1. Concluído"/>
    <s v=""/>
    <m/>
    <m/>
    <m/>
    <m/>
    <m/>
  </r>
  <r>
    <s v="Green Dashboard"/>
    <x v="1"/>
    <s v="2. Campo"/>
    <x v="0"/>
    <s v="ACCNTNG_CLSSFCTN"/>
    <x v="2"/>
    <s v="1. Concluído"/>
    <s v="Concluido do lado de PM"/>
    <m/>
    <m/>
    <m/>
    <m/>
    <m/>
  </r>
  <r>
    <s v="Green Dashboard"/>
    <x v="1"/>
    <s v="2. Campo"/>
    <x v="0"/>
    <s v="OFF_BLNC_SHT_AMNT_INSTRMNT"/>
    <x v="3"/>
    <s v="1. Concluído"/>
    <s v="No sprint 4 da equipa de LF (17/fev a 24/mar)"/>
    <m/>
    <m/>
    <m/>
    <m/>
    <m/>
  </r>
  <r>
    <s v="Green Dashboard"/>
    <x v="1"/>
    <s v="2. Campo"/>
    <x v="0"/>
    <s v="PRVSNS_OFF_BLNC_SHT"/>
    <x v="2"/>
    <s v="1. Concluído"/>
    <s v=""/>
    <m/>
    <m/>
    <m/>
    <m/>
    <m/>
  </r>
  <r>
    <s v="Green Dashboard"/>
    <x v="1"/>
    <s v="2. Campo"/>
    <x v="0"/>
    <s v="RWA"/>
    <x v="3"/>
    <s v="1. Concluído"/>
    <s v="No sprint 3 da equipa de LF (5/mai a 23/jun)"/>
    <m/>
    <m/>
    <m/>
    <m/>
    <m/>
  </r>
  <r>
    <s v="Green Dashboard"/>
    <x v="1"/>
    <s v="2. Campo"/>
    <x v="0"/>
    <s v="ACCMLTD_IMPRMNT_INSTRMNT"/>
    <x v="2"/>
    <s v="1. Concluído"/>
    <s v=""/>
    <m/>
    <m/>
    <m/>
    <m/>
    <m/>
  </r>
  <r>
    <s v="Green Dashboard"/>
    <x v="1"/>
    <s v="2. Campo"/>
    <x v="0"/>
    <s v="COD_SOC_INTRGRP"/>
    <x v="2"/>
    <s v="1. Concluído"/>
    <s v="31/jan: 30/set/24 não existiam inconsistências na máquina Corporativa"/>
    <m/>
    <m/>
    <m/>
    <m/>
    <m/>
  </r>
  <r>
    <s v="Green Dashboard"/>
    <x v="1"/>
    <s v="2. Campo"/>
    <x v="0"/>
    <s v="LCL_INSTMRNT_ID"/>
    <x v="2"/>
    <s v="1. Concluído"/>
    <s v="31/jan: A 30/set/24 não existiam inconsistências na máquina Corporativa."/>
    <m/>
    <m/>
    <m/>
    <m/>
    <m/>
  </r>
  <r>
    <s v="Green Dashboard"/>
    <x v="1"/>
    <s v="2. Campo"/>
    <x v="0"/>
    <s v="IDCMB"/>
    <x v="3"/>
    <s v="1. Concluído"/>
    <s v="No sprint 3 da equipa de LF (5/mai a 23/jun)"/>
    <m/>
    <m/>
    <m/>
    <m/>
    <m/>
  </r>
  <r>
    <s v="Green Dashboard"/>
    <x v="1"/>
    <s v="2. Campo"/>
    <x v="2"/>
    <s v="COD_SOC"/>
    <x v="2"/>
    <s v="1. Concluído"/>
    <s v=""/>
    <m/>
    <m/>
    <m/>
    <m/>
    <m/>
  </r>
  <r>
    <s v="Green Dashboard"/>
    <x v="1"/>
    <s v="2. Campo"/>
    <x v="2"/>
    <s v="DT_RFRNC"/>
    <x v="2"/>
    <s v="1. Concluído"/>
    <s v=""/>
    <m/>
    <m/>
    <m/>
    <m/>
    <m/>
  </r>
  <r>
    <s v="Green Dashboard"/>
    <x v="1"/>
    <s v="2. Campo"/>
    <x v="2"/>
    <s v="INSTRMNT_ID"/>
    <x v="2"/>
    <s v="1. Concluído"/>
    <s v=""/>
    <m/>
    <m/>
    <m/>
    <m/>
    <m/>
  </r>
  <r>
    <s v="Green Dashboard"/>
    <x v="1"/>
    <s v="2. Campo"/>
    <x v="2"/>
    <s v="PRTCTN_ID"/>
    <x v="2"/>
    <s v="1. Concluído"/>
    <s v=""/>
    <m/>
    <m/>
    <m/>
    <m/>
    <m/>
  </r>
  <r>
    <s v="Green Dashboard"/>
    <x v="1"/>
    <s v="2. Campo"/>
    <x v="3"/>
    <s v="COD_SOC"/>
    <x v="2"/>
    <s v="1. Concluído"/>
    <s v=""/>
    <m/>
    <m/>
    <m/>
    <m/>
    <m/>
  </r>
  <r>
    <s v="Green Dashboard"/>
    <x v="1"/>
    <s v="2. Campo"/>
    <x v="3"/>
    <s v="DT_RFRNC"/>
    <x v="2"/>
    <s v="1. Concluído"/>
    <s v=""/>
    <m/>
    <m/>
    <m/>
    <m/>
    <m/>
  </r>
  <r>
    <s v="Green Dashboard"/>
    <x v="1"/>
    <s v="2. Campo"/>
    <x v="3"/>
    <s v="PRTCTN_ID"/>
    <x v="2"/>
    <s v="1. Concluído"/>
    <s v=""/>
    <m/>
    <m/>
    <m/>
    <m/>
    <m/>
  </r>
  <r>
    <s v="Green Dashboard"/>
    <x v="1"/>
    <s v="2. Campo"/>
    <x v="3"/>
    <s v="TYP_PRTCTN"/>
    <x v="2"/>
    <s v="1. Concluído"/>
    <s v=""/>
    <m/>
    <m/>
    <m/>
    <m/>
    <m/>
  </r>
  <r>
    <s v="Green Dashboard"/>
    <x v="1"/>
    <s v="2. Campo"/>
    <x v="3"/>
    <s v="PRTCTN_VL"/>
    <x v="2"/>
    <s v="1. Concluído"/>
    <s v="31/jan: Já não existem incidência, ou seja, garantias com valor 0. Assim, o campo encontra-se concluido."/>
    <m/>
    <m/>
    <m/>
    <m/>
    <m/>
  </r>
  <r>
    <s v="Green Dashboard"/>
    <x v="1"/>
    <s v="2. Campo"/>
    <x v="3"/>
    <s v="TYP_VHCL"/>
    <x v="3"/>
    <s v=""/>
    <s v="Novo campo adicionado à listagem a 28/jan."/>
    <m/>
    <m/>
    <m/>
    <m/>
    <m/>
  </r>
  <r>
    <s v="Green Dashboard"/>
    <x v="1"/>
    <s v="2. Campo"/>
    <x v="3"/>
    <s v="FLG_ELCTRC_VHCL"/>
    <x v="3"/>
    <s v="5. Por Iniciar"/>
    <s v="Reunião com JB dia 09/fev."/>
    <m/>
    <m/>
    <m/>
    <m/>
    <m/>
  </r>
  <r>
    <s v="Green Dashboard"/>
    <x v="1"/>
    <s v="2. Campo"/>
    <x v="4"/>
    <s v="PRCNTG_ACTVTY"/>
    <x v="4"/>
    <s v="2. Em Especificação/Re-especificação"/>
    <s v="Pilar 3: data prevista de entrega 4/fev."/>
    <m/>
    <m/>
    <m/>
    <m/>
    <m/>
  </r>
  <r>
    <s v="Green Dashboard"/>
    <x v="1"/>
    <s v="2. Campo"/>
    <x v="0"/>
    <s v="CNCLLD_INSTRMNT_STTS"/>
    <x v="4"/>
    <s v="5. Por Iniciar"/>
    <s v=""/>
    <m/>
    <m/>
    <m/>
    <m/>
    <m/>
  </r>
  <r>
    <s v="Green Dashboard"/>
    <x v="1"/>
    <s v="2. Campo"/>
    <x v="4"/>
    <s v="SSTNBL_INDCTR"/>
    <x v="4"/>
    <s v="2. Em Especificação/Re-especificação"/>
    <s v=""/>
    <m/>
    <m/>
    <m/>
    <m/>
    <m/>
  </r>
  <r>
    <s v="Green Dashboard"/>
    <x v="1"/>
    <s v="2. Campo"/>
    <x v="4"/>
    <s v="SSTNBL_CTGRY"/>
    <x v="4"/>
    <s v="2. Em Especificação/Re-especificação"/>
    <s v=""/>
    <m/>
    <m/>
    <m/>
    <m/>
    <m/>
  </r>
  <r>
    <s v="Green Dashboard"/>
    <x v="1"/>
    <s v="2. Campo"/>
    <x v="0"/>
    <s v="AVRG_BLNC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NW_BSNSS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GRSS_INTRST_INCM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GRSS_CMMSSN_INCM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INTRNL_TRNSFR_RT"/>
    <x v="2"/>
    <s v="1. Concluído"/>
    <s v=""/>
    <m/>
    <m/>
    <m/>
    <m/>
    <m/>
  </r>
  <r>
    <s v="Green Dashboard"/>
    <x v="1"/>
    <s v="2. Campo"/>
    <x v="0"/>
    <s v="NT_LN_LSS_PRVSN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BSNSS_AREA"/>
    <x v="2"/>
    <s v="2. Em Especificação/Re-especificação"/>
    <s v="Na reunião de dia 31/jan com a Corporação ficou definido que se vai manter a desagregação pela BA. Este campo deve manter a especificação que já se encontra implementada."/>
    <m/>
    <m/>
    <m/>
    <m/>
    <m/>
  </r>
  <r>
    <s v="Green Dashboard"/>
    <x v="1"/>
    <s v="2. Campo"/>
    <x v="0"/>
    <s v="MNGMNT_PRDCT"/>
    <x v="2"/>
    <s v="1. Concluído"/>
    <s v=""/>
    <m/>
    <m/>
    <m/>
    <m/>
    <m/>
  </r>
  <r>
    <s v="Green Dashboard"/>
    <x v="1"/>
    <s v="2. Campo"/>
    <x v="0"/>
    <s v="GRSS_CMMSSN_EXPNS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GNS_FNNCL_TRNSCTN_EXCHNG_DFFRNCS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FLG_INTRBSNSS"/>
    <x v="2"/>
    <s v="1. Concluído"/>
    <s v="Preenchimento validado com a Corporação (email de 20/jan)."/>
    <m/>
    <m/>
    <m/>
    <m/>
    <m/>
  </r>
  <r>
    <s v="Green Dashboard"/>
    <x v="1"/>
    <s v="2. Campo"/>
    <x v="0"/>
    <s v="INTRBSNSS_ADJ_COD"/>
    <x v="2"/>
    <s v="1. Concluído"/>
    <s v="Preenchimento validado com a Corporação (email de 20/jan)."/>
    <m/>
    <m/>
    <m/>
    <m/>
    <m/>
  </r>
  <r>
    <s v="Green Dashboard"/>
    <x v="1"/>
    <s v="2. Campo"/>
    <x v="0"/>
    <s v="COD_SOC_DSTNTN"/>
    <x v="2"/>
    <s v="1. Concluído"/>
    <s v="Preenchimento validado com a Corporação (email de 20/jan)."/>
    <m/>
    <m/>
    <m/>
    <m/>
    <m/>
  </r>
  <r>
    <s v="Green Dashboard"/>
    <x v="1"/>
    <s v="2. Campo"/>
    <x v="0"/>
    <s v="BSNSS_AREA_DSTNTN"/>
    <x v="2"/>
    <s v="1. Concluído"/>
    <s v="Preenchimento validado com a Corporação (email de 20/jan)."/>
    <m/>
    <m/>
    <m/>
    <m/>
    <m/>
  </r>
  <r>
    <s v="Green Dashboard"/>
    <x v="1"/>
    <s v="2. Campo"/>
    <x v="0"/>
    <s v="AVRG_BLNC_OFF_BLNC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INTRNL_TRNSFR_RT_OFF_BLNC"/>
    <x v="2"/>
    <s v="1. Concluído"/>
    <s v=""/>
    <m/>
    <m/>
    <m/>
    <m/>
    <m/>
  </r>
  <r>
    <s v="Green Dashboard"/>
    <x v="1"/>
    <s v="2. Campo"/>
    <x v="0"/>
    <s v="GRSS_CMMSSN_INCM_OFF_BLNC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GRSS_CMMSSN_EXPNS_OFF_BLNC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RWA_OFF_BLNC"/>
    <x v="2"/>
    <s v="1. Concluído"/>
    <s v=""/>
    <m/>
    <m/>
    <m/>
    <m/>
    <m/>
  </r>
  <r>
    <s v="Green Dashboard"/>
    <x v="1"/>
    <s v="2. Campo"/>
    <x v="0"/>
    <s v="GRSS_INTRST_EXPNS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NT_LN_LSS_PRVSN_OFF_BLNC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GRSS_INTRST_INCM_CCRR"/>
    <x v="2"/>
    <s v="2. Em Especificação/Re-especificação"/>
    <s v="Na reunião de dia 31/jan com a Corporação ficou definido que se vai manter a desagregação pela BA. Este campo deve manter a especificação que já se encontra implementada."/>
    <m/>
    <m/>
    <m/>
    <m/>
    <m/>
  </r>
  <r>
    <s v="Green Dashboard"/>
    <x v="1"/>
    <s v="2. Campo"/>
    <x v="0"/>
    <s v="GRSS_INTRST_EXPNS_CCRR"/>
    <x v="2"/>
    <s v="2. Em Especificação/Re-especificação"/>
    <s v="Na reunião de dia 31/jan com a Corporação ficou definido que se vai manter a desagregação pela BA. Este campo deve manter a especificação que já se encontra implementada."/>
    <m/>
    <m/>
    <m/>
    <m/>
    <m/>
  </r>
  <r>
    <s v="Green Dashboard"/>
    <x v="1"/>
    <s v="2. Campo"/>
    <x v="0"/>
    <s v="GRSS_CMMSSN_INCM_CCRR"/>
    <x v="2"/>
    <s v="2. Em Especificação/Re-especificação"/>
    <s v="Na reunião de dia 31/jan com a Corporação ficou definido que se vai manter a desagregação pela BA. Este campo deve manter a especificação que já se encontra implementada."/>
    <m/>
    <m/>
    <m/>
    <m/>
    <m/>
  </r>
  <r>
    <s v="Green Dashboard"/>
    <x v="1"/>
    <s v="2. Campo"/>
    <x v="0"/>
    <s v="GRSS_CMMSSN_EXPNS_CCRR"/>
    <x v="2"/>
    <s v="2. Em Especificação/Re-especificação"/>
    <s v="Na reunião de dia 31/jan com a Corporação ficou definido que se vai manter a desagregação pela BA. Este campo deve manter a especificação que já se encontra implementada."/>
    <m/>
    <m/>
    <m/>
    <m/>
    <m/>
  </r>
  <r>
    <s v="Green Dashboard"/>
    <x v="1"/>
    <s v="2. Campo"/>
    <x v="0"/>
    <s v="GNS_FNNCL_TRNSCTN_EXCHNG_CCRR"/>
    <x v="2"/>
    <s v="2. Em Especificação/Re-especificação"/>
    <s v="Na reunião de dia 31/jan com a Corporação ficou definido que se vai manter a desagregação pela BA. Este campo deve manter a especificação que já se encontra implementada."/>
    <m/>
    <m/>
    <m/>
    <m/>
    <m/>
  </r>
  <r>
    <s v="Green Dashboard"/>
    <x v="1"/>
    <s v="2. Campo"/>
    <x v="0"/>
    <s v="BSNSS_AREA_CCRR"/>
    <x v="2"/>
    <s v="2. Em Especificação/Re-especificação"/>
    <s v="Na reunião de dia 31/jan com a Corporação ficou definido que se vai manter a desagregação pela BA. Este campo deve manter a especificação que já se encontra implementada."/>
    <m/>
    <m/>
    <m/>
    <m/>
    <m/>
  </r>
  <r>
    <s v="Green Dashboard"/>
    <x v="1"/>
    <s v="2. Campo"/>
    <x v="0"/>
    <s v="GRSS_CMMSSN_INCM_OFF_BLNC_CCRR"/>
    <x v="2"/>
    <s v="2. Em Especificação/Re-especificação"/>
    <s v="Na reunião de dia 31/jan com a Corporação ficou definido que se vai manter a desagregação pela BA. Este campo deve manter a especificação que já se encontra implementada."/>
    <m/>
    <m/>
    <m/>
    <m/>
    <m/>
  </r>
  <r>
    <s v="Green Dashboard"/>
    <x v="1"/>
    <s v="2. Campo"/>
    <x v="0"/>
    <s v="GRSS_CMMSSN_EXPNS_OFF_BLNC_CCRR"/>
    <x v="2"/>
    <s v="2. Em Especificação/Re-especificação"/>
    <s v="Na reunião de dia 31/jan com a Corporação ficou definido que se vai manter a desagregação pela BA. Este campo deve manter a especificação que já se encontra implementada."/>
    <m/>
    <m/>
    <m/>
    <m/>
    <m/>
  </r>
  <r>
    <s v="Green Dashboard"/>
    <x v="1"/>
    <s v="2. Campo"/>
    <x v="1"/>
    <s v="ambito"/>
    <x v="4"/>
    <s v="2. Em Especificação/Re-especificação"/>
    <s v=""/>
    <m/>
    <m/>
    <m/>
    <m/>
    <m/>
  </r>
  <r>
    <s v="Green Dashboard"/>
    <x v="1"/>
    <s v="2. Campo"/>
    <x v="1"/>
    <s v="tipo_conta_local"/>
    <x v="4"/>
    <s v="2. Em Especificação/Re-especificação"/>
    <s v=""/>
    <m/>
    <m/>
    <m/>
    <m/>
    <m/>
  </r>
  <r>
    <s v="Green Dashboard"/>
    <x v="1"/>
    <s v="2. Campo"/>
    <x v="1"/>
    <s v="valor_gd"/>
    <x v="4"/>
    <s v="2. Em Especificação/Re-especificação"/>
    <s v=""/>
    <m/>
    <m/>
    <m/>
    <m/>
    <m/>
  </r>
  <r>
    <s v="Green Dashboard"/>
    <x v="1"/>
    <s v="2. Campo"/>
    <x v="1"/>
    <s v="kpi"/>
    <x v="4"/>
    <s v="2. Em Especificação/Re-especificação"/>
    <s v=""/>
    <m/>
    <m/>
    <m/>
    <m/>
    <m/>
  </r>
  <r>
    <s v="Green Dashboard"/>
    <x v="1"/>
    <s v="2. Campo"/>
    <x v="1"/>
    <s v="ordem"/>
    <x v="4"/>
    <s v="2. Em Especificação/Re-especificação"/>
    <s v=""/>
    <m/>
    <m/>
    <m/>
    <m/>
    <m/>
  </r>
  <r>
    <s v="Green Dashboard"/>
    <x v="1"/>
    <s v="2. Campo"/>
    <x v="1"/>
    <s v="ref_date"/>
    <x v="4"/>
    <s v="2. Em Especificação/Re-especificação"/>
    <s v=""/>
    <m/>
    <m/>
    <m/>
    <m/>
    <m/>
  </r>
  <r>
    <s v="Green Dashboard"/>
    <x v="1"/>
    <s v="2. Campo"/>
    <x v="0"/>
    <s v="INSTRMNT_ID"/>
    <x v="2"/>
    <s v="1. Concluído"/>
    <s v=""/>
    <m/>
    <m/>
    <m/>
    <m/>
    <m/>
  </r>
  <r>
    <s v="Green Dashboard"/>
    <x v="1"/>
    <s v="2. Campo"/>
    <x v="2"/>
    <s v="TYP_RLTN"/>
    <x v="4"/>
    <s v="5. Por Iniciar"/>
    <s v=""/>
    <m/>
    <m/>
    <m/>
    <m/>
    <m/>
  </r>
  <r>
    <s v="Green Dashboard"/>
    <x v="1"/>
    <s v="2. Campo"/>
    <x v="4"/>
    <s v="COD_SOC"/>
    <x v="4"/>
    <s v="5. Por Iniciar"/>
    <s v="Pilar 3: data prevista de entrega 4/fev"/>
    <m/>
    <m/>
    <m/>
    <m/>
    <m/>
  </r>
  <r>
    <s v="Green Dashboard"/>
    <x v="1"/>
    <s v="2. Campo"/>
    <x v="4"/>
    <s v="DT_RFRNC"/>
    <x v="4"/>
    <s v="5. Por Iniciar"/>
    <s v="Pilar 3: data prevista de entrega 4/fev"/>
    <m/>
    <m/>
    <m/>
    <m/>
    <m/>
  </r>
  <r>
    <s v="Green Dashboard"/>
    <x v="1"/>
    <s v="2. Campo"/>
    <x v="4"/>
    <s v="INSTRMNT_ID"/>
    <x v="4"/>
    <s v="5. Por Iniciar"/>
    <s v="Pilar 3: data prevista de entrega 4/fev"/>
    <m/>
    <m/>
    <m/>
    <m/>
    <m/>
  </r>
  <r>
    <s v="Green Dashboard"/>
    <x v="2"/>
    <s v="2. Campo"/>
    <x v="0"/>
    <s v="FLG_INTRBSNSS"/>
    <x v="6"/>
    <s v=""/>
    <s v=""/>
    <m/>
    <m/>
    <m/>
    <m/>
    <m/>
  </r>
  <r>
    <s v="Green Dashboard"/>
    <x v="2"/>
    <s v="2. Campo"/>
    <x v="0"/>
    <s v="INTRBSNSS_ADJ_COD"/>
    <x v="6"/>
    <s v=""/>
    <s v=""/>
    <m/>
    <m/>
    <m/>
    <m/>
    <m/>
  </r>
  <r>
    <s v="Green Dashboard"/>
    <x v="2"/>
    <s v="2. Campo"/>
    <x v="0"/>
    <s v="COD_SOC_DSTNTN"/>
    <x v="6"/>
    <s v=""/>
    <s v=""/>
    <m/>
    <m/>
    <m/>
    <m/>
    <m/>
  </r>
  <r>
    <s v="Green Dashboard"/>
    <x v="2"/>
    <s v="2. Campo"/>
    <x v="0"/>
    <s v="BSNSS_AREA_DSTNTN"/>
    <x v="6"/>
    <s v=""/>
    <s v=""/>
    <m/>
    <m/>
    <m/>
    <m/>
    <m/>
  </r>
  <r>
    <s v="Green Dashboard"/>
    <x v="2"/>
    <s v="2. Campo"/>
    <x v="0"/>
    <s v="INTRNL_TRNSFR_RT_OFF_BLNC"/>
    <x v="6"/>
    <s v=""/>
    <s v=""/>
    <m/>
    <m/>
    <m/>
    <m/>
    <m/>
  </r>
  <r>
    <s v="Green Dashboard"/>
    <x v="2"/>
    <s v="2. Campo"/>
    <x v="0"/>
    <s v="RWA_OFF_BLNC"/>
    <x v="6"/>
    <s v=""/>
    <s v=""/>
    <m/>
    <m/>
    <m/>
    <m/>
    <m/>
  </r>
  <r>
    <s v="Green Dashboard"/>
    <x v="2"/>
    <s v="2. Campo"/>
    <x v="0"/>
    <s v="COD_SOC"/>
    <x v="6"/>
    <s v=""/>
    <s v=""/>
    <m/>
    <m/>
    <m/>
    <m/>
    <m/>
  </r>
  <r>
    <s v="Green Dashboard"/>
    <x v="2"/>
    <s v="2. Campo"/>
    <x v="0"/>
    <s v="SUBPORTFOLIO_ID"/>
    <x v="6"/>
    <s v=""/>
    <s v=""/>
    <m/>
    <m/>
    <m/>
    <m/>
    <m/>
  </r>
  <r>
    <s v="Green Dashboard"/>
    <x v="2"/>
    <s v="2. Campo"/>
    <x v="0"/>
    <s v="DT_RFRNC"/>
    <x v="6"/>
    <s v=""/>
    <s v=""/>
    <m/>
    <m/>
    <m/>
    <m/>
    <m/>
  </r>
  <r>
    <s v="Green Dashboard"/>
    <x v="2"/>
    <s v="2. Campo"/>
    <x v="0"/>
    <s v="DFLT_STTS_INSTRMNT"/>
    <x v="6"/>
    <s v=""/>
    <s v=""/>
    <m/>
    <m/>
    <m/>
    <m/>
    <m/>
  </r>
  <r>
    <s v="Green Dashboard"/>
    <x v="2"/>
    <s v="2. Campo"/>
    <x v="0"/>
    <s v="IMPRMNT_STTS"/>
    <x v="6"/>
    <s v=""/>
    <s v=""/>
    <m/>
    <m/>
    <m/>
    <m/>
    <m/>
  </r>
  <r>
    <s v="Green Dashboard"/>
    <x v="2"/>
    <s v="2. Campo"/>
    <x v="0"/>
    <s v="PRFRMNG_STTS"/>
    <x v="6"/>
    <s v=""/>
    <s v=""/>
    <m/>
    <m/>
    <m/>
    <m/>
    <m/>
  </r>
  <r>
    <s v="Green Dashboard"/>
    <x v="2"/>
    <s v="2. Campo"/>
    <x v="0"/>
    <s v="TYP_INSTRMNT"/>
    <x v="6"/>
    <s v=""/>
    <s v=""/>
    <m/>
    <m/>
    <m/>
    <m/>
    <m/>
  </r>
  <r>
    <s v="Green Dashboard"/>
    <x v="2"/>
    <s v="2. Campo"/>
    <x v="0"/>
    <s v="GRSS_CRRYNG_AMNT_INSTRMNT"/>
    <x v="6"/>
    <s v=""/>
    <s v=""/>
    <m/>
    <m/>
    <m/>
    <m/>
    <m/>
  </r>
  <r>
    <s v="Green Dashboard"/>
    <x v="2"/>
    <s v="2. Campo"/>
    <x v="0"/>
    <s v="ACCMLTD_CHNGS_FV_CR_INSTRMNT"/>
    <x v="6"/>
    <s v=""/>
    <s v=""/>
    <m/>
    <m/>
    <m/>
    <m/>
    <m/>
  </r>
  <r>
    <s v="Green Dashboard"/>
    <x v="2"/>
    <s v="2. Campo"/>
    <x v="0"/>
    <s v="ACCNTNG_CLSSFCTN"/>
    <x v="6"/>
    <s v=""/>
    <s v=""/>
    <m/>
    <m/>
    <m/>
    <m/>
    <m/>
  </r>
  <r>
    <s v="Green Dashboard"/>
    <x v="2"/>
    <s v="2. Campo"/>
    <x v="0"/>
    <s v="OFF_BLNC_SHT_AMNT_INSTRMNT"/>
    <x v="6"/>
    <s v=""/>
    <s v=""/>
    <m/>
    <m/>
    <m/>
    <m/>
    <m/>
  </r>
  <r>
    <s v="Green Dashboard"/>
    <x v="2"/>
    <s v="2. Campo"/>
    <x v="0"/>
    <s v="PRVSNS_OFF_BLNC_SHT"/>
    <x v="6"/>
    <s v=""/>
    <s v=""/>
    <m/>
    <m/>
    <m/>
    <m/>
    <m/>
  </r>
  <r>
    <s v="Green Dashboard"/>
    <x v="2"/>
    <s v="2. Campo"/>
    <x v="0"/>
    <s v="RWA"/>
    <x v="6"/>
    <s v=""/>
    <s v=""/>
    <m/>
    <m/>
    <m/>
    <m/>
    <m/>
  </r>
  <r>
    <s v="Green Dashboard"/>
    <x v="2"/>
    <s v="2. Campo"/>
    <x v="0"/>
    <s v="ACCMLTD_IMPRMNT_INSTRMNT"/>
    <x v="6"/>
    <s v=""/>
    <s v=""/>
    <m/>
    <m/>
    <m/>
    <m/>
    <m/>
  </r>
  <r>
    <s v="Green Dashboard"/>
    <x v="2"/>
    <s v="2. Campo"/>
    <x v="0"/>
    <s v="COD_SOC_INTRGRP"/>
    <x v="6"/>
    <s v=""/>
    <s v=""/>
    <m/>
    <m/>
    <m/>
    <m/>
    <m/>
  </r>
  <r>
    <s v="Green Dashboard"/>
    <x v="2"/>
    <s v="2. Campo"/>
    <x v="0"/>
    <s v="LCL_INSTMRNT_ID"/>
    <x v="6"/>
    <s v=""/>
    <s v=""/>
    <m/>
    <m/>
    <m/>
    <m/>
    <m/>
  </r>
  <r>
    <s v="Green Dashboard"/>
    <x v="2"/>
    <s v="2. Campo"/>
    <x v="0"/>
    <s v="IDCMB"/>
    <x v="6"/>
    <s v=""/>
    <s v=""/>
    <m/>
    <m/>
    <m/>
    <m/>
    <m/>
  </r>
  <r>
    <s v="Green Dashboard"/>
    <x v="3"/>
    <s v="2. Campo"/>
    <x v="0"/>
    <s v="AVRG_BLNC"/>
    <x v="6"/>
    <s v=""/>
    <s v=""/>
    <m/>
    <m/>
    <m/>
    <m/>
    <m/>
  </r>
  <r>
    <s v="Green Dashboard"/>
    <x v="3"/>
    <s v="2. Campo"/>
    <x v="0"/>
    <s v="NW_BSNSS"/>
    <x v="6"/>
    <s v=""/>
    <s v=""/>
    <m/>
    <m/>
    <m/>
    <m/>
    <m/>
  </r>
  <r>
    <s v="Green Dashboard"/>
    <x v="3"/>
    <s v="2. Campo"/>
    <x v="0"/>
    <s v="GRSS_INTRST_INCM"/>
    <x v="6"/>
    <s v=""/>
    <s v=""/>
    <m/>
    <m/>
    <m/>
    <m/>
    <m/>
  </r>
  <r>
    <s v="Green Dashboard"/>
    <x v="3"/>
    <s v="2. Campo"/>
    <x v="0"/>
    <s v="GRSS_CMMSSN_INCM"/>
    <x v="6"/>
    <s v=""/>
    <s v=""/>
    <m/>
    <m/>
    <m/>
    <m/>
    <m/>
  </r>
  <r>
    <s v="Green Dashboard"/>
    <x v="3"/>
    <s v="2. Campo"/>
    <x v="0"/>
    <s v="INTRNL_TRNSFR_RT"/>
    <x v="6"/>
    <s v=""/>
    <s v=""/>
    <m/>
    <m/>
    <m/>
    <m/>
    <m/>
  </r>
  <r>
    <s v="Green Dashboard"/>
    <x v="3"/>
    <s v="2. Campo"/>
    <x v="0"/>
    <s v="NT_LN_LSS_PRVSN"/>
    <x v="6"/>
    <s v=""/>
    <s v=""/>
    <m/>
    <m/>
    <m/>
    <m/>
    <m/>
  </r>
  <r>
    <s v="Green Dashboard"/>
    <x v="3"/>
    <s v="2. Campo"/>
    <x v="0"/>
    <s v="BSNSS_AREA"/>
    <x v="6"/>
    <s v=""/>
    <s v=""/>
    <m/>
    <m/>
    <m/>
    <m/>
    <m/>
  </r>
  <r>
    <s v="Green Dashboard"/>
    <x v="3"/>
    <s v="2. Campo"/>
    <x v="0"/>
    <s v="MNGMNT_PRDCT"/>
    <x v="6"/>
    <s v=""/>
    <s v=""/>
    <m/>
    <m/>
    <m/>
    <m/>
    <m/>
  </r>
  <r>
    <s v="Green Dashboard"/>
    <x v="3"/>
    <s v="2. Campo"/>
    <x v="0"/>
    <s v="GRSS_CMMSSN_EXPNS"/>
    <x v="6"/>
    <s v=""/>
    <s v=""/>
    <m/>
    <m/>
    <m/>
    <m/>
    <m/>
  </r>
  <r>
    <s v="Green Dashboard"/>
    <x v="3"/>
    <s v="2. Campo"/>
    <x v="0"/>
    <s v="GNS_FNNCL_TRNSCTN_EXCHNG_DFFRNCS"/>
    <x v="6"/>
    <s v=""/>
    <s v=""/>
    <m/>
    <m/>
    <m/>
    <m/>
    <m/>
  </r>
  <r>
    <s v="Green Dashboard"/>
    <x v="3"/>
    <s v="2. Campo"/>
    <x v="0"/>
    <s v="AVRG_BLNC_OFF_BLNC"/>
    <x v="6"/>
    <s v=""/>
    <s v=""/>
    <m/>
    <m/>
    <m/>
    <m/>
    <m/>
  </r>
  <r>
    <s v="Green Dashboard"/>
    <x v="3"/>
    <s v="2. Campo"/>
    <x v="0"/>
    <s v="GRSS_CMMSSN_INCM_OFF_BLNC"/>
    <x v="6"/>
    <s v=""/>
    <s v=""/>
    <m/>
    <m/>
    <m/>
    <m/>
    <m/>
  </r>
  <r>
    <s v="Green Dashboard"/>
    <x v="3"/>
    <s v="2. Campo"/>
    <x v="0"/>
    <s v="GRSS_CMMSSN_EXPNS_OFF_BLNC"/>
    <x v="6"/>
    <s v=""/>
    <s v=""/>
    <m/>
    <m/>
    <m/>
    <m/>
    <m/>
  </r>
  <r>
    <s v="Green Dashboard"/>
    <x v="3"/>
    <s v="2. Campo"/>
    <x v="0"/>
    <s v="GRSS_INTRST_EXPNS"/>
    <x v="6"/>
    <s v=""/>
    <s v=""/>
    <m/>
    <m/>
    <m/>
    <m/>
    <m/>
  </r>
  <r>
    <s v="Green Dashboard"/>
    <x v="3"/>
    <s v="2. Campo"/>
    <x v="0"/>
    <s v="NT_LN_LSS_PRVSN_OFF_BLNC"/>
    <x v="6"/>
    <s v=""/>
    <s v=""/>
    <m/>
    <m/>
    <m/>
    <m/>
    <m/>
  </r>
  <r>
    <s v="Green Dashboard"/>
    <x v="3"/>
    <s v="2. Campo"/>
    <x v="0"/>
    <s v="GRSS_INTRST_INCM_CCRR"/>
    <x v="6"/>
    <s v=""/>
    <s v=""/>
    <m/>
    <m/>
    <m/>
    <m/>
    <m/>
  </r>
  <r>
    <s v="Green Dashboard"/>
    <x v="3"/>
    <s v="2. Campo"/>
    <x v="0"/>
    <s v="GRSS_INTRST_EXPNS_CCRR"/>
    <x v="6"/>
    <s v=""/>
    <s v=""/>
    <m/>
    <m/>
    <m/>
    <m/>
    <m/>
  </r>
  <r>
    <s v="Green Dashboard"/>
    <x v="3"/>
    <s v="2. Campo"/>
    <x v="0"/>
    <s v="GRSS_CMMSSN_INCM_CCRR"/>
    <x v="6"/>
    <s v=""/>
    <s v=""/>
    <m/>
    <m/>
    <m/>
    <m/>
    <m/>
  </r>
  <r>
    <s v="Green Dashboard"/>
    <x v="3"/>
    <s v="2. Campo"/>
    <x v="0"/>
    <s v="GRSS_CMMSSN_EXPNS_CCRR"/>
    <x v="6"/>
    <s v=""/>
    <s v=""/>
    <m/>
    <m/>
    <m/>
    <m/>
    <m/>
  </r>
  <r>
    <s v="Green Dashboard"/>
    <x v="3"/>
    <s v="2. Campo"/>
    <x v="0"/>
    <s v="GNS_FNNCL_TRNSCTN_EXCHNG_CCRR"/>
    <x v="6"/>
    <s v=""/>
    <s v=""/>
    <m/>
    <m/>
    <m/>
    <m/>
    <m/>
  </r>
  <r>
    <s v="Green Dashboard"/>
    <x v="3"/>
    <s v="2. Campo"/>
    <x v="0"/>
    <s v="BSNSS_AREA_CCRR"/>
    <x v="6"/>
    <s v=""/>
    <s v=""/>
    <m/>
    <m/>
    <m/>
    <m/>
    <m/>
  </r>
  <r>
    <s v="Green Dashboard"/>
    <x v="3"/>
    <s v="2. Campo"/>
    <x v="0"/>
    <s v="GRSS_CMMSSN_INCM_OFF_BLNC_CCRR"/>
    <x v="6"/>
    <s v=""/>
    <s v=""/>
    <m/>
    <m/>
    <m/>
    <m/>
    <m/>
  </r>
  <r>
    <s v="Green Dashboard"/>
    <x v="3"/>
    <s v="2. Campo"/>
    <x v="0"/>
    <s v="GRSS_CMMSSN_EXPNS_OFF_BLNC_CCRR"/>
    <x v="6"/>
    <s v=""/>
    <s v=""/>
    <m/>
    <m/>
    <m/>
    <m/>
    <m/>
  </r>
  <r>
    <s v="Green Dashboard"/>
    <x v="3"/>
    <s v="2. Campo"/>
    <x v="0"/>
    <s v="CCF"/>
    <x v="6"/>
    <s v=""/>
    <s v=""/>
    <m/>
    <m/>
    <m/>
    <m/>
    <m/>
  </r>
  <r>
    <s v="Green Dashboard"/>
    <x v="3"/>
    <s v="2. Campo"/>
    <x v="0"/>
    <s v="EAD"/>
    <x v="6"/>
    <s v=""/>
    <s v=""/>
    <m/>
    <m/>
    <m/>
    <m/>
    <m/>
  </r>
  <r>
    <s v="Green Dashboard"/>
    <x v="3"/>
    <s v="2. Campo"/>
    <x v="0"/>
    <s v="TYP_OFF_BLNC_PRDCT"/>
    <x v="6"/>
    <s v=""/>
    <s v=""/>
    <m/>
    <m/>
    <m/>
    <m/>
    <m/>
  </r>
  <r>
    <s v="Green Dashboard"/>
    <x v="3"/>
    <s v="2. Campo"/>
    <x v="2"/>
    <s v="COD_SOC"/>
    <x v="6"/>
    <s v=""/>
    <s v=""/>
    <m/>
    <m/>
    <m/>
    <m/>
    <m/>
  </r>
  <r>
    <s v="Green Dashboard"/>
    <x v="3"/>
    <s v="2. Campo"/>
    <x v="2"/>
    <s v="DT_RFRNC"/>
    <x v="6"/>
    <s v=""/>
    <s v=""/>
    <m/>
    <m/>
    <m/>
    <m/>
    <m/>
  </r>
  <r>
    <s v="Green Dashboard"/>
    <x v="3"/>
    <s v="2. Campo"/>
    <x v="2"/>
    <s v="INSTRMNT_ID"/>
    <x v="6"/>
    <s v=""/>
    <s v=""/>
    <m/>
    <m/>
    <m/>
    <m/>
    <m/>
  </r>
  <r>
    <s v="Green Dashboard"/>
    <x v="3"/>
    <s v="2. Campo"/>
    <x v="2"/>
    <s v="PRTCTN_ID"/>
    <x v="6"/>
    <s v=""/>
    <s v=""/>
    <m/>
    <m/>
    <m/>
    <m/>
    <m/>
  </r>
  <r>
    <s v="Green Dashboard"/>
    <x v="3"/>
    <s v="2. Campo"/>
    <x v="3"/>
    <s v="COD_SOC"/>
    <x v="6"/>
    <s v=""/>
    <s v=""/>
    <m/>
    <m/>
    <m/>
    <m/>
    <m/>
  </r>
  <r>
    <s v="Green Dashboard"/>
    <x v="3"/>
    <s v="2. Campo"/>
    <x v="3"/>
    <s v="DT_RFRNC"/>
    <x v="6"/>
    <s v=""/>
    <s v=""/>
    <m/>
    <m/>
    <m/>
    <m/>
    <m/>
  </r>
  <r>
    <s v="Green Dashboard"/>
    <x v="3"/>
    <s v="2. Campo"/>
    <x v="3"/>
    <s v="PRTCTN_ID"/>
    <x v="6"/>
    <s v=""/>
    <s v=""/>
    <m/>
    <m/>
    <m/>
    <m/>
    <m/>
  </r>
  <r>
    <s v="Green Dashboard"/>
    <x v="3"/>
    <s v="2. Campo"/>
    <x v="3"/>
    <s v="TYP_PRTCTN"/>
    <x v="6"/>
    <s v=""/>
    <s v=""/>
    <m/>
    <m/>
    <m/>
    <m/>
    <m/>
  </r>
  <r>
    <s v="Green Dashboard"/>
    <x v="3"/>
    <s v="2. Campo"/>
    <x v="3"/>
    <s v="PRTCTN_VL"/>
    <x v="6"/>
    <s v=""/>
    <s v=""/>
    <m/>
    <m/>
    <m/>
    <m/>
    <m/>
  </r>
  <r>
    <s v="Green Dashboard"/>
    <x v="3"/>
    <s v="2. Campo"/>
    <x v="3"/>
    <s v="FLG_ELCTRC_VHCL"/>
    <x v="6"/>
    <s v=""/>
    <s v=""/>
    <m/>
    <m/>
    <m/>
    <m/>
    <m/>
  </r>
  <r>
    <s v="Green Dashboard"/>
    <x v="3"/>
    <s v="2. Campo"/>
    <x v="4"/>
    <s v="PRCNTG_ACTVTY"/>
    <x v="6"/>
    <s v=""/>
    <s v=""/>
    <m/>
    <m/>
    <m/>
    <m/>
    <m/>
  </r>
  <r>
    <s v="Green Dashboard"/>
    <x v="3"/>
    <s v="2. Campo"/>
    <x v="0"/>
    <s v="CNCLLD_INSTRMNT_STTS"/>
    <x v="6"/>
    <s v=""/>
    <s v=""/>
    <m/>
    <m/>
    <m/>
    <m/>
    <m/>
  </r>
  <r>
    <s v="Green Dashboard"/>
    <x v="3"/>
    <s v="2. Campo"/>
    <x v="4"/>
    <s v="SSTNBL_INDCTR"/>
    <x v="6"/>
    <s v=""/>
    <s v=""/>
    <m/>
    <m/>
    <m/>
    <m/>
    <m/>
  </r>
  <r>
    <s v="Green Dashboard"/>
    <x v="3"/>
    <s v="2. Campo"/>
    <x v="4"/>
    <s v="SSTNBL_CTGRY"/>
    <x v="6"/>
    <s v=""/>
    <s v=""/>
    <m/>
    <m/>
    <m/>
    <m/>
    <m/>
  </r>
  <r>
    <s v="Green Dashboard"/>
    <x v="3"/>
    <s v="2. Campo"/>
    <x v="0"/>
    <s v="INSTRMNT_ID"/>
    <x v="6"/>
    <s v=""/>
    <s v=""/>
    <m/>
    <m/>
    <m/>
    <m/>
    <m/>
  </r>
  <r>
    <s v="Green Dashboard"/>
    <x v="3"/>
    <s v="2. Campo"/>
    <x v="2"/>
    <s v="TYP_RLTN"/>
    <x v="6"/>
    <s v=""/>
    <s v=""/>
    <m/>
    <m/>
    <m/>
    <m/>
    <m/>
  </r>
  <r>
    <s v="Green Dashboard"/>
    <x v="3"/>
    <s v="2. Campo"/>
    <x v="4"/>
    <s v="COD_SOC"/>
    <x v="6"/>
    <s v=""/>
    <s v=""/>
    <m/>
    <m/>
    <m/>
    <m/>
    <m/>
  </r>
  <r>
    <s v="Green Dashboard"/>
    <x v="3"/>
    <s v="2. Campo"/>
    <x v="4"/>
    <s v="DT_RFRNC"/>
    <x v="6"/>
    <s v=""/>
    <s v=""/>
    <m/>
    <m/>
    <m/>
    <m/>
    <m/>
  </r>
  <r>
    <s v="Green Dashboard"/>
    <x v="3"/>
    <s v="2. Campo"/>
    <x v="4"/>
    <s v="INSTRMNT_ID"/>
    <x v="6"/>
    <s v=""/>
    <s v="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83965E-C2C3-4749-9C3C-78F45D9688DD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15">
  <location ref="B4:C7" firstHeaderRow="1" firstDataRow="1" firstDataCol="1" rowPageCount="1" colPageCount="1"/>
  <pivotFields count="13">
    <pivotField showAll="0"/>
    <pivotField axis="axisPage" multipleItemSelectionAllowed="1" showAll="0">
      <items count="5">
        <item x="0"/>
        <item h="1" x="1"/>
        <item h="1" x="2"/>
        <item h="1" x="3"/>
        <item t="default"/>
      </items>
    </pivotField>
    <pivotField showAll="0"/>
    <pivotField showAll="0"/>
    <pivotField showAll="0"/>
    <pivotField axis="axisRow" dataField="1" showAll="0">
      <items count="18">
        <item x="1"/>
        <item x="2"/>
        <item m="1" x="14"/>
        <item m="1" x="16"/>
        <item m="1" x="13"/>
        <item m="1" x="15"/>
        <item m="1" x="12"/>
        <item m="1" x="8"/>
        <item m="1" x="11"/>
        <item x="0"/>
        <item x="5"/>
        <item m="1" x="10"/>
        <item m="1" x="7"/>
        <item m="1" x="9"/>
        <item x="4"/>
        <item x="3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3">
    <i>
      <x/>
    </i>
    <i>
      <x v="9"/>
    </i>
    <i t="grand">
      <x/>
    </i>
  </rowItems>
  <colItems count="1">
    <i/>
  </colItems>
  <pageFields count="1">
    <pageField fld="1" hier="-1"/>
  </pageFields>
  <dataFields count="1">
    <dataField name="Count of Status Atual" fld="5" subtotal="count" baseField="0" baseItem="0"/>
  </dataFields>
  <formats count="6">
    <format dxfId="73">
      <pivotArea type="all" dataOnly="0" outline="0" fieldPosition="0"/>
    </format>
    <format dxfId="72">
      <pivotArea outline="0" collapsedLevelsAreSubtotals="1" fieldPosition="0"/>
    </format>
    <format dxfId="71">
      <pivotArea field="5" type="button" dataOnly="0" labelOnly="1" outline="0" axis="axisRow" fieldPosition="0"/>
    </format>
    <format dxfId="70">
      <pivotArea dataOnly="0" labelOnly="1" fieldPosition="0">
        <references count="1">
          <reference field="5" count="0"/>
        </references>
      </pivotArea>
    </format>
    <format dxfId="69">
      <pivotArea dataOnly="0" labelOnly="1" grandRow="1" outline="0" fieldPosition="0"/>
    </format>
    <format dxfId="68">
      <pivotArea dataOnly="0" labelOnly="1" outline="0" axis="axisValues" fieldPosition="0"/>
    </format>
  </formats>
  <chartFormats count="18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0" format="15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10" format="16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10" format="17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0" format="18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10" format="19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10" format="20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10" format="2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14" format="2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DE1A64-2A8B-4BF1-A7B7-3EF6159E9394}" name="PivotTable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2">
  <location ref="B39:G46" firstHeaderRow="1" firstDataRow="2" firstDataCol="1" rowPageCount="1" colPageCount="1"/>
  <pivotFields count="13">
    <pivotField showAll="0"/>
    <pivotField axis="axisPage" multipleItemSelectionAllowed="1" showAll="0">
      <items count="5">
        <item h="1" x="0"/>
        <item x="1"/>
        <item h="1" x="2"/>
        <item h="1" x="3"/>
        <item t="default"/>
      </items>
    </pivotField>
    <pivotField showAll="0"/>
    <pivotField axis="axisRow" showAll="0">
      <items count="6">
        <item x="0"/>
        <item x="3"/>
        <item x="2"/>
        <item x="4"/>
        <item x="1"/>
        <item t="default"/>
      </items>
    </pivotField>
    <pivotField showAll="0"/>
    <pivotField axis="axisCol" dataField="1" showAll="0">
      <items count="18">
        <item x="1"/>
        <item x="2"/>
        <item m="1" x="10"/>
        <item x="0"/>
        <item m="1" x="11"/>
        <item m="1" x="14"/>
        <item m="1" x="7"/>
        <item m="1" x="9"/>
        <item m="1" x="16"/>
        <item x="5"/>
        <item m="1" x="13"/>
        <item m="1" x="15"/>
        <item m="1" x="12"/>
        <item m="1" x="8"/>
        <item x="4"/>
        <item x="3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5"/>
  </colFields>
  <colItems count="5">
    <i>
      <x v="1"/>
    </i>
    <i>
      <x v="9"/>
    </i>
    <i>
      <x v="14"/>
    </i>
    <i>
      <x v="15"/>
    </i>
    <i t="grand">
      <x/>
    </i>
  </colItems>
  <pageFields count="1">
    <pageField fld="1" hier="-1"/>
  </pageFields>
  <dataFields count="1">
    <dataField name="Count of Status Atual" fld="5" subtotal="count" baseField="0" baseItem="0"/>
  </dataFields>
  <chartFormats count="8"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5"/>
          </reference>
        </references>
      </pivotArea>
    </chartFormat>
    <chartFormat chart="2" format="12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15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B5E1ED-AA80-40C6-A8B5-E449F47C0ABC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7">
  <location ref="B14:E18" firstHeaderRow="1" firstDataRow="2" firstDataCol="1" rowPageCount="1" colPageCount="1"/>
  <pivotFields count="13">
    <pivotField showAll="0"/>
    <pivotField axis="axisPage" showAll="0">
      <items count="5">
        <item x="0"/>
        <item x="1"/>
        <item x="2"/>
        <item x="3"/>
        <item t="default"/>
      </items>
    </pivotField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axis="axisCol" dataField="1" showAll="0">
      <items count="18">
        <item x="1"/>
        <item x="2"/>
        <item m="1" x="10"/>
        <item x="0"/>
        <item m="1" x="11"/>
        <item m="1" x="14"/>
        <item m="1" x="16"/>
        <item x="5"/>
        <item m="1" x="13"/>
        <item m="1" x="15"/>
        <item m="1" x="12"/>
        <item m="1" x="8"/>
        <item m="1" x="7"/>
        <item m="1" x="9"/>
        <item x="4"/>
        <item x="3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Fields count="1">
    <field x="5"/>
  </colFields>
  <colItems count="3">
    <i>
      <x/>
    </i>
    <i>
      <x v="3"/>
    </i>
    <i t="grand">
      <x/>
    </i>
  </colItems>
  <pageFields count="1">
    <pageField fld="1" item="0" hier="-1"/>
  </pageFields>
  <dataFields count="1">
    <dataField name="Count of Status Atual" fld="5" subtotal="count" baseField="0" baseItem="0"/>
  </dataFields>
  <formats count="10">
    <format dxfId="83">
      <pivotArea type="all" dataOnly="0" outline="0" fieldPosition="0"/>
    </format>
    <format dxfId="82">
      <pivotArea outline="0" collapsedLevelsAreSubtotals="1" fieldPosition="0"/>
    </format>
    <format dxfId="81">
      <pivotArea type="origin" dataOnly="0" labelOnly="1" outline="0" fieldPosition="0"/>
    </format>
    <format dxfId="80">
      <pivotArea field="5" type="button" dataOnly="0" labelOnly="1" outline="0" axis="axisCol" fieldPosition="0"/>
    </format>
    <format dxfId="79">
      <pivotArea type="topRight" dataOnly="0" labelOnly="1" outline="0" fieldPosition="0"/>
    </format>
    <format dxfId="78">
      <pivotArea field="3" type="button" dataOnly="0" labelOnly="1" outline="0" axis="axisRow" fieldPosition="0"/>
    </format>
    <format dxfId="77">
      <pivotArea dataOnly="0" labelOnly="1" fieldPosition="0">
        <references count="1">
          <reference field="3" count="0"/>
        </references>
      </pivotArea>
    </format>
    <format dxfId="76">
      <pivotArea dataOnly="0" labelOnly="1" grandRow="1" outline="0" fieldPosition="0"/>
    </format>
    <format dxfId="75">
      <pivotArea dataOnly="0" labelOnly="1" fieldPosition="0">
        <references count="1">
          <reference field="5" count="0"/>
        </references>
      </pivotArea>
    </format>
    <format dxfId="74">
      <pivotArea dataOnly="0" labelOnly="1" grandCol="1" outline="0" fieldPosition="0"/>
    </format>
  </formats>
  <chartFormats count="18"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2" format="15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5" count="1" selected="0">
            <x v="2"/>
          </reference>
        </references>
      </pivotArea>
    </chartFormat>
    <chartFormat chart="2" format="16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3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2" format="18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11"/>
          </reference>
        </references>
      </pivotArea>
    </chartFormat>
    <chartFormat chart="2" format="19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7"/>
          </reference>
        </references>
      </pivotArea>
    </chartFormat>
    <chartFormat chart="6" format="2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6" format="2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6" format="27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3"/>
          </reference>
        </references>
      </pivotArea>
    </chartFormat>
    <chartFormat chart="6" format="2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6" format="2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6" format="3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6" format="3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2" format="2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AA7553-4965-441E-8EDF-368DCEDFE09A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B28:C33" firstHeaderRow="1" firstDataRow="1" firstDataCol="1" rowPageCount="1" colPageCount="1"/>
  <pivotFields count="13">
    <pivotField showAll="0"/>
    <pivotField axis="axisPage" multipleItemSelectionAllowed="1" showAll="0">
      <items count="5">
        <item h="1" x="0"/>
        <item x="1"/>
        <item h="1" x="2"/>
        <item h="1" x="3"/>
        <item t="default"/>
      </items>
    </pivotField>
    <pivotField showAll="0"/>
    <pivotField showAll="0"/>
    <pivotField showAll="0"/>
    <pivotField axis="axisRow" dataField="1" showAll="0">
      <items count="18">
        <item x="1"/>
        <item x="2"/>
        <item m="1" x="10"/>
        <item x="0"/>
        <item m="1" x="11"/>
        <item m="1" x="14"/>
        <item m="1" x="7"/>
        <item m="1" x="16"/>
        <item x="5"/>
        <item m="1" x="13"/>
        <item m="1" x="15"/>
        <item m="1" x="12"/>
        <item m="1" x="8"/>
        <item m="1" x="9"/>
        <item x="4"/>
        <item x="3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5">
    <i>
      <x v="1"/>
    </i>
    <i>
      <x v="8"/>
    </i>
    <i>
      <x v="14"/>
    </i>
    <i>
      <x v="15"/>
    </i>
    <i t="grand">
      <x/>
    </i>
  </rowItems>
  <colItems count="1">
    <i/>
  </colItems>
  <pageFields count="1">
    <pageField fld="1" hier="-1"/>
  </pageFields>
  <dataFields count="1">
    <dataField name="Count of Status Atual" fld="5" subtotal="count" baseField="0" baseItem="0"/>
  </dataFields>
  <chartFormats count="8"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5" count="1" selected="0">
            <x v="15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1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le4" displayName="Table4" ref="B6:N187" totalsRowShown="0" headerRowDxfId="98" tableBorderDxfId="97">
  <autoFilter ref="B6:N187" xr:uid="{00000000-0009-0000-0100-000004000000}">
    <filterColumn colId="1">
      <filters>
        <filter val="Re-especificação / Especificação"/>
      </filters>
    </filterColumn>
  </autoFilter>
  <tableColumns count="13">
    <tableColumn id="1" xr3:uid="{00000000-0010-0000-0000-000001000000}" name="Âmbito" dataDxfId="96"/>
    <tableColumn id="2" xr3:uid="{00000000-0010-0000-0000-000002000000}" name="Categoria" dataDxfId="95"/>
    <tableColumn id="3" xr3:uid="{00000000-0010-0000-0000-000003000000}" name="Tipo de teste" dataDxfId="94">
      <calculatedColumnFormula array="1">INDEX('3. Plano_Detalhado'!$A$10:$H$197,MATCH(1,($E7='3. Plano_Detalhado'!$E$10:$E$197)*($F7='3. Plano_Detalhado'!$F$10:$F$197)*($C7='3. Plano_Detalhado'!$A$10:$A$197),0),4)</calculatedColumnFormula>
    </tableColumn>
    <tableColumn id="4" xr3:uid="{00000000-0010-0000-0000-000004000000}" name="Tabela" dataDxfId="93"/>
    <tableColumn id="5" xr3:uid="{00000000-0010-0000-0000-000005000000}" name="Campo" dataDxfId="92"/>
    <tableColumn id="6" xr3:uid="{00000000-0010-0000-0000-000006000000}" name="Status Atual" dataDxfId="91">
      <calculatedColumnFormula array="1">IF(INDEX('3. Plano_Detalhado'!$A$10:$H$197,MATCH(1,($E7='3. Plano_Detalhado'!$E$10:$E$197)*($F7='3. Plano_Detalhado'!$F$10:$F$197)*($C7='3. Plano_Detalhado'!$A$10:$A$197),0),7)="","",INDEX('3. Plano_Detalhado'!$A$10:$H$197,MATCH(1,($E7='3. Plano_Detalhado'!$E$10:$E$197)*($F7='3. Plano_Detalhado'!$F$10:$F$197)*($C7='3. Plano_Detalhado'!$A$10:$A$197),0),7))</calculatedColumnFormula>
    </tableColumn>
    <tableColumn id="7" xr3:uid="{00000000-0010-0000-0000-000007000000}" name="Status Anterior" dataDxfId="90">
      <calculatedColumnFormula array="1">IF(INDEX('3. Plano_Detalhado'!$A$10:$H$197,MATCH(1,($E7='3. Plano_Detalhado'!$E$10:$E$197)*($F7='3. Plano_Detalhado'!$F$10:$F$197)*($C7='3. Plano_Detalhado'!$A$10:$A$197),0),8)="","",INDEX('3. Plano_Detalhado'!$A$10:$H$197,MATCH(1,($E7='3. Plano_Detalhado'!$E$10:$E$197)*($F7='3. Plano_Detalhado'!$F$10:$F$197)*($C7='3. Plano_Detalhado'!$A$10:$A$197),0),8))</calculatedColumnFormula>
    </tableColumn>
    <tableColumn id="8" xr3:uid="{00000000-0010-0000-0000-000008000000}" name="Observações" dataDxfId="89">
      <calculatedColumnFormula array="1">IF(INDEX('3. Plano_Detalhado'!$A$10:$Q$196,MATCH(1,($E7='3. Plano_Detalhado'!$E$10:$E$196)*($F7='3. Plano_Detalhado'!$F$10:$F$196)*($C7='3. Plano_Detalhado'!$A$10:$A$196),0),17)="","",INDEX('3. Plano_Detalhado'!$A$10:$Q$196,MATCH(1,($E7='3. Plano_Detalhado'!$E$10:$E$196)*($F7='3. Plano_Detalhado'!$F$10:$F$196)*($C7='3. Plano_Detalhado'!$A$10:$A$196),0),17))</calculatedColumnFormula>
    </tableColumn>
    <tableColumn id="9" xr3:uid="{00000000-0010-0000-0000-000009000000}" name="Data de Pedido correção/esclarecimento" dataDxfId="88"/>
    <tableColumn id="10" xr3:uid="{00000000-0010-0000-0000-00000A000000}" name="Data de correção prevista" dataDxfId="87"/>
    <tableColumn id="11" xr3:uid="{00000000-0010-0000-0000-00000B000000}" name="Data de correção efetiva" dataDxfId="86"/>
    <tableColumn id="12" xr3:uid="{00000000-0010-0000-0000-00000C000000}" name="Data Prevista de Re-especificação" dataDxfId="85"/>
    <tableColumn id="13" xr3:uid="{00000000-0010-0000-0000-00000D000000}" name="Data Prevista de Teste" dataDxfId="8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heme1">
  <a:themeElements>
    <a:clrScheme name="Santander">
      <a:dk1>
        <a:sysClr val="windowText" lastClr="000000"/>
      </a:dk1>
      <a:lt1>
        <a:sysClr val="window" lastClr="FFFFFF"/>
      </a:lt1>
      <a:dk2>
        <a:srgbClr val="6E7678"/>
      </a:dk2>
      <a:lt2>
        <a:srgbClr val="E7E6E6"/>
      </a:lt2>
      <a:accent1>
        <a:srgbClr val="EB0000"/>
      </a:accent1>
      <a:accent2>
        <a:srgbClr val="DEEDF1"/>
      </a:accent2>
      <a:accent3>
        <a:srgbClr val="9D3566"/>
      </a:accent3>
      <a:accent4>
        <a:srgbClr val="62B967"/>
      </a:accent4>
      <a:accent5>
        <a:srgbClr val="1AB2BB"/>
      </a:accent5>
      <a:accent6>
        <a:srgbClr val="FFCB32"/>
      </a:accent6>
      <a:hlink>
        <a:srgbClr val="3265FF"/>
      </a:hlink>
      <a:folHlink>
        <a:srgbClr val="954F72"/>
      </a:folHlink>
    </a:clrScheme>
    <a:fontScheme name="Personalizado 66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Theme1" id="{8BDB853A-54BD-4433-8E51-5903F66EB5F0}" vid="{9C57DD7C-8BAB-4642-925B-0FA04BD7A767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83" dT="2025-01-20T15:21:43.22" personId="{AAE3E7EA-1169-4EE9-9AA9-2013F9C8C081}" id="{3DDF1627-CBBA-4CDD-9CC0-4FA1FD5A83B4}">
    <text>new</text>
  </threadedComment>
  <threadedComment ref="F84" dT="2025-01-23T11:04:02.92" personId="{AAE3E7EA-1169-4EE9-9AA9-2013F9C8C081}" id="{B8606550-E3D7-4A67-9E4C-0CE6A6B82975}">
    <text xml:space="preserve">New
</text>
  </threadedComment>
  <threadedComment ref="F85" dT="2025-01-20T15:21:43.22" personId="{AAE3E7EA-1169-4EE9-9AA9-2013F9C8C081}" id="{3902B1B2-ADA3-4EA6-8768-66507680AFBD}">
    <text>new</text>
  </threadedComment>
  <threadedComment ref="F86" dT="2025-01-20T15:21:43.22" personId="{AAE3E7EA-1169-4EE9-9AA9-2013F9C8C081}" id="{021C254B-EA5F-49C1-ABFA-7D8CBC6D7FAF}">
    <text>new</text>
  </threadedComment>
  <threadedComment ref="F87" dT="2025-01-20T15:21:43.22" personId="{AAE3E7EA-1169-4EE9-9AA9-2013F9C8C081}" id="{088BDE53-5581-401B-970B-F528D7E139A8}">
    <text>new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A1:AC67"/>
  <sheetViews>
    <sheetView showGridLines="0" topLeftCell="A40" zoomScale="80" zoomScaleNormal="80" workbookViewId="0">
      <selection activeCell="E6" sqref="E6"/>
    </sheetView>
  </sheetViews>
  <sheetFormatPr defaultColWidth="0" defaultRowHeight="14"/>
  <cols>
    <col min="1" max="2" width="3.58203125" customWidth="1"/>
    <col min="3" max="3" width="8.58203125" customWidth="1"/>
    <col min="4" max="4" width="12.5" customWidth="1"/>
    <col min="5" max="6" width="16.08203125" customWidth="1"/>
    <col min="7" max="7" width="10.58203125" customWidth="1"/>
    <col min="8" max="9" width="12.08203125" customWidth="1"/>
    <col min="10" max="10" width="17.6640625" customWidth="1"/>
    <col min="11" max="11" width="12.08203125" customWidth="1"/>
    <col min="12" max="13" width="12.5" customWidth="1"/>
    <col min="14" max="14" width="7.6640625" customWidth="1"/>
    <col min="15" max="15" width="11.58203125" customWidth="1"/>
    <col min="16" max="16" width="12.08203125" customWidth="1"/>
    <col min="17" max="17" width="12.58203125" customWidth="1"/>
    <col min="18" max="18" width="13" customWidth="1"/>
    <col min="19" max="20" width="8.58203125" customWidth="1"/>
    <col min="21" max="22" width="3.58203125" customWidth="1"/>
    <col min="23" max="29" width="3.58203125" hidden="1" customWidth="1"/>
    <col min="30" max="16384" width="8.58203125" hidden="1"/>
  </cols>
  <sheetData>
    <row r="1" spans="1:22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8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5.15" customHeight="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</row>
    <row r="5" spans="1:22" ht="18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</row>
    <row r="6" spans="1:22" ht="23">
      <c r="A6" s="11"/>
      <c r="B6" s="21" t="s">
        <v>379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</row>
    <row r="7" spans="1:22" ht="6.9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</row>
    <row r="8" spans="1:22" ht="18">
      <c r="A8" s="11"/>
      <c r="B8" s="361" t="s">
        <v>397</v>
      </c>
      <c r="C8" s="362"/>
      <c r="D8" s="362"/>
      <c r="E8" s="362"/>
      <c r="F8" s="362"/>
      <c r="G8" s="362"/>
      <c r="H8" s="362"/>
      <c r="I8" s="362"/>
      <c r="J8" s="362"/>
      <c r="K8" s="362"/>
      <c r="L8" s="362"/>
      <c r="M8" s="362"/>
      <c r="N8" s="362"/>
      <c r="O8" s="362"/>
      <c r="P8" s="362"/>
      <c r="Q8" s="362"/>
      <c r="R8" s="362"/>
      <c r="S8" s="362"/>
      <c r="T8" s="362"/>
      <c r="U8" s="363"/>
      <c r="V8" s="11"/>
    </row>
    <row r="9" spans="1:22" ht="18">
      <c r="A9" s="11"/>
      <c r="B9" s="364"/>
      <c r="C9" s="365"/>
      <c r="D9" s="365"/>
      <c r="E9" s="365"/>
      <c r="F9" s="365"/>
      <c r="G9" s="365"/>
      <c r="H9" s="365"/>
      <c r="I9" s="365"/>
      <c r="J9" s="365"/>
      <c r="K9" s="365"/>
      <c r="L9" s="365"/>
      <c r="M9" s="365"/>
      <c r="N9" s="365"/>
      <c r="O9" s="365"/>
      <c r="P9" s="365"/>
      <c r="Q9" s="365"/>
      <c r="R9" s="365"/>
      <c r="S9" s="365"/>
      <c r="T9" s="365"/>
      <c r="U9" s="366"/>
      <c r="V9" s="11"/>
    </row>
    <row r="10" spans="1:22" ht="18">
      <c r="A10" s="11"/>
      <c r="B10" s="364"/>
      <c r="C10" s="365"/>
      <c r="D10" s="365"/>
      <c r="E10" s="365"/>
      <c r="F10" s="365"/>
      <c r="G10" s="365"/>
      <c r="H10" s="365"/>
      <c r="I10" s="365"/>
      <c r="J10" s="365"/>
      <c r="K10" s="365"/>
      <c r="L10" s="365"/>
      <c r="M10" s="365"/>
      <c r="N10" s="365"/>
      <c r="O10" s="365"/>
      <c r="P10" s="365"/>
      <c r="Q10" s="365"/>
      <c r="R10" s="365"/>
      <c r="S10" s="365"/>
      <c r="T10" s="365"/>
      <c r="U10" s="366"/>
      <c r="V10" s="11"/>
    </row>
    <row r="11" spans="1:22" ht="18">
      <c r="A11" s="11"/>
      <c r="B11" s="364"/>
      <c r="C11" s="365"/>
      <c r="D11" s="365"/>
      <c r="E11" s="365"/>
      <c r="F11" s="365"/>
      <c r="G11" s="365"/>
      <c r="H11" s="365"/>
      <c r="I11" s="365"/>
      <c r="J11" s="365"/>
      <c r="K11" s="365"/>
      <c r="L11" s="365"/>
      <c r="M11" s="365"/>
      <c r="N11" s="365"/>
      <c r="O11" s="365"/>
      <c r="P11" s="365"/>
      <c r="Q11" s="365"/>
      <c r="R11" s="365"/>
      <c r="S11" s="365"/>
      <c r="T11" s="365"/>
      <c r="U11" s="366"/>
      <c r="V11" s="11"/>
    </row>
    <row r="12" spans="1:22" ht="18">
      <c r="A12" s="11"/>
      <c r="B12" s="364"/>
      <c r="C12" s="365"/>
      <c r="D12" s="365"/>
      <c r="E12" s="365"/>
      <c r="F12" s="365"/>
      <c r="G12" s="365"/>
      <c r="H12" s="365"/>
      <c r="I12" s="365"/>
      <c r="J12" s="365"/>
      <c r="K12" s="365"/>
      <c r="L12" s="365"/>
      <c r="M12" s="365"/>
      <c r="N12" s="365"/>
      <c r="O12" s="365"/>
      <c r="P12" s="365"/>
      <c r="Q12" s="365"/>
      <c r="R12" s="365"/>
      <c r="S12" s="365"/>
      <c r="T12" s="365"/>
      <c r="U12" s="366"/>
      <c r="V12" s="11"/>
    </row>
    <row r="13" spans="1:22" ht="18">
      <c r="A13" s="11"/>
      <c r="B13" s="367"/>
      <c r="C13" s="368"/>
      <c r="D13" s="368"/>
      <c r="E13" s="368"/>
      <c r="F13" s="368"/>
      <c r="G13" s="368"/>
      <c r="H13" s="368"/>
      <c r="I13" s="368"/>
      <c r="J13" s="368"/>
      <c r="K13" s="368"/>
      <c r="L13" s="368"/>
      <c r="M13" s="368"/>
      <c r="N13" s="368"/>
      <c r="O13" s="368"/>
      <c r="P13" s="368"/>
      <c r="Q13" s="368"/>
      <c r="R13" s="368"/>
      <c r="S13" s="368"/>
      <c r="T13" s="368"/>
      <c r="U13" s="369"/>
      <c r="V13" s="11"/>
    </row>
    <row r="14" spans="1:22" ht="18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</row>
    <row r="15" spans="1:22" ht="23">
      <c r="A15" s="11"/>
      <c r="B15" s="21" t="s">
        <v>273</v>
      </c>
      <c r="C15" s="11"/>
      <c r="D15" s="11"/>
      <c r="E15" s="11"/>
      <c r="F15" s="11"/>
      <c r="G15" s="22" t="s">
        <v>18</v>
      </c>
      <c r="H15" s="22" t="s">
        <v>23</v>
      </c>
      <c r="I15" s="22" t="s">
        <v>24</v>
      </c>
      <c r="J15" s="22" t="s">
        <v>27</v>
      </c>
      <c r="K15" s="22" t="s">
        <v>16</v>
      </c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</row>
    <row r="16" spans="1:22" ht="6.9" customHeight="1">
      <c r="A16" s="11"/>
      <c r="B16" s="11"/>
      <c r="C16" s="11"/>
      <c r="D16" s="11"/>
      <c r="E16" s="11"/>
      <c r="F16" s="11"/>
      <c r="G16" s="11"/>
      <c r="H16" s="155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7" spans="1:22" ht="18">
      <c r="A17" s="11"/>
      <c r="B17" s="13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5"/>
      <c r="V17" s="11"/>
    </row>
    <row r="18" spans="1:22" ht="18">
      <c r="A18" s="11"/>
      <c r="B18" s="16"/>
      <c r="C18" s="30" t="s">
        <v>36</v>
      </c>
      <c r="D18" s="1"/>
      <c r="E18" s="1"/>
      <c r="F18" s="1"/>
      <c r="G18" s="1"/>
      <c r="H18" s="23" t="s">
        <v>259</v>
      </c>
      <c r="I18" s="24"/>
      <c r="J18" s="23"/>
      <c r="K18" s="25">
        <v>45672</v>
      </c>
      <c r="L18" s="25">
        <v>45679</v>
      </c>
      <c r="M18" s="154" t="s">
        <v>258</v>
      </c>
      <c r="O18" s="31" t="s">
        <v>38</v>
      </c>
      <c r="P18" s="1"/>
      <c r="Q18" s="1"/>
      <c r="R18" s="1"/>
      <c r="S18" s="1"/>
      <c r="T18" s="1"/>
      <c r="U18" s="17"/>
      <c r="V18" s="11"/>
    </row>
    <row r="19" spans="1:22" ht="18.75" customHeight="1">
      <c r="A19" s="11"/>
      <c r="B19" s="16"/>
      <c r="C19" s="1"/>
      <c r="D19" s="1"/>
      <c r="E19" s="1"/>
      <c r="F19" s="1"/>
      <c r="G19" s="1"/>
      <c r="H19" s="38" t="s">
        <v>39</v>
      </c>
      <c r="I19" s="38"/>
      <c r="J19" s="38"/>
      <c r="K19" s="38">
        <f>COUNTIFS('2. Status Detalhe Campos'!$H:$H,'1. Status Resumo'!$H19,'2. Status Detalhe Campos'!$C:$C,"Assessment")</f>
        <v>3</v>
      </c>
      <c r="L19" s="38">
        <f>COUNTIFS('2. Status Detalhe Campos'!$G:$G,'1. Status Resumo'!$H19,'2. Status Detalhe Campos'!$C:$C,"Assessment")</f>
        <v>3</v>
      </c>
      <c r="M19" s="147">
        <f t="shared" ref="M19:M25" si="0">L19/$L$25</f>
        <v>7.8947368421052627E-2</v>
      </c>
      <c r="O19" s="370" t="s">
        <v>396</v>
      </c>
      <c r="P19" s="371"/>
      <c r="Q19" s="371"/>
      <c r="R19" s="371"/>
      <c r="S19" s="371"/>
      <c r="T19" s="372"/>
      <c r="U19" s="17"/>
      <c r="V19" s="11"/>
    </row>
    <row r="20" spans="1:22" ht="18">
      <c r="A20" s="11"/>
      <c r="B20" s="16"/>
      <c r="C20" s="1"/>
      <c r="D20" s="1"/>
      <c r="E20" s="1"/>
      <c r="F20" s="1"/>
      <c r="G20" s="1"/>
      <c r="H20" s="38" t="s">
        <v>262</v>
      </c>
      <c r="I20" s="38"/>
      <c r="J20" s="38"/>
      <c r="K20" s="38">
        <f>COUNTIFS('2. Status Detalhe Campos'!$H:$H,'1. Status Resumo'!$H20,'2. Status Detalhe Campos'!$C:$C,"Assessment")</f>
        <v>0</v>
      </c>
      <c r="L20" s="38">
        <f>COUNTIFS('2. Status Detalhe Campos'!$G:$G,'1. Status Resumo'!$H20,'2. Status Detalhe Campos'!$C:$C,"Assessment")</f>
        <v>0</v>
      </c>
      <c r="M20" s="147">
        <f t="shared" si="0"/>
        <v>0</v>
      </c>
      <c r="O20" s="373"/>
      <c r="P20" s="374"/>
      <c r="Q20" s="374"/>
      <c r="R20" s="374"/>
      <c r="S20" s="374"/>
      <c r="T20" s="375"/>
      <c r="U20" s="17"/>
      <c r="V20" s="11"/>
    </row>
    <row r="21" spans="1:22" ht="17.399999999999999" customHeight="1">
      <c r="A21" s="11"/>
      <c r="B21" s="16"/>
      <c r="C21" s="1"/>
      <c r="D21" s="1"/>
      <c r="E21" s="1"/>
      <c r="F21" s="1"/>
      <c r="G21" s="1"/>
      <c r="H21" s="38" t="s">
        <v>266</v>
      </c>
      <c r="I21" s="38"/>
      <c r="J21" s="38"/>
      <c r="K21" s="38">
        <f>COUNTIFS('2. Status Detalhe Campos'!$H:$H,'1. Status Resumo'!$H21,'2. Status Detalhe Campos'!$C:$C,"Assessment")</f>
        <v>31</v>
      </c>
      <c r="L21" s="38">
        <f>COUNTIFS('2. Status Detalhe Campos'!$G:$G,'1. Status Resumo'!$H21,'2. Status Detalhe Campos'!$C:$C,"Assessment")</f>
        <v>35</v>
      </c>
      <c r="M21" s="147">
        <f t="shared" si="0"/>
        <v>0.92105263157894735</v>
      </c>
      <c r="O21" s="373"/>
      <c r="P21" s="374"/>
      <c r="Q21" s="374"/>
      <c r="R21" s="374"/>
      <c r="S21" s="374"/>
      <c r="T21" s="375"/>
      <c r="U21" s="17"/>
      <c r="V21" s="11"/>
    </row>
    <row r="22" spans="1:22" ht="17.399999999999999" customHeight="1">
      <c r="A22" s="11"/>
      <c r="B22" s="16"/>
      <c r="C22" s="1"/>
      <c r="D22" s="146"/>
      <c r="E22" s="146"/>
      <c r="F22" s="1"/>
      <c r="G22" s="1"/>
      <c r="H22" s="38" t="s">
        <v>267</v>
      </c>
      <c r="I22" s="38"/>
      <c r="J22" s="38"/>
      <c r="K22" s="38">
        <f>COUNTIFS('2. Status Detalhe Campos'!$H:$H,'1. Status Resumo'!$H22,'2. Status Detalhe Campos'!$C:$C,"Assessment")</f>
        <v>3</v>
      </c>
      <c r="L22" s="38">
        <f>COUNTIFS('2. Status Detalhe Campos'!$G:$G,'1. Status Resumo'!$H22,'2. Status Detalhe Campos'!$C:$C,"Assessment")</f>
        <v>0</v>
      </c>
      <c r="M22" s="147">
        <f t="shared" si="0"/>
        <v>0</v>
      </c>
      <c r="O22" s="373"/>
      <c r="P22" s="374"/>
      <c r="Q22" s="374"/>
      <c r="R22" s="374"/>
      <c r="S22" s="374"/>
      <c r="T22" s="375"/>
      <c r="U22" s="17"/>
      <c r="V22" s="11"/>
    </row>
    <row r="23" spans="1:22" ht="17.399999999999999" customHeight="1">
      <c r="A23" s="11"/>
      <c r="B23" s="16"/>
      <c r="C23" s="1"/>
      <c r="D23" s="146"/>
      <c r="E23" s="146"/>
      <c r="F23" s="1"/>
      <c r="G23" s="1"/>
      <c r="H23" s="38" t="s">
        <v>268</v>
      </c>
      <c r="I23" s="38"/>
      <c r="J23" s="38"/>
      <c r="K23" s="38">
        <f>COUNTIFS('2. Status Detalhe Campos'!$H:$H,'1. Status Resumo'!$H23,'2. Status Detalhe Campos'!$C:$C,"Assessment")</f>
        <v>1</v>
      </c>
      <c r="L23" s="38">
        <f>COUNTIFS('2. Status Detalhe Campos'!$G:$G,'1. Status Resumo'!$H23,'2. Status Detalhe Campos'!$C:$C,"Assessment")</f>
        <v>0</v>
      </c>
      <c r="M23" s="147">
        <f t="shared" si="0"/>
        <v>0</v>
      </c>
      <c r="O23" s="373"/>
      <c r="P23" s="374"/>
      <c r="Q23" s="374"/>
      <c r="R23" s="374"/>
      <c r="S23" s="374"/>
      <c r="T23" s="375"/>
      <c r="U23" s="17"/>
      <c r="V23" s="11"/>
    </row>
    <row r="24" spans="1:22" ht="17.399999999999999" customHeight="1">
      <c r="A24" s="11"/>
      <c r="B24" s="16"/>
      <c r="C24" s="1"/>
      <c r="D24" s="146"/>
      <c r="E24" s="146"/>
      <c r="F24" s="1"/>
      <c r="G24" s="1"/>
      <c r="H24" s="38" t="s">
        <v>274</v>
      </c>
      <c r="I24" s="38"/>
      <c r="J24" s="38"/>
      <c r="K24" s="38">
        <f>COUNTIFS('2. Status Detalhe Campos'!$H:$H,'1. Status Resumo'!$H24,'2. Status Detalhe Campos'!$C:$C,"Assessment")</f>
        <v>0</v>
      </c>
      <c r="L24" s="38">
        <f>COUNTIFS('2. Status Detalhe Campos'!$G:$G,'1. Status Resumo'!$H24,'2. Status Detalhe Campos'!$C:$C,"Assessment")</f>
        <v>0</v>
      </c>
      <c r="M24" s="147">
        <f t="shared" si="0"/>
        <v>0</v>
      </c>
      <c r="O24" s="373"/>
      <c r="P24" s="374"/>
      <c r="Q24" s="374"/>
      <c r="R24" s="374"/>
      <c r="S24" s="374"/>
      <c r="T24" s="375"/>
      <c r="U24" s="17"/>
      <c r="V24" s="11"/>
    </row>
    <row r="25" spans="1:22" ht="18">
      <c r="A25" s="11"/>
      <c r="B25" s="16"/>
      <c r="C25" s="1"/>
      <c r="D25" s="1"/>
      <c r="E25" s="1"/>
      <c r="F25" s="1"/>
      <c r="G25" s="1"/>
      <c r="H25" s="148" t="s">
        <v>257</v>
      </c>
      <c r="I25" s="149"/>
      <c r="J25" s="149"/>
      <c r="K25" s="148">
        <f>SUM(K19:K24)</f>
        <v>38</v>
      </c>
      <c r="L25" s="148">
        <f>SUM(L19:L24)</f>
        <v>38</v>
      </c>
      <c r="M25" s="193">
        <f t="shared" si="0"/>
        <v>1</v>
      </c>
      <c r="O25" s="373"/>
      <c r="P25" s="374"/>
      <c r="Q25" s="374"/>
      <c r="R25" s="374"/>
      <c r="S25" s="374"/>
      <c r="T25" s="375"/>
      <c r="U25" s="17"/>
      <c r="V25" s="11"/>
    </row>
    <row r="26" spans="1:22" ht="18">
      <c r="A26" s="11"/>
      <c r="B26" s="16"/>
      <c r="C26" s="1"/>
      <c r="D26" s="1"/>
      <c r="E26" s="1"/>
      <c r="F26" s="1"/>
      <c r="G26" s="1"/>
      <c r="H26" s="38"/>
      <c r="I26" s="38"/>
      <c r="J26" s="38"/>
      <c r="K26" s="167"/>
      <c r="L26" s="167"/>
      <c r="M26" s="167"/>
      <c r="N26" s="167"/>
      <c r="O26" s="373"/>
      <c r="P26" s="374"/>
      <c r="Q26" s="374"/>
      <c r="R26" s="374"/>
      <c r="S26" s="374"/>
      <c r="T26" s="375"/>
      <c r="U26" s="17"/>
      <c r="V26" s="11"/>
    </row>
    <row r="27" spans="1:22" ht="18">
      <c r="A27" s="11"/>
      <c r="B27" s="16"/>
      <c r="C27" s="1"/>
      <c r="D27" s="1"/>
      <c r="E27" s="1"/>
      <c r="F27" s="1"/>
      <c r="O27" s="373"/>
      <c r="P27" s="374"/>
      <c r="Q27" s="374"/>
      <c r="R27" s="374"/>
      <c r="S27" s="374"/>
      <c r="T27" s="375"/>
      <c r="U27" s="17"/>
      <c r="V27" s="11"/>
    </row>
    <row r="28" spans="1:22" ht="18">
      <c r="A28" s="11"/>
      <c r="B28" s="16"/>
      <c r="C28" s="1"/>
      <c r="D28" s="1"/>
      <c r="E28" s="1"/>
      <c r="F28" s="1"/>
      <c r="O28" s="373"/>
      <c r="P28" s="374"/>
      <c r="Q28" s="374"/>
      <c r="R28" s="374"/>
      <c r="S28" s="374"/>
      <c r="T28" s="375"/>
      <c r="U28" s="17"/>
      <c r="V28" s="11"/>
    </row>
    <row r="29" spans="1:22" ht="18">
      <c r="A29" s="11"/>
      <c r="B29" s="16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373"/>
      <c r="P29" s="374"/>
      <c r="Q29" s="374"/>
      <c r="R29" s="374"/>
      <c r="S29" s="374"/>
      <c r="T29" s="375"/>
      <c r="U29" s="17"/>
      <c r="V29" s="11"/>
    </row>
    <row r="30" spans="1:22" ht="18">
      <c r="A30" s="11"/>
      <c r="B30" s="16"/>
      <c r="C30" s="30" t="s">
        <v>37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373"/>
      <c r="P30" s="374"/>
      <c r="Q30" s="374"/>
      <c r="R30" s="374"/>
      <c r="S30" s="374"/>
      <c r="T30" s="375"/>
      <c r="U30" s="165"/>
      <c r="V30" s="11"/>
    </row>
    <row r="31" spans="1:22" ht="18">
      <c r="A31" s="11"/>
      <c r="B31" s="16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373"/>
      <c r="P31" s="374"/>
      <c r="Q31" s="374"/>
      <c r="R31" s="374"/>
      <c r="S31" s="374"/>
      <c r="T31" s="375"/>
      <c r="U31" s="165"/>
      <c r="V31" s="11"/>
    </row>
    <row r="32" spans="1:22" ht="18">
      <c r="A32" s="11"/>
      <c r="B32" s="16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373"/>
      <c r="P32" s="374"/>
      <c r="Q32" s="374"/>
      <c r="R32" s="374"/>
      <c r="S32" s="374"/>
      <c r="T32" s="375"/>
      <c r="U32" s="165"/>
      <c r="V32" s="11"/>
    </row>
    <row r="33" spans="1:22" ht="18">
      <c r="A33" s="11"/>
      <c r="B33" s="16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373"/>
      <c r="P33" s="374"/>
      <c r="Q33" s="374"/>
      <c r="R33" s="374"/>
      <c r="S33" s="374"/>
      <c r="T33" s="375"/>
      <c r="U33" s="165"/>
      <c r="V33" s="11"/>
    </row>
    <row r="34" spans="1:22" ht="18">
      <c r="A34" s="11"/>
      <c r="B34" s="16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373"/>
      <c r="P34" s="374"/>
      <c r="Q34" s="374"/>
      <c r="R34" s="374"/>
      <c r="S34" s="374"/>
      <c r="T34" s="375"/>
      <c r="U34" s="165"/>
      <c r="V34" s="11"/>
    </row>
    <row r="35" spans="1:22" ht="18">
      <c r="A35" s="11"/>
      <c r="B35" s="16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373"/>
      <c r="P35" s="374"/>
      <c r="Q35" s="374"/>
      <c r="R35" s="374"/>
      <c r="S35" s="374"/>
      <c r="T35" s="375"/>
      <c r="U35" s="165"/>
      <c r="V35" s="11"/>
    </row>
    <row r="36" spans="1:22" ht="18">
      <c r="A36" s="11"/>
      <c r="B36" s="16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373"/>
      <c r="P36" s="374"/>
      <c r="Q36" s="374"/>
      <c r="R36" s="374"/>
      <c r="S36" s="374"/>
      <c r="T36" s="375"/>
      <c r="U36" s="165"/>
      <c r="V36" s="11"/>
    </row>
    <row r="37" spans="1:22" ht="18">
      <c r="A37" s="11"/>
      <c r="B37" s="16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373"/>
      <c r="P37" s="374"/>
      <c r="Q37" s="374"/>
      <c r="R37" s="374"/>
      <c r="S37" s="374"/>
      <c r="T37" s="375"/>
      <c r="U37" s="165"/>
      <c r="V37" s="11"/>
    </row>
    <row r="38" spans="1:22" ht="18">
      <c r="A38" s="11"/>
      <c r="B38" s="16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376"/>
      <c r="P38" s="377"/>
      <c r="Q38" s="377"/>
      <c r="R38" s="377"/>
      <c r="S38" s="377"/>
      <c r="T38" s="378"/>
      <c r="U38" s="165"/>
      <c r="V38" s="11"/>
    </row>
    <row r="39" spans="1:22" ht="18">
      <c r="A39" s="11"/>
      <c r="B39" s="18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20"/>
      <c r="V39" s="11"/>
    </row>
    <row r="40" spans="1:22" ht="18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</row>
    <row r="41" spans="1:22" ht="23">
      <c r="A41" s="11"/>
      <c r="B41" s="21" t="s">
        <v>343</v>
      </c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</row>
    <row r="42" spans="1:22" ht="6.9" customHeight="1">
      <c r="A42" s="11"/>
      <c r="B42" s="11"/>
      <c r="C42" s="11"/>
      <c r="D42" s="11"/>
      <c r="E42" s="11"/>
      <c r="F42" s="11"/>
      <c r="G42" s="11"/>
      <c r="H42" s="155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</row>
    <row r="43" spans="1:22" ht="18">
      <c r="A43" s="11"/>
      <c r="B43" s="13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5"/>
      <c r="V43" s="11"/>
    </row>
    <row r="44" spans="1:22" ht="18">
      <c r="A44" s="11"/>
      <c r="B44" s="16"/>
      <c r="C44" s="30" t="s">
        <v>36</v>
      </c>
      <c r="D44" s="1"/>
      <c r="E44" s="1"/>
      <c r="F44" s="1"/>
      <c r="G44" s="1"/>
      <c r="H44" s="23" t="s">
        <v>259</v>
      </c>
      <c r="I44" s="24"/>
      <c r="J44" s="23"/>
      <c r="K44" s="25">
        <v>45679</v>
      </c>
      <c r="L44" s="25">
        <v>45693</v>
      </c>
      <c r="M44" s="154" t="s">
        <v>258</v>
      </c>
      <c r="N44" s="271"/>
      <c r="O44" s="31" t="s">
        <v>38</v>
      </c>
      <c r="P44" s="1"/>
      <c r="Q44" s="1"/>
      <c r="R44" s="1"/>
      <c r="S44" s="1"/>
      <c r="T44" s="1"/>
      <c r="U44" s="17"/>
      <c r="V44" s="11"/>
    </row>
    <row r="45" spans="1:22" ht="18.75" customHeight="1">
      <c r="A45" s="11"/>
      <c r="B45" s="16"/>
      <c r="C45" s="1"/>
      <c r="D45" s="1"/>
      <c r="E45" s="1"/>
      <c r="F45" s="1"/>
      <c r="G45" s="1"/>
      <c r="H45" s="38" t="s">
        <v>39</v>
      </c>
      <c r="I45" s="38"/>
      <c r="J45" s="38"/>
      <c r="K45" s="38">
        <f>COUNTIFS('2. Status Detalhe Campos'!$H:$H,'1. Status Resumo'!$H45,'2. Status Detalhe Campos'!$C:$C,"Re-especificação / Especificação")</f>
        <v>0</v>
      </c>
      <c r="L45" s="38">
        <f>COUNTIFS('2. Status Detalhe Campos'!$G:$G,'1. Status Resumo'!$H45,'2. Status Detalhe Campos'!$C:$C,"Re-especificação / Especificação")</f>
        <v>0</v>
      </c>
      <c r="M45" s="147">
        <f>L45/$L$51</f>
        <v>0</v>
      </c>
      <c r="N45" s="147"/>
      <c r="O45" s="370" t="s">
        <v>465</v>
      </c>
      <c r="P45" s="371"/>
      <c r="Q45" s="371"/>
      <c r="R45" s="371"/>
      <c r="S45" s="371"/>
      <c r="T45" s="372"/>
      <c r="U45" s="17"/>
      <c r="V45" s="11"/>
    </row>
    <row r="46" spans="1:22" ht="18">
      <c r="A46" s="11"/>
      <c r="B46" s="16"/>
      <c r="C46" s="1"/>
      <c r="D46" s="1"/>
      <c r="E46" s="1"/>
      <c r="F46" s="1"/>
      <c r="G46" s="1"/>
      <c r="H46" s="38" t="s">
        <v>40</v>
      </c>
      <c r="I46" s="38"/>
      <c r="J46" s="38"/>
      <c r="K46" s="38">
        <f>COUNTIFS('2. Status Detalhe Campos'!$H:$H,'1. Status Resumo'!$H46,'2. Status Detalhe Campos'!$C:$C,"Re-especificação / Especificação")</f>
        <v>49</v>
      </c>
      <c r="L46" s="38">
        <f>COUNTIFS('2. Status Detalhe Campos'!$G:$G,'1. Status Resumo'!$H46,'2. Status Detalhe Campos'!$C:$C,"Re-especificação / Especificação")</f>
        <v>38</v>
      </c>
      <c r="M46" s="147">
        <f t="shared" ref="M46:M51" si="1">L46/$L$51</f>
        <v>0.50666666666666671</v>
      </c>
      <c r="N46" s="147"/>
      <c r="O46" s="373"/>
      <c r="P46" s="374"/>
      <c r="Q46" s="374"/>
      <c r="R46" s="374"/>
      <c r="S46" s="374"/>
      <c r="T46" s="375"/>
      <c r="U46" s="17"/>
      <c r="V46" s="11"/>
    </row>
    <row r="47" spans="1:22" ht="17.399999999999999" customHeight="1">
      <c r="A47" s="11"/>
      <c r="B47" s="16"/>
      <c r="C47" s="1"/>
      <c r="D47" s="1"/>
      <c r="E47" s="1"/>
      <c r="F47" s="1"/>
      <c r="G47" s="1"/>
      <c r="H47" s="38" t="s">
        <v>341</v>
      </c>
      <c r="I47" s="38"/>
      <c r="J47" s="38"/>
      <c r="K47" s="38">
        <f>COUNTIFS('2. Status Detalhe Campos'!$H:$H,'1. Status Resumo'!$H47,'2. Status Detalhe Campos'!$C:$C,"Re-especificação / Especificação")</f>
        <v>18</v>
      </c>
      <c r="L47" s="38">
        <f>COUNTIFS('2. Status Detalhe Campos'!$G:$G,'1. Status Resumo'!$H47,'2. Status Detalhe Campos'!$C:$C,"Re-especificação / Especificação")</f>
        <v>14</v>
      </c>
      <c r="M47" s="147">
        <f t="shared" si="1"/>
        <v>0.18666666666666668</v>
      </c>
      <c r="N47" s="147"/>
      <c r="O47" s="373"/>
      <c r="P47" s="374"/>
      <c r="Q47" s="374"/>
      <c r="R47" s="374"/>
      <c r="S47" s="374"/>
      <c r="T47" s="375"/>
      <c r="U47" s="17"/>
      <c r="V47" s="11"/>
    </row>
    <row r="48" spans="1:22" ht="17.399999999999999" customHeight="1">
      <c r="A48" s="11"/>
      <c r="B48" s="16"/>
      <c r="C48" s="1"/>
      <c r="D48" s="146"/>
      <c r="E48" s="146"/>
      <c r="F48" s="1"/>
      <c r="G48" s="1"/>
      <c r="H48" s="38" t="s">
        <v>342</v>
      </c>
      <c r="I48" s="38"/>
      <c r="J48" s="38"/>
      <c r="K48" s="38">
        <f>COUNTIFS('2. Status Detalhe Campos'!$H:$H,'1. Status Resumo'!$H48,'2. Status Detalhe Campos'!$C:$C,"Re-especificação / Especificação")</f>
        <v>0</v>
      </c>
      <c r="L48" s="38">
        <f>COUNTIFS('2. Status Detalhe Campos'!$G:$G,'1. Status Resumo'!$H48,'2. Status Detalhe Campos'!$C:$C,"Re-especificação / Especificação")</f>
        <v>0</v>
      </c>
      <c r="M48" s="147">
        <f t="shared" si="1"/>
        <v>0</v>
      </c>
      <c r="N48" s="147"/>
      <c r="O48" s="373"/>
      <c r="P48" s="374"/>
      <c r="Q48" s="374"/>
      <c r="R48" s="374"/>
      <c r="S48" s="374"/>
      <c r="T48" s="375"/>
      <c r="U48" s="17"/>
      <c r="V48" s="11"/>
    </row>
    <row r="49" spans="1:22" ht="17.399999999999999" customHeight="1">
      <c r="A49" s="11"/>
      <c r="B49" s="16"/>
      <c r="C49" s="1"/>
      <c r="D49" s="146"/>
      <c r="E49" s="146"/>
      <c r="F49" s="1"/>
      <c r="G49" s="1"/>
      <c r="H49" s="38" t="s">
        <v>268</v>
      </c>
      <c r="I49" s="38"/>
      <c r="J49" s="38"/>
      <c r="K49" s="38">
        <f>COUNTIFS('2. Status Detalhe Campos'!$H:$H,'1. Status Resumo'!$H49,'2. Status Detalhe Campos'!$C:$C,"Re-especificação / Especificação")</f>
        <v>0</v>
      </c>
      <c r="L49" s="38">
        <f>COUNTIFS('2. Status Detalhe Campos'!$G:$G,'1. Status Resumo'!$H49,'2. Status Detalhe Campos'!$C:$C,"Re-especificação / Especificação")</f>
        <v>12</v>
      </c>
      <c r="M49" s="147">
        <f t="shared" si="1"/>
        <v>0.16</v>
      </c>
      <c r="N49" s="147"/>
      <c r="O49" s="373"/>
      <c r="P49" s="374"/>
      <c r="Q49" s="374"/>
      <c r="R49" s="374"/>
      <c r="S49" s="374"/>
      <c r="T49" s="375"/>
      <c r="U49" s="17"/>
      <c r="V49" s="11"/>
    </row>
    <row r="50" spans="1:22" ht="17.399999999999999" customHeight="1">
      <c r="A50" s="11"/>
      <c r="B50" s="16"/>
      <c r="C50" s="1"/>
      <c r="D50" s="146"/>
      <c r="E50" s="146"/>
      <c r="F50" s="1"/>
      <c r="G50" s="1"/>
      <c r="H50" s="38" t="s">
        <v>274</v>
      </c>
      <c r="I50" s="38"/>
      <c r="J50" s="38"/>
      <c r="K50" s="38">
        <f>COUNTIFS('2. Status Detalhe Campos'!$H:$H,'1. Status Resumo'!$H50,'2. Status Detalhe Campos'!$C:$C,"Re-especificação / Especificação")</f>
        <v>7</v>
      </c>
      <c r="L50" s="38">
        <f>COUNTIFS('2. Status Detalhe Campos'!$G:$G,'1. Status Resumo'!$H50,'2. Status Detalhe Campos'!$C:$C,"Re-especificação / Especificação")</f>
        <v>11</v>
      </c>
      <c r="M50" s="147">
        <f t="shared" si="1"/>
        <v>0.14666666666666667</v>
      </c>
      <c r="N50" s="147"/>
      <c r="O50" s="373"/>
      <c r="P50" s="374"/>
      <c r="Q50" s="374"/>
      <c r="R50" s="374"/>
      <c r="S50" s="374"/>
      <c r="T50" s="375"/>
      <c r="U50" s="17"/>
      <c r="V50" s="11"/>
    </row>
    <row r="51" spans="1:22" ht="19.5">
      <c r="A51" s="11"/>
      <c r="B51" s="16"/>
      <c r="C51" s="1"/>
      <c r="D51" s="1"/>
      <c r="E51" s="1"/>
      <c r="F51" s="1"/>
      <c r="G51" s="1"/>
      <c r="H51" s="148" t="s">
        <v>398</v>
      </c>
      <c r="I51" s="149"/>
      <c r="J51" s="149"/>
      <c r="K51" s="148">
        <f>SUM(K45:K50)</f>
        <v>74</v>
      </c>
      <c r="L51" s="148">
        <f>SUM(L45:L50)</f>
        <v>75</v>
      </c>
      <c r="M51" s="193">
        <f t="shared" si="1"/>
        <v>1</v>
      </c>
      <c r="N51" s="272"/>
      <c r="O51" s="373"/>
      <c r="P51" s="374"/>
      <c r="Q51" s="374"/>
      <c r="R51" s="374"/>
      <c r="S51" s="374"/>
      <c r="T51" s="375"/>
      <c r="U51" s="17"/>
      <c r="V51" s="11"/>
    </row>
    <row r="52" spans="1:22" ht="18">
      <c r="A52" s="11"/>
      <c r="B52" s="16"/>
      <c r="C52" s="1"/>
      <c r="D52" s="1"/>
      <c r="E52" s="1"/>
      <c r="F52" s="1"/>
      <c r="G52" s="1"/>
      <c r="H52" s="379" t="s">
        <v>464</v>
      </c>
      <c r="I52" s="379"/>
      <c r="J52" s="379"/>
      <c r="K52" s="379"/>
      <c r="L52" s="379"/>
      <c r="M52" s="379"/>
      <c r="N52" s="167"/>
      <c r="O52" s="373"/>
      <c r="P52" s="374"/>
      <c r="Q52" s="374"/>
      <c r="R52" s="374"/>
      <c r="S52" s="374"/>
      <c r="T52" s="375"/>
      <c r="U52" s="17"/>
      <c r="V52" s="11"/>
    </row>
    <row r="53" spans="1:22" ht="17.399999999999999" customHeight="1">
      <c r="A53" s="11"/>
      <c r="B53" s="16"/>
      <c r="C53" s="1"/>
      <c r="D53" s="1"/>
      <c r="E53" s="1"/>
      <c r="F53" s="1"/>
      <c r="H53" s="379"/>
      <c r="I53" s="379"/>
      <c r="J53" s="379"/>
      <c r="K53" s="379"/>
      <c r="L53" s="379"/>
      <c r="M53" s="379"/>
      <c r="O53" s="373"/>
      <c r="P53" s="374"/>
      <c r="Q53" s="374"/>
      <c r="R53" s="374"/>
      <c r="S53" s="374"/>
      <c r="T53" s="375"/>
      <c r="U53" s="17"/>
      <c r="V53" s="11"/>
    </row>
    <row r="54" spans="1:22" ht="18">
      <c r="A54" s="11"/>
      <c r="B54" s="16"/>
      <c r="C54" s="1"/>
      <c r="D54" s="1"/>
      <c r="E54" s="1"/>
      <c r="F54" s="1"/>
      <c r="H54" s="380" t="s">
        <v>466</v>
      </c>
      <c r="I54" s="380"/>
      <c r="J54" s="380"/>
      <c r="K54" s="380"/>
      <c r="L54" s="380"/>
      <c r="M54" s="380"/>
      <c r="O54" s="373"/>
      <c r="P54" s="374"/>
      <c r="Q54" s="374"/>
      <c r="R54" s="374"/>
      <c r="S54" s="374"/>
      <c r="T54" s="375"/>
      <c r="U54" s="17"/>
      <c r="V54" s="11"/>
    </row>
    <row r="55" spans="1:22" ht="18">
      <c r="A55" s="11"/>
      <c r="B55" s="16"/>
      <c r="C55" s="1"/>
      <c r="D55" s="1"/>
      <c r="E55" s="1"/>
      <c r="F55" s="1"/>
      <c r="G55" s="1"/>
      <c r="H55" s="380"/>
      <c r="I55" s="380"/>
      <c r="J55" s="380"/>
      <c r="K55" s="380"/>
      <c r="L55" s="380"/>
      <c r="M55" s="380"/>
      <c r="N55" s="1"/>
      <c r="O55" s="373"/>
      <c r="P55" s="374"/>
      <c r="Q55" s="374"/>
      <c r="R55" s="374"/>
      <c r="S55" s="374"/>
      <c r="T55" s="375"/>
      <c r="U55" s="17"/>
      <c r="V55" s="11"/>
    </row>
    <row r="56" spans="1:22" ht="18">
      <c r="A56" s="11"/>
      <c r="B56" s="16"/>
      <c r="C56" s="30" t="s">
        <v>37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373"/>
      <c r="P56" s="374"/>
      <c r="Q56" s="374"/>
      <c r="R56" s="374"/>
      <c r="S56" s="374"/>
      <c r="T56" s="375"/>
      <c r="U56" s="165"/>
      <c r="V56" s="11"/>
    </row>
    <row r="57" spans="1:22" ht="18">
      <c r="A57" s="11"/>
      <c r="B57" s="16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373"/>
      <c r="P57" s="374"/>
      <c r="Q57" s="374"/>
      <c r="R57" s="374"/>
      <c r="S57" s="374"/>
      <c r="T57" s="375"/>
      <c r="U57" s="165"/>
      <c r="V57" s="11"/>
    </row>
    <row r="58" spans="1:22" ht="18">
      <c r="A58" s="11"/>
      <c r="B58" s="16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373"/>
      <c r="P58" s="374"/>
      <c r="Q58" s="374"/>
      <c r="R58" s="374"/>
      <c r="S58" s="374"/>
      <c r="T58" s="375"/>
      <c r="U58" s="165"/>
      <c r="V58" s="11"/>
    </row>
    <row r="59" spans="1:22" ht="18">
      <c r="A59" s="11"/>
      <c r="B59" s="16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373"/>
      <c r="P59" s="374"/>
      <c r="Q59" s="374"/>
      <c r="R59" s="374"/>
      <c r="S59" s="374"/>
      <c r="T59" s="375"/>
      <c r="U59" s="165"/>
      <c r="V59" s="11"/>
    </row>
    <row r="60" spans="1:22" ht="18">
      <c r="A60" s="11"/>
      <c r="B60" s="16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373"/>
      <c r="P60" s="374"/>
      <c r="Q60" s="374"/>
      <c r="R60" s="374"/>
      <c r="S60" s="374"/>
      <c r="T60" s="375"/>
      <c r="U60" s="165"/>
      <c r="V60" s="11"/>
    </row>
    <row r="61" spans="1:22" ht="18">
      <c r="A61" s="11"/>
      <c r="B61" s="16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373"/>
      <c r="P61" s="374"/>
      <c r="Q61" s="374"/>
      <c r="R61" s="374"/>
      <c r="S61" s="374"/>
      <c r="T61" s="375"/>
      <c r="U61" s="165"/>
      <c r="V61" s="11"/>
    </row>
    <row r="62" spans="1:22" ht="18">
      <c r="A62" s="11"/>
      <c r="B62" s="16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373"/>
      <c r="P62" s="374"/>
      <c r="Q62" s="374"/>
      <c r="R62" s="374"/>
      <c r="S62" s="374"/>
      <c r="T62" s="375"/>
      <c r="U62" s="165"/>
      <c r="V62" s="11"/>
    </row>
    <row r="63" spans="1:22" ht="18">
      <c r="A63" s="11"/>
      <c r="B63" s="16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373"/>
      <c r="P63" s="374"/>
      <c r="Q63" s="374"/>
      <c r="R63" s="374"/>
      <c r="S63" s="374"/>
      <c r="T63" s="375"/>
      <c r="U63" s="165"/>
      <c r="V63" s="11"/>
    </row>
    <row r="64" spans="1:22" ht="18">
      <c r="A64" s="11"/>
      <c r="B64" s="16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373"/>
      <c r="P64" s="374"/>
      <c r="Q64" s="374"/>
      <c r="R64" s="374"/>
      <c r="S64" s="374"/>
      <c r="T64" s="375"/>
      <c r="U64" s="165"/>
      <c r="V64" s="11"/>
    </row>
    <row r="65" spans="1:22" ht="18">
      <c r="A65" s="11"/>
      <c r="B65" s="16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376"/>
      <c r="P65" s="377"/>
      <c r="Q65" s="377"/>
      <c r="R65" s="377"/>
      <c r="S65" s="377"/>
      <c r="T65" s="378"/>
      <c r="U65" s="165"/>
      <c r="V65" s="11"/>
    </row>
    <row r="66" spans="1:22" ht="18">
      <c r="A66" s="11"/>
      <c r="B66" s="18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20"/>
      <c r="V66" s="11"/>
    </row>
    <row r="67" spans="1:22">
      <c r="A67" s="183"/>
      <c r="B67" s="183"/>
      <c r="C67" s="183"/>
      <c r="D67" s="183"/>
      <c r="E67" s="183"/>
      <c r="F67" s="183"/>
      <c r="G67" s="183"/>
      <c r="H67" s="183"/>
      <c r="I67" s="183"/>
      <c r="J67" s="183"/>
      <c r="K67" s="183"/>
      <c r="L67" s="183"/>
      <c r="M67" s="183"/>
      <c r="N67" s="183"/>
      <c r="O67" s="183"/>
      <c r="P67" s="183"/>
      <c r="Q67" s="183"/>
      <c r="R67" s="183"/>
      <c r="S67" s="183"/>
      <c r="T67" s="183"/>
      <c r="U67" s="183"/>
      <c r="V67" s="183"/>
    </row>
  </sheetData>
  <mergeCells count="5">
    <mergeCell ref="B8:U13"/>
    <mergeCell ref="O19:T38"/>
    <mergeCell ref="O45:T65"/>
    <mergeCell ref="H52:M53"/>
    <mergeCell ref="H54:M5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/>
  </sheetPr>
  <dimension ref="A1:O526"/>
  <sheetViews>
    <sheetView showGridLines="0" zoomScale="90" zoomScaleNormal="90" workbookViewId="0">
      <pane xSplit="3" ySplit="6" topLeftCell="D47" activePane="bottomRight" state="frozen"/>
      <selection activeCell="E6" sqref="E6"/>
      <selection pane="topRight" activeCell="E6" sqref="E6"/>
      <selection pane="bottomLeft" activeCell="E6" sqref="E6"/>
      <selection pane="bottomRight" activeCell="E6" sqref="E6"/>
    </sheetView>
  </sheetViews>
  <sheetFormatPr defaultColWidth="0" defaultRowHeight="14"/>
  <cols>
    <col min="1" max="1" width="3.58203125" customWidth="1"/>
    <col min="2" max="2" width="13.58203125" bestFit="1" customWidth="1"/>
    <col min="3" max="3" width="19.58203125" bestFit="1" customWidth="1"/>
    <col min="4" max="4" width="14" bestFit="1" customWidth="1"/>
    <col min="5" max="5" width="23.5" customWidth="1"/>
    <col min="6" max="6" width="30.08203125" bestFit="1" customWidth="1"/>
    <col min="7" max="7" width="30.58203125" bestFit="1" customWidth="1"/>
    <col min="8" max="8" width="30.58203125" customWidth="1"/>
    <col min="9" max="9" width="54.9140625" bestFit="1" customWidth="1"/>
    <col min="10" max="10" width="35" bestFit="1" customWidth="1"/>
    <col min="11" max="11" width="24" bestFit="1" customWidth="1"/>
    <col min="12" max="12" width="22" bestFit="1" customWidth="1"/>
    <col min="13" max="14" width="22" customWidth="1"/>
    <col min="15" max="15" width="3.6640625" customWidth="1"/>
    <col min="16" max="16384" width="8.58203125" hidden="1"/>
  </cols>
  <sheetData>
    <row r="1" spans="1:15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8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5.15" customHeight="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</row>
    <row r="6" spans="1:15" ht="18">
      <c r="B6" s="41" t="s">
        <v>0</v>
      </c>
      <c r="C6" s="42" t="s">
        <v>120</v>
      </c>
      <c r="D6" s="42" t="s">
        <v>2</v>
      </c>
      <c r="E6" s="42" t="s">
        <v>3</v>
      </c>
      <c r="F6" s="42" t="s">
        <v>4</v>
      </c>
      <c r="G6" s="50" t="s">
        <v>41</v>
      </c>
      <c r="H6" s="50" t="s">
        <v>42</v>
      </c>
      <c r="I6" s="43" t="s">
        <v>13</v>
      </c>
      <c r="J6" s="44" t="s">
        <v>43</v>
      </c>
      <c r="K6" s="44" t="s">
        <v>44</v>
      </c>
      <c r="L6" s="45" t="s">
        <v>45</v>
      </c>
      <c r="M6" s="46" t="s">
        <v>106</v>
      </c>
      <c r="N6" s="47" t="s">
        <v>107</v>
      </c>
    </row>
    <row r="7" spans="1:15" ht="16.399999999999999" hidden="1" customHeight="1">
      <c r="A7" s="2" t="str">
        <f>E7&amp;F7</f>
        <v>lt002_instrumentAVRG_BLNC</v>
      </c>
      <c r="B7" s="48" t="s">
        <v>35</v>
      </c>
      <c r="C7" s="49" t="s">
        <v>119</v>
      </c>
      <c r="D7" s="26" t="str" cm="1">
        <f t="array" ref="D7">INDEX('3. Plano_Detalhado'!$A$10:$H$197,MATCH(1,($E7='3. Plano_Detalhado'!$E$10:$E$197)*($F7='3. Plano_Detalhado'!$F$10:$F$197)*($C7='3. Plano_Detalhado'!$A$10:$A$197),0),4)</f>
        <v>2. Campo</v>
      </c>
      <c r="E7" s="27" t="s">
        <v>29</v>
      </c>
      <c r="F7" s="26" t="s">
        <v>79</v>
      </c>
      <c r="G7" s="26" t="str" cm="1">
        <f t="array" ref="G7">IF(INDEX('3. Plano_Detalhado'!$A$10:$H$197,MATCH(1,($E7='3. Plano_Detalhado'!$E$10:$E$197)*($F7='3. Plano_Detalhado'!$F$10:$F$197)*($C7='3. Plano_Detalhado'!$A$10:$A$197),0),7)="","",INDEX('3. Plano_Detalhado'!$A$10:$H$197,MATCH(1,($E7='3. Plano_Detalhado'!$E$10:$E$197)*($F7='3. Plano_Detalhado'!$F$10:$F$197)*($C7='3. Plano_Detalhado'!$A$10:$A$197),0),7))</f>
        <v>2. Concluído</v>
      </c>
      <c r="H7" s="26" t="str" cm="1">
        <f t="array" ref="H7">IF(INDEX('3. Plano_Detalhado'!$A$10:$H$197,MATCH(1,($E7='3. Plano_Detalhado'!$E$10:$E$197)*($F7='3. Plano_Detalhado'!$F$10:$F$197)*($C7='3. Plano_Detalhado'!$A$10:$A$197),0),8)="","",INDEX('3. Plano_Detalhado'!$A$10:$H$197,MATCH(1,($E7='3. Plano_Detalhado'!$E$10:$E$197)*($F7='3. Plano_Detalhado'!$F$10:$F$197)*($C7='3. Plano_Detalhado'!$A$10:$A$197),0),8))</f>
        <v>2. Concluído</v>
      </c>
      <c r="I7" s="26" t="str" cm="1">
        <f t="array" ref="I7">IF(INDEX('3. Plano_Detalhado'!$A$10:$Q$196,MATCH(1,($E7='3. Plano_Detalhado'!$E$10:$E$196)*($F7='3. Plano_Detalhado'!$F$10:$F$196)*($C7='3. Plano_Detalhado'!$A$10:$A$196),0),17)="","",INDEX('3. Plano_Detalhado'!$A$10:$Q$196,MATCH(1,($E7='3. Plano_Detalhado'!$E$10:$E$196)*($F7='3. Plano_Detalhado'!$F$10:$F$196)*($C7='3. Plano_Detalhado'!$A$10:$A$196),0),17))</f>
        <v/>
      </c>
      <c r="J7" s="29"/>
      <c r="K7" s="29"/>
      <c r="L7" s="29"/>
      <c r="M7" s="40"/>
      <c r="N7" s="40"/>
    </row>
    <row r="8" spans="1:15" ht="16.399999999999999" hidden="1" customHeight="1">
      <c r="A8" s="2" t="str">
        <f t="shared" ref="A8:A31" si="0">E8&amp;F8</f>
        <v>lt002_instrumentNW_BSNSS</v>
      </c>
      <c r="B8" s="48" t="s">
        <v>35</v>
      </c>
      <c r="C8" s="49" t="s">
        <v>119</v>
      </c>
      <c r="D8" s="26" t="str" cm="1">
        <f t="array" ref="D8">INDEX('3. Plano_Detalhado'!$A$10:$H$197,MATCH(1,($E8='3. Plano_Detalhado'!$E$10:$E$197)*($F8='3. Plano_Detalhado'!$F$10:$F$197)*($C8='3. Plano_Detalhado'!$A$10:$A$197),0),4)</f>
        <v>2. Campo</v>
      </c>
      <c r="E8" s="27" t="s">
        <v>29</v>
      </c>
      <c r="F8" s="26" t="s">
        <v>60</v>
      </c>
      <c r="G8" s="28" t="str" cm="1">
        <f t="array" ref="G8">IF(INDEX('3. Plano_Detalhado'!$A$10:$H$197,MATCH(1,($E8='3. Plano_Detalhado'!$E$10:$E$197)*($F8='3. Plano_Detalhado'!$F$10:$F$197)*($C8='3. Plano_Detalhado'!$A$10:$A$197),0),7)="","",INDEX('3. Plano_Detalhado'!$A$10:$H$197,MATCH(1,($E8='3. Plano_Detalhado'!$E$10:$E$197)*($F8='3. Plano_Detalhado'!$F$10:$F$197)*($C8='3. Plano_Detalhado'!$A$10:$A$197),0),7))</f>
        <v>2. Concluído</v>
      </c>
      <c r="H8" s="28" t="str" cm="1">
        <f t="array" ref="H8">IF(INDEX('3. Plano_Detalhado'!$A$10:$H$197,MATCH(1,($E8='3. Plano_Detalhado'!$E$10:$E$197)*($F8='3. Plano_Detalhado'!$F$10:$F$197)*($C8='3. Plano_Detalhado'!$A$10:$A$197),0),8)="","",INDEX('3. Plano_Detalhado'!$A$10:$H$197,MATCH(1,($E8='3. Plano_Detalhado'!$E$10:$E$197)*($F8='3. Plano_Detalhado'!$F$10:$F$197)*($C8='3. Plano_Detalhado'!$A$10:$A$197),0),8))</f>
        <v>4. Validação da especificação</v>
      </c>
      <c r="I8" s="26" t="str" cm="1">
        <f t="array" ref="I8">IF(INDEX('3. Plano_Detalhado'!$A$10:$Q$196,MATCH(1,($E8='3. Plano_Detalhado'!$E$10:$E$196)*($F8='3. Plano_Detalhado'!$F$10:$F$196)*($C8='3. Plano_Detalhado'!$A$10:$A$196),0),17)="","",INDEX('3. Plano_Detalhado'!$A$10:$Q$196,MATCH(1,($E8='3. Plano_Detalhado'!$E$10:$E$196)*($F8='3. Plano_Detalhado'!$F$10:$F$196)*($C8='3. Plano_Detalhado'!$A$10:$A$196),0),17))</f>
        <v/>
      </c>
      <c r="J8" s="29"/>
      <c r="K8" s="29"/>
      <c r="L8" s="29"/>
      <c r="M8" s="39"/>
      <c r="N8" s="39"/>
    </row>
    <row r="9" spans="1:15" ht="16.399999999999999" hidden="1" customHeight="1">
      <c r="A9" s="2" t="str">
        <f t="shared" si="0"/>
        <v>lt002_instrumentGRSS_INTRST_INCM</v>
      </c>
      <c r="B9" s="48" t="s">
        <v>35</v>
      </c>
      <c r="C9" s="49" t="s">
        <v>119</v>
      </c>
      <c r="D9" s="26" t="str" cm="1">
        <f t="array" ref="D9">INDEX('3. Plano_Detalhado'!$A$10:$H$197,MATCH(1,($E9='3. Plano_Detalhado'!$E$10:$E$197)*($F9='3. Plano_Detalhado'!$F$10:$F$197)*($C9='3. Plano_Detalhado'!$A$10:$A$197),0),4)</f>
        <v>2. Campo</v>
      </c>
      <c r="E9" s="27" t="s">
        <v>29</v>
      </c>
      <c r="F9" s="26" t="s">
        <v>80</v>
      </c>
      <c r="G9" s="28" t="str" cm="1">
        <f t="array" ref="G9">IF(INDEX('3. Plano_Detalhado'!$A$10:$H$197,MATCH(1,($E9='3. Plano_Detalhado'!$E$10:$E$197)*($F9='3. Plano_Detalhado'!$F$10:$F$197)*($C9='3. Plano_Detalhado'!$A$10:$A$197),0),7)="","",INDEX('3. Plano_Detalhado'!$A$10:$H$197,MATCH(1,($E9='3. Plano_Detalhado'!$E$10:$E$197)*($F9='3. Plano_Detalhado'!$F$10:$F$197)*($C9='3. Plano_Detalhado'!$A$10:$A$197),0),7))</f>
        <v>2. Concluído</v>
      </c>
      <c r="H9" s="28" t="str" cm="1">
        <f t="array" ref="H9">IF(INDEX('3. Plano_Detalhado'!$A$10:$H$197,MATCH(1,($E9='3. Plano_Detalhado'!$E$10:$E$197)*($F9='3. Plano_Detalhado'!$F$10:$F$197)*($C9='3. Plano_Detalhado'!$A$10:$A$197),0),8)="","",INDEX('3. Plano_Detalhado'!$A$10:$H$197,MATCH(1,($E9='3. Plano_Detalhado'!$E$10:$E$197)*($F9='3. Plano_Detalhado'!$F$10:$F$197)*($C9='3. Plano_Detalhado'!$A$10:$A$197),0),8))</f>
        <v>2. Concluído</v>
      </c>
      <c r="I9" s="26" t="str" cm="1">
        <f t="array" ref="I9">IF(INDEX('3. Plano_Detalhado'!$A$10:$Q$196,MATCH(1,($E9='3. Plano_Detalhado'!$E$10:$E$196)*($F9='3. Plano_Detalhado'!$F$10:$F$196)*($C9='3. Plano_Detalhado'!$A$10:$A$196),0),17)="","",INDEX('3. Plano_Detalhado'!$A$10:$Q$196,MATCH(1,($E9='3. Plano_Detalhado'!$E$10:$E$196)*($F9='3. Plano_Detalhado'!$F$10:$F$196)*($C9='3. Plano_Detalhado'!$A$10:$A$196),0),17))</f>
        <v/>
      </c>
      <c r="J9" s="29"/>
      <c r="K9" s="29"/>
      <c r="L9" s="29"/>
      <c r="M9" s="39"/>
      <c r="N9" s="39"/>
    </row>
    <row r="10" spans="1:15" ht="16.399999999999999" hidden="1" customHeight="1">
      <c r="A10" s="2" t="str">
        <f t="shared" si="0"/>
        <v>lt002_instrumentGRSS_CMMSSN_INCM</v>
      </c>
      <c r="B10" s="48" t="s">
        <v>35</v>
      </c>
      <c r="C10" s="49" t="s">
        <v>119</v>
      </c>
      <c r="D10" s="26" t="str" cm="1">
        <f t="array" ref="D10">INDEX('3. Plano_Detalhado'!$A$10:$H$197,MATCH(1,($E10='3. Plano_Detalhado'!$E$10:$E$197)*($F10='3. Plano_Detalhado'!$F$10:$F$197)*($C10='3. Plano_Detalhado'!$A$10:$A$197),0),4)</f>
        <v>2. Campo</v>
      </c>
      <c r="E10" s="27" t="s">
        <v>29</v>
      </c>
      <c r="F10" s="26" t="s">
        <v>81</v>
      </c>
      <c r="G10" s="28" t="str" cm="1">
        <f t="array" ref="G10">IF(INDEX('3. Plano_Detalhado'!$A$10:$H$197,MATCH(1,($E10='3. Plano_Detalhado'!$E$10:$E$197)*($F10='3. Plano_Detalhado'!$F$10:$F$197)*($C10='3. Plano_Detalhado'!$A$10:$A$197),0),7)="","",INDEX('3. Plano_Detalhado'!$A$10:$H$197,MATCH(1,($E10='3. Plano_Detalhado'!$E$10:$E$197)*($F10='3. Plano_Detalhado'!$F$10:$F$197)*($C10='3. Plano_Detalhado'!$A$10:$A$197),0),7))</f>
        <v>2. Concluído</v>
      </c>
      <c r="H10" s="28" t="str" cm="1">
        <f t="array" ref="H10">IF(INDEX('3. Plano_Detalhado'!$A$10:$H$197,MATCH(1,($E10='3. Plano_Detalhado'!$E$10:$E$197)*($F10='3. Plano_Detalhado'!$F$10:$F$197)*($C10='3. Plano_Detalhado'!$A$10:$A$197),0),8)="","",INDEX('3. Plano_Detalhado'!$A$10:$H$197,MATCH(1,($E10='3. Plano_Detalhado'!$E$10:$E$197)*($F10='3. Plano_Detalhado'!$F$10:$F$197)*($C10='3. Plano_Detalhado'!$A$10:$A$197),0),8))</f>
        <v>2. Concluído</v>
      </c>
      <c r="I10" s="26" t="str" cm="1">
        <f t="array" ref="I10">IF(INDEX('3. Plano_Detalhado'!$A$10:$Q$196,MATCH(1,($E10='3. Plano_Detalhado'!$E$10:$E$196)*($F10='3. Plano_Detalhado'!$F$10:$F$196)*($C10='3. Plano_Detalhado'!$A$10:$A$196),0),17)="","",INDEX('3. Plano_Detalhado'!$A$10:$Q$196,MATCH(1,($E10='3. Plano_Detalhado'!$E$10:$E$196)*($F10='3. Plano_Detalhado'!$F$10:$F$196)*($C10='3. Plano_Detalhado'!$A$10:$A$196),0),17))</f>
        <v/>
      </c>
      <c r="J10" s="29"/>
      <c r="K10" s="29"/>
      <c r="L10" s="29"/>
      <c r="M10" s="39"/>
      <c r="N10" s="39"/>
    </row>
    <row r="11" spans="1:15" ht="16.399999999999999" hidden="1" customHeight="1">
      <c r="A11" s="2" t="str">
        <f t="shared" si="0"/>
        <v>lt002_instrumentINTRNL_TRNSFR_RT</v>
      </c>
      <c r="B11" s="48" t="s">
        <v>35</v>
      </c>
      <c r="C11" s="49" t="s">
        <v>119</v>
      </c>
      <c r="D11" s="26" t="str" cm="1">
        <f t="array" ref="D11">INDEX('3. Plano_Detalhado'!$A$10:$H$197,MATCH(1,($E11='3. Plano_Detalhado'!$E$10:$E$197)*($F11='3. Plano_Detalhado'!$F$10:$F$197)*($C11='3. Plano_Detalhado'!$A$10:$A$197),0),4)</f>
        <v>2. Campo</v>
      </c>
      <c r="E11" s="27" t="s">
        <v>29</v>
      </c>
      <c r="F11" s="26" t="s">
        <v>82</v>
      </c>
      <c r="G11" s="28" t="str" cm="1">
        <f t="array" ref="G11">IF(INDEX('3. Plano_Detalhado'!$A$10:$H$197,MATCH(1,($E11='3. Plano_Detalhado'!$E$10:$E$197)*($F11='3. Plano_Detalhado'!$F$10:$F$197)*($C11='3. Plano_Detalhado'!$A$10:$A$197),0),7)="","",INDEX('3. Plano_Detalhado'!$A$10:$H$197,MATCH(1,($E11='3. Plano_Detalhado'!$E$10:$E$197)*($F11='3. Plano_Detalhado'!$F$10:$F$197)*($C11='3. Plano_Detalhado'!$A$10:$A$197),0),7))</f>
        <v>2. Concluído</v>
      </c>
      <c r="H11" s="28" t="str" cm="1">
        <f t="array" ref="H11">IF(INDEX('3. Plano_Detalhado'!$A$10:$H$197,MATCH(1,($E11='3. Plano_Detalhado'!$E$10:$E$197)*($F11='3. Plano_Detalhado'!$F$10:$F$197)*($C11='3. Plano_Detalhado'!$A$10:$A$197),0),8)="","",INDEX('3. Plano_Detalhado'!$A$10:$H$197,MATCH(1,($E11='3. Plano_Detalhado'!$E$10:$E$197)*($F11='3. Plano_Detalhado'!$F$10:$F$197)*($C11='3. Plano_Detalhado'!$A$10:$A$197),0),8))</f>
        <v>2. Concluído</v>
      </c>
      <c r="I11" s="26" t="str" cm="1">
        <f t="array" ref="I11">IF(INDEX('3. Plano_Detalhado'!$A$10:$Q$196,MATCH(1,($E11='3. Plano_Detalhado'!$E$10:$E$196)*($F11='3. Plano_Detalhado'!$F$10:$F$196)*($C11='3. Plano_Detalhado'!$A$10:$A$196),0),17)="","",INDEX('3. Plano_Detalhado'!$A$10:$Q$196,MATCH(1,($E11='3. Plano_Detalhado'!$E$10:$E$196)*($F11='3. Plano_Detalhado'!$F$10:$F$196)*($C11='3. Plano_Detalhado'!$A$10:$A$196),0),17))</f>
        <v/>
      </c>
      <c r="J11" s="29"/>
      <c r="K11" s="29"/>
      <c r="L11" s="29"/>
      <c r="M11" s="39"/>
      <c r="N11" s="39"/>
    </row>
    <row r="12" spans="1:15" ht="16.399999999999999" hidden="1" customHeight="1">
      <c r="A12" s="2" t="str">
        <f t="shared" si="0"/>
        <v>lt002_instrumentNT_LN_LSS_PRVSN</v>
      </c>
      <c r="B12" s="48" t="s">
        <v>35</v>
      </c>
      <c r="C12" s="49" t="s">
        <v>119</v>
      </c>
      <c r="D12" s="26" t="str" cm="1">
        <f t="array" ref="D12">INDEX('3. Plano_Detalhado'!$A$10:$H$197,MATCH(1,($E12='3. Plano_Detalhado'!$E$10:$E$197)*($F12='3. Plano_Detalhado'!$F$10:$F$197)*($C12='3. Plano_Detalhado'!$A$10:$A$197),0),4)</f>
        <v>2. Campo</v>
      </c>
      <c r="E12" s="27" t="s">
        <v>29</v>
      </c>
      <c r="F12" s="26" t="s">
        <v>83</v>
      </c>
      <c r="G12" s="28" t="str" cm="1">
        <f t="array" ref="G12">IF(INDEX('3. Plano_Detalhado'!$A$10:$H$197,MATCH(1,($E12='3. Plano_Detalhado'!$E$10:$E$197)*($F12='3. Plano_Detalhado'!$F$10:$F$197)*($C12='3. Plano_Detalhado'!$A$10:$A$197),0),7)="","",INDEX('3. Plano_Detalhado'!$A$10:$H$197,MATCH(1,($E12='3. Plano_Detalhado'!$E$10:$E$197)*($F12='3. Plano_Detalhado'!$F$10:$F$197)*($C12='3. Plano_Detalhado'!$A$10:$A$197),0),7))</f>
        <v>2. Concluído</v>
      </c>
      <c r="H12" s="28" t="str" cm="1">
        <f t="array" ref="H12">IF(INDEX('3. Plano_Detalhado'!$A$10:$H$197,MATCH(1,($E12='3. Plano_Detalhado'!$E$10:$E$197)*($F12='3. Plano_Detalhado'!$F$10:$F$197)*($C12='3. Plano_Detalhado'!$A$10:$A$197),0),8)="","",INDEX('3. Plano_Detalhado'!$A$10:$H$197,MATCH(1,($E12='3. Plano_Detalhado'!$E$10:$E$197)*($F12='3. Plano_Detalhado'!$F$10:$F$197)*($C12='3. Plano_Detalhado'!$A$10:$A$197),0),8))</f>
        <v>2. Concluído</v>
      </c>
      <c r="I12" s="26" t="str" cm="1">
        <f t="array" ref="I12">IF(INDEX('3. Plano_Detalhado'!$A$10:$Q$196,MATCH(1,($E12='3. Plano_Detalhado'!$E$10:$E$196)*($F12='3. Plano_Detalhado'!$F$10:$F$196)*($C12='3. Plano_Detalhado'!$A$10:$A$196),0),17)="","",INDEX('3. Plano_Detalhado'!$A$10:$Q$196,MATCH(1,($E12='3. Plano_Detalhado'!$E$10:$E$196)*($F12='3. Plano_Detalhado'!$F$10:$F$196)*($C12='3. Plano_Detalhado'!$A$10:$A$196),0),17))</f>
        <v/>
      </c>
      <c r="J12" s="29"/>
      <c r="K12" s="29"/>
      <c r="L12" s="29"/>
      <c r="M12" s="39"/>
      <c r="N12" s="39"/>
    </row>
    <row r="13" spans="1:15" ht="16.399999999999999" hidden="1" customHeight="1">
      <c r="A13" s="2" t="str">
        <f t="shared" si="0"/>
        <v>lt002_instrumentBSNSS_AREA</v>
      </c>
      <c r="B13" s="48" t="s">
        <v>35</v>
      </c>
      <c r="C13" s="49" t="s">
        <v>119</v>
      </c>
      <c r="D13" s="26" t="str" cm="1">
        <f t="array" ref="D13">INDEX('3. Plano_Detalhado'!$A$10:$H$197,MATCH(1,($E13='3. Plano_Detalhado'!$E$10:$E$197)*($F13='3. Plano_Detalhado'!$F$10:$F$197)*($C13='3. Plano_Detalhado'!$A$10:$A$197),0),4)</f>
        <v>2. Campo</v>
      </c>
      <c r="E13" s="27" t="s">
        <v>29</v>
      </c>
      <c r="F13" s="26" t="s">
        <v>61</v>
      </c>
      <c r="G13" s="28" t="str" cm="1">
        <f t="array" ref="G13">IF(INDEX('3. Plano_Detalhado'!$A$10:$H$197,MATCH(1,($E13='3. Plano_Detalhado'!$E$10:$E$197)*($F13='3. Plano_Detalhado'!$F$10:$F$197)*($C13='3. Plano_Detalhado'!$A$10:$A$197),0),7)="","",INDEX('3. Plano_Detalhado'!$A$10:$H$197,MATCH(1,($E13='3. Plano_Detalhado'!$E$10:$E$197)*($F13='3. Plano_Detalhado'!$F$10:$F$197)*($C13='3. Plano_Detalhado'!$A$10:$A$197),0),7))</f>
        <v>2. Concluído</v>
      </c>
      <c r="H13" s="28" t="str" cm="1">
        <f t="array" ref="H13">IF(INDEX('3. Plano_Detalhado'!$A$10:$H$197,MATCH(1,($E13='3. Plano_Detalhado'!$E$10:$E$197)*($F13='3. Plano_Detalhado'!$F$10:$F$197)*($C13='3. Plano_Detalhado'!$A$10:$A$197),0),8)="","",INDEX('3. Plano_Detalhado'!$A$10:$H$197,MATCH(1,($E13='3. Plano_Detalhado'!$E$10:$E$197)*($F13='3. Plano_Detalhado'!$F$10:$F$197)*($C13='3. Plano_Detalhado'!$A$10:$A$197),0),8))</f>
        <v>2. Concluído</v>
      </c>
      <c r="I13" s="26" t="str" cm="1">
        <f t="array" ref="I13">IF(INDEX('3. Plano_Detalhado'!$A$10:$Q$196,MATCH(1,($E13='3. Plano_Detalhado'!$E$10:$E$196)*($F13='3. Plano_Detalhado'!$F$10:$F$196)*($C13='3. Plano_Detalhado'!$A$10:$A$196),0),17)="","",INDEX('3. Plano_Detalhado'!$A$10:$Q$196,MATCH(1,($E13='3. Plano_Detalhado'!$E$10:$E$196)*($F13='3. Plano_Detalhado'!$F$10:$F$196)*($C13='3. Plano_Detalhado'!$A$10:$A$196),0),17))</f>
        <v/>
      </c>
      <c r="J13" s="29"/>
      <c r="K13" s="29"/>
      <c r="L13" s="29"/>
      <c r="M13" s="39"/>
      <c r="N13" s="39"/>
    </row>
    <row r="14" spans="1:15" ht="16.399999999999999" hidden="1" customHeight="1">
      <c r="A14" s="2" t="str">
        <f t="shared" si="0"/>
        <v>lt002_instrumentMNGMNT_PRDCT</v>
      </c>
      <c r="B14" s="48" t="s">
        <v>35</v>
      </c>
      <c r="C14" s="49" t="s">
        <v>119</v>
      </c>
      <c r="D14" s="26" t="str" cm="1">
        <f t="array" ref="D14">INDEX('3. Plano_Detalhado'!$A$10:$H$197,MATCH(1,($E14='3. Plano_Detalhado'!$E$10:$E$197)*($F14='3. Plano_Detalhado'!$F$10:$F$197)*($C14='3. Plano_Detalhado'!$A$10:$A$197),0),4)</f>
        <v>2. Campo</v>
      </c>
      <c r="E14" s="27" t="s">
        <v>29</v>
      </c>
      <c r="F14" s="26" t="s">
        <v>84</v>
      </c>
      <c r="G14" s="28" t="str" cm="1">
        <f t="array" ref="G14">IF(INDEX('3. Plano_Detalhado'!$A$10:$H$197,MATCH(1,($E14='3. Plano_Detalhado'!$E$10:$E$197)*($F14='3. Plano_Detalhado'!$F$10:$F$197)*($C14='3. Plano_Detalhado'!$A$10:$A$197),0),7)="","",INDEX('3. Plano_Detalhado'!$A$10:$H$197,MATCH(1,($E14='3. Plano_Detalhado'!$E$10:$E$197)*($F14='3. Plano_Detalhado'!$F$10:$F$197)*($C14='3. Plano_Detalhado'!$A$10:$A$197),0),7))</f>
        <v>2. Concluído</v>
      </c>
      <c r="H14" s="28" t="str" cm="1">
        <f t="array" ref="H14">IF(INDEX('3. Plano_Detalhado'!$A$10:$H$197,MATCH(1,($E14='3. Plano_Detalhado'!$E$10:$E$197)*($F14='3. Plano_Detalhado'!$F$10:$F$197)*($C14='3. Plano_Detalhado'!$A$10:$A$197),0),8)="","",INDEX('3. Plano_Detalhado'!$A$10:$H$197,MATCH(1,($E14='3. Plano_Detalhado'!$E$10:$E$197)*($F14='3. Plano_Detalhado'!$F$10:$F$197)*($C14='3. Plano_Detalhado'!$A$10:$A$197),0),8))</f>
        <v>2. Concluído</v>
      </c>
      <c r="I14" s="26" t="str" cm="1">
        <f t="array" ref="I14">IF(INDEX('3. Plano_Detalhado'!$A$10:$Q$196,MATCH(1,($E14='3. Plano_Detalhado'!$E$10:$E$196)*($F14='3. Plano_Detalhado'!$F$10:$F$196)*($C14='3. Plano_Detalhado'!$A$10:$A$196),0),17)="","",INDEX('3. Plano_Detalhado'!$A$10:$Q$196,MATCH(1,($E14='3. Plano_Detalhado'!$E$10:$E$196)*($F14='3. Plano_Detalhado'!$F$10:$F$196)*($C14='3. Plano_Detalhado'!$A$10:$A$196),0),17))</f>
        <v/>
      </c>
      <c r="J14" s="29"/>
      <c r="K14" s="29"/>
      <c r="L14" s="29"/>
      <c r="M14" s="39"/>
      <c r="N14" s="39"/>
    </row>
    <row r="15" spans="1:15" ht="16.399999999999999" hidden="1" customHeight="1">
      <c r="A15" s="2" t="str">
        <f t="shared" si="0"/>
        <v>lt002_instrumentGRSS_CMMSSN_EXPNS</v>
      </c>
      <c r="B15" s="48" t="s">
        <v>35</v>
      </c>
      <c r="C15" s="49" t="s">
        <v>119</v>
      </c>
      <c r="D15" s="26" t="str" cm="1">
        <f t="array" ref="D15">INDEX('3. Plano_Detalhado'!$A$10:$H$197,MATCH(1,($E15='3. Plano_Detalhado'!$E$10:$E$197)*($F15='3. Plano_Detalhado'!$F$10:$F$197)*($C15='3. Plano_Detalhado'!$A$10:$A$197),0),4)</f>
        <v>2. Campo</v>
      </c>
      <c r="E15" s="27" t="s">
        <v>29</v>
      </c>
      <c r="F15" s="26" t="s">
        <v>85</v>
      </c>
      <c r="G15" s="28" t="str" cm="1">
        <f t="array" ref="G15">IF(INDEX('3. Plano_Detalhado'!$A$10:$H$197,MATCH(1,($E15='3. Plano_Detalhado'!$E$10:$E$197)*($F15='3. Plano_Detalhado'!$F$10:$F$197)*($C15='3. Plano_Detalhado'!$A$10:$A$197),0),7)="","",INDEX('3. Plano_Detalhado'!$A$10:$H$197,MATCH(1,($E15='3. Plano_Detalhado'!$E$10:$E$197)*($F15='3. Plano_Detalhado'!$F$10:$F$197)*($C15='3. Plano_Detalhado'!$A$10:$A$197),0),7))</f>
        <v>2. Concluído</v>
      </c>
      <c r="H15" s="28" t="str" cm="1">
        <f t="array" ref="H15">IF(INDEX('3. Plano_Detalhado'!$A$10:$H$197,MATCH(1,($E15='3. Plano_Detalhado'!$E$10:$E$197)*($F15='3. Plano_Detalhado'!$F$10:$F$197)*($C15='3. Plano_Detalhado'!$A$10:$A$197),0),8)="","",INDEX('3. Plano_Detalhado'!$A$10:$H$197,MATCH(1,($E15='3. Plano_Detalhado'!$E$10:$E$197)*($F15='3. Plano_Detalhado'!$F$10:$F$197)*($C15='3. Plano_Detalhado'!$A$10:$A$197),0),8))</f>
        <v>2. Concluído</v>
      </c>
      <c r="I15" s="26" t="str" cm="1">
        <f t="array" ref="I15">IF(INDEX('3. Plano_Detalhado'!$A$10:$Q$196,MATCH(1,($E15='3. Plano_Detalhado'!$E$10:$E$196)*($F15='3. Plano_Detalhado'!$F$10:$F$196)*($C15='3. Plano_Detalhado'!$A$10:$A$196),0),17)="","",INDEX('3. Plano_Detalhado'!$A$10:$Q$196,MATCH(1,($E15='3. Plano_Detalhado'!$E$10:$E$196)*($F15='3. Plano_Detalhado'!$F$10:$F$196)*($C15='3. Plano_Detalhado'!$A$10:$A$196),0),17))</f>
        <v/>
      </c>
      <c r="J15" s="29"/>
      <c r="K15" s="29"/>
      <c r="L15" s="29"/>
      <c r="M15" s="39"/>
      <c r="N15" s="39"/>
    </row>
    <row r="16" spans="1:15" ht="16.399999999999999" hidden="1" customHeight="1">
      <c r="A16" s="2" t="str">
        <f t="shared" si="0"/>
        <v>lt002_instrumentGNS_FNNCL_TRNSCTN_EXCHNG_DFFRNCS</v>
      </c>
      <c r="B16" s="48" t="s">
        <v>35</v>
      </c>
      <c r="C16" s="49" t="s">
        <v>119</v>
      </c>
      <c r="D16" s="26" t="str" cm="1">
        <f t="array" ref="D16">INDEX('3. Plano_Detalhado'!$A$10:$H$197,MATCH(1,($E16='3. Plano_Detalhado'!$E$10:$E$197)*($F16='3. Plano_Detalhado'!$F$10:$F$197)*($C16='3. Plano_Detalhado'!$A$10:$A$197),0),4)</f>
        <v>2. Campo</v>
      </c>
      <c r="E16" s="27" t="s">
        <v>29</v>
      </c>
      <c r="F16" s="26" t="s">
        <v>86</v>
      </c>
      <c r="G16" s="28" t="str" cm="1">
        <f t="array" ref="G16">IF(INDEX('3. Plano_Detalhado'!$A$10:$H$197,MATCH(1,($E16='3. Plano_Detalhado'!$E$10:$E$197)*($F16='3. Plano_Detalhado'!$F$10:$F$197)*($C16='3. Plano_Detalhado'!$A$10:$A$197),0),7)="","",INDEX('3. Plano_Detalhado'!$A$10:$H$197,MATCH(1,($E16='3. Plano_Detalhado'!$E$10:$E$197)*($F16='3. Plano_Detalhado'!$F$10:$F$197)*($C16='3. Plano_Detalhado'!$A$10:$A$197),0),7))</f>
        <v>2. Concluído</v>
      </c>
      <c r="H16" s="28" t="str" cm="1">
        <f t="array" ref="H16">IF(INDEX('3. Plano_Detalhado'!$A$10:$H$197,MATCH(1,($E16='3. Plano_Detalhado'!$E$10:$E$197)*($F16='3. Plano_Detalhado'!$F$10:$F$197)*($C16='3. Plano_Detalhado'!$A$10:$A$197),0),8)="","",INDEX('3. Plano_Detalhado'!$A$10:$H$197,MATCH(1,($E16='3. Plano_Detalhado'!$E$10:$E$197)*($F16='3. Plano_Detalhado'!$F$10:$F$197)*($C16='3. Plano_Detalhado'!$A$10:$A$197),0),8))</f>
        <v>2. Concluído</v>
      </c>
      <c r="I16" s="26" t="str" cm="1">
        <f t="array" ref="I16">IF(INDEX('3. Plano_Detalhado'!$A$10:$Q$196,MATCH(1,($E16='3. Plano_Detalhado'!$E$10:$E$196)*($F16='3. Plano_Detalhado'!$F$10:$F$196)*($C16='3. Plano_Detalhado'!$A$10:$A$196),0),17)="","",INDEX('3. Plano_Detalhado'!$A$10:$Q$196,MATCH(1,($E16='3. Plano_Detalhado'!$E$10:$E$196)*($F16='3. Plano_Detalhado'!$F$10:$F$196)*($C16='3. Plano_Detalhado'!$A$10:$A$196),0),17))</f>
        <v/>
      </c>
      <c r="J16" s="29"/>
      <c r="K16" s="29"/>
      <c r="L16" s="29"/>
      <c r="M16" s="39"/>
      <c r="N16" s="39"/>
    </row>
    <row r="17" spans="1:14" ht="16.399999999999999" hidden="1" customHeight="1">
      <c r="A17" s="2" t="str">
        <f t="shared" si="0"/>
        <v>lt002_instrumentFLG_INTRBSNSS</v>
      </c>
      <c r="B17" s="48" t="s">
        <v>35</v>
      </c>
      <c r="C17" s="49" t="s">
        <v>119</v>
      </c>
      <c r="D17" s="26" t="str" cm="1">
        <f t="array" ref="D17">INDEX('3. Plano_Detalhado'!$A$10:$H$197,MATCH(1,($E17='3. Plano_Detalhado'!$E$10:$E$197)*($F17='3. Plano_Detalhado'!$F$10:$F$197)*($C17='3. Plano_Detalhado'!$A$10:$A$197),0),4)</f>
        <v>2. Campo</v>
      </c>
      <c r="E17" s="27" t="s">
        <v>29</v>
      </c>
      <c r="F17" s="26" t="s">
        <v>62</v>
      </c>
      <c r="G17" s="28" t="str" cm="1">
        <f t="array" ref="G17">IF(INDEX('3. Plano_Detalhado'!$A$10:$H$197,MATCH(1,($E17='3. Plano_Detalhado'!$E$10:$E$197)*($F17='3. Plano_Detalhado'!$F$10:$F$197)*($C17='3. Plano_Detalhado'!$A$10:$A$197),0),7)="","",INDEX('3. Plano_Detalhado'!$A$10:$H$197,MATCH(1,($E17='3. Plano_Detalhado'!$E$10:$E$197)*($F17='3. Plano_Detalhado'!$F$10:$F$197)*($C17='3. Plano_Detalhado'!$A$10:$A$197),0),7))</f>
        <v>2. Concluído</v>
      </c>
      <c r="H17" s="28" t="str" cm="1">
        <f t="array" ref="H17">IF(INDEX('3. Plano_Detalhado'!$A$10:$H$197,MATCH(1,($E17='3. Plano_Detalhado'!$E$10:$E$197)*($F17='3. Plano_Detalhado'!$F$10:$F$197)*($C17='3. Plano_Detalhado'!$A$10:$A$197),0),8)="","",INDEX('3. Plano_Detalhado'!$A$10:$H$197,MATCH(1,($E17='3. Plano_Detalhado'!$E$10:$E$197)*($F17='3. Plano_Detalhado'!$F$10:$F$197)*($C17='3. Plano_Detalhado'!$A$10:$A$197),0),8))</f>
        <v>3. Em Análise</v>
      </c>
      <c r="I17" s="26" t="str" cm="1">
        <f t="array" ref="I17">IF(INDEX('3. Plano_Detalhado'!$A$10:$Q$196,MATCH(1,($E17='3. Plano_Detalhado'!$E$10:$E$196)*($F17='3. Plano_Detalhado'!$F$10:$F$196)*($C17='3. Plano_Detalhado'!$A$10:$A$196),0),17)="","",INDEX('3. Plano_Detalhado'!$A$10:$Q$196,MATCH(1,($E17='3. Plano_Detalhado'!$E$10:$E$196)*($F17='3. Plano_Detalhado'!$F$10:$F$196)*($C17='3. Plano_Detalhado'!$A$10:$A$196),0),17))</f>
        <v/>
      </c>
      <c r="J17" s="29"/>
      <c r="K17" s="29"/>
      <c r="L17" s="29"/>
      <c r="M17" s="39"/>
      <c r="N17" s="39"/>
    </row>
    <row r="18" spans="1:14" ht="16.399999999999999" hidden="1" customHeight="1">
      <c r="A18" s="2" t="str">
        <f t="shared" si="0"/>
        <v>lt002_instrumentINTRBSNSS_ADJ_COD</v>
      </c>
      <c r="B18" s="48" t="s">
        <v>35</v>
      </c>
      <c r="C18" s="49" t="s">
        <v>119</v>
      </c>
      <c r="D18" s="26" t="str" cm="1">
        <f t="array" ref="D18">INDEX('3. Plano_Detalhado'!$A$10:$H$197,MATCH(1,($E18='3. Plano_Detalhado'!$E$10:$E$197)*($F18='3. Plano_Detalhado'!$F$10:$F$197)*($C18='3. Plano_Detalhado'!$A$10:$A$197),0),4)</f>
        <v>2. Campo</v>
      </c>
      <c r="E18" s="27" t="s">
        <v>29</v>
      </c>
      <c r="F18" s="26" t="s">
        <v>87</v>
      </c>
      <c r="G18" s="28" t="str" cm="1">
        <f t="array" ref="G18">IF(INDEX('3. Plano_Detalhado'!$A$10:$H$197,MATCH(1,($E18='3. Plano_Detalhado'!$E$10:$E$197)*($F18='3. Plano_Detalhado'!$F$10:$F$197)*($C18='3. Plano_Detalhado'!$A$10:$A$197),0),7)="","",INDEX('3. Plano_Detalhado'!$A$10:$H$197,MATCH(1,($E18='3. Plano_Detalhado'!$E$10:$E$197)*($F18='3. Plano_Detalhado'!$F$10:$F$197)*($C18='3. Plano_Detalhado'!$A$10:$A$197),0),7))</f>
        <v>2. Concluído</v>
      </c>
      <c r="H18" s="28" t="str" cm="1">
        <f t="array" ref="H18">IF(INDEX('3. Plano_Detalhado'!$A$10:$H$197,MATCH(1,($E18='3. Plano_Detalhado'!$E$10:$E$197)*($F18='3. Plano_Detalhado'!$F$10:$F$197)*($C18='3. Plano_Detalhado'!$A$10:$A$197),0),8)="","",INDEX('3. Plano_Detalhado'!$A$10:$H$197,MATCH(1,($E18='3. Plano_Detalhado'!$E$10:$E$197)*($F18='3. Plano_Detalhado'!$F$10:$F$197)*($C18='3. Plano_Detalhado'!$A$10:$A$197),0),8))</f>
        <v>3. Em Análise</v>
      </c>
      <c r="I18" s="26" t="str" cm="1">
        <f t="array" ref="I18">IF(INDEX('3. Plano_Detalhado'!$A$10:$Q$196,MATCH(1,($E18='3. Plano_Detalhado'!$E$10:$E$196)*($F18='3. Plano_Detalhado'!$F$10:$F$196)*($C18='3. Plano_Detalhado'!$A$10:$A$196),0),17)="","",INDEX('3. Plano_Detalhado'!$A$10:$Q$196,MATCH(1,($E18='3. Plano_Detalhado'!$E$10:$E$196)*($F18='3. Plano_Detalhado'!$F$10:$F$196)*($C18='3. Plano_Detalhado'!$A$10:$A$196),0),17))</f>
        <v/>
      </c>
      <c r="J18" s="29"/>
      <c r="K18" s="29"/>
      <c r="L18" s="29"/>
      <c r="M18" s="39"/>
      <c r="N18" s="39"/>
    </row>
    <row r="19" spans="1:14" ht="16.399999999999999" hidden="1" customHeight="1">
      <c r="A19" s="2" t="str">
        <f t="shared" si="0"/>
        <v>lt002_instrumentCOD_SOC_DSTNTN</v>
      </c>
      <c r="B19" s="48" t="s">
        <v>35</v>
      </c>
      <c r="C19" s="49" t="s">
        <v>119</v>
      </c>
      <c r="D19" s="26" t="str" cm="1">
        <f t="array" ref="D19">INDEX('3. Plano_Detalhado'!$A$10:$H$197,MATCH(1,($E19='3. Plano_Detalhado'!$E$10:$E$197)*($F19='3. Plano_Detalhado'!$F$10:$F$197)*($C19='3. Plano_Detalhado'!$A$10:$A$197),0),4)</f>
        <v>2. Campo</v>
      </c>
      <c r="E19" s="27" t="s">
        <v>29</v>
      </c>
      <c r="F19" s="26" t="s">
        <v>88</v>
      </c>
      <c r="G19" s="28" t="str" cm="1">
        <f t="array" ref="G19">IF(INDEX('3. Plano_Detalhado'!$A$10:$H$197,MATCH(1,($E19='3. Plano_Detalhado'!$E$10:$E$197)*($F19='3. Plano_Detalhado'!$F$10:$F$197)*($C19='3. Plano_Detalhado'!$A$10:$A$197),0),7)="","",INDEX('3. Plano_Detalhado'!$A$10:$H$197,MATCH(1,($E19='3. Plano_Detalhado'!$E$10:$E$197)*($F19='3. Plano_Detalhado'!$F$10:$F$197)*($C19='3. Plano_Detalhado'!$A$10:$A$197),0),7))</f>
        <v>2. Concluído</v>
      </c>
      <c r="H19" s="28" t="str" cm="1">
        <f t="array" ref="H19">IF(INDEX('3. Plano_Detalhado'!$A$10:$H$197,MATCH(1,($E19='3. Plano_Detalhado'!$E$10:$E$197)*($F19='3. Plano_Detalhado'!$F$10:$F$197)*($C19='3. Plano_Detalhado'!$A$10:$A$197),0),8)="","",INDEX('3. Plano_Detalhado'!$A$10:$H$197,MATCH(1,($E19='3. Plano_Detalhado'!$E$10:$E$197)*($F19='3. Plano_Detalhado'!$F$10:$F$197)*($C19='3. Plano_Detalhado'!$A$10:$A$197),0),8))</f>
        <v>3. Em Análise</v>
      </c>
      <c r="I19" s="26" t="str" cm="1">
        <f t="array" ref="I19">IF(INDEX('3. Plano_Detalhado'!$A$10:$Q$196,MATCH(1,($E19='3. Plano_Detalhado'!$E$10:$E$196)*($F19='3. Plano_Detalhado'!$F$10:$F$196)*($C19='3. Plano_Detalhado'!$A$10:$A$196),0),17)="","",INDEX('3. Plano_Detalhado'!$A$10:$Q$196,MATCH(1,($E19='3. Plano_Detalhado'!$E$10:$E$196)*($F19='3. Plano_Detalhado'!$F$10:$F$196)*($C19='3. Plano_Detalhado'!$A$10:$A$196),0),17))</f>
        <v/>
      </c>
      <c r="J19" s="29"/>
      <c r="K19" s="29"/>
      <c r="L19" s="29"/>
      <c r="M19" s="39"/>
      <c r="N19" s="39"/>
    </row>
    <row r="20" spans="1:14" ht="16.399999999999999" hidden="1" customHeight="1">
      <c r="A20" s="2" t="str">
        <f t="shared" si="0"/>
        <v>lt002_instrumentBSNSS_AREA_DSTNTN</v>
      </c>
      <c r="B20" s="48" t="s">
        <v>35</v>
      </c>
      <c r="C20" s="49" t="s">
        <v>119</v>
      </c>
      <c r="D20" s="26" t="str" cm="1">
        <f t="array" ref="D20">INDEX('3. Plano_Detalhado'!$A$10:$H$197,MATCH(1,($E20='3. Plano_Detalhado'!$E$10:$E$197)*($F20='3. Plano_Detalhado'!$F$10:$F$197)*($C20='3. Plano_Detalhado'!$A$10:$A$197),0),4)</f>
        <v>2. Campo</v>
      </c>
      <c r="E20" s="27" t="s">
        <v>29</v>
      </c>
      <c r="F20" s="26" t="s">
        <v>89</v>
      </c>
      <c r="G20" s="28" t="str" cm="1">
        <f t="array" ref="G20">IF(INDEX('3. Plano_Detalhado'!$A$10:$H$197,MATCH(1,($E20='3. Plano_Detalhado'!$E$10:$E$197)*($F20='3. Plano_Detalhado'!$F$10:$F$197)*($C20='3. Plano_Detalhado'!$A$10:$A$197),0),7)="","",INDEX('3. Plano_Detalhado'!$A$10:$H$197,MATCH(1,($E20='3. Plano_Detalhado'!$E$10:$E$197)*($F20='3. Plano_Detalhado'!$F$10:$F$197)*($C20='3. Plano_Detalhado'!$A$10:$A$197),0),7))</f>
        <v>2. Concluído</v>
      </c>
      <c r="H20" s="28" t="str" cm="1">
        <f t="array" ref="H20">IF(INDEX('3. Plano_Detalhado'!$A$10:$H$197,MATCH(1,($E20='3. Plano_Detalhado'!$E$10:$E$197)*($F20='3. Plano_Detalhado'!$F$10:$F$197)*($C20='3. Plano_Detalhado'!$A$10:$A$197),0),8)="","",INDEX('3. Plano_Detalhado'!$A$10:$H$197,MATCH(1,($E20='3. Plano_Detalhado'!$E$10:$E$197)*($F20='3. Plano_Detalhado'!$F$10:$F$197)*($C20='3. Plano_Detalhado'!$A$10:$A$197),0),8))</f>
        <v>2. Concluído</v>
      </c>
      <c r="I20" s="26" t="str" cm="1">
        <f t="array" ref="I20">IF(INDEX('3. Plano_Detalhado'!$A$10:$Q$196,MATCH(1,($E20='3. Plano_Detalhado'!$E$10:$E$196)*($F20='3. Plano_Detalhado'!$F$10:$F$196)*($C20='3. Plano_Detalhado'!$A$10:$A$196),0),17)="","",INDEX('3. Plano_Detalhado'!$A$10:$Q$196,MATCH(1,($E20='3. Plano_Detalhado'!$E$10:$E$196)*($F20='3. Plano_Detalhado'!$F$10:$F$196)*($C20='3. Plano_Detalhado'!$A$10:$A$196),0),17))</f>
        <v/>
      </c>
      <c r="J20" s="29"/>
      <c r="K20" s="29"/>
      <c r="L20" s="29"/>
      <c r="M20" s="39"/>
      <c r="N20" s="39"/>
    </row>
    <row r="21" spans="1:14" ht="16.399999999999999" hidden="1" customHeight="1">
      <c r="A21" s="2" t="str">
        <f t="shared" si="0"/>
        <v>lt002_instrumentAVRG_BLNC_OFF_BLNC</v>
      </c>
      <c r="B21" s="48" t="s">
        <v>35</v>
      </c>
      <c r="C21" s="49" t="s">
        <v>119</v>
      </c>
      <c r="D21" s="26" t="str" cm="1">
        <f t="array" ref="D21">INDEX('3. Plano_Detalhado'!$A$10:$H$197,MATCH(1,($E21='3. Plano_Detalhado'!$E$10:$E$197)*($F21='3. Plano_Detalhado'!$F$10:$F$197)*($C21='3. Plano_Detalhado'!$A$10:$A$197),0),4)</f>
        <v>2. Campo</v>
      </c>
      <c r="E21" s="27" t="s">
        <v>29</v>
      </c>
      <c r="F21" s="26" t="s">
        <v>90</v>
      </c>
      <c r="G21" s="28" t="str" cm="1">
        <f t="array" ref="G21">IF(INDEX('3. Plano_Detalhado'!$A$10:$H$197,MATCH(1,($E21='3. Plano_Detalhado'!$E$10:$E$197)*($F21='3. Plano_Detalhado'!$F$10:$F$197)*($C21='3. Plano_Detalhado'!$A$10:$A$197),0),7)="","",INDEX('3. Plano_Detalhado'!$A$10:$H$197,MATCH(1,($E21='3. Plano_Detalhado'!$E$10:$E$197)*($F21='3. Plano_Detalhado'!$F$10:$F$197)*($C21='3. Plano_Detalhado'!$A$10:$A$197),0),7))</f>
        <v>2. Concluído</v>
      </c>
      <c r="H21" s="28" t="str" cm="1">
        <f t="array" ref="H21">IF(INDEX('3. Plano_Detalhado'!$A$10:$H$197,MATCH(1,($E21='3. Plano_Detalhado'!$E$10:$E$197)*($F21='3. Plano_Detalhado'!$F$10:$F$197)*($C21='3. Plano_Detalhado'!$A$10:$A$197),0),8)="","",INDEX('3. Plano_Detalhado'!$A$10:$H$197,MATCH(1,($E21='3. Plano_Detalhado'!$E$10:$E$197)*($F21='3. Plano_Detalhado'!$F$10:$F$197)*($C21='3. Plano_Detalhado'!$A$10:$A$197),0),8))</f>
        <v>2. Concluído</v>
      </c>
      <c r="I21" s="26" t="str" cm="1">
        <f t="array" ref="I21">IF(INDEX('3. Plano_Detalhado'!$A$10:$Q$196,MATCH(1,($E21='3. Plano_Detalhado'!$E$10:$E$196)*($F21='3. Plano_Detalhado'!$F$10:$F$196)*($C21='3. Plano_Detalhado'!$A$10:$A$196),0),17)="","",INDEX('3. Plano_Detalhado'!$A$10:$Q$196,MATCH(1,($E21='3. Plano_Detalhado'!$E$10:$E$196)*($F21='3. Plano_Detalhado'!$F$10:$F$196)*($C21='3. Plano_Detalhado'!$A$10:$A$196),0),17))</f>
        <v/>
      </c>
      <c r="J21" s="29"/>
      <c r="K21" s="29"/>
      <c r="L21" s="29"/>
      <c r="M21" s="39"/>
      <c r="N21" s="39"/>
    </row>
    <row r="22" spans="1:14" ht="16.399999999999999" hidden="1" customHeight="1">
      <c r="A22" s="2" t="str">
        <f t="shared" si="0"/>
        <v>lt002_instrumentINTRNL_TRNSFR_RT_OFF_BLNC</v>
      </c>
      <c r="B22" s="48" t="s">
        <v>35</v>
      </c>
      <c r="C22" s="49" t="s">
        <v>119</v>
      </c>
      <c r="D22" s="26" t="str" cm="1">
        <f t="array" ref="D22">INDEX('3. Plano_Detalhado'!$A$10:$H$197,MATCH(1,($E22='3. Plano_Detalhado'!$E$10:$E$197)*($F22='3. Plano_Detalhado'!$F$10:$F$197)*($C22='3. Plano_Detalhado'!$A$10:$A$197),0),4)</f>
        <v>2. Campo</v>
      </c>
      <c r="E22" s="27" t="s">
        <v>29</v>
      </c>
      <c r="F22" s="26" t="s">
        <v>91</v>
      </c>
      <c r="G22" s="28" t="str" cm="1">
        <f t="array" ref="G22">IF(INDEX('3. Plano_Detalhado'!$A$10:$H$197,MATCH(1,($E22='3. Plano_Detalhado'!$E$10:$E$197)*($F22='3. Plano_Detalhado'!$F$10:$F$197)*($C22='3. Plano_Detalhado'!$A$10:$A$197),0),7)="","",INDEX('3. Plano_Detalhado'!$A$10:$H$197,MATCH(1,($E22='3. Plano_Detalhado'!$E$10:$E$197)*($F22='3. Plano_Detalhado'!$F$10:$F$197)*($C22='3. Plano_Detalhado'!$A$10:$A$197),0),7))</f>
        <v>2. Concluído</v>
      </c>
      <c r="H22" s="28" t="str" cm="1">
        <f t="array" ref="H22">IF(INDEX('3. Plano_Detalhado'!$A$10:$H$197,MATCH(1,($E22='3. Plano_Detalhado'!$E$10:$E$197)*($F22='3. Plano_Detalhado'!$F$10:$F$197)*($C22='3. Plano_Detalhado'!$A$10:$A$197),0),8)="","",INDEX('3. Plano_Detalhado'!$A$10:$H$197,MATCH(1,($E22='3. Plano_Detalhado'!$E$10:$E$197)*($F22='3. Plano_Detalhado'!$F$10:$F$197)*($C22='3. Plano_Detalhado'!$A$10:$A$197),0),8))</f>
        <v>2. Concluído</v>
      </c>
      <c r="I22" s="26" t="str" cm="1">
        <f t="array" ref="I22">IF(INDEX('3. Plano_Detalhado'!$A$10:$Q$196,MATCH(1,($E22='3. Plano_Detalhado'!$E$10:$E$196)*($F22='3. Plano_Detalhado'!$F$10:$F$196)*($C22='3. Plano_Detalhado'!$A$10:$A$196),0),17)="","",INDEX('3. Plano_Detalhado'!$A$10:$Q$196,MATCH(1,($E22='3. Plano_Detalhado'!$E$10:$E$196)*($F22='3. Plano_Detalhado'!$F$10:$F$196)*($C22='3. Plano_Detalhado'!$A$10:$A$196),0),17))</f>
        <v/>
      </c>
      <c r="J22" s="29"/>
      <c r="K22" s="29"/>
      <c r="L22" s="29"/>
      <c r="M22" s="39"/>
      <c r="N22" s="39"/>
    </row>
    <row r="23" spans="1:14" ht="16.399999999999999" hidden="1" customHeight="1">
      <c r="A23" s="2" t="str">
        <f t="shared" si="0"/>
        <v>lt002_instrumentGRSS_CMMSSN_INCM_OFF_BLNC</v>
      </c>
      <c r="B23" s="48" t="s">
        <v>35</v>
      </c>
      <c r="C23" s="49" t="s">
        <v>119</v>
      </c>
      <c r="D23" s="26" t="str" cm="1">
        <f t="array" ref="D23">INDEX('3. Plano_Detalhado'!$A$10:$H$197,MATCH(1,($E23='3. Plano_Detalhado'!$E$10:$E$197)*($F23='3. Plano_Detalhado'!$F$10:$F$197)*($C23='3. Plano_Detalhado'!$A$10:$A$197),0),4)</f>
        <v>2. Campo</v>
      </c>
      <c r="E23" s="27" t="s">
        <v>29</v>
      </c>
      <c r="F23" s="26" t="s">
        <v>92</v>
      </c>
      <c r="G23" s="28" t="str" cm="1">
        <f t="array" ref="G23">IF(INDEX('3. Plano_Detalhado'!$A$10:$H$197,MATCH(1,($E23='3. Plano_Detalhado'!$E$10:$E$197)*($F23='3. Plano_Detalhado'!$F$10:$F$197)*($C23='3. Plano_Detalhado'!$A$10:$A$197),0),7)="","",INDEX('3. Plano_Detalhado'!$A$10:$H$197,MATCH(1,($E23='3. Plano_Detalhado'!$E$10:$E$197)*($F23='3. Plano_Detalhado'!$F$10:$F$197)*($C23='3. Plano_Detalhado'!$A$10:$A$197),0),7))</f>
        <v>2. Concluído</v>
      </c>
      <c r="H23" s="28" t="str" cm="1">
        <f t="array" ref="H23">IF(INDEX('3. Plano_Detalhado'!$A$10:$H$197,MATCH(1,($E23='3. Plano_Detalhado'!$E$10:$E$197)*($F23='3. Plano_Detalhado'!$F$10:$F$197)*($C23='3. Plano_Detalhado'!$A$10:$A$197),0),8)="","",INDEX('3. Plano_Detalhado'!$A$10:$H$197,MATCH(1,($E23='3. Plano_Detalhado'!$E$10:$E$197)*($F23='3. Plano_Detalhado'!$F$10:$F$197)*($C23='3. Plano_Detalhado'!$A$10:$A$197),0),8))</f>
        <v>2. Concluído</v>
      </c>
      <c r="I23" s="26" t="str" cm="1">
        <f t="array" ref="I23">IF(INDEX('3. Plano_Detalhado'!$A$10:$Q$196,MATCH(1,($E23='3. Plano_Detalhado'!$E$10:$E$196)*($F23='3. Plano_Detalhado'!$F$10:$F$196)*($C23='3. Plano_Detalhado'!$A$10:$A$196),0),17)="","",INDEX('3. Plano_Detalhado'!$A$10:$Q$196,MATCH(1,($E23='3. Plano_Detalhado'!$E$10:$E$196)*($F23='3. Plano_Detalhado'!$F$10:$F$196)*($C23='3. Plano_Detalhado'!$A$10:$A$196),0),17))</f>
        <v/>
      </c>
      <c r="J23" s="29"/>
      <c r="K23" s="29"/>
      <c r="L23" s="29"/>
      <c r="M23" s="39"/>
      <c r="N23" s="39"/>
    </row>
    <row r="24" spans="1:14" ht="16.399999999999999" hidden="1" customHeight="1">
      <c r="A24" s="2" t="str">
        <f t="shared" si="0"/>
        <v>lt002_instrumentGRSS_CMMSSN_EXPNS_OFF_BLNC</v>
      </c>
      <c r="B24" s="48" t="s">
        <v>35</v>
      </c>
      <c r="C24" s="49" t="s">
        <v>119</v>
      </c>
      <c r="D24" s="26" t="str" cm="1">
        <f t="array" ref="D24">INDEX('3. Plano_Detalhado'!$A$10:$H$197,MATCH(1,($E24='3. Plano_Detalhado'!$E$10:$E$197)*($F24='3. Plano_Detalhado'!$F$10:$F$197)*($C24='3. Plano_Detalhado'!$A$10:$A$197),0),4)</f>
        <v>2. Campo</v>
      </c>
      <c r="E24" s="27" t="s">
        <v>29</v>
      </c>
      <c r="F24" s="26" t="s">
        <v>93</v>
      </c>
      <c r="G24" s="28" t="str" cm="1">
        <f t="array" ref="G24">IF(INDEX('3. Plano_Detalhado'!$A$10:$H$197,MATCH(1,($E24='3. Plano_Detalhado'!$E$10:$E$197)*($F24='3. Plano_Detalhado'!$F$10:$F$197)*($C24='3. Plano_Detalhado'!$A$10:$A$197),0),7)="","",INDEX('3. Plano_Detalhado'!$A$10:$H$197,MATCH(1,($E24='3. Plano_Detalhado'!$E$10:$E$197)*($F24='3. Plano_Detalhado'!$F$10:$F$197)*($C24='3. Plano_Detalhado'!$A$10:$A$197),0),7))</f>
        <v>2. Concluído</v>
      </c>
      <c r="H24" s="28" t="str" cm="1">
        <f t="array" ref="H24">IF(INDEX('3. Plano_Detalhado'!$A$10:$H$197,MATCH(1,($E24='3. Plano_Detalhado'!$E$10:$E$197)*($F24='3. Plano_Detalhado'!$F$10:$F$197)*($C24='3. Plano_Detalhado'!$A$10:$A$197),0),8)="","",INDEX('3. Plano_Detalhado'!$A$10:$H$197,MATCH(1,($E24='3. Plano_Detalhado'!$E$10:$E$197)*($F24='3. Plano_Detalhado'!$F$10:$F$197)*($C24='3. Plano_Detalhado'!$A$10:$A$197),0),8))</f>
        <v>2. Concluído</v>
      </c>
      <c r="I24" s="26" t="str" cm="1">
        <f t="array" ref="I24">IF(INDEX('3. Plano_Detalhado'!$A$10:$Q$196,MATCH(1,($E24='3. Plano_Detalhado'!$E$10:$E$196)*($F24='3. Plano_Detalhado'!$F$10:$F$196)*($C24='3. Plano_Detalhado'!$A$10:$A$196),0),17)="","",INDEX('3. Plano_Detalhado'!$A$10:$Q$196,MATCH(1,($E24='3. Plano_Detalhado'!$E$10:$E$196)*($F24='3. Plano_Detalhado'!$F$10:$F$196)*($C24='3. Plano_Detalhado'!$A$10:$A$196),0),17))</f>
        <v/>
      </c>
      <c r="J24" s="29"/>
      <c r="K24" s="29"/>
      <c r="L24" s="29"/>
      <c r="M24" s="39"/>
      <c r="N24" s="39"/>
    </row>
    <row r="25" spans="1:14" ht="16.399999999999999" hidden="1" customHeight="1">
      <c r="A25" s="2" t="str">
        <f t="shared" si="0"/>
        <v>lt002_instrumentRWA_OFF_BLNC</v>
      </c>
      <c r="B25" s="48" t="s">
        <v>35</v>
      </c>
      <c r="C25" s="49" t="s">
        <v>119</v>
      </c>
      <c r="D25" s="26" t="str" cm="1">
        <f t="array" ref="D25">INDEX('3. Plano_Detalhado'!$A$10:$H$197,MATCH(1,($E25='3. Plano_Detalhado'!$E$10:$E$197)*($F25='3. Plano_Detalhado'!$F$10:$F$197)*($C25='3. Plano_Detalhado'!$A$10:$A$197),0),4)</f>
        <v>2. Campo</v>
      </c>
      <c r="E25" s="27" t="s">
        <v>29</v>
      </c>
      <c r="F25" s="26" t="s">
        <v>94</v>
      </c>
      <c r="G25" s="28" t="str" cm="1">
        <f t="array" ref="G25">IF(INDEX('3. Plano_Detalhado'!$A$10:$H$197,MATCH(1,($E25='3. Plano_Detalhado'!$E$10:$E$197)*($F25='3. Plano_Detalhado'!$F$10:$F$197)*($C25='3. Plano_Detalhado'!$A$10:$A$197),0),7)="","",INDEX('3. Plano_Detalhado'!$A$10:$H$197,MATCH(1,($E25='3. Plano_Detalhado'!$E$10:$E$197)*($F25='3. Plano_Detalhado'!$F$10:$F$197)*($C25='3. Plano_Detalhado'!$A$10:$A$197),0),7))</f>
        <v>2. Concluído</v>
      </c>
      <c r="H25" s="28" t="str" cm="1">
        <f t="array" ref="H25">IF(INDEX('3. Plano_Detalhado'!$A$10:$H$197,MATCH(1,($E25='3. Plano_Detalhado'!$E$10:$E$197)*($F25='3. Plano_Detalhado'!$F$10:$F$197)*($C25='3. Plano_Detalhado'!$A$10:$A$197),0),8)="","",INDEX('3. Plano_Detalhado'!$A$10:$H$197,MATCH(1,($E25='3. Plano_Detalhado'!$E$10:$E$197)*($F25='3. Plano_Detalhado'!$F$10:$F$197)*($C25='3. Plano_Detalhado'!$A$10:$A$197),0),8))</f>
        <v>2. Concluído</v>
      </c>
      <c r="I25" s="26" t="str" cm="1">
        <f t="array" ref="I25">IF(INDEX('3. Plano_Detalhado'!$A$10:$Q$196,MATCH(1,($E25='3. Plano_Detalhado'!$E$10:$E$196)*($F25='3. Plano_Detalhado'!$F$10:$F$196)*($C25='3. Plano_Detalhado'!$A$10:$A$196),0),17)="","",INDEX('3. Plano_Detalhado'!$A$10:$Q$196,MATCH(1,($E25='3. Plano_Detalhado'!$E$10:$E$196)*($F25='3. Plano_Detalhado'!$F$10:$F$196)*($C25='3. Plano_Detalhado'!$A$10:$A$196),0),17))</f>
        <v/>
      </c>
      <c r="J25" s="29"/>
      <c r="K25" s="29"/>
      <c r="L25" s="29"/>
      <c r="M25" s="39"/>
      <c r="N25" s="39"/>
    </row>
    <row r="26" spans="1:14" ht="16.399999999999999" hidden="1" customHeight="1">
      <c r="A26" s="2" t="str">
        <f t="shared" si="0"/>
        <v>lt002_instrumentGRSS_INTRST_EXPNS</v>
      </c>
      <c r="B26" s="48" t="s">
        <v>35</v>
      </c>
      <c r="C26" s="49" t="s">
        <v>119</v>
      </c>
      <c r="D26" s="26" t="str" cm="1">
        <f t="array" ref="D26">INDEX('3. Plano_Detalhado'!$A$10:$H$197,MATCH(1,($E26='3. Plano_Detalhado'!$E$10:$E$197)*($F26='3. Plano_Detalhado'!$F$10:$F$197)*($C26='3. Plano_Detalhado'!$A$10:$A$197),0),4)</f>
        <v>2. Campo</v>
      </c>
      <c r="E26" s="27" t="s">
        <v>29</v>
      </c>
      <c r="F26" s="26" t="s">
        <v>95</v>
      </c>
      <c r="G26" s="28" t="str" cm="1">
        <f t="array" ref="G26">IF(INDEX('3. Plano_Detalhado'!$A$10:$H$197,MATCH(1,($E26='3. Plano_Detalhado'!$E$10:$E$197)*($F26='3. Plano_Detalhado'!$F$10:$F$197)*($C26='3. Plano_Detalhado'!$A$10:$A$197),0),7)="","",INDEX('3. Plano_Detalhado'!$A$10:$H$197,MATCH(1,($E26='3. Plano_Detalhado'!$E$10:$E$197)*($F26='3. Plano_Detalhado'!$F$10:$F$197)*($C26='3. Plano_Detalhado'!$A$10:$A$197),0),7))</f>
        <v>2. Concluído</v>
      </c>
      <c r="H26" s="28" t="str" cm="1">
        <f t="array" ref="H26">IF(INDEX('3. Plano_Detalhado'!$A$10:$H$197,MATCH(1,($E26='3. Plano_Detalhado'!$E$10:$E$197)*($F26='3. Plano_Detalhado'!$F$10:$F$197)*($C26='3. Plano_Detalhado'!$A$10:$A$197),0),8)="","",INDEX('3. Plano_Detalhado'!$A$10:$H$197,MATCH(1,($E26='3. Plano_Detalhado'!$E$10:$E$197)*($F26='3. Plano_Detalhado'!$F$10:$F$197)*($C26='3. Plano_Detalhado'!$A$10:$A$197),0),8))</f>
        <v>2. Concluído</v>
      </c>
      <c r="I26" s="26" t="str" cm="1">
        <f t="array" ref="I26">IF(INDEX('3. Plano_Detalhado'!$A$10:$Q$196,MATCH(1,($E26='3. Plano_Detalhado'!$E$10:$E$196)*($F26='3. Plano_Detalhado'!$F$10:$F$196)*($C26='3. Plano_Detalhado'!$A$10:$A$196),0),17)="","",INDEX('3. Plano_Detalhado'!$A$10:$Q$196,MATCH(1,($E26='3. Plano_Detalhado'!$E$10:$E$196)*($F26='3. Plano_Detalhado'!$F$10:$F$196)*($C26='3. Plano_Detalhado'!$A$10:$A$196),0),17))</f>
        <v/>
      </c>
      <c r="J26" s="29"/>
      <c r="K26" s="29"/>
      <c r="L26" s="29"/>
      <c r="M26" s="39"/>
      <c r="N26" s="39"/>
    </row>
    <row r="27" spans="1:14" ht="16.399999999999999" hidden="1" customHeight="1">
      <c r="A27" s="2" t="str">
        <f t="shared" si="0"/>
        <v>lt002_instrumentNT_LN_LSS_PRVSN_OFF_BLNC</v>
      </c>
      <c r="B27" s="48" t="s">
        <v>35</v>
      </c>
      <c r="C27" s="49" t="s">
        <v>119</v>
      </c>
      <c r="D27" s="26" t="str" cm="1">
        <f t="array" ref="D27">INDEX('3. Plano_Detalhado'!$A$10:$H$197,MATCH(1,($E27='3. Plano_Detalhado'!$E$10:$E$197)*($F27='3. Plano_Detalhado'!$F$10:$F$197)*($C27='3. Plano_Detalhado'!$A$10:$A$197),0),4)</f>
        <v>2. Campo</v>
      </c>
      <c r="E27" s="27" t="s">
        <v>29</v>
      </c>
      <c r="F27" s="26" t="s">
        <v>96</v>
      </c>
      <c r="G27" s="28" t="str" cm="1">
        <f t="array" ref="G27">IF(INDEX('3. Plano_Detalhado'!$A$10:$H$197,MATCH(1,($E27='3. Plano_Detalhado'!$E$10:$E$197)*($F27='3. Plano_Detalhado'!$F$10:$F$197)*($C27='3. Plano_Detalhado'!$A$10:$A$197),0),7)="","",INDEX('3. Plano_Detalhado'!$A$10:$H$197,MATCH(1,($E27='3. Plano_Detalhado'!$E$10:$E$197)*($F27='3. Plano_Detalhado'!$F$10:$F$197)*($C27='3. Plano_Detalhado'!$A$10:$A$197),0),7))</f>
        <v>2. Concluído</v>
      </c>
      <c r="H27" s="28" t="str" cm="1">
        <f t="array" ref="H27">IF(INDEX('3. Plano_Detalhado'!$A$10:$H$197,MATCH(1,($E27='3. Plano_Detalhado'!$E$10:$E$197)*($F27='3. Plano_Detalhado'!$F$10:$F$197)*($C27='3. Plano_Detalhado'!$A$10:$A$197),0),8)="","",INDEX('3. Plano_Detalhado'!$A$10:$H$197,MATCH(1,($E27='3. Plano_Detalhado'!$E$10:$E$197)*($F27='3. Plano_Detalhado'!$F$10:$F$197)*($C27='3. Plano_Detalhado'!$A$10:$A$197),0),8))</f>
        <v>2. Concluído</v>
      </c>
      <c r="I27" s="26" t="str" cm="1">
        <f t="array" ref="I27">IF(INDEX('3. Plano_Detalhado'!$A$10:$Q$196,MATCH(1,($E27='3. Plano_Detalhado'!$E$10:$E$196)*($F27='3. Plano_Detalhado'!$F$10:$F$196)*($C27='3. Plano_Detalhado'!$A$10:$A$196),0),17)="","",INDEX('3. Plano_Detalhado'!$A$10:$Q$196,MATCH(1,($E27='3. Plano_Detalhado'!$E$10:$E$196)*($F27='3. Plano_Detalhado'!$F$10:$F$196)*($C27='3. Plano_Detalhado'!$A$10:$A$196),0),17))</f>
        <v/>
      </c>
      <c r="J27" s="29"/>
      <c r="K27" s="29"/>
      <c r="L27" s="29"/>
      <c r="M27" s="39"/>
      <c r="N27" s="39"/>
    </row>
    <row r="28" spans="1:14" ht="16.399999999999999" hidden="1" customHeight="1">
      <c r="A28" s="2" t="str">
        <f t="shared" si="0"/>
        <v>lt002_instrumentGRSS_INTRST_INCM_CCRR</v>
      </c>
      <c r="B28" s="48" t="s">
        <v>35</v>
      </c>
      <c r="C28" s="49" t="s">
        <v>119</v>
      </c>
      <c r="D28" s="26" t="str" cm="1">
        <f t="array" ref="D28">INDEX('3. Plano_Detalhado'!$A$10:$H$197,MATCH(1,($E28='3. Plano_Detalhado'!$E$10:$E$197)*($F28='3. Plano_Detalhado'!$F$10:$F$197)*($C28='3. Plano_Detalhado'!$A$10:$A$197),0),4)</f>
        <v>2. Campo</v>
      </c>
      <c r="E28" s="27" t="s">
        <v>29</v>
      </c>
      <c r="F28" s="26" t="s">
        <v>97</v>
      </c>
      <c r="G28" s="28" t="str" cm="1">
        <f t="array" ref="G28">IF(INDEX('3. Plano_Detalhado'!$A$10:$H$197,MATCH(1,($E28='3. Plano_Detalhado'!$E$10:$E$197)*($F28='3. Plano_Detalhado'!$F$10:$F$197)*($C28='3. Plano_Detalhado'!$A$10:$A$197),0),7)="","",INDEX('3. Plano_Detalhado'!$A$10:$H$197,MATCH(1,($E28='3. Plano_Detalhado'!$E$10:$E$197)*($F28='3. Plano_Detalhado'!$F$10:$F$197)*($C28='3. Plano_Detalhado'!$A$10:$A$197),0),7))</f>
        <v>2. Concluído</v>
      </c>
      <c r="H28" s="28" t="str" cm="1">
        <f t="array" ref="H28">IF(INDEX('3. Plano_Detalhado'!$A$10:$H$197,MATCH(1,($E28='3. Plano_Detalhado'!$E$10:$E$197)*($F28='3. Plano_Detalhado'!$F$10:$F$197)*($C28='3. Plano_Detalhado'!$A$10:$A$197),0),8)="","",INDEX('3. Plano_Detalhado'!$A$10:$H$197,MATCH(1,($E28='3. Plano_Detalhado'!$E$10:$E$197)*($F28='3. Plano_Detalhado'!$F$10:$F$197)*($C28='3. Plano_Detalhado'!$A$10:$A$197),0),8))</f>
        <v>2. Concluído</v>
      </c>
      <c r="I28" s="26" t="str" cm="1">
        <f t="array" ref="I28">IF(INDEX('3. Plano_Detalhado'!$A$10:$Q$196,MATCH(1,($E28='3. Plano_Detalhado'!$E$10:$E$196)*($F28='3. Plano_Detalhado'!$F$10:$F$196)*($C28='3. Plano_Detalhado'!$A$10:$A$196),0),17)="","",INDEX('3. Plano_Detalhado'!$A$10:$Q$196,MATCH(1,($E28='3. Plano_Detalhado'!$E$10:$E$196)*($F28='3. Plano_Detalhado'!$F$10:$F$196)*($C28='3. Plano_Detalhado'!$A$10:$A$196),0),17))</f>
        <v/>
      </c>
      <c r="J28" s="29"/>
      <c r="K28" s="29"/>
      <c r="L28" s="29"/>
      <c r="M28" s="39"/>
      <c r="N28" s="39"/>
    </row>
    <row r="29" spans="1:14" ht="16.399999999999999" hidden="1" customHeight="1">
      <c r="A29" s="2" t="str">
        <f t="shared" si="0"/>
        <v>lt002_instrumentGRSS_INTRST_EXPNS_CCRR</v>
      </c>
      <c r="B29" s="48" t="s">
        <v>35</v>
      </c>
      <c r="C29" s="49" t="s">
        <v>119</v>
      </c>
      <c r="D29" s="26" t="str" cm="1">
        <f t="array" ref="D29">INDEX('3. Plano_Detalhado'!$A$10:$H$197,MATCH(1,($E29='3. Plano_Detalhado'!$E$10:$E$197)*($F29='3. Plano_Detalhado'!$F$10:$F$197)*($C29='3. Plano_Detalhado'!$A$10:$A$197),0),4)</f>
        <v>2. Campo</v>
      </c>
      <c r="E29" s="27" t="s">
        <v>29</v>
      </c>
      <c r="F29" s="26" t="s">
        <v>98</v>
      </c>
      <c r="G29" s="28" t="str" cm="1">
        <f t="array" ref="G29">IF(INDEX('3. Plano_Detalhado'!$A$10:$H$197,MATCH(1,($E29='3. Plano_Detalhado'!$E$10:$E$197)*($F29='3. Plano_Detalhado'!$F$10:$F$197)*($C29='3. Plano_Detalhado'!$A$10:$A$197),0),7)="","",INDEX('3. Plano_Detalhado'!$A$10:$H$197,MATCH(1,($E29='3. Plano_Detalhado'!$E$10:$E$197)*($F29='3. Plano_Detalhado'!$F$10:$F$197)*($C29='3. Plano_Detalhado'!$A$10:$A$197),0),7))</f>
        <v>2. Concluído</v>
      </c>
      <c r="H29" s="28" t="str" cm="1">
        <f t="array" ref="H29">IF(INDEX('3. Plano_Detalhado'!$A$10:$H$197,MATCH(1,($E29='3. Plano_Detalhado'!$E$10:$E$197)*($F29='3. Plano_Detalhado'!$F$10:$F$197)*($C29='3. Plano_Detalhado'!$A$10:$A$197),0),8)="","",INDEX('3. Plano_Detalhado'!$A$10:$H$197,MATCH(1,($E29='3. Plano_Detalhado'!$E$10:$E$197)*($F29='3. Plano_Detalhado'!$F$10:$F$197)*($C29='3. Plano_Detalhado'!$A$10:$A$197),0),8))</f>
        <v>2. Concluído</v>
      </c>
      <c r="I29" s="26" t="str" cm="1">
        <f t="array" ref="I29">IF(INDEX('3. Plano_Detalhado'!$A$10:$Q$196,MATCH(1,($E29='3. Plano_Detalhado'!$E$10:$E$196)*($F29='3. Plano_Detalhado'!$F$10:$F$196)*($C29='3. Plano_Detalhado'!$A$10:$A$196),0),17)="","",INDEX('3. Plano_Detalhado'!$A$10:$Q$196,MATCH(1,($E29='3. Plano_Detalhado'!$E$10:$E$196)*($F29='3. Plano_Detalhado'!$F$10:$F$196)*($C29='3. Plano_Detalhado'!$A$10:$A$196),0),17))</f>
        <v/>
      </c>
      <c r="J29" s="29"/>
      <c r="K29" s="29"/>
      <c r="L29" s="29"/>
      <c r="M29" s="39"/>
      <c r="N29" s="39"/>
    </row>
    <row r="30" spans="1:14" ht="16.399999999999999" hidden="1" customHeight="1">
      <c r="A30" s="2" t="str">
        <f t="shared" si="0"/>
        <v>lt002_instrumentGRSS_CMMSSN_INCM_CCRR</v>
      </c>
      <c r="B30" s="48" t="s">
        <v>35</v>
      </c>
      <c r="C30" s="49" t="s">
        <v>119</v>
      </c>
      <c r="D30" s="26" t="str" cm="1">
        <f t="array" ref="D30">INDEX('3. Plano_Detalhado'!$A$10:$H$197,MATCH(1,($E30='3. Plano_Detalhado'!$E$10:$E$197)*($F30='3. Plano_Detalhado'!$F$10:$F$197)*($C30='3. Plano_Detalhado'!$A$10:$A$197),0),4)</f>
        <v>2. Campo</v>
      </c>
      <c r="E30" s="27" t="s">
        <v>29</v>
      </c>
      <c r="F30" s="26" t="s">
        <v>99</v>
      </c>
      <c r="G30" s="28" t="str" cm="1">
        <f t="array" ref="G30">IF(INDEX('3. Plano_Detalhado'!$A$10:$H$197,MATCH(1,($E30='3. Plano_Detalhado'!$E$10:$E$197)*($F30='3. Plano_Detalhado'!$F$10:$F$197)*($C30='3. Plano_Detalhado'!$A$10:$A$197),0),7)="","",INDEX('3. Plano_Detalhado'!$A$10:$H$197,MATCH(1,($E30='3. Plano_Detalhado'!$E$10:$E$197)*($F30='3. Plano_Detalhado'!$F$10:$F$197)*($C30='3. Plano_Detalhado'!$A$10:$A$197),0),7))</f>
        <v>2. Concluído</v>
      </c>
      <c r="H30" s="28" t="str" cm="1">
        <f t="array" ref="H30">IF(INDEX('3. Plano_Detalhado'!$A$10:$H$197,MATCH(1,($E30='3. Plano_Detalhado'!$E$10:$E$197)*($F30='3. Plano_Detalhado'!$F$10:$F$197)*($C30='3. Plano_Detalhado'!$A$10:$A$197),0),8)="","",INDEX('3. Plano_Detalhado'!$A$10:$H$197,MATCH(1,($E30='3. Plano_Detalhado'!$E$10:$E$197)*($F30='3. Plano_Detalhado'!$F$10:$F$197)*($C30='3. Plano_Detalhado'!$A$10:$A$197),0),8))</f>
        <v>2. Concluído</v>
      </c>
      <c r="I30" s="26" t="str" cm="1">
        <f t="array" ref="I30">IF(INDEX('3. Plano_Detalhado'!$A$10:$Q$196,MATCH(1,($E30='3. Plano_Detalhado'!$E$10:$E$196)*($F30='3. Plano_Detalhado'!$F$10:$F$196)*($C30='3. Plano_Detalhado'!$A$10:$A$196),0),17)="","",INDEX('3. Plano_Detalhado'!$A$10:$Q$196,MATCH(1,($E30='3. Plano_Detalhado'!$E$10:$E$196)*($F30='3. Plano_Detalhado'!$F$10:$F$196)*($C30='3. Plano_Detalhado'!$A$10:$A$196),0),17))</f>
        <v/>
      </c>
      <c r="J30" s="29"/>
      <c r="K30" s="29"/>
      <c r="L30" s="29"/>
      <c r="M30" s="39"/>
      <c r="N30" s="39"/>
    </row>
    <row r="31" spans="1:14" ht="16.399999999999999" hidden="1" customHeight="1">
      <c r="A31" s="2" t="str">
        <f t="shared" si="0"/>
        <v>lt002_instrumentGRSS_CMMSSN_EXPNS_CCRR</v>
      </c>
      <c r="B31" s="48" t="s">
        <v>35</v>
      </c>
      <c r="C31" s="49" t="s">
        <v>119</v>
      </c>
      <c r="D31" s="26" t="str" cm="1">
        <f t="array" ref="D31">INDEX('3. Plano_Detalhado'!$A$10:$H$197,MATCH(1,($E31='3. Plano_Detalhado'!$E$10:$E$197)*($F31='3. Plano_Detalhado'!$F$10:$F$197)*($C31='3. Plano_Detalhado'!$A$10:$A$197),0),4)</f>
        <v>2. Campo</v>
      </c>
      <c r="E31" s="27" t="s">
        <v>29</v>
      </c>
      <c r="F31" s="26" t="s">
        <v>100</v>
      </c>
      <c r="G31" s="28" t="str" cm="1">
        <f t="array" ref="G31">IF(INDEX('3. Plano_Detalhado'!$A$10:$H$197,MATCH(1,($E31='3. Plano_Detalhado'!$E$10:$E$197)*($F31='3. Plano_Detalhado'!$F$10:$F$197)*($C31='3. Plano_Detalhado'!$A$10:$A$197),0),7)="","",INDEX('3. Plano_Detalhado'!$A$10:$H$197,MATCH(1,($E31='3. Plano_Detalhado'!$E$10:$E$197)*($F31='3. Plano_Detalhado'!$F$10:$F$197)*($C31='3. Plano_Detalhado'!$A$10:$A$197),0),7))</f>
        <v>2. Concluído</v>
      </c>
      <c r="H31" s="28" t="str" cm="1">
        <f t="array" ref="H31">IF(INDEX('3. Plano_Detalhado'!$A$10:$H$197,MATCH(1,($E31='3. Plano_Detalhado'!$E$10:$E$197)*($F31='3. Plano_Detalhado'!$F$10:$F$197)*($C31='3. Plano_Detalhado'!$A$10:$A$197),0),8)="","",INDEX('3. Plano_Detalhado'!$A$10:$H$197,MATCH(1,($E31='3. Plano_Detalhado'!$E$10:$E$197)*($F31='3. Plano_Detalhado'!$F$10:$F$197)*($C31='3. Plano_Detalhado'!$A$10:$A$197),0),8))</f>
        <v>2. Concluído</v>
      </c>
      <c r="I31" s="26" t="str" cm="1">
        <f t="array" ref="I31">IF(INDEX('3. Plano_Detalhado'!$A$10:$Q$196,MATCH(1,($E31='3. Plano_Detalhado'!$E$10:$E$196)*($F31='3. Plano_Detalhado'!$F$10:$F$196)*($C31='3. Plano_Detalhado'!$A$10:$A$196),0),17)="","",INDEX('3. Plano_Detalhado'!$A$10:$Q$196,MATCH(1,($E31='3. Plano_Detalhado'!$E$10:$E$196)*($F31='3. Plano_Detalhado'!$F$10:$F$196)*($C31='3. Plano_Detalhado'!$A$10:$A$196),0),17))</f>
        <v/>
      </c>
      <c r="J31" s="29"/>
      <c r="K31" s="29"/>
      <c r="L31" s="29"/>
      <c r="M31" s="39"/>
      <c r="N31" s="39"/>
    </row>
    <row r="32" spans="1:14" ht="16.399999999999999" hidden="1" customHeight="1">
      <c r="A32" s="2"/>
      <c r="B32" s="48" t="s">
        <v>35</v>
      </c>
      <c r="C32" s="49" t="s">
        <v>119</v>
      </c>
      <c r="D32" s="26" t="str" cm="1">
        <f t="array" ref="D32">INDEX('3. Plano_Detalhado'!$A$10:$H$197,MATCH(1,($E32='3. Plano_Detalhado'!$E$10:$E$197)*($F32='3. Plano_Detalhado'!$F$10:$F$197)*($C32='3. Plano_Detalhado'!$A$10:$A$197),0),4)</f>
        <v>2. Campo</v>
      </c>
      <c r="E32" s="27" t="s">
        <v>29</v>
      </c>
      <c r="F32" s="26" t="s">
        <v>101</v>
      </c>
      <c r="G32" s="28" t="str" cm="1">
        <f t="array" ref="G32">IF(INDEX('3. Plano_Detalhado'!$A$10:$H$197,MATCH(1,($E32='3. Plano_Detalhado'!$E$10:$E$197)*($F32='3. Plano_Detalhado'!$F$10:$F$197)*($C32='3. Plano_Detalhado'!$A$10:$A$197),0),7)="","",INDEX('3. Plano_Detalhado'!$A$10:$H$197,MATCH(1,($E32='3. Plano_Detalhado'!$E$10:$E$197)*($F32='3. Plano_Detalhado'!$F$10:$F$197)*($C32='3. Plano_Detalhado'!$A$10:$A$197),0),7))</f>
        <v>2. Concluído</v>
      </c>
      <c r="H32" s="28" t="str" cm="1">
        <f t="array" ref="H32">IF(INDEX('3. Plano_Detalhado'!$A$10:$H$197,MATCH(1,($E32='3. Plano_Detalhado'!$E$10:$E$197)*($F32='3. Plano_Detalhado'!$F$10:$F$197)*($C32='3. Plano_Detalhado'!$A$10:$A$197),0),8)="","",INDEX('3. Plano_Detalhado'!$A$10:$H$197,MATCH(1,($E32='3. Plano_Detalhado'!$E$10:$E$197)*($F32='3. Plano_Detalhado'!$F$10:$F$197)*($C32='3. Plano_Detalhado'!$A$10:$A$197),0),8))</f>
        <v>2. Concluído</v>
      </c>
      <c r="I32" s="26" t="str" cm="1">
        <f t="array" ref="I32">IF(INDEX('3. Plano_Detalhado'!$A$10:$Q$196,MATCH(1,($E32='3. Plano_Detalhado'!$E$10:$E$196)*($F32='3. Plano_Detalhado'!$F$10:$F$196)*($C32='3. Plano_Detalhado'!$A$10:$A$196),0),17)="","",INDEX('3. Plano_Detalhado'!$A$10:$Q$196,MATCH(1,($E32='3. Plano_Detalhado'!$E$10:$E$196)*($F32='3. Plano_Detalhado'!$F$10:$F$196)*($C32='3. Plano_Detalhado'!$A$10:$A$196),0),17))</f>
        <v/>
      </c>
      <c r="J32" s="29"/>
      <c r="K32" s="29"/>
      <c r="L32" s="29"/>
      <c r="M32" s="29"/>
      <c r="N32" s="29"/>
    </row>
    <row r="33" spans="1:14" ht="16.399999999999999" hidden="1" customHeight="1">
      <c r="A33" s="2"/>
      <c r="B33" s="48" t="s">
        <v>35</v>
      </c>
      <c r="C33" s="49" t="s">
        <v>119</v>
      </c>
      <c r="D33" s="26" t="str" cm="1">
        <f t="array" ref="D33">INDEX('3. Plano_Detalhado'!$A$10:$H$197,MATCH(1,($E33='3. Plano_Detalhado'!$E$10:$E$197)*($F33='3. Plano_Detalhado'!$F$10:$F$197)*($C33='3. Plano_Detalhado'!$A$10:$A$197),0),4)</f>
        <v>2. Campo</v>
      </c>
      <c r="E33" s="27" t="s">
        <v>29</v>
      </c>
      <c r="F33" s="26" t="s">
        <v>63</v>
      </c>
      <c r="G33" s="28" t="str" cm="1">
        <f t="array" ref="G33">IF(INDEX('3. Plano_Detalhado'!$A$10:$H$197,MATCH(1,($E33='3. Plano_Detalhado'!$E$10:$E$197)*($F33='3. Plano_Detalhado'!$F$10:$F$197)*($C33='3. Plano_Detalhado'!$A$10:$A$197),0),7)="","",INDEX('3. Plano_Detalhado'!$A$10:$H$197,MATCH(1,($E33='3. Plano_Detalhado'!$E$10:$E$197)*($F33='3. Plano_Detalhado'!$F$10:$F$197)*($C33='3. Plano_Detalhado'!$A$10:$A$197),0),7))</f>
        <v>2. Concluído</v>
      </c>
      <c r="H33" s="28" t="str" cm="1">
        <f t="array" ref="H33">IF(INDEX('3. Plano_Detalhado'!$A$10:$H$197,MATCH(1,($E33='3. Plano_Detalhado'!$E$10:$E$197)*($F33='3. Plano_Detalhado'!$F$10:$F$197)*($C33='3. Plano_Detalhado'!$A$10:$A$197),0),8)="","",INDEX('3. Plano_Detalhado'!$A$10:$H$197,MATCH(1,($E33='3. Plano_Detalhado'!$E$10:$E$197)*($F33='3. Plano_Detalhado'!$F$10:$F$197)*($C33='3. Plano_Detalhado'!$A$10:$A$197),0),8))</f>
        <v>2. Concluído</v>
      </c>
      <c r="I33" s="26" t="str" cm="1">
        <f t="array" ref="I33">IF(INDEX('3. Plano_Detalhado'!$A$10:$Q$196,MATCH(1,($E33='3. Plano_Detalhado'!$E$10:$E$196)*($F33='3. Plano_Detalhado'!$F$10:$F$196)*($C33='3. Plano_Detalhado'!$A$10:$A$196),0),17)="","",INDEX('3. Plano_Detalhado'!$A$10:$Q$196,MATCH(1,($E33='3. Plano_Detalhado'!$E$10:$E$196)*($F33='3. Plano_Detalhado'!$F$10:$F$196)*($C33='3. Plano_Detalhado'!$A$10:$A$196),0),17))</f>
        <v/>
      </c>
      <c r="J33" s="29"/>
      <c r="K33" s="29"/>
      <c r="L33" s="29"/>
      <c r="M33" s="29"/>
      <c r="N33" s="29"/>
    </row>
    <row r="34" spans="1:14" ht="16.399999999999999" hidden="1" customHeight="1">
      <c r="A34" s="2"/>
      <c r="B34" s="48" t="s">
        <v>35</v>
      </c>
      <c r="C34" s="49" t="s">
        <v>119</v>
      </c>
      <c r="D34" s="26" t="str" cm="1">
        <f t="array" ref="D34">INDEX('3. Plano_Detalhado'!$A$10:$H$197,MATCH(1,($E34='3. Plano_Detalhado'!$E$10:$E$197)*($F34='3. Plano_Detalhado'!$F$10:$F$197)*($C34='3. Plano_Detalhado'!$A$10:$A$197),0),4)</f>
        <v>2. Campo</v>
      </c>
      <c r="E34" s="27" t="s">
        <v>29</v>
      </c>
      <c r="F34" s="26" t="s">
        <v>102</v>
      </c>
      <c r="G34" s="28" t="str" cm="1">
        <f t="array" ref="G34">IF(INDEX('3. Plano_Detalhado'!$A$10:$H$197,MATCH(1,($E34='3. Plano_Detalhado'!$E$10:$E$197)*($F34='3. Plano_Detalhado'!$F$10:$F$197)*($C34='3. Plano_Detalhado'!$A$10:$A$197),0),7)="","",INDEX('3. Plano_Detalhado'!$A$10:$H$197,MATCH(1,($E34='3. Plano_Detalhado'!$E$10:$E$197)*($F34='3. Plano_Detalhado'!$F$10:$F$197)*($C34='3. Plano_Detalhado'!$A$10:$A$197),0),7))</f>
        <v>2. Concluído</v>
      </c>
      <c r="H34" s="28" t="str" cm="1">
        <f t="array" ref="H34">IF(INDEX('3. Plano_Detalhado'!$A$10:$H$197,MATCH(1,($E34='3. Plano_Detalhado'!$E$10:$E$197)*($F34='3. Plano_Detalhado'!$F$10:$F$197)*($C34='3. Plano_Detalhado'!$A$10:$A$197),0),8)="","",INDEX('3. Plano_Detalhado'!$A$10:$H$197,MATCH(1,($E34='3. Plano_Detalhado'!$E$10:$E$197)*($F34='3. Plano_Detalhado'!$F$10:$F$197)*($C34='3. Plano_Detalhado'!$A$10:$A$197),0),8))</f>
        <v>2. Concluído</v>
      </c>
      <c r="I34" s="26" t="str" cm="1">
        <f t="array" ref="I34">IF(INDEX('3. Plano_Detalhado'!$A$10:$Q$196,MATCH(1,($E34='3. Plano_Detalhado'!$E$10:$E$196)*($F34='3. Plano_Detalhado'!$F$10:$F$196)*($C34='3. Plano_Detalhado'!$A$10:$A$196),0),17)="","",INDEX('3. Plano_Detalhado'!$A$10:$Q$196,MATCH(1,($E34='3. Plano_Detalhado'!$E$10:$E$196)*($F34='3. Plano_Detalhado'!$F$10:$F$196)*($C34='3. Plano_Detalhado'!$A$10:$A$196),0),17))</f>
        <v/>
      </c>
      <c r="J34" s="29"/>
      <c r="K34" s="29"/>
      <c r="L34" s="29"/>
      <c r="M34" s="29"/>
      <c r="N34" s="29"/>
    </row>
    <row r="35" spans="1:14" ht="16.399999999999999" hidden="1" customHeight="1">
      <c r="A35" s="2"/>
      <c r="B35" s="48" t="s">
        <v>35</v>
      </c>
      <c r="C35" s="49" t="s">
        <v>119</v>
      </c>
      <c r="D35" s="26" t="str" cm="1">
        <f t="array" ref="D35">INDEX('3. Plano_Detalhado'!$A$10:$H$197,MATCH(1,($E35='3. Plano_Detalhado'!$E$10:$E$197)*($F35='3. Plano_Detalhado'!$F$10:$F$197)*($C35='3. Plano_Detalhado'!$A$10:$A$197),0),4)</f>
        <v>2. Campo</v>
      </c>
      <c r="E35" s="27" t="s">
        <v>29</v>
      </c>
      <c r="F35" s="26" t="s">
        <v>103</v>
      </c>
      <c r="G35" s="28" t="str" cm="1">
        <f t="array" ref="G35">IF(INDEX('3. Plano_Detalhado'!$A$10:$H$197,MATCH(1,($E35='3. Plano_Detalhado'!$E$10:$E$197)*($F35='3. Plano_Detalhado'!$F$10:$F$197)*($C35='3. Plano_Detalhado'!$A$10:$A$197),0),7)="","",INDEX('3. Plano_Detalhado'!$A$10:$H$197,MATCH(1,($E35='3. Plano_Detalhado'!$E$10:$E$197)*($F35='3. Plano_Detalhado'!$F$10:$F$197)*($C35='3. Plano_Detalhado'!$A$10:$A$197),0),7))</f>
        <v>2. Concluído</v>
      </c>
      <c r="H35" s="28" t="str" cm="1">
        <f t="array" ref="H35">IF(INDEX('3. Plano_Detalhado'!$A$10:$H$197,MATCH(1,($E35='3. Plano_Detalhado'!$E$10:$E$197)*($F35='3. Plano_Detalhado'!$F$10:$F$197)*($C35='3. Plano_Detalhado'!$A$10:$A$197),0),8)="","",INDEX('3. Plano_Detalhado'!$A$10:$H$197,MATCH(1,($E35='3. Plano_Detalhado'!$E$10:$E$197)*($F35='3. Plano_Detalhado'!$F$10:$F$197)*($C35='3. Plano_Detalhado'!$A$10:$A$197),0),8))</f>
        <v>2. Concluído</v>
      </c>
      <c r="I35" s="26" t="str" cm="1">
        <f t="array" ref="I35">IF(INDEX('3. Plano_Detalhado'!$A$10:$Q$196,MATCH(1,($E35='3. Plano_Detalhado'!$E$10:$E$196)*($F35='3. Plano_Detalhado'!$F$10:$F$196)*($C35='3. Plano_Detalhado'!$A$10:$A$196),0),17)="","",INDEX('3. Plano_Detalhado'!$A$10:$Q$196,MATCH(1,($E35='3. Plano_Detalhado'!$E$10:$E$196)*($F35='3. Plano_Detalhado'!$F$10:$F$196)*($C35='3. Plano_Detalhado'!$A$10:$A$196),0),17))</f>
        <v/>
      </c>
      <c r="J35" s="29"/>
      <c r="K35" s="29"/>
      <c r="L35" s="29"/>
      <c r="M35" s="29"/>
      <c r="N35" s="29"/>
    </row>
    <row r="36" spans="1:14" ht="16.399999999999999" hidden="1" customHeight="1">
      <c r="A36" s="2"/>
      <c r="B36" s="48" t="s">
        <v>35</v>
      </c>
      <c r="C36" s="49" t="s">
        <v>119</v>
      </c>
      <c r="D36" s="26" t="str" cm="1">
        <f t="array" ref="D36">INDEX('3. Plano_Detalhado'!$A$10:$H$197,MATCH(1,($E36='3. Plano_Detalhado'!$E$10:$E$197)*($F36='3. Plano_Detalhado'!$F$10:$F$197)*($C36='3. Plano_Detalhado'!$A$10:$A$197),0),4)</f>
        <v>2. Campo</v>
      </c>
      <c r="E36" s="27" t="s">
        <v>29</v>
      </c>
      <c r="F36" s="26" t="s">
        <v>65</v>
      </c>
      <c r="G36" s="28" t="str" cm="1">
        <f t="array" ref="G36">IF(INDEX('3. Plano_Detalhado'!$A$10:$H$197,MATCH(1,($E36='3. Plano_Detalhado'!$E$10:$E$197)*($F36='3. Plano_Detalhado'!$F$10:$F$197)*($C36='3. Plano_Detalhado'!$A$10:$A$197),0),7)="","",INDEX('3. Plano_Detalhado'!$A$10:$H$197,MATCH(1,($E36='3. Plano_Detalhado'!$E$10:$E$197)*($F36='3. Plano_Detalhado'!$F$10:$F$197)*($C36='3. Plano_Detalhado'!$A$10:$A$197),0),7))</f>
        <v>0. Cancelado</v>
      </c>
      <c r="H36" s="28" t="str" cm="1">
        <f t="array" ref="H36">IF(INDEX('3. Plano_Detalhado'!$A$10:$H$197,MATCH(1,($E36='3. Plano_Detalhado'!$E$10:$E$197)*($F36='3. Plano_Detalhado'!$F$10:$F$197)*($C36='3. Plano_Detalhado'!$A$10:$A$197),0),8)="","",INDEX('3. Plano_Detalhado'!$A$10:$H$197,MATCH(1,($E36='3. Plano_Detalhado'!$E$10:$E$197)*($F36='3. Plano_Detalhado'!$F$10:$F$197)*($C36='3. Plano_Detalhado'!$A$10:$A$197),0),8))</f>
        <v>0. Cancelado</v>
      </c>
      <c r="I36" s="26" t="str" cm="1">
        <f t="array" ref="I36">IF(INDEX('3. Plano_Detalhado'!$A$10:$Q$196,MATCH(1,($E36='3. Plano_Detalhado'!$E$10:$E$196)*($F36='3. Plano_Detalhado'!$F$10:$F$196)*($C36='3. Plano_Detalhado'!$A$10:$A$196),0),17)="","",INDEX('3. Plano_Detalhado'!$A$10:$Q$196,MATCH(1,($E36='3. Plano_Detalhado'!$E$10:$E$196)*($F36='3. Plano_Detalhado'!$F$10:$F$196)*($C36='3. Plano_Detalhado'!$A$10:$A$196),0),17))</f>
        <v/>
      </c>
      <c r="J36" s="159"/>
      <c r="K36" s="29"/>
      <c r="L36" s="29"/>
      <c r="M36" s="29"/>
      <c r="N36" s="29"/>
    </row>
    <row r="37" spans="1:14" ht="16.399999999999999" hidden="1" customHeight="1">
      <c r="A37" s="2"/>
      <c r="B37" s="48" t="s">
        <v>35</v>
      </c>
      <c r="C37" s="49" t="s">
        <v>119</v>
      </c>
      <c r="D37" s="26" t="str" cm="1">
        <f t="array" ref="D37">INDEX('3. Plano_Detalhado'!$A$10:$H$197,MATCH(1,($E37='3. Plano_Detalhado'!$E$10:$E$197)*($F37='3. Plano_Detalhado'!$F$10:$F$197)*($C37='3. Plano_Detalhado'!$A$10:$A$197),0),4)</f>
        <v>2. Campo</v>
      </c>
      <c r="E37" s="27" t="s">
        <v>269</v>
      </c>
      <c r="F37" s="26" t="s">
        <v>30</v>
      </c>
      <c r="G37" s="28" t="str" cm="1">
        <f t="array" ref="G37">IF(INDEX('3. Plano_Detalhado'!$A$10:$H$197,MATCH(1,($E37='3. Plano_Detalhado'!$E$10:$E$197)*($F37='3. Plano_Detalhado'!$F$10:$F$197)*($C37='3. Plano_Detalhado'!$A$10:$A$197),0),7)="","",INDEX('3. Plano_Detalhado'!$A$10:$H$197,MATCH(1,($E37='3. Plano_Detalhado'!$E$10:$E$197)*($F37='3. Plano_Detalhado'!$F$10:$F$197)*($C37='3. Plano_Detalhado'!$A$10:$A$197),0),7))</f>
        <v>2. Concluído</v>
      </c>
      <c r="H37" s="28" t="str" cm="1">
        <f t="array" ref="H37">IF(INDEX('3. Plano_Detalhado'!$A$10:$H$197,MATCH(1,($E37='3. Plano_Detalhado'!$E$10:$E$197)*($F37='3. Plano_Detalhado'!$F$10:$F$197)*($C37='3. Plano_Detalhado'!$A$10:$A$197),0),8)="","",INDEX('3. Plano_Detalhado'!$A$10:$H$197,MATCH(1,($E37='3. Plano_Detalhado'!$E$10:$E$197)*($F37='3. Plano_Detalhado'!$F$10:$F$197)*($C37='3. Plano_Detalhado'!$A$10:$A$197),0),8))</f>
        <v>2. Concluído</v>
      </c>
      <c r="I37" s="26" t="str" cm="1">
        <f t="array" ref="I37">IF(INDEX('3. Plano_Detalhado'!$A$10:$Q$196,MATCH(1,($E37='3. Plano_Detalhado'!$E$10:$E$196)*($F37='3. Plano_Detalhado'!$F$10:$F$196)*($C37='3. Plano_Detalhado'!$A$10:$A$196),0),17)="","",INDEX('3. Plano_Detalhado'!$A$10:$Q$196,MATCH(1,($E37='3. Plano_Detalhado'!$E$10:$E$196)*($F37='3. Plano_Detalhado'!$F$10:$F$196)*($C37='3. Plano_Detalhado'!$A$10:$A$196),0),17))</f>
        <v/>
      </c>
      <c r="J37" s="159"/>
      <c r="K37" s="29"/>
      <c r="L37" s="29"/>
      <c r="M37" s="29"/>
      <c r="N37" s="29"/>
    </row>
    <row r="38" spans="1:14" ht="16.399999999999999" hidden="1" customHeight="1">
      <c r="A38" s="2"/>
      <c r="B38" s="48" t="s">
        <v>35</v>
      </c>
      <c r="C38" s="49" t="s">
        <v>119</v>
      </c>
      <c r="D38" s="26" t="str" cm="1">
        <f t="array" ref="D38">INDEX('3. Plano_Detalhado'!$A$10:$H$197,MATCH(1,($E38='3. Plano_Detalhado'!$E$10:$E$197)*($F38='3. Plano_Detalhado'!$F$10:$F$197)*($C38='3. Plano_Detalhado'!$A$10:$A$197),0),4)</f>
        <v>2. Campo</v>
      </c>
      <c r="E38" s="27" t="s">
        <v>269</v>
      </c>
      <c r="F38" s="26" t="s">
        <v>270</v>
      </c>
      <c r="G38" s="28" t="str" cm="1">
        <f t="array" ref="G38">IF(INDEX('3. Plano_Detalhado'!$A$10:$H$197,MATCH(1,($E38='3. Plano_Detalhado'!$E$10:$E$197)*($F38='3. Plano_Detalhado'!$F$10:$F$197)*($C38='3. Plano_Detalhado'!$A$10:$A$197),0),7)="","",INDEX('3. Plano_Detalhado'!$A$10:$H$197,MATCH(1,($E38='3. Plano_Detalhado'!$E$10:$E$197)*($F38='3. Plano_Detalhado'!$F$10:$F$197)*($C38='3. Plano_Detalhado'!$A$10:$A$197),0),7))</f>
        <v>2. Concluído</v>
      </c>
      <c r="H38" s="28" t="str" cm="1">
        <f t="array" ref="H38">IF(INDEX('3. Plano_Detalhado'!$A$10:$H$197,MATCH(1,($E38='3. Plano_Detalhado'!$E$10:$E$197)*($F38='3. Plano_Detalhado'!$F$10:$F$197)*($C38='3. Plano_Detalhado'!$A$10:$A$197),0),8)="","",INDEX('3. Plano_Detalhado'!$A$10:$H$197,MATCH(1,($E38='3. Plano_Detalhado'!$E$10:$E$197)*($F38='3. Plano_Detalhado'!$F$10:$F$197)*($C38='3. Plano_Detalhado'!$A$10:$A$197),0),8))</f>
        <v>2. Concluído</v>
      </c>
      <c r="I38" s="26" t="str" cm="1">
        <f t="array" ref="I38">IF(INDEX('3. Plano_Detalhado'!$A$10:$Q$196,MATCH(1,($E38='3. Plano_Detalhado'!$E$10:$E$196)*($F38='3. Plano_Detalhado'!$F$10:$F$196)*($C38='3. Plano_Detalhado'!$A$10:$A$196),0),17)="","",INDEX('3. Plano_Detalhado'!$A$10:$Q$196,MATCH(1,($E38='3. Plano_Detalhado'!$E$10:$E$196)*($F38='3. Plano_Detalhado'!$F$10:$F$196)*($C38='3. Plano_Detalhado'!$A$10:$A$196),0),17))</f>
        <v/>
      </c>
      <c r="J38" s="159"/>
      <c r="K38" s="29"/>
      <c r="L38" s="29"/>
      <c r="M38" s="29"/>
      <c r="N38" s="29"/>
    </row>
    <row r="39" spans="1:14" ht="16.399999999999999" hidden="1" customHeight="1">
      <c r="A39" s="2"/>
      <c r="B39" s="48" t="s">
        <v>35</v>
      </c>
      <c r="C39" s="49" t="s">
        <v>119</v>
      </c>
      <c r="D39" s="26" t="str" cm="1">
        <f t="array" ref="D39">INDEX('3. Plano_Detalhado'!$A$10:$H$197,MATCH(1,($E39='3. Plano_Detalhado'!$E$10:$E$197)*($F39='3. Plano_Detalhado'!$F$10:$F$197)*($C39='3. Plano_Detalhado'!$A$10:$A$197),0),4)</f>
        <v>2. Campo</v>
      </c>
      <c r="E39" s="27" t="s">
        <v>269</v>
      </c>
      <c r="F39" s="26" t="s">
        <v>271</v>
      </c>
      <c r="G39" s="28" t="str" cm="1">
        <f t="array" ref="G39">IF(INDEX('3. Plano_Detalhado'!$A$10:$H$197,MATCH(1,($E39='3. Plano_Detalhado'!$E$10:$E$197)*($F39='3. Plano_Detalhado'!$F$10:$F$197)*($C39='3. Plano_Detalhado'!$A$10:$A$197),0),7)="","",INDEX('3. Plano_Detalhado'!$A$10:$H$197,MATCH(1,($E39='3. Plano_Detalhado'!$E$10:$E$197)*($F39='3. Plano_Detalhado'!$F$10:$F$197)*($C39='3. Plano_Detalhado'!$A$10:$A$197),0),7))</f>
        <v>2. Concluído</v>
      </c>
      <c r="H39" s="28" t="str" cm="1">
        <f t="array" ref="H39">IF(INDEX('3. Plano_Detalhado'!$A$10:$H$197,MATCH(1,($E39='3. Plano_Detalhado'!$E$10:$E$197)*($F39='3. Plano_Detalhado'!$F$10:$F$197)*($C39='3. Plano_Detalhado'!$A$10:$A$197),0),8)="","",INDEX('3. Plano_Detalhado'!$A$10:$H$197,MATCH(1,($E39='3. Plano_Detalhado'!$E$10:$E$197)*($F39='3. Plano_Detalhado'!$F$10:$F$197)*($C39='3. Plano_Detalhado'!$A$10:$A$197),0),8))</f>
        <v>2. Concluído</v>
      </c>
      <c r="I39" s="26" t="str" cm="1">
        <f t="array" ref="I39">IF(INDEX('3. Plano_Detalhado'!$A$10:$Q$196,MATCH(1,($E39='3. Plano_Detalhado'!$E$10:$E$196)*($F39='3. Plano_Detalhado'!$F$10:$F$196)*($C39='3. Plano_Detalhado'!$A$10:$A$196),0),17)="","",INDEX('3. Plano_Detalhado'!$A$10:$Q$196,MATCH(1,($E39='3. Plano_Detalhado'!$E$10:$E$196)*($F39='3. Plano_Detalhado'!$F$10:$F$196)*($C39='3. Plano_Detalhado'!$A$10:$A$196),0),17))</f>
        <v/>
      </c>
      <c r="J39" s="159"/>
      <c r="K39" s="29"/>
      <c r="L39" s="29"/>
      <c r="M39" s="29"/>
      <c r="N39" s="29"/>
    </row>
    <row r="40" spans="1:14" ht="16.399999999999999" hidden="1" customHeight="1">
      <c r="A40" s="2"/>
      <c r="B40" s="48" t="s">
        <v>35</v>
      </c>
      <c r="C40" s="49" t="s">
        <v>119</v>
      </c>
      <c r="D40" s="26" t="str" cm="1">
        <f t="array" ref="D40">INDEX('3. Plano_Detalhado'!$A$10:$H$197,MATCH(1,($E40='3. Plano_Detalhado'!$E$10:$E$197)*($F40='3. Plano_Detalhado'!$F$10:$F$197)*($C40='3. Plano_Detalhado'!$A$10:$A$197),0),4)</f>
        <v>2. Campo</v>
      </c>
      <c r="E40" s="27" t="s">
        <v>269</v>
      </c>
      <c r="F40" s="26" t="s">
        <v>272</v>
      </c>
      <c r="G40" s="28" t="str" cm="1">
        <f t="array" ref="G40">IF(INDEX('3. Plano_Detalhado'!$A$10:$H$197,MATCH(1,($E40='3. Plano_Detalhado'!$E$10:$E$197)*($F40='3. Plano_Detalhado'!$F$10:$F$197)*($C40='3. Plano_Detalhado'!$A$10:$A$197),0),7)="","",INDEX('3. Plano_Detalhado'!$A$10:$H$197,MATCH(1,($E40='3. Plano_Detalhado'!$E$10:$E$197)*($F40='3. Plano_Detalhado'!$F$10:$F$197)*($C40='3. Plano_Detalhado'!$A$10:$A$197),0),7))</f>
        <v>2. Concluído</v>
      </c>
      <c r="H40" s="28" t="str" cm="1">
        <f t="array" ref="H40">IF(INDEX('3. Plano_Detalhado'!$A$10:$H$197,MATCH(1,($E40='3. Plano_Detalhado'!$E$10:$E$197)*($F40='3. Plano_Detalhado'!$F$10:$F$197)*($C40='3. Plano_Detalhado'!$A$10:$A$197),0),8)="","",INDEX('3. Plano_Detalhado'!$A$10:$H$197,MATCH(1,($E40='3. Plano_Detalhado'!$E$10:$E$197)*($F40='3. Plano_Detalhado'!$F$10:$F$197)*($C40='3. Plano_Detalhado'!$A$10:$A$197),0),8))</f>
        <v>2. Concluído</v>
      </c>
      <c r="I40" s="26" t="str" cm="1">
        <f t="array" ref="I40">IF(INDEX('3. Plano_Detalhado'!$A$10:$Q$196,MATCH(1,($E40='3. Plano_Detalhado'!$E$10:$E$196)*($F40='3. Plano_Detalhado'!$F$10:$F$196)*($C40='3. Plano_Detalhado'!$A$10:$A$196),0),17)="","",INDEX('3. Plano_Detalhado'!$A$10:$Q$196,MATCH(1,($E40='3. Plano_Detalhado'!$E$10:$E$196)*($F40='3. Plano_Detalhado'!$F$10:$F$196)*($C40='3. Plano_Detalhado'!$A$10:$A$196),0),17))</f>
        <v/>
      </c>
      <c r="J40" s="159"/>
      <c r="K40" s="29"/>
      <c r="L40" s="29"/>
      <c r="M40" s="29"/>
      <c r="N40" s="29"/>
    </row>
    <row r="41" spans="1:14" ht="16.399999999999999" hidden="1" customHeight="1">
      <c r="A41" s="2"/>
      <c r="B41" s="48" t="s">
        <v>35</v>
      </c>
      <c r="C41" s="49" t="s">
        <v>119</v>
      </c>
      <c r="D41" s="26" t="str" cm="1">
        <f t="array" ref="D41">INDEX('3. Plano_Detalhado'!$A$10:$H$197,MATCH(1,($E41='3. Plano_Detalhado'!$E$10:$E$197)*($F41='3. Plano_Detalhado'!$F$10:$F$197)*($C41='3. Plano_Detalhado'!$A$10:$A$197),0),4)</f>
        <v>2. Campo</v>
      </c>
      <c r="E41" s="27" t="s">
        <v>269</v>
      </c>
      <c r="F41" s="26" t="s">
        <v>26</v>
      </c>
      <c r="G41" s="28" t="str" cm="1">
        <f t="array" ref="G41">IF(INDEX('3. Plano_Detalhado'!$A$10:$H$197,MATCH(1,($E41='3. Plano_Detalhado'!$E$10:$E$197)*($F41='3. Plano_Detalhado'!$F$10:$F$197)*($C41='3. Plano_Detalhado'!$A$10:$A$197),0),7)="","",INDEX('3. Plano_Detalhado'!$A$10:$H$197,MATCH(1,($E41='3. Plano_Detalhado'!$E$10:$E$197)*($F41='3. Plano_Detalhado'!$F$10:$F$197)*($C41='3. Plano_Detalhado'!$A$10:$A$197),0),7))</f>
        <v>2. Concluído</v>
      </c>
      <c r="H41" s="28" t="str" cm="1">
        <f t="array" ref="H41">IF(INDEX('3. Plano_Detalhado'!$A$10:$H$197,MATCH(1,($E41='3. Plano_Detalhado'!$E$10:$E$197)*($F41='3. Plano_Detalhado'!$F$10:$F$197)*($C41='3. Plano_Detalhado'!$A$10:$A$197),0),8)="","",INDEX('3. Plano_Detalhado'!$A$10:$H$197,MATCH(1,($E41='3. Plano_Detalhado'!$E$10:$E$197)*($F41='3. Plano_Detalhado'!$F$10:$F$197)*($C41='3. Plano_Detalhado'!$A$10:$A$197),0),8))</f>
        <v>2. Concluído</v>
      </c>
      <c r="I41" s="26" t="str" cm="1">
        <f t="array" ref="I41">IF(INDEX('3. Plano_Detalhado'!$A$10:$Q$196,MATCH(1,($E41='3. Plano_Detalhado'!$E$10:$E$196)*($F41='3. Plano_Detalhado'!$F$10:$F$196)*($C41='3. Plano_Detalhado'!$A$10:$A$196),0),17)="","",INDEX('3. Plano_Detalhado'!$A$10:$Q$196,MATCH(1,($E41='3. Plano_Detalhado'!$E$10:$E$196)*($F41='3. Plano_Detalhado'!$F$10:$F$196)*($C41='3. Plano_Detalhado'!$A$10:$A$196),0),17))</f>
        <v/>
      </c>
      <c r="J41" s="159"/>
      <c r="K41" s="29"/>
      <c r="L41" s="29"/>
      <c r="M41" s="29"/>
      <c r="N41" s="29"/>
    </row>
    <row r="42" spans="1:14" ht="16.399999999999999" hidden="1" customHeight="1">
      <c r="A42" s="2"/>
      <c r="B42" s="48" t="s">
        <v>35</v>
      </c>
      <c r="C42" s="49" t="s">
        <v>119</v>
      </c>
      <c r="D42" s="26" t="str" cm="1">
        <f t="array" ref="D42">INDEX('3. Plano_Detalhado'!$A$10:$H$197,MATCH(1,($E42='3. Plano_Detalhado'!$E$10:$E$197)*($F42='3. Plano_Detalhado'!$F$10:$F$197)*($C42='3. Plano_Detalhado'!$A$10:$A$197),0),4)</f>
        <v>2. Campo</v>
      </c>
      <c r="E42" s="27" t="s">
        <v>269</v>
      </c>
      <c r="F42" s="26" t="s">
        <v>25</v>
      </c>
      <c r="G42" s="28" t="str" cm="1">
        <f t="array" ref="G42">IF(INDEX('3. Plano_Detalhado'!$A$10:$H$197,MATCH(1,($E42='3. Plano_Detalhado'!$E$10:$E$197)*($F42='3. Plano_Detalhado'!$F$10:$F$197)*($C42='3. Plano_Detalhado'!$A$10:$A$197),0),7)="","",INDEX('3. Plano_Detalhado'!$A$10:$H$197,MATCH(1,($E42='3. Plano_Detalhado'!$E$10:$E$197)*($F42='3. Plano_Detalhado'!$F$10:$F$197)*($C42='3. Plano_Detalhado'!$A$10:$A$197),0),7))</f>
        <v>2. Concluído</v>
      </c>
      <c r="H42" s="28" t="str" cm="1">
        <f t="array" ref="H42">IF(INDEX('3. Plano_Detalhado'!$A$10:$H$197,MATCH(1,($E42='3. Plano_Detalhado'!$E$10:$E$197)*($F42='3. Plano_Detalhado'!$F$10:$F$197)*($C42='3. Plano_Detalhado'!$A$10:$A$197),0),8)="","",INDEX('3. Plano_Detalhado'!$A$10:$H$197,MATCH(1,($E42='3. Plano_Detalhado'!$E$10:$E$197)*($F42='3. Plano_Detalhado'!$F$10:$F$197)*($C42='3. Plano_Detalhado'!$A$10:$A$197),0),8))</f>
        <v>2. Concluído</v>
      </c>
      <c r="I42" s="26" t="str" cm="1">
        <f t="array" ref="I42">IF(INDEX('3. Plano_Detalhado'!$A$10:$Q$196,MATCH(1,($E42='3. Plano_Detalhado'!$E$10:$E$196)*($F42='3. Plano_Detalhado'!$F$10:$F$196)*($C42='3. Plano_Detalhado'!$A$10:$A$196),0),17)="","",INDEX('3. Plano_Detalhado'!$A$10:$Q$196,MATCH(1,($E42='3. Plano_Detalhado'!$E$10:$E$196)*($F42='3. Plano_Detalhado'!$F$10:$F$196)*($C42='3. Plano_Detalhado'!$A$10:$A$196),0),17))</f>
        <v/>
      </c>
      <c r="J42" s="159"/>
      <c r="K42" s="29"/>
      <c r="L42" s="29"/>
      <c r="M42" s="29"/>
      <c r="N42" s="29"/>
    </row>
    <row r="43" spans="1:14" ht="16.399999999999999" hidden="1" customHeight="1">
      <c r="A43" s="2"/>
      <c r="B43" s="48" t="s">
        <v>35</v>
      </c>
      <c r="C43" s="49" t="s">
        <v>119</v>
      </c>
      <c r="D43" s="26" t="str" cm="1">
        <f t="array" ref="D43">INDEX('3. Plano_Detalhado'!$A$10:$H$197,MATCH(1,($E43='3. Plano_Detalhado'!$E$10:$E$197)*($F43='3. Plano_Detalhado'!$F$10:$F$197)*($C43='3. Plano_Detalhado'!$A$10:$A$197),0),4)</f>
        <v>2. Campo</v>
      </c>
      <c r="E43" s="27" t="s">
        <v>29</v>
      </c>
      <c r="F43" s="26" t="s">
        <v>58</v>
      </c>
      <c r="G43" s="28" t="str" cm="1">
        <f t="array" ref="G43">IF(INDEX('3. Plano_Detalhado'!$A$10:$H$197,MATCH(1,($E43='3. Plano_Detalhado'!$E$10:$E$197)*($F43='3. Plano_Detalhado'!$F$10:$F$197)*($C43='3. Plano_Detalhado'!$A$10:$A$197),0),7)="","",INDEX('3. Plano_Detalhado'!$A$10:$H$197,MATCH(1,($E43='3. Plano_Detalhado'!$E$10:$E$197)*($F43='3. Plano_Detalhado'!$F$10:$F$197)*($C43='3. Plano_Detalhado'!$A$10:$A$197),0),7))</f>
        <v>0. Cancelado</v>
      </c>
      <c r="H43" s="28" t="str" cm="1">
        <f t="array" ref="H43">IF(INDEX('3. Plano_Detalhado'!$A$10:$H$197,MATCH(1,($E43='3. Plano_Detalhado'!$E$10:$E$197)*($F43='3. Plano_Detalhado'!$F$10:$F$197)*($C43='3. Plano_Detalhado'!$A$10:$A$197),0),8)="","",INDEX('3. Plano_Detalhado'!$A$10:$H$197,MATCH(1,($E43='3. Plano_Detalhado'!$E$10:$E$197)*($F43='3. Plano_Detalhado'!$F$10:$F$197)*($C43='3. Plano_Detalhado'!$A$10:$A$197),0),8))</f>
        <v>0. Cancelado</v>
      </c>
      <c r="I43" s="26" t="str" cm="1">
        <f t="array" ref="I43">IF(INDEX('3. Plano_Detalhado'!$A$10:$Q$196,MATCH(1,($E43='3. Plano_Detalhado'!$E$10:$E$196)*($F43='3. Plano_Detalhado'!$F$10:$F$196)*($C43='3. Plano_Detalhado'!$A$10:$A$196),0),17)="","",INDEX('3. Plano_Detalhado'!$A$10:$Q$196,MATCH(1,($E43='3. Plano_Detalhado'!$E$10:$E$196)*($F43='3. Plano_Detalhado'!$F$10:$F$196)*($C43='3. Plano_Detalhado'!$A$10:$A$196),0),17))</f>
        <v/>
      </c>
      <c r="J43" s="159"/>
      <c r="K43" s="29"/>
      <c r="L43" s="29"/>
      <c r="M43" s="29"/>
      <c r="N43" s="29"/>
    </row>
    <row r="44" spans="1:14" ht="16.399999999999999" hidden="1" customHeight="1">
      <c r="A44" s="2"/>
      <c r="B44" s="48" t="s">
        <v>35</v>
      </c>
      <c r="C44" s="49" t="s">
        <v>119</v>
      </c>
      <c r="D44" s="160" t="str" cm="1">
        <f t="array" ref="D44">INDEX('3. Plano_Detalhado'!$A$10:$H$197,MATCH(1,($E44='3. Plano_Detalhado'!$E$10:$E$197)*($F44='3. Plano_Detalhado'!$F$10:$F$197)*($C44='3. Plano_Detalhado'!$A$10:$A$197),0),4)</f>
        <v>2. Campo</v>
      </c>
      <c r="E44" s="161" t="s">
        <v>29</v>
      </c>
      <c r="F44" s="160" t="s">
        <v>59</v>
      </c>
      <c r="G44" s="162" t="str" cm="1">
        <f t="array" ref="G44">IF(INDEX('3. Plano_Detalhado'!$A$10:$H$197,MATCH(1,($E44='3. Plano_Detalhado'!$E$10:$E$197)*($F44='3. Plano_Detalhado'!$F$10:$F$197)*($C44='3. Plano_Detalhado'!$A$10:$A$197),0),7)="","",INDEX('3. Plano_Detalhado'!$A$10:$H$197,MATCH(1,($E44='3. Plano_Detalhado'!$E$10:$E$197)*($F44='3. Plano_Detalhado'!$F$10:$F$197)*($C44='3. Plano_Detalhado'!$A$10:$A$197),0),7))</f>
        <v>0. Cancelado</v>
      </c>
      <c r="H44" s="162" t="str" cm="1">
        <f t="array" ref="H44">IF(INDEX('3. Plano_Detalhado'!$A$10:$H$197,MATCH(1,($E44='3. Plano_Detalhado'!$E$10:$E$197)*($F44='3. Plano_Detalhado'!$F$10:$F$197)*($C44='3. Plano_Detalhado'!$A$10:$A$197),0),8)="","",INDEX('3. Plano_Detalhado'!$A$10:$H$197,MATCH(1,($E44='3. Plano_Detalhado'!$E$10:$E$197)*($F44='3. Plano_Detalhado'!$F$10:$F$197)*($C44='3. Plano_Detalhado'!$A$10:$A$197),0),8))</f>
        <v>0. Cancelado</v>
      </c>
      <c r="I44" s="26" t="str" cm="1">
        <f t="array" ref="I44">IF(INDEX('3. Plano_Detalhado'!$A$10:$Q$196,MATCH(1,($E44='3. Plano_Detalhado'!$E$10:$E$196)*($F44='3. Plano_Detalhado'!$F$10:$F$196)*($C44='3. Plano_Detalhado'!$A$10:$A$196),0),17)="","",INDEX('3. Plano_Detalhado'!$A$10:$Q$196,MATCH(1,($E44='3. Plano_Detalhado'!$E$10:$E$196)*($F44='3. Plano_Detalhado'!$F$10:$F$196)*($C44='3. Plano_Detalhado'!$A$10:$A$196),0),17))</f>
        <v/>
      </c>
      <c r="J44" s="163"/>
      <c r="K44" s="164"/>
      <c r="L44" s="164"/>
      <c r="M44" s="164"/>
      <c r="N44" s="164"/>
    </row>
    <row r="45" spans="1:14" ht="16.399999999999999" customHeight="1">
      <c r="A45" s="2"/>
      <c r="B45" s="48" t="s">
        <v>35</v>
      </c>
      <c r="C45" s="184" t="s">
        <v>340</v>
      </c>
      <c r="D45" s="26" t="str" cm="1">
        <f t="array" ref="D45">INDEX('3. Plano_Detalhado'!$A$10:$H$197,MATCH(1,($E45='3. Plano_Detalhado'!$E$10:$E$197)*($F45='3. Plano_Detalhado'!$F$10:$F$197)*($C45='3. Plano_Detalhado'!$A$10:$A$197),0),4)</f>
        <v>2. Campo</v>
      </c>
      <c r="E45" s="185" t="s">
        <v>29</v>
      </c>
      <c r="F45" s="26" t="s">
        <v>110</v>
      </c>
      <c r="G45" s="186" t="str" cm="1">
        <f t="array" ref="G45">IF(INDEX('3. Plano_Detalhado'!$A$10:$H$197,MATCH(1,($E45='3. Plano_Detalhado'!$E$10:$E$197)*($F45='3. Plano_Detalhado'!$F$10:$F$197)*($C45='3. Plano_Detalhado'!$A$10:$A$197),0),7)="","",INDEX('3. Plano_Detalhado'!$A$10:$H$197,MATCH(1,($E45='3. Plano_Detalhado'!$E$10:$E$197)*($F45='3. Plano_Detalhado'!$F$10:$F$197)*($C45='3. Plano_Detalhado'!$A$10:$A$197),0),7))</f>
        <v>1. Concluído</v>
      </c>
      <c r="H45" s="186" t="str" cm="1">
        <f t="array" ref="H45">IF(INDEX('3. Plano_Detalhado'!$A$10:$H$197,MATCH(1,($E45='3. Plano_Detalhado'!$E$10:$E$197)*($F45='3. Plano_Detalhado'!$F$10:$F$197)*($C45='3. Plano_Detalhado'!$A$10:$A$197),0),8)="","",INDEX('3. Plano_Detalhado'!$A$10:$H$197,MATCH(1,($E45='3. Plano_Detalhado'!$E$10:$E$197)*($F45='3. Plano_Detalhado'!$F$10:$F$197)*($C45='3. Plano_Detalhado'!$A$10:$A$197),0),8))</f>
        <v>1. Concluído</v>
      </c>
      <c r="I45" s="26" t="str" cm="1">
        <f t="array" ref="I45">IF(INDEX('3. Plano_Detalhado'!$A$10:$Q$196,MATCH(1,($E45='3. Plano_Detalhado'!$E$10:$E$196)*($F45='3. Plano_Detalhado'!$F$10:$F$196)*($C45='3. Plano_Detalhado'!$A$10:$A$196),0),17)="","",INDEX('3. Plano_Detalhado'!$A$10:$Q$196,MATCH(1,($E45='3. Plano_Detalhado'!$E$10:$E$196)*($F45='3. Plano_Detalhado'!$F$10:$F$196)*($C45='3. Plano_Detalhado'!$A$10:$A$196),0),17))</f>
        <v/>
      </c>
      <c r="J45" s="187"/>
      <c r="K45" s="188"/>
      <c r="L45" s="188"/>
      <c r="M45" s="188"/>
      <c r="N45" s="188"/>
    </row>
    <row r="46" spans="1:14" ht="16.399999999999999" customHeight="1">
      <c r="A46" s="2"/>
      <c r="B46" s="48" t="s">
        <v>35</v>
      </c>
      <c r="C46" s="184" t="s">
        <v>340</v>
      </c>
      <c r="D46" s="26" t="str" cm="1">
        <f t="array" ref="D46">INDEX('3. Plano_Detalhado'!$A$10:$H$197,MATCH(1,($E46='3. Plano_Detalhado'!$E$10:$E$197)*($F46='3. Plano_Detalhado'!$F$10:$F$197)*($C46='3. Plano_Detalhado'!$A$10:$A$197),0),4)</f>
        <v>2. Campo</v>
      </c>
      <c r="E46" s="185" t="s">
        <v>29</v>
      </c>
      <c r="F46" s="26" t="s">
        <v>111</v>
      </c>
      <c r="G46" s="186" t="str" cm="1">
        <f t="array" ref="G46">IF(INDEX('3. Plano_Detalhado'!$A$10:$H$197,MATCH(1,($E46='3. Plano_Detalhado'!$E$10:$E$197)*($F46='3. Plano_Detalhado'!$F$10:$F$197)*($C46='3. Plano_Detalhado'!$A$10:$A$197),0),7)="","",INDEX('3. Plano_Detalhado'!$A$10:$H$197,MATCH(1,($E46='3. Plano_Detalhado'!$E$10:$E$197)*($F46='3. Plano_Detalhado'!$F$10:$F$197)*($C46='3. Plano_Detalhado'!$A$10:$A$197),0),7))</f>
        <v>5. Por Iniciar</v>
      </c>
      <c r="H46" s="186" t="str" cm="1">
        <f t="array" ref="H46">IF(INDEX('3. Plano_Detalhado'!$A$10:$H$197,MATCH(1,($E46='3. Plano_Detalhado'!$E$10:$E$197)*($F46='3. Plano_Detalhado'!$F$10:$F$197)*($C46='3. Plano_Detalhado'!$A$10:$A$197),0),8)="","",INDEX('3. Plano_Detalhado'!$A$10:$H$197,MATCH(1,($E46='3. Plano_Detalhado'!$E$10:$E$197)*($F46='3. Plano_Detalhado'!$F$10:$F$197)*($C46='3. Plano_Detalhado'!$A$10:$A$197),0),8))</f>
        <v>1. Concluído</v>
      </c>
      <c r="I46" s="26" t="str" cm="1">
        <f t="array" ref="I46">IF(INDEX('3. Plano_Detalhado'!$A$10:$Q$196,MATCH(1,($E46='3. Plano_Detalhado'!$E$10:$E$196)*($F46='3. Plano_Detalhado'!$F$10:$F$196)*($C46='3. Plano_Detalhado'!$A$10:$A$196),0),17)="","",INDEX('3. Plano_Detalhado'!$A$10:$Q$196,MATCH(1,($E46='3. Plano_Detalhado'!$E$10:$E$196)*($F46='3. Plano_Detalhado'!$F$10:$F$196)*($C46='3. Plano_Detalhado'!$A$10:$A$196),0),17))</f>
        <v>No sprint 3 da equipa de LF (5/mai a 23/jun)</v>
      </c>
      <c r="J46" s="187"/>
      <c r="K46" s="188"/>
      <c r="L46" s="188"/>
      <c r="M46" s="188"/>
      <c r="N46" s="188"/>
    </row>
    <row r="47" spans="1:14" ht="16.399999999999999" customHeight="1">
      <c r="A47" s="2"/>
      <c r="B47" s="48" t="s">
        <v>35</v>
      </c>
      <c r="C47" s="184" t="s">
        <v>340</v>
      </c>
      <c r="D47" s="26" t="str" cm="1">
        <f t="array" ref="D47">INDEX('3. Plano_Detalhado'!$A$10:$H$197,MATCH(1,($E47='3. Plano_Detalhado'!$E$10:$E$197)*($F47='3. Plano_Detalhado'!$F$10:$F$197)*($C47='3. Plano_Detalhado'!$A$10:$A$197),0),4)</f>
        <v>2. Campo</v>
      </c>
      <c r="E47" s="185" t="s">
        <v>29</v>
      </c>
      <c r="F47" s="26" t="s">
        <v>112</v>
      </c>
      <c r="G47" s="186" t="str" cm="1">
        <f t="array" ref="G47">IF(INDEX('3. Plano_Detalhado'!$A$10:$H$197,MATCH(1,($E47='3. Plano_Detalhado'!$E$10:$E$197)*($F47='3. Plano_Detalhado'!$F$10:$F$197)*($C47='3. Plano_Detalhado'!$A$10:$A$197),0),7)="","",INDEX('3. Plano_Detalhado'!$A$10:$H$197,MATCH(1,($E47='3. Plano_Detalhado'!$E$10:$E$197)*($F47='3. Plano_Detalhado'!$F$10:$F$197)*($C47='3. Plano_Detalhado'!$A$10:$A$197),0),7))</f>
        <v>5. Por Iniciar</v>
      </c>
      <c r="H47" s="186" t="str" cm="1">
        <f t="array" ref="H47">IF(INDEX('3. Plano_Detalhado'!$A$10:$H$197,MATCH(1,($E47='3. Plano_Detalhado'!$E$10:$E$197)*($F47='3. Plano_Detalhado'!$F$10:$F$197)*($C47='3. Plano_Detalhado'!$A$10:$A$197),0),8)="","",INDEX('3. Plano_Detalhado'!$A$10:$H$197,MATCH(1,($E47='3. Plano_Detalhado'!$E$10:$E$197)*($F47='3. Plano_Detalhado'!$F$10:$F$197)*($C47='3. Plano_Detalhado'!$A$10:$A$197),0),8))</f>
        <v>5. Por Iniciar</v>
      </c>
      <c r="I47" s="26" t="str" cm="1">
        <f t="array" ref="I47">IF(INDEX('3. Plano_Detalhado'!$A$10:$Q$196,MATCH(1,($E47='3. Plano_Detalhado'!$E$10:$E$196)*($F47='3. Plano_Detalhado'!$F$10:$F$196)*($C47='3. Plano_Detalhado'!$A$10:$A$196),0),17)="","",INDEX('3. Plano_Detalhado'!$A$10:$Q$196,MATCH(1,($E47='3. Plano_Detalhado'!$E$10:$E$196)*($F47='3. Plano_Detalhado'!$F$10:$F$196)*($C47='3. Plano_Detalhado'!$A$10:$A$196),0),17))</f>
        <v>No sprint 1 da equipa de LF (termina a 10/mar)</v>
      </c>
      <c r="J47" s="187"/>
      <c r="K47" s="188"/>
      <c r="L47" s="188"/>
      <c r="M47" s="188"/>
      <c r="N47" s="188"/>
    </row>
    <row r="48" spans="1:14" ht="16.399999999999999" customHeight="1">
      <c r="A48" s="2"/>
      <c r="B48" s="48" t="s">
        <v>35</v>
      </c>
      <c r="C48" s="184" t="s">
        <v>340</v>
      </c>
      <c r="D48" s="26" t="str" cm="1">
        <f t="array" ref="D48">INDEX('3. Plano_Detalhado'!$A$10:$H$197,MATCH(1,($E48='3. Plano_Detalhado'!$E$10:$E$197)*($F48='3. Plano_Detalhado'!$F$10:$F$197)*($C48='3. Plano_Detalhado'!$A$10:$A$197),0),4)</f>
        <v>2. Campo</v>
      </c>
      <c r="E48" s="185" t="s">
        <v>29</v>
      </c>
      <c r="F48" s="26" t="s">
        <v>51</v>
      </c>
      <c r="G48" s="186" t="str" cm="1">
        <f t="array" ref="G48">IF(INDEX('3. Plano_Detalhado'!$A$10:$H$197,MATCH(1,($E48='3. Plano_Detalhado'!$E$10:$E$197)*($F48='3. Plano_Detalhado'!$F$10:$F$197)*($C48='3. Plano_Detalhado'!$A$10:$A$197),0),7)="","",INDEX('3. Plano_Detalhado'!$A$10:$H$197,MATCH(1,($E48='3. Plano_Detalhado'!$E$10:$E$197)*($F48='3. Plano_Detalhado'!$F$10:$F$197)*($C48='3. Plano_Detalhado'!$A$10:$A$197),0),7))</f>
        <v>1. Concluído</v>
      </c>
      <c r="H48" s="186" t="str" cm="1">
        <f t="array" ref="H48">IF(INDEX('3. Plano_Detalhado'!$A$10:$H$197,MATCH(1,($E48='3. Plano_Detalhado'!$E$10:$E$197)*($F48='3. Plano_Detalhado'!$F$10:$F$197)*($C48='3. Plano_Detalhado'!$A$10:$A$197),0),8)="","",INDEX('3. Plano_Detalhado'!$A$10:$H$197,MATCH(1,($E48='3. Plano_Detalhado'!$E$10:$E$197)*($F48='3. Plano_Detalhado'!$F$10:$F$197)*($C48='3. Plano_Detalhado'!$A$10:$A$197),0),8))</f>
        <v>1. Concluído</v>
      </c>
      <c r="I48" s="26" t="str" cm="1">
        <f t="array" ref="I48">IF(INDEX('3. Plano_Detalhado'!$A$10:$Q$196,MATCH(1,($E48='3. Plano_Detalhado'!$E$10:$E$196)*($F48='3. Plano_Detalhado'!$F$10:$F$196)*($C48='3. Plano_Detalhado'!$A$10:$A$196),0),17)="","",INDEX('3. Plano_Detalhado'!$A$10:$Q$196,MATCH(1,($E48='3. Plano_Detalhado'!$E$10:$E$196)*($F48='3. Plano_Detalhado'!$F$10:$F$196)*($C48='3. Plano_Detalhado'!$A$10:$A$196),0),17))</f>
        <v/>
      </c>
      <c r="J48" s="187"/>
      <c r="K48" s="188"/>
      <c r="L48" s="188"/>
      <c r="M48" s="188"/>
      <c r="N48" s="188"/>
    </row>
    <row r="49" spans="1:14" ht="16.399999999999999" customHeight="1">
      <c r="A49" s="2"/>
      <c r="B49" s="48" t="s">
        <v>35</v>
      </c>
      <c r="C49" s="184" t="s">
        <v>340</v>
      </c>
      <c r="D49" s="26" t="str" cm="1">
        <f t="array" ref="D49">INDEX('3. Plano_Detalhado'!$A$10:$H$197,MATCH(1,($E49='3. Plano_Detalhado'!$E$10:$E$197)*($F49='3. Plano_Detalhado'!$F$10:$F$197)*($C49='3. Plano_Detalhado'!$A$10:$A$197),0),4)</f>
        <v>2. Campo</v>
      </c>
      <c r="E49" s="185" t="s">
        <v>29</v>
      </c>
      <c r="F49" s="26" t="s">
        <v>68</v>
      </c>
      <c r="G49" s="186" t="str" cm="1">
        <f t="array" ref="G49">IF(INDEX('3. Plano_Detalhado'!$A$10:$H$197,MATCH(1,($E49='3. Plano_Detalhado'!$E$10:$E$197)*($F49='3. Plano_Detalhado'!$F$10:$F$197)*($C49='3. Plano_Detalhado'!$A$10:$A$197),0),7)="","",INDEX('3. Plano_Detalhado'!$A$10:$H$197,MATCH(1,($E49='3. Plano_Detalhado'!$E$10:$E$197)*($F49='3. Plano_Detalhado'!$F$10:$F$197)*($C49='3. Plano_Detalhado'!$A$10:$A$197),0),7))</f>
        <v>1. Concluído</v>
      </c>
      <c r="H49" s="186" t="str" cm="1">
        <f t="array" ref="H49">IF(INDEX('3. Plano_Detalhado'!$A$10:$H$197,MATCH(1,($E49='3. Plano_Detalhado'!$E$10:$E$197)*($F49='3. Plano_Detalhado'!$F$10:$F$197)*($C49='3. Plano_Detalhado'!$A$10:$A$197),0),8)="","",INDEX('3. Plano_Detalhado'!$A$10:$H$197,MATCH(1,($E49='3. Plano_Detalhado'!$E$10:$E$197)*($F49='3. Plano_Detalhado'!$F$10:$F$197)*($C49='3. Plano_Detalhado'!$A$10:$A$197),0),8))</f>
        <v>1. Concluído</v>
      </c>
      <c r="I49" s="26" t="str" cm="1">
        <f t="array" ref="I49">IF(INDEX('3. Plano_Detalhado'!$A$10:$Q$196,MATCH(1,($E49='3. Plano_Detalhado'!$E$10:$E$196)*($F49='3. Plano_Detalhado'!$F$10:$F$196)*($C49='3. Plano_Detalhado'!$A$10:$A$196),0),17)="","",INDEX('3. Plano_Detalhado'!$A$10:$Q$196,MATCH(1,($E49='3. Plano_Detalhado'!$E$10:$E$196)*($F49='3. Plano_Detalhado'!$F$10:$F$196)*($C49='3. Plano_Detalhado'!$A$10:$A$196),0),17))</f>
        <v/>
      </c>
      <c r="J49" s="187"/>
      <c r="K49" s="188"/>
      <c r="L49" s="188"/>
      <c r="M49" s="188"/>
      <c r="N49" s="188"/>
    </row>
    <row r="50" spans="1:14" ht="16.399999999999999" customHeight="1">
      <c r="A50" s="2"/>
      <c r="B50" s="48" t="s">
        <v>35</v>
      </c>
      <c r="C50" s="184" t="s">
        <v>340</v>
      </c>
      <c r="D50" s="26" t="str" cm="1">
        <f t="array" ref="D50">INDEX('3. Plano_Detalhado'!$A$10:$H$197,MATCH(1,($E50='3. Plano_Detalhado'!$E$10:$E$197)*($F50='3. Plano_Detalhado'!$F$10:$F$197)*($C50='3. Plano_Detalhado'!$A$10:$A$197),0),4)</f>
        <v>2. Campo</v>
      </c>
      <c r="E50" s="185" t="s">
        <v>29</v>
      </c>
      <c r="F50" s="26" t="s">
        <v>52</v>
      </c>
      <c r="G50" s="186" t="str" cm="1">
        <f t="array" ref="G50">IF(INDEX('3. Plano_Detalhado'!$A$10:$H$197,MATCH(1,($E50='3. Plano_Detalhado'!$E$10:$E$197)*($F50='3. Plano_Detalhado'!$F$10:$F$197)*($C50='3. Plano_Detalhado'!$A$10:$A$197),0),7)="","",INDEX('3. Plano_Detalhado'!$A$10:$H$197,MATCH(1,($E50='3. Plano_Detalhado'!$E$10:$E$197)*($F50='3. Plano_Detalhado'!$F$10:$F$197)*($C50='3. Plano_Detalhado'!$A$10:$A$197),0),7))</f>
        <v>1. Concluído</v>
      </c>
      <c r="H50" s="186" t="str" cm="1">
        <f t="array" ref="H50">IF(INDEX('3. Plano_Detalhado'!$A$10:$H$197,MATCH(1,($E50='3. Plano_Detalhado'!$E$10:$E$197)*($F50='3. Plano_Detalhado'!$F$10:$F$197)*($C50='3. Plano_Detalhado'!$A$10:$A$197),0),8)="","",INDEX('3. Plano_Detalhado'!$A$10:$H$197,MATCH(1,($E50='3. Plano_Detalhado'!$E$10:$E$197)*($F50='3. Plano_Detalhado'!$F$10:$F$197)*($C50='3. Plano_Detalhado'!$A$10:$A$197),0),8))</f>
        <v>1. Concluído</v>
      </c>
      <c r="I50" s="26" t="str" cm="1">
        <f t="array" ref="I50">IF(INDEX('3. Plano_Detalhado'!$A$10:$Q$196,MATCH(1,($E50='3. Plano_Detalhado'!$E$10:$E$196)*($F50='3. Plano_Detalhado'!$F$10:$F$196)*($C50='3. Plano_Detalhado'!$A$10:$A$196),0),17)="","",INDEX('3. Plano_Detalhado'!$A$10:$Q$196,MATCH(1,($E50='3. Plano_Detalhado'!$E$10:$E$196)*($F50='3. Plano_Detalhado'!$F$10:$F$196)*($C50='3. Plano_Detalhado'!$A$10:$A$196),0),17))</f>
        <v/>
      </c>
      <c r="J50" s="187"/>
      <c r="K50" s="188"/>
      <c r="L50" s="188"/>
      <c r="M50" s="188"/>
      <c r="N50" s="188"/>
    </row>
    <row r="51" spans="1:14" ht="16.399999999999999" customHeight="1">
      <c r="A51" s="2"/>
      <c r="B51" s="48" t="s">
        <v>35</v>
      </c>
      <c r="C51" s="184" t="s">
        <v>340</v>
      </c>
      <c r="D51" s="26" t="str" cm="1">
        <f t="array" ref="D51">INDEX('3. Plano_Detalhado'!$A$10:$H$197,MATCH(1,($E51='3. Plano_Detalhado'!$E$10:$E$197)*($F51='3. Plano_Detalhado'!$F$10:$F$197)*($C51='3. Plano_Detalhado'!$A$10:$A$197),0),4)</f>
        <v>2. Campo</v>
      </c>
      <c r="E51" s="185" t="s">
        <v>29</v>
      </c>
      <c r="F51" s="26" t="s">
        <v>55</v>
      </c>
      <c r="G51" s="186" t="str" cm="1">
        <f t="array" ref="G51">IF(INDEX('3. Plano_Detalhado'!$A$10:$H$197,MATCH(1,($E51='3. Plano_Detalhado'!$E$10:$E$197)*($F51='3. Plano_Detalhado'!$F$10:$F$197)*($C51='3. Plano_Detalhado'!$A$10:$A$197),0),7)="","",INDEX('3. Plano_Detalhado'!$A$10:$H$197,MATCH(1,($E51='3. Plano_Detalhado'!$E$10:$E$197)*($F51='3. Plano_Detalhado'!$F$10:$F$197)*($C51='3. Plano_Detalhado'!$A$10:$A$197),0),7))</f>
        <v>5. Por Iniciar</v>
      </c>
      <c r="H51" s="186" t="str" cm="1">
        <f t="array" ref="H51">IF(INDEX('3. Plano_Detalhado'!$A$10:$H$197,MATCH(1,($E51='3. Plano_Detalhado'!$E$10:$E$197)*($F51='3. Plano_Detalhado'!$F$10:$F$197)*($C51='3. Plano_Detalhado'!$A$10:$A$197),0),8)="","",INDEX('3. Plano_Detalhado'!$A$10:$H$197,MATCH(1,($E51='3. Plano_Detalhado'!$E$10:$E$197)*($F51='3. Plano_Detalhado'!$F$10:$F$197)*($C51='3. Plano_Detalhado'!$A$10:$A$197),0),8))</f>
        <v>1. Concluído</v>
      </c>
      <c r="I51" s="26" t="str" cm="1">
        <f t="array" ref="I51">IF(INDEX('3. Plano_Detalhado'!$A$10:$Q$196,MATCH(1,($E51='3. Plano_Detalhado'!$E$10:$E$196)*($F51='3. Plano_Detalhado'!$F$10:$F$196)*($C51='3. Plano_Detalhado'!$A$10:$A$196),0),17)="","",INDEX('3. Plano_Detalhado'!$A$10:$Q$196,MATCH(1,($E51='3. Plano_Detalhado'!$E$10:$E$196)*($F51='3. Plano_Detalhado'!$F$10:$F$196)*($C51='3. Plano_Detalhado'!$A$10:$A$196),0),17))</f>
        <v>No sprint 2.2 da equipa de LF (final de mar até 28/abr)</v>
      </c>
      <c r="J51" s="187"/>
      <c r="K51" s="188"/>
      <c r="L51" s="188"/>
      <c r="M51" s="188"/>
      <c r="N51" s="188"/>
    </row>
    <row r="52" spans="1:14" ht="16.399999999999999" customHeight="1">
      <c r="A52" s="2"/>
      <c r="B52" s="48" t="s">
        <v>35</v>
      </c>
      <c r="C52" s="184" t="s">
        <v>340</v>
      </c>
      <c r="D52" s="26" t="str" cm="1">
        <f t="array" ref="D52">INDEX('3. Plano_Detalhado'!$A$10:$H$197,MATCH(1,($E52='3. Plano_Detalhado'!$E$10:$E$197)*($F52='3. Plano_Detalhado'!$F$10:$F$197)*($C52='3. Plano_Detalhado'!$A$10:$A$197),0),4)</f>
        <v>2. Campo</v>
      </c>
      <c r="E52" s="185" t="s">
        <v>29</v>
      </c>
      <c r="F52" s="26" t="s">
        <v>69</v>
      </c>
      <c r="G52" s="186" t="str" cm="1">
        <f t="array" ref="G52">IF(INDEX('3. Plano_Detalhado'!$A$10:$H$197,MATCH(1,($E52='3. Plano_Detalhado'!$E$10:$E$197)*($F52='3. Plano_Detalhado'!$F$10:$F$197)*($C52='3. Plano_Detalhado'!$A$10:$A$197),0),7)="","",INDEX('3. Plano_Detalhado'!$A$10:$H$197,MATCH(1,($E52='3. Plano_Detalhado'!$E$10:$E$197)*($F52='3. Plano_Detalhado'!$F$10:$F$197)*($C52='3. Plano_Detalhado'!$A$10:$A$197),0),7))</f>
        <v>5. Por Iniciar</v>
      </c>
      <c r="H52" s="186" t="str" cm="1">
        <f t="array" ref="H52">IF(INDEX('3. Plano_Detalhado'!$A$10:$H$197,MATCH(1,($E52='3. Plano_Detalhado'!$E$10:$E$197)*($F52='3. Plano_Detalhado'!$F$10:$F$197)*($C52='3. Plano_Detalhado'!$A$10:$A$197),0),8)="","",INDEX('3. Plano_Detalhado'!$A$10:$H$197,MATCH(1,($E52='3. Plano_Detalhado'!$E$10:$E$197)*($F52='3. Plano_Detalhado'!$F$10:$F$197)*($C52='3. Plano_Detalhado'!$A$10:$A$197),0),8))</f>
        <v>1. Concluído</v>
      </c>
      <c r="I52" s="26" t="str" cm="1">
        <f t="array" ref="I52">IF(INDEX('3. Plano_Detalhado'!$A$10:$Q$196,MATCH(1,($E52='3. Plano_Detalhado'!$E$10:$E$196)*($F52='3. Plano_Detalhado'!$F$10:$F$196)*($C52='3. Plano_Detalhado'!$A$10:$A$196),0),17)="","",INDEX('3. Plano_Detalhado'!$A$10:$Q$196,MATCH(1,($E52='3. Plano_Detalhado'!$E$10:$E$196)*($F52='3. Plano_Detalhado'!$F$10:$F$196)*($C52='3. Plano_Detalhado'!$A$10:$A$196),0),17))</f>
        <v>Do lado de PM em testes</v>
      </c>
      <c r="J52" s="187"/>
      <c r="K52" s="188"/>
      <c r="L52" s="188"/>
      <c r="M52" s="188"/>
      <c r="N52" s="188"/>
    </row>
    <row r="53" spans="1:14" ht="16.399999999999999" customHeight="1">
      <c r="A53" s="2"/>
      <c r="B53" s="48" t="s">
        <v>35</v>
      </c>
      <c r="C53" s="184" t="s">
        <v>340</v>
      </c>
      <c r="D53" s="26" t="str" cm="1">
        <f t="array" ref="D53">INDEX('3. Plano_Detalhado'!$A$10:$H$197,MATCH(1,($E53='3. Plano_Detalhado'!$E$10:$E$197)*($F53='3. Plano_Detalhado'!$F$10:$F$197)*($C53='3. Plano_Detalhado'!$A$10:$A$197),0),4)</f>
        <v>2. Campo</v>
      </c>
      <c r="E53" s="185" t="s">
        <v>29</v>
      </c>
      <c r="F53" s="26" t="s">
        <v>56</v>
      </c>
      <c r="G53" s="186" t="str" cm="1">
        <f t="array" ref="G53">IF(INDEX('3. Plano_Detalhado'!$A$10:$H$197,MATCH(1,($E53='3. Plano_Detalhado'!$E$10:$E$197)*($F53='3. Plano_Detalhado'!$F$10:$F$197)*($C53='3. Plano_Detalhado'!$A$10:$A$197),0),7)="","",INDEX('3. Plano_Detalhado'!$A$10:$H$197,MATCH(1,($E53='3. Plano_Detalhado'!$E$10:$E$197)*($F53='3. Plano_Detalhado'!$F$10:$F$197)*($C53='3. Plano_Detalhado'!$A$10:$A$197),0),7))</f>
        <v>5. Por Iniciar</v>
      </c>
      <c r="H53" s="186" t="str" cm="1">
        <f t="array" ref="H53">IF(INDEX('3. Plano_Detalhado'!$A$10:$H$197,MATCH(1,($E53='3. Plano_Detalhado'!$E$10:$E$197)*($F53='3. Plano_Detalhado'!$F$10:$F$197)*($C53='3. Plano_Detalhado'!$A$10:$A$197),0),8)="","",INDEX('3. Plano_Detalhado'!$A$10:$H$197,MATCH(1,($E53='3. Plano_Detalhado'!$E$10:$E$197)*($F53='3. Plano_Detalhado'!$F$10:$F$197)*($C53='3. Plano_Detalhado'!$A$10:$A$197),0),8))</f>
        <v>1. Concluído</v>
      </c>
      <c r="I53" s="26" t="str" cm="1">
        <f t="array" ref="I53">IF(INDEX('3. Plano_Detalhado'!$A$10:$Q$196,MATCH(1,($E53='3. Plano_Detalhado'!$E$10:$E$196)*($F53='3. Plano_Detalhado'!$F$10:$F$196)*($C53='3. Plano_Detalhado'!$A$10:$A$196),0),17)="","",INDEX('3. Plano_Detalhado'!$A$10:$Q$196,MATCH(1,($E53='3. Plano_Detalhado'!$E$10:$E$196)*($F53='3. Plano_Detalhado'!$F$10:$F$196)*($C53='3. Plano_Detalhado'!$A$10:$A$196),0),17))</f>
        <v>Do lado de PM em testes</v>
      </c>
      <c r="J53" s="187"/>
      <c r="K53" s="188"/>
      <c r="L53" s="188"/>
      <c r="M53" s="188"/>
      <c r="N53" s="188"/>
    </row>
    <row r="54" spans="1:14" ht="16.399999999999999" customHeight="1">
      <c r="A54" s="2"/>
      <c r="B54" s="48" t="s">
        <v>35</v>
      </c>
      <c r="C54" s="184" t="s">
        <v>340</v>
      </c>
      <c r="D54" s="26" t="str" cm="1">
        <f t="array" ref="D54">INDEX('3. Plano_Detalhado'!$A$10:$H$197,MATCH(1,($E54='3. Plano_Detalhado'!$E$10:$E$197)*($F54='3. Plano_Detalhado'!$F$10:$F$197)*($C54='3. Plano_Detalhado'!$A$10:$A$197),0),4)</f>
        <v>2. Campo</v>
      </c>
      <c r="E54" s="185" t="s">
        <v>29</v>
      </c>
      <c r="F54" s="26" t="s">
        <v>70</v>
      </c>
      <c r="G54" s="186" t="str" cm="1">
        <f t="array" ref="G54">IF(INDEX('3. Plano_Detalhado'!$A$10:$H$197,MATCH(1,($E54='3. Plano_Detalhado'!$E$10:$E$197)*($F54='3. Plano_Detalhado'!$F$10:$F$197)*($C54='3. Plano_Detalhado'!$A$10:$A$197),0),7)="","",INDEX('3. Plano_Detalhado'!$A$10:$H$197,MATCH(1,($E54='3. Plano_Detalhado'!$E$10:$E$197)*($F54='3. Plano_Detalhado'!$F$10:$F$197)*($C54='3. Plano_Detalhado'!$A$10:$A$197),0),7))</f>
        <v>1. Concluído</v>
      </c>
      <c r="H54" s="186" t="str" cm="1">
        <f t="array" ref="H54">IF(INDEX('3. Plano_Detalhado'!$A$10:$H$197,MATCH(1,($E54='3. Plano_Detalhado'!$E$10:$E$197)*($F54='3. Plano_Detalhado'!$F$10:$F$197)*($C54='3. Plano_Detalhado'!$A$10:$A$197),0),8)="","",INDEX('3. Plano_Detalhado'!$A$10:$H$197,MATCH(1,($E54='3. Plano_Detalhado'!$E$10:$E$197)*($F54='3. Plano_Detalhado'!$F$10:$F$197)*($C54='3. Plano_Detalhado'!$A$10:$A$197),0),8))</f>
        <v>1. Concluído</v>
      </c>
      <c r="I54" s="26" t="str" cm="1">
        <f t="array" ref="I54">IF(INDEX('3. Plano_Detalhado'!$A$10:$Q$196,MATCH(1,($E54='3. Plano_Detalhado'!$E$10:$E$196)*($F54='3. Plano_Detalhado'!$F$10:$F$196)*($C54='3. Plano_Detalhado'!$A$10:$A$196),0),17)="","",INDEX('3. Plano_Detalhado'!$A$10:$Q$196,MATCH(1,($E54='3. Plano_Detalhado'!$E$10:$E$196)*($F54='3. Plano_Detalhado'!$F$10:$F$196)*($C54='3. Plano_Detalhado'!$A$10:$A$196),0),17))</f>
        <v>Concluido do lado de PM</v>
      </c>
      <c r="J54" s="187"/>
      <c r="K54" s="188"/>
      <c r="L54" s="188"/>
      <c r="M54" s="188"/>
      <c r="N54" s="188"/>
    </row>
    <row r="55" spans="1:14" ht="16.399999999999999" customHeight="1">
      <c r="A55" s="2"/>
      <c r="B55" s="48" t="s">
        <v>35</v>
      </c>
      <c r="C55" s="184" t="s">
        <v>340</v>
      </c>
      <c r="D55" s="26" t="str" cm="1">
        <f t="array" ref="D55">INDEX('3. Plano_Detalhado'!$A$10:$H$197,MATCH(1,($E55='3. Plano_Detalhado'!$E$10:$E$197)*($F55='3. Plano_Detalhado'!$F$10:$F$197)*($C55='3. Plano_Detalhado'!$A$10:$A$197),0),4)</f>
        <v>2. Campo</v>
      </c>
      <c r="E55" s="185" t="s">
        <v>29</v>
      </c>
      <c r="F55" s="26" t="s">
        <v>71</v>
      </c>
      <c r="G55" s="186" t="str" cm="1">
        <f t="array" ref="G55">IF(INDEX('3. Plano_Detalhado'!$A$10:$H$197,MATCH(1,($E55='3. Plano_Detalhado'!$E$10:$E$197)*($F55='3. Plano_Detalhado'!$F$10:$F$197)*($C55='3. Plano_Detalhado'!$A$10:$A$197),0),7)="","",INDEX('3. Plano_Detalhado'!$A$10:$H$197,MATCH(1,($E55='3. Plano_Detalhado'!$E$10:$E$197)*($F55='3. Plano_Detalhado'!$F$10:$F$197)*($C55='3. Plano_Detalhado'!$A$10:$A$197),0),7))</f>
        <v>1. Concluído</v>
      </c>
      <c r="H55" s="186" t="str" cm="1">
        <f t="array" ref="H55">IF(INDEX('3. Plano_Detalhado'!$A$10:$H$197,MATCH(1,($E55='3. Plano_Detalhado'!$E$10:$E$197)*($F55='3. Plano_Detalhado'!$F$10:$F$197)*($C55='3. Plano_Detalhado'!$A$10:$A$197),0),8)="","",INDEX('3. Plano_Detalhado'!$A$10:$H$197,MATCH(1,($E55='3. Plano_Detalhado'!$E$10:$E$197)*($F55='3. Plano_Detalhado'!$F$10:$F$197)*($C55='3. Plano_Detalhado'!$A$10:$A$197),0),8))</f>
        <v>1. Concluído</v>
      </c>
      <c r="I55" s="26" t="str" cm="1">
        <f t="array" ref="I55">IF(INDEX('3. Plano_Detalhado'!$A$10:$Q$196,MATCH(1,($E55='3. Plano_Detalhado'!$E$10:$E$196)*($F55='3. Plano_Detalhado'!$F$10:$F$196)*($C55='3. Plano_Detalhado'!$A$10:$A$196),0),17)="","",INDEX('3. Plano_Detalhado'!$A$10:$Q$196,MATCH(1,($E55='3. Plano_Detalhado'!$E$10:$E$196)*($F55='3. Plano_Detalhado'!$F$10:$F$196)*($C55='3. Plano_Detalhado'!$A$10:$A$196),0),17))</f>
        <v/>
      </c>
      <c r="J55" s="187"/>
      <c r="K55" s="188"/>
      <c r="L55" s="188"/>
      <c r="M55" s="188"/>
      <c r="N55" s="188"/>
    </row>
    <row r="56" spans="1:14" ht="16.399999999999999" customHeight="1">
      <c r="A56" s="2"/>
      <c r="B56" s="48" t="s">
        <v>35</v>
      </c>
      <c r="C56" s="184" t="s">
        <v>340</v>
      </c>
      <c r="D56" s="26" t="str" cm="1">
        <f t="array" ref="D56">INDEX('3. Plano_Detalhado'!$A$10:$H$197,MATCH(1,($E56='3. Plano_Detalhado'!$E$10:$E$197)*($F56='3. Plano_Detalhado'!$F$10:$F$197)*($C56='3. Plano_Detalhado'!$A$10:$A$197),0),4)</f>
        <v>2. Campo</v>
      </c>
      <c r="E56" s="185" t="s">
        <v>29</v>
      </c>
      <c r="F56" s="26" t="s">
        <v>72</v>
      </c>
      <c r="G56" s="186" t="str" cm="1">
        <f t="array" ref="G56">IF(INDEX('3. Plano_Detalhado'!$A$10:$H$197,MATCH(1,($E56='3. Plano_Detalhado'!$E$10:$E$197)*($F56='3. Plano_Detalhado'!$F$10:$F$197)*($C56='3. Plano_Detalhado'!$A$10:$A$197),0),7)="","",INDEX('3. Plano_Detalhado'!$A$10:$H$197,MATCH(1,($E56='3. Plano_Detalhado'!$E$10:$E$197)*($F56='3. Plano_Detalhado'!$F$10:$F$197)*($C56='3. Plano_Detalhado'!$A$10:$A$197),0),7))</f>
        <v>1. Concluído</v>
      </c>
      <c r="H56" s="186" t="str" cm="1">
        <f t="array" ref="H56">IF(INDEX('3. Plano_Detalhado'!$A$10:$H$197,MATCH(1,($E56='3. Plano_Detalhado'!$E$10:$E$197)*($F56='3. Plano_Detalhado'!$F$10:$F$197)*($C56='3. Plano_Detalhado'!$A$10:$A$197),0),8)="","",INDEX('3. Plano_Detalhado'!$A$10:$H$197,MATCH(1,($E56='3. Plano_Detalhado'!$E$10:$E$197)*($F56='3. Plano_Detalhado'!$F$10:$F$197)*($C56='3. Plano_Detalhado'!$A$10:$A$197),0),8))</f>
        <v>1. Concluído</v>
      </c>
      <c r="I56" s="26" t="str" cm="1">
        <f t="array" ref="I56">IF(INDEX('3. Plano_Detalhado'!$A$10:$Q$196,MATCH(1,($E56='3. Plano_Detalhado'!$E$10:$E$196)*($F56='3. Plano_Detalhado'!$F$10:$F$196)*($C56='3. Plano_Detalhado'!$A$10:$A$196),0),17)="","",INDEX('3. Plano_Detalhado'!$A$10:$Q$196,MATCH(1,($E56='3. Plano_Detalhado'!$E$10:$E$196)*($F56='3. Plano_Detalhado'!$F$10:$F$196)*($C56='3. Plano_Detalhado'!$A$10:$A$196),0),17))</f>
        <v/>
      </c>
      <c r="J56" s="187"/>
      <c r="K56" s="188"/>
      <c r="L56" s="188"/>
      <c r="M56" s="188"/>
      <c r="N56" s="188"/>
    </row>
    <row r="57" spans="1:14" ht="16.399999999999999" customHeight="1">
      <c r="A57" s="2"/>
      <c r="B57" s="48" t="s">
        <v>35</v>
      </c>
      <c r="C57" s="184" t="s">
        <v>340</v>
      </c>
      <c r="D57" s="26" t="str" cm="1">
        <f t="array" ref="D57">INDEX('3. Plano_Detalhado'!$A$10:$H$197,MATCH(1,($E57='3. Plano_Detalhado'!$E$10:$E$197)*($F57='3. Plano_Detalhado'!$F$10:$F$197)*($C57='3. Plano_Detalhado'!$A$10:$A$197),0),4)</f>
        <v>2. Campo</v>
      </c>
      <c r="E57" s="185" t="s">
        <v>29</v>
      </c>
      <c r="F57" s="26" t="s">
        <v>73</v>
      </c>
      <c r="G57" s="186" t="str" cm="1">
        <f t="array" ref="G57">IF(INDEX('3. Plano_Detalhado'!$A$10:$H$197,MATCH(1,($E57='3. Plano_Detalhado'!$E$10:$E$197)*($F57='3. Plano_Detalhado'!$F$10:$F$197)*($C57='3. Plano_Detalhado'!$A$10:$A$197),0),7)="","",INDEX('3. Plano_Detalhado'!$A$10:$H$197,MATCH(1,($E57='3. Plano_Detalhado'!$E$10:$E$197)*($F57='3. Plano_Detalhado'!$F$10:$F$197)*($C57='3. Plano_Detalhado'!$A$10:$A$197),0),7))</f>
        <v>1. Concluído</v>
      </c>
      <c r="H57" s="186" t="str" cm="1">
        <f t="array" ref="H57">IF(INDEX('3. Plano_Detalhado'!$A$10:$H$197,MATCH(1,($E57='3. Plano_Detalhado'!$E$10:$E$197)*($F57='3. Plano_Detalhado'!$F$10:$F$197)*($C57='3. Plano_Detalhado'!$A$10:$A$197),0),8)="","",INDEX('3. Plano_Detalhado'!$A$10:$H$197,MATCH(1,($E57='3. Plano_Detalhado'!$E$10:$E$197)*($F57='3. Plano_Detalhado'!$F$10:$F$197)*($C57='3. Plano_Detalhado'!$A$10:$A$197),0),8))</f>
        <v>1. Concluído</v>
      </c>
      <c r="I57" s="26" t="str" cm="1">
        <f t="array" ref="I57">IF(INDEX('3. Plano_Detalhado'!$A$10:$Q$196,MATCH(1,($E57='3. Plano_Detalhado'!$E$10:$E$196)*($F57='3. Plano_Detalhado'!$F$10:$F$196)*($C57='3. Plano_Detalhado'!$A$10:$A$196),0),17)="","",INDEX('3. Plano_Detalhado'!$A$10:$Q$196,MATCH(1,($E57='3. Plano_Detalhado'!$E$10:$E$196)*($F57='3. Plano_Detalhado'!$F$10:$F$196)*($C57='3. Plano_Detalhado'!$A$10:$A$196),0),17))</f>
        <v>Concluido do lado de PM</v>
      </c>
      <c r="J57" s="187"/>
      <c r="K57" s="188"/>
      <c r="L57" s="188"/>
      <c r="M57" s="188"/>
      <c r="N57" s="188"/>
    </row>
    <row r="58" spans="1:14" ht="16.399999999999999" customHeight="1">
      <c r="A58" s="2"/>
      <c r="B58" s="48" t="s">
        <v>35</v>
      </c>
      <c r="C58" s="184" t="s">
        <v>340</v>
      </c>
      <c r="D58" s="26" t="str" cm="1">
        <f t="array" ref="D58">INDEX('3. Plano_Detalhado'!$A$10:$H$197,MATCH(1,($E58='3. Plano_Detalhado'!$E$10:$E$197)*($F58='3. Plano_Detalhado'!$F$10:$F$197)*($C58='3. Plano_Detalhado'!$A$10:$A$197),0),4)</f>
        <v>2. Campo</v>
      </c>
      <c r="E58" s="185" t="s">
        <v>29</v>
      </c>
      <c r="F58" s="26" t="s">
        <v>74</v>
      </c>
      <c r="G58" s="186" t="str" cm="1">
        <f t="array" ref="G58">IF(INDEX('3. Plano_Detalhado'!$A$10:$H$197,MATCH(1,($E58='3. Plano_Detalhado'!$E$10:$E$197)*($F58='3. Plano_Detalhado'!$F$10:$F$197)*($C58='3. Plano_Detalhado'!$A$10:$A$197),0),7)="","",INDEX('3. Plano_Detalhado'!$A$10:$H$197,MATCH(1,($E58='3. Plano_Detalhado'!$E$10:$E$197)*($F58='3. Plano_Detalhado'!$F$10:$F$197)*($C58='3. Plano_Detalhado'!$A$10:$A$197),0),7))</f>
        <v>5. Por Iniciar</v>
      </c>
      <c r="H58" s="186" t="str" cm="1">
        <f t="array" ref="H58">IF(INDEX('3. Plano_Detalhado'!$A$10:$H$197,MATCH(1,($E58='3. Plano_Detalhado'!$E$10:$E$197)*($F58='3. Plano_Detalhado'!$F$10:$F$197)*($C58='3. Plano_Detalhado'!$A$10:$A$197),0),8)="","",INDEX('3. Plano_Detalhado'!$A$10:$H$197,MATCH(1,($E58='3. Plano_Detalhado'!$E$10:$E$197)*($F58='3. Plano_Detalhado'!$F$10:$F$197)*($C58='3. Plano_Detalhado'!$A$10:$A$197),0),8))</f>
        <v>1. Concluído</v>
      </c>
      <c r="I58" s="26" t="str" cm="1">
        <f t="array" ref="I58">IF(INDEX('3. Plano_Detalhado'!$A$10:$Q$196,MATCH(1,($E58='3. Plano_Detalhado'!$E$10:$E$196)*($F58='3. Plano_Detalhado'!$F$10:$F$196)*($C58='3. Plano_Detalhado'!$A$10:$A$196),0),17)="","",INDEX('3. Plano_Detalhado'!$A$10:$Q$196,MATCH(1,($E58='3. Plano_Detalhado'!$E$10:$E$196)*($F58='3. Plano_Detalhado'!$F$10:$F$196)*($C58='3. Plano_Detalhado'!$A$10:$A$196),0),17))</f>
        <v>No sprint 4 da equipa de LF (17/fev a 24/mar)</v>
      </c>
      <c r="J58" s="187"/>
      <c r="K58" s="188"/>
      <c r="L58" s="188"/>
      <c r="M58" s="188"/>
      <c r="N58" s="188"/>
    </row>
    <row r="59" spans="1:14" ht="16.399999999999999" customHeight="1">
      <c r="A59" s="2"/>
      <c r="B59" s="48" t="s">
        <v>35</v>
      </c>
      <c r="C59" s="184" t="s">
        <v>340</v>
      </c>
      <c r="D59" s="26" t="str" cm="1">
        <f t="array" ref="D59">INDEX('3. Plano_Detalhado'!$A$10:$H$197,MATCH(1,($E59='3. Plano_Detalhado'!$E$10:$E$197)*($F59='3. Plano_Detalhado'!$F$10:$F$197)*($C59='3. Plano_Detalhado'!$A$10:$A$197),0),4)</f>
        <v>2. Campo</v>
      </c>
      <c r="E59" s="185" t="s">
        <v>29</v>
      </c>
      <c r="F59" s="26" t="s">
        <v>75</v>
      </c>
      <c r="G59" s="186" t="str" cm="1">
        <f t="array" ref="G59">IF(INDEX('3. Plano_Detalhado'!$A$10:$H$197,MATCH(1,($E59='3. Plano_Detalhado'!$E$10:$E$197)*($F59='3. Plano_Detalhado'!$F$10:$F$197)*($C59='3. Plano_Detalhado'!$A$10:$A$197),0),7)="","",INDEX('3. Plano_Detalhado'!$A$10:$H$197,MATCH(1,($E59='3. Plano_Detalhado'!$E$10:$E$197)*($F59='3. Plano_Detalhado'!$F$10:$F$197)*($C59='3. Plano_Detalhado'!$A$10:$A$197),0),7))</f>
        <v>1. Concluído</v>
      </c>
      <c r="H59" s="186" t="str" cm="1">
        <f t="array" ref="H59">IF(INDEX('3. Plano_Detalhado'!$A$10:$H$197,MATCH(1,($E59='3. Plano_Detalhado'!$E$10:$E$197)*($F59='3. Plano_Detalhado'!$F$10:$F$197)*($C59='3. Plano_Detalhado'!$A$10:$A$197),0),8)="","",INDEX('3. Plano_Detalhado'!$A$10:$H$197,MATCH(1,($E59='3. Plano_Detalhado'!$E$10:$E$197)*($F59='3. Plano_Detalhado'!$F$10:$F$197)*($C59='3. Plano_Detalhado'!$A$10:$A$197),0),8))</f>
        <v>1. Concluído</v>
      </c>
      <c r="I59" s="26" t="str" cm="1">
        <f t="array" ref="I59">IF(INDEX('3. Plano_Detalhado'!$A$10:$Q$196,MATCH(1,($E59='3. Plano_Detalhado'!$E$10:$E$196)*($F59='3. Plano_Detalhado'!$F$10:$F$196)*($C59='3. Plano_Detalhado'!$A$10:$A$196),0),17)="","",INDEX('3. Plano_Detalhado'!$A$10:$Q$196,MATCH(1,($E59='3. Plano_Detalhado'!$E$10:$E$196)*($F59='3. Plano_Detalhado'!$F$10:$F$196)*($C59='3. Plano_Detalhado'!$A$10:$A$196),0),17))</f>
        <v/>
      </c>
      <c r="J59" s="187"/>
      <c r="K59" s="188"/>
      <c r="L59" s="188"/>
      <c r="M59" s="188"/>
      <c r="N59" s="188"/>
    </row>
    <row r="60" spans="1:14" ht="16.399999999999999" customHeight="1">
      <c r="A60" s="2"/>
      <c r="B60" s="48" t="s">
        <v>35</v>
      </c>
      <c r="C60" s="184" t="s">
        <v>340</v>
      </c>
      <c r="D60" s="26" t="str" cm="1">
        <f t="array" ref="D60">INDEX('3. Plano_Detalhado'!$A$10:$H$197,MATCH(1,($E60='3. Plano_Detalhado'!$E$10:$E$197)*($F60='3. Plano_Detalhado'!$F$10:$F$197)*($C60='3. Plano_Detalhado'!$A$10:$A$197),0),4)</f>
        <v>2. Campo</v>
      </c>
      <c r="E60" s="185" t="s">
        <v>29</v>
      </c>
      <c r="F60" s="26" t="s">
        <v>76</v>
      </c>
      <c r="G60" s="186" t="str" cm="1">
        <f t="array" ref="G60">IF(INDEX('3. Plano_Detalhado'!$A$10:$H$197,MATCH(1,($E60='3. Plano_Detalhado'!$E$10:$E$197)*($F60='3. Plano_Detalhado'!$F$10:$F$197)*($C60='3. Plano_Detalhado'!$A$10:$A$197),0),7)="","",INDEX('3. Plano_Detalhado'!$A$10:$H$197,MATCH(1,($E60='3. Plano_Detalhado'!$E$10:$E$197)*($F60='3. Plano_Detalhado'!$F$10:$F$197)*($C60='3. Plano_Detalhado'!$A$10:$A$197),0),7))</f>
        <v>5. Por Iniciar</v>
      </c>
      <c r="H60" s="186" t="str" cm="1">
        <f t="array" ref="H60">IF(INDEX('3. Plano_Detalhado'!$A$10:$H$197,MATCH(1,($E60='3. Plano_Detalhado'!$E$10:$E$197)*($F60='3. Plano_Detalhado'!$F$10:$F$197)*($C60='3. Plano_Detalhado'!$A$10:$A$197),0),8)="","",INDEX('3. Plano_Detalhado'!$A$10:$H$197,MATCH(1,($E60='3. Plano_Detalhado'!$E$10:$E$197)*($F60='3. Plano_Detalhado'!$F$10:$F$197)*($C60='3. Plano_Detalhado'!$A$10:$A$197),0),8))</f>
        <v>1. Concluído</v>
      </c>
      <c r="I60" s="26" t="str" cm="1">
        <f t="array" ref="I60">IF(INDEX('3. Plano_Detalhado'!$A$10:$Q$196,MATCH(1,($E60='3. Plano_Detalhado'!$E$10:$E$196)*($F60='3. Plano_Detalhado'!$F$10:$F$196)*($C60='3. Plano_Detalhado'!$A$10:$A$196),0),17)="","",INDEX('3. Plano_Detalhado'!$A$10:$Q$196,MATCH(1,($E60='3. Plano_Detalhado'!$E$10:$E$196)*($F60='3. Plano_Detalhado'!$F$10:$F$196)*($C60='3. Plano_Detalhado'!$A$10:$A$196),0),17))</f>
        <v>No sprint 3 da equipa de LF (5/mai a 23/jun)</v>
      </c>
      <c r="J60" s="187"/>
      <c r="K60" s="188"/>
      <c r="L60" s="188"/>
      <c r="M60" s="188"/>
      <c r="N60" s="188"/>
    </row>
    <row r="61" spans="1:14" ht="16.399999999999999" customHeight="1">
      <c r="A61" s="2"/>
      <c r="B61" s="48" t="s">
        <v>35</v>
      </c>
      <c r="C61" s="184" t="s">
        <v>340</v>
      </c>
      <c r="D61" s="26" t="str" cm="1">
        <f t="array" ref="D61">INDEX('3. Plano_Detalhado'!$A$10:$H$197,MATCH(1,($E61='3. Plano_Detalhado'!$E$10:$E$197)*($F61='3. Plano_Detalhado'!$F$10:$F$197)*($C61='3. Plano_Detalhado'!$A$10:$A$197),0),4)</f>
        <v>2. Campo</v>
      </c>
      <c r="E61" s="185" t="s">
        <v>29</v>
      </c>
      <c r="F61" s="26" t="s">
        <v>77</v>
      </c>
      <c r="G61" s="186" t="str" cm="1">
        <f t="array" ref="G61">IF(INDEX('3. Plano_Detalhado'!$A$10:$H$197,MATCH(1,($E61='3. Plano_Detalhado'!$E$10:$E$197)*($F61='3. Plano_Detalhado'!$F$10:$F$197)*($C61='3. Plano_Detalhado'!$A$10:$A$197),0),7)="","",INDEX('3. Plano_Detalhado'!$A$10:$H$197,MATCH(1,($E61='3. Plano_Detalhado'!$E$10:$E$197)*($F61='3. Plano_Detalhado'!$F$10:$F$197)*($C61='3. Plano_Detalhado'!$A$10:$A$197),0),7))</f>
        <v>1. Concluído</v>
      </c>
      <c r="H61" s="186" t="str" cm="1">
        <f t="array" ref="H61">IF(INDEX('3. Plano_Detalhado'!$A$10:$H$197,MATCH(1,($E61='3. Plano_Detalhado'!$E$10:$E$197)*($F61='3. Plano_Detalhado'!$F$10:$F$197)*($C61='3. Plano_Detalhado'!$A$10:$A$197),0),8)="","",INDEX('3. Plano_Detalhado'!$A$10:$H$197,MATCH(1,($E61='3. Plano_Detalhado'!$E$10:$E$197)*($F61='3. Plano_Detalhado'!$F$10:$F$197)*($C61='3. Plano_Detalhado'!$A$10:$A$197),0),8))</f>
        <v>1. Concluído</v>
      </c>
      <c r="I61" s="26" t="str" cm="1">
        <f t="array" ref="I61">IF(INDEX('3. Plano_Detalhado'!$A$10:$Q$196,MATCH(1,($E61='3. Plano_Detalhado'!$E$10:$E$196)*($F61='3. Plano_Detalhado'!$F$10:$F$196)*($C61='3. Plano_Detalhado'!$A$10:$A$196),0),17)="","",INDEX('3. Plano_Detalhado'!$A$10:$Q$196,MATCH(1,($E61='3. Plano_Detalhado'!$E$10:$E$196)*($F61='3. Plano_Detalhado'!$F$10:$F$196)*($C61='3. Plano_Detalhado'!$A$10:$A$196),0),17))</f>
        <v/>
      </c>
      <c r="J61" s="187"/>
      <c r="K61" s="188"/>
      <c r="L61" s="188"/>
      <c r="M61" s="188"/>
      <c r="N61" s="188"/>
    </row>
    <row r="62" spans="1:14" ht="16.399999999999999" customHeight="1">
      <c r="A62" s="2"/>
      <c r="B62" s="48" t="s">
        <v>35</v>
      </c>
      <c r="C62" s="184" t="s">
        <v>340</v>
      </c>
      <c r="D62" s="26" t="str" cm="1">
        <f t="array" ref="D62">INDEX('3. Plano_Detalhado'!$A$10:$H$197,MATCH(1,($E62='3. Plano_Detalhado'!$E$10:$E$197)*($F62='3. Plano_Detalhado'!$F$10:$F$197)*($C62='3. Plano_Detalhado'!$A$10:$A$197),0),4)</f>
        <v>2. Campo</v>
      </c>
      <c r="E62" s="185" t="s">
        <v>29</v>
      </c>
      <c r="F62" s="26" t="s">
        <v>78</v>
      </c>
      <c r="G62" s="186" t="str" cm="1">
        <f t="array" ref="G62">IF(INDEX('3. Plano_Detalhado'!$A$10:$H$197,MATCH(1,($E62='3. Plano_Detalhado'!$E$10:$E$197)*($F62='3. Plano_Detalhado'!$F$10:$F$197)*($C62='3. Plano_Detalhado'!$A$10:$A$197),0),7)="","",INDEX('3. Plano_Detalhado'!$A$10:$H$197,MATCH(1,($E62='3. Plano_Detalhado'!$E$10:$E$197)*($F62='3. Plano_Detalhado'!$F$10:$F$197)*($C62='3. Plano_Detalhado'!$A$10:$A$197),0),7))</f>
        <v>1. Concluído</v>
      </c>
      <c r="H62" s="186" t="str" cm="1">
        <f t="array" ref="H62">IF(INDEX('3. Plano_Detalhado'!$A$10:$H$197,MATCH(1,($E62='3. Plano_Detalhado'!$E$10:$E$197)*($F62='3. Plano_Detalhado'!$F$10:$F$197)*($C62='3. Plano_Detalhado'!$A$10:$A$197),0),8)="","",INDEX('3. Plano_Detalhado'!$A$10:$H$197,MATCH(1,($E62='3. Plano_Detalhado'!$E$10:$E$197)*($F62='3. Plano_Detalhado'!$F$10:$F$197)*($C62='3. Plano_Detalhado'!$A$10:$A$197),0),8))</f>
        <v>1. Concluído</v>
      </c>
      <c r="I62" s="26" t="str" cm="1">
        <f t="array" ref="I62">IF(INDEX('3. Plano_Detalhado'!$A$10:$Q$196,MATCH(1,($E62='3. Plano_Detalhado'!$E$10:$E$196)*($F62='3. Plano_Detalhado'!$F$10:$F$196)*($C62='3. Plano_Detalhado'!$A$10:$A$196),0),17)="","",INDEX('3. Plano_Detalhado'!$A$10:$Q$196,MATCH(1,($E62='3. Plano_Detalhado'!$E$10:$E$196)*($F62='3. Plano_Detalhado'!$F$10:$F$196)*($C62='3. Plano_Detalhado'!$A$10:$A$196),0),17))</f>
        <v>31/jan: 30/set/24 não existiam inconsistências na máquina Corporativa</v>
      </c>
      <c r="J62" s="187"/>
      <c r="K62" s="188"/>
      <c r="L62" s="188"/>
      <c r="M62" s="188"/>
      <c r="N62" s="188"/>
    </row>
    <row r="63" spans="1:14" ht="16.399999999999999" customHeight="1">
      <c r="A63" s="2"/>
      <c r="B63" s="48" t="s">
        <v>35</v>
      </c>
      <c r="C63" s="184" t="s">
        <v>340</v>
      </c>
      <c r="D63" s="26" t="str" cm="1">
        <f t="array" ref="D63">INDEX('3. Plano_Detalhado'!$A$10:$H$197,MATCH(1,($E63='3. Plano_Detalhado'!$E$10:$E$197)*($F63='3. Plano_Detalhado'!$F$10:$F$197)*($C63='3. Plano_Detalhado'!$A$10:$A$197),0),4)</f>
        <v>2. Campo</v>
      </c>
      <c r="E63" s="185" t="s">
        <v>29</v>
      </c>
      <c r="F63" s="26" t="s">
        <v>57</v>
      </c>
      <c r="G63" s="186" t="str" cm="1">
        <f t="array" ref="G63">IF(INDEX('3. Plano_Detalhado'!$A$10:$H$197,MATCH(1,($E63='3. Plano_Detalhado'!$E$10:$E$197)*($F63='3. Plano_Detalhado'!$F$10:$F$197)*($C63='3. Plano_Detalhado'!$A$10:$A$197),0),7)="","",INDEX('3. Plano_Detalhado'!$A$10:$H$197,MATCH(1,($E63='3. Plano_Detalhado'!$E$10:$E$197)*($F63='3. Plano_Detalhado'!$F$10:$F$197)*($C63='3. Plano_Detalhado'!$A$10:$A$197),0),7))</f>
        <v>1. Concluído</v>
      </c>
      <c r="H63" s="186" t="str" cm="1">
        <f t="array" ref="H63">IF(INDEX('3. Plano_Detalhado'!$A$10:$H$197,MATCH(1,($E63='3. Plano_Detalhado'!$E$10:$E$197)*($F63='3. Plano_Detalhado'!$F$10:$F$197)*($C63='3. Plano_Detalhado'!$A$10:$A$197),0),8)="","",INDEX('3. Plano_Detalhado'!$A$10:$H$197,MATCH(1,($E63='3. Plano_Detalhado'!$E$10:$E$197)*($F63='3. Plano_Detalhado'!$F$10:$F$197)*($C63='3. Plano_Detalhado'!$A$10:$A$197),0),8))</f>
        <v>1. Concluído</v>
      </c>
      <c r="I63" s="26" t="str" cm="1">
        <f t="array" ref="I63">IF(INDEX('3. Plano_Detalhado'!$A$10:$Q$196,MATCH(1,($E63='3. Plano_Detalhado'!$E$10:$E$196)*($F63='3. Plano_Detalhado'!$F$10:$F$196)*($C63='3. Plano_Detalhado'!$A$10:$A$196),0),17)="","",INDEX('3. Plano_Detalhado'!$A$10:$Q$196,MATCH(1,($E63='3. Plano_Detalhado'!$E$10:$E$196)*($F63='3. Plano_Detalhado'!$F$10:$F$196)*($C63='3. Plano_Detalhado'!$A$10:$A$196),0),17))</f>
        <v>31/jan: A 30/set/24 não existiam inconsistências na máquina Corporativa.</v>
      </c>
      <c r="J63" s="187"/>
      <c r="K63" s="188"/>
      <c r="L63" s="188"/>
      <c r="M63" s="188"/>
      <c r="N63" s="188"/>
    </row>
    <row r="64" spans="1:14" ht="16.399999999999999" customHeight="1">
      <c r="A64" s="2"/>
      <c r="B64" s="48" t="s">
        <v>35</v>
      </c>
      <c r="C64" s="184" t="s">
        <v>340</v>
      </c>
      <c r="D64" s="26" t="str" cm="1">
        <f t="array" ref="D64">INDEX('3. Plano_Detalhado'!$A$10:$H$197,MATCH(1,($E64='3. Plano_Detalhado'!$E$10:$E$197)*($F64='3. Plano_Detalhado'!$F$10:$F$197)*($C64='3. Plano_Detalhado'!$A$10:$A$197),0),4)</f>
        <v>2. Campo</v>
      </c>
      <c r="E64" s="185" t="s">
        <v>29</v>
      </c>
      <c r="F64" s="26" t="s">
        <v>66</v>
      </c>
      <c r="G64" s="186" t="str" cm="1">
        <f t="array" ref="G64">IF(INDEX('3. Plano_Detalhado'!$A$10:$H$197,MATCH(1,($E64='3. Plano_Detalhado'!$E$10:$E$197)*($F64='3. Plano_Detalhado'!$F$10:$F$197)*($C64='3. Plano_Detalhado'!$A$10:$A$197),0),7)="","",INDEX('3. Plano_Detalhado'!$A$10:$H$197,MATCH(1,($E64='3. Plano_Detalhado'!$E$10:$E$197)*($F64='3. Plano_Detalhado'!$F$10:$F$197)*($C64='3. Plano_Detalhado'!$A$10:$A$197),0),7))</f>
        <v>5. Por Iniciar</v>
      </c>
      <c r="H64" s="186" t="str" cm="1">
        <f t="array" ref="H64">IF(INDEX('3. Plano_Detalhado'!$A$10:$H$197,MATCH(1,($E64='3. Plano_Detalhado'!$E$10:$E$197)*($F64='3. Plano_Detalhado'!$F$10:$F$197)*($C64='3. Plano_Detalhado'!$A$10:$A$197),0),8)="","",INDEX('3. Plano_Detalhado'!$A$10:$H$197,MATCH(1,($E64='3. Plano_Detalhado'!$E$10:$E$197)*($F64='3. Plano_Detalhado'!$F$10:$F$197)*($C64='3. Plano_Detalhado'!$A$10:$A$197),0),8))</f>
        <v>1. Concluído</v>
      </c>
      <c r="I64" s="26" t="str" cm="1">
        <f t="array" ref="I64">IF(INDEX('3. Plano_Detalhado'!$A$10:$Q$196,MATCH(1,($E64='3. Plano_Detalhado'!$E$10:$E$196)*($F64='3. Plano_Detalhado'!$F$10:$F$196)*($C64='3. Plano_Detalhado'!$A$10:$A$196),0),17)="","",INDEX('3. Plano_Detalhado'!$A$10:$Q$196,MATCH(1,($E64='3. Plano_Detalhado'!$E$10:$E$196)*($F64='3. Plano_Detalhado'!$F$10:$F$196)*($C64='3. Plano_Detalhado'!$A$10:$A$196),0),17))</f>
        <v>No sprint 3 da equipa de LF (5/mai a 23/jun)</v>
      </c>
      <c r="J64" s="187"/>
      <c r="K64" s="188"/>
      <c r="L64" s="188"/>
      <c r="M64" s="188"/>
      <c r="N64" s="188"/>
    </row>
    <row r="65" spans="1:14" ht="16.399999999999999" customHeight="1">
      <c r="A65" s="2"/>
      <c r="B65" s="48" t="s">
        <v>35</v>
      </c>
      <c r="C65" s="184" t="s">
        <v>340</v>
      </c>
      <c r="D65" s="26" t="str" cm="1">
        <f t="array" ref="D65">INDEX('3. Plano_Detalhado'!$A$10:$H$197,MATCH(1,($E65='3. Plano_Detalhado'!$E$10:$E$197)*($F65='3. Plano_Detalhado'!$F$10:$F$197)*($C65='3. Plano_Detalhado'!$A$10:$A$197),0),4)</f>
        <v>2. Campo</v>
      </c>
      <c r="E65" s="185" t="s">
        <v>275</v>
      </c>
      <c r="F65" s="26" t="s">
        <v>51</v>
      </c>
      <c r="G65" s="186" t="str" cm="1">
        <f t="array" ref="G65">IF(INDEX('3. Plano_Detalhado'!$A$10:$H$197,MATCH(1,($E65='3. Plano_Detalhado'!$E$10:$E$197)*($F65='3. Plano_Detalhado'!$F$10:$F$197)*($C65='3. Plano_Detalhado'!$A$10:$A$197),0),7)="","",INDEX('3. Plano_Detalhado'!$A$10:$H$197,MATCH(1,($E65='3. Plano_Detalhado'!$E$10:$E$197)*($F65='3. Plano_Detalhado'!$F$10:$F$197)*($C65='3. Plano_Detalhado'!$A$10:$A$197),0),7))</f>
        <v>1. Concluído</v>
      </c>
      <c r="H65" s="186" t="str" cm="1">
        <f t="array" ref="H65">IF(INDEX('3. Plano_Detalhado'!$A$10:$H$197,MATCH(1,($E65='3. Plano_Detalhado'!$E$10:$E$197)*($F65='3. Plano_Detalhado'!$F$10:$F$197)*($C65='3. Plano_Detalhado'!$A$10:$A$197),0),8)="","",INDEX('3. Plano_Detalhado'!$A$10:$H$197,MATCH(1,($E65='3. Plano_Detalhado'!$E$10:$E$197)*($F65='3. Plano_Detalhado'!$F$10:$F$197)*($C65='3. Plano_Detalhado'!$A$10:$A$197),0),8))</f>
        <v>1. Concluído</v>
      </c>
      <c r="I65" s="26" t="str" cm="1">
        <f t="array" ref="I65">IF(INDEX('3. Plano_Detalhado'!$A$10:$Q$196,MATCH(1,($E65='3. Plano_Detalhado'!$E$10:$E$196)*($F65='3. Plano_Detalhado'!$F$10:$F$196)*($C65='3. Plano_Detalhado'!$A$10:$A$196),0),17)="","",INDEX('3. Plano_Detalhado'!$A$10:$Q$196,MATCH(1,($E65='3. Plano_Detalhado'!$E$10:$E$196)*($F65='3. Plano_Detalhado'!$F$10:$F$196)*($C65='3. Plano_Detalhado'!$A$10:$A$196),0),17))</f>
        <v/>
      </c>
      <c r="J65" s="187"/>
      <c r="K65" s="188"/>
      <c r="L65" s="188"/>
      <c r="M65" s="188"/>
      <c r="N65" s="188"/>
    </row>
    <row r="66" spans="1:14" ht="16.399999999999999" customHeight="1">
      <c r="A66" s="2"/>
      <c r="B66" s="48" t="s">
        <v>35</v>
      </c>
      <c r="C66" s="184" t="s">
        <v>340</v>
      </c>
      <c r="D66" s="26" t="str" cm="1">
        <f t="array" ref="D66">INDEX('3. Plano_Detalhado'!$A$10:$H$197,MATCH(1,($E66='3. Plano_Detalhado'!$E$10:$E$197)*($F66='3. Plano_Detalhado'!$F$10:$F$197)*($C66='3. Plano_Detalhado'!$A$10:$A$197),0),4)</f>
        <v>2. Campo</v>
      </c>
      <c r="E66" s="185" t="s">
        <v>275</v>
      </c>
      <c r="F66" s="26" t="s">
        <v>52</v>
      </c>
      <c r="G66" s="186" t="str" cm="1">
        <f t="array" ref="G66">IF(INDEX('3. Plano_Detalhado'!$A$10:$H$197,MATCH(1,($E66='3. Plano_Detalhado'!$E$10:$E$197)*($F66='3. Plano_Detalhado'!$F$10:$F$197)*($C66='3. Plano_Detalhado'!$A$10:$A$197),0),7)="","",INDEX('3. Plano_Detalhado'!$A$10:$H$197,MATCH(1,($E66='3. Plano_Detalhado'!$E$10:$E$197)*($F66='3. Plano_Detalhado'!$F$10:$F$197)*($C66='3. Plano_Detalhado'!$A$10:$A$197),0),7))</f>
        <v>1. Concluído</v>
      </c>
      <c r="H66" s="186" t="str" cm="1">
        <f t="array" ref="H66">IF(INDEX('3. Plano_Detalhado'!$A$10:$H$197,MATCH(1,($E66='3. Plano_Detalhado'!$E$10:$E$197)*($F66='3. Plano_Detalhado'!$F$10:$F$197)*($C66='3. Plano_Detalhado'!$A$10:$A$197),0),8)="","",INDEX('3. Plano_Detalhado'!$A$10:$H$197,MATCH(1,($E66='3. Plano_Detalhado'!$E$10:$E$197)*($F66='3. Plano_Detalhado'!$F$10:$F$197)*($C66='3. Plano_Detalhado'!$A$10:$A$197),0),8))</f>
        <v>1. Concluído</v>
      </c>
      <c r="I66" s="26" t="str" cm="1">
        <f t="array" ref="I66">IF(INDEX('3. Plano_Detalhado'!$A$10:$Q$196,MATCH(1,($E66='3. Plano_Detalhado'!$E$10:$E$196)*($F66='3. Plano_Detalhado'!$F$10:$F$196)*($C66='3. Plano_Detalhado'!$A$10:$A$196),0),17)="","",INDEX('3. Plano_Detalhado'!$A$10:$Q$196,MATCH(1,($E66='3. Plano_Detalhado'!$E$10:$E$196)*($F66='3. Plano_Detalhado'!$F$10:$F$196)*($C66='3. Plano_Detalhado'!$A$10:$A$196),0),17))</f>
        <v/>
      </c>
      <c r="J66" s="187"/>
      <c r="K66" s="188"/>
      <c r="L66" s="188"/>
      <c r="M66" s="188"/>
      <c r="N66" s="188"/>
    </row>
    <row r="67" spans="1:14" ht="16.399999999999999" customHeight="1">
      <c r="A67" s="2"/>
      <c r="B67" s="48" t="s">
        <v>35</v>
      </c>
      <c r="C67" s="184" t="s">
        <v>340</v>
      </c>
      <c r="D67" s="26" t="str" cm="1">
        <f t="array" ref="D67">INDEX('3. Plano_Detalhado'!$A$10:$H$197,MATCH(1,($E67='3. Plano_Detalhado'!$E$10:$E$197)*($F67='3. Plano_Detalhado'!$F$10:$F$197)*($C67='3. Plano_Detalhado'!$A$10:$A$197),0),4)</f>
        <v>2. Campo</v>
      </c>
      <c r="E67" s="185" t="s">
        <v>275</v>
      </c>
      <c r="F67" s="26" t="s">
        <v>53</v>
      </c>
      <c r="G67" s="186" t="str" cm="1">
        <f t="array" ref="G67">IF(INDEX('3. Plano_Detalhado'!$A$10:$H$197,MATCH(1,($E67='3. Plano_Detalhado'!$E$10:$E$197)*($F67='3. Plano_Detalhado'!$F$10:$F$197)*($C67='3. Plano_Detalhado'!$A$10:$A$197),0),7)="","",INDEX('3. Plano_Detalhado'!$A$10:$H$197,MATCH(1,($E67='3. Plano_Detalhado'!$E$10:$E$197)*($F67='3. Plano_Detalhado'!$F$10:$F$197)*($C67='3. Plano_Detalhado'!$A$10:$A$197),0),7))</f>
        <v>1. Concluído</v>
      </c>
      <c r="H67" s="186" t="str" cm="1">
        <f t="array" ref="H67">IF(INDEX('3. Plano_Detalhado'!$A$10:$H$197,MATCH(1,($E67='3. Plano_Detalhado'!$E$10:$E$197)*($F67='3. Plano_Detalhado'!$F$10:$F$197)*($C67='3. Plano_Detalhado'!$A$10:$A$197),0),8)="","",INDEX('3. Plano_Detalhado'!$A$10:$H$197,MATCH(1,($E67='3. Plano_Detalhado'!$E$10:$E$197)*($F67='3. Plano_Detalhado'!$F$10:$F$197)*($C67='3. Plano_Detalhado'!$A$10:$A$197),0),8))</f>
        <v>1. Concluído</v>
      </c>
      <c r="I67" s="26" t="str" cm="1">
        <f t="array" ref="I67">IF(INDEX('3. Plano_Detalhado'!$A$10:$Q$196,MATCH(1,($E67='3. Plano_Detalhado'!$E$10:$E$196)*($F67='3. Plano_Detalhado'!$F$10:$F$196)*($C67='3. Plano_Detalhado'!$A$10:$A$196),0),17)="","",INDEX('3. Plano_Detalhado'!$A$10:$Q$196,MATCH(1,($E67='3. Plano_Detalhado'!$E$10:$E$196)*($F67='3. Plano_Detalhado'!$F$10:$F$196)*($C67='3. Plano_Detalhado'!$A$10:$A$196),0),17))</f>
        <v/>
      </c>
      <c r="J67" s="187"/>
      <c r="K67" s="188"/>
      <c r="L67" s="188"/>
      <c r="M67" s="188"/>
      <c r="N67" s="188"/>
    </row>
    <row r="68" spans="1:14" ht="16.399999999999999" customHeight="1">
      <c r="A68" s="2"/>
      <c r="B68" s="48" t="s">
        <v>35</v>
      </c>
      <c r="C68" s="184" t="s">
        <v>340</v>
      </c>
      <c r="D68" s="26" t="str" cm="1">
        <f t="array" ref="D68">INDEX('3. Plano_Detalhado'!$A$10:$H$197,MATCH(1,($E68='3. Plano_Detalhado'!$E$10:$E$197)*($F68='3. Plano_Detalhado'!$F$10:$F$197)*($C68='3. Plano_Detalhado'!$A$10:$A$197),0),4)</f>
        <v>2. Campo</v>
      </c>
      <c r="E68" s="185" t="s">
        <v>275</v>
      </c>
      <c r="F68" s="26" t="s">
        <v>113</v>
      </c>
      <c r="G68" s="186" t="str" cm="1">
        <f t="array" ref="G68">IF(INDEX('3. Plano_Detalhado'!$A$10:$H$197,MATCH(1,($E68='3. Plano_Detalhado'!$E$10:$E$197)*($F68='3. Plano_Detalhado'!$F$10:$F$197)*($C68='3. Plano_Detalhado'!$A$10:$A$197),0),7)="","",INDEX('3. Plano_Detalhado'!$A$10:$H$197,MATCH(1,($E68='3. Plano_Detalhado'!$E$10:$E$197)*($F68='3. Plano_Detalhado'!$F$10:$F$197)*($C68='3. Plano_Detalhado'!$A$10:$A$197),0),7))</f>
        <v>1. Concluído</v>
      </c>
      <c r="H68" s="186" t="str" cm="1">
        <f t="array" ref="H68">IF(INDEX('3. Plano_Detalhado'!$A$10:$H$197,MATCH(1,($E68='3. Plano_Detalhado'!$E$10:$E$197)*($F68='3. Plano_Detalhado'!$F$10:$F$197)*($C68='3. Plano_Detalhado'!$A$10:$A$197),0),8)="","",INDEX('3. Plano_Detalhado'!$A$10:$H$197,MATCH(1,($E68='3. Plano_Detalhado'!$E$10:$E$197)*($F68='3. Plano_Detalhado'!$F$10:$F$197)*($C68='3. Plano_Detalhado'!$A$10:$A$197),0),8))</f>
        <v>1. Concluído</v>
      </c>
      <c r="I68" s="26" t="str" cm="1">
        <f t="array" ref="I68">IF(INDEX('3. Plano_Detalhado'!$A$10:$Q$196,MATCH(1,($E68='3. Plano_Detalhado'!$E$10:$E$196)*($F68='3. Plano_Detalhado'!$F$10:$F$196)*($C68='3. Plano_Detalhado'!$A$10:$A$196),0),17)="","",INDEX('3. Plano_Detalhado'!$A$10:$Q$196,MATCH(1,($E68='3. Plano_Detalhado'!$E$10:$E$196)*($F68='3. Plano_Detalhado'!$F$10:$F$196)*($C68='3. Plano_Detalhado'!$A$10:$A$196),0),17))</f>
        <v/>
      </c>
      <c r="J68" s="187"/>
      <c r="K68" s="188"/>
      <c r="L68" s="188"/>
      <c r="M68" s="188"/>
      <c r="N68" s="188"/>
    </row>
    <row r="69" spans="1:14" ht="16.399999999999999" customHeight="1">
      <c r="A69" s="2"/>
      <c r="B69" s="48" t="s">
        <v>35</v>
      </c>
      <c r="C69" s="184" t="s">
        <v>340</v>
      </c>
      <c r="D69" s="26" t="str" cm="1">
        <f t="array" ref="D69">INDEX('3. Plano_Detalhado'!$A$10:$H$197,MATCH(1,($E69='3. Plano_Detalhado'!$E$10:$E$197)*($F69='3. Plano_Detalhado'!$F$10:$F$197)*($C69='3. Plano_Detalhado'!$A$10:$A$197),0),4)</f>
        <v>2. Campo</v>
      </c>
      <c r="E69" s="185" t="s">
        <v>28</v>
      </c>
      <c r="F69" s="26" t="s">
        <v>51</v>
      </c>
      <c r="G69" s="186" t="str" cm="1">
        <f t="array" ref="G69">IF(INDEX('3. Plano_Detalhado'!$A$10:$H$197,MATCH(1,($E69='3. Plano_Detalhado'!$E$10:$E$197)*($F69='3. Plano_Detalhado'!$F$10:$F$197)*($C69='3. Plano_Detalhado'!$A$10:$A$197),0),7)="","",INDEX('3. Plano_Detalhado'!$A$10:$H$197,MATCH(1,($E69='3. Plano_Detalhado'!$E$10:$E$197)*($F69='3. Plano_Detalhado'!$F$10:$F$197)*($C69='3. Plano_Detalhado'!$A$10:$A$197),0),7))</f>
        <v>1. Concluído</v>
      </c>
      <c r="H69" s="186" t="str" cm="1">
        <f t="array" ref="H69">IF(INDEX('3. Plano_Detalhado'!$A$10:$H$197,MATCH(1,($E69='3. Plano_Detalhado'!$E$10:$E$197)*($F69='3. Plano_Detalhado'!$F$10:$F$197)*($C69='3. Plano_Detalhado'!$A$10:$A$197),0),8)="","",INDEX('3. Plano_Detalhado'!$A$10:$H$197,MATCH(1,($E69='3. Plano_Detalhado'!$E$10:$E$197)*($F69='3. Plano_Detalhado'!$F$10:$F$197)*($C69='3. Plano_Detalhado'!$A$10:$A$197),0),8))</f>
        <v>1. Concluído</v>
      </c>
      <c r="I69" s="26" t="str" cm="1">
        <f t="array" ref="I69">IF(INDEX('3. Plano_Detalhado'!$A$10:$Q$196,MATCH(1,($E69='3. Plano_Detalhado'!$E$10:$E$196)*($F69='3. Plano_Detalhado'!$F$10:$F$196)*($C69='3. Plano_Detalhado'!$A$10:$A$196),0),17)="","",INDEX('3. Plano_Detalhado'!$A$10:$Q$196,MATCH(1,($E69='3. Plano_Detalhado'!$E$10:$E$196)*($F69='3. Plano_Detalhado'!$F$10:$F$196)*($C69='3. Plano_Detalhado'!$A$10:$A$196),0),17))</f>
        <v/>
      </c>
      <c r="J69" s="187"/>
      <c r="K69" s="188"/>
      <c r="L69" s="188"/>
      <c r="M69" s="188"/>
      <c r="N69" s="188"/>
    </row>
    <row r="70" spans="1:14" ht="16.399999999999999" customHeight="1">
      <c r="A70" s="2"/>
      <c r="B70" s="48" t="s">
        <v>35</v>
      </c>
      <c r="C70" s="184" t="s">
        <v>340</v>
      </c>
      <c r="D70" s="26" t="str" cm="1">
        <f t="array" ref="D70">INDEX('3. Plano_Detalhado'!$A$10:$H$197,MATCH(1,($E70='3. Plano_Detalhado'!$E$10:$E$197)*($F70='3. Plano_Detalhado'!$F$10:$F$197)*($C70='3. Plano_Detalhado'!$A$10:$A$197),0),4)</f>
        <v>2. Campo</v>
      </c>
      <c r="E70" s="185" t="s">
        <v>28</v>
      </c>
      <c r="F70" s="26" t="s">
        <v>52</v>
      </c>
      <c r="G70" s="186" t="str" cm="1">
        <f t="array" ref="G70">IF(INDEX('3. Plano_Detalhado'!$A$10:$H$197,MATCH(1,($E70='3. Plano_Detalhado'!$E$10:$E$197)*($F70='3. Plano_Detalhado'!$F$10:$F$197)*($C70='3. Plano_Detalhado'!$A$10:$A$197),0),7)="","",INDEX('3. Plano_Detalhado'!$A$10:$H$197,MATCH(1,($E70='3. Plano_Detalhado'!$E$10:$E$197)*($F70='3. Plano_Detalhado'!$F$10:$F$197)*($C70='3. Plano_Detalhado'!$A$10:$A$197),0),7))</f>
        <v>1. Concluído</v>
      </c>
      <c r="H70" s="186" t="str" cm="1">
        <f t="array" ref="H70">IF(INDEX('3. Plano_Detalhado'!$A$10:$H$197,MATCH(1,($E70='3. Plano_Detalhado'!$E$10:$E$197)*($F70='3. Plano_Detalhado'!$F$10:$F$197)*($C70='3. Plano_Detalhado'!$A$10:$A$197),0),8)="","",INDEX('3. Plano_Detalhado'!$A$10:$H$197,MATCH(1,($E70='3. Plano_Detalhado'!$E$10:$E$197)*($F70='3. Plano_Detalhado'!$F$10:$F$197)*($C70='3. Plano_Detalhado'!$A$10:$A$197),0),8))</f>
        <v>1. Concluído</v>
      </c>
      <c r="I70" s="26" t="str" cm="1">
        <f t="array" ref="I70">IF(INDEX('3. Plano_Detalhado'!$A$10:$Q$196,MATCH(1,($E70='3. Plano_Detalhado'!$E$10:$E$196)*($F70='3. Plano_Detalhado'!$F$10:$F$196)*($C70='3. Plano_Detalhado'!$A$10:$A$196),0),17)="","",INDEX('3. Plano_Detalhado'!$A$10:$Q$196,MATCH(1,($E70='3. Plano_Detalhado'!$E$10:$E$196)*($F70='3. Plano_Detalhado'!$F$10:$F$196)*($C70='3. Plano_Detalhado'!$A$10:$A$196),0),17))</f>
        <v/>
      </c>
      <c r="J70" s="187"/>
      <c r="K70" s="188"/>
      <c r="L70" s="188"/>
      <c r="M70" s="188"/>
      <c r="N70" s="188"/>
    </row>
    <row r="71" spans="1:14" ht="16.399999999999999" customHeight="1">
      <c r="A71" s="2"/>
      <c r="B71" s="48" t="s">
        <v>35</v>
      </c>
      <c r="C71" s="184" t="s">
        <v>340</v>
      </c>
      <c r="D71" s="26" t="str" cm="1">
        <f t="array" ref="D71">INDEX('3. Plano_Detalhado'!$A$10:$H$197,MATCH(1,($E71='3. Plano_Detalhado'!$E$10:$E$197)*($F71='3. Plano_Detalhado'!$F$10:$F$197)*($C71='3. Plano_Detalhado'!$A$10:$A$197),0),4)</f>
        <v>2. Campo</v>
      </c>
      <c r="E71" s="185" t="s">
        <v>28</v>
      </c>
      <c r="F71" s="26" t="s">
        <v>113</v>
      </c>
      <c r="G71" s="186" t="str" cm="1">
        <f t="array" ref="G71">IF(INDEX('3. Plano_Detalhado'!$A$10:$H$197,MATCH(1,($E71='3. Plano_Detalhado'!$E$10:$E$197)*($F71='3. Plano_Detalhado'!$F$10:$F$197)*($C71='3. Plano_Detalhado'!$A$10:$A$197),0),7)="","",INDEX('3. Plano_Detalhado'!$A$10:$H$197,MATCH(1,($E71='3. Plano_Detalhado'!$E$10:$E$197)*($F71='3. Plano_Detalhado'!$F$10:$F$197)*($C71='3. Plano_Detalhado'!$A$10:$A$197),0),7))</f>
        <v>1. Concluído</v>
      </c>
      <c r="H71" s="186" t="str" cm="1">
        <f t="array" ref="H71">IF(INDEX('3. Plano_Detalhado'!$A$10:$H$197,MATCH(1,($E71='3. Plano_Detalhado'!$E$10:$E$197)*($F71='3. Plano_Detalhado'!$F$10:$F$197)*($C71='3. Plano_Detalhado'!$A$10:$A$197),0),8)="","",INDEX('3. Plano_Detalhado'!$A$10:$H$197,MATCH(1,($E71='3. Plano_Detalhado'!$E$10:$E$197)*($F71='3. Plano_Detalhado'!$F$10:$F$197)*($C71='3. Plano_Detalhado'!$A$10:$A$197),0),8))</f>
        <v>1. Concluído</v>
      </c>
      <c r="I71" s="26" t="str" cm="1">
        <f t="array" ref="I71">IF(INDEX('3. Plano_Detalhado'!$A$10:$Q$196,MATCH(1,($E71='3. Plano_Detalhado'!$E$10:$E$196)*($F71='3. Plano_Detalhado'!$F$10:$F$196)*($C71='3. Plano_Detalhado'!$A$10:$A$196),0),17)="","",INDEX('3. Plano_Detalhado'!$A$10:$Q$196,MATCH(1,($E71='3. Plano_Detalhado'!$E$10:$E$196)*($F71='3. Plano_Detalhado'!$F$10:$F$196)*($C71='3. Plano_Detalhado'!$A$10:$A$196),0),17))</f>
        <v/>
      </c>
      <c r="J71" s="187"/>
      <c r="K71" s="188"/>
      <c r="L71" s="188"/>
      <c r="M71" s="188"/>
      <c r="N71" s="188"/>
    </row>
    <row r="72" spans="1:14" ht="16.399999999999999" customHeight="1">
      <c r="A72" s="2"/>
      <c r="B72" s="48" t="s">
        <v>35</v>
      </c>
      <c r="C72" s="184" t="s">
        <v>340</v>
      </c>
      <c r="D72" s="26" t="str" cm="1">
        <f t="array" ref="D72">INDEX('3. Plano_Detalhado'!$A$10:$H$197,MATCH(1,($E72='3. Plano_Detalhado'!$E$10:$E$197)*($F72='3. Plano_Detalhado'!$F$10:$F$197)*($C72='3. Plano_Detalhado'!$A$10:$A$197),0),4)</f>
        <v>2. Campo</v>
      </c>
      <c r="E72" s="185" t="s">
        <v>28</v>
      </c>
      <c r="F72" s="26" t="s">
        <v>114</v>
      </c>
      <c r="G72" s="186" t="str" cm="1">
        <f t="array" ref="G72">IF(INDEX('3. Plano_Detalhado'!$A$10:$H$197,MATCH(1,($E72='3. Plano_Detalhado'!$E$10:$E$197)*($F72='3. Plano_Detalhado'!$F$10:$F$197)*($C72='3. Plano_Detalhado'!$A$10:$A$197),0),7)="","",INDEX('3. Plano_Detalhado'!$A$10:$H$197,MATCH(1,($E72='3. Plano_Detalhado'!$E$10:$E$197)*($F72='3. Plano_Detalhado'!$F$10:$F$197)*($C72='3. Plano_Detalhado'!$A$10:$A$197),0),7))</f>
        <v>1. Concluído</v>
      </c>
      <c r="H72" s="186" t="str" cm="1">
        <f t="array" ref="H72">IF(INDEX('3. Plano_Detalhado'!$A$10:$H$197,MATCH(1,($E72='3. Plano_Detalhado'!$E$10:$E$197)*($F72='3. Plano_Detalhado'!$F$10:$F$197)*($C72='3. Plano_Detalhado'!$A$10:$A$197),0),8)="","",INDEX('3. Plano_Detalhado'!$A$10:$H$197,MATCH(1,($E72='3. Plano_Detalhado'!$E$10:$E$197)*($F72='3. Plano_Detalhado'!$F$10:$F$197)*($C72='3. Plano_Detalhado'!$A$10:$A$197),0),8))</f>
        <v>1. Concluído</v>
      </c>
      <c r="I72" s="26" t="str" cm="1">
        <f t="array" ref="I72">IF(INDEX('3. Plano_Detalhado'!$A$10:$Q$196,MATCH(1,($E72='3. Plano_Detalhado'!$E$10:$E$196)*($F72='3. Plano_Detalhado'!$F$10:$F$196)*($C72='3. Plano_Detalhado'!$A$10:$A$196),0),17)="","",INDEX('3. Plano_Detalhado'!$A$10:$Q$196,MATCH(1,($E72='3. Plano_Detalhado'!$E$10:$E$196)*($F72='3. Plano_Detalhado'!$F$10:$F$196)*($C72='3. Plano_Detalhado'!$A$10:$A$196),0),17))</f>
        <v/>
      </c>
      <c r="J72" s="187"/>
      <c r="K72" s="188"/>
      <c r="L72" s="188"/>
      <c r="M72" s="188"/>
      <c r="N72" s="188"/>
    </row>
    <row r="73" spans="1:14" ht="16.399999999999999" customHeight="1">
      <c r="A73" s="2"/>
      <c r="B73" s="48" t="s">
        <v>35</v>
      </c>
      <c r="C73" s="184" t="s">
        <v>340</v>
      </c>
      <c r="D73" s="26" t="str" cm="1">
        <f t="array" ref="D73">INDEX('3. Plano_Detalhado'!$A$10:$H$197,MATCH(1,($E73='3. Plano_Detalhado'!$E$10:$E$197)*($F73='3. Plano_Detalhado'!$F$10:$F$197)*($C73='3. Plano_Detalhado'!$A$10:$A$197),0),4)</f>
        <v>2. Campo</v>
      </c>
      <c r="E73" s="185" t="s">
        <v>28</v>
      </c>
      <c r="F73" s="26" t="s">
        <v>115</v>
      </c>
      <c r="G73" s="186" t="str" cm="1">
        <f t="array" ref="G73">IF(INDEX('3. Plano_Detalhado'!$A$10:$H$197,MATCH(1,($E73='3. Plano_Detalhado'!$E$10:$E$197)*($F73='3. Plano_Detalhado'!$F$10:$F$197)*($C73='3. Plano_Detalhado'!$A$10:$A$197),0),7)="","",INDEX('3. Plano_Detalhado'!$A$10:$H$197,MATCH(1,($E73='3. Plano_Detalhado'!$E$10:$E$197)*($F73='3. Plano_Detalhado'!$F$10:$F$197)*($C73='3. Plano_Detalhado'!$A$10:$A$197),0),7))</f>
        <v>1. Concluído</v>
      </c>
      <c r="H73" s="186" t="str" cm="1">
        <f t="array" ref="H73">IF(INDEX('3. Plano_Detalhado'!$A$10:$H$197,MATCH(1,($E73='3. Plano_Detalhado'!$E$10:$E$197)*($F73='3. Plano_Detalhado'!$F$10:$F$197)*($C73='3. Plano_Detalhado'!$A$10:$A$197),0),8)="","",INDEX('3. Plano_Detalhado'!$A$10:$H$197,MATCH(1,($E73='3. Plano_Detalhado'!$E$10:$E$197)*($F73='3. Plano_Detalhado'!$F$10:$F$197)*($C73='3. Plano_Detalhado'!$A$10:$A$197),0),8))</f>
        <v>1. Concluído</v>
      </c>
      <c r="I73" s="26" t="str" cm="1">
        <f t="array" ref="I73">IF(INDEX('3. Plano_Detalhado'!$A$10:$Q$196,MATCH(1,($E73='3. Plano_Detalhado'!$E$10:$E$196)*($F73='3. Plano_Detalhado'!$F$10:$F$196)*($C73='3. Plano_Detalhado'!$A$10:$A$196),0),17)="","",INDEX('3. Plano_Detalhado'!$A$10:$Q$196,MATCH(1,($E73='3. Plano_Detalhado'!$E$10:$E$196)*($F73='3. Plano_Detalhado'!$F$10:$F$196)*($C73='3. Plano_Detalhado'!$A$10:$A$196),0),17))</f>
        <v>31/jan: Já não existem incidência, ou seja, garantias com valor 0. Assim, o campo encontra-se concluido.</v>
      </c>
      <c r="J73" s="187"/>
      <c r="K73" s="188"/>
      <c r="L73" s="188"/>
      <c r="M73" s="188"/>
      <c r="N73" s="188"/>
    </row>
    <row r="74" spans="1:14" ht="16.399999999999999" customHeight="1">
      <c r="A74" s="2"/>
      <c r="B74" s="48" t="s">
        <v>35</v>
      </c>
      <c r="C74" s="184" t="s">
        <v>340</v>
      </c>
      <c r="D74" s="26" t="str" cm="1">
        <f t="array" ref="D74">INDEX('3. Plano_Detalhado'!$A$10:$H$197,MATCH(1,($E74='3. Plano_Detalhado'!$E$10:$E$197)*($F74='3. Plano_Detalhado'!$F$10:$F$197)*($C74='3. Plano_Detalhado'!$A$10:$A$197),0),4)</f>
        <v>2. Campo</v>
      </c>
      <c r="E74" s="185" t="s">
        <v>28</v>
      </c>
      <c r="F74" s="26" t="s">
        <v>400</v>
      </c>
      <c r="G74" s="186" t="str" cm="1">
        <f t="array" ref="G74">IF(INDEX('3. Plano_Detalhado'!$A$10:$H$197,MATCH(1,($E74='3. Plano_Detalhado'!$E$10:$E$197)*($F74='3. Plano_Detalhado'!$F$10:$F$197)*($C74='3. Plano_Detalhado'!$A$10:$A$197),0),7)="","",INDEX('3. Plano_Detalhado'!$A$10:$H$197,MATCH(1,($E74='3. Plano_Detalhado'!$E$10:$E$197)*($F74='3. Plano_Detalhado'!$F$10:$F$197)*($C74='3. Plano_Detalhado'!$A$10:$A$197),0),7))</f>
        <v>5. Por Iniciar</v>
      </c>
      <c r="H74" s="186" t="str" cm="1">
        <f t="array" ref="H74">IF(INDEX('3. Plano_Detalhado'!$A$10:$H$197,MATCH(1,($E74='3. Plano_Detalhado'!$E$10:$E$197)*($F74='3. Plano_Detalhado'!$F$10:$F$197)*($C74='3. Plano_Detalhado'!$A$10:$A$197),0),8)="","",INDEX('3. Plano_Detalhado'!$A$10:$H$197,MATCH(1,($E74='3. Plano_Detalhado'!$E$10:$E$197)*($F74='3. Plano_Detalhado'!$F$10:$F$197)*($C74='3. Plano_Detalhado'!$A$10:$A$197),0),8))</f>
        <v>5. Por Iniciar</v>
      </c>
      <c r="I74" s="26" t="str" cm="1">
        <f t="array" ref="I74">IF(INDEX('3. Plano_Detalhado'!$A$10:$Q$196,MATCH(1,($E74='3. Plano_Detalhado'!$E$10:$E$196)*($F74='3. Plano_Detalhado'!$F$10:$F$196)*($C74='3. Plano_Detalhado'!$A$10:$A$196),0),17)="","",INDEX('3. Plano_Detalhado'!$A$10:$Q$196,MATCH(1,($E74='3. Plano_Detalhado'!$E$10:$E$196)*($F74='3. Plano_Detalhado'!$F$10:$F$196)*($C74='3. Plano_Detalhado'!$A$10:$A$196),0),17))</f>
        <v>Ver com JB</v>
      </c>
      <c r="J74" s="187"/>
      <c r="K74" s="188"/>
      <c r="L74" s="188"/>
      <c r="M74" s="188"/>
      <c r="N74" s="188"/>
    </row>
    <row r="75" spans="1:14" ht="16.399999999999999" customHeight="1">
      <c r="A75" s="2"/>
      <c r="B75" s="48" t="s">
        <v>35</v>
      </c>
      <c r="C75" s="184" t="s">
        <v>340</v>
      </c>
      <c r="D75" s="26" t="str" cm="1">
        <f t="array" ref="D75">INDEX('3. Plano_Detalhado'!$A$10:$H$197,MATCH(1,($E75='3. Plano_Detalhado'!$E$10:$E$197)*($F75='3. Plano_Detalhado'!$F$10:$F$197)*($C75='3. Plano_Detalhado'!$A$10:$A$197),0),4)</f>
        <v>2. Campo</v>
      </c>
      <c r="E75" s="185" t="s">
        <v>28</v>
      </c>
      <c r="F75" s="26" t="s">
        <v>118</v>
      </c>
      <c r="G75" s="186" t="str" cm="1">
        <f t="array" ref="G75">IF(INDEX('3. Plano_Detalhado'!$A$10:$H$197,MATCH(1,($E75='3. Plano_Detalhado'!$E$10:$E$197)*($F75='3. Plano_Detalhado'!$F$10:$F$197)*($C75='3. Plano_Detalhado'!$A$10:$A$197),0),7)="","",INDEX('3. Plano_Detalhado'!$A$10:$H$197,MATCH(1,($E75='3. Plano_Detalhado'!$E$10:$E$197)*($F75='3. Plano_Detalhado'!$F$10:$F$197)*($C75='3. Plano_Detalhado'!$A$10:$A$197),0),7))</f>
        <v>5. Por Iniciar</v>
      </c>
      <c r="H75" s="186" t="str" cm="1">
        <f t="array" ref="H75">IF(INDEX('3. Plano_Detalhado'!$A$10:$H$197,MATCH(1,($E75='3. Plano_Detalhado'!$E$10:$E$197)*($F75='3. Plano_Detalhado'!$F$10:$F$197)*($C75='3. Plano_Detalhado'!$A$10:$A$197),0),8)="","",INDEX('3. Plano_Detalhado'!$A$10:$H$197,MATCH(1,($E75='3. Plano_Detalhado'!$E$10:$E$197)*($F75='3. Plano_Detalhado'!$F$10:$F$197)*($C75='3. Plano_Detalhado'!$A$10:$A$197),0),8))</f>
        <v/>
      </c>
      <c r="I75" s="26" t="str" cm="1">
        <f t="array" ref="I75">IF(INDEX('3. Plano_Detalhado'!$A$10:$Q$196,MATCH(1,($E75='3. Plano_Detalhado'!$E$10:$E$196)*($F75='3. Plano_Detalhado'!$F$10:$F$196)*($C75='3. Plano_Detalhado'!$A$10:$A$196),0),17)="","",INDEX('3. Plano_Detalhado'!$A$10:$Q$196,MATCH(1,($E75='3. Plano_Detalhado'!$E$10:$E$196)*($F75='3. Plano_Detalhado'!$F$10:$F$196)*($C75='3. Plano_Detalhado'!$A$10:$A$196),0),17))</f>
        <v>Novo campo adicionado à listagem a 28/jan.</v>
      </c>
      <c r="J75" s="187"/>
      <c r="K75" s="188"/>
      <c r="L75" s="188"/>
      <c r="M75" s="188"/>
      <c r="N75" s="188"/>
    </row>
    <row r="76" spans="1:14" ht="16.399999999999999" customHeight="1">
      <c r="A76" s="2"/>
      <c r="B76" s="48" t="s">
        <v>35</v>
      </c>
      <c r="C76" s="184" t="s">
        <v>340</v>
      </c>
      <c r="D76" s="26" t="str" cm="1">
        <f t="array" ref="D76">INDEX('3. Plano_Detalhado'!$A$10:$H$197,MATCH(1,($E76='3. Plano_Detalhado'!$E$10:$E$197)*($F76='3. Plano_Detalhado'!$F$10:$F$197)*($C76='3. Plano_Detalhado'!$A$10:$A$197),0),4)</f>
        <v>2. Campo</v>
      </c>
      <c r="E76" s="185" t="s">
        <v>108</v>
      </c>
      <c r="F76" s="26" t="s">
        <v>116</v>
      </c>
      <c r="G76" s="186" t="str" cm="1">
        <f t="array" ref="G76">IF(INDEX('3. Plano_Detalhado'!$A$10:$H$197,MATCH(1,($E76='3. Plano_Detalhado'!$E$10:$E$197)*($F76='3. Plano_Detalhado'!$F$10:$F$197)*($C76='3. Plano_Detalhado'!$A$10:$A$197),0),7)="","",INDEX('3. Plano_Detalhado'!$A$10:$H$197,MATCH(1,($E76='3. Plano_Detalhado'!$E$10:$E$197)*($F76='3. Plano_Detalhado'!$F$10:$F$197)*($C76='3. Plano_Detalhado'!$A$10:$A$197),0),7))</f>
        <v>2. Em Especificação/Re-especificação</v>
      </c>
      <c r="H76" s="186" t="str" cm="1">
        <f t="array" ref="H76">IF(INDEX('3. Plano_Detalhado'!$A$10:$H$197,MATCH(1,($E76='3. Plano_Detalhado'!$E$10:$E$197)*($F76='3. Plano_Detalhado'!$F$10:$F$197)*($C76='3. Plano_Detalhado'!$A$10:$A$197),0),8)="","",INDEX('3. Plano_Detalhado'!$A$10:$H$197,MATCH(1,($E76='3. Plano_Detalhado'!$E$10:$E$197)*($F76='3. Plano_Detalhado'!$F$10:$F$197)*($C76='3. Plano_Detalhado'!$A$10:$A$197),0),8))</f>
        <v>2. Em Especificação/Re-especificação</v>
      </c>
      <c r="I76" s="26" t="str" cm="1">
        <f t="array" ref="I76">IF(INDEX('3. Plano_Detalhado'!$A$10:$Q$196,MATCH(1,($E76='3. Plano_Detalhado'!$E$10:$E$196)*($F76='3. Plano_Detalhado'!$F$10:$F$196)*($C76='3. Plano_Detalhado'!$A$10:$A$196),0),17)="","",INDEX('3. Plano_Detalhado'!$A$10:$Q$196,MATCH(1,($E76='3. Plano_Detalhado'!$E$10:$E$196)*($F76='3. Plano_Detalhado'!$F$10:$F$196)*($C76='3. Plano_Detalhado'!$A$10:$A$196),0),17))</f>
        <v>Pilar 3: data prevista de entrega 4/fev. Colocar ultima semana de fev</v>
      </c>
      <c r="J76" s="187"/>
      <c r="K76" s="188"/>
      <c r="L76" s="188"/>
      <c r="M76" s="188"/>
      <c r="N76" s="188"/>
    </row>
    <row r="77" spans="1:14" ht="16.399999999999999" customHeight="1">
      <c r="A77" s="2"/>
      <c r="B77" s="48" t="s">
        <v>35</v>
      </c>
      <c r="C77" s="184" t="s">
        <v>340</v>
      </c>
      <c r="D77" s="26" t="str" cm="1">
        <f t="array" ref="D77">INDEX('3. Plano_Detalhado'!$A$10:$H$197,MATCH(1,($E77='3. Plano_Detalhado'!$E$10:$E$197)*($F77='3. Plano_Detalhado'!$F$10:$F$197)*($C77='3. Plano_Detalhado'!$A$10:$A$197),0),4)</f>
        <v>2. Campo</v>
      </c>
      <c r="E77" s="185" t="s">
        <v>29</v>
      </c>
      <c r="F77" s="26" t="s">
        <v>64</v>
      </c>
      <c r="G77" s="186" t="str" cm="1">
        <f t="array" ref="G77">IF(INDEX('3. Plano_Detalhado'!$A$10:$H$197,MATCH(1,($E77='3. Plano_Detalhado'!$E$10:$E$197)*($F77='3. Plano_Detalhado'!$F$10:$F$197)*($C77='3. Plano_Detalhado'!$A$10:$A$197),0),7)="","",INDEX('3. Plano_Detalhado'!$A$10:$H$197,MATCH(1,($E77='3. Plano_Detalhado'!$E$10:$E$197)*($F77='3. Plano_Detalhado'!$F$10:$F$197)*($C77='3. Plano_Detalhado'!$A$10:$A$197),0),7))</f>
        <v>2. Em Especificação/Re-especificação</v>
      </c>
      <c r="H77" s="186" t="str" cm="1">
        <f t="array" ref="H77">IF(INDEX('3. Plano_Detalhado'!$A$10:$H$197,MATCH(1,($E77='3. Plano_Detalhado'!$E$10:$E$197)*($F77='3. Plano_Detalhado'!$F$10:$F$197)*($C77='3. Plano_Detalhado'!$A$10:$A$197),0),8)="","",INDEX('3. Plano_Detalhado'!$A$10:$H$197,MATCH(1,($E77='3. Plano_Detalhado'!$E$10:$E$197)*($F77='3. Plano_Detalhado'!$F$10:$F$197)*($C77='3. Plano_Detalhado'!$A$10:$A$197),0),8))</f>
        <v>5. Por Iniciar</v>
      </c>
      <c r="I77" s="26" t="str" cm="1">
        <f t="array" ref="I77">IF(INDEX('3. Plano_Detalhado'!$A$10:$Q$196,MATCH(1,($E77='3. Plano_Detalhado'!$E$10:$E$196)*($F77='3. Plano_Detalhado'!$F$10:$F$196)*($C77='3. Plano_Detalhado'!$A$10:$A$196),0),17)="","",INDEX('3. Plano_Detalhado'!$A$10:$Q$196,MATCH(1,($E77='3. Plano_Detalhado'!$E$10:$E$196)*($F77='3. Plano_Detalhado'!$F$10:$F$196)*($C77='3. Plano_Detalhado'!$A$10:$A$196),0),17))</f>
        <v/>
      </c>
      <c r="J77" s="187"/>
      <c r="K77" s="188"/>
      <c r="L77" s="188"/>
      <c r="M77" s="188"/>
      <c r="N77" s="188"/>
    </row>
    <row r="78" spans="1:14" ht="16.399999999999999" customHeight="1">
      <c r="A78" s="2"/>
      <c r="B78" s="48" t="s">
        <v>35</v>
      </c>
      <c r="C78" s="184" t="s">
        <v>340</v>
      </c>
      <c r="D78" s="26" t="str" cm="1">
        <f t="array" ref="D78">INDEX('3. Plano_Detalhado'!$A$10:$H$197,MATCH(1,($E78='3. Plano_Detalhado'!$E$10:$E$197)*($F78='3. Plano_Detalhado'!$F$10:$F$197)*($C78='3. Plano_Detalhado'!$A$10:$A$197),0),4)</f>
        <v>2. Campo</v>
      </c>
      <c r="E78" s="185" t="s">
        <v>108</v>
      </c>
      <c r="F78" s="26" t="s">
        <v>58</v>
      </c>
      <c r="G78" s="186" t="str" cm="1">
        <f t="array" ref="G78">IF(INDEX('3. Plano_Detalhado'!$A$10:$H$197,MATCH(1,($E78='3. Plano_Detalhado'!$E$10:$E$197)*($F78='3. Plano_Detalhado'!$F$10:$F$197)*($C78='3. Plano_Detalhado'!$A$10:$A$197),0),7)="","",INDEX('3. Plano_Detalhado'!$A$10:$H$197,MATCH(1,($E78='3. Plano_Detalhado'!$E$10:$E$197)*($F78='3. Plano_Detalhado'!$F$10:$F$197)*($C78='3. Plano_Detalhado'!$A$10:$A$197),0),7))</f>
        <v>2. Em Especificação/Re-especificação</v>
      </c>
      <c r="H78" s="186" t="str" cm="1">
        <f t="array" ref="H78">IF(INDEX('3. Plano_Detalhado'!$A$10:$H$197,MATCH(1,($E78='3. Plano_Detalhado'!$E$10:$E$197)*($F78='3. Plano_Detalhado'!$F$10:$F$197)*($C78='3. Plano_Detalhado'!$A$10:$A$197),0),8)="","",INDEX('3. Plano_Detalhado'!$A$10:$H$197,MATCH(1,($E78='3. Plano_Detalhado'!$E$10:$E$197)*($F78='3. Plano_Detalhado'!$F$10:$F$197)*($C78='3. Plano_Detalhado'!$A$10:$A$197),0),8))</f>
        <v>2. Em Especificação/Re-especificação</v>
      </c>
      <c r="I78" s="26" t="str" cm="1">
        <f t="array" ref="I78">IF(INDEX('3. Plano_Detalhado'!$A$10:$Q$196,MATCH(1,($E78='3. Plano_Detalhado'!$E$10:$E$196)*($F78='3. Plano_Detalhado'!$F$10:$F$196)*($C78='3. Plano_Detalhado'!$A$10:$A$196),0),17)="","",INDEX('3. Plano_Detalhado'!$A$10:$Q$196,MATCH(1,($E78='3. Plano_Detalhado'!$E$10:$E$196)*($F78='3. Plano_Detalhado'!$F$10:$F$196)*($C78='3. Plano_Detalhado'!$A$10:$A$196),0),17))</f>
        <v>Colocar ultima semana de fev</v>
      </c>
      <c r="J78" s="187"/>
      <c r="K78" s="188"/>
      <c r="L78" s="188"/>
      <c r="M78" s="188"/>
      <c r="N78" s="188"/>
    </row>
    <row r="79" spans="1:14" ht="16.399999999999999" customHeight="1">
      <c r="A79" s="2"/>
      <c r="B79" s="48" t="s">
        <v>35</v>
      </c>
      <c r="C79" s="184" t="s">
        <v>340</v>
      </c>
      <c r="D79" s="160" t="str" cm="1">
        <f t="array" ref="D79">INDEX('3. Plano_Detalhado'!$A$10:$H$197,MATCH(1,($E79='3. Plano_Detalhado'!$E$10:$E$197)*($F79='3. Plano_Detalhado'!$F$10:$F$197)*($C79='3. Plano_Detalhado'!$A$10:$A$197),0),4)</f>
        <v>2. Campo</v>
      </c>
      <c r="E79" s="189" t="s">
        <v>108</v>
      </c>
      <c r="F79" s="160" t="s">
        <v>59</v>
      </c>
      <c r="G79" s="186" t="str" cm="1">
        <f t="array" ref="G79">IF(INDEX('3. Plano_Detalhado'!$A$10:$H$197,MATCH(1,($E79='3. Plano_Detalhado'!$E$10:$E$197)*($F79='3. Plano_Detalhado'!$F$10:$F$197)*($C79='3. Plano_Detalhado'!$A$10:$A$197),0),7)="","",INDEX('3. Plano_Detalhado'!$A$10:$H$197,MATCH(1,($E79='3. Plano_Detalhado'!$E$10:$E$197)*($F79='3. Plano_Detalhado'!$F$10:$F$197)*($C79='3. Plano_Detalhado'!$A$10:$A$197),0),7))</f>
        <v>2. Em Especificação/Re-especificação</v>
      </c>
      <c r="H79" s="190" t="str" cm="1">
        <f t="array" ref="H79">IF(INDEX('3. Plano_Detalhado'!$A$10:$H$197,MATCH(1,($E79='3. Plano_Detalhado'!$E$10:$E$197)*($F79='3. Plano_Detalhado'!$F$10:$F$197)*($C79='3. Plano_Detalhado'!$A$10:$A$197),0),8)="","",INDEX('3. Plano_Detalhado'!$A$10:$H$197,MATCH(1,($E79='3. Plano_Detalhado'!$E$10:$E$197)*($F79='3. Plano_Detalhado'!$F$10:$F$197)*($C79='3. Plano_Detalhado'!$A$10:$A$197),0),8))</f>
        <v>2. Em Especificação/Re-especificação</v>
      </c>
      <c r="I79" s="26" t="str" cm="1">
        <f t="array" ref="I79">IF(INDEX('3. Plano_Detalhado'!$A$10:$Q$196,MATCH(1,($E79='3. Plano_Detalhado'!$E$10:$E$196)*($F79='3. Plano_Detalhado'!$F$10:$F$196)*($C79='3. Plano_Detalhado'!$A$10:$A$196),0),17)="","",INDEX('3. Plano_Detalhado'!$A$10:$Q$196,MATCH(1,($E79='3. Plano_Detalhado'!$E$10:$E$196)*($F79='3. Plano_Detalhado'!$F$10:$F$196)*($C79='3. Plano_Detalhado'!$A$10:$A$196),0),17))</f>
        <v>Colocar ultima semana de fev</v>
      </c>
      <c r="J79" s="191"/>
      <c r="K79" s="192"/>
      <c r="L79" s="192"/>
      <c r="M79" s="192"/>
      <c r="N79" s="192"/>
    </row>
    <row r="80" spans="1:14" ht="16.399999999999999" customHeight="1">
      <c r="A80" s="2"/>
      <c r="B80" s="48" t="s">
        <v>35</v>
      </c>
      <c r="C80" s="184" t="s">
        <v>340</v>
      </c>
      <c r="D80" s="26" t="str" cm="1">
        <f t="array" ref="D80">INDEX('3. Plano_Detalhado'!$A$10:$H$197,MATCH(1,($E80='3. Plano_Detalhado'!$E$10:$E$197)*($F80='3. Plano_Detalhado'!$F$10:$F$197)*($C80='3. Plano_Detalhado'!$A$10:$A$197),0),4)</f>
        <v>2. Campo</v>
      </c>
      <c r="E80" s="185" t="s">
        <v>29</v>
      </c>
      <c r="F80" s="26" t="s">
        <v>79</v>
      </c>
      <c r="G80" s="186" t="str" cm="1">
        <f t="array" ref="G80">IF(INDEX('3. Plano_Detalhado'!$A$10:$H$197,MATCH(1,($E80='3. Plano_Detalhado'!$E$10:$E$197)*($F80='3. Plano_Detalhado'!$F$10:$F$197)*($C80='3. Plano_Detalhado'!$A$10:$A$197),0),7)="","",INDEX('3. Plano_Detalhado'!$A$10:$H$197,MATCH(1,($E80='3. Plano_Detalhado'!$E$10:$E$197)*($F80='3. Plano_Detalhado'!$F$10:$F$197)*($C80='3. Plano_Detalhado'!$A$10:$A$197),0),7))</f>
        <v>4. Validação da especificação</v>
      </c>
      <c r="H80" s="186" t="str" cm="1">
        <f t="array" ref="H80">IF(INDEX('3. Plano_Detalhado'!$A$10:$H$197,MATCH(1,($E80='3. Plano_Detalhado'!$E$10:$E$197)*($F80='3. Plano_Detalhado'!$F$10:$F$197)*($C80='3. Plano_Detalhado'!$A$10:$A$197),0),8)="","",INDEX('3. Plano_Detalhado'!$A$10:$H$197,MATCH(1,($E80='3. Plano_Detalhado'!$E$10:$E$197)*($F80='3. Plano_Detalhado'!$F$10:$F$197)*($C80='3. Plano_Detalhado'!$A$10:$A$197),0),8))</f>
        <v>1. Concluído</v>
      </c>
      <c r="I80" s="26" t="str" cm="1">
        <f t="array" ref="I80">IF(INDEX('3. Plano_Detalhado'!$A$10:$Q$196,MATCH(1,($E80='3. Plano_Detalhado'!$E$10:$E$196)*($F80='3. Plano_Detalhado'!$F$10:$F$196)*($C80='3. Plano_Detalhado'!$A$10:$A$196),0),17)="","",INDEX('3. Plano_Detalhado'!$A$10:$Q$196,MATCH(1,($E80='3. Plano_Detalhado'!$E$10:$E$196)*($F80='3. Plano_Detalhado'!$F$10:$F$196)*($C80='3. Plano_Detalhado'!$A$10:$A$196),0),17))</f>
        <v>Email enviado a LCM + CdG no dia 05/fev para validação da especificação.</v>
      </c>
      <c r="J80" s="187"/>
      <c r="K80" s="188"/>
      <c r="L80" s="188"/>
      <c r="M80" s="188"/>
      <c r="N80" s="188"/>
    </row>
    <row r="81" spans="1:14" ht="16.399999999999999" customHeight="1">
      <c r="A81" s="2"/>
      <c r="B81" s="48" t="s">
        <v>35</v>
      </c>
      <c r="C81" s="184" t="s">
        <v>340</v>
      </c>
      <c r="D81" s="26" t="str" cm="1">
        <f t="array" ref="D81">INDEX('3. Plano_Detalhado'!$A$10:$H$197,MATCH(1,($E81='3. Plano_Detalhado'!$E$10:$E$197)*($F81='3. Plano_Detalhado'!$F$10:$F$197)*($C81='3. Plano_Detalhado'!$A$10:$A$197),0),4)</f>
        <v>2. Campo</v>
      </c>
      <c r="E81" s="185" t="s">
        <v>29</v>
      </c>
      <c r="F81" s="26" t="s">
        <v>60</v>
      </c>
      <c r="G81" s="186" t="str" cm="1">
        <f t="array" ref="G81">IF(INDEX('3. Plano_Detalhado'!$A$10:$H$197,MATCH(1,($E81='3. Plano_Detalhado'!$E$10:$E$197)*($F81='3. Plano_Detalhado'!$F$10:$F$197)*($C81='3. Plano_Detalhado'!$A$10:$A$197),0),7)="","",INDEX('3. Plano_Detalhado'!$A$10:$H$197,MATCH(1,($E81='3. Plano_Detalhado'!$E$10:$E$197)*($F81='3. Plano_Detalhado'!$F$10:$F$197)*($C81='3. Plano_Detalhado'!$A$10:$A$197),0),7))</f>
        <v>4. Validação da especificação</v>
      </c>
      <c r="H81" s="186" t="str" cm="1">
        <f t="array" ref="H81">IF(INDEX('3. Plano_Detalhado'!$A$10:$H$197,MATCH(1,($E81='3. Plano_Detalhado'!$E$10:$E$197)*($F81='3. Plano_Detalhado'!$F$10:$F$197)*($C81='3. Plano_Detalhado'!$A$10:$A$197),0),8)="","",INDEX('3. Plano_Detalhado'!$A$10:$H$197,MATCH(1,($E81='3. Plano_Detalhado'!$E$10:$E$197)*($F81='3. Plano_Detalhado'!$F$10:$F$197)*($C81='3. Plano_Detalhado'!$A$10:$A$197),0),8))</f>
        <v>1. Concluído</v>
      </c>
      <c r="I81" s="26" t="str" cm="1">
        <f t="array" ref="I81">IF(INDEX('3. Plano_Detalhado'!$A$10:$Q$196,MATCH(1,($E81='3. Plano_Detalhado'!$E$10:$E$196)*($F81='3. Plano_Detalhado'!$F$10:$F$196)*($C81='3. Plano_Detalhado'!$A$10:$A$196),0),17)="","",INDEX('3. Plano_Detalhado'!$A$10:$Q$196,MATCH(1,($E81='3. Plano_Detalhado'!$E$10:$E$196)*($F81='3. Plano_Detalhado'!$F$10:$F$196)*($C81='3. Plano_Detalhado'!$A$10:$A$196),0),17))</f>
        <v>Email enviado a LCM + CdG no dia 05/fev para validação da especificação.</v>
      </c>
      <c r="J81" s="187"/>
      <c r="K81" s="188"/>
      <c r="L81" s="188"/>
      <c r="M81" s="188"/>
      <c r="N81" s="188"/>
    </row>
    <row r="82" spans="1:14" ht="16.399999999999999" customHeight="1">
      <c r="A82" s="2"/>
      <c r="B82" s="48" t="s">
        <v>35</v>
      </c>
      <c r="C82" s="184" t="s">
        <v>340</v>
      </c>
      <c r="D82" s="26" t="str" cm="1">
        <f t="array" ref="D82">INDEX('3. Plano_Detalhado'!$A$10:$H$197,MATCH(1,($E82='3. Plano_Detalhado'!$E$10:$E$197)*($F82='3. Plano_Detalhado'!$F$10:$F$197)*($C82='3. Plano_Detalhado'!$A$10:$A$197),0),4)</f>
        <v>2. Campo</v>
      </c>
      <c r="E82" s="185" t="s">
        <v>29</v>
      </c>
      <c r="F82" s="26" t="s">
        <v>80</v>
      </c>
      <c r="G82" s="186" t="str" cm="1">
        <f t="array" ref="G82">IF(INDEX('3. Plano_Detalhado'!$A$10:$H$197,MATCH(1,($E82='3. Plano_Detalhado'!$E$10:$E$197)*($F82='3. Plano_Detalhado'!$F$10:$F$197)*($C82='3. Plano_Detalhado'!$A$10:$A$197),0),7)="","",INDEX('3. Plano_Detalhado'!$A$10:$H$197,MATCH(1,($E82='3. Plano_Detalhado'!$E$10:$E$197)*($F82='3. Plano_Detalhado'!$F$10:$F$197)*($C82='3. Plano_Detalhado'!$A$10:$A$197),0),7))</f>
        <v>4. Validação da especificação</v>
      </c>
      <c r="H82" s="186" t="str" cm="1">
        <f t="array" ref="H82">IF(INDEX('3. Plano_Detalhado'!$A$10:$H$197,MATCH(1,($E82='3. Plano_Detalhado'!$E$10:$E$197)*($F82='3. Plano_Detalhado'!$F$10:$F$197)*($C82='3. Plano_Detalhado'!$A$10:$A$197),0),8)="","",INDEX('3. Plano_Detalhado'!$A$10:$H$197,MATCH(1,($E82='3. Plano_Detalhado'!$E$10:$E$197)*($F82='3. Plano_Detalhado'!$F$10:$F$197)*($C82='3. Plano_Detalhado'!$A$10:$A$197),0),8))</f>
        <v>1. Concluído</v>
      </c>
      <c r="I82" s="26" t="str" cm="1">
        <f t="array" ref="I82">IF(INDEX('3. Plano_Detalhado'!$A$10:$Q$196,MATCH(1,($E82='3. Plano_Detalhado'!$E$10:$E$196)*($F82='3. Plano_Detalhado'!$F$10:$F$196)*($C82='3. Plano_Detalhado'!$A$10:$A$196),0),17)="","",INDEX('3. Plano_Detalhado'!$A$10:$Q$196,MATCH(1,($E82='3. Plano_Detalhado'!$E$10:$E$196)*($F82='3. Plano_Detalhado'!$F$10:$F$196)*($C82='3. Plano_Detalhado'!$A$10:$A$196),0),17))</f>
        <v>Email enviado a LCM + CdG no dia 05/fev para validação da especificação.</v>
      </c>
      <c r="J82" s="187"/>
      <c r="K82" s="188"/>
      <c r="L82" s="188"/>
      <c r="M82" s="188"/>
      <c r="N82" s="188"/>
    </row>
    <row r="83" spans="1:14" ht="16.399999999999999" customHeight="1">
      <c r="A83" s="2"/>
      <c r="B83" s="48" t="s">
        <v>35</v>
      </c>
      <c r="C83" s="184" t="s">
        <v>340</v>
      </c>
      <c r="D83" s="26" t="str" cm="1">
        <f t="array" ref="D83">INDEX('3. Plano_Detalhado'!$A$10:$H$197,MATCH(1,($E83='3. Plano_Detalhado'!$E$10:$E$197)*($F83='3. Plano_Detalhado'!$F$10:$F$197)*($C83='3. Plano_Detalhado'!$A$10:$A$197),0),4)</f>
        <v>2. Campo</v>
      </c>
      <c r="E83" s="185" t="s">
        <v>29</v>
      </c>
      <c r="F83" s="26" t="s">
        <v>81</v>
      </c>
      <c r="G83" s="186" t="str" cm="1">
        <f t="array" ref="G83">IF(INDEX('3. Plano_Detalhado'!$A$10:$H$197,MATCH(1,($E83='3. Plano_Detalhado'!$E$10:$E$197)*($F83='3. Plano_Detalhado'!$F$10:$F$197)*($C83='3. Plano_Detalhado'!$A$10:$A$197),0),7)="","",INDEX('3. Plano_Detalhado'!$A$10:$H$197,MATCH(1,($E83='3. Plano_Detalhado'!$E$10:$E$197)*($F83='3. Plano_Detalhado'!$F$10:$F$197)*($C83='3. Plano_Detalhado'!$A$10:$A$197),0),7))</f>
        <v>4. Validação da especificação</v>
      </c>
      <c r="H83" s="186" t="str" cm="1">
        <f t="array" ref="H83">IF(INDEX('3. Plano_Detalhado'!$A$10:$H$197,MATCH(1,($E83='3. Plano_Detalhado'!$E$10:$E$197)*($F83='3. Plano_Detalhado'!$F$10:$F$197)*($C83='3. Plano_Detalhado'!$A$10:$A$197),0),8)="","",INDEX('3. Plano_Detalhado'!$A$10:$H$197,MATCH(1,($E83='3. Plano_Detalhado'!$E$10:$E$197)*($F83='3. Plano_Detalhado'!$F$10:$F$197)*($C83='3. Plano_Detalhado'!$A$10:$A$197),0),8))</f>
        <v>1. Concluído</v>
      </c>
      <c r="I83" s="26" t="str" cm="1">
        <f t="array" ref="I83">IF(INDEX('3. Plano_Detalhado'!$A$10:$Q$196,MATCH(1,($E83='3. Plano_Detalhado'!$E$10:$E$196)*($F83='3. Plano_Detalhado'!$F$10:$F$196)*($C83='3. Plano_Detalhado'!$A$10:$A$196),0),17)="","",INDEX('3. Plano_Detalhado'!$A$10:$Q$196,MATCH(1,($E83='3. Plano_Detalhado'!$E$10:$E$196)*($F83='3. Plano_Detalhado'!$F$10:$F$196)*($C83='3. Plano_Detalhado'!$A$10:$A$196),0),17))</f>
        <v>Email enviado a LCM + CdG no dia 05/fev para validação da especificação.</v>
      </c>
      <c r="J83" s="187"/>
      <c r="K83" s="188"/>
      <c r="L83" s="188"/>
      <c r="M83" s="188"/>
      <c r="N83" s="188"/>
    </row>
    <row r="84" spans="1:14" ht="16.399999999999999" customHeight="1">
      <c r="A84" s="2"/>
      <c r="B84" s="48" t="s">
        <v>35</v>
      </c>
      <c r="C84" s="184" t="s">
        <v>340</v>
      </c>
      <c r="D84" s="26" t="str" cm="1">
        <f t="array" ref="D84">INDEX('3. Plano_Detalhado'!$A$10:$H$197,MATCH(1,($E84='3. Plano_Detalhado'!$E$10:$E$197)*($F84='3. Plano_Detalhado'!$F$10:$F$197)*($C84='3. Plano_Detalhado'!$A$10:$A$197),0),4)</f>
        <v>2. Campo</v>
      </c>
      <c r="E84" s="185" t="s">
        <v>29</v>
      </c>
      <c r="F84" s="26" t="s">
        <v>82</v>
      </c>
      <c r="G84" s="186" t="str" cm="1">
        <f t="array" ref="G84">IF(INDEX('3. Plano_Detalhado'!$A$10:$H$197,MATCH(1,($E84='3. Plano_Detalhado'!$E$10:$E$197)*($F84='3. Plano_Detalhado'!$F$10:$F$197)*($C84='3. Plano_Detalhado'!$A$10:$A$197),0),7)="","",INDEX('3. Plano_Detalhado'!$A$10:$H$197,MATCH(1,($E84='3. Plano_Detalhado'!$E$10:$E$197)*($F84='3. Plano_Detalhado'!$F$10:$F$197)*($C84='3. Plano_Detalhado'!$A$10:$A$197),0),7))</f>
        <v>1. Concluído</v>
      </c>
      <c r="H84" s="186" t="str" cm="1">
        <f t="array" ref="H84">IF(INDEX('3. Plano_Detalhado'!$A$10:$H$197,MATCH(1,($E84='3. Plano_Detalhado'!$E$10:$E$197)*($F84='3. Plano_Detalhado'!$F$10:$F$197)*($C84='3. Plano_Detalhado'!$A$10:$A$197),0),8)="","",INDEX('3. Plano_Detalhado'!$A$10:$H$197,MATCH(1,($E84='3. Plano_Detalhado'!$E$10:$E$197)*($F84='3. Plano_Detalhado'!$F$10:$F$197)*($C84='3. Plano_Detalhado'!$A$10:$A$197),0),8))</f>
        <v>1. Concluído</v>
      </c>
      <c r="I84" s="26" t="str" cm="1">
        <f t="array" ref="I84">IF(INDEX('3. Plano_Detalhado'!$A$10:$Q$196,MATCH(1,($E84='3. Plano_Detalhado'!$E$10:$E$196)*($F84='3. Plano_Detalhado'!$F$10:$F$196)*($C84='3. Plano_Detalhado'!$A$10:$A$196),0),17)="","",INDEX('3. Plano_Detalhado'!$A$10:$Q$196,MATCH(1,($E84='3. Plano_Detalhado'!$E$10:$E$196)*($F84='3. Plano_Detalhado'!$F$10:$F$196)*($C84='3. Plano_Detalhado'!$A$10:$A$196),0),17))</f>
        <v/>
      </c>
      <c r="J84" s="187"/>
      <c r="K84" s="188"/>
      <c r="L84" s="188"/>
      <c r="M84" s="188"/>
      <c r="N84" s="188"/>
    </row>
    <row r="85" spans="1:14" ht="16.399999999999999" customHeight="1">
      <c r="A85" s="2"/>
      <c r="B85" s="48" t="s">
        <v>35</v>
      </c>
      <c r="C85" s="184" t="s">
        <v>340</v>
      </c>
      <c r="D85" s="26" t="str" cm="1">
        <f t="array" ref="D85">INDEX('3. Plano_Detalhado'!$A$10:$H$197,MATCH(1,($E85='3. Plano_Detalhado'!$E$10:$E$197)*($F85='3. Plano_Detalhado'!$F$10:$F$197)*($C85='3. Plano_Detalhado'!$A$10:$A$197),0),4)</f>
        <v>2. Campo</v>
      </c>
      <c r="E85" s="185" t="s">
        <v>29</v>
      </c>
      <c r="F85" s="26" t="s">
        <v>83</v>
      </c>
      <c r="G85" s="186" t="str" cm="1">
        <f t="array" ref="G85">IF(INDEX('3. Plano_Detalhado'!$A$10:$H$197,MATCH(1,($E85='3. Plano_Detalhado'!$E$10:$E$197)*($F85='3. Plano_Detalhado'!$F$10:$F$197)*($C85='3. Plano_Detalhado'!$A$10:$A$197),0),7)="","",INDEX('3. Plano_Detalhado'!$A$10:$H$197,MATCH(1,($E85='3. Plano_Detalhado'!$E$10:$E$197)*($F85='3. Plano_Detalhado'!$F$10:$F$197)*($C85='3. Plano_Detalhado'!$A$10:$A$197),0),7))</f>
        <v>4. Validação da especificação</v>
      </c>
      <c r="H85" s="186" t="str" cm="1">
        <f t="array" ref="H85">IF(INDEX('3. Plano_Detalhado'!$A$10:$H$197,MATCH(1,($E85='3. Plano_Detalhado'!$E$10:$E$197)*($F85='3. Plano_Detalhado'!$F$10:$F$197)*($C85='3. Plano_Detalhado'!$A$10:$A$197),0),8)="","",INDEX('3. Plano_Detalhado'!$A$10:$H$197,MATCH(1,($E85='3. Plano_Detalhado'!$E$10:$E$197)*($F85='3. Plano_Detalhado'!$F$10:$F$197)*($C85='3. Plano_Detalhado'!$A$10:$A$197),0),8))</f>
        <v>1. Concluído</v>
      </c>
      <c r="I85" s="26" t="str" cm="1">
        <f t="array" ref="I85">IF(INDEX('3. Plano_Detalhado'!$A$10:$Q$196,MATCH(1,($E85='3. Plano_Detalhado'!$E$10:$E$196)*($F85='3. Plano_Detalhado'!$F$10:$F$196)*($C85='3. Plano_Detalhado'!$A$10:$A$196),0),17)="","",INDEX('3. Plano_Detalhado'!$A$10:$Q$196,MATCH(1,($E85='3. Plano_Detalhado'!$E$10:$E$196)*($F85='3. Plano_Detalhado'!$F$10:$F$196)*($C85='3. Plano_Detalhado'!$A$10:$A$196),0),17))</f>
        <v>Email enviado a LCM + CdG no dia 05/fev para validação da especificação.</v>
      </c>
      <c r="J85" s="187"/>
      <c r="K85" s="188"/>
      <c r="L85" s="188"/>
      <c r="M85" s="188"/>
      <c r="N85" s="188"/>
    </row>
    <row r="86" spans="1:14" ht="16.399999999999999" customHeight="1">
      <c r="A86" s="2"/>
      <c r="B86" s="48" t="s">
        <v>35</v>
      </c>
      <c r="C86" s="184" t="s">
        <v>340</v>
      </c>
      <c r="D86" s="26" t="str" cm="1">
        <f t="array" ref="D86">INDEX('3. Plano_Detalhado'!$A$10:$H$197,MATCH(1,($E86='3. Plano_Detalhado'!$E$10:$E$197)*($F86='3. Plano_Detalhado'!$F$10:$F$197)*($C86='3. Plano_Detalhado'!$A$10:$A$197),0),4)</f>
        <v>2. Campo</v>
      </c>
      <c r="E86" s="185" t="s">
        <v>29</v>
      </c>
      <c r="F86" s="26" t="s">
        <v>61</v>
      </c>
      <c r="G86" s="186" t="str" cm="1">
        <f t="array" ref="G86">IF(INDEX('3. Plano_Detalhado'!$A$10:$H$197,MATCH(1,($E86='3. Plano_Detalhado'!$E$10:$E$197)*($F86='3. Plano_Detalhado'!$F$10:$F$197)*($C86='3. Plano_Detalhado'!$A$10:$A$197),0),7)="","",INDEX('3. Plano_Detalhado'!$A$10:$H$197,MATCH(1,($E86='3. Plano_Detalhado'!$E$10:$E$197)*($F86='3. Plano_Detalhado'!$F$10:$F$197)*($C86='3. Plano_Detalhado'!$A$10:$A$197),0),7))</f>
        <v>5. Por Iniciar</v>
      </c>
      <c r="H86" s="186" t="str" cm="1">
        <f t="array" ref="H86">IF(INDEX('3. Plano_Detalhado'!$A$10:$H$197,MATCH(1,($E86='3. Plano_Detalhado'!$E$10:$E$197)*($F86='3. Plano_Detalhado'!$F$10:$F$197)*($C86='3. Plano_Detalhado'!$A$10:$A$197),0),8)="","",INDEX('3. Plano_Detalhado'!$A$10:$H$197,MATCH(1,($E86='3. Plano_Detalhado'!$E$10:$E$197)*($F86='3. Plano_Detalhado'!$F$10:$F$197)*($C86='3. Plano_Detalhado'!$A$10:$A$197),0),8))</f>
        <v>2. Em Especificação/Re-especificação</v>
      </c>
      <c r="I86" s="26" t="str" cm="1">
        <f t="array" ref="I86">IF(INDEX('3. Plano_Detalhado'!$A$10:$Q$196,MATCH(1,($E86='3. Plano_Detalhado'!$E$10:$E$196)*($F86='3. Plano_Detalhado'!$F$10:$F$196)*($C86='3. Plano_Detalhado'!$A$10:$A$196),0),17)="","",INDEX('3. Plano_Detalhado'!$A$10:$Q$196,MATCH(1,($E86='3. Plano_Detalhado'!$E$10:$E$196)*($F86='3. Plano_Detalhado'!$F$10:$F$196)*($C86='3. Plano_Detalhado'!$A$10:$A$196),0),17))</f>
        <v>Na reunião de dia 31/jan com a Corporação ficou definido que se vai manter a desagregação pela BA. Este campo deve manter a especificação que já se encontra implementada.</v>
      </c>
      <c r="J86" s="187"/>
      <c r="K86" s="188"/>
      <c r="L86" s="188"/>
      <c r="M86" s="188"/>
      <c r="N86" s="188"/>
    </row>
    <row r="87" spans="1:14" ht="16.399999999999999" customHeight="1">
      <c r="A87" s="2"/>
      <c r="B87" s="48" t="s">
        <v>35</v>
      </c>
      <c r="C87" s="184" t="s">
        <v>340</v>
      </c>
      <c r="D87" s="26" t="str" cm="1">
        <f t="array" ref="D87">INDEX('3. Plano_Detalhado'!$A$10:$H$197,MATCH(1,($E87='3. Plano_Detalhado'!$E$10:$E$197)*($F87='3. Plano_Detalhado'!$F$10:$F$197)*($C87='3. Plano_Detalhado'!$A$10:$A$197),0),4)</f>
        <v>2. Campo</v>
      </c>
      <c r="E87" s="185" t="s">
        <v>29</v>
      </c>
      <c r="F87" s="26" t="s">
        <v>84</v>
      </c>
      <c r="G87" s="186" t="str" cm="1">
        <f t="array" ref="G87">IF(INDEX('3. Plano_Detalhado'!$A$10:$H$197,MATCH(1,($E87='3. Plano_Detalhado'!$E$10:$E$197)*($F87='3. Plano_Detalhado'!$F$10:$F$197)*($C87='3. Plano_Detalhado'!$A$10:$A$197),0),7)="","",INDEX('3. Plano_Detalhado'!$A$10:$H$197,MATCH(1,($E87='3. Plano_Detalhado'!$E$10:$E$197)*($F87='3. Plano_Detalhado'!$F$10:$F$197)*($C87='3. Plano_Detalhado'!$A$10:$A$197),0),7))</f>
        <v>1. Concluído</v>
      </c>
      <c r="H87" s="186" t="str" cm="1">
        <f t="array" ref="H87">IF(INDEX('3. Plano_Detalhado'!$A$10:$H$197,MATCH(1,($E87='3. Plano_Detalhado'!$E$10:$E$197)*($F87='3. Plano_Detalhado'!$F$10:$F$197)*($C87='3. Plano_Detalhado'!$A$10:$A$197),0),8)="","",INDEX('3. Plano_Detalhado'!$A$10:$H$197,MATCH(1,($E87='3. Plano_Detalhado'!$E$10:$E$197)*($F87='3. Plano_Detalhado'!$F$10:$F$197)*($C87='3. Plano_Detalhado'!$A$10:$A$197),0),8))</f>
        <v>1. Concluído</v>
      </c>
      <c r="I87" s="26" t="str" cm="1">
        <f t="array" ref="I87">IF(INDEX('3. Plano_Detalhado'!$A$10:$Q$196,MATCH(1,($E87='3. Plano_Detalhado'!$E$10:$E$196)*($F87='3. Plano_Detalhado'!$F$10:$F$196)*($C87='3. Plano_Detalhado'!$A$10:$A$196),0),17)="","",INDEX('3. Plano_Detalhado'!$A$10:$Q$196,MATCH(1,($E87='3. Plano_Detalhado'!$E$10:$E$196)*($F87='3. Plano_Detalhado'!$F$10:$F$196)*($C87='3. Plano_Detalhado'!$A$10:$A$196),0),17))</f>
        <v/>
      </c>
      <c r="J87" s="187"/>
      <c r="K87" s="188"/>
      <c r="L87" s="188"/>
      <c r="M87" s="188"/>
      <c r="N87" s="188"/>
    </row>
    <row r="88" spans="1:14" ht="16.399999999999999" customHeight="1">
      <c r="A88" s="2"/>
      <c r="B88" s="48" t="s">
        <v>35</v>
      </c>
      <c r="C88" s="184" t="s">
        <v>340</v>
      </c>
      <c r="D88" s="26" t="str" cm="1">
        <f t="array" ref="D88">INDEX('3. Plano_Detalhado'!$A$10:$H$197,MATCH(1,($E88='3. Plano_Detalhado'!$E$10:$E$197)*($F88='3. Plano_Detalhado'!$F$10:$F$197)*($C88='3. Plano_Detalhado'!$A$10:$A$197),0),4)</f>
        <v>2. Campo</v>
      </c>
      <c r="E88" s="185" t="s">
        <v>29</v>
      </c>
      <c r="F88" s="26" t="s">
        <v>85</v>
      </c>
      <c r="G88" s="186" t="str" cm="1">
        <f t="array" ref="G88">IF(INDEX('3. Plano_Detalhado'!$A$10:$H$197,MATCH(1,($E88='3. Plano_Detalhado'!$E$10:$E$197)*($F88='3. Plano_Detalhado'!$F$10:$F$197)*($C88='3. Plano_Detalhado'!$A$10:$A$197),0),7)="","",INDEX('3. Plano_Detalhado'!$A$10:$H$197,MATCH(1,($E88='3. Plano_Detalhado'!$E$10:$E$197)*($F88='3. Plano_Detalhado'!$F$10:$F$197)*($C88='3. Plano_Detalhado'!$A$10:$A$197),0),7))</f>
        <v>4. Validação da especificação</v>
      </c>
      <c r="H88" s="186" t="str" cm="1">
        <f t="array" ref="H88">IF(INDEX('3. Plano_Detalhado'!$A$10:$H$197,MATCH(1,($E88='3. Plano_Detalhado'!$E$10:$E$197)*($F88='3. Plano_Detalhado'!$F$10:$F$197)*($C88='3. Plano_Detalhado'!$A$10:$A$197),0),8)="","",INDEX('3. Plano_Detalhado'!$A$10:$H$197,MATCH(1,($E88='3. Plano_Detalhado'!$E$10:$E$197)*($F88='3. Plano_Detalhado'!$F$10:$F$197)*($C88='3. Plano_Detalhado'!$A$10:$A$197),0),8))</f>
        <v>1. Concluído</v>
      </c>
      <c r="I88" s="26" t="str" cm="1">
        <f t="array" ref="I88">IF(INDEX('3. Plano_Detalhado'!$A$10:$Q$196,MATCH(1,($E88='3. Plano_Detalhado'!$E$10:$E$196)*($F88='3. Plano_Detalhado'!$F$10:$F$196)*($C88='3. Plano_Detalhado'!$A$10:$A$196),0),17)="","",INDEX('3. Plano_Detalhado'!$A$10:$Q$196,MATCH(1,($E88='3. Plano_Detalhado'!$E$10:$E$196)*($F88='3. Plano_Detalhado'!$F$10:$F$196)*($C88='3. Plano_Detalhado'!$A$10:$A$196),0),17))</f>
        <v>Email enviado a LCM + CdG no dia 05/fev para validação da especificação.</v>
      </c>
      <c r="J88" s="187"/>
      <c r="K88" s="188"/>
      <c r="L88" s="188"/>
      <c r="M88" s="188"/>
      <c r="N88" s="188"/>
    </row>
    <row r="89" spans="1:14" ht="16.399999999999999" customHeight="1">
      <c r="A89" s="2"/>
      <c r="B89" s="48" t="s">
        <v>35</v>
      </c>
      <c r="C89" s="184" t="s">
        <v>340</v>
      </c>
      <c r="D89" s="26" t="str" cm="1">
        <f t="array" ref="D89">INDEX('3. Plano_Detalhado'!$A$10:$H$197,MATCH(1,($E89='3. Plano_Detalhado'!$E$10:$E$197)*($F89='3. Plano_Detalhado'!$F$10:$F$197)*($C89='3. Plano_Detalhado'!$A$10:$A$197),0),4)</f>
        <v>2. Campo</v>
      </c>
      <c r="E89" s="185" t="s">
        <v>29</v>
      </c>
      <c r="F89" s="26" t="s">
        <v>86</v>
      </c>
      <c r="G89" s="186" t="str" cm="1">
        <f t="array" ref="G89">IF(INDEX('3. Plano_Detalhado'!$A$10:$H$197,MATCH(1,($E89='3. Plano_Detalhado'!$E$10:$E$197)*($F89='3. Plano_Detalhado'!$F$10:$F$197)*($C89='3. Plano_Detalhado'!$A$10:$A$197),0),7)="","",INDEX('3. Plano_Detalhado'!$A$10:$H$197,MATCH(1,($E89='3. Plano_Detalhado'!$E$10:$E$197)*($F89='3. Plano_Detalhado'!$F$10:$F$197)*($C89='3. Plano_Detalhado'!$A$10:$A$197),0),7))</f>
        <v>4. Validação da especificação</v>
      </c>
      <c r="H89" s="186" t="str" cm="1">
        <f t="array" ref="H89">IF(INDEX('3. Plano_Detalhado'!$A$10:$H$197,MATCH(1,($E89='3. Plano_Detalhado'!$E$10:$E$197)*($F89='3. Plano_Detalhado'!$F$10:$F$197)*($C89='3. Plano_Detalhado'!$A$10:$A$197),0),8)="","",INDEX('3. Plano_Detalhado'!$A$10:$H$197,MATCH(1,($E89='3. Plano_Detalhado'!$E$10:$E$197)*($F89='3. Plano_Detalhado'!$F$10:$F$197)*($C89='3. Plano_Detalhado'!$A$10:$A$197),0),8))</f>
        <v>1. Concluído</v>
      </c>
      <c r="I89" s="26" t="str" cm="1">
        <f t="array" ref="I89">IF(INDEX('3. Plano_Detalhado'!$A$10:$Q$196,MATCH(1,($E89='3. Plano_Detalhado'!$E$10:$E$196)*($F89='3. Plano_Detalhado'!$F$10:$F$196)*($C89='3. Plano_Detalhado'!$A$10:$A$196),0),17)="","",INDEX('3. Plano_Detalhado'!$A$10:$Q$196,MATCH(1,($E89='3. Plano_Detalhado'!$E$10:$E$196)*($F89='3. Plano_Detalhado'!$F$10:$F$196)*($C89='3. Plano_Detalhado'!$A$10:$A$196),0),17))</f>
        <v>Email enviado a LCM + CdG no dia 05/fev para validação da especificação.</v>
      </c>
      <c r="J89" s="187"/>
      <c r="K89" s="188"/>
      <c r="L89" s="188"/>
      <c r="M89" s="188"/>
      <c r="N89" s="188"/>
    </row>
    <row r="90" spans="1:14" ht="16.399999999999999" customHeight="1">
      <c r="A90" s="2"/>
      <c r="B90" s="48" t="s">
        <v>35</v>
      </c>
      <c r="C90" s="184" t="s">
        <v>340</v>
      </c>
      <c r="D90" s="26" t="str" cm="1">
        <f t="array" ref="D90">INDEX('3. Plano_Detalhado'!$A$10:$H$197,MATCH(1,($E90='3. Plano_Detalhado'!$E$10:$E$197)*($F90='3. Plano_Detalhado'!$F$10:$F$197)*($C90='3. Plano_Detalhado'!$A$10:$A$197),0),4)</f>
        <v>2. Campo</v>
      </c>
      <c r="E90" s="185" t="s">
        <v>29</v>
      </c>
      <c r="F90" s="26" t="s">
        <v>62</v>
      </c>
      <c r="G90" s="186" t="str" cm="1">
        <f t="array" ref="G90">IF(INDEX('3. Plano_Detalhado'!$A$10:$H$197,MATCH(1,($E90='3. Plano_Detalhado'!$E$10:$E$197)*($F90='3. Plano_Detalhado'!$F$10:$F$197)*($C90='3. Plano_Detalhado'!$A$10:$A$197),0),7)="","",INDEX('3. Plano_Detalhado'!$A$10:$H$197,MATCH(1,($E90='3. Plano_Detalhado'!$E$10:$E$197)*($F90='3. Plano_Detalhado'!$F$10:$F$197)*($C90='3. Plano_Detalhado'!$A$10:$A$197),0),7))</f>
        <v>1. Concluído</v>
      </c>
      <c r="H90" s="186" t="str" cm="1">
        <f t="array" ref="H90">IF(INDEX('3. Plano_Detalhado'!$A$10:$H$197,MATCH(1,($E90='3. Plano_Detalhado'!$E$10:$E$197)*($F90='3. Plano_Detalhado'!$F$10:$F$197)*($C90='3. Plano_Detalhado'!$A$10:$A$197),0),8)="","",INDEX('3. Plano_Detalhado'!$A$10:$H$197,MATCH(1,($E90='3. Plano_Detalhado'!$E$10:$E$197)*($F90='3. Plano_Detalhado'!$F$10:$F$197)*($C90='3. Plano_Detalhado'!$A$10:$A$197),0),8))</f>
        <v>1. Concluído</v>
      </c>
      <c r="I90" s="26" t="str" cm="1">
        <f t="array" ref="I90">IF(INDEX('3. Plano_Detalhado'!$A$10:$Q$196,MATCH(1,($E90='3. Plano_Detalhado'!$E$10:$E$196)*($F90='3. Plano_Detalhado'!$F$10:$F$196)*($C90='3. Plano_Detalhado'!$A$10:$A$196),0),17)="","",INDEX('3. Plano_Detalhado'!$A$10:$Q$196,MATCH(1,($E90='3. Plano_Detalhado'!$E$10:$E$196)*($F90='3. Plano_Detalhado'!$F$10:$F$196)*($C90='3. Plano_Detalhado'!$A$10:$A$196),0),17))</f>
        <v>Preenchimento validado com a Corporação (email de 20/jan).</v>
      </c>
      <c r="J90" s="187"/>
      <c r="K90" s="188"/>
      <c r="L90" s="188"/>
      <c r="M90" s="188"/>
      <c r="N90" s="188"/>
    </row>
    <row r="91" spans="1:14" ht="16.399999999999999" customHeight="1">
      <c r="A91" s="2"/>
      <c r="B91" s="48" t="s">
        <v>35</v>
      </c>
      <c r="C91" s="184" t="s">
        <v>340</v>
      </c>
      <c r="D91" s="26" t="str" cm="1">
        <f t="array" ref="D91">INDEX('3. Plano_Detalhado'!$A$10:$H$197,MATCH(1,($E91='3. Plano_Detalhado'!$E$10:$E$197)*($F91='3. Plano_Detalhado'!$F$10:$F$197)*($C91='3. Plano_Detalhado'!$A$10:$A$197),0),4)</f>
        <v>2. Campo</v>
      </c>
      <c r="E91" s="185" t="s">
        <v>29</v>
      </c>
      <c r="F91" s="26" t="s">
        <v>87</v>
      </c>
      <c r="G91" s="186" t="str" cm="1">
        <f t="array" ref="G91">IF(INDEX('3. Plano_Detalhado'!$A$10:$H$197,MATCH(1,($E91='3. Plano_Detalhado'!$E$10:$E$197)*($F91='3. Plano_Detalhado'!$F$10:$F$197)*($C91='3. Plano_Detalhado'!$A$10:$A$197),0),7)="","",INDEX('3. Plano_Detalhado'!$A$10:$H$197,MATCH(1,($E91='3. Plano_Detalhado'!$E$10:$E$197)*($F91='3. Plano_Detalhado'!$F$10:$F$197)*($C91='3. Plano_Detalhado'!$A$10:$A$197),0),7))</f>
        <v>1. Concluído</v>
      </c>
      <c r="H91" s="186" t="str" cm="1">
        <f t="array" ref="H91">IF(INDEX('3. Plano_Detalhado'!$A$10:$H$197,MATCH(1,($E91='3. Plano_Detalhado'!$E$10:$E$197)*($F91='3. Plano_Detalhado'!$F$10:$F$197)*($C91='3. Plano_Detalhado'!$A$10:$A$197),0),8)="","",INDEX('3. Plano_Detalhado'!$A$10:$H$197,MATCH(1,($E91='3. Plano_Detalhado'!$E$10:$E$197)*($F91='3. Plano_Detalhado'!$F$10:$F$197)*($C91='3. Plano_Detalhado'!$A$10:$A$197),0),8))</f>
        <v>1. Concluído</v>
      </c>
      <c r="I91" s="26" t="str" cm="1">
        <f t="array" ref="I91">IF(INDEX('3. Plano_Detalhado'!$A$10:$Q$196,MATCH(1,($E91='3. Plano_Detalhado'!$E$10:$E$196)*($F91='3. Plano_Detalhado'!$F$10:$F$196)*($C91='3. Plano_Detalhado'!$A$10:$A$196),0),17)="","",INDEX('3. Plano_Detalhado'!$A$10:$Q$196,MATCH(1,($E91='3. Plano_Detalhado'!$E$10:$E$196)*($F91='3. Plano_Detalhado'!$F$10:$F$196)*($C91='3. Plano_Detalhado'!$A$10:$A$196),0),17))</f>
        <v>Preenchimento validado com a Corporação (email de 20/jan).</v>
      </c>
      <c r="J91" s="187"/>
      <c r="K91" s="188"/>
      <c r="L91" s="188"/>
      <c r="M91" s="188"/>
      <c r="N91" s="188"/>
    </row>
    <row r="92" spans="1:14" ht="16.399999999999999" customHeight="1">
      <c r="A92" s="2"/>
      <c r="B92" s="48" t="s">
        <v>35</v>
      </c>
      <c r="C92" s="184" t="s">
        <v>340</v>
      </c>
      <c r="D92" s="26" t="str" cm="1">
        <f t="array" ref="D92">INDEX('3. Plano_Detalhado'!$A$10:$H$197,MATCH(1,($E92='3. Plano_Detalhado'!$E$10:$E$197)*($F92='3. Plano_Detalhado'!$F$10:$F$197)*($C92='3. Plano_Detalhado'!$A$10:$A$197),0),4)</f>
        <v>2. Campo</v>
      </c>
      <c r="E92" s="185" t="s">
        <v>29</v>
      </c>
      <c r="F92" s="26" t="s">
        <v>88</v>
      </c>
      <c r="G92" s="186" t="str" cm="1">
        <f t="array" ref="G92">IF(INDEX('3. Plano_Detalhado'!$A$10:$H$197,MATCH(1,($E92='3. Plano_Detalhado'!$E$10:$E$197)*($F92='3. Plano_Detalhado'!$F$10:$F$197)*($C92='3. Plano_Detalhado'!$A$10:$A$197),0),7)="","",INDEX('3. Plano_Detalhado'!$A$10:$H$197,MATCH(1,($E92='3. Plano_Detalhado'!$E$10:$E$197)*($F92='3. Plano_Detalhado'!$F$10:$F$197)*($C92='3. Plano_Detalhado'!$A$10:$A$197),0),7))</f>
        <v>1. Concluído</v>
      </c>
      <c r="H92" s="186" t="str" cm="1">
        <f t="array" ref="H92">IF(INDEX('3. Plano_Detalhado'!$A$10:$H$197,MATCH(1,($E92='3. Plano_Detalhado'!$E$10:$E$197)*($F92='3. Plano_Detalhado'!$F$10:$F$197)*($C92='3. Plano_Detalhado'!$A$10:$A$197),0),8)="","",INDEX('3. Plano_Detalhado'!$A$10:$H$197,MATCH(1,($E92='3. Plano_Detalhado'!$E$10:$E$197)*($F92='3. Plano_Detalhado'!$F$10:$F$197)*($C92='3. Plano_Detalhado'!$A$10:$A$197),0),8))</f>
        <v>1. Concluído</v>
      </c>
      <c r="I92" s="26" t="str" cm="1">
        <f t="array" ref="I92">IF(INDEX('3. Plano_Detalhado'!$A$10:$Q$196,MATCH(1,($E92='3. Plano_Detalhado'!$E$10:$E$196)*($F92='3. Plano_Detalhado'!$F$10:$F$196)*($C92='3. Plano_Detalhado'!$A$10:$A$196),0),17)="","",INDEX('3. Plano_Detalhado'!$A$10:$Q$196,MATCH(1,($E92='3. Plano_Detalhado'!$E$10:$E$196)*($F92='3. Plano_Detalhado'!$F$10:$F$196)*($C92='3. Plano_Detalhado'!$A$10:$A$196),0),17))</f>
        <v>Preenchimento validado com a Corporação (email de 20/jan).</v>
      </c>
      <c r="J92" s="187"/>
      <c r="K92" s="188"/>
      <c r="L92" s="188"/>
      <c r="M92" s="188"/>
      <c r="N92" s="188"/>
    </row>
    <row r="93" spans="1:14" ht="16.399999999999999" customHeight="1">
      <c r="A93" s="2"/>
      <c r="B93" s="48" t="s">
        <v>35</v>
      </c>
      <c r="C93" s="184" t="s">
        <v>340</v>
      </c>
      <c r="D93" s="26" t="str" cm="1">
        <f t="array" ref="D93">INDEX('3. Plano_Detalhado'!$A$10:$H$197,MATCH(1,($E93='3. Plano_Detalhado'!$E$10:$E$197)*($F93='3. Plano_Detalhado'!$F$10:$F$197)*($C93='3. Plano_Detalhado'!$A$10:$A$197),0),4)</f>
        <v>2. Campo</v>
      </c>
      <c r="E93" s="185" t="s">
        <v>29</v>
      </c>
      <c r="F93" s="26" t="s">
        <v>89</v>
      </c>
      <c r="G93" s="186" t="str" cm="1">
        <f t="array" ref="G93">IF(INDEX('3. Plano_Detalhado'!$A$10:$H$197,MATCH(1,($E93='3. Plano_Detalhado'!$E$10:$E$197)*($F93='3. Plano_Detalhado'!$F$10:$F$197)*($C93='3. Plano_Detalhado'!$A$10:$A$197),0),7)="","",INDEX('3. Plano_Detalhado'!$A$10:$H$197,MATCH(1,($E93='3. Plano_Detalhado'!$E$10:$E$197)*($F93='3. Plano_Detalhado'!$F$10:$F$197)*($C93='3. Plano_Detalhado'!$A$10:$A$197),0),7))</f>
        <v>1. Concluído</v>
      </c>
      <c r="H93" s="186" t="str" cm="1">
        <f t="array" ref="H93">IF(INDEX('3. Plano_Detalhado'!$A$10:$H$197,MATCH(1,($E93='3. Plano_Detalhado'!$E$10:$E$197)*($F93='3. Plano_Detalhado'!$F$10:$F$197)*($C93='3. Plano_Detalhado'!$A$10:$A$197),0),8)="","",INDEX('3. Plano_Detalhado'!$A$10:$H$197,MATCH(1,($E93='3. Plano_Detalhado'!$E$10:$E$197)*($F93='3. Plano_Detalhado'!$F$10:$F$197)*($C93='3. Plano_Detalhado'!$A$10:$A$197),0),8))</f>
        <v>1. Concluído</v>
      </c>
      <c r="I93" s="26" t="str" cm="1">
        <f t="array" ref="I93">IF(INDEX('3. Plano_Detalhado'!$A$10:$Q$196,MATCH(1,($E93='3. Plano_Detalhado'!$E$10:$E$196)*($F93='3. Plano_Detalhado'!$F$10:$F$196)*($C93='3. Plano_Detalhado'!$A$10:$A$196),0),17)="","",INDEX('3. Plano_Detalhado'!$A$10:$Q$196,MATCH(1,($E93='3. Plano_Detalhado'!$E$10:$E$196)*($F93='3. Plano_Detalhado'!$F$10:$F$196)*($C93='3. Plano_Detalhado'!$A$10:$A$196),0),17))</f>
        <v>Preenchimento validado com a Corporação (email de 20/jan).</v>
      </c>
      <c r="J93" s="187"/>
      <c r="K93" s="188"/>
      <c r="L93" s="188"/>
      <c r="M93" s="188"/>
      <c r="N93" s="188"/>
    </row>
    <row r="94" spans="1:14" ht="16.399999999999999" customHeight="1">
      <c r="A94" s="2"/>
      <c r="B94" s="48" t="s">
        <v>35</v>
      </c>
      <c r="C94" s="184" t="s">
        <v>340</v>
      </c>
      <c r="D94" s="26" t="str" cm="1">
        <f t="array" ref="D94">INDEX('3. Plano_Detalhado'!$A$10:$H$197,MATCH(1,($E94='3. Plano_Detalhado'!$E$10:$E$197)*($F94='3. Plano_Detalhado'!$F$10:$F$197)*($C94='3. Plano_Detalhado'!$A$10:$A$197),0),4)</f>
        <v>2. Campo</v>
      </c>
      <c r="E94" s="185" t="s">
        <v>29</v>
      </c>
      <c r="F94" s="26" t="s">
        <v>90</v>
      </c>
      <c r="G94" s="186" t="str" cm="1">
        <f t="array" ref="G94">IF(INDEX('3. Plano_Detalhado'!$A$10:$H$197,MATCH(1,($E94='3. Plano_Detalhado'!$E$10:$E$197)*($F94='3. Plano_Detalhado'!$F$10:$F$197)*($C94='3. Plano_Detalhado'!$A$10:$A$197),0),7)="","",INDEX('3. Plano_Detalhado'!$A$10:$H$197,MATCH(1,($E94='3. Plano_Detalhado'!$E$10:$E$197)*($F94='3. Plano_Detalhado'!$F$10:$F$197)*($C94='3. Plano_Detalhado'!$A$10:$A$197),0),7))</f>
        <v>4. Validação da especificação</v>
      </c>
      <c r="H94" s="186" t="str" cm="1">
        <f t="array" ref="H94">IF(INDEX('3. Plano_Detalhado'!$A$10:$H$197,MATCH(1,($E94='3. Plano_Detalhado'!$E$10:$E$197)*($F94='3. Plano_Detalhado'!$F$10:$F$197)*($C94='3. Plano_Detalhado'!$A$10:$A$197),0),8)="","",INDEX('3. Plano_Detalhado'!$A$10:$H$197,MATCH(1,($E94='3. Plano_Detalhado'!$E$10:$E$197)*($F94='3. Plano_Detalhado'!$F$10:$F$197)*($C94='3. Plano_Detalhado'!$A$10:$A$197),0),8))</f>
        <v>1. Concluído</v>
      </c>
      <c r="I94" s="26" t="str" cm="1">
        <f t="array" ref="I94">IF(INDEX('3. Plano_Detalhado'!$A$10:$Q$196,MATCH(1,($E94='3. Plano_Detalhado'!$E$10:$E$196)*($F94='3. Plano_Detalhado'!$F$10:$F$196)*($C94='3. Plano_Detalhado'!$A$10:$A$196),0),17)="","",INDEX('3. Plano_Detalhado'!$A$10:$Q$196,MATCH(1,($E94='3. Plano_Detalhado'!$E$10:$E$196)*($F94='3. Plano_Detalhado'!$F$10:$F$196)*($C94='3. Plano_Detalhado'!$A$10:$A$196),0),17))</f>
        <v>Email enviado a LCM + CdG no dia 05/fev para validação da especificação.</v>
      </c>
      <c r="J94" s="187"/>
      <c r="K94" s="188"/>
      <c r="L94" s="188"/>
      <c r="M94" s="188"/>
      <c r="N94" s="188"/>
    </row>
    <row r="95" spans="1:14" ht="16.399999999999999" customHeight="1">
      <c r="A95" s="2"/>
      <c r="B95" s="48" t="s">
        <v>35</v>
      </c>
      <c r="C95" s="184" t="s">
        <v>340</v>
      </c>
      <c r="D95" s="26" t="str" cm="1">
        <f t="array" ref="D95">INDEX('3. Plano_Detalhado'!$A$10:$H$197,MATCH(1,($E95='3. Plano_Detalhado'!$E$10:$E$197)*($F95='3. Plano_Detalhado'!$F$10:$F$197)*($C95='3. Plano_Detalhado'!$A$10:$A$197),0),4)</f>
        <v>2. Campo</v>
      </c>
      <c r="E95" s="185" t="s">
        <v>29</v>
      </c>
      <c r="F95" s="26" t="s">
        <v>91</v>
      </c>
      <c r="G95" s="186" t="str" cm="1">
        <f t="array" ref="G95">IF(INDEX('3. Plano_Detalhado'!$A$10:$H$197,MATCH(1,($E95='3. Plano_Detalhado'!$E$10:$E$197)*($F95='3. Plano_Detalhado'!$F$10:$F$197)*($C95='3. Plano_Detalhado'!$A$10:$A$197),0),7)="","",INDEX('3. Plano_Detalhado'!$A$10:$H$197,MATCH(1,($E95='3. Plano_Detalhado'!$E$10:$E$197)*($F95='3. Plano_Detalhado'!$F$10:$F$197)*($C95='3. Plano_Detalhado'!$A$10:$A$197),0),7))</f>
        <v>1. Concluído</v>
      </c>
      <c r="H95" s="186" t="str" cm="1">
        <f t="array" ref="H95">IF(INDEX('3. Plano_Detalhado'!$A$10:$H$197,MATCH(1,($E95='3. Plano_Detalhado'!$E$10:$E$197)*($F95='3. Plano_Detalhado'!$F$10:$F$197)*($C95='3. Plano_Detalhado'!$A$10:$A$197),0),8)="","",INDEX('3. Plano_Detalhado'!$A$10:$H$197,MATCH(1,($E95='3. Plano_Detalhado'!$E$10:$E$197)*($F95='3. Plano_Detalhado'!$F$10:$F$197)*($C95='3. Plano_Detalhado'!$A$10:$A$197),0),8))</f>
        <v>1. Concluído</v>
      </c>
      <c r="I95" s="26" t="str" cm="1">
        <f t="array" ref="I95">IF(INDEX('3. Plano_Detalhado'!$A$10:$Q$196,MATCH(1,($E95='3. Plano_Detalhado'!$E$10:$E$196)*($F95='3. Plano_Detalhado'!$F$10:$F$196)*($C95='3. Plano_Detalhado'!$A$10:$A$196),0),17)="","",INDEX('3. Plano_Detalhado'!$A$10:$Q$196,MATCH(1,($E95='3. Plano_Detalhado'!$E$10:$E$196)*($F95='3. Plano_Detalhado'!$F$10:$F$196)*($C95='3. Plano_Detalhado'!$A$10:$A$196),0),17))</f>
        <v/>
      </c>
      <c r="J95" s="187"/>
      <c r="K95" s="188"/>
      <c r="L95" s="188"/>
      <c r="M95" s="188"/>
      <c r="N95" s="188"/>
    </row>
    <row r="96" spans="1:14" ht="16.399999999999999" customHeight="1">
      <c r="A96" s="2"/>
      <c r="B96" s="48" t="s">
        <v>35</v>
      </c>
      <c r="C96" s="184" t="s">
        <v>340</v>
      </c>
      <c r="D96" s="26" t="str" cm="1">
        <f t="array" ref="D96">INDEX('3. Plano_Detalhado'!$A$10:$H$197,MATCH(1,($E96='3. Plano_Detalhado'!$E$10:$E$197)*($F96='3. Plano_Detalhado'!$F$10:$F$197)*($C96='3. Plano_Detalhado'!$A$10:$A$197),0),4)</f>
        <v>2. Campo</v>
      </c>
      <c r="E96" s="185" t="s">
        <v>29</v>
      </c>
      <c r="F96" s="26" t="s">
        <v>92</v>
      </c>
      <c r="G96" s="186" t="str" cm="1">
        <f t="array" ref="G96">IF(INDEX('3. Plano_Detalhado'!$A$10:$H$197,MATCH(1,($E96='3. Plano_Detalhado'!$E$10:$E$197)*($F96='3. Plano_Detalhado'!$F$10:$F$197)*($C96='3. Plano_Detalhado'!$A$10:$A$197),0),7)="","",INDEX('3. Plano_Detalhado'!$A$10:$H$197,MATCH(1,($E96='3. Plano_Detalhado'!$E$10:$E$197)*($F96='3. Plano_Detalhado'!$F$10:$F$197)*($C96='3. Plano_Detalhado'!$A$10:$A$197),0),7))</f>
        <v>4. Validação da especificação</v>
      </c>
      <c r="H96" s="186" t="str" cm="1">
        <f t="array" ref="H96">IF(INDEX('3. Plano_Detalhado'!$A$10:$H$197,MATCH(1,($E96='3. Plano_Detalhado'!$E$10:$E$197)*($F96='3. Plano_Detalhado'!$F$10:$F$197)*($C96='3. Plano_Detalhado'!$A$10:$A$197),0),8)="","",INDEX('3. Plano_Detalhado'!$A$10:$H$197,MATCH(1,($E96='3. Plano_Detalhado'!$E$10:$E$197)*($F96='3. Plano_Detalhado'!$F$10:$F$197)*($C96='3. Plano_Detalhado'!$A$10:$A$197),0),8))</f>
        <v>1. Concluído</v>
      </c>
      <c r="I96" s="26" t="str" cm="1">
        <f t="array" ref="I96">IF(INDEX('3. Plano_Detalhado'!$A$10:$Q$196,MATCH(1,($E96='3. Plano_Detalhado'!$E$10:$E$196)*($F96='3. Plano_Detalhado'!$F$10:$F$196)*($C96='3. Plano_Detalhado'!$A$10:$A$196),0),17)="","",INDEX('3. Plano_Detalhado'!$A$10:$Q$196,MATCH(1,($E96='3. Plano_Detalhado'!$E$10:$E$196)*($F96='3. Plano_Detalhado'!$F$10:$F$196)*($C96='3. Plano_Detalhado'!$A$10:$A$196),0),17))</f>
        <v>Email enviado a LCM + CdG no dia 05/fev para validação da especificação.</v>
      </c>
      <c r="J96" s="187"/>
      <c r="K96" s="188"/>
      <c r="L96" s="188"/>
      <c r="M96" s="188"/>
      <c r="N96" s="188"/>
    </row>
    <row r="97" spans="1:14" ht="16.399999999999999" customHeight="1">
      <c r="A97" s="2"/>
      <c r="B97" s="48" t="s">
        <v>35</v>
      </c>
      <c r="C97" s="184" t="s">
        <v>340</v>
      </c>
      <c r="D97" s="26" t="str" cm="1">
        <f t="array" ref="D97">INDEX('3. Plano_Detalhado'!$A$10:$H$197,MATCH(1,($E97='3. Plano_Detalhado'!$E$10:$E$197)*($F97='3. Plano_Detalhado'!$F$10:$F$197)*($C97='3. Plano_Detalhado'!$A$10:$A$197),0),4)</f>
        <v>2. Campo</v>
      </c>
      <c r="E97" s="185" t="s">
        <v>29</v>
      </c>
      <c r="F97" s="26" t="s">
        <v>93</v>
      </c>
      <c r="G97" s="186" t="str" cm="1">
        <f t="array" ref="G97">IF(INDEX('3. Plano_Detalhado'!$A$10:$H$197,MATCH(1,($E97='3. Plano_Detalhado'!$E$10:$E$197)*($F97='3. Plano_Detalhado'!$F$10:$F$197)*($C97='3. Plano_Detalhado'!$A$10:$A$197),0),7)="","",INDEX('3. Plano_Detalhado'!$A$10:$H$197,MATCH(1,($E97='3. Plano_Detalhado'!$E$10:$E$197)*($F97='3. Plano_Detalhado'!$F$10:$F$197)*($C97='3. Plano_Detalhado'!$A$10:$A$197),0),7))</f>
        <v>4. Validação da especificação</v>
      </c>
      <c r="H97" s="186" t="str" cm="1">
        <f t="array" ref="H97">IF(INDEX('3. Plano_Detalhado'!$A$10:$H$197,MATCH(1,($E97='3. Plano_Detalhado'!$E$10:$E$197)*($F97='3. Plano_Detalhado'!$F$10:$F$197)*($C97='3. Plano_Detalhado'!$A$10:$A$197),0),8)="","",INDEX('3. Plano_Detalhado'!$A$10:$H$197,MATCH(1,($E97='3. Plano_Detalhado'!$E$10:$E$197)*($F97='3. Plano_Detalhado'!$F$10:$F$197)*($C97='3. Plano_Detalhado'!$A$10:$A$197),0),8))</f>
        <v>1. Concluído</v>
      </c>
      <c r="I97" s="26" t="str" cm="1">
        <f t="array" ref="I97">IF(INDEX('3. Plano_Detalhado'!$A$10:$Q$196,MATCH(1,($E97='3. Plano_Detalhado'!$E$10:$E$196)*($F97='3. Plano_Detalhado'!$F$10:$F$196)*($C97='3. Plano_Detalhado'!$A$10:$A$196),0),17)="","",INDEX('3. Plano_Detalhado'!$A$10:$Q$196,MATCH(1,($E97='3. Plano_Detalhado'!$E$10:$E$196)*($F97='3. Plano_Detalhado'!$F$10:$F$196)*($C97='3. Plano_Detalhado'!$A$10:$A$196),0),17))</f>
        <v>Email enviado a LCM + CdG no dia 05/fev para validação da especificação.</v>
      </c>
      <c r="J97" s="187"/>
      <c r="K97" s="188"/>
      <c r="L97" s="188"/>
      <c r="M97" s="188"/>
      <c r="N97" s="188"/>
    </row>
    <row r="98" spans="1:14" ht="16.399999999999999" customHeight="1">
      <c r="A98" s="2"/>
      <c r="B98" s="48" t="s">
        <v>35</v>
      </c>
      <c r="C98" s="184" t="s">
        <v>340</v>
      </c>
      <c r="D98" s="26" t="str" cm="1">
        <f t="array" ref="D98">INDEX('3. Plano_Detalhado'!$A$10:$H$197,MATCH(1,($E98='3. Plano_Detalhado'!$E$10:$E$197)*($F98='3. Plano_Detalhado'!$F$10:$F$197)*($C98='3. Plano_Detalhado'!$A$10:$A$197),0),4)</f>
        <v>2. Campo</v>
      </c>
      <c r="E98" s="185" t="s">
        <v>29</v>
      </c>
      <c r="F98" s="26" t="s">
        <v>94</v>
      </c>
      <c r="G98" s="186" t="str" cm="1">
        <f t="array" ref="G98">IF(INDEX('3. Plano_Detalhado'!$A$10:$H$197,MATCH(1,($E98='3. Plano_Detalhado'!$E$10:$E$197)*($F98='3. Plano_Detalhado'!$F$10:$F$197)*($C98='3. Plano_Detalhado'!$A$10:$A$197),0),7)="","",INDEX('3. Plano_Detalhado'!$A$10:$H$197,MATCH(1,($E98='3. Plano_Detalhado'!$E$10:$E$197)*($F98='3. Plano_Detalhado'!$F$10:$F$197)*($C98='3. Plano_Detalhado'!$A$10:$A$197),0),7))</f>
        <v>1. Concluído</v>
      </c>
      <c r="H98" s="186" t="str" cm="1">
        <f t="array" ref="H98">IF(INDEX('3. Plano_Detalhado'!$A$10:$H$197,MATCH(1,($E98='3. Plano_Detalhado'!$E$10:$E$197)*($F98='3. Plano_Detalhado'!$F$10:$F$197)*($C98='3. Plano_Detalhado'!$A$10:$A$197),0),8)="","",INDEX('3. Plano_Detalhado'!$A$10:$H$197,MATCH(1,($E98='3. Plano_Detalhado'!$E$10:$E$197)*($F98='3. Plano_Detalhado'!$F$10:$F$197)*($C98='3. Plano_Detalhado'!$A$10:$A$197),0),8))</f>
        <v>1. Concluído</v>
      </c>
      <c r="I98" s="26" t="str" cm="1">
        <f t="array" ref="I98">IF(INDEX('3. Plano_Detalhado'!$A$10:$Q$196,MATCH(1,($E98='3. Plano_Detalhado'!$E$10:$E$196)*($F98='3. Plano_Detalhado'!$F$10:$F$196)*($C98='3. Plano_Detalhado'!$A$10:$A$196),0),17)="","",INDEX('3. Plano_Detalhado'!$A$10:$Q$196,MATCH(1,($E98='3. Plano_Detalhado'!$E$10:$E$196)*($F98='3. Plano_Detalhado'!$F$10:$F$196)*($C98='3. Plano_Detalhado'!$A$10:$A$196),0),17))</f>
        <v/>
      </c>
      <c r="J98" s="187"/>
      <c r="K98" s="188"/>
      <c r="L98" s="188"/>
      <c r="M98" s="188"/>
      <c r="N98" s="188"/>
    </row>
    <row r="99" spans="1:14" ht="16.399999999999999" customHeight="1">
      <c r="A99" s="2"/>
      <c r="B99" s="48" t="s">
        <v>35</v>
      </c>
      <c r="C99" s="184" t="s">
        <v>340</v>
      </c>
      <c r="D99" s="26" t="str" cm="1">
        <f t="array" ref="D99">INDEX('3. Plano_Detalhado'!$A$10:$H$197,MATCH(1,($E99='3. Plano_Detalhado'!$E$10:$E$197)*($F99='3. Plano_Detalhado'!$F$10:$F$197)*($C99='3. Plano_Detalhado'!$A$10:$A$197),0),4)</f>
        <v>2. Campo</v>
      </c>
      <c r="E99" s="185" t="s">
        <v>29</v>
      </c>
      <c r="F99" s="26" t="s">
        <v>95</v>
      </c>
      <c r="G99" s="186" t="str" cm="1">
        <f t="array" ref="G99">IF(INDEX('3. Plano_Detalhado'!$A$10:$H$197,MATCH(1,($E99='3. Plano_Detalhado'!$E$10:$E$197)*($F99='3. Plano_Detalhado'!$F$10:$F$197)*($C99='3. Plano_Detalhado'!$A$10:$A$197),0),7)="","",INDEX('3. Plano_Detalhado'!$A$10:$H$197,MATCH(1,($E99='3. Plano_Detalhado'!$E$10:$E$197)*($F99='3. Plano_Detalhado'!$F$10:$F$197)*($C99='3. Plano_Detalhado'!$A$10:$A$197),0),7))</f>
        <v>4. Validação da especificação</v>
      </c>
      <c r="H99" s="186" t="str" cm="1">
        <f t="array" ref="H99">IF(INDEX('3. Plano_Detalhado'!$A$10:$H$197,MATCH(1,($E99='3. Plano_Detalhado'!$E$10:$E$197)*($F99='3. Plano_Detalhado'!$F$10:$F$197)*($C99='3. Plano_Detalhado'!$A$10:$A$197),0),8)="","",INDEX('3. Plano_Detalhado'!$A$10:$H$197,MATCH(1,($E99='3. Plano_Detalhado'!$E$10:$E$197)*($F99='3. Plano_Detalhado'!$F$10:$F$197)*($C99='3. Plano_Detalhado'!$A$10:$A$197),0),8))</f>
        <v>1. Concluído</v>
      </c>
      <c r="I99" s="26" t="str" cm="1">
        <f t="array" ref="I99">IF(INDEX('3. Plano_Detalhado'!$A$10:$Q$196,MATCH(1,($E99='3. Plano_Detalhado'!$E$10:$E$196)*($F99='3. Plano_Detalhado'!$F$10:$F$196)*($C99='3. Plano_Detalhado'!$A$10:$A$196),0),17)="","",INDEX('3. Plano_Detalhado'!$A$10:$Q$196,MATCH(1,($E99='3. Plano_Detalhado'!$E$10:$E$196)*($F99='3. Plano_Detalhado'!$F$10:$F$196)*($C99='3. Plano_Detalhado'!$A$10:$A$196),0),17))</f>
        <v>Email enviado a LCM + CdG no dia 05/fev para validação da especificação.</v>
      </c>
      <c r="J99" s="187"/>
      <c r="K99" s="188"/>
      <c r="L99" s="188"/>
      <c r="M99" s="188"/>
      <c r="N99" s="188"/>
    </row>
    <row r="100" spans="1:14" ht="16.399999999999999" customHeight="1">
      <c r="A100" s="2"/>
      <c r="B100" s="48" t="s">
        <v>35</v>
      </c>
      <c r="C100" s="184" t="s">
        <v>340</v>
      </c>
      <c r="D100" s="26" t="str" cm="1">
        <f t="array" ref="D100">INDEX('3. Plano_Detalhado'!$A$10:$H$197,MATCH(1,($E100='3. Plano_Detalhado'!$E$10:$E$197)*($F100='3. Plano_Detalhado'!$F$10:$F$197)*($C100='3. Plano_Detalhado'!$A$10:$A$197),0),4)</f>
        <v>2. Campo</v>
      </c>
      <c r="E100" s="185" t="s">
        <v>29</v>
      </c>
      <c r="F100" s="26" t="s">
        <v>96</v>
      </c>
      <c r="G100" s="186" t="str" cm="1">
        <f t="array" ref="G100">IF(INDEX('3. Plano_Detalhado'!$A$10:$H$197,MATCH(1,($E100='3. Plano_Detalhado'!$E$10:$E$197)*($F100='3. Plano_Detalhado'!$F$10:$F$197)*($C100='3. Plano_Detalhado'!$A$10:$A$197),0),7)="","",INDEX('3. Plano_Detalhado'!$A$10:$H$197,MATCH(1,($E100='3. Plano_Detalhado'!$E$10:$E$197)*($F100='3. Plano_Detalhado'!$F$10:$F$197)*($C100='3. Plano_Detalhado'!$A$10:$A$197),0),7))</f>
        <v>4. Validação da especificação</v>
      </c>
      <c r="H100" s="186" t="str" cm="1">
        <f t="array" ref="H100">IF(INDEX('3. Plano_Detalhado'!$A$10:$H$197,MATCH(1,($E100='3. Plano_Detalhado'!$E$10:$E$197)*($F100='3. Plano_Detalhado'!$F$10:$F$197)*($C100='3. Plano_Detalhado'!$A$10:$A$197),0),8)="","",INDEX('3. Plano_Detalhado'!$A$10:$H$197,MATCH(1,($E100='3. Plano_Detalhado'!$E$10:$E$197)*($F100='3. Plano_Detalhado'!$F$10:$F$197)*($C100='3. Plano_Detalhado'!$A$10:$A$197),0),8))</f>
        <v>1. Concluído</v>
      </c>
      <c r="I100" s="26" t="str" cm="1">
        <f t="array" ref="I100">IF(INDEX('3. Plano_Detalhado'!$A$10:$Q$196,MATCH(1,($E100='3. Plano_Detalhado'!$E$10:$E$196)*($F100='3. Plano_Detalhado'!$F$10:$F$196)*($C100='3. Plano_Detalhado'!$A$10:$A$196),0),17)="","",INDEX('3. Plano_Detalhado'!$A$10:$Q$196,MATCH(1,($E100='3. Plano_Detalhado'!$E$10:$E$196)*($F100='3. Plano_Detalhado'!$F$10:$F$196)*($C100='3. Plano_Detalhado'!$A$10:$A$196),0),17))</f>
        <v>Email enviado a LCM + CdG no dia 05/fev para validação da especificação.</v>
      </c>
      <c r="J100" s="187"/>
      <c r="K100" s="188"/>
      <c r="L100" s="188"/>
      <c r="M100" s="188"/>
      <c r="N100" s="188"/>
    </row>
    <row r="101" spans="1:14" ht="16.399999999999999" customHeight="1">
      <c r="A101" s="2"/>
      <c r="B101" s="48" t="s">
        <v>35</v>
      </c>
      <c r="C101" s="184" t="s">
        <v>340</v>
      </c>
      <c r="D101" s="26" t="str" cm="1">
        <f t="array" ref="D101">INDEX('3. Plano_Detalhado'!$A$10:$H$197,MATCH(1,($E101='3. Plano_Detalhado'!$E$10:$E$197)*($F101='3. Plano_Detalhado'!$F$10:$F$197)*($C101='3. Plano_Detalhado'!$A$10:$A$197),0),4)</f>
        <v>2. Campo</v>
      </c>
      <c r="E101" s="185" t="s">
        <v>29</v>
      </c>
      <c r="F101" s="26" t="s">
        <v>97</v>
      </c>
      <c r="G101" s="186" t="str" cm="1">
        <f t="array" ref="G101">IF(INDEX('3. Plano_Detalhado'!$A$10:$H$197,MATCH(1,($E101='3. Plano_Detalhado'!$E$10:$E$197)*($F101='3. Plano_Detalhado'!$F$10:$F$197)*($C101='3. Plano_Detalhado'!$A$10:$A$197),0),7)="","",INDEX('3. Plano_Detalhado'!$A$10:$H$197,MATCH(1,($E101='3. Plano_Detalhado'!$E$10:$E$197)*($F101='3. Plano_Detalhado'!$F$10:$F$197)*($C101='3. Plano_Detalhado'!$A$10:$A$197),0),7))</f>
        <v>1. Concluído</v>
      </c>
      <c r="H101" s="186" t="str" cm="1">
        <f t="array" ref="H101">IF(INDEX('3. Plano_Detalhado'!$A$10:$H$197,MATCH(1,($E101='3. Plano_Detalhado'!$E$10:$E$197)*($F101='3. Plano_Detalhado'!$F$10:$F$197)*($C101='3. Plano_Detalhado'!$A$10:$A$197),0),8)="","",INDEX('3. Plano_Detalhado'!$A$10:$H$197,MATCH(1,($E101='3. Plano_Detalhado'!$E$10:$E$197)*($F101='3. Plano_Detalhado'!$F$10:$F$197)*($C101='3. Plano_Detalhado'!$A$10:$A$197),0),8))</f>
        <v>2. Em Especificação/Re-especificação</v>
      </c>
      <c r="I101" s="26" t="str" cm="1">
        <f t="array" ref="I101">IF(INDEX('3. Plano_Detalhado'!$A$10:$Q$196,MATCH(1,($E101='3. Plano_Detalhado'!$E$10:$E$196)*($F101='3. Plano_Detalhado'!$F$10:$F$196)*($C101='3. Plano_Detalhado'!$A$10:$A$196),0),17)="","",INDEX('3. Plano_Detalhado'!$A$10:$Q$196,MATCH(1,($E101='3. Plano_Detalhado'!$E$10:$E$196)*($F101='3. Plano_Detalhado'!$F$10:$F$196)*($C101='3. Plano_Detalhado'!$A$10:$A$196),0),17))</f>
        <v>Na reunião de dia 31/jan com a Corporação ficou definido que se vai manter a desagregação pela BA. Este campo deve manter a especificação que já se encontra implementada.</v>
      </c>
      <c r="J101" s="187"/>
      <c r="K101" s="188"/>
      <c r="L101" s="188"/>
      <c r="M101" s="188"/>
      <c r="N101" s="188"/>
    </row>
    <row r="102" spans="1:14" ht="16.399999999999999" customHeight="1">
      <c r="A102" s="2"/>
      <c r="B102" s="48" t="s">
        <v>35</v>
      </c>
      <c r="C102" s="184" t="s">
        <v>340</v>
      </c>
      <c r="D102" s="26" t="str" cm="1">
        <f t="array" ref="D102">INDEX('3. Plano_Detalhado'!$A$10:$H$197,MATCH(1,($E102='3. Plano_Detalhado'!$E$10:$E$197)*($F102='3. Plano_Detalhado'!$F$10:$F$197)*($C102='3. Plano_Detalhado'!$A$10:$A$197),0),4)</f>
        <v>2. Campo</v>
      </c>
      <c r="E102" s="185" t="s">
        <v>29</v>
      </c>
      <c r="F102" s="26" t="s">
        <v>98</v>
      </c>
      <c r="G102" s="186" t="str" cm="1">
        <f t="array" ref="G102">IF(INDEX('3. Plano_Detalhado'!$A$10:$H$197,MATCH(1,($E102='3. Plano_Detalhado'!$E$10:$E$197)*($F102='3. Plano_Detalhado'!$F$10:$F$197)*($C102='3. Plano_Detalhado'!$A$10:$A$197),0),7)="","",INDEX('3. Plano_Detalhado'!$A$10:$H$197,MATCH(1,($E102='3. Plano_Detalhado'!$E$10:$E$197)*($F102='3. Plano_Detalhado'!$F$10:$F$197)*($C102='3. Plano_Detalhado'!$A$10:$A$197),0),7))</f>
        <v>1. Concluído</v>
      </c>
      <c r="H102" s="186" t="str" cm="1">
        <f t="array" ref="H102">IF(INDEX('3. Plano_Detalhado'!$A$10:$H$197,MATCH(1,($E102='3. Plano_Detalhado'!$E$10:$E$197)*($F102='3. Plano_Detalhado'!$F$10:$F$197)*($C102='3. Plano_Detalhado'!$A$10:$A$197),0),8)="","",INDEX('3. Plano_Detalhado'!$A$10:$H$197,MATCH(1,($E102='3. Plano_Detalhado'!$E$10:$E$197)*($F102='3. Plano_Detalhado'!$F$10:$F$197)*($C102='3. Plano_Detalhado'!$A$10:$A$197),0),8))</f>
        <v>2. Em Especificação/Re-especificação</v>
      </c>
      <c r="I102" s="26" t="str" cm="1">
        <f t="array" ref="I102">IF(INDEX('3. Plano_Detalhado'!$A$10:$Q$196,MATCH(1,($E102='3. Plano_Detalhado'!$E$10:$E$196)*($F102='3. Plano_Detalhado'!$F$10:$F$196)*($C102='3. Plano_Detalhado'!$A$10:$A$196),0),17)="","",INDEX('3. Plano_Detalhado'!$A$10:$Q$196,MATCH(1,($E102='3. Plano_Detalhado'!$E$10:$E$196)*($F102='3. Plano_Detalhado'!$F$10:$F$196)*($C102='3. Plano_Detalhado'!$A$10:$A$196),0),17))</f>
        <v>Na reunião de dia 31/jan com a Corporação ficou definido que se vai manter a desagregação pela BA. Este campo deve manter a especificação que já se encontra implementada.</v>
      </c>
      <c r="J102" s="187"/>
      <c r="K102" s="188"/>
      <c r="L102" s="188"/>
      <c r="M102" s="188"/>
      <c r="N102" s="188"/>
    </row>
    <row r="103" spans="1:14" ht="16.399999999999999" customHeight="1">
      <c r="A103" s="2"/>
      <c r="B103" s="48" t="s">
        <v>35</v>
      </c>
      <c r="C103" s="184" t="s">
        <v>340</v>
      </c>
      <c r="D103" s="26" t="str" cm="1">
        <f t="array" ref="D103">INDEX('3. Plano_Detalhado'!$A$10:$H$197,MATCH(1,($E103='3. Plano_Detalhado'!$E$10:$E$197)*($F103='3. Plano_Detalhado'!$F$10:$F$197)*($C103='3. Plano_Detalhado'!$A$10:$A$197),0),4)</f>
        <v>2. Campo</v>
      </c>
      <c r="E103" s="185" t="s">
        <v>29</v>
      </c>
      <c r="F103" s="26" t="s">
        <v>99</v>
      </c>
      <c r="G103" s="186" t="str" cm="1">
        <f t="array" ref="G103">IF(INDEX('3. Plano_Detalhado'!$A$10:$H$197,MATCH(1,($E103='3. Plano_Detalhado'!$E$10:$E$197)*($F103='3. Plano_Detalhado'!$F$10:$F$197)*($C103='3. Plano_Detalhado'!$A$10:$A$197),0),7)="","",INDEX('3. Plano_Detalhado'!$A$10:$H$197,MATCH(1,($E103='3. Plano_Detalhado'!$E$10:$E$197)*($F103='3. Plano_Detalhado'!$F$10:$F$197)*($C103='3. Plano_Detalhado'!$A$10:$A$197),0),7))</f>
        <v>1. Concluído</v>
      </c>
      <c r="H103" s="186" t="str" cm="1">
        <f t="array" ref="H103">IF(INDEX('3. Plano_Detalhado'!$A$10:$H$197,MATCH(1,($E103='3. Plano_Detalhado'!$E$10:$E$197)*($F103='3. Plano_Detalhado'!$F$10:$F$197)*($C103='3. Plano_Detalhado'!$A$10:$A$197),0),8)="","",INDEX('3. Plano_Detalhado'!$A$10:$H$197,MATCH(1,($E103='3. Plano_Detalhado'!$E$10:$E$197)*($F103='3. Plano_Detalhado'!$F$10:$F$197)*($C103='3. Plano_Detalhado'!$A$10:$A$197),0),8))</f>
        <v>2. Em Especificação/Re-especificação</v>
      </c>
      <c r="I103" s="26" t="str" cm="1">
        <f t="array" ref="I103">IF(INDEX('3. Plano_Detalhado'!$A$10:$Q$196,MATCH(1,($E103='3. Plano_Detalhado'!$E$10:$E$196)*($F103='3. Plano_Detalhado'!$F$10:$F$196)*($C103='3. Plano_Detalhado'!$A$10:$A$196),0),17)="","",INDEX('3. Plano_Detalhado'!$A$10:$Q$196,MATCH(1,($E103='3. Plano_Detalhado'!$E$10:$E$196)*($F103='3. Plano_Detalhado'!$F$10:$F$196)*($C103='3. Plano_Detalhado'!$A$10:$A$196),0),17))</f>
        <v>Na reunião de dia 31/jan com a Corporação ficou definido que se vai manter a desagregação pela BA. Este campo deve manter a especificação que já se encontra implementada.</v>
      </c>
      <c r="J103" s="187"/>
      <c r="K103" s="188"/>
      <c r="L103" s="188"/>
      <c r="M103" s="188"/>
      <c r="N103" s="188"/>
    </row>
    <row r="104" spans="1:14" ht="16.399999999999999" customHeight="1">
      <c r="A104" s="2"/>
      <c r="B104" s="48" t="s">
        <v>35</v>
      </c>
      <c r="C104" s="184" t="s">
        <v>340</v>
      </c>
      <c r="D104" s="26" t="str" cm="1">
        <f t="array" ref="D104">INDEX('3. Plano_Detalhado'!$A$10:$H$197,MATCH(1,($E104='3. Plano_Detalhado'!$E$10:$E$197)*($F104='3. Plano_Detalhado'!$F$10:$F$197)*($C104='3. Plano_Detalhado'!$A$10:$A$197),0),4)</f>
        <v>2. Campo</v>
      </c>
      <c r="E104" s="185" t="s">
        <v>29</v>
      </c>
      <c r="F104" s="26" t="s">
        <v>100</v>
      </c>
      <c r="G104" s="186" t="str" cm="1">
        <f t="array" ref="G104">IF(INDEX('3. Plano_Detalhado'!$A$10:$H$197,MATCH(1,($E104='3. Plano_Detalhado'!$E$10:$E$197)*($F104='3. Plano_Detalhado'!$F$10:$F$197)*($C104='3. Plano_Detalhado'!$A$10:$A$197),0),7)="","",INDEX('3. Plano_Detalhado'!$A$10:$H$197,MATCH(1,($E104='3. Plano_Detalhado'!$E$10:$E$197)*($F104='3. Plano_Detalhado'!$F$10:$F$197)*($C104='3. Plano_Detalhado'!$A$10:$A$197),0),7))</f>
        <v>1. Concluído</v>
      </c>
      <c r="H104" s="186" t="str" cm="1">
        <f t="array" ref="H104">IF(INDEX('3. Plano_Detalhado'!$A$10:$H$197,MATCH(1,($E104='3. Plano_Detalhado'!$E$10:$E$197)*($F104='3. Plano_Detalhado'!$F$10:$F$197)*($C104='3. Plano_Detalhado'!$A$10:$A$197),0),8)="","",INDEX('3. Plano_Detalhado'!$A$10:$H$197,MATCH(1,($E104='3. Plano_Detalhado'!$E$10:$E$197)*($F104='3. Plano_Detalhado'!$F$10:$F$197)*($C104='3. Plano_Detalhado'!$A$10:$A$197),0),8))</f>
        <v>2. Em Especificação/Re-especificação</v>
      </c>
      <c r="I104" s="26" t="str" cm="1">
        <f t="array" ref="I104">IF(INDEX('3. Plano_Detalhado'!$A$10:$Q$196,MATCH(1,($E104='3. Plano_Detalhado'!$E$10:$E$196)*($F104='3. Plano_Detalhado'!$F$10:$F$196)*($C104='3. Plano_Detalhado'!$A$10:$A$196),0),17)="","",INDEX('3. Plano_Detalhado'!$A$10:$Q$196,MATCH(1,($E104='3. Plano_Detalhado'!$E$10:$E$196)*($F104='3. Plano_Detalhado'!$F$10:$F$196)*($C104='3. Plano_Detalhado'!$A$10:$A$196),0),17))</f>
        <v>Na reunião de dia 31/jan com a Corporação ficou definido que se vai manter a desagregação pela BA. Este campo deve manter a especificação que já se encontra implementada.</v>
      </c>
      <c r="J104" s="187"/>
      <c r="K104" s="188"/>
      <c r="L104" s="188"/>
      <c r="M104" s="188"/>
      <c r="N104" s="188"/>
    </row>
    <row r="105" spans="1:14" ht="16.399999999999999" customHeight="1">
      <c r="A105" s="2"/>
      <c r="B105" s="48" t="s">
        <v>35</v>
      </c>
      <c r="C105" s="184" t="s">
        <v>340</v>
      </c>
      <c r="D105" s="26" t="str" cm="1">
        <f t="array" ref="D105">INDEX('3. Plano_Detalhado'!$A$10:$H$197,MATCH(1,($E105='3. Plano_Detalhado'!$E$10:$E$197)*($F105='3. Plano_Detalhado'!$F$10:$F$197)*($C105='3. Plano_Detalhado'!$A$10:$A$197),0),4)</f>
        <v>2. Campo</v>
      </c>
      <c r="E105" s="185" t="s">
        <v>29</v>
      </c>
      <c r="F105" s="26" t="s">
        <v>101</v>
      </c>
      <c r="G105" s="186" t="str" cm="1">
        <f t="array" ref="G105">IF(INDEX('3. Plano_Detalhado'!$A$10:$H$197,MATCH(1,($E105='3. Plano_Detalhado'!$E$10:$E$197)*($F105='3. Plano_Detalhado'!$F$10:$F$197)*($C105='3. Plano_Detalhado'!$A$10:$A$197),0),7)="","",INDEX('3. Plano_Detalhado'!$A$10:$H$197,MATCH(1,($E105='3. Plano_Detalhado'!$E$10:$E$197)*($F105='3. Plano_Detalhado'!$F$10:$F$197)*($C105='3. Plano_Detalhado'!$A$10:$A$197),0),7))</f>
        <v>1. Concluído</v>
      </c>
      <c r="H105" s="186" t="str" cm="1">
        <f t="array" ref="H105">IF(INDEX('3. Plano_Detalhado'!$A$10:$H$197,MATCH(1,($E105='3. Plano_Detalhado'!$E$10:$E$197)*($F105='3. Plano_Detalhado'!$F$10:$F$197)*($C105='3. Plano_Detalhado'!$A$10:$A$197),0),8)="","",INDEX('3. Plano_Detalhado'!$A$10:$H$197,MATCH(1,($E105='3. Plano_Detalhado'!$E$10:$E$197)*($F105='3. Plano_Detalhado'!$F$10:$F$197)*($C105='3. Plano_Detalhado'!$A$10:$A$197),0),8))</f>
        <v>2. Em Especificação/Re-especificação</v>
      </c>
      <c r="I105" s="26" t="str" cm="1">
        <f t="array" ref="I105">IF(INDEX('3. Plano_Detalhado'!$A$10:$Q$196,MATCH(1,($E105='3. Plano_Detalhado'!$E$10:$E$196)*($F105='3. Plano_Detalhado'!$F$10:$F$196)*($C105='3. Plano_Detalhado'!$A$10:$A$196),0),17)="","",INDEX('3. Plano_Detalhado'!$A$10:$Q$196,MATCH(1,($E105='3. Plano_Detalhado'!$E$10:$E$196)*($F105='3. Plano_Detalhado'!$F$10:$F$196)*($C105='3. Plano_Detalhado'!$A$10:$A$196),0),17))</f>
        <v>Na reunião de dia 31/jan com a Corporação ficou definido que se vai manter a desagregação pela BA. Este campo deve manter a especificação que já se encontra implementada.</v>
      </c>
      <c r="J105" s="187"/>
      <c r="K105" s="188"/>
      <c r="L105" s="188"/>
      <c r="M105" s="188"/>
      <c r="N105" s="188"/>
    </row>
    <row r="106" spans="1:14" ht="16.399999999999999" customHeight="1">
      <c r="A106" s="2"/>
      <c r="B106" s="48" t="s">
        <v>35</v>
      </c>
      <c r="C106" s="184" t="s">
        <v>340</v>
      </c>
      <c r="D106" s="26" t="str" cm="1">
        <f t="array" ref="D106">INDEX('3. Plano_Detalhado'!$A$10:$H$197,MATCH(1,($E106='3. Plano_Detalhado'!$E$10:$E$197)*($F106='3. Plano_Detalhado'!$F$10:$F$197)*($C106='3. Plano_Detalhado'!$A$10:$A$197),0),4)</f>
        <v>2. Campo</v>
      </c>
      <c r="E106" s="185" t="s">
        <v>29</v>
      </c>
      <c r="F106" s="26" t="s">
        <v>63</v>
      </c>
      <c r="G106" s="186" t="str" cm="1">
        <f t="array" ref="G106">IF(INDEX('3. Plano_Detalhado'!$A$10:$H$197,MATCH(1,($E106='3. Plano_Detalhado'!$E$10:$E$197)*($F106='3. Plano_Detalhado'!$F$10:$F$197)*($C106='3. Plano_Detalhado'!$A$10:$A$197),0),7)="","",INDEX('3. Plano_Detalhado'!$A$10:$H$197,MATCH(1,($E106='3. Plano_Detalhado'!$E$10:$E$197)*($F106='3. Plano_Detalhado'!$F$10:$F$197)*($C106='3. Plano_Detalhado'!$A$10:$A$197),0),7))</f>
        <v>1. Concluído</v>
      </c>
      <c r="H106" s="186" t="str" cm="1">
        <f t="array" ref="H106">IF(INDEX('3. Plano_Detalhado'!$A$10:$H$197,MATCH(1,($E106='3. Plano_Detalhado'!$E$10:$E$197)*($F106='3. Plano_Detalhado'!$F$10:$F$197)*($C106='3. Plano_Detalhado'!$A$10:$A$197),0),8)="","",INDEX('3. Plano_Detalhado'!$A$10:$H$197,MATCH(1,($E106='3. Plano_Detalhado'!$E$10:$E$197)*($F106='3. Plano_Detalhado'!$F$10:$F$197)*($C106='3. Plano_Detalhado'!$A$10:$A$197),0),8))</f>
        <v>2. Em Especificação/Re-especificação</v>
      </c>
      <c r="I106" s="26" t="str" cm="1">
        <f t="array" ref="I106">IF(INDEX('3. Plano_Detalhado'!$A$10:$Q$196,MATCH(1,($E106='3. Plano_Detalhado'!$E$10:$E$196)*($F106='3. Plano_Detalhado'!$F$10:$F$196)*($C106='3. Plano_Detalhado'!$A$10:$A$196),0),17)="","",INDEX('3. Plano_Detalhado'!$A$10:$Q$196,MATCH(1,($E106='3. Plano_Detalhado'!$E$10:$E$196)*($F106='3. Plano_Detalhado'!$F$10:$F$196)*($C106='3. Plano_Detalhado'!$A$10:$A$196),0),17))</f>
        <v>Na reunião de dia 31/jan com a Corporação ficou definido que se vai manter a desagregação pela BA. Este campo deve manter a especificação que já se encontra implementada.</v>
      </c>
      <c r="J106" s="187"/>
      <c r="K106" s="188"/>
      <c r="L106" s="188"/>
      <c r="M106" s="188"/>
      <c r="N106" s="188"/>
    </row>
    <row r="107" spans="1:14" ht="16.399999999999999" customHeight="1">
      <c r="A107" s="2"/>
      <c r="B107" s="48" t="s">
        <v>35</v>
      </c>
      <c r="C107" s="184" t="s">
        <v>340</v>
      </c>
      <c r="D107" s="26" t="str" cm="1">
        <f t="array" ref="D107">INDEX('3. Plano_Detalhado'!$A$10:$H$197,MATCH(1,($E107='3. Plano_Detalhado'!$E$10:$E$197)*($F107='3. Plano_Detalhado'!$F$10:$F$197)*($C107='3. Plano_Detalhado'!$A$10:$A$197),0),4)</f>
        <v>2. Campo</v>
      </c>
      <c r="E107" s="185" t="s">
        <v>29</v>
      </c>
      <c r="F107" s="26" t="s">
        <v>102</v>
      </c>
      <c r="G107" s="186" t="str" cm="1">
        <f t="array" ref="G107">IF(INDEX('3. Plano_Detalhado'!$A$10:$H$197,MATCH(1,($E107='3. Plano_Detalhado'!$E$10:$E$197)*($F107='3. Plano_Detalhado'!$F$10:$F$197)*($C107='3. Plano_Detalhado'!$A$10:$A$197),0),7)="","",INDEX('3. Plano_Detalhado'!$A$10:$H$197,MATCH(1,($E107='3. Plano_Detalhado'!$E$10:$E$197)*($F107='3. Plano_Detalhado'!$F$10:$F$197)*($C107='3. Plano_Detalhado'!$A$10:$A$197),0),7))</f>
        <v>1. Concluído</v>
      </c>
      <c r="H107" s="186" t="str" cm="1">
        <f t="array" ref="H107">IF(INDEX('3. Plano_Detalhado'!$A$10:$H$197,MATCH(1,($E107='3. Plano_Detalhado'!$E$10:$E$197)*($F107='3. Plano_Detalhado'!$F$10:$F$197)*($C107='3. Plano_Detalhado'!$A$10:$A$197),0),8)="","",INDEX('3. Plano_Detalhado'!$A$10:$H$197,MATCH(1,($E107='3. Plano_Detalhado'!$E$10:$E$197)*($F107='3. Plano_Detalhado'!$F$10:$F$197)*($C107='3. Plano_Detalhado'!$A$10:$A$197),0),8))</f>
        <v>2. Em Especificação/Re-especificação</v>
      </c>
      <c r="I107" s="26" t="str" cm="1">
        <f t="array" ref="I107">IF(INDEX('3. Plano_Detalhado'!$A$10:$Q$196,MATCH(1,($E107='3. Plano_Detalhado'!$E$10:$E$196)*($F107='3. Plano_Detalhado'!$F$10:$F$196)*($C107='3. Plano_Detalhado'!$A$10:$A$196),0),17)="","",INDEX('3. Plano_Detalhado'!$A$10:$Q$196,MATCH(1,($E107='3. Plano_Detalhado'!$E$10:$E$196)*($F107='3. Plano_Detalhado'!$F$10:$F$196)*($C107='3. Plano_Detalhado'!$A$10:$A$196),0),17))</f>
        <v>Na reunião de dia 31/jan com a Corporação ficou definido que se vai manter a desagregação pela BA. Este campo deve manter a especificação que já se encontra implementada.</v>
      </c>
      <c r="J107" s="187"/>
      <c r="K107" s="188"/>
      <c r="L107" s="188"/>
      <c r="M107" s="188"/>
      <c r="N107" s="188"/>
    </row>
    <row r="108" spans="1:14" ht="16.399999999999999" customHeight="1">
      <c r="A108" s="2"/>
      <c r="B108" s="48" t="s">
        <v>35</v>
      </c>
      <c r="C108" s="184" t="s">
        <v>340</v>
      </c>
      <c r="D108" s="26" t="str" cm="1">
        <f t="array" ref="D108">INDEX('3. Plano_Detalhado'!$A$10:$H$197,MATCH(1,($E108='3. Plano_Detalhado'!$E$10:$E$197)*($F108='3. Plano_Detalhado'!$F$10:$F$197)*($C108='3. Plano_Detalhado'!$A$10:$A$197),0),4)</f>
        <v>2. Campo</v>
      </c>
      <c r="E108" s="185" t="s">
        <v>29</v>
      </c>
      <c r="F108" s="26" t="s">
        <v>103</v>
      </c>
      <c r="G108" s="186" t="str" cm="1">
        <f t="array" ref="G108">IF(INDEX('3. Plano_Detalhado'!$A$10:$H$197,MATCH(1,($E108='3. Plano_Detalhado'!$E$10:$E$197)*($F108='3. Plano_Detalhado'!$F$10:$F$197)*($C108='3. Plano_Detalhado'!$A$10:$A$197),0),7)="","",INDEX('3. Plano_Detalhado'!$A$10:$H$197,MATCH(1,($E108='3. Plano_Detalhado'!$E$10:$E$197)*($F108='3. Plano_Detalhado'!$F$10:$F$197)*($C108='3. Plano_Detalhado'!$A$10:$A$197),0),7))</f>
        <v>1. Concluído</v>
      </c>
      <c r="H108" s="186" t="str" cm="1">
        <f t="array" ref="H108">IF(INDEX('3. Plano_Detalhado'!$A$10:$H$197,MATCH(1,($E108='3. Plano_Detalhado'!$E$10:$E$197)*($F108='3. Plano_Detalhado'!$F$10:$F$197)*($C108='3. Plano_Detalhado'!$A$10:$A$197),0),8)="","",INDEX('3. Plano_Detalhado'!$A$10:$H$197,MATCH(1,($E108='3. Plano_Detalhado'!$E$10:$E$197)*($F108='3. Plano_Detalhado'!$F$10:$F$197)*($C108='3. Plano_Detalhado'!$A$10:$A$197),0),8))</f>
        <v>2. Em Especificação/Re-especificação</v>
      </c>
      <c r="I108" s="26" t="str" cm="1">
        <f t="array" ref="I108">IF(INDEX('3. Plano_Detalhado'!$A$10:$Q$196,MATCH(1,($E108='3. Plano_Detalhado'!$E$10:$E$196)*($F108='3. Plano_Detalhado'!$F$10:$F$196)*($C108='3. Plano_Detalhado'!$A$10:$A$196),0),17)="","",INDEX('3. Plano_Detalhado'!$A$10:$Q$196,MATCH(1,($E108='3. Plano_Detalhado'!$E$10:$E$196)*($F108='3. Plano_Detalhado'!$F$10:$F$196)*($C108='3. Plano_Detalhado'!$A$10:$A$196),0),17))</f>
        <v>Na reunião de dia 31/jan com a Corporação ficou definido que se vai manter a desagregação pela BA. Este campo deve manter a especificação que já se encontra implementada.</v>
      </c>
      <c r="J108" s="187"/>
      <c r="K108" s="188"/>
      <c r="L108" s="188"/>
      <c r="M108" s="188"/>
      <c r="N108" s="188"/>
    </row>
    <row r="109" spans="1:14" ht="16.399999999999999" customHeight="1">
      <c r="A109" s="2"/>
      <c r="B109" s="48" t="s">
        <v>35</v>
      </c>
      <c r="C109" s="184" t="s">
        <v>340</v>
      </c>
      <c r="D109" s="26" t="str" cm="1">
        <f t="array" ref="D109">INDEX('3. Plano_Detalhado'!$A$10:$H$197,MATCH(1,($E109='3. Plano_Detalhado'!$E$10:$E$197)*($F109='3. Plano_Detalhado'!$F$10:$F$197)*($C109='3. Plano_Detalhado'!$A$10:$A$197),0),4)</f>
        <v>2. Campo</v>
      </c>
      <c r="E109" s="185" t="s">
        <v>269</v>
      </c>
      <c r="F109" s="26" t="s">
        <v>30</v>
      </c>
      <c r="G109" s="186" t="str" cm="1">
        <f t="array" ref="G109">IF(INDEX('3. Plano_Detalhado'!$A$10:$H$197,MATCH(1,($E109='3. Plano_Detalhado'!$E$10:$E$197)*($F109='3. Plano_Detalhado'!$F$10:$F$197)*($C109='3. Plano_Detalhado'!$A$10:$A$197),0),7)="","",INDEX('3. Plano_Detalhado'!$A$10:$H$197,MATCH(1,($E109='3. Plano_Detalhado'!$E$10:$E$197)*($F109='3. Plano_Detalhado'!$F$10:$F$197)*($C109='3. Plano_Detalhado'!$A$10:$A$197),0),7))</f>
        <v>2. Em Especificação/Re-especificação</v>
      </c>
      <c r="H109" s="186" t="str" cm="1">
        <f t="array" ref="H109">IF(INDEX('3. Plano_Detalhado'!$A$10:$H$197,MATCH(1,($E109='3. Plano_Detalhado'!$E$10:$E$197)*($F109='3. Plano_Detalhado'!$F$10:$F$197)*($C109='3. Plano_Detalhado'!$A$10:$A$197),0),8)="","",INDEX('3. Plano_Detalhado'!$A$10:$H$197,MATCH(1,($E109='3. Plano_Detalhado'!$E$10:$E$197)*($F109='3. Plano_Detalhado'!$F$10:$F$197)*($C109='3. Plano_Detalhado'!$A$10:$A$197),0),8))</f>
        <v>2. Em Especificação/Re-especificação</v>
      </c>
      <c r="I109" s="26" t="str" cm="1">
        <f t="array" ref="I109">IF(INDEX('3. Plano_Detalhado'!$A$10:$Q$196,MATCH(1,($E109='3. Plano_Detalhado'!$E$10:$E$196)*($F109='3. Plano_Detalhado'!$F$10:$F$196)*($C109='3. Plano_Detalhado'!$A$10:$A$196),0),17)="","",INDEX('3. Plano_Detalhado'!$A$10:$Q$196,MATCH(1,($E109='3. Plano_Detalhado'!$E$10:$E$196)*($F109='3. Plano_Detalhado'!$F$10:$F$196)*($C109='3. Plano_Detalhado'!$A$10:$A$196),0),17))</f>
        <v/>
      </c>
      <c r="J109" s="187"/>
      <c r="K109" s="188"/>
      <c r="L109" s="188"/>
      <c r="M109" s="188"/>
      <c r="N109" s="188"/>
    </row>
    <row r="110" spans="1:14" ht="16.399999999999999" customHeight="1">
      <c r="A110" s="2"/>
      <c r="B110" s="48" t="s">
        <v>35</v>
      </c>
      <c r="C110" s="184" t="s">
        <v>340</v>
      </c>
      <c r="D110" s="26" t="str" cm="1">
        <f t="array" ref="D110">INDEX('3. Plano_Detalhado'!$A$10:$H$197,MATCH(1,($E110='3. Plano_Detalhado'!$E$10:$E$197)*($F110='3. Plano_Detalhado'!$F$10:$F$197)*($C110='3. Plano_Detalhado'!$A$10:$A$197),0),4)</f>
        <v>2. Campo</v>
      </c>
      <c r="E110" s="185" t="s">
        <v>269</v>
      </c>
      <c r="F110" s="26" t="s">
        <v>270</v>
      </c>
      <c r="G110" s="186" t="str" cm="1">
        <f t="array" ref="G110">IF(INDEX('3. Plano_Detalhado'!$A$10:$H$197,MATCH(1,($E110='3. Plano_Detalhado'!$E$10:$E$197)*($F110='3. Plano_Detalhado'!$F$10:$F$197)*($C110='3. Plano_Detalhado'!$A$10:$A$197),0),7)="","",INDEX('3. Plano_Detalhado'!$A$10:$H$197,MATCH(1,($E110='3. Plano_Detalhado'!$E$10:$E$197)*($F110='3. Plano_Detalhado'!$F$10:$F$197)*($C110='3. Plano_Detalhado'!$A$10:$A$197),0),7))</f>
        <v>2. Em Especificação/Re-especificação</v>
      </c>
      <c r="H110" s="186" t="str" cm="1">
        <f t="array" ref="H110">IF(INDEX('3. Plano_Detalhado'!$A$10:$H$197,MATCH(1,($E110='3. Plano_Detalhado'!$E$10:$E$197)*($F110='3. Plano_Detalhado'!$F$10:$F$197)*($C110='3. Plano_Detalhado'!$A$10:$A$197),0),8)="","",INDEX('3. Plano_Detalhado'!$A$10:$H$197,MATCH(1,($E110='3. Plano_Detalhado'!$E$10:$E$197)*($F110='3. Plano_Detalhado'!$F$10:$F$197)*($C110='3. Plano_Detalhado'!$A$10:$A$197),0),8))</f>
        <v>2. Em Especificação/Re-especificação</v>
      </c>
      <c r="I110" s="26" t="str" cm="1">
        <f t="array" ref="I110">IF(INDEX('3. Plano_Detalhado'!$A$10:$Q$196,MATCH(1,($E110='3. Plano_Detalhado'!$E$10:$E$196)*($F110='3. Plano_Detalhado'!$F$10:$F$196)*($C110='3. Plano_Detalhado'!$A$10:$A$196),0),17)="","",INDEX('3. Plano_Detalhado'!$A$10:$Q$196,MATCH(1,($E110='3. Plano_Detalhado'!$E$10:$E$196)*($F110='3. Plano_Detalhado'!$F$10:$F$196)*($C110='3. Plano_Detalhado'!$A$10:$A$196),0),17))</f>
        <v/>
      </c>
      <c r="J110" s="187"/>
      <c r="K110" s="188"/>
      <c r="L110" s="188"/>
      <c r="M110" s="188"/>
      <c r="N110" s="188"/>
    </row>
    <row r="111" spans="1:14" ht="16.399999999999999" customHeight="1">
      <c r="A111" s="2"/>
      <c r="B111" s="48" t="s">
        <v>35</v>
      </c>
      <c r="C111" s="184" t="s">
        <v>340</v>
      </c>
      <c r="D111" s="26" t="str" cm="1">
        <f t="array" ref="D111">INDEX('3. Plano_Detalhado'!$A$10:$H$197,MATCH(1,($E111='3. Plano_Detalhado'!$E$10:$E$197)*($F111='3. Plano_Detalhado'!$F$10:$F$197)*($C111='3. Plano_Detalhado'!$A$10:$A$197),0),4)</f>
        <v>2. Campo</v>
      </c>
      <c r="E111" s="185" t="s">
        <v>269</v>
      </c>
      <c r="F111" s="26" t="s">
        <v>271</v>
      </c>
      <c r="G111" s="186" t="str" cm="1">
        <f t="array" ref="G111">IF(INDEX('3. Plano_Detalhado'!$A$10:$H$197,MATCH(1,($E111='3. Plano_Detalhado'!$E$10:$E$197)*($F111='3. Plano_Detalhado'!$F$10:$F$197)*($C111='3. Plano_Detalhado'!$A$10:$A$197),0),7)="","",INDEX('3. Plano_Detalhado'!$A$10:$H$197,MATCH(1,($E111='3. Plano_Detalhado'!$E$10:$E$197)*($F111='3. Plano_Detalhado'!$F$10:$F$197)*($C111='3. Plano_Detalhado'!$A$10:$A$197),0),7))</f>
        <v>2. Em Especificação/Re-especificação</v>
      </c>
      <c r="H111" s="186" t="str" cm="1">
        <f t="array" ref="H111">IF(INDEX('3. Plano_Detalhado'!$A$10:$H$197,MATCH(1,($E111='3. Plano_Detalhado'!$E$10:$E$197)*($F111='3. Plano_Detalhado'!$F$10:$F$197)*($C111='3. Plano_Detalhado'!$A$10:$A$197),0),8)="","",INDEX('3. Plano_Detalhado'!$A$10:$H$197,MATCH(1,($E111='3. Plano_Detalhado'!$E$10:$E$197)*($F111='3. Plano_Detalhado'!$F$10:$F$197)*($C111='3. Plano_Detalhado'!$A$10:$A$197),0),8))</f>
        <v>2. Em Especificação/Re-especificação</v>
      </c>
      <c r="I111" s="26" t="str" cm="1">
        <f t="array" ref="I111">IF(INDEX('3. Plano_Detalhado'!$A$10:$Q$196,MATCH(1,($E111='3. Plano_Detalhado'!$E$10:$E$196)*($F111='3. Plano_Detalhado'!$F$10:$F$196)*($C111='3. Plano_Detalhado'!$A$10:$A$196),0),17)="","",INDEX('3. Plano_Detalhado'!$A$10:$Q$196,MATCH(1,($E111='3. Plano_Detalhado'!$E$10:$E$196)*($F111='3. Plano_Detalhado'!$F$10:$F$196)*($C111='3. Plano_Detalhado'!$A$10:$A$196),0),17))</f>
        <v/>
      </c>
      <c r="J111" s="187"/>
      <c r="K111" s="188"/>
      <c r="L111" s="188"/>
      <c r="M111" s="188"/>
      <c r="N111" s="188"/>
    </row>
    <row r="112" spans="1:14" ht="16.399999999999999" customHeight="1">
      <c r="A112" s="2"/>
      <c r="B112" s="48" t="s">
        <v>35</v>
      </c>
      <c r="C112" s="184" t="s">
        <v>340</v>
      </c>
      <c r="D112" s="26" t="str" cm="1">
        <f t="array" ref="D112">INDEX('3. Plano_Detalhado'!$A$10:$H$197,MATCH(1,($E112='3. Plano_Detalhado'!$E$10:$E$197)*($F112='3. Plano_Detalhado'!$F$10:$F$197)*($C112='3. Plano_Detalhado'!$A$10:$A$197),0),4)</f>
        <v>2. Campo</v>
      </c>
      <c r="E112" s="185" t="s">
        <v>269</v>
      </c>
      <c r="F112" s="26" t="s">
        <v>272</v>
      </c>
      <c r="G112" s="186" t="str" cm="1">
        <f t="array" ref="G112">IF(INDEX('3. Plano_Detalhado'!$A$10:$H$197,MATCH(1,($E112='3. Plano_Detalhado'!$E$10:$E$197)*($F112='3. Plano_Detalhado'!$F$10:$F$197)*($C112='3. Plano_Detalhado'!$A$10:$A$197),0),7)="","",INDEX('3. Plano_Detalhado'!$A$10:$H$197,MATCH(1,($E112='3. Plano_Detalhado'!$E$10:$E$197)*($F112='3. Plano_Detalhado'!$F$10:$F$197)*($C112='3. Plano_Detalhado'!$A$10:$A$197),0),7))</f>
        <v>2. Em Especificação/Re-especificação</v>
      </c>
      <c r="H112" s="186" t="str" cm="1">
        <f t="array" ref="H112">IF(INDEX('3. Plano_Detalhado'!$A$10:$H$197,MATCH(1,($E112='3. Plano_Detalhado'!$E$10:$E$197)*($F112='3. Plano_Detalhado'!$F$10:$F$197)*($C112='3. Plano_Detalhado'!$A$10:$A$197),0),8)="","",INDEX('3. Plano_Detalhado'!$A$10:$H$197,MATCH(1,($E112='3. Plano_Detalhado'!$E$10:$E$197)*($F112='3. Plano_Detalhado'!$F$10:$F$197)*($C112='3. Plano_Detalhado'!$A$10:$A$197),0),8))</f>
        <v>2. Em Especificação/Re-especificação</v>
      </c>
      <c r="I112" s="26" t="str" cm="1">
        <f t="array" ref="I112">IF(INDEX('3. Plano_Detalhado'!$A$10:$Q$196,MATCH(1,($E112='3. Plano_Detalhado'!$E$10:$E$196)*($F112='3. Plano_Detalhado'!$F$10:$F$196)*($C112='3. Plano_Detalhado'!$A$10:$A$196),0),17)="","",INDEX('3. Plano_Detalhado'!$A$10:$Q$196,MATCH(1,($E112='3. Plano_Detalhado'!$E$10:$E$196)*($F112='3. Plano_Detalhado'!$F$10:$F$196)*($C112='3. Plano_Detalhado'!$A$10:$A$196),0),17))</f>
        <v/>
      </c>
      <c r="J112" s="187"/>
      <c r="K112" s="188"/>
      <c r="L112" s="188"/>
      <c r="M112" s="188"/>
      <c r="N112" s="188"/>
    </row>
    <row r="113" spans="1:14" ht="16.399999999999999" customHeight="1">
      <c r="A113" s="2"/>
      <c r="B113" s="48" t="s">
        <v>35</v>
      </c>
      <c r="C113" s="184" t="s">
        <v>340</v>
      </c>
      <c r="D113" s="26" t="str" cm="1">
        <f t="array" ref="D113">INDEX('3. Plano_Detalhado'!$A$10:$H$197,MATCH(1,($E113='3. Plano_Detalhado'!$E$10:$E$197)*($F113='3. Plano_Detalhado'!$F$10:$F$197)*($C113='3. Plano_Detalhado'!$A$10:$A$197),0),4)</f>
        <v>2. Campo</v>
      </c>
      <c r="E113" s="185" t="s">
        <v>269</v>
      </c>
      <c r="F113" s="26" t="s">
        <v>26</v>
      </c>
      <c r="G113" s="186" t="str" cm="1">
        <f t="array" ref="G113">IF(INDEX('3. Plano_Detalhado'!$A$10:$H$197,MATCH(1,($E113='3. Plano_Detalhado'!$E$10:$E$197)*($F113='3. Plano_Detalhado'!$F$10:$F$197)*($C113='3. Plano_Detalhado'!$A$10:$A$197),0),7)="","",INDEX('3. Plano_Detalhado'!$A$10:$H$197,MATCH(1,($E113='3. Plano_Detalhado'!$E$10:$E$197)*($F113='3. Plano_Detalhado'!$F$10:$F$197)*($C113='3. Plano_Detalhado'!$A$10:$A$197),0),7))</f>
        <v>2. Em Especificação/Re-especificação</v>
      </c>
      <c r="H113" s="186" t="str" cm="1">
        <f t="array" ref="H113">IF(INDEX('3. Plano_Detalhado'!$A$10:$H$197,MATCH(1,($E113='3. Plano_Detalhado'!$E$10:$E$197)*($F113='3. Plano_Detalhado'!$F$10:$F$197)*($C113='3. Plano_Detalhado'!$A$10:$A$197),0),8)="","",INDEX('3. Plano_Detalhado'!$A$10:$H$197,MATCH(1,($E113='3. Plano_Detalhado'!$E$10:$E$197)*($F113='3. Plano_Detalhado'!$F$10:$F$197)*($C113='3. Plano_Detalhado'!$A$10:$A$197),0),8))</f>
        <v>2. Em Especificação/Re-especificação</v>
      </c>
      <c r="I113" s="26" t="str" cm="1">
        <f t="array" ref="I113">IF(INDEX('3. Plano_Detalhado'!$A$10:$Q$196,MATCH(1,($E113='3. Plano_Detalhado'!$E$10:$E$196)*($F113='3. Plano_Detalhado'!$F$10:$F$196)*($C113='3. Plano_Detalhado'!$A$10:$A$196),0),17)="","",INDEX('3. Plano_Detalhado'!$A$10:$Q$196,MATCH(1,($E113='3. Plano_Detalhado'!$E$10:$E$196)*($F113='3. Plano_Detalhado'!$F$10:$F$196)*($C113='3. Plano_Detalhado'!$A$10:$A$196),0),17))</f>
        <v/>
      </c>
      <c r="J113" s="187"/>
      <c r="K113" s="188"/>
      <c r="L113" s="188"/>
      <c r="M113" s="188"/>
      <c r="N113" s="188"/>
    </row>
    <row r="114" spans="1:14" ht="16.399999999999999" customHeight="1">
      <c r="A114" s="2"/>
      <c r="B114" s="48" t="s">
        <v>35</v>
      </c>
      <c r="C114" s="184" t="s">
        <v>340</v>
      </c>
      <c r="D114" s="26" t="str" cm="1">
        <f t="array" ref="D114">INDEX('3. Plano_Detalhado'!$A$10:$H$197,MATCH(1,($E114='3. Plano_Detalhado'!$E$10:$E$197)*($F114='3. Plano_Detalhado'!$F$10:$F$197)*($C114='3. Plano_Detalhado'!$A$10:$A$197),0),4)</f>
        <v>2. Campo</v>
      </c>
      <c r="E114" s="185" t="s">
        <v>269</v>
      </c>
      <c r="F114" s="26" t="s">
        <v>25</v>
      </c>
      <c r="G114" s="186" t="str" cm="1">
        <f t="array" ref="G114">IF(INDEX('3. Plano_Detalhado'!$A$10:$H$197,MATCH(1,($E114='3. Plano_Detalhado'!$E$10:$E$197)*($F114='3. Plano_Detalhado'!$F$10:$F$197)*($C114='3. Plano_Detalhado'!$A$10:$A$197),0),7)="","",INDEX('3. Plano_Detalhado'!$A$10:$H$197,MATCH(1,($E114='3. Plano_Detalhado'!$E$10:$E$197)*($F114='3. Plano_Detalhado'!$F$10:$F$197)*($C114='3. Plano_Detalhado'!$A$10:$A$197),0),7))</f>
        <v>2. Em Especificação/Re-especificação</v>
      </c>
      <c r="H114" s="186" t="str" cm="1">
        <f t="array" ref="H114">IF(INDEX('3. Plano_Detalhado'!$A$10:$H$197,MATCH(1,($E114='3. Plano_Detalhado'!$E$10:$E$197)*($F114='3. Plano_Detalhado'!$F$10:$F$197)*($C114='3. Plano_Detalhado'!$A$10:$A$197),0),8)="","",INDEX('3. Plano_Detalhado'!$A$10:$H$197,MATCH(1,($E114='3. Plano_Detalhado'!$E$10:$E$197)*($F114='3. Plano_Detalhado'!$F$10:$F$197)*($C114='3. Plano_Detalhado'!$A$10:$A$197),0),8))</f>
        <v>2. Em Especificação/Re-especificação</v>
      </c>
      <c r="I114" s="26" t="str" cm="1">
        <f t="array" ref="I114">IF(INDEX('3. Plano_Detalhado'!$A$10:$Q$196,MATCH(1,($E114='3. Plano_Detalhado'!$E$10:$E$196)*($F114='3. Plano_Detalhado'!$F$10:$F$196)*($C114='3. Plano_Detalhado'!$A$10:$A$196),0),17)="","",INDEX('3. Plano_Detalhado'!$A$10:$Q$196,MATCH(1,($E114='3. Plano_Detalhado'!$E$10:$E$196)*($F114='3. Plano_Detalhado'!$F$10:$F$196)*($C114='3. Plano_Detalhado'!$A$10:$A$196),0),17))</f>
        <v/>
      </c>
      <c r="J114" s="187"/>
      <c r="K114" s="188"/>
      <c r="L114" s="188"/>
      <c r="M114" s="188"/>
      <c r="N114" s="188"/>
    </row>
    <row r="115" spans="1:14" ht="16.399999999999999" customHeight="1">
      <c r="A115" s="2"/>
      <c r="B115" s="48" t="s">
        <v>35</v>
      </c>
      <c r="C115" s="184" t="s">
        <v>340</v>
      </c>
      <c r="D115" s="26" t="str" cm="1">
        <f t="array" ref="D115">INDEX('3. Plano_Detalhado'!$A$10:$H$197,MATCH(1,($E115='3. Plano_Detalhado'!$E$10:$E$197)*($F115='3. Plano_Detalhado'!$F$10:$F$197)*($C115='3. Plano_Detalhado'!$A$10:$A$197),0),4)</f>
        <v>2. Campo</v>
      </c>
      <c r="E115" s="185" t="s">
        <v>29</v>
      </c>
      <c r="F115" s="26" t="s">
        <v>53</v>
      </c>
      <c r="G115" s="186" t="str" cm="1">
        <f t="array" ref="G115">IF(INDEX('3. Plano_Detalhado'!$A$10:$H$197,MATCH(1,($E115='3. Plano_Detalhado'!$E$10:$E$197)*($F115='3. Plano_Detalhado'!$F$10:$F$197)*($C115='3. Plano_Detalhado'!$A$10:$A$197),0),7)="","",INDEX('3. Plano_Detalhado'!$A$10:$H$197,MATCH(1,($E115='3. Plano_Detalhado'!$E$10:$E$197)*($F115='3. Plano_Detalhado'!$F$10:$F$197)*($C115='3. Plano_Detalhado'!$A$10:$A$197),0),7))</f>
        <v>1. Concluído</v>
      </c>
      <c r="H115" s="186" t="str" cm="1">
        <f t="array" ref="H115">IF(INDEX('3. Plano_Detalhado'!$A$10:$H$197,MATCH(1,($E115='3. Plano_Detalhado'!$E$10:$E$197)*($F115='3. Plano_Detalhado'!$F$10:$F$197)*($C115='3. Plano_Detalhado'!$A$10:$A$197),0),8)="","",INDEX('3. Plano_Detalhado'!$A$10:$H$197,MATCH(1,($E115='3. Plano_Detalhado'!$E$10:$E$197)*($F115='3. Plano_Detalhado'!$F$10:$F$197)*($C115='3. Plano_Detalhado'!$A$10:$A$197),0),8))</f>
        <v>1. Concluído</v>
      </c>
      <c r="I115" s="26" t="str" cm="1">
        <f t="array" ref="I115">IF(INDEX('3. Plano_Detalhado'!$A$10:$Q$196,MATCH(1,($E115='3. Plano_Detalhado'!$E$10:$E$196)*($F115='3. Plano_Detalhado'!$F$10:$F$196)*($C115='3. Plano_Detalhado'!$A$10:$A$196),0),17)="","",INDEX('3. Plano_Detalhado'!$A$10:$Q$196,MATCH(1,($E115='3. Plano_Detalhado'!$E$10:$E$196)*($F115='3. Plano_Detalhado'!$F$10:$F$196)*($C115='3. Plano_Detalhado'!$A$10:$A$196),0),17))</f>
        <v/>
      </c>
      <c r="J115" s="187"/>
      <c r="K115" s="188"/>
      <c r="L115" s="188"/>
      <c r="M115" s="188"/>
      <c r="N115" s="188"/>
    </row>
    <row r="116" spans="1:14" ht="16.399999999999999" customHeight="1">
      <c r="A116" s="2"/>
      <c r="B116" s="48" t="s">
        <v>35</v>
      </c>
      <c r="C116" s="184" t="s">
        <v>340</v>
      </c>
      <c r="D116" s="26" t="str" cm="1">
        <f t="array" ref="D116">INDEX('3. Plano_Detalhado'!$A$10:$H$197,MATCH(1,($E116='3. Plano_Detalhado'!$E$10:$E$197)*($F116='3. Plano_Detalhado'!$F$10:$F$197)*($C116='3. Plano_Detalhado'!$A$10:$A$197),0),4)</f>
        <v>2. Campo</v>
      </c>
      <c r="E116" s="185" t="s">
        <v>275</v>
      </c>
      <c r="F116" s="26" t="s">
        <v>117</v>
      </c>
      <c r="G116" s="186" t="str" cm="1">
        <f t="array" ref="G116">IF(INDEX('3. Plano_Detalhado'!$A$10:$H$197,MATCH(1,($E116='3. Plano_Detalhado'!$E$10:$E$197)*($F116='3. Plano_Detalhado'!$F$10:$F$197)*($C116='3. Plano_Detalhado'!$A$10:$A$197),0),7)="","",INDEX('3. Plano_Detalhado'!$A$10:$H$197,MATCH(1,($E116='3. Plano_Detalhado'!$E$10:$E$197)*($F116='3. Plano_Detalhado'!$F$10:$F$197)*($C116='3. Plano_Detalhado'!$A$10:$A$197),0),7))</f>
        <v>2. Em Especificação/Re-especificação</v>
      </c>
      <c r="H116" s="186" t="str" cm="1">
        <f t="array" ref="H116">IF(INDEX('3. Plano_Detalhado'!$A$10:$H$197,MATCH(1,($E116='3. Plano_Detalhado'!$E$10:$E$197)*($F116='3. Plano_Detalhado'!$F$10:$F$197)*($C116='3. Plano_Detalhado'!$A$10:$A$197),0),8)="","",INDEX('3. Plano_Detalhado'!$A$10:$H$197,MATCH(1,($E116='3. Plano_Detalhado'!$E$10:$E$197)*($F116='3. Plano_Detalhado'!$F$10:$F$197)*($C116='3. Plano_Detalhado'!$A$10:$A$197),0),8))</f>
        <v>5. Por Iniciar</v>
      </c>
      <c r="I116" s="26" t="str" cm="1">
        <f t="array" ref="I116">IF(INDEX('3. Plano_Detalhado'!$A$10:$Q$196,MATCH(1,($E116='3. Plano_Detalhado'!$E$10:$E$196)*($F116='3. Plano_Detalhado'!$F$10:$F$196)*($C116='3. Plano_Detalhado'!$A$10:$A$196),0),17)="","",INDEX('3. Plano_Detalhado'!$A$10:$Q$196,MATCH(1,($E116='3. Plano_Detalhado'!$E$10:$E$196)*($F116='3. Plano_Detalhado'!$F$10:$F$196)*($C116='3. Plano_Detalhado'!$A$10:$A$196),0),17))</f>
        <v>Ver com JB</v>
      </c>
      <c r="J116" s="187"/>
      <c r="K116" s="188"/>
      <c r="L116" s="188"/>
      <c r="M116" s="188"/>
      <c r="N116" s="188"/>
    </row>
    <row r="117" spans="1:14" ht="16.399999999999999" customHeight="1">
      <c r="A117" s="2"/>
      <c r="B117" s="48" t="s">
        <v>35</v>
      </c>
      <c r="C117" s="184" t="s">
        <v>340</v>
      </c>
      <c r="D117" s="26" t="str" cm="1">
        <f t="array" ref="D117">INDEX('3. Plano_Detalhado'!$A$10:$H$197,MATCH(1,($E117='3. Plano_Detalhado'!$E$10:$E$197)*($F117='3. Plano_Detalhado'!$F$10:$F$197)*($C117='3. Plano_Detalhado'!$A$10:$A$197),0),4)</f>
        <v>2. Campo</v>
      </c>
      <c r="E117" s="185" t="s">
        <v>108</v>
      </c>
      <c r="F117" s="26" t="s">
        <v>51</v>
      </c>
      <c r="G117" s="186" t="str" cm="1">
        <f t="array" ref="G117">IF(INDEX('3. Plano_Detalhado'!$A$10:$H$197,MATCH(1,($E117='3. Plano_Detalhado'!$E$10:$E$197)*($F117='3. Plano_Detalhado'!$F$10:$F$197)*($C117='3. Plano_Detalhado'!$A$10:$A$197),0),7)="","",INDEX('3. Plano_Detalhado'!$A$10:$H$197,MATCH(1,($E117='3. Plano_Detalhado'!$E$10:$E$197)*($F117='3. Plano_Detalhado'!$F$10:$F$197)*($C117='3. Plano_Detalhado'!$A$10:$A$197),0),7))</f>
        <v>2. Em Especificação/Re-especificação</v>
      </c>
      <c r="H117" s="186" t="str" cm="1">
        <f t="array" ref="H117">IF(INDEX('3. Plano_Detalhado'!$A$10:$H$197,MATCH(1,($E117='3. Plano_Detalhado'!$E$10:$E$197)*($F117='3. Plano_Detalhado'!$F$10:$F$197)*($C117='3. Plano_Detalhado'!$A$10:$A$197),0),8)="","",INDEX('3. Plano_Detalhado'!$A$10:$H$197,MATCH(1,($E117='3. Plano_Detalhado'!$E$10:$E$197)*($F117='3. Plano_Detalhado'!$F$10:$F$197)*($C117='3. Plano_Detalhado'!$A$10:$A$197),0),8))</f>
        <v>5. Por Iniciar</v>
      </c>
      <c r="I117" s="26" t="str" cm="1">
        <f t="array" ref="I117">IF(INDEX('3. Plano_Detalhado'!$A$10:$Q$196,MATCH(1,($E117='3. Plano_Detalhado'!$E$10:$E$196)*($F117='3. Plano_Detalhado'!$F$10:$F$196)*($C117='3. Plano_Detalhado'!$A$10:$A$196),0),17)="","",INDEX('3. Plano_Detalhado'!$A$10:$Q$196,MATCH(1,($E117='3. Plano_Detalhado'!$E$10:$E$196)*($F117='3. Plano_Detalhado'!$F$10:$F$196)*($C117='3. Plano_Detalhado'!$A$10:$A$196),0),17))</f>
        <v>Pilar 3: data prevista de entrega 4/fev. Colocar ultima semana de fev</v>
      </c>
      <c r="J117" s="187"/>
      <c r="K117" s="188"/>
      <c r="L117" s="188"/>
      <c r="M117" s="188"/>
      <c r="N117" s="188"/>
    </row>
    <row r="118" spans="1:14" ht="16.399999999999999" customHeight="1">
      <c r="A118" s="2"/>
      <c r="B118" s="48" t="s">
        <v>35</v>
      </c>
      <c r="C118" s="184" t="s">
        <v>340</v>
      </c>
      <c r="D118" s="26" t="str" cm="1">
        <f t="array" ref="D118">INDEX('3. Plano_Detalhado'!$A$10:$H$197,MATCH(1,($E118='3. Plano_Detalhado'!$E$10:$E$197)*($F118='3. Plano_Detalhado'!$F$10:$F$197)*($C118='3. Plano_Detalhado'!$A$10:$A$197),0),4)</f>
        <v>2. Campo</v>
      </c>
      <c r="E118" s="185" t="s">
        <v>108</v>
      </c>
      <c r="F118" s="26" t="s">
        <v>52</v>
      </c>
      <c r="G118" s="186" t="str" cm="1">
        <f t="array" ref="G118">IF(INDEX('3. Plano_Detalhado'!$A$10:$H$197,MATCH(1,($E118='3. Plano_Detalhado'!$E$10:$E$197)*($F118='3. Plano_Detalhado'!$F$10:$F$197)*($C118='3. Plano_Detalhado'!$A$10:$A$197),0),7)="","",INDEX('3. Plano_Detalhado'!$A$10:$H$197,MATCH(1,($E118='3. Plano_Detalhado'!$E$10:$E$197)*($F118='3. Plano_Detalhado'!$F$10:$F$197)*($C118='3. Plano_Detalhado'!$A$10:$A$197),0),7))</f>
        <v>2. Em Especificação/Re-especificação</v>
      </c>
      <c r="H118" s="186" t="str" cm="1">
        <f t="array" ref="H118">IF(INDEX('3. Plano_Detalhado'!$A$10:$H$197,MATCH(1,($E118='3. Plano_Detalhado'!$E$10:$E$197)*($F118='3. Plano_Detalhado'!$F$10:$F$197)*($C118='3. Plano_Detalhado'!$A$10:$A$197),0),8)="","",INDEX('3. Plano_Detalhado'!$A$10:$H$197,MATCH(1,($E118='3. Plano_Detalhado'!$E$10:$E$197)*($F118='3. Plano_Detalhado'!$F$10:$F$197)*($C118='3. Plano_Detalhado'!$A$10:$A$197),0),8))</f>
        <v>5. Por Iniciar</v>
      </c>
      <c r="I118" s="26" t="str" cm="1">
        <f t="array" ref="I118">IF(INDEX('3. Plano_Detalhado'!$A$10:$Q$196,MATCH(1,($E118='3. Plano_Detalhado'!$E$10:$E$196)*($F118='3. Plano_Detalhado'!$F$10:$F$196)*($C118='3. Plano_Detalhado'!$A$10:$A$196),0),17)="","",INDEX('3. Plano_Detalhado'!$A$10:$Q$196,MATCH(1,($E118='3. Plano_Detalhado'!$E$10:$E$196)*($F118='3. Plano_Detalhado'!$F$10:$F$196)*($C118='3. Plano_Detalhado'!$A$10:$A$196),0),17))</f>
        <v>Pilar 3: data prevista de entrega 4/fev. Colocar ultima semana de fev</v>
      </c>
      <c r="J118" s="187"/>
      <c r="K118" s="188"/>
      <c r="L118" s="188"/>
      <c r="M118" s="188"/>
      <c r="N118" s="188"/>
    </row>
    <row r="119" spans="1:14" ht="16.399999999999999" customHeight="1">
      <c r="A119" s="2"/>
      <c r="B119" s="48" t="s">
        <v>35</v>
      </c>
      <c r="C119" s="184" t="s">
        <v>340</v>
      </c>
      <c r="D119" s="26" t="str" cm="1">
        <f t="array" ref="D119">INDEX('3. Plano_Detalhado'!$A$10:$H$197,MATCH(1,($E119='3. Plano_Detalhado'!$E$10:$E$197)*($F119='3. Plano_Detalhado'!$F$10:$F$197)*($C119='3. Plano_Detalhado'!$A$10:$A$197),0),4)</f>
        <v>2. Campo</v>
      </c>
      <c r="E119" s="189" t="s">
        <v>108</v>
      </c>
      <c r="F119" s="160" t="s">
        <v>53</v>
      </c>
      <c r="G119" s="186" t="str" cm="1">
        <f t="array" ref="G119">IF(INDEX('3. Plano_Detalhado'!$A$10:$H$197,MATCH(1,($E119='3. Plano_Detalhado'!$E$10:$E$197)*($F119='3. Plano_Detalhado'!$F$10:$F$197)*($C119='3. Plano_Detalhado'!$A$10:$A$197),0),7)="","",INDEX('3. Plano_Detalhado'!$A$10:$H$197,MATCH(1,($E119='3. Plano_Detalhado'!$E$10:$E$197)*($F119='3. Plano_Detalhado'!$F$10:$F$197)*($C119='3. Plano_Detalhado'!$A$10:$A$197),0),7))</f>
        <v>2. Em Especificação/Re-especificação</v>
      </c>
      <c r="H119" s="190" t="str" cm="1">
        <f t="array" ref="H119">IF(INDEX('3. Plano_Detalhado'!$A$10:$H$197,MATCH(1,($E119='3. Plano_Detalhado'!$E$10:$E$197)*($F119='3. Plano_Detalhado'!$F$10:$F$197)*($C119='3. Plano_Detalhado'!$A$10:$A$197),0),8)="","",INDEX('3. Plano_Detalhado'!$A$10:$H$197,MATCH(1,($E119='3. Plano_Detalhado'!$E$10:$E$197)*($F119='3. Plano_Detalhado'!$F$10:$F$197)*($C119='3. Plano_Detalhado'!$A$10:$A$197),0),8))</f>
        <v>5. Por Iniciar</v>
      </c>
      <c r="I119" s="26" t="str" cm="1">
        <f t="array" ref="I119">IF(INDEX('3. Plano_Detalhado'!$A$10:$Q$196,MATCH(1,($E119='3. Plano_Detalhado'!$E$10:$E$196)*($F119='3. Plano_Detalhado'!$F$10:$F$196)*($C119='3. Plano_Detalhado'!$A$10:$A$196),0),17)="","",INDEX('3. Plano_Detalhado'!$A$10:$Q$196,MATCH(1,($E119='3. Plano_Detalhado'!$E$10:$E$196)*($F119='3. Plano_Detalhado'!$F$10:$F$196)*($C119='3. Plano_Detalhado'!$A$10:$A$196),0),17))</f>
        <v>Pilar 3: data prevista de entrega 4/fev. Colocar ultima semana de fev</v>
      </c>
      <c r="J119" s="191"/>
      <c r="K119" s="192"/>
      <c r="L119" s="192"/>
      <c r="M119" s="192"/>
      <c r="N119" s="192"/>
    </row>
    <row r="120" spans="1:14" ht="16.399999999999999" hidden="1" customHeight="1">
      <c r="A120" s="2"/>
      <c r="B120" s="48" t="s">
        <v>35</v>
      </c>
      <c r="C120" s="209" t="s">
        <v>380</v>
      </c>
      <c r="D120" s="160" t="str" cm="1">
        <f t="array" ref="D120">INDEX('3. Plano_Detalhado'!$A$10:$H$197,MATCH(1,($E120='3. Plano_Detalhado'!$E$10:$E$197)*($F120='3. Plano_Detalhado'!$F$10:$F$197)*($C120='3. Plano_Detalhado'!$A$10:$A$197),0),4)</f>
        <v>2. Campo</v>
      </c>
      <c r="E120" s="210" t="s">
        <v>29</v>
      </c>
      <c r="F120" s="160" t="s">
        <v>62</v>
      </c>
      <c r="G120" s="211" t="str" cm="1">
        <f t="array" ref="G120">IF(INDEX('3. Plano_Detalhado'!$A$10:$H$197,MATCH(1,($E120='3. Plano_Detalhado'!$E$10:$E$197)*($F120='3. Plano_Detalhado'!$F$10:$F$197)*($C120='3. Plano_Detalhado'!$A$10:$A$197),0),7)="","",INDEX('3. Plano_Detalhado'!$A$10:$H$197,MATCH(1,($E120='3. Plano_Detalhado'!$E$10:$E$197)*($F120='3. Plano_Detalhado'!$F$10:$F$197)*($C120='3. Plano_Detalhado'!$A$10:$A$197),0),7))</f>
        <v/>
      </c>
      <c r="H120" s="190" t="str" cm="1">
        <f t="array" ref="H120">IF(INDEX('3. Plano_Detalhado'!$A$10:$H$197,MATCH(1,($E120='3. Plano_Detalhado'!$E$10:$E$197)*($F120='3. Plano_Detalhado'!$F$10:$F$197)*($C120='3. Plano_Detalhado'!$A$10:$A$197),0),8)="","",INDEX('3. Plano_Detalhado'!$A$10:$H$197,MATCH(1,($E120='3. Plano_Detalhado'!$E$10:$E$197)*($F120='3. Plano_Detalhado'!$F$10:$F$197)*($C120='3. Plano_Detalhado'!$A$10:$A$197),0),8))</f>
        <v/>
      </c>
      <c r="I120" s="26" t="str" cm="1">
        <f t="array" ref="I120">IF(INDEX('3. Plano_Detalhado'!$A$10:$Q$196,MATCH(1,($E120='3. Plano_Detalhado'!$E$10:$E$196)*($F120='3. Plano_Detalhado'!$F$10:$F$196)*($C120='3. Plano_Detalhado'!$A$10:$A$196),0),17)="","",INDEX('3. Plano_Detalhado'!$A$10:$Q$196,MATCH(1,($E120='3. Plano_Detalhado'!$E$10:$E$196)*($F120='3. Plano_Detalhado'!$F$10:$F$196)*($C120='3. Plano_Detalhado'!$A$10:$A$196),0),17))</f>
        <v/>
      </c>
      <c r="J120" s="191"/>
      <c r="K120" s="192"/>
      <c r="L120" s="192"/>
      <c r="M120" s="192"/>
      <c r="N120" s="192"/>
    </row>
    <row r="121" spans="1:14" ht="16.399999999999999" hidden="1" customHeight="1">
      <c r="A121" s="2"/>
      <c r="B121" s="48" t="s">
        <v>35</v>
      </c>
      <c r="C121" s="209" t="s">
        <v>380</v>
      </c>
      <c r="D121" s="26" t="str" cm="1">
        <f t="array" ref="D121">INDEX('3. Plano_Detalhado'!$A$10:$H$197,MATCH(1,($E121='3. Plano_Detalhado'!$E$10:$E$197)*($F121='3. Plano_Detalhado'!$F$10:$F$197)*($C121='3. Plano_Detalhado'!$A$10:$A$197),0),4)</f>
        <v>2. Campo</v>
      </c>
      <c r="E121" s="207" t="s">
        <v>29</v>
      </c>
      <c r="F121" s="26" t="s">
        <v>87</v>
      </c>
      <c r="G121" s="208" t="str" cm="1">
        <f t="array" ref="G121">IF(INDEX('3. Plano_Detalhado'!$A$10:$H$197,MATCH(1,($E121='3. Plano_Detalhado'!$E$10:$E$197)*($F121='3. Plano_Detalhado'!$F$10:$F$197)*($C121='3. Plano_Detalhado'!$A$10:$A$197),0),7)="","",INDEX('3. Plano_Detalhado'!$A$10:$H$197,MATCH(1,($E121='3. Plano_Detalhado'!$E$10:$E$197)*($F121='3. Plano_Detalhado'!$F$10:$F$197)*($C121='3. Plano_Detalhado'!$A$10:$A$197),0),7))</f>
        <v/>
      </c>
      <c r="H121" s="186" t="str" cm="1">
        <f t="array" ref="H121">IF(INDEX('3. Plano_Detalhado'!$A$10:$H$197,MATCH(1,($E121='3. Plano_Detalhado'!$E$10:$E$197)*($F121='3. Plano_Detalhado'!$F$10:$F$197)*($C121='3. Plano_Detalhado'!$A$10:$A$197),0),8)="","",INDEX('3. Plano_Detalhado'!$A$10:$H$197,MATCH(1,($E121='3. Plano_Detalhado'!$E$10:$E$197)*($F121='3. Plano_Detalhado'!$F$10:$F$197)*($C121='3. Plano_Detalhado'!$A$10:$A$197),0),8))</f>
        <v/>
      </c>
      <c r="I121" s="26" t="str" cm="1">
        <f t="array" ref="I121">IF(INDEX('3. Plano_Detalhado'!$A$10:$Q$196,MATCH(1,($E121='3. Plano_Detalhado'!$E$10:$E$196)*($F121='3. Plano_Detalhado'!$F$10:$F$196)*($C121='3. Plano_Detalhado'!$A$10:$A$196),0),17)="","",INDEX('3. Plano_Detalhado'!$A$10:$Q$196,MATCH(1,($E121='3. Plano_Detalhado'!$E$10:$E$196)*($F121='3. Plano_Detalhado'!$F$10:$F$196)*($C121='3. Plano_Detalhado'!$A$10:$A$196),0),17))</f>
        <v/>
      </c>
      <c r="J121" s="187"/>
      <c r="K121" s="188"/>
      <c r="L121" s="188"/>
      <c r="M121" s="188"/>
      <c r="N121" s="188"/>
    </row>
    <row r="122" spans="1:14" ht="16.399999999999999" hidden="1" customHeight="1">
      <c r="A122" s="2"/>
      <c r="B122" s="48" t="s">
        <v>35</v>
      </c>
      <c r="C122" s="209" t="s">
        <v>380</v>
      </c>
      <c r="D122" s="26" t="str" cm="1">
        <f t="array" ref="D122">INDEX('3. Plano_Detalhado'!$A$10:$H$197,MATCH(1,($E122='3. Plano_Detalhado'!$E$10:$E$197)*($F122='3. Plano_Detalhado'!$F$10:$F$197)*($C122='3. Plano_Detalhado'!$A$10:$A$197),0),4)</f>
        <v>2. Campo</v>
      </c>
      <c r="E122" s="207" t="s">
        <v>29</v>
      </c>
      <c r="F122" s="26" t="s">
        <v>88</v>
      </c>
      <c r="G122" s="208" t="str" cm="1">
        <f t="array" ref="G122">IF(INDEX('3. Plano_Detalhado'!$A$10:$H$197,MATCH(1,($E122='3. Plano_Detalhado'!$E$10:$E$197)*($F122='3. Plano_Detalhado'!$F$10:$F$197)*($C122='3. Plano_Detalhado'!$A$10:$A$197),0),7)="","",INDEX('3. Plano_Detalhado'!$A$10:$H$197,MATCH(1,($E122='3. Plano_Detalhado'!$E$10:$E$197)*($F122='3. Plano_Detalhado'!$F$10:$F$197)*($C122='3. Plano_Detalhado'!$A$10:$A$197),0),7))</f>
        <v/>
      </c>
      <c r="H122" s="186" t="str" cm="1">
        <f t="array" ref="H122">IF(INDEX('3. Plano_Detalhado'!$A$10:$H$197,MATCH(1,($E122='3. Plano_Detalhado'!$E$10:$E$197)*($F122='3. Plano_Detalhado'!$F$10:$F$197)*($C122='3. Plano_Detalhado'!$A$10:$A$197),0),8)="","",INDEX('3. Plano_Detalhado'!$A$10:$H$197,MATCH(1,($E122='3. Plano_Detalhado'!$E$10:$E$197)*($F122='3. Plano_Detalhado'!$F$10:$F$197)*($C122='3. Plano_Detalhado'!$A$10:$A$197),0),8))</f>
        <v/>
      </c>
      <c r="I122" s="26" t="str" cm="1">
        <f t="array" ref="I122">IF(INDEX('3. Plano_Detalhado'!$A$10:$Q$196,MATCH(1,($E122='3. Plano_Detalhado'!$E$10:$E$196)*($F122='3. Plano_Detalhado'!$F$10:$F$196)*($C122='3. Plano_Detalhado'!$A$10:$A$196),0),17)="","",INDEX('3. Plano_Detalhado'!$A$10:$Q$196,MATCH(1,($E122='3. Plano_Detalhado'!$E$10:$E$196)*($F122='3. Plano_Detalhado'!$F$10:$F$196)*($C122='3. Plano_Detalhado'!$A$10:$A$196),0),17))</f>
        <v/>
      </c>
      <c r="J122" s="187"/>
      <c r="K122" s="188"/>
      <c r="L122" s="188"/>
      <c r="M122" s="188"/>
      <c r="N122" s="188"/>
    </row>
    <row r="123" spans="1:14" ht="16.399999999999999" hidden="1" customHeight="1">
      <c r="A123" s="2"/>
      <c r="B123" s="48" t="s">
        <v>35</v>
      </c>
      <c r="C123" s="209" t="s">
        <v>380</v>
      </c>
      <c r="D123" s="26" t="str" cm="1">
        <f t="array" ref="D123">INDEX('3. Plano_Detalhado'!$A$10:$H$197,MATCH(1,($E123='3. Plano_Detalhado'!$E$10:$E$197)*($F123='3. Plano_Detalhado'!$F$10:$F$197)*($C123='3. Plano_Detalhado'!$A$10:$A$197),0),4)</f>
        <v>2. Campo</v>
      </c>
      <c r="E123" s="207" t="s">
        <v>29</v>
      </c>
      <c r="F123" s="26" t="s">
        <v>89</v>
      </c>
      <c r="G123" s="208" t="str" cm="1">
        <f t="array" ref="G123">IF(INDEX('3. Plano_Detalhado'!$A$10:$H$197,MATCH(1,($E123='3. Plano_Detalhado'!$E$10:$E$197)*($F123='3. Plano_Detalhado'!$F$10:$F$197)*($C123='3. Plano_Detalhado'!$A$10:$A$197),0),7)="","",INDEX('3. Plano_Detalhado'!$A$10:$H$197,MATCH(1,($E123='3. Plano_Detalhado'!$E$10:$E$197)*($F123='3. Plano_Detalhado'!$F$10:$F$197)*($C123='3. Plano_Detalhado'!$A$10:$A$197),0),7))</f>
        <v/>
      </c>
      <c r="H123" s="186" t="str" cm="1">
        <f t="array" ref="H123">IF(INDEX('3. Plano_Detalhado'!$A$10:$H$197,MATCH(1,($E123='3. Plano_Detalhado'!$E$10:$E$197)*($F123='3. Plano_Detalhado'!$F$10:$F$197)*($C123='3. Plano_Detalhado'!$A$10:$A$197),0),8)="","",INDEX('3. Plano_Detalhado'!$A$10:$H$197,MATCH(1,($E123='3. Plano_Detalhado'!$E$10:$E$197)*($F123='3. Plano_Detalhado'!$F$10:$F$197)*($C123='3. Plano_Detalhado'!$A$10:$A$197),0),8))</f>
        <v/>
      </c>
      <c r="I123" s="26" t="str" cm="1">
        <f t="array" ref="I123">IF(INDEX('3. Plano_Detalhado'!$A$10:$Q$196,MATCH(1,($E123='3. Plano_Detalhado'!$E$10:$E$196)*($F123='3. Plano_Detalhado'!$F$10:$F$196)*($C123='3. Plano_Detalhado'!$A$10:$A$196),0),17)="","",INDEX('3. Plano_Detalhado'!$A$10:$Q$196,MATCH(1,($E123='3. Plano_Detalhado'!$E$10:$E$196)*($F123='3. Plano_Detalhado'!$F$10:$F$196)*($C123='3. Plano_Detalhado'!$A$10:$A$196),0),17))</f>
        <v/>
      </c>
      <c r="J123" s="187"/>
      <c r="K123" s="188"/>
      <c r="L123" s="188"/>
      <c r="M123" s="188"/>
      <c r="N123" s="188"/>
    </row>
    <row r="124" spans="1:14" ht="16.399999999999999" hidden="1" customHeight="1">
      <c r="A124" s="2"/>
      <c r="B124" s="48" t="s">
        <v>35</v>
      </c>
      <c r="C124" s="209" t="s">
        <v>380</v>
      </c>
      <c r="D124" s="26" t="str" cm="1">
        <f t="array" ref="D124">INDEX('3. Plano_Detalhado'!$A$10:$H$197,MATCH(1,($E124='3. Plano_Detalhado'!$E$10:$E$197)*($F124='3. Plano_Detalhado'!$F$10:$F$197)*($C124='3. Plano_Detalhado'!$A$10:$A$197),0),4)</f>
        <v>2. Campo</v>
      </c>
      <c r="E124" s="207" t="s">
        <v>29</v>
      </c>
      <c r="F124" s="26" t="s">
        <v>91</v>
      </c>
      <c r="G124" s="208" t="str" cm="1">
        <f t="array" ref="G124">IF(INDEX('3. Plano_Detalhado'!$A$10:$H$197,MATCH(1,($E124='3. Plano_Detalhado'!$E$10:$E$197)*($F124='3. Plano_Detalhado'!$F$10:$F$197)*($C124='3. Plano_Detalhado'!$A$10:$A$197),0),7)="","",INDEX('3. Plano_Detalhado'!$A$10:$H$197,MATCH(1,($E124='3. Plano_Detalhado'!$E$10:$E$197)*($F124='3. Plano_Detalhado'!$F$10:$F$197)*($C124='3. Plano_Detalhado'!$A$10:$A$197),0),7))</f>
        <v/>
      </c>
      <c r="H124" s="186" t="str" cm="1">
        <f t="array" ref="H124">IF(INDEX('3. Plano_Detalhado'!$A$10:$H$197,MATCH(1,($E124='3. Plano_Detalhado'!$E$10:$E$197)*($F124='3. Plano_Detalhado'!$F$10:$F$197)*($C124='3. Plano_Detalhado'!$A$10:$A$197),0),8)="","",INDEX('3. Plano_Detalhado'!$A$10:$H$197,MATCH(1,($E124='3. Plano_Detalhado'!$E$10:$E$197)*($F124='3. Plano_Detalhado'!$F$10:$F$197)*($C124='3. Plano_Detalhado'!$A$10:$A$197),0),8))</f>
        <v/>
      </c>
      <c r="I124" s="26" t="str" cm="1">
        <f t="array" ref="I124">IF(INDEX('3. Plano_Detalhado'!$A$10:$Q$196,MATCH(1,($E124='3. Plano_Detalhado'!$E$10:$E$196)*($F124='3. Plano_Detalhado'!$F$10:$F$196)*($C124='3. Plano_Detalhado'!$A$10:$A$196),0),17)="","",INDEX('3. Plano_Detalhado'!$A$10:$Q$196,MATCH(1,($E124='3. Plano_Detalhado'!$E$10:$E$196)*($F124='3. Plano_Detalhado'!$F$10:$F$196)*($C124='3. Plano_Detalhado'!$A$10:$A$196),0),17))</f>
        <v/>
      </c>
      <c r="J124" s="187"/>
      <c r="K124" s="188"/>
      <c r="L124" s="188"/>
      <c r="M124" s="188"/>
      <c r="N124" s="188"/>
    </row>
    <row r="125" spans="1:14" ht="16.399999999999999" hidden="1" customHeight="1">
      <c r="A125" s="2"/>
      <c r="B125" s="48" t="s">
        <v>35</v>
      </c>
      <c r="C125" s="209" t="s">
        <v>380</v>
      </c>
      <c r="D125" s="26" t="str" cm="1">
        <f t="array" ref="D125">INDEX('3. Plano_Detalhado'!$A$10:$H$197,MATCH(1,($E125='3. Plano_Detalhado'!$E$10:$E$197)*($F125='3. Plano_Detalhado'!$F$10:$F$197)*($C125='3. Plano_Detalhado'!$A$10:$A$197),0),4)</f>
        <v>2. Campo</v>
      </c>
      <c r="E125" s="207" t="s">
        <v>29</v>
      </c>
      <c r="F125" s="26" t="s">
        <v>94</v>
      </c>
      <c r="G125" s="208" t="str" cm="1">
        <f t="array" ref="G125">IF(INDEX('3. Plano_Detalhado'!$A$10:$H$197,MATCH(1,($E125='3. Plano_Detalhado'!$E$10:$E$197)*($F125='3. Plano_Detalhado'!$F$10:$F$197)*($C125='3. Plano_Detalhado'!$A$10:$A$197),0),7)="","",INDEX('3. Plano_Detalhado'!$A$10:$H$197,MATCH(1,($E125='3. Plano_Detalhado'!$E$10:$E$197)*($F125='3. Plano_Detalhado'!$F$10:$F$197)*($C125='3. Plano_Detalhado'!$A$10:$A$197),0),7))</f>
        <v/>
      </c>
      <c r="H125" s="186" t="str" cm="1">
        <f t="array" ref="H125">IF(INDEX('3. Plano_Detalhado'!$A$10:$H$197,MATCH(1,($E125='3. Plano_Detalhado'!$E$10:$E$197)*($F125='3. Plano_Detalhado'!$F$10:$F$197)*($C125='3. Plano_Detalhado'!$A$10:$A$197),0),8)="","",INDEX('3. Plano_Detalhado'!$A$10:$H$197,MATCH(1,($E125='3. Plano_Detalhado'!$E$10:$E$197)*($F125='3. Plano_Detalhado'!$F$10:$F$197)*($C125='3. Plano_Detalhado'!$A$10:$A$197),0),8))</f>
        <v/>
      </c>
      <c r="I125" s="26" t="str" cm="1">
        <f t="array" ref="I125">IF(INDEX('3. Plano_Detalhado'!$A$10:$Q$196,MATCH(1,($E125='3. Plano_Detalhado'!$E$10:$E$196)*($F125='3. Plano_Detalhado'!$F$10:$F$196)*($C125='3. Plano_Detalhado'!$A$10:$A$196),0),17)="","",INDEX('3. Plano_Detalhado'!$A$10:$Q$196,MATCH(1,($E125='3. Plano_Detalhado'!$E$10:$E$196)*($F125='3. Plano_Detalhado'!$F$10:$F$196)*($C125='3. Plano_Detalhado'!$A$10:$A$196),0),17))</f>
        <v/>
      </c>
      <c r="J125" s="187"/>
      <c r="K125" s="188"/>
      <c r="L125" s="188"/>
      <c r="M125" s="188"/>
      <c r="N125" s="188"/>
    </row>
    <row r="126" spans="1:14" ht="16.399999999999999" hidden="1" customHeight="1">
      <c r="A126" s="2"/>
      <c r="B126" s="48" t="s">
        <v>35</v>
      </c>
      <c r="C126" s="209" t="s">
        <v>380</v>
      </c>
      <c r="D126" s="26" t="str" cm="1">
        <f t="array" ref="D126">INDEX('3. Plano_Detalhado'!$A$10:$H$197,MATCH(1,($E126='3. Plano_Detalhado'!$E$10:$E$197)*($F126='3. Plano_Detalhado'!$F$10:$F$197)*($C126='3. Plano_Detalhado'!$A$10:$A$197),0),4)</f>
        <v>2. Campo</v>
      </c>
      <c r="E126" s="207" t="s">
        <v>29</v>
      </c>
      <c r="F126" s="26" t="s">
        <v>51</v>
      </c>
      <c r="G126" s="208" t="str" cm="1">
        <f t="array" ref="G126">IF(INDEX('3. Plano_Detalhado'!$A$10:$H$197,MATCH(1,($E126='3. Plano_Detalhado'!$E$10:$E$197)*($F126='3. Plano_Detalhado'!$F$10:$F$197)*($C126='3. Plano_Detalhado'!$A$10:$A$197),0),7)="","",INDEX('3. Plano_Detalhado'!$A$10:$H$197,MATCH(1,($E126='3. Plano_Detalhado'!$E$10:$E$197)*($F126='3. Plano_Detalhado'!$F$10:$F$197)*($C126='3. Plano_Detalhado'!$A$10:$A$197),0),7))</f>
        <v/>
      </c>
      <c r="H126" s="186" t="str" cm="1">
        <f t="array" ref="H126">IF(INDEX('3. Plano_Detalhado'!$A$10:$H$197,MATCH(1,($E126='3. Plano_Detalhado'!$E$10:$E$197)*($F126='3. Plano_Detalhado'!$F$10:$F$197)*($C126='3. Plano_Detalhado'!$A$10:$A$197),0),8)="","",INDEX('3. Plano_Detalhado'!$A$10:$H$197,MATCH(1,($E126='3. Plano_Detalhado'!$E$10:$E$197)*($F126='3. Plano_Detalhado'!$F$10:$F$197)*($C126='3. Plano_Detalhado'!$A$10:$A$197),0),8))</f>
        <v/>
      </c>
      <c r="I126" s="26" t="str" cm="1">
        <f t="array" ref="I126">IF(INDEX('3. Plano_Detalhado'!$A$10:$Q$196,MATCH(1,($E126='3. Plano_Detalhado'!$E$10:$E$196)*($F126='3. Plano_Detalhado'!$F$10:$F$196)*($C126='3. Plano_Detalhado'!$A$10:$A$196),0),17)="","",INDEX('3. Plano_Detalhado'!$A$10:$Q$196,MATCH(1,($E126='3. Plano_Detalhado'!$E$10:$E$196)*($F126='3. Plano_Detalhado'!$F$10:$F$196)*($C126='3. Plano_Detalhado'!$A$10:$A$196),0),17))</f>
        <v/>
      </c>
      <c r="J126" s="187"/>
      <c r="K126" s="188"/>
      <c r="L126" s="188"/>
      <c r="M126" s="188"/>
      <c r="N126" s="188"/>
    </row>
    <row r="127" spans="1:14" ht="16.399999999999999" hidden="1" customHeight="1">
      <c r="A127" s="2"/>
      <c r="B127" s="48" t="s">
        <v>35</v>
      </c>
      <c r="C127" s="209" t="s">
        <v>380</v>
      </c>
      <c r="D127" s="26" t="str" cm="1">
        <f t="array" ref="D127">INDEX('3. Plano_Detalhado'!$A$10:$H$197,MATCH(1,($E127='3. Plano_Detalhado'!$E$10:$E$197)*($F127='3. Plano_Detalhado'!$F$10:$F$197)*($C127='3. Plano_Detalhado'!$A$10:$A$197),0),4)</f>
        <v>2. Campo</v>
      </c>
      <c r="E127" s="207" t="s">
        <v>29</v>
      </c>
      <c r="F127" s="26" t="s">
        <v>68</v>
      </c>
      <c r="G127" s="208" t="str" cm="1">
        <f t="array" ref="G127">IF(INDEX('3. Plano_Detalhado'!$A$10:$H$197,MATCH(1,($E127='3. Plano_Detalhado'!$E$10:$E$197)*($F127='3. Plano_Detalhado'!$F$10:$F$197)*($C127='3. Plano_Detalhado'!$A$10:$A$197),0),7)="","",INDEX('3. Plano_Detalhado'!$A$10:$H$197,MATCH(1,($E127='3. Plano_Detalhado'!$E$10:$E$197)*($F127='3. Plano_Detalhado'!$F$10:$F$197)*($C127='3. Plano_Detalhado'!$A$10:$A$197),0),7))</f>
        <v/>
      </c>
      <c r="H127" s="186" t="str" cm="1">
        <f t="array" ref="H127">IF(INDEX('3. Plano_Detalhado'!$A$10:$H$197,MATCH(1,($E127='3. Plano_Detalhado'!$E$10:$E$197)*($F127='3. Plano_Detalhado'!$F$10:$F$197)*($C127='3. Plano_Detalhado'!$A$10:$A$197),0),8)="","",INDEX('3. Plano_Detalhado'!$A$10:$H$197,MATCH(1,($E127='3. Plano_Detalhado'!$E$10:$E$197)*($F127='3. Plano_Detalhado'!$F$10:$F$197)*($C127='3. Plano_Detalhado'!$A$10:$A$197),0),8))</f>
        <v/>
      </c>
      <c r="I127" s="26" t="str" cm="1">
        <f t="array" ref="I127">IF(INDEX('3. Plano_Detalhado'!$A$10:$Q$196,MATCH(1,($E127='3. Plano_Detalhado'!$E$10:$E$196)*($F127='3. Plano_Detalhado'!$F$10:$F$196)*($C127='3. Plano_Detalhado'!$A$10:$A$196),0),17)="","",INDEX('3. Plano_Detalhado'!$A$10:$Q$196,MATCH(1,($E127='3. Plano_Detalhado'!$E$10:$E$196)*($F127='3. Plano_Detalhado'!$F$10:$F$196)*($C127='3. Plano_Detalhado'!$A$10:$A$196),0),17))</f>
        <v/>
      </c>
      <c r="J127" s="187"/>
      <c r="K127" s="188"/>
      <c r="L127" s="188"/>
      <c r="M127" s="188"/>
      <c r="N127" s="188"/>
    </row>
    <row r="128" spans="1:14" ht="16.399999999999999" hidden="1" customHeight="1">
      <c r="A128" s="2"/>
      <c r="B128" s="48" t="s">
        <v>35</v>
      </c>
      <c r="C128" s="209" t="s">
        <v>380</v>
      </c>
      <c r="D128" s="26" t="str" cm="1">
        <f t="array" ref="D128">INDEX('3. Plano_Detalhado'!$A$10:$H$197,MATCH(1,($E128='3. Plano_Detalhado'!$E$10:$E$197)*($F128='3. Plano_Detalhado'!$F$10:$F$197)*($C128='3. Plano_Detalhado'!$A$10:$A$197),0),4)</f>
        <v>2. Campo</v>
      </c>
      <c r="E128" s="207" t="s">
        <v>29</v>
      </c>
      <c r="F128" s="26" t="s">
        <v>52</v>
      </c>
      <c r="G128" s="208" t="str" cm="1">
        <f t="array" ref="G128">IF(INDEX('3. Plano_Detalhado'!$A$10:$H$197,MATCH(1,($E128='3. Plano_Detalhado'!$E$10:$E$197)*($F128='3. Plano_Detalhado'!$F$10:$F$197)*($C128='3. Plano_Detalhado'!$A$10:$A$197),0),7)="","",INDEX('3. Plano_Detalhado'!$A$10:$H$197,MATCH(1,($E128='3. Plano_Detalhado'!$E$10:$E$197)*($F128='3. Plano_Detalhado'!$F$10:$F$197)*($C128='3. Plano_Detalhado'!$A$10:$A$197),0),7))</f>
        <v/>
      </c>
      <c r="H128" s="186" t="str" cm="1">
        <f t="array" ref="H128">IF(INDEX('3. Plano_Detalhado'!$A$10:$H$197,MATCH(1,($E128='3. Plano_Detalhado'!$E$10:$E$197)*($F128='3. Plano_Detalhado'!$F$10:$F$197)*($C128='3. Plano_Detalhado'!$A$10:$A$197),0),8)="","",INDEX('3. Plano_Detalhado'!$A$10:$H$197,MATCH(1,($E128='3. Plano_Detalhado'!$E$10:$E$197)*($F128='3. Plano_Detalhado'!$F$10:$F$197)*($C128='3. Plano_Detalhado'!$A$10:$A$197),0),8))</f>
        <v/>
      </c>
      <c r="I128" s="26" t="str" cm="1">
        <f t="array" ref="I128">IF(INDEX('3. Plano_Detalhado'!$A$10:$Q$196,MATCH(1,($E128='3. Plano_Detalhado'!$E$10:$E$196)*($F128='3. Plano_Detalhado'!$F$10:$F$196)*($C128='3. Plano_Detalhado'!$A$10:$A$196),0),17)="","",INDEX('3. Plano_Detalhado'!$A$10:$Q$196,MATCH(1,($E128='3. Plano_Detalhado'!$E$10:$E$196)*($F128='3. Plano_Detalhado'!$F$10:$F$196)*($C128='3. Plano_Detalhado'!$A$10:$A$196),0),17))</f>
        <v/>
      </c>
      <c r="J128" s="187"/>
      <c r="K128" s="188"/>
      <c r="L128" s="188"/>
      <c r="M128" s="188"/>
      <c r="N128" s="188"/>
    </row>
    <row r="129" spans="1:14" ht="16.399999999999999" hidden="1" customHeight="1">
      <c r="A129" s="2"/>
      <c r="B129" s="48" t="s">
        <v>35</v>
      </c>
      <c r="C129" s="209" t="s">
        <v>380</v>
      </c>
      <c r="D129" s="26" t="str" cm="1">
        <f t="array" ref="D129">INDEX('3. Plano_Detalhado'!$A$10:$H$197,MATCH(1,($E129='3. Plano_Detalhado'!$E$10:$E$197)*($F129='3. Plano_Detalhado'!$F$10:$F$197)*($C129='3. Plano_Detalhado'!$A$10:$A$197),0),4)</f>
        <v>2. Campo</v>
      </c>
      <c r="E129" s="207" t="s">
        <v>29</v>
      </c>
      <c r="F129" s="26" t="s">
        <v>55</v>
      </c>
      <c r="G129" s="208" t="str" cm="1">
        <f t="array" ref="G129">IF(INDEX('3. Plano_Detalhado'!$A$10:$H$197,MATCH(1,($E129='3. Plano_Detalhado'!$E$10:$E$197)*($F129='3. Plano_Detalhado'!$F$10:$F$197)*($C129='3. Plano_Detalhado'!$A$10:$A$197),0),7)="","",INDEX('3. Plano_Detalhado'!$A$10:$H$197,MATCH(1,($E129='3. Plano_Detalhado'!$E$10:$E$197)*($F129='3. Plano_Detalhado'!$F$10:$F$197)*($C129='3. Plano_Detalhado'!$A$10:$A$197),0),7))</f>
        <v/>
      </c>
      <c r="H129" s="186" t="str" cm="1">
        <f t="array" ref="H129">IF(INDEX('3. Plano_Detalhado'!$A$10:$H$197,MATCH(1,($E129='3. Plano_Detalhado'!$E$10:$E$197)*($F129='3. Plano_Detalhado'!$F$10:$F$197)*($C129='3. Plano_Detalhado'!$A$10:$A$197),0),8)="","",INDEX('3. Plano_Detalhado'!$A$10:$H$197,MATCH(1,($E129='3. Plano_Detalhado'!$E$10:$E$197)*($F129='3. Plano_Detalhado'!$F$10:$F$197)*($C129='3. Plano_Detalhado'!$A$10:$A$197),0),8))</f>
        <v/>
      </c>
      <c r="I129" s="26" t="str" cm="1">
        <f t="array" ref="I129">IF(INDEX('3. Plano_Detalhado'!$A$10:$Q$196,MATCH(1,($E129='3. Plano_Detalhado'!$E$10:$E$196)*($F129='3. Plano_Detalhado'!$F$10:$F$196)*($C129='3. Plano_Detalhado'!$A$10:$A$196),0),17)="","",INDEX('3. Plano_Detalhado'!$A$10:$Q$196,MATCH(1,($E129='3. Plano_Detalhado'!$E$10:$E$196)*($F129='3. Plano_Detalhado'!$F$10:$F$196)*($C129='3. Plano_Detalhado'!$A$10:$A$196),0),17))</f>
        <v/>
      </c>
      <c r="J129" s="187"/>
      <c r="K129" s="188"/>
      <c r="L129" s="188"/>
      <c r="M129" s="188"/>
      <c r="N129" s="188"/>
    </row>
    <row r="130" spans="1:14" ht="16.399999999999999" hidden="1" customHeight="1">
      <c r="A130" s="2"/>
      <c r="B130" s="48" t="s">
        <v>35</v>
      </c>
      <c r="C130" s="209" t="s">
        <v>380</v>
      </c>
      <c r="D130" s="26" t="str" cm="1">
        <f t="array" ref="D130">INDEX('3. Plano_Detalhado'!$A$10:$H$197,MATCH(1,($E130='3. Plano_Detalhado'!$E$10:$E$197)*($F130='3. Plano_Detalhado'!$F$10:$F$197)*($C130='3. Plano_Detalhado'!$A$10:$A$197),0),4)</f>
        <v>2. Campo</v>
      </c>
      <c r="E130" s="207" t="s">
        <v>29</v>
      </c>
      <c r="F130" s="26" t="s">
        <v>69</v>
      </c>
      <c r="G130" s="208" t="str" cm="1">
        <f t="array" ref="G130">IF(INDEX('3. Plano_Detalhado'!$A$10:$H$197,MATCH(1,($E130='3. Plano_Detalhado'!$E$10:$E$197)*($F130='3. Plano_Detalhado'!$F$10:$F$197)*($C130='3. Plano_Detalhado'!$A$10:$A$197),0),7)="","",INDEX('3. Plano_Detalhado'!$A$10:$H$197,MATCH(1,($E130='3. Plano_Detalhado'!$E$10:$E$197)*($F130='3. Plano_Detalhado'!$F$10:$F$197)*($C130='3. Plano_Detalhado'!$A$10:$A$197),0),7))</f>
        <v/>
      </c>
      <c r="H130" s="186" t="str" cm="1">
        <f t="array" ref="H130">IF(INDEX('3. Plano_Detalhado'!$A$10:$H$197,MATCH(1,($E130='3. Plano_Detalhado'!$E$10:$E$197)*($F130='3. Plano_Detalhado'!$F$10:$F$197)*($C130='3. Plano_Detalhado'!$A$10:$A$197),0),8)="","",INDEX('3. Plano_Detalhado'!$A$10:$H$197,MATCH(1,($E130='3. Plano_Detalhado'!$E$10:$E$197)*($F130='3. Plano_Detalhado'!$F$10:$F$197)*($C130='3. Plano_Detalhado'!$A$10:$A$197),0),8))</f>
        <v/>
      </c>
      <c r="I130" s="26" t="str" cm="1">
        <f t="array" ref="I130">IF(INDEX('3. Plano_Detalhado'!$A$10:$Q$196,MATCH(1,($E130='3. Plano_Detalhado'!$E$10:$E$196)*($F130='3. Plano_Detalhado'!$F$10:$F$196)*($C130='3. Plano_Detalhado'!$A$10:$A$196),0),17)="","",INDEX('3. Plano_Detalhado'!$A$10:$Q$196,MATCH(1,($E130='3. Plano_Detalhado'!$E$10:$E$196)*($F130='3. Plano_Detalhado'!$F$10:$F$196)*($C130='3. Plano_Detalhado'!$A$10:$A$196),0),17))</f>
        <v/>
      </c>
      <c r="J130" s="187"/>
      <c r="K130" s="188"/>
      <c r="L130" s="188"/>
      <c r="M130" s="188"/>
      <c r="N130" s="188"/>
    </row>
    <row r="131" spans="1:14" ht="16.399999999999999" hidden="1" customHeight="1">
      <c r="A131" s="2"/>
      <c r="B131" s="48" t="s">
        <v>35</v>
      </c>
      <c r="C131" s="209" t="s">
        <v>380</v>
      </c>
      <c r="D131" s="26" t="str" cm="1">
        <f t="array" ref="D131">INDEX('3. Plano_Detalhado'!$A$10:$H$197,MATCH(1,($E131='3. Plano_Detalhado'!$E$10:$E$197)*($F131='3. Plano_Detalhado'!$F$10:$F$197)*($C131='3. Plano_Detalhado'!$A$10:$A$197),0),4)</f>
        <v>2. Campo</v>
      </c>
      <c r="E131" s="207" t="s">
        <v>29</v>
      </c>
      <c r="F131" s="26" t="s">
        <v>56</v>
      </c>
      <c r="G131" s="208" t="str" cm="1">
        <f t="array" ref="G131">IF(INDEX('3. Plano_Detalhado'!$A$10:$H$197,MATCH(1,($E131='3. Plano_Detalhado'!$E$10:$E$197)*($F131='3. Plano_Detalhado'!$F$10:$F$197)*($C131='3. Plano_Detalhado'!$A$10:$A$197),0),7)="","",INDEX('3. Plano_Detalhado'!$A$10:$H$197,MATCH(1,($E131='3. Plano_Detalhado'!$E$10:$E$197)*($F131='3. Plano_Detalhado'!$F$10:$F$197)*($C131='3. Plano_Detalhado'!$A$10:$A$197),0),7))</f>
        <v/>
      </c>
      <c r="H131" s="186" t="str" cm="1">
        <f t="array" ref="H131">IF(INDEX('3. Plano_Detalhado'!$A$10:$H$197,MATCH(1,($E131='3. Plano_Detalhado'!$E$10:$E$197)*($F131='3. Plano_Detalhado'!$F$10:$F$197)*($C131='3. Plano_Detalhado'!$A$10:$A$197),0),8)="","",INDEX('3. Plano_Detalhado'!$A$10:$H$197,MATCH(1,($E131='3. Plano_Detalhado'!$E$10:$E$197)*($F131='3. Plano_Detalhado'!$F$10:$F$197)*($C131='3. Plano_Detalhado'!$A$10:$A$197),0),8))</f>
        <v/>
      </c>
      <c r="I131" s="26" t="str" cm="1">
        <f t="array" ref="I131">IF(INDEX('3. Plano_Detalhado'!$A$10:$Q$196,MATCH(1,($E131='3. Plano_Detalhado'!$E$10:$E$196)*($F131='3. Plano_Detalhado'!$F$10:$F$196)*($C131='3. Plano_Detalhado'!$A$10:$A$196),0),17)="","",INDEX('3. Plano_Detalhado'!$A$10:$Q$196,MATCH(1,($E131='3. Plano_Detalhado'!$E$10:$E$196)*($F131='3. Plano_Detalhado'!$F$10:$F$196)*($C131='3. Plano_Detalhado'!$A$10:$A$196),0),17))</f>
        <v/>
      </c>
      <c r="J131" s="187"/>
      <c r="K131" s="188"/>
      <c r="L131" s="188"/>
      <c r="M131" s="188"/>
      <c r="N131" s="188"/>
    </row>
    <row r="132" spans="1:14" ht="16.399999999999999" hidden="1" customHeight="1">
      <c r="A132" s="2"/>
      <c r="B132" s="48" t="s">
        <v>35</v>
      </c>
      <c r="C132" s="209" t="s">
        <v>380</v>
      </c>
      <c r="D132" s="26" t="str" cm="1">
        <f t="array" ref="D132">INDEX('3. Plano_Detalhado'!$A$10:$H$197,MATCH(1,($E132='3. Plano_Detalhado'!$E$10:$E$197)*($F132='3. Plano_Detalhado'!$F$10:$F$197)*($C132='3. Plano_Detalhado'!$A$10:$A$197),0),4)</f>
        <v>2. Campo</v>
      </c>
      <c r="E132" s="207" t="s">
        <v>29</v>
      </c>
      <c r="F132" s="26" t="s">
        <v>70</v>
      </c>
      <c r="G132" s="208" t="str" cm="1">
        <f t="array" ref="G132">IF(INDEX('3. Plano_Detalhado'!$A$10:$H$197,MATCH(1,($E132='3. Plano_Detalhado'!$E$10:$E$197)*($F132='3. Plano_Detalhado'!$F$10:$F$197)*($C132='3. Plano_Detalhado'!$A$10:$A$197),0),7)="","",INDEX('3. Plano_Detalhado'!$A$10:$H$197,MATCH(1,($E132='3. Plano_Detalhado'!$E$10:$E$197)*($F132='3. Plano_Detalhado'!$F$10:$F$197)*($C132='3. Plano_Detalhado'!$A$10:$A$197),0),7))</f>
        <v/>
      </c>
      <c r="H132" s="186" t="str" cm="1">
        <f t="array" ref="H132">IF(INDEX('3. Plano_Detalhado'!$A$10:$H$197,MATCH(1,($E132='3. Plano_Detalhado'!$E$10:$E$197)*($F132='3. Plano_Detalhado'!$F$10:$F$197)*($C132='3. Plano_Detalhado'!$A$10:$A$197),0),8)="","",INDEX('3. Plano_Detalhado'!$A$10:$H$197,MATCH(1,($E132='3. Plano_Detalhado'!$E$10:$E$197)*($F132='3. Plano_Detalhado'!$F$10:$F$197)*($C132='3. Plano_Detalhado'!$A$10:$A$197),0),8))</f>
        <v/>
      </c>
      <c r="I132" s="26" t="str" cm="1">
        <f t="array" ref="I132">IF(INDEX('3. Plano_Detalhado'!$A$10:$Q$196,MATCH(1,($E132='3. Plano_Detalhado'!$E$10:$E$196)*($F132='3. Plano_Detalhado'!$F$10:$F$196)*($C132='3. Plano_Detalhado'!$A$10:$A$196),0),17)="","",INDEX('3. Plano_Detalhado'!$A$10:$Q$196,MATCH(1,($E132='3. Plano_Detalhado'!$E$10:$E$196)*($F132='3. Plano_Detalhado'!$F$10:$F$196)*($C132='3. Plano_Detalhado'!$A$10:$A$196),0),17))</f>
        <v/>
      </c>
      <c r="J132" s="187"/>
      <c r="K132" s="188"/>
      <c r="L132" s="188"/>
      <c r="M132" s="188"/>
      <c r="N132" s="188"/>
    </row>
    <row r="133" spans="1:14" ht="16.399999999999999" hidden="1" customHeight="1">
      <c r="A133" s="2"/>
      <c r="B133" s="48" t="s">
        <v>35</v>
      </c>
      <c r="C133" s="209" t="s">
        <v>380</v>
      </c>
      <c r="D133" s="26" t="str" cm="1">
        <f t="array" ref="D133">INDEX('3. Plano_Detalhado'!$A$10:$H$197,MATCH(1,($E133='3. Plano_Detalhado'!$E$10:$E$197)*($F133='3. Plano_Detalhado'!$F$10:$F$197)*($C133='3. Plano_Detalhado'!$A$10:$A$197),0),4)</f>
        <v>2. Campo</v>
      </c>
      <c r="E133" s="207" t="s">
        <v>29</v>
      </c>
      <c r="F133" s="26" t="s">
        <v>71</v>
      </c>
      <c r="G133" s="208" t="str" cm="1">
        <f t="array" ref="G133">IF(INDEX('3. Plano_Detalhado'!$A$10:$H$197,MATCH(1,($E133='3. Plano_Detalhado'!$E$10:$E$197)*($F133='3. Plano_Detalhado'!$F$10:$F$197)*($C133='3. Plano_Detalhado'!$A$10:$A$197),0),7)="","",INDEX('3. Plano_Detalhado'!$A$10:$H$197,MATCH(1,($E133='3. Plano_Detalhado'!$E$10:$E$197)*($F133='3. Plano_Detalhado'!$F$10:$F$197)*($C133='3. Plano_Detalhado'!$A$10:$A$197),0),7))</f>
        <v/>
      </c>
      <c r="H133" s="186" t="str" cm="1">
        <f t="array" ref="H133">IF(INDEX('3. Plano_Detalhado'!$A$10:$H$197,MATCH(1,($E133='3. Plano_Detalhado'!$E$10:$E$197)*($F133='3. Plano_Detalhado'!$F$10:$F$197)*($C133='3. Plano_Detalhado'!$A$10:$A$197),0),8)="","",INDEX('3. Plano_Detalhado'!$A$10:$H$197,MATCH(1,($E133='3. Plano_Detalhado'!$E$10:$E$197)*($F133='3. Plano_Detalhado'!$F$10:$F$197)*($C133='3. Plano_Detalhado'!$A$10:$A$197),0),8))</f>
        <v/>
      </c>
      <c r="I133" s="26" t="str" cm="1">
        <f t="array" ref="I133">IF(INDEX('3. Plano_Detalhado'!$A$10:$Q$196,MATCH(1,($E133='3. Plano_Detalhado'!$E$10:$E$196)*($F133='3. Plano_Detalhado'!$F$10:$F$196)*($C133='3. Plano_Detalhado'!$A$10:$A$196),0),17)="","",INDEX('3. Plano_Detalhado'!$A$10:$Q$196,MATCH(1,($E133='3. Plano_Detalhado'!$E$10:$E$196)*($F133='3. Plano_Detalhado'!$F$10:$F$196)*($C133='3. Plano_Detalhado'!$A$10:$A$196),0),17))</f>
        <v/>
      </c>
      <c r="J133" s="187"/>
      <c r="K133" s="188"/>
      <c r="L133" s="188"/>
      <c r="M133" s="188"/>
      <c r="N133" s="188"/>
    </row>
    <row r="134" spans="1:14" ht="16.399999999999999" hidden="1" customHeight="1">
      <c r="A134" s="2"/>
      <c r="B134" s="48" t="s">
        <v>35</v>
      </c>
      <c r="C134" s="209" t="s">
        <v>380</v>
      </c>
      <c r="D134" s="26" t="str" cm="1">
        <f t="array" ref="D134">INDEX('3. Plano_Detalhado'!$A$10:$H$197,MATCH(1,($E134='3. Plano_Detalhado'!$E$10:$E$197)*($F134='3. Plano_Detalhado'!$F$10:$F$197)*($C134='3. Plano_Detalhado'!$A$10:$A$197),0),4)</f>
        <v>2. Campo</v>
      </c>
      <c r="E134" s="207" t="s">
        <v>29</v>
      </c>
      <c r="F134" s="26" t="s">
        <v>72</v>
      </c>
      <c r="G134" s="208" t="str" cm="1">
        <f t="array" ref="G134">IF(INDEX('3. Plano_Detalhado'!$A$10:$H$197,MATCH(1,($E134='3. Plano_Detalhado'!$E$10:$E$197)*($F134='3. Plano_Detalhado'!$F$10:$F$197)*($C134='3. Plano_Detalhado'!$A$10:$A$197),0),7)="","",INDEX('3. Plano_Detalhado'!$A$10:$H$197,MATCH(1,($E134='3. Plano_Detalhado'!$E$10:$E$197)*($F134='3. Plano_Detalhado'!$F$10:$F$197)*($C134='3. Plano_Detalhado'!$A$10:$A$197),0),7))</f>
        <v/>
      </c>
      <c r="H134" s="186" t="str" cm="1">
        <f t="array" ref="H134">IF(INDEX('3. Plano_Detalhado'!$A$10:$H$197,MATCH(1,($E134='3. Plano_Detalhado'!$E$10:$E$197)*($F134='3. Plano_Detalhado'!$F$10:$F$197)*($C134='3. Plano_Detalhado'!$A$10:$A$197),0),8)="","",INDEX('3. Plano_Detalhado'!$A$10:$H$197,MATCH(1,($E134='3. Plano_Detalhado'!$E$10:$E$197)*($F134='3. Plano_Detalhado'!$F$10:$F$197)*($C134='3. Plano_Detalhado'!$A$10:$A$197),0),8))</f>
        <v/>
      </c>
      <c r="I134" s="26" t="str" cm="1">
        <f t="array" ref="I134">IF(INDEX('3. Plano_Detalhado'!$A$10:$Q$196,MATCH(1,($E134='3. Plano_Detalhado'!$E$10:$E$196)*($F134='3. Plano_Detalhado'!$F$10:$F$196)*($C134='3. Plano_Detalhado'!$A$10:$A$196),0),17)="","",INDEX('3. Plano_Detalhado'!$A$10:$Q$196,MATCH(1,($E134='3. Plano_Detalhado'!$E$10:$E$196)*($F134='3. Plano_Detalhado'!$F$10:$F$196)*($C134='3. Plano_Detalhado'!$A$10:$A$196),0),17))</f>
        <v/>
      </c>
      <c r="J134" s="187"/>
      <c r="K134" s="188"/>
      <c r="L134" s="188"/>
      <c r="M134" s="188"/>
      <c r="N134" s="188"/>
    </row>
    <row r="135" spans="1:14" ht="16.399999999999999" hidden="1" customHeight="1">
      <c r="A135" s="2"/>
      <c r="B135" s="48" t="s">
        <v>35</v>
      </c>
      <c r="C135" s="209" t="s">
        <v>380</v>
      </c>
      <c r="D135" s="26" t="str" cm="1">
        <f t="array" ref="D135">INDEX('3. Plano_Detalhado'!$A$10:$H$197,MATCH(1,($E135='3. Plano_Detalhado'!$E$10:$E$197)*($F135='3. Plano_Detalhado'!$F$10:$F$197)*($C135='3. Plano_Detalhado'!$A$10:$A$197),0),4)</f>
        <v>2. Campo</v>
      </c>
      <c r="E135" s="207" t="s">
        <v>29</v>
      </c>
      <c r="F135" s="26" t="s">
        <v>73</v>
      </c>
      <c r="G135" s="208" t="str" cm="1">
        <f t="array" ref="G135">IF(INDEX('3. Plano_Detalhado'!$A$10:$H$197,MATCH(1,($E135='3. Plano_Detalhado'!$E$10:$E$197)*($F135='3. Plano_Detalhado'!$F$10:$F$197)*($C135='3. Plano_Detalhado'!$A$10:$A$197),0),7)="","",INDEX('3. Plano_Detalhado'!$A$10:$H$197,MATCH(1,($E135='3. Plano_Detalhado'!$E$10:$E$197)*($F135='3. Plano_Detalhado'!$F$10:$F$197)*($C135='3. Plano_Detalhado'!$A$10:$A$197),0),7))</f>
        <v/>
      </c>
      <c r="H135" s="186" t="str" cm="1">
        <f t="array" ref="H135">IF(INDEX('3. Plano_Detalhado'!$A$10:$H$197,MATCH(1,($E135='3. Plano_Detalhado'!$E$10:$E$197)*($F135='3. Plano_Detalhado'!$F$10:$F$197)*($C135='3. Plano_Detalhado'!$A$10:$A$197),0),8)="","",INDEX('3. Plano_Detalhado'!$A$10:$H$197,MATCH(1,($E135='3. Plano_Detalhado'!$E$10:$E$197)*($F135='3. Plano_Detalhado'!$F$10:$F$197)*($C135='3. Plano_Detalhado'!$A$10:$A$197),0),8))</f>
        <v/>
      </c>
      <c r="I135" s="26" t="str" cm="1">
        <f t="array" ref="I135">IF(INDEX('3. Plano_Detalhado'!$A$10:$Q$196,MATCH(1,($E135='3. Plano_Detalhado'!$E$10:$E$196)*($F135='3. Plano_Detalhado'!$F$10:$F$196)*($C135='3. Plano_Detalhado'!$A$10:$A$196),0),17)="","",INDEX('3. Plano_Detalhado'!$A$10:$Q$196,MATCH(1,($E135='3. Plano_Detalhado'!$E$10:$E$196)*($F135='3. Plano_Detalhado'!$F$10:$F$196)*($C135='3. Plano_Detalhado'!$A$10:$A$196),0),17))</f>
        <v/>
      </c>
      <c r="J135" s="187"/>
      <c r="K135" s="188"/>
      <c r="L135" s="188"/>
      <c r="M135" s="188"/>
      <c r="N135" s="188"/>
    </row>
    <row r="136" spans="1:14" ht="16.399999999999999" hidden="1" customHeight="1">
      <c r="A136" s="2"/>
      <c r="B136" s="48" t="s">
        <v>35</v>
      </c>
      <c r="C136" s="209" t="s">
        <v>380</v>
      </c>
      <c r="D136" s="26" t="str" cm="1">
        <f t="array" ref="D136">INDEX('3. Plano_Detalhado'!$A$10:$H$197,MATCH(1,($E136='3. Plano_Detalhado'!$E$10:$E$197)*($F136='3. Plano_Detalhado'!$F$10:$F$197)*($C136='3. Plano_Detalhado'!$A$10:$A$197),0),4)</f>
        <v>2. Campo</v>
      </c>
      <c r="E136" s="207" t="s">
        <v>29</v>
      </c>
      <c r="F136" s="26" t="s">
        <v>74</v>
      </c>
      <c r="G136" s="208" t="str" cm="1">
        <f t="array" ref="G136">IF(INDEX('3. Plano_Detalhado'!$A$10:$H$197,MATCH(1,($E136='3. Plano_Detalhado'!$E$10:$E$197)*($F136='3. Plano_Detalhado'!$F$10:$F$197)*($C136='3. Plano_Detalhado'!$A$10:$A$197),0),7)="","",INDEX('3. Plano_Detalhado'!$A$10:$H$197,MATCH(1,($E136='3. Plano_Detalhado'!$E$10:$E$197)*($F136='3. Plano_Detalhado'!$F$10:$F$197)*($C136='3. Plano_Detalhado'!$A$10:$A$197),0),7))</f>
        <v/>
      </c>
      <c r="H136" s="186" t="str" cm="1">
        <f t="array" ref="H136">IF(INDEX('3. Plano_Detalhado'!$A$10:$H$197,MATCH(1,($E136='3. Plano_Detalhado'!$E$10:$E$197)*($F136='3. Plano_Detalhado'!$F$10:$F$197)*($C136='3. Plano_Detalhado'!$A$10:$A$197),0),8)="","",INDEX('3. Plano_Detalhado'!$A$10:$H$197,MATCH(1,($E136='3. Plano_Detalhado'!$E$10:$E$197)*($F136='3. Plano_Detalhado'!$F$10:$F$197)*($C136='3. Plano_Detalhado'!$A$10:$A$197),0),8))</f>
        <v/>
      </c>
      <c r="I136" s="26" t="str" cm="1">
        <f t="array" ref="I136">IF(INDEX('3. Plano_Detalhado'!$A$10:$Q$196,MATCH(1,($E136='3. Plano_Detalhado'!$E$10:$E$196)*($F136='3. Plano_Detalhado'!$F$10:$F$196)*($C136='3. Plano_Detalhado'!$A$10:$A$196),0),17)="","",INDEX('3. Plano_Detalhado'!$A$10:$Q$196,MATCH(1,($E136='3. Plano_Detalhado'!$E$10:$E$196)*($F136='3. Plano_Detalhado'!$F$10:$F$196)*($C136='3. Plano_Detalhado'!$A$10:$A$196),0),17))</f>
        <v/>
      </c>
      <c r="J136" s="187"/>
      <c r="K136" s="188"/>
      <c r="L136" s="188"/>
      <c r="M136" s="188"/>
      <c r="N136" s="188"/>
    </row>
    <row r="137" spans="1:14" ht="16.399999999999999" hidden="1" customHeight="1">
      <c r="A137" s="2"/>
      <c r="B137" s="48" t="s">
        <v>35</v>
      </c>
      <c r="C137" s="209" t="s">
        <v>380</v>
      </c>
      <c r="D137" s="26" t="str" cm="1">
        <f t="array" ref="D137">INDEX('3. Plano_Detalhado'!$A$10:$H$197,MATCH(1,($E137='3. Plano_Detalhado'!$E$10:$E$197)*($F137='3. Plano_Detalhado'!$F$10:$F$197)*($C137='3. Plano_Detalhado'!$A$10:$A$197),0),4)</f>
        <v>2. Campo</v>
      </c>
      <c r="E137" s="207" t="s">
        <v>29</v>
      </c>
      <c r="F137" s="26" t="s">
        <v>75</v>
      </c>
      <c r="G137" s="208" t="str" cm="1">
        <f t="array" ref="G137">IF(INDEX('3. Plano_Detalhado'!$A$10:$H$197,MATCH(1,($E137='3. Plano_Detalhado'!$E$10:$E$197)*($F137='3. Plano_Detalhado'!$F$10:$F$197)*($C137='3. Plano_Detalhado'!$A$10:$A$197),0),7)="","",INDEX('3. Plano_Detalhado'!$A$10:$H$197,MATCH(1,($E137='3. Plano_Detalhado'!$E$10:$E$197)*($F137='3. Plano_Detalhado'!$F$10:$F$197)*($C137='3. Plano_Detalhado'!$A$10:$A$197),0),7))</f>
        <v/>
      </c>
      <c r="H137" s="186" t="str" cm="1">
        <f t="array" ref="H137">IF(INDEX('3. Plano_Detalhado'!$A$10:$H$197,MATCH(1,($E137='3. Plano_Detalhado'!$E$10:$E$197)*($F137='3. Plano_Detalhado'!$F$10:$F$197)*($C137='3. Plano_Detalhado'!$A$10:$A$197),0),8)="","",INDEX('3. Plano_Detalhado'!$A$10:$H$197,MATCH(1,($E137='3. Plano_Detalhado'!$E$10:$E$197)*($F137='3. Plano_Detalhado'!$F$10:$F$197)*($C137='3. Plano_Detalhado'!$A$10:$A$197),0),8))</f>
        <v/>
      </c>
      <c r="I137" s="26" t="str" cm="1">
        <f t="array" ref="I137">IF(INDEX('3. Plano_Detalhado'!$A$10:$Q$196,MATCH(1,($E137='3. Plano_Detalhado'!$E$10:$E$196)*($F137='3. Plano_Detalhado'!$F$10:$F$196)*($C137='3. Plano_Detalhado'!$A$10:$A$196),0),17)="","",INDEX('3. Plano_Detalhado'!$A$10:$Q$196,MATCH(1,($E137='3. Plano_Detalhado'!$E$10:$E$196)*($F137='3. Plano_Detalhado'!$F$10:$F$196)*($C137='3. Plano_Detalhado'!$A$10:$A$196),0),17))</f>
        <v/>
      </c>
      <c r="J137" s="187"/>
      <c r="K137" s="188"/>
      <c r="L137" s="188"/>
      <c r="M137" s="188"/>
      <c r="N137" s="188"/>
    </row>
    <row r="138" spans="1:14" ht="16.399999999999999" hidden="1" customHeight="1">
      <c r="A138" s="2"/>
      <c r="B138" s="48" t="s">
        <v>35</v>
      </c>
      <c r="C138" s="209" t="s">
        <v>380</v>
      </c>
      <c r="D138" s="26" t="str" cm="1">
        <f t="array" ref="D138">INDEX('3. Plano_Detalhado'!$A$10:$H$197,MATCH(1,($E138='3. Plano_Detalhado'!$E$10:$E$197)*($F138='3. Plano_Detalhado'!$F$10:$F$197)*($C138='3. Plano_Detalhado'!$A$10:$A$197),0),4)</f>
        <v>2. Campo</v>
      </c>
      <c r="E138" s="207" t="s">
        <v>29</v>
      </c>
      <c r="F138" s="26" t="s">
        <v>76</v>
      </c>
      <c r="G138" s="208" t="str" cm="1">
        <f t="array" ref="G138">IF(INDEX('3. Plano_Detalhado'!$A$10:$H$197,MATCH(1,($E138='3. Plano_Detalhado'!$E$10:$E$197)*($F138='3. Plano_Detalhado'!$F$10:$F$197)*($C138='3. Plano_Detalhado'!$A$10:$A$197),0),7)="","",INDEX('3. Plano_Detalhado'!$A$10:$H$197,MATCH(1,($E138='3. Plano_Detalhado'!$E$10:$E$197)*($F138='3. Plano_Detalhado'!$F$10:$F$197)*($C138='3. Plano_Detalhado'!$A$10:$A$197),0),7))</f>
        <v/>
      </c>
      <c r="H138" s="186" t="str" cm="1">
        <f t="array" ref="H138">IF(INDEX('3. Plano_Detalhado'!$A$10:$H$197,MATCH(1,($E138='3. Plano_Detalhado'!$E$10:$E$197)*($F138='3. Plano_Detalhado'!$F$10:$F$197)*($C138='3. Plano_Detalhado'!$A$10:$A$197),0),8)="","",INDEX('3. Plano_Detalhado'!$A$10:$H$197,MATCH(1,($E138='3. Plano_Detalhado'!$E$10:$E$197)*($F138='3. Plano_Detalhado'!$F$10:$F$197)*($C138='3. Plano_Detalhado'!$A$10:$A$197),0),8))</f>
        <v/>
      </c>
      <c r="I138" s="26" t="str" cm="1">
        <f t="array" ref="I138">IF(INDEX('3. Plano_Detalhado'!$A$10:$Q$196,MATCH(1,($E138='3. Plano_Detalhado'!$E$10:$E$196)*($F138='3. Plano_Detalhado'!$F$10:$F$196)*($C138='3. Plano_Detalhado'!$A$10:$A$196),0),17)="","",INDEX('3. Plano_Detalhado'!$A$10:$Q$196,MATCH(1,($E138='3. Plano_Detalhado'!$E$10:$E$196)*($F138='3. Plano_Detalhado'!$F$10:$F$196)*($C138='3. Plano_Detalhado'!$A$10:$A$196),0),17))</f>
        <v/>
      </c>
      <c r="J138" s="187"/>
      <c r="K138" s="188"/>
      <c r="L138" s="188"/>
      <c r="M138" s="188"/>
      <c r="N138" s="188"/>
    </row>
    <row r="139" spans="1:14" ht="16.399999999999999" hidden="1" customHeight="1">
      <c r="A139" s="2"/>
      <c r="B139" s="48" t="s">
        <v>35</v>
      </c>
      <c r="C139" s="209" t="s">
        <v>380</v>
      </c>
      <c r="D139" s="26" t="str" cm="1">
        <f t="array" ref="D139">INDEX('3. Plano_Detalhado'!$A$10:$H$197,MATCH(1,($E139='3. Plano_Detalhado'!$E$10:$E$197)*($F139='3. Plano_Detalhado'!$F$10:$F$197)*($C139='3. Plano_Detalhado'!$A$10:$A$197),0),4)</f>
        <v>2. Campo</v>
      </c>
      <c r="E139" s="207" t="s">
        <v>29</v>
      </c>
      <c r="F139" s="26" t="s">
        <v>77</v>
      </c>
      <c r="G139" s="208" t="str" cm="1">
        <f t="array" ref="G139">IF(INDEX('3. Plano_Detalhado'!$A$10:$H$197,MATCH(1,($E139='3. Plano_Detalhado'!$E$10:$E$197)*($F139='3. Plano_Detalhado'!$F$10:$F$197)*($C139='3. Plano_Detalhado'!$A$10:$A$197),0),7)="","",INDEX('3. Plano_Detalhado'!$A$10:$H$197,MATCH(1,($E139='3. Plano_Detalhado'!$E$10:$E$197)*($F139='3. Plano_Detalhado'!$F$10:$F$197)*($C139='3. Plano_Detalhado'!$A$10:$A$197),0),7))</f>
        <v/>
      </c>
      <c r="H139" s="186" t="str" cm="1">
        <f t="array" ref="H139">IF(INDEX('3. Plano_Detalhado'!$A$10:$H$197,MATCH(1,($E139='3. Plano_Detalhado'!$E$10:$E$197)*($F139='3. Plano_Detalhado'!$F$10:$F$197)*($C139='3. Plano_Detalhado'!$A$10:$A$197),0),8)="","",INDEX('3. Plano_Detalhado'!$A$10:$H$197,MATCH(1,($E139='3. Plano_Detalhado'!$E$10:$E$197)*($F139='3. Plano_Detalhado'!$F$10:$F$197)*($C139='3. Plano_Detalhado'!$A$10:$A$197),0),8))</f>
        <v/>
      </c>
      <c r="I139" s="26" t="str" cm="1">
        <f t="array" ref="I139">IF(INDEX('3. Plano_Detalhado'!$A$10:$Q$196,MATCH(1,($E139='3. Plano_Detalhado'!$E$10:$E$196)*($F139='3. Plano_Detalhado'!$F$10:$F$196)*($C139='3. Plano_Detalhado'!$A$10:$A$196),0),17)="","",INDEX('3. Plano_Detalhado'!$A$10:$Q$196,MATCH(1,($E139='3. Plano_Detalhado'!$E$10:$E$196)*($F139='3. Plano_Detalhado'!$F$10:$F$196)*($C139='3. Plano_Detalhado'!$A$10:$A$196),0),17))</f>
        <v/>
      </c>
      <c r="J139" s="187"/>
      <c r="K139" s="188"/>
      <c r="L139" s="188"/>
      <c r="M139" s="188"/>
      <c r="N139" s="188"/>
    </row>
    <row r="140" spans="1:14" ht="16.399999999999999" hidden="1" customHeight="1">
      <c r="A140" s="2"/>
      <c r="B140" s="48" t="s">
        <v>35</v>
      </c>
      <c r="C140" s="209" t="s">
        <v>380</v>
      </c>
      <c r="D140" s="26" t="str" cm="1">
        <f t="array" ref="D140">INDEX('3. Plano_Detalhado'!$A$10:$H$197,MATCH(1,($E140='3. Plano_Detalhado'!$E$10:$E$197)*($F140='3. Plano_Detalhado'!$F$10:$F$197)*($C140='3. Plano_Detalhado'!$A$10:$A$197),0),4)</f>
        <v>2. Campo</v>
      </c>
      <c r="E140" s="207" t="s">
        <v>29</v>
      </c>
      <c r="F140" s="26" t="s">
        <v>78</v>
      </c>
      <c r="G140" s="208" t="str" cm="1">
        <f t="array" ref="G140">IF(INDEX('3. Plano_Detalhado'!$A$10:$H$197,MATCH(1,($E140='3. Plano_Detalhado'!$E$10:$E$197)*($F140='3. Plano_Detalhado'!$F$10:$F$197)*($C140='3. Plano_Detalhado'!$A$10:$A$197),0),7)="","",INDEX('3. Plano_Detalhado'!$A$10:$H$197,MATCH(1,($E140='3. Plano_Detalhado'!$E$10:$E$197)*($F140='3. Plano_Detalhado'!$F$10:$F$197)*($C140='3. Plano_Detalhado'!$A$10:$A$197),0),7))</f>
        <v/>
      </c>
      <c r="H140" s="186" t="str" cm="1">
        <f t="array" ref="H140">IF(INDEX('3. Plano_Detalhado'!$A$10:$H$197,MATCH(1,($E140='3. Plano_Detalhado'!$E$10:$E$197)*($F140='3. Plano_Detalhado'!$F$10:$F$197)*($C140='3. Plano_Detalhado'!$A$10:$A$197),0),8)="","",INDEX('3. Plano_Detalhado'!$A$10:$H$197,MATCH(1,($E140='3. Plano_Detalhado'!$E$10:$E$197)*($F140='3. Plano_Detalhado'!$F$10:$F$197)*($C140='3. Plano_Detalhado'!$A$10:$A$197),0),8))</f>
        <v/>
      </c>
      <c r="I140" s="26" t="str" cm="1">
        <f t="array" ref="I140">IF(INDEX('3. Plano_Detalhado'!$A$10:$Q$196,MATCH(1,($E140='3. Plano_Detalhado'!$E$10:$E$196)*($F140='3. Plano_Detalhado'!$F$10:$F$196)*($C140='3. Plano_Detalhado'!$A$10:$A$196),0),17)="","",INDEX('3. Plano_Detalhado'!$A$10:$Q$196,MATCH(1,($E140='3. Plano_Detalhado'!$E$10:$E$196)*($F140='3. Plano_Detalhado'!$F$10:$F$196)*($C140='3. Plano_Detalhado'!$A$10:$A$196),0),17))</f>
        <v/>
      </c>
      <c r="J140" s="187"/>
      <c r="K140" s="188"/>
      <c r="L140" s="188"/>
      <c r="M140" s="188"/>
      <c r="N140" s="188"/>
    </row>
    <row r="141" spans="1:14" ht="16.399999999999999" hidden="1" customHeight="1">
      <c r="A141" s="2"/>
      <c r="B141" s="48" t="s">
        <v>35</v>
      </c>
      <c r="C141" s="209" t="s">
        <v>380</v>
      </c>
      <c r="D141" s="26" t="str" cm="1">
        <f t="array" ref="D141">INDEX('3. Plano_Detalhado'!$A$10:$H$197,MATCH(1,($E141='3. Plano_Detalhado'!$E$10:$E$197)*($F141='3. Plano_Detalhado'!$F$10:$F$197)*($C141='3. Plano_Detalhado'!$A$10:$A$197),0),4)</f>
        <v>2. Campo</v>
      </c>
      <c r="E141" s="207" t="s">
        <v>29</v>
      </c>
      <c r="F141" s="26" t="s">
        <v>57</v>
      </c>
      <c r="G141" s="208" t="str" cm="1">
        <f t="array" ref="G141">IF(INDEX('3. Plano_Detalhado'!$A$10:$H$197,MATCH(1,($E141='3. Plano_Detalhado'!$E$10:$E$197)*($F141='3. Plano_Detalhado'!$F$10:$F$197)*($C141='3. Plano_Detalhado'!$A$10:$A$197),0),7)="","",INDEX('3. Plano_Detalhado'!$A$10:$H$197,MATCH(1,($E141='3. Plano_Detalhado'!$E$10:$E$197)*($F141='3. Plano_Detalhado'!$F$10:$F$197)*($C141='3. Plano_Detalhado'!$A$10:$A$197),0),7))</f>
        <v/>
      </c>
      <c r="H141" s="186" t="str" cm="1">
        <f t="array" ref="H141">IF(INDEX('3. Plano_Detalhado'!$A$10:$H$197,MATCH(1,($E141='3. Plano_Detalhado'!$E$10:$E$197)*($F141='3. Plano_Detalhado'!$F$10:$F$197)*($C141='3. Plano_Detalhado'!$A$10:$A$197),0),8)="","",INDEX('3. Plano_Detalhado'!$A$10:$H$197,MATCH(1,($E141='3. Plano_Detalhado'!$E$10:$E$197)*($F141='3. Plano_Detalhado'!$F$10:$F$197)*($C141='3. Plano_Detalhado'!$A$10:$A$197),0),8))</f>
        <v/>
      </c>
      <c r="I141" s="26" t="str" cm="1">
        <f t="array" ref="I141">IF(INDEX('3. Plano_Detalhado'!$A$10:$Q$196,MATCH(1,($E141='3. Plano_Detalhado'!$E$10:$E$196)*($F141='3. Plano_Detalhado'!$F$10:$F$196)*($C141='3. Plano_Detalhado'!$A$10:$A$196),0),17)="","",INDEX('3. Plano_Detalhado'!$A$10:$Q$196,MATCH(1,($E141='3. Plano_Detalhado'!$E$10:$E$196)*($F141='3. Plano_Detalhado'!$F$10:$F$196)*($C141='3. Plano_Detalhado'!$A$10:$A$196),0),17))</f>
        <v/>
      </c>
      <c r="J141" s="187"/>
      <c r="K141" s="188"/>
      <c r="L141" s="188"/>
      <c r="M141" s="188"/>
      <c r="N141" s="188"/>
    </row>
    <row r="142" spans="1:14" ht="16.399999999999999" hidden="1" customHeight="1">
      <c r="A142" s="2"/>
      <c r="B142" s="48" t="s">
        <v>35</v>
      </c>
      <c r="C142" s="209" t="s">
        <v>380</v>
      </c>
      <c r="D142" s="26" t="str" cm="1">
        <f t="array" ref="D142">INDEX('3. Plano_Detalhado'!$A$10:$H$197,MATCH(1,($E142='3. Plano_Detalhado'!$E$10:$E$197)*($F142='3. Plano_Detalhado'!$F$10:$F$197)*($C142='3. Plano_Detalhado'!$A$10:$A$197),0),4)</f>
        <v>2. Campo</v>
      </c>
      <c r="E142" s="207" t="s">
        <v>29</v>
      </c>
      <c r="F142" s="26" t="s">
        <v>66</v>
      </c>
      <c r="G142" s="208" t="str" cm="1">
        <f t="array" ref="G142">IF(INDEX('3. Plano_Detalhado'!$A$10:$H$197,MATCH(1,($E142='3. Plano_Detalhado'!$E$10:$E$197)*($F142='3. Plano_Detalhado'!$F$10:$F$197)*($C142='3. Plano_Detalhado'!$A$10:$A$197),0),7)="","",INDEX('3. Plano_Detalhado'!$A$10:$H$197,MATCH(1,($E142='3. Plano_Detalhado'!$E$10:$E$197)*($F142='3. Plano_Detalhado'!$F$10:$F$197)*($C142='3. Plano_Detalhado'!$A$10:$A$197),0),7))</f>
        <v/>
      </c>
      <c r="H142" s="186" t="str" cm="1">
        <f t="array" ref="H142">IF(INDEX('3. Plano_Detalhado'!$A$10:$H$197,MATCH(1,($E142='3. Plano_Detalhado'!$E$10:$E$197)*($F142='3. Plano_Detalhado'!$F$10:$F$197)*($C142='3. Plano_Detalhado'!$A$10:$A$197),0),8)="","",INDEX('3. Plano_Detalhado'!$A$10:$H$197,MATCH(1,($E142='3. Plano_Detalhado'!$E$10:$E$197)*($F142='3. Plano_Detalhado'!$F$10:$F$197)*($C142='3. Plano_Detalhado'!$A$10:$A$197),0),8))</f>
        <v/>
      </c>
      <c r="I142" s="26" t="str" cm="1">
        <f t="array" ref="I142">IF(INDEX('3. Plano_Detalhado'!$A$10:$Q$196,MATCH(1,($E142='3. Plano_Detalhado'!$E$10:$E$196)*($F142='3. Plano_Detalhado'!$F$10:$F$196)*($C142='3. Plano_Detalhado'!$A$10:$A$196),0),17)="","",INDEX('3. Plano_Detalhado'!$A$10:$Q$196,MATCH(1,($E142='3. Plano_Detalhado'!$E$10:$E$196)*($F142='3. Plano_Detalhado'!$F$10:$F$196)*($C142='3. Plano_Detalhado'!$A$10:$A$196),0),17))</f>
        <v/>
      </c>
      <c r="J142" s="187"/>
      <c r="K142" s="188"/>
      <c r="L142" s="188"/>
      <c r="M142" s="188"/>
      <c r="N142" s="188"/>
    </row>
    <row r="143" spans="1:14" ht="16.399999999999999" hidden="1" customHeight="1">
      <c r="A143" s="2"/>
      <c r="B143" s="48" t="s">
        <v>35</v>
      </c>
      <c r="C143" s="209" t="s">
        <v>381</v>
      </c>
      <c r="D143" s="160" t="str" cm="1">
        <f t="array" ref="D143">INDEX('3. Plano_Detalhado'!$A$10:$H$197,MATCH(1,($E143='3. Plano_Detalhado'!$E$10:$E$197)*($F143='3. Plano_Detalhado'!$F$10:$F$197)*($C143='3. Plano_Detalhado'!$A$10:$A$197),0),4)</f>
        <v>2. Campo</v>
      </c>
      <c r="E143" s="210" t="s">
        <v>29</v>
      </c>
      <c r="F143" s="160" t="s">
        <v>79</v>
      </c>
      <c r="G143" s="211" t="str" cm="1">
        <f t="array" ref="G143">IF(INDEX('3. Plano_Detalhado'!$A$10:$H$197,MATCH(1,($E143='3. Plano_Detalhado'!$E$10:$E$197)*($F143='3. Plano_Detalhado'!$F$10:$F$197)*($C143='3. Plano_Detalhado'!$A$10:$A$197),0),7)="","",INDEX('3. Plano_Detalhado'!$A$10:$H$197,MATCH(1,($E143='3. Plano_Detalhado'!$E$10:$E$197)*($F143='3. Plano_Detalhado'!$F$10:$F$197)*($C143='3. Plano_Detalhado'!$A$10:$A$197),0),7))</f>
        <v/>
      </c>
      <c r="H143" s="190" t="str" cm="1">
        <f t="array" ref="H143">IF(INDEX('3. Plano_Detalhado'!$A$10:$H$197,MATCH(1,($E143='3. Plano_Detalhado'!$E$10:$E$197)*($F143='3. Plano_Detalhado'!$F$10:$F$197)*($C143='3. Plano_Detalhado'!$A$10:$A$197),0),8)="","",INDEX('3. Plano_Detalhado'!$A$10:$H$197,MATCH(1,($E143='3. Plano_Detalhado'!$E$10:$E$197)*($F143='3. Plano_Detalhado'!$F$10:$F$197)*($C143='3. Plano_Detalhado'!$A$10:$A$197),0),8))</f>
        <v/>
      </c>
      <c r="I143" s="26" t="str" cm="1">
        <f t="array" ref="I143">IF(INDEX('3. Plano_Detalhado'!$A$10:$Q$196,MATCH(1,($E143='3. Plano_Detalhado'!$E$10:$E$196)*($F143='3. Plano_Detalhado'!$F$10:$F$196)*($C143='3. Plano_Detalhado'!$A$10:$A$196),0),17)="","",INDEX('3. Plano_Detalhado'!$A$10:$Q$196,MATCH(1,($E143='3. Plano_Detalhado'!$E$10:$E$196)*($F143='3. Plano_Detalhado'!$F$10:$F$196)*($C143='3. Plano_Detalhado'!$A$10:$A$196),0),17))</f>
        <v/>
      </c>
      <c r="J143" s="191"/>
      <c r="K143" s="192"/>
      <c r="L143" s="192"/>
      <c r="M143" s="192"/>
      <c r="N143" s="192"/>
    </row>
    <row r="144" spans="1:14" ht="16.399999999999999" hidden="1" customHeight="1">
      <c r="A144" s="2"/>
      <c r="B144" s="48" t="s">
        <v>35</v>
      </c>
      <c r="C144" s="209" t="s">
        <v>381</v>
      </c>
      <c r="D144" s="26" t="str" cm="1">
        <f t="array" ref="D144">INDEX('3. Plano_Detalhado'!$A$10:$H$197,MATCH(1,($E144='3. Plano_Detalhado'!$E$10:$E$197)*($F144='3. Plano_Detalhado'!$F$10:$F$197)*($C144='3. Plano_Detalhado'!$A$10:$A$197),0),4)</f>
        <v>2. Campo</v>
      </c>
      <c r="E144" s="207" t="s">
        <v>29</v>
      </c>
      <c r="F144" s="26" t="s">
        <v>60</v>
      </c>
      <c r="G144" s="208" t="str" cm="1">
        <f t="array" ref="G144">IF(INDEX('3. Plano_Detalhado'!$A$10:$H$197,MATCH(1,($E144='3. Plano_Detalhado'!$E$10:$E$197)*($F144='3. Plano_Detalhado'!$F$10:$F$197)*($C144='3. Plano_Detalhado'!$A$10:$A$197),0),7)="","",INDEX('3. Plano_Detalhado'!$A$10:$H$197,MATCH(1,($E144='3. Plano_Detalhado'!$E$10:$E$197)*($F144='3. Plano_Detalhado'!$F$10:$F$197)*($C144='3. Plano_Detalhado'!$A$10:$A$197),0),7))</f>
        <v/>
      </c>
      <c r="H144" s="186" t="str" cm="1">
        <f t="array" ref="H144">IF(INDEX('3. Plano_Detalhado'!$A$10:$H$197,MATCH(1,($E144='3. Plano_Detalhado'!$E$10:$E$197)*($F144='3. Plano_Detalhado'!$F$10:$F$197)*($C144='3. Plano_Detalhado'!$A$10:$A$197),0),8)="","",INDEX('3. Plano_Detalhado'!$A$10:$H$197,MATCH(1,($E144='3. Plano_Detalhado'!$E$10:$E$197)*($F144='3. Plano_Detalhado'!$F$10:$F$197)*($C144='3. Plano_Detalhado'!$A$10:$A$197),0),8))</f>
        <v/>
      </c>
      <c r="I144" s="26" t="str" cm="1">
        <f t="array" ref="I144">IF(INDEX('3. Plano_Detalhado'!$A$10:$Q$196,MATCH(1,($E144='3. Plano_Detalhado'!$E$10:$E$196)*($F144='3. Plano_Detalhado'!$F$10:$F$196)*($C144='3. Plano_Detalhado'!$A$10:$A$196),0),17)="","",INDEX('3. Plano_Detalhado'!$A$10:$Q$196,MATCH(1,($E144='3. Plano_Detalhado'!$E$10:$E$196)*($F144='3. Plano_Detalhado'!$F$10:$F$196)*($C144='3. Plano_Detalhado'!$A$10:$A$196),0),17))</f>
        <v/>
      </c>
      <c r="J144" s="187"/>
      <c r="K144" s="188"/>
      <c r="L144" s="188"/>
      <c r="M144" s="188"/>
      <c r="N144" s="188"/>
    </row>
    <row r="145" spans="1:14" ht="16.399999999999999" hidden="1" customHeight="1">
      <c r="A145" s="2"/>
      <c r="B145" s="48" t="s">
        <v>35</v>
      </c>
      <c r="C145" s="209" t="s">
        <v>381</v>
      </c>
      <c r="D145" s="26" t="str" cm="1">
        <f t="array" ref="D145">INDEX('3. Plano_Detalhado'!$A$10:$H$197,MATCH(1,($E145='3. Plano_Detalhado'!$E$10:$E$197)*($F145='3. Plano_Detalhado'!$F$10:$F$197)*($C145='3. Plano_Detalhado'!$A$10:$A$197),0),4)</f>
        <v>2. Campo</v>
      </c>
      <c r="E145" s="207" t="s">
        <v>29</v>
      </c>
      <c r="F145" s="26" t="s">
        <v>80</v>
      </c>
      <c r="G145" s="208" t="str" cm="1">
        <f t="array" ref="G145">IF(INDEX('3. Plano_Detalhado'!$A$10:$H$197,MATCH(1,($E145='3. Plano_Detalhado'!$E$10:$E$197)*($F145='3. Plano_Detalhado'!$F$10:$F$197)*($C145='3. Plano_Detalhado'!$A$10:$A$197),0),7)="","",INDEX('3. Plano_Detalhado'!$A$10:$H$197,MATCH(1,($E145='3. Plano_Detalhado'!$E$10:$E$197)*($F145='3. Plano_Detalhado'!$F$10:$F$197)*($C145='3. Plano_Detalhado'!$A$10:$A$197),0),7))</f>
        <v/>
      </c>
      <c r="H145" s="186" t="str" cm="1">
        <f t="array" ref="H145">IF(INDEX('3. Plano_Detalhado'!$A$10:$H$197,MATCH(1,($E145='3. Plano_Detalhado'!$E$10:$E$197)*($F145='3. Plano_Detalhado'!$F$10:$F$197)*($C145='3. Plano_Detalhado'!$A$10:$A$197),0),8)="","",INDEX('3. Plano_Detalhado'!$A$10:$H$197,MATCH(1,($E145='3. Plano_Detalhado'!$E$10:$E$197)*($F145='3. Plano_Detalhado'!$F$10:$F$197)*($C145='3. Plano_Detalhado'!$A$10:$A$197),0),8))</f>
        <v/>
      </c>
      <c r="I145" s="26" t="str" cm="1">
        <f t="array" ref="I145">IF(INDEX('3. Plano_Detalhado'!$A$10:$Q$196,MATCH(1,($E145='3. Plano_Detalhado'!$E$10:$E$196)*($F145='3. Plano_Detalhado'!$F$10:$F$196)*($C145='3. Plano_Detalhado'!$A$10:$A$196),0),17)="","",INDEX('3. Plano_Detalhado'!$A$10:$Q$196,MATCH(1,($E145='3. Plano_Detalhado'!$E$10:$E$196)*($F145='3. Plano_Detalhado'!$F$10:$F$196)*($C145='3. Plano_Detalhado'!$A$10:$A$196),0),17))</f>
        <v/>
      </c>
      <c r="J145" s="187"/>
      <c r="K145" s="188"/>
      <c r="L145" s="188"/>
      <c r="M145" s="188"/>
      <c r="N145" s="188"/>
    </row>
    <row r="146" spans="1:14" ht="16.399999999999999" hidden="1" customHeight="1">
      <c r="A146" s="2"/>
      <c r="B146" s="48" t="s">
        <v>35</v>
      </c>
      <c r="C146" s="209" t="s">
        <v>381</v>
      </c>
      <c r="D146" s="26" t="str" cm="1">
        <f t="array" ref="D146">INDEX('3. Plano_Detalhado'!$A$10:$H$197,MATCH(1,($E146='3. Plano_Detalhado'!$E$10:$E$197)*($F146='3. Plano_Detalhado'!$F$10:$F$197)*($C146='3. Plano_Detalhado'!$A$10:$A$197),0),4)</f>
        <v>2. Campo</v>
      </c>
      <c r="E146" s="207" t="s">
        <v>29</v>
      </c>
      <c r="F146" s="26" t="s">
        <v>81</v>
      </c>
      <c r="G146" s="208" t="str" cm="1">
        <f t="array" ref="G146">IF(INDEX('3. Plano_Detalhado'!$A$10:$H$197,MATCH(1,($E146='3. Plano_Detalhado'!$E$10:$E$197)*($F146='3. Plano_Detalhado'!$F$10:$F$197)*($C146='3. Plano_Detalhado'!$A$10:$A$197),0),7)="","",INDEX('3. Plano_Detalhado'!$A$10:$H$197,MATCH(1,($E146='3. Plano_Detalhado'!$E$10:$E$197)*($F146='3. Plano_Detalhado'!$F$10:$F$197)*($C146='3. Plano_Detalhado'!$A$10:$A$197),0),7))</f>
        <v/>
      </c>
      <c r="H146" s="186" t="str" cm="1">
        <f t="array" ref="H146">IF(INDEX('3. Plano_Detalhado'!$A$10:$H$197,MATCH(1,($E146='3. Plano_Detalhado'!$E$10:$E$197)*($F146='3. Plano_Detalhado'!$F$10:$F$197)*($C146='3. Plano_Detalhado'!$A$10:$A$197),0),8)="","",INDEX('3. Plano_Detalhado'!$A$10:$H$197,MATCH(1,($E146='3. Plano_Detalhado'!$E$10:$E$197)*($F146='3. Plano_Detalhado'!$F$10:$F$197)*($C146='3. Plano_Detalhado'!$A$10:$A$197),0),8))</f>
        <v/>
      </c>
      <c r="I146" s="26" t="str" cm="1">
        <f t="array" ref="I146">IF(INDEX('3. Plano_Detalhado'!$A$10:$Q$196,MATCH(1,($E146='3. Plano_Detalhado'!$E$10:$E$196)*($F146='3. Plano_Detalhado'!$F$10:$F$196)*($C146='3. Plano_Detalhado'!$A$10:$A$196),0),17)="","",INDEX('3. Plano_Detalhado'!$A$10:$Q$196,MATCH(1,($E146='3. Plano_Detalhado'!$E$10:$E$196)*($F146='3. Plano_Detalhado'!$F$10:$F$196)*($C146='3. Plano_Detalhado'!$A$10:$A$196),0),17))</f>
        <v/>
      </c>
      <c r="J146" s="187"/>
      <c r="K146" s="188"/>
      <c r="L146" s="188"/>
      <c r="M146" s="188"/>
      <c r="N146" s="188"/>
    </row>
    <row r="147" spans="1:14" ht="16.399999999999999" hidden="1" customHeight="1">
      <c r="A147" s="2"/>
      <c r="B147" s="48" t="s">
        <v>35</v>
      </c>
      <c r="C147" s="209" t="s">
        <v>381</v>
      </c>
      <c r="D147" s="26" t="str" cm="1">
        <f t="array" ref="D147">INDEX('3. Plano_Detalhado'!$A$10:$H$197,MATCH(1,($E147='3. Plano_Detalhado'!$E$10:$E$197)*($F147='3. Plano_Detalhado'!$F$10:$F$197)*($C147='3. Plano_Detalhado'!$A$10:$A$197),0),4)</f>
        <v>2. Campo</v>
      </c>
      <c r="E147" s="207" t="s">
        <v>29</v>
      </c>
      <c r="F147" s="26" t="s">
        <v>82</v>
      </c>
      <c r="G147" s="208" t="str" cm="1">
        <f t="array" ref="G147">IF(INDEX('3. Plano_Detalhado'!$A$10:$H$197,MATCH(1,($E147='3. Plano_Detalhado'!$E$10:$E$197)*($F147='3. Plano_Detalhado'!$F$10:$F$197)*($C147='3. Plano_Detalhado'!$A$10:$A$197),0),7)="","",INDEX('3. Plano_Detalhado'!$A$10:$H$197,MATCH(1,($E147='3. Plano_Detalhado'!$E$10:$E$197)*($F147='3. Plano_Detalhado'!$F$10:$F$197)*($C147='3. Plano_Detalhado'!$A$10:$A$197),0),7))</f>
        <v/>
      </c>
      <c r="H147" s="186" t="str" cm="1">
        <f t="array" ref="H147">IF(INDEX('3. Plano_Detalhado'!$A$10:$H$197,MATCH(1,($E147='3. Plano_Detalhado'!$E$10:$E$197)*($F147='3. Plano_Detalhado'!$F$10:$F$197)*($C147='3. Plano_Detalhado'!$A$10:$A$197),0),8)="","",INDEX('3. Plano_Detalhado'!$A$10:$H$197,MATCH(1,($E147='3. Plano_Detalhado'!$E$10:$E$197)*($F147='3. Plano_Detalhado'!$F$10:$F$197)*($C147='3. Plano_Detalhado'!$A$10:$A$197),0),8))</f>
        <v/>
      </c>
      <c r="I147" s="26" t="str" cm="1">
        <f t="array" ref="I147">IF(INDEX('3. Plano_Detalhado'!$A$10:$Q$196,MATCH(1,($E147='3. Plano_Detalhado'!$E$10:$E$196)*($F147='3. Plano_Detalhado'!$F$10:$F$196)*($C147='3. Plano_Detalhado'!$A$10:$A$196),0),17)="","",INDEX('3. Plano_Detalhado'!$A$10:$Q$196,MATCH(1,($E147='3. Plano_Detalhado'!$E$10:$E$196)*($F147='3. Plano_Detalhado'!$F$10:$F$196)*($C147='3. Plano_Detalhado'!$A$10:$A$196),0),17))</f>
        <v/>
      </c>
      <c r="J147" s="187"/>
      <c r="K147" s="188"/>
      <c r="L147" s="188"/>
      <c r="M147" s="188"/>
      <c r="N147" s="188"/>
    </row>
    <row r="148" spans="1:14" ht="16.399999999999999" hidden="1" customHeight="1">
      <c r="A148" s="2"/>
      <c r="B148" s="48" t="s">
        <v>35</v>
      </c>
      <c r="C148" s="209" t="s">
        <v>381</v>
      </c>
      <c r="D148" s="26" t="str" cm="1">
        <f t="array" ref="D148">INDEX('3. Plano_Detalhado'!$A$10:$H$197,MATCH(1,($E148='3. Plano_Detalhado'!$E$10:$E$197)*($F148='3. Plano_Detalhado'!$F$10:$F$197)*($C148='3. Plano_Detalhado'!$A$10:$A$197),0),4)</f>
        <v>2. Campo</v>
      </c>
      <c r="E148" s="207" t="s">
        <v>29</v>
      </c>
      <c r="F148" s="26" t="s">
        <v>83</v>
      </c>
      <c r="G148" s="208" t="str" cm="1">
        <f t="array" ref="G148">IF(INDEX('3. Plano_Detalhado'!$A$10:$H$197,MATCH(1,($E148='3. Plano_Detalhado'!$E$10:$E$197)*($F148='3. Plano_Detalhado'!$F$10:$F$197)*($C148='3. Plano_Detalhado'!$A$10:$A$197),0),7)="","",INDEX('3. Plano_Detalhado'!$A$10:$H$197,MATCH(1,($E148='3. Plano_Detalhado'!$E$10:$E$197)*($F148='3. Plano_Detalhado'!$F$10:$F$197)*($C148='3. Plano_Detalhado'!$A$10:$A$197),0),7))</f>
        <v/>
      </c>
      <c r="H148" s="186" t="str" cm="1">
        <f t="array" ref="H148">IF(INDEX('3. Plano_Detalhado'!$A$10:$H$197,MATCH(1,($E148='3. Plano_Detalhado'!$E$10:$E$197)*($F148='3. Plano_Detalhado'!$F$10:$F$197)*($C148='3. Plano_Detalhado'!$A$10:$A$197),0),8)="","",INDEX('3. Plano_Detalhado'!$A$10:$H$197,MATCH(1,($E148='3. Plano_Detalhado'!$E$10:$E$197)*($F148='3. Plano_Detalhado'!$F$10:$F$197)*($C148='3. Plano_Detalhado'!$A$10:$A$197),0),8))</f>
        <v/>
      </c>
      <c r="I148" s="26" t="str" cm="1">
        <f t="array" ref="I148">IF(INDEX('3. Plano_Detalhado'!$A$10:$Q$196,MATCH(1,($E148='3. Plano_Detalhado'!$E$10:$E$196)*($F148='3. Plano_Detalhado'!$F$10:$F$196)*($C148='3. Plano_Detalhado'!$A$10:$A$196),0),17)="","",INDEX('3. Plano_Detalhado'!$A$10:$Q$196,MATCH(1,($E148='3. Plano_Detalhado'!$E$10:$E$196)*($F148='3. Plano_Detalhado'!$F$10:$F$196)*($C148='3. Plano_Detalhado'!$A$10:$A$196),0),17))</f>
        <v/>
      </c>
      <c r="J148" s="187"/>
      <c r="K148" s="188"/>
      <c r="L148" s="188"/>
      <c r="M148" s="188"/>
      <c r="N148" s="188"/>
    </row>
    <row r="149" spans="1:14" ht="16.399999999999999" hidden="1" customHeight="1">
      <c r="A149" s="2"/>
      <c r="B149" s="48" t="s">
        <v>35</v>
      </c>
      <c r="C149" s="209" t="s">
        <v>381</v>
      </c>
      <c r="D149" s="26" t="str" cm="1">
        <f t="array" ref="D149">INDEX('3. Plano_Detalhado'!$A$10:$H$197,MATCH(1,($E149='3. Plano_Detalhado'!$E$10:$E$197)*($F149='3. Plano_Detalhado'!$F$10:$F$197)*($C149='3. Plano_Detalhado'!$A$10:$A$197),0),4)</f>
        <v>2. Campo</v>
      </c>
      <c r="E149" s="207" t="s">
        <v>29</v>
      </c>
      <c r="F149" s="26" t="s">
        <v>61</v>
      </c>
      <c r="G149" s="208" t="str" cm="1">
        <f t="array" ref="G149">IF(INDEX('3. Plano_Detalhado'!$A$10:$H$197,MATCH(1,($E149='3. Plano_Detalhado'!$E$10:$E$197)*($F149='3. Plano_Detalhado'!$F$10:$F$197)*($C149='3. Plano_Detalhado'!$A$10:$A$197),0),7)="","",INDEX('3. Plano_Detalhado'!$A$10:$H$197,MATCH(1,($E149='3. Plano_Detalhado'!$E$10:$E$197)*($F149='3. Plano_Detalhado'!$F$10:$F$197)*($C149='3. Plano_Detalhado'!$A$10:$A$197),0),7))</f>
        <v/>
      </c>
      <c r="H149" s="186" t="str" cm="1">
        <f t="array" ref="H149">IF(INDEX('3. Plano_Detalhado'!$A$10:$H$197,MATCH(1,($E149='3. Plano_Detalhado'!$E$10:$E$197)*($F149='3. Plano_Detalhado'!$F$10:$F$197)*($C149='3. Plano_Detalhado'!$A$10:$A$197),0),8)="","",INDEX('3. Plano_Detalhado'!$A$10:$H$197,MATCH(1,($E149='3. Plano_Detalhado'!$E$10:$E$197)*($F149='3. Plano_Detalhado'!$F$10:$F$197)*($C149='3. Plano_Detalhado'!$A$10:$A$197),0),8))</f>
        <v/>
      </c>
      <c r="I149" s="26" t="str" cm="1">
        <f t="array" ref="I149">IF(INDEX('3. Plano_Detalhado'!$A$10:$Q$196,MATCH(1,($E149='3. Plano_Detalhado'!$E$10:$E$196)*($F149='3. Plano_Detalhado'!$F$10:$F$196)*($C149='3. Plano_Detalhado'!$A$10:$A$196),0),17)="","",INDEX('3. Plano_Detalhado'!$A$10:$Q$196,MATCH(1,($E149='3. Plano_Detalhado'!$E$10:$E$196)*($F149='3. Plano_Detalhado'!$F$10:$F$196)*($C149='3. Plano_Detalhado'!$A$10:$A$196),0),17))</f>
        <v/>
      </c>
      <c r="J149" s="187"/>
      <c r="K149" s="188"/>
      <c r="L149" s="188"/>
      <c r="M149" s="188"/>
      <c r="N149" s="188"/>
    </row>
    <row r="150" spans="1:14" ht="16.399999999999999" hidden="1" customHeight="1">
      <c r="A150" s="2"/>
      <c r="B150" s="48" t="s">
        <v>35</v>
      </c>
      <c r="C150" s="209" t="s">
        <v>381</v>
      </c>
      <c r="D150" s="26" t="str" cm="1">
        <f t="array" ref="D150">INDEX('3. Plano_Detalhado'!$A$10:$H$197,MATCH(1,($E150='3. Plano_Detalhado'!$E$10:$E$197)*($F150='3. Plano_Detalhado'!$F$10:$F$197)*($C150='3. Plano_Detalhado'!$A$10:$A$197),0),4)</f>
        <v>2. Campo</v>
      </c>
      <c r="E150" s="207" t="s">
        <v>29</v>
      </c>
      <c r="F150" s="26" t="s">
        <v>84</v>
      </c>
      <c r="G150" s="208" t="str" cm="1">
        <f t="array" ref="G150">IF(INDEX('3. Plano_Detalhado'!$A$10:$H$197,MATCH(1,($E150='3. Plano_Detalhado'!$E$10:$E$197)*($F150='3. Plano_Detalhado'!$F$10:$F$197)*($C150='3. Plano_Detalhado'!$A$10:$A$197),0),7)="","",INDEX('3. Plano_Detalhado'!$A$10:$H$197,MATCH(1,($E150='3. Plano_Detalhado'!$E$10:$E$197)*($F150='3. Plano_Detalhado'!$F$10:$F$197)*($C150='3. Plano_Detalhado'!$A$10:$A$197),0),7))</f>
        <v/>
      </c>
      <c r="H150" s="186" t="str" cm="1">
        <f t="array" ref="H150">IF(INDEX('3. Plano_Detalhado'!$A$10:$H$197,MATCH(1,($E150='3. Plano_Detalhado'!$E$10:$E$197)*($F150='3. Plano_Detalhado'!$F$10:$F$197)*($C150='3. Plano_Detalhado'!$A$10:$A$197),0),8)="","",INDEX('3. Plano_Detalhado'!$A$10:$H$197,MATCH(1,($E150='3. Plano_Detalhado'!$E$10:$E$197)*($F150='3. Plano_Detalhado'!$F$10:$F$197)*($C150='3. Plano_Detalhado'!$A$10:$A$197),0),8))</f>
        <v/>
      </c>
      <c r="I150" s="26" t="str" cm="1">
        <f t="array" ref="I150">IF(INDEX('3. Plano_Detalhado'!$A$10:$Q$196,MATCH(1,($E150='3. Plano_Detalhado'!$E$10:$E$196)*($F150='3. Plano_Detalhado'!$F$10:$F$196)*($C150='3. Plano_Detalhado'!$A$10:$A$196),0),17)="","",INDEX('3. Plano_Detalhado'!$A$10:$Q$196,MATCH(1,($E150='3. Plano_Detalhado'!$E$10:$E$196)*($F150='3. Plano_Detalhado'!$F$10:$F$196)*($C150='3. Plano_Detalhado'!$A$10:$A$196),0),17))</f>
        <v/>
      </c>
      <c r="J150" s="187"/>
      <c r="K150" s="188"/>
      <c r="L150" s="188"/>
      <c r="M150" s="188"/>
      <c r="N150" s="188"/>
    </row>
    <row r="151" spans="1:14" ht="16.399999999999999" hidden="1" customHeight="1">
      <c r="A151" s="2"/>
      <c r="B151" s="48" t="s">
        <v>35</v>
      </c>
      <c r="C151" s="209" t="s">
        <v>381</v>
      </c>
      <c r="D151" s="26" t="str" cm="1">
        <f t="array" ref="D151">INDEX('3. Plano_Detalhado'!$A$10:$H$197,MATCH(1,($E151='3. Plano_Detalhado'!$E$10:$E$197)*($F151='3. Plano_Detalhado'!$F$10:$F$197)*($C151='3. Plano_Detalhado'!$A$10:$A$197),0),4)</f>
        <v>2. Campo</v>
      </c>
      <c r="E151" s="207" t="s">
        <v>29</v>
      </c>
      <c r="F151" s="26" t="s">
        <v>85</v>
      </c>
      <c r="G151" s="208" t="str" cm="1">
        <f t="array" ref="G151">IF(INDEX('3. Plano_Detalhado'!$A$10:$H$197,MATCH(1,($E151='3. Plano_Detalhado'!$E$10:$E$197)*($F151='3. Plano_Detalhado'!$F$10:$F$197)*($C151='3. Plano_Detalhado'!$A$10:$A$197),0),7)="","",INDEX('3. Plano_Detalhado'!$A$10:$H$197,MATCH(1,($E151='3. Plano_Detalhado'!$E$10:$E$197)*($F151='3. Plano_Detalhado'!$F$10:$F$197)*($C151='3. Plano_Detalhado'!$A$10:$A$197),0),7))</f>
        <v/>
      </c>
      <c r="H151" s="186" t="str" cm="1">
        <f t="array" ref="H151">IF(INDEX('3. Plano_Detalhado'!$A$10:$H$197,MATCH(1,($E151='3. Plano_Detalhado'!$E$10:$E$197)*($F151='3. Plano_Detalhado'!$F$10:$F$197)*($C151='3. Plano_Detalhado'!$A$10:$A$197),0),8)="","",INDEX('3. Plano_Detalhado'!$A$10:$H$197,MATCH(1,($E151='3. Plano_Detalhado'!$E$10:$E$197)*($F151='3. Plano_Detalhado'!$F$10:$F$197)*($C151='3. Plano_Detalhado'!$A$10:$A$197),0),8))</f>
        <v/>
      </c>
      <c r="I151" s="26" t="str" cm="1">
        <f t="array" ref="I151">IF(INDEX('3. Plano_Detalhado'!$A$10:$Q$196,MATCH(1,($E151='3. Plano_Detalhado'!$E$10:$E$196)*($F151='3. Plano_Detalhado'!$F$10:$F$196)*($C151='3. Plano_Detalhado'!$A$10:$A$196),0),17)="","",INDEX('3. Plano_Detalhado'!$A$10:$Q$196,MATCH(1,($E151='3. Plano_Detalhado'!$E$10:$E$196)*($F151='3. Plano_Detalhado'!$F$10:$F$196)*($C151='3. Plano_Detalhado'!$A$10:$A$196),0),17))</f>
        <v/>
      </c>
      <c r="J151" s="187"/>
      <c r="K151" s="188"/>
      <c r="L151" s="188"/>
      <c r="M151" s="188"/>
      <c r="N151" s="188"/>
    </row>
    <row r="152" spans="1:14" ht="16.399999999999999" hidden="1" customHeight="1">
      <c r="A152" s="2"/>
      <c r="B152" s="48" t="s">
        <v>35</v>
      </c>
      <c r="C152" s="209" t="s">
        <v>381</v>
      </c>
      <c r="D152" s="26" t="str" cm="1">
        <f t="array" ref="D152">INDEX('3. Plano_Detalhado'!$A$10:$H$197,MATCH(1,($E152='3. Plano_Detalhado'!$E$10:$E$197)*($F152='3. Plano_Detalhado'!$F$10:$F$197)*($C152='3. Plano_Detalhado'!$A$10:$A$197),0),4)</f>
        <v>2. Campo</v>
      </c>
      <c r="E152" s="207" t="s">
        <v>29</v>
      </c>
      <c r="F152" s="26" t="s">
        <v>86</v>
      </c>
      <c r="G152" s="208" t="str" cm="1">
        <f t="array" ref="G152">IF(INDEX('3. Plano_Detalhado'!$A$10:$H$197,MATCH(1,($E152='3. Plano_Detalhado'!$E$10:$E$197)*($F152='3. Plano_Detalhado'!$F$10:$F$197)*($C152='3. Plano_Detalhado'!$A$10:$A$197),0),7)="","",INDEX('3. Plano_Detalhado'!$A$10:$H$197,MATCH(1,($E152='3. Plano_Detalhado'!$E$10:$E$197)*($F152='3. Plano_Detalhado'!$F$10:$F$197)*($C152='3. Plano_Detalhado'!$A$10:$A$197),0),7))</f>
        <v/>
      </c>
      <c r="H152" s="186" t="str" cm="1">
        <f t="array" ref="H152">IF(INDEX('3. Plano_Detalhado'!$A$10:$H$197,MATCH(1,($E152='3. Plano_Detalhado'!$E$10:$E$197)*($F152='3. Plano_Detalhado'!$F$10:$F$197)*($C152='3. Plano_Detalhado'!$A$10:$A$197),0),8)="","",INDEX('3. Plano_Detalhado'!$A$10:$H$197,MATCH(1,($E152='3. Plano_Detalhado'!$E$10:$E$197)*($F152='3. Plano_Detalhado'!$F$10:$F$197)*($C152='3. Plano_Detalhado'!$A$10:$A$197),0),8))</f>
        <v/>
      </c>
      <c r="I152" s="26" t="str" cm="1">
        <f t="array" ref="I152">IF(INDEX('3. Plano_Detalhado'!$A$10:$Q$196,MATCH(1,($E152='3. Plano_Detalhado'!$E$10:$E$196)*($F152='3. Plano_Detalhado'!$F$10:$F$196)*($C152='3. Plano_Detalhado'!$A$10:$A$196),0),17)="","",INDEX('3. Plano_Detalhado'!$A$10:$Q$196,MATCH(1,($E152='3. Plano_Detalhado'!$E$10:$E$196)*($F152='3. Plano_Detalhado'!$F$10:$F$196)*($C152='3. Plano_Detalhado'!$A$10:$A$196),0),17))</f>
        <v/>
      </c>
      <c r="J152" s="187"/>
      <c r="K152" s="188"/>
      <c r="L152" s="188"/>
      <c r="M152" s="188"/>
      <c r="N152" s="188"/>
    </row>
    <row r="153" spans="1:14" ht="16.399999999999999" hidden="1" customHeight="1">
      <c r="A153" s="2"/>
      <c r="B153" s="48" t="s">
        <v>35</v>
      </c>
      <c r="C153" s="209" t="s">
        <v>381</v>
      </c>
      <c r="D153" s="26" t="str" cm="1">
        <f t="array" ref="D153">INDEX('3. Plano_Detalhado'!$A$10:$H$197,MATCH(1,($E153='3. Plano_Detalhado'!$E$10:$E$197)*($F153='3. Plano_Detalhado'!$F$10:$F$197)*($C153='3. Plano_Detalhado'!$A$10:$A$197),0),4)</f>
        <v>2. Campo</v>
      </c>
      <c r="E153" s="207" t="s">
        <v>29</v>
      </c>
      <c r="F153" s="26" t="s">
        <v>90</v>
      </c>
      <c r="G153" s="208" t="str" cm="1">
        <f t="array" ref="G153">IF(INDEX('3. Plano_Detalhado'!$A$10:$H$197,MATCH(1,($E153='3. Plano_Detalhado'!$E$10:$E$197)*($F153='3. Plano_Detalhado'!$F$10:$F$197)*($C153='3. Plano_Detalhado'!$A$10:$A$197),0),7)="","",INDEX('3. Plano_Detalhado'!$A$10:$H$197,MATCH(1,($E153='3. Plano_Detalhado'!$E$10:$E$197)*($F153='3. Plano_Detalhado'!$F$10:$F$197)*($C153='3. Plano_Detalhado'!$A$10:$A$197),0),7))</f>
        <v/>
      </c>
      <c r="H153" s="186" t="str" cm="1">
        <f t="array" ref="H153">IF(INDEX('3. Plano_Detalhado'!$A$10:$H$197,MATCH(1,($E153='3. Plano_Detalhado'!$E$10:$E$197)*($F153='3. Plano_Detalhado'!$F$10:$F$197)*($C153='3. Plano_Detalhado'!$A$10:$A$197),0),8)="","",INDEX('3. Plano_Detalhado'!$A$10:$H$197,MATCH(1,($E153='3. Plano_Detalhado'!$E$10:$E$197)*($F153='3. Plano_Detalhado'!$F$10:$F$197)*($C153='3. Plano_Detalhado'!$A$10:$A$197),0),8))</f>
        <v/>
      </c>
      <c r="I153" s="26" t="str" cm="1">
        <f t="array" ref="I153">IF(INDEX('3. Plano_Detalhado'!$A$10:$Q$196,MATCH(1,($E153='3. Plano_Detalhado'!$E$10:$E$196)*($F153='3. Plano_Detalhado'!$F$10:$F$196)*($C153='3. Plano_Detalhado'!$A$10:$A$196),0),17)="","",INDEX('3. Plano_Detalhado'!$A$10:$Q$196,MATCH(1,($E153='3. Plano_Detalhado'!$E$10:$E$196)*($F153='3. Plano_Detalhado'!$F$10:$F$196)*($C153='3. Plano_Detalhado'!$A$10:$A$196),0),17))</f>
        <v/>
      </c>
      <c r="J153" s="187"/>
      <c r="K153" s="188"/>
      <c r="L153" s="188"/>
      <c r="M153" s="188"/>
      <c r="N153" s="188"/>
    </row>
    <row r="154" spans="1:14" ht="16.399999999999999" hidden="1" customHeight="1">
      <c r="A154" s="2"/>
      <c r="B154" s="48" t="s">
        <v>35</v>
      </c>
      <c r="C154" s="209" t="s">
        <v>381</v>
      </c>
      <c r="D154" s="26" t="str" cm="1">
        <f t="array" ref="D154">INDEX('3. Plano_Detalhado'!$A$10:$H$197,MATCH(1,($E154='3. Plano_Detalhado'!$E$10:$E$197)*($F154='3. Plano_Detalhado'!$F$10:$F$197)*($C154='3. Plano_Detalhado'!$A$10:$A$197),0),4)</f>
        <v>2. Campo</v>
      </c>
      <c r="E154" s="207" t="s">
        <v>29</v>
      </c>
      <c r="F154" s="26" t="s">
        <v>92</v>
      </c>
      <c r="G154" s="208" t="str" cm="1">
        <f t="array" ref="G154">IF(INDEX('3. Plano_Detalhado'!$A$10:$H$197,MATCH(1,($E154='3. Plano_Detalhado'!$E$10:$E$197)*($F154='3. Plano_Detalhado'!$F$10:$F$197)*($C154='3. Plano_Detalhado'!$A$10:$A$197),0),7)="","",INDEX('3. Plano_Detalhado'!$A$10:$H$197,MATCH(1,($E154='3. Plano_Detalhado'!$E$10:$E$197)*($F154='3. Plano_Detalhado'!$F$10:$F$197)*($C154='3. Plano_Detalhado'!$A$10:$A$197),0),7))</f>
        <v/>
      </c>
      <c r="H154" s="186" t="str" cm="1">
        <f t="array" ref="H154">IF(INDEX('3. Plano_Detalhado'!$A$10:$H$197,MATCH(1,($E154='3. Plano_Detalhado'!$E$10:$E$197)*($F154='3. Plano_Detalhado'!$F$10:$F$197)*($C154='3. Plano_Detalhado'!$A$10:$A$197),0),8)="","",INDEX('3. Plano_Detalhado'!$A$10:$H$197,MATCH(1,($E154='3. Plano_Detalhado'!$E$10:$E$197)*($F154='3. Plano_Detalhado'!$F$10:$F$197)*($C154='3. Plano_Detalhado'!$A$10:$A$197),0),8))</f>
        <v/>
      </c>
      <c r="I154" s="26" t="str" cm="1">
        <f t="array" ref="I154">IF(INDEX('3. Plano_Detalhado'!$A$10:$Q$196,MATCH(1,($E154='3. Plano_Detalhado'!$E$10:$E$196)*($F154='3. Plano_Detalhado'!$F$10:$F$196)*($C154='3. Plano_Detalhado'!$A$10:$A$196),0),17)="","",INDEX('3. Plano_Detalhado'!$A$10:$Q$196,MATCH(1,($E154='3. Plano_Detalhado'!$E$10:$E$196)*($F154='3. Plano_Detalhado'!$F$10:$F$196)*($C154='3. Plano_Detalhado'!$A$10:$A$196),0),17))</f>
        <v/>
      </c>
      <c r="J154" s="187"/>
      <c r="K154" s="188"/>
      <c r="L154" s="188"/>
      <c r="M154" s="188"/>
      <c r="N154" s="188"/>
    </row>
    <row r="155" spans="1:14" ht="16.399999999999999" hidden="1" customHeight="1">
      <c r="A155" s="2"/>
      <c r="B155" s="48" t="s">
        <v>35</v>
      </c>
      <c r="C155" s="209" t="s">
        <v>381</v>
      </c>
      <c r="D155" s="26" t="str" cm="1">
        <f t="array" ref="D155">INDEX('3. Plano_Detalhado'!$A$10:$H$197,MATCH(1,($E155='3. Plano_Detalhado'!$E$10:$E$197)*($F155='3. Plano_Detalhado'!$F$10:$F$197)*($C155='3. Plano_Detalhado'!$A$10:$A$197),0),4)</f>
        <v>2. Campo</v>
      </c>
      <c r="E155" s="207" t="s">
        <v>29</v>
      </c>
      <c r="F155" s="26" t="s">
        <v>93</v>
      </c>
      <c r="G155" s="208" t="str" cm="1">
        <f t="array" ref="G155">IF(INDEX('3. Plano_Detalhado'!$A$10:$H$197,MATCH(1,($E155='3. Plano_Detalhado'!$E$10:$E$197)*($F155='3. Plano_Detalhado'!$F$10:$F$197)*($C155='3. Plano_Detalhado'!$A$10:$A$197),0),7)="","",INDEX('3. Plano_Detalhado'!$A$10:$H$197,MATCH(1,($E155='3. Plano_Detalhado'!$E$10:$E$197)*($F155='3. Plano_Detalhado'!$F$10:$F$197)*($C155='3. Plano_Detalhado'!$A$10:$A$197),0),7))</f>
        <v/>
      </c>
      <c r="H155" s="186" t="str" cm="1">
        <f t="array" ref="H155">IF(INDEX('3. Plano_Detalhado'!$A$10:$H$197,MATCH(1,($E155='3. Plano_Detalhado'!$E$10:$E$197)*($F155='3. Plano_Detalhado'!$F$10:$F$197)*($C155='3. Plano_Detalhado'!$A$10:$A$197),0),8)="","",INDEX('3. Plano_Detalhado'!$A$10:$H$197,MATCH(1,($E155='3. Plano_Detalhado'!$E$10:$E$197)*($F155='3. Plano_Detalhado'!$F$10:$F$197)*($C155='3. Plano_Detalhado'!$A$10:$A$197),0),8))</f>
        <v/>
      </c>
      <c r="I155" s="26" t="str" cm="1">
        <f t="array" ref="I155">IF(INDEX('3. Plano_Detalhado'!$A$10:$Q$196,MATCH(1,($E155='3. Plano_Detalhado'!$E$10:$E$196)*($F155='3. Plano_Detalhado'!$F$10:$F$196)*($C155='3. Plano_Detalhado'!$A$10:$A$196),0),17)="","",INDEX('3. Plano_Detalhado'!$A$10:$Q$196,MATCH(1,($E155='3. Plano_Detalhado'!$E$10:$E$196)*($F155='3. Plano_Detalhado'!$F$10:$F$196)*($C155='3. Plano_Detalhado'!$A$10:$A$196),0),17))</f>
        <v/>
      </c>
      <c r="J155" s="187"/>
      <c r="K155" s="188"/>
      <c r="L155" s="188"/>
      <c r="M155" s="188"/>
      <c r="N155" s="188"/>
    </row>
    <row r="156" spans="1:14" ht="16.399999999999999" hidden="1" customHeight="1">
      <c r="A156" s="2"/>
      <c r="B156" s="48" t="s">
        <v>35</v>
      </c>
      <c r="C156" s="209" t="s">
        <v>381</v>
      </c>
      <c r="D156" s="26" t="str" cm="1">
        <f t="array" ref="D156">INDEX('3. Plano_Detalhado'!$A$10:$H$197,MATCH(1,($E156='3. Plano_Detalhado'!$E$10:$E$197)*($F156='3. Plano_Detalhado'!$F$10:$F$197)*($C156='3. Plano_Detalhado'!$A$10:$A$197),0),4)</f>
        <v>2. Campo</v>
      </c>
      <c r="E156" s="207" t="s">
        <v>29</v>
      </c>
      <c r="F156" s="26" t="s">
        <v>95</v>
      </c>
      <c r="G156" s="208" t="str" cm="1">
        <f t="array" ref="G156">IF(INDEX('3. Plano_Detalhado'!$A$10:$H$197,MATCH(1,($E156='3. Plano_Detalhado'!$E$10:$E$197)*($F156='3. Plano_Detalhado'!$F$10:$F$197)*($C156='3. Plano_Detalhado'!$A$10:$A$197),0),7)="","",INDEX('3. Plano_Detalhado'!$A$10:$H$197,MATCH(1,($E156='3. Plano_Detalhado'!$E$10:$E$197)*($F156='3. Plano_Detalhado'!$F$10:$F$197)*($C156='3. Plano_Detalhado'!$A$10:$A$197),0),7))</f>
        <v/>
      </c>
      <c r="H156" s="186" t="str" cm="1">
        <f t="array" ref="H156">IF(INDEX('3. Plano_Detalhado'!$A$10:$H$197,MATCH(1,($E156='3. Plano_Detalhado'!$E$10:$E$197)*($F156='3. Plano_Detalhado'!$F$10:$F$197)*($C156='3. Plano_Detalhado'!$A$10:$A$197),0),8)="","",INDEX('3. Plano_Detalhado'!$A$10:$H$197,MATCH(1,($E156='3. Plano_Detalhado'!$E$10:$E$197)*($F156='3. Plano_Detalhado'!$F$10:$F$197)*($C156='3. Plano_Detalhado'!$A$10:$A$197),0),8))</f>
        <v/>
      </c>
      <c r="I156" s="26" t="str" cm="1">
        <f t="array" ref="I156">IF(INDEX('3. Plano_Detalhado'!$A$10:$Q$196,MATCH(1,($E156='3. Plano_Detalhado'!$E$10:$E$196)*($F156='3. Plano_Detalhado'!$F$10:$F$196)*($C156='3. Plano_Detalhado'!$A$10:$A$196),0),17)="","",INDEX('3. Plano_Detalhado'!$A$10:$Q$196,MATCH(1,($E156='3. Plano_Detalhado'!$E$10:$E$196)*($F156='3. Plano_Detalhado'!$F$10:$F$196)*($C156='3. Plano_Detalhado'!$A$10:$A$196),0),17))</f>
        <v/>
      </c>
      <c r="J156" s="187"/>
      <c r="K156" s="188"/>
      <c r="L156" s="188"/>
      <c r="M156" s="188"/>
      <c r="N156" s="188"/>
    </row>
    <row r="157" spans="1:14" ht="16.399999999999999" hidden="1" customHeight="1">
      <c r="A157" s="2"/>
      <c r="B157" s="48" t="s">
        <v>35</v>
      </c>
      <c r="C157" s="209" t="s">
        <v>381</v>
      </c>
      <c r="D157" s="26" t="str" cm="1">
        <f t="array" ref="D157">INDEX('3. Plano_Detalhado'!$A$10:$H$197,MATCH(1,($E157='3. Plano_Detalhado'!$E$10:$E$197)*($F157='3. Plano_Detalhado'!$F$10:$F$197)*($C157='3. Plano_Detalhado'!$A$10:$A$197),0),4)</f>
        <v>2. Campo</v>
      </c>
      <c r="E157" s="207" t="s">
        <v>29</v>
      </c>
      <c r="F157" s="26" t="s">
        <v>96</v>
      </c>
      <c r="G157" s="208" t="str" cm="1">
        <f t="array" ref="G157">IF(INDEX('3. Plano_Detalhado'!$A$10:$H$197,MATCH(1,($E157='3. Plano_Detalhado'!$E$10:$E$197)*($F157='3. Plano_Detalhado'!$F$10:$F$197)*($C157='3. Plano_Detalhado'!$A$10:$A$197),0),7)="","",INDEX('3. Plano_Detalhado'!$A$10:$H$197,MATCH(1,($E157='3. Plano_Detalhado'!$E$10:$E$197)*($F157='3. Plano_Detalhado'!$F$10:$F$197)*($C157='3. Plano_Detalhado'!$A$10:$A$197),0),7))</f>
        <v/>
      </c>
      <c r="H157" s="186" t="str" cm="1">
        <f t="array" ref="H157">IF(INDEX('3. Plano_Detalhado'!$A$10:$H$197,MATCH(1,($E157='3. Plano_Detalhado'!$E$10:$E$197)*($F157='3. Plano_Detalhado'!$F$10:$F$197)*($C157='3. Plano_Detalhado'!$A$10:$A$197),0),8)="","",INDEX('3. Plano_Detalhado'!$A$10:$H$197,MATCH(1,($E157='3. Plano_Detalhado'!$E$10:$E$197)*($F157='3. Plano_Detalhado'!$F$10:$F$197)*($C157='3. Plano_Detalhado'!$A$10:$A$197),0),8))</f>
        <v/>
      </c>
      <c r="I157" s="26" t="str" cm="1">
        <f t="array" ref="I157">IF(INDEX('3. Plano_Detalhado'!$A$10:$Q$196,MATCH(1,($E157='3. Plano_Detalhado'!$E$10:$E$196)*($F157='3. Plano_Detalhado'!$F$10:$F$196)*($C157='3. Plano_Detalhado'!$A$10:$A$196),0),17)="","",INDEX('3. Plano_Detalhado'!$A$10:$Q$196,MATCH(1,($E157='3. Plano_Detalhado'!$E$10:$E$196)*($F157='3. Plano_Detalhado'!$F$10:$F$196)*($C157='3. Plano_Detalhado'!$A$10:$A$196),0),17))</f>
        <v/>
      </c>
      <c r="J157" s="187"/>
      <c r="K157" s="188"/>
      <c r="L157" s="188"/>
      <c r="M157" s="188"/>
      <c r="N157" s="188"/>
    </row>
    <row r="158" spans="1:14" ht="16.399999999999999" hidden="1" customHeight="1">
      <c r="A158" s="2"/>
      <c r="B158" s="48" t="s">
        <v>35</v>
      </c>
      <c r="C158" s="209" t="s">
        <v>381</v>
      </c>
      <c r="D158" s="26" t="str" cm="1">
        <f t="array" ref="D158">INDEX('3. Plano_Detalhado'!$A$10:$H$197,MATCH(1,($E158='3. Plano_Detalhado'!$E$10:$E$197)*($F158='3. Plano_Detalhado'!$F$10:$F$197)*($C158='3. Plano_Detalhado'!$A$10:$A$197),0),4)</f>
        <v>2. Campo</v>
      </c>
      <c r="E158" s="207" t="s">
        <v>29</v>
      </c>
      <c r="F158" s="26" t="s">
        <v>97</v>
      </c>
      <c r="G158" s="208" t="str" cm="1">
        <f t="array" ref="G158">IF(INDEX('3. Plano_Detalhado'!$A$10:$H$197,MATCH(1,($E158='3. Plano_Detalhado'!$E$10:$E$197)*($F158='3. Plano_Detalhado'!$F$10:$F$197)*($C158='3. Plano_Detalhado'!$A$10:$A$197),0),7)="","",INDEX('3. Plano_Detalhado'!$A$10:$H$197,MATCH(1,($E158='3. Plano_Detalhado'!$E$10:$E$197)*($F158='3. Plano_Detalhado'!$F$10:$F$197)*($C158='3. Plano_Detalhado'!$A$10:$A$197),0),7))</f>
        <v/>
      </c>
      <c r="H158" s="186" t="str" cm="1">
        <f t="array" ref="H158">IF(INDEX('3. Plano_Detalhado'!$A$10:$H$197,MATCH(1,($E158='3. Plano_Detalhado'!$E$10:$E$197)*($F158='3. Plano_Detalhado'!$F$10:$F$197)*($C158='3. Plano_Detalhado'!$A$10:$A$197),0),8)="","",INDEX('3. Plano_Detalhado'!$A$10:$H$197,MATCH(1,($E158='3. Plano_Detalhado'!$E$10:$E$197)*($F158='3. Plano_Detalhado'!$F$10:$F$197)*($C158='3. Plano_Detalhado'!$A$10:$A$197),0),8))</f>
        <v/>
      </c>
      <c r="I158" s="26" t="str" cm="1">
        <f t="array" ref="I158">IF(INDEX('3. Plano_Detalhado'!$A$10:$Q$196,MATCH(1,($E158='3. Plano_Detalhado'!$E$10:$E$196)*($F158='3. Plano_Detalhado'!$F$10:$F$196)*($C158='3. Plano_Detalhado'!$A$10:$A$196),0),17)="","",INDEX('3. Plano_Detalhado'!$A$10:$Q$196,MATCH(1,($E158='3. Plano_Detalhado'!$E$10:$E$196)*($F158='3. Plano_Detalhado'!$F$10:$F$196)*($C158='3. Plano_Detalhado'!$A$10:$A$196),0),17))</f>
        <v/>
      </c>
      <c r="J158" s="187"/>
      <c r="K158" s="188"/>
      <c r="L158" s="188"/>
      <c r="M158" s="188"/>
      <c r="N158" s="188"/>
    </row>
    <row r="159" spans="1:14" ht="16.399999999999999" hidden="1" customHeight="1">
      <c r="A159" s="2"/>
      <c r="B159" s="48" t="s">
        <v>35</v>
      </c>
      <c r="C159" s="209" t="s">
        <v>381</v>
      </c>
      <c r="D159" s="26" t="str" cm="1">
        <f t="array" ref="D159">INDEX('3. Plano_Detalhado'!$A$10:$H$197,MATCH(1,($E159='3. Plano_Detalhado'!$E$10:$E$197)*($F159='3. Plano_Detalhado'!$F$10:$F$197)*($C159='3. Plano_Detalhado'!$A$10:$A$197),0),4)</f>
        <v>2. Campo</v>
      </c>
      <c r="E159" s="207" t="s">
        <v>29</v>
      </c>
      <c r="F159" s="26" t="s">
        <v>98</v>
      </c>
      <c r="G159" s="208" t="str" cm="1">
        <f t="array" ref="G159">IF(INDEX('3. Plano_Detalhado'!$A$10:$H$197,MATCH(1,($E159='3. Plano_Detalhado'!$E$10:$E$197)*($F159='3. Plano_Detalhado'!$F$10:$F$197)*($C159='3. Plano_Detalhado'!$A$10:$A$197),0),7)="","",INDEX('3. Plano_Detalhado'!$A$10:$H$197,MATCH(1,($E159='3. Plano_Detalhado'!$E$10:$E$197)*($F159='3. Plano_Detalhado'!$F$10:$F$197)*($C159='3. Plano_Detalhado'!$A$10:$A$197),0),7))</f>
        <v/>
      </c>
      <c r="H159" s="186" t="str" cm="1">
        <f t="array" ref="H159">IF(INDEX('3. Plano_Detalhado'!$A$10:$H$197,MATCH(1,($E159='3. Plano_Detalhado'!$E$10:$E$197)*($F159='3. Plano_Detalhado'!$F$10:$F$197)*($C159='3. Plano_Detalhado'!$A$10:$A$197),0),8)="","",INDEX('3. Plano_Detalhado'!$A$10:$H$197,MATCH(1,($E159='3. Plano_Detalhado'!$E$10:$E$197)*($F159='3. Plano_Detalhado'!$F$10:$F$197)*($C159='3. Plano_Detalhado'!$A$10:$A$197),0),8))</f>
        <v/>
      </c>
      <c r="I159" s="26" t="str" cm="1">
        <f t="array" ref="I159">IF(INDEX('3. Plano_Detalhado'!$A$10:$Q$196,MATCH(1,($E159='3. Plano_Detalhado'!$E$10:$E$196)*($F159='3. Plano_Detalhado'!$F$10:$F$196)*($C159='3. Plano_Detalhado'!$A$10:$A$196),0),17)="","",INDEX('3. Plano_Detalhado'!$A$10:$Q$196,MATCH(1,($E159='3. Plano_Detalhado'!$E$10:$E$196)*($F159='3. Plano_Detalhado'!$F$10:$F$196)*($C159='3. Plano_Detalhado'!$A$10:$A$196),0),17))</f>
        <v/>
      </c>
      <c r="J159" s="187"/>
      <c r="K159" s="188"/>
      <c r="L159" s="188"/>
      <c r="M159" s="188"/>
      <c r="N159" s="188"/>
    </row>
    <row r="160" spans="1:14" ht="16.399999999999999" hidden="1" customHeight="1">
      <c r="A160" s="2"/>
      <c r="B160" s="48" t="s">
        <v>35</v>
      </c>
      <c r="C160" s="209" t="s">
        <v>381</v>
      </c>
      <c r="D160" s="26" t="str" cm="1">
        <f t="array" ref="D160">INDEX('3. Plano_Detalhado'!$A$10:$H$197,MATCH(1,($E160='3. Plano_Detalhado'!$E$10:$E$197)*($F160='3. Plano_Detalhado'!$F$10:$F$197)*($C160='3. Plano_Detalhado'!$A$10:$A$197),0),4)</f>
        <v>2. Campo</v>
      </c>
      <c r="E160" s="207" t="s">
        <v>29</v>
      </c>
      <c r="F160" s="26" t="s">
        <v>99</v>
      </c>
      <c r="G160" s="208" t="str" cm="1">
        <f t="array" ref="G160">IF(INDEX('3. Plano_Detalhado'!$A$10:$H$197,MATCH(1,($E160='3. Plano_Detalhado'!$E$10:$E$197)*($F160='3. Plano_Detalhado'!$F$10:$F$197)*($C160='3. Plano_Detalhado'!$A$10:$A$197),0),7)="","",INDEX('3. Plano_Detalhado'!$A$10:$H$197,MATCH(1,($E160='3. Plano_Detalhado'!$E$10:$E$197)*($F160='3. Plano_Detalhado'!$F$10:$F$197)*($C160='3. Plano_Detalhado'!$A$10:$A$197),0),7))</f>
        <v/>
      </c>
      <c r="H160" s="186" t="str" cm="1">
        <f t="array" ref="H160">IF(INDEX('3. Plano_Detalhado'!$A$10:$H$197,MATCH(1,($E160='3. Plano_Detalhado'!$E$10:$E$197)*($F160='3. Plano_Detalhado'!$F$10:$F$197)*($C160='3. Plano_Detalhado'!$A$10:$A$197),0),8)="","",INDEX('3. Plano_Detalhado'!$A$10:$H$197,MATCH(1,($E160='3. Plano_Detalhado'!$E$10:$E$197)*($F160='3. Plano_Detalhado'!$F$10:$F$197)*($C160='3. Plano_Detalhado'!$A$10:$A$197),0),8))</f>
        <v/>
      </c>
      <c r="I160" s="26" t="str" cm="1">
        <f t="array" ref="I160">IF(INDEX('3. Plano_Detalhado'!$A$10:$Q$196,MATCH(1,($E160='3. Plano_Detalhado'!$E$10:$E$196)*($F160='3. Plano_Detalhado'!$F$10:$F$196)*($C160='3. Plano_Detalhado'!$A$10:$A$196),0),17)="","",INDEX('3. Plano_Detalhado'!$A$10:$Q$196,MATCH(1,($E160='3. Plano_Detalhado'!$E$10:$E$196)*($F160='3. Plano_Detalhado'!$F$10:$F$196)*($C160='3. Plano_Detalhado'!$A$10:$A$196),0),17))</f>
        <v/>
      </c>
      <c r="J160" s="187"/>
      <c r="K160" s="188"/>
      <c r="L160" s="188"/>
      <c r="M160" s="188"/>
      <c r="N160" s="188"/>
    </row>
    <row r="161" spans="1:14" ht="16.399999999999999" hidden="1" customHeight="1">
      <c r="A161" s="2"/>
      <c r="B161" s="48" t="s">
        <v>35</v>
      </c>
      <c r="C161" s="209" t="s">
        <v>381</v>
      </c>
      <c r="D161" s="26" t="str" cm="1">
        <f t="array" ref="D161">INDEX('3. Plano_Detalhado'!$A$10:$H$197,MATCH(1,($E161='3. Plano_Detalhado'!$E$10:$E$197)*($F161='3. Plano_Detalhado'!$F$10:$F$197)*($C161='3. Plano_Detalhado'!$A$10:$A$197),0),4)</f>
        <v>2. Campo</v>
      </c>
      <c r="E161" s="207" t="s">
        <v>29</v>
      </c>
      <c r="F161" s="26" t="s">
        <v>100</v>
      </c>
      <c r="G161" s="208" t="str" cm="1">
        <f t="array" ref="G161">IF(INDEX('3. Plano_Detalhado'!$A$10:$H$197,MATCH(1,($E161='3. Plano_Detalhado'!$E$10:$E$197)*($F161='3. Plano_Detalhado'!$F$10:$F$197)*($C161='3. Plano_Detalhado'!$A$10:$A$197),0),7)="","",INDEX('3. Plano_Detalhado'!$A$10:$H$197,MATCH(1,($E161='3. Plano_Detalhado'!$E$10:$E$197)*($F161='3. Plano_Detalhado'!$F$10:$F$197)*($C161='3. Plano_Detalhado'!$A$10:$A$197),0),7))</f>
        <v/>
      </c>
      <c r="H161" s="186" t="str" cm="1">
        <f t="array" ref="H161">IF(INDEX('3. Plano_Detalhado'!$A$10:$H$197,MATCH(1,($E161='3. Plano_Detalhado'!$E$10:$E$197)*($F161='3. Plano_Detalhado'!$F$10:$F$197)*($C161='3. Plano_Detalhado'!$A$10:$A$197),0),8)="","",INDEX('3. Plano_Detalhado'!$A$10:$H$197,MATCH(1,($E161='3. Plano_Detalhado'!$E$10:$E$197)*($F161='3. Plano_Detalhado'!$F$10:$F$197)*($C161='3. Plano_Detalhado'!$A$10:$A$197),0),8))</f>
        <v/>
      </c>
      <c r="I161" s="26" t="str" cm="1">
        <f t="array" ref="I161">IF(INDEX('3. Plano_Detalhado'!$A$10:$Q$196,MATCH(1,($E161='3. Plano_Detalhado'!$E$10:$E$196)*($F161='3. Plano_Detalhado'!$F$10:$F$196)*($C161='3. Plano_Detalhado'!$A$10:$A$196),0),17)="","",INDEX('3. Plano_Detalhado'!$A$10:$Q$196,MATCH(1,($E161='3. Plano_Detalhado'!$E$10:$E$196)*($F161='3. Plano_Detalhado'!$F$10:$F$196)*($C161='3. Plano_Detalhado'!$A$10:$A$196),0),17))</f>
        <v/>
      </c>
      <c r="J161" s="187"/>
      <c r="K161" s="188"/>
      <c r="L161" s="188"/>
      <c r="M161" s="188"/>
      <c r="N161" s="188"/>
    </row>
    <row r="162" spans="1:14" ht="16.399999999999999" hidden="1" customHeight="1">
      <c r="A162" s="2"/>
      <c r="B162" s="48" t="s">
        <v>35</v>
      </c>
      <c r="C162" s="209" t="s">
        <v>381</v>
      </c>
      <c r="D162" s="26" t="str" cm="1">
        <f t="array" ref="D162">INDEX('3. Plano_Detalhado'!$A$10:$H$197,MATCH(1,($E162='3. Plano_Detalhado'!$E$10:$E$197)*($F162='3. Plano_Detalhado'!$F$10:$F$197)*($C162='3. Plano_Detalhado'!$A$10:$A$197),0),4)</f>
        <v>2. Campo</v>
      </c>
      <c r="E162" s="207" t="s">
        <v>29</v>
      </c>
      <c r="F162" s="26" t="s">
        <v>101</v>
      </c>
      <c r="G162" s="208" t="str" cm="1">
        <f t="array" ref="G162">IF(INDEX('3. Plano_Detalhado'!$A$10:$H$197,MATCH(1,($E162='3. Plano_Detalhado'!$E$10:$E$197)*($F162='3. Plano_Detalhado'!$F$10:$F$197)*($C162='3. Plano_Detalhado'!$A$10:$A$197),0),7)="","",INDEX('3. Plano_Detalhado'!$A$10:$H$197,MATCH(1,($E162='3. Plano_Detalhado'!$E$10:$E$197)*($F162='3. Plano_Detalhado'!$F$10:$F$197)*($C162='3. Plano_Detalhado'!$A$10:$A$197),0),7))</f>
        <v/>
      </c>
      <c r="H162" s="186" t="str" cm="1">
        <f t="array" ref="H162">IF(INDEX('3. Plano_Detalhado'!$A$10:$H$197,MATCH(1,($E162='3. Plano_Detalhado'!$E$10:$E$197)*($F162='3. Plano_Detalhado'!$F$10:$F$197)*($C162='3. Plano_Detalhado'!$A$10:$A$197),0),8)="","",INDEX('3. Plano_Detalhado'!$A$10:$H$197,MATCH(1,($E162='3. Plano_Detalhado'!$E$10:$E$197)*($F162='3. Plano_Detalhado'!$F$10:$F$197)*($C162='3. Plano_Detalhado'!$A$10:$A$197),0),8))</f>
        <v/>
      </c>
      <c r="I162" s="26" t="str" cm="1">
        <f t="array" ref="I162">IF(INDEX('3. Plano_Detalhado'!$A$10:$Q$196,MATCH(1,($E162='3. Plano_Detalhado'!$E$10:$E$196)*($F162='3. Plano_Detalhado'!$F$10:$F$196)*($C162='3. Plano_Detalhado'!$A$10:$A$196),0),17)="","",INDEX('3. Plano_Detalhado'!$A$10:$Q$196,MATCH(1,($E162='3. Plano_Detalhado'!$E$10:$E$196)*($F162='3. Plano_Detalhado'!$F$10:$F$196)*($C162='3. Plano_Detalhado'!$A$10:$A$196),0),17))</f>
        <v/>
      </c>
      <c r="J162" s="187"/>
      <c r="K162" s="188"/>
      <c r="L162" s="188"/>
      <c r="M162" s="188"/>
      <c r="N162" s="188"/>
    </row>
    <row r="163" spans="1:14" ht="16.399999999999999" hidden="1" customHeight="1">
      <c r="A163" s="2"/>
      <c r="B163" s="48" t="s">
        <v>35</v>
      </c>
      <c r="C163" s="209" t="s">
        <v>381</v>
      </c>
      <c r="D163" s="26" t="str" cm="1">
        <f t="array" ref="D163">INDEX('3. Plano_Detalhado'!$A$10:$H$197,MATCH(1,($E163='3. Plano_Detalhado'!$E$10:$E$197)*($F163='3. Plano_Detalhado'!$F$10:$F$197)*($C163='3. Plano_Detalhado'!$A$10:$A$197),0),4)</f>
        <v>2. Campo</v>
      </c>
      <c r="E163" s="207" t="s">
        <v>29</v>
      </c>
      <c r="F163" s="26" t="s">
        <v>63</v>
      </c>
      <c r="G163" s="208" t="str" cm="1">
        <f t="array" ref="G163">IF(INDEX('3. Plano_Detalhado'!$A$10:$H$197,MATCH(1,($E163='3. Plano_Detalhado'!$E$10:$E$197)*($F163='3. Plano_Detalhado'!$F$10:$F$197)*($C163='3. Plano_Detalhado'!$A$10:$A$197),0),7)="","",INDEX('3. Plano_Detalhado'!$A$10:$H$197,MATCH(1,($E163='3. Plano_Detalhado'!$E$10:$E$197)*($F163='3. Plano_Detalhado'!$F$10:$F$197)*($C163='3. Plano_Detalhado'!$A$10:$A$197),0),7))</f>
        <v/>
      </c>
      <c r="H163" s="186" t="str" cm="1">
        <f t="array" ref="H163">IF(INDEX('3. Plano_Detalhado'!$A$10:$H$197,MATCH(1,($E163='3. Plano_Detalhado'!$E$10:$E$197)*($F163='3. Plano_Detalhado'!$F$10:$F$197)*($C163='3. Plano_Detalhado'!$A$10:$A$197),0),8)="","",INDEX('3. Plano_Detalhado'!$A$10:$H$197,MATCH(1,($E163='3. Plano_Detalhado'!$E$10:$E$197)*($F163='3. Plano_Detalhado'!$F$10:$F$197)*($C163='3. Plano_Detalhado'!$A$10:$A$197),0),8))</f>
        <v/>
      </c>
      <c r="I163" s="26" t="str" cm="1">
        <f t="array" ref="I163">IF(INDEX('3. Plano_Detalhado'!$A$10:$Q$196,MATCH(1,($E163='3. Plano_Detalhado'!$E$10:$E$196)*($F163='3. Plano_Detalhado'!$F$10:$F$196)*($C163='3. Plano_Detalhado'!$A$10:$A$196),0),17)="","",INDEX('3. Plano_Detalhado'!$A$10:$Q$196,MATCH(1,($E163='3. Plano_Detalhado'!$E$10:$E$196)*($F163='3. Plano_Detalhado'!$F$10:$F$196)*($C163='3. Plano_Detalhado'!$A$10:$A$196),0),17))</f>
        <v/>
      </c>
      <c r="J163" s="187"/>
      <c r="K163" s="188"/>
      <c r="L163" s="188"/>
      <c r="M163" s="188"/>
      <c r="N163" s="188"/>
    </row>
    <row r="164" spans="1:14" ht="16.399999999999999" hidden="1" customHeight="1">
      <c r="A164" s="2"/>
      <c r="B164" s="48" t="s">
        <v>35</v>
      </c>
      <c r="C164" s="209" t="s">
        <v>381</v>
      </c>
      <c r="D164" s="26" t="str" cm="1">
        <f t="array" ref="D164">INDEX('3. Plano_Detalhado'!$A$10:$H$197,MATCH(1,($E164='3. Plano_Detalhado'!$E$10:$E$197)*($F164='3. Plano_Detalhado'!$F$10:$F$197)*($C164='3. Plano_Detalhado'!$A$10:$A$197),0),4)</f>
        <v>2. Campo</v>
      </c>
      <c r="E164" s="207" t="s">
        <v>29</v>
      </c>
      <c r="F164" s="26" t="s">
        <v>102</v>
      </c>
      <c r="G164" s="208" t="str" cm="1">
        <f t="array" ref="G164">IF(INDEX('3. Plano_Detalhado'!$A$10:$H$197,MATCH(1,($E164='3. Plano_Detalhado'!$E$10:$E$197)*($F164='3. Plano_Detalhado'!$F$10:$F$197)*($C164='3. Plano_Detalhado'!$A$10:$A$197),0),7)="","",INDEX('3. Plano_Detalhado'!$A$10:$H$197,MATCH(1,($E164='3. Plano_Detalhado'!$E$10:$E$197)*($F164='3. Plano_Detalhado'!$F$10:$F$197)*($C164='3. Plano_Detalhado'!$A$10:$A$197),0),7))</f>
        <v/>
      </c>
      <c r="H164" s="186" t="str" cm="1">
        <f t="array" ref="H164">IF(INDEX('3. Plano_Detalhado'!$A$10:$H$197,MATCH(1,($E164='3. Plano_Detalhado'!$E$10:$E$197)*($F164='3. Plano_Detalhado'!$F$10:$F$197)*($C164='3. Plano_Detalhado'!$A$10:$A$197),0),8)="","",INDEX('3. Plano_Detalhado'!$A$10:$H$197,MATCH(1,($E164='3. Plano_Detalhado'!$E$10:$E$197)*($F164='3. Plano_Detalhado'!$F$10:$F$197)*($C164='3. Plano_Detalhado'!$A$10:$A$197),0),8))</f>
        <v/>
      </c>
      <c r="I164" s="26" t="str" cm="1">
        <f t="array" ref="I164">IF(INDEX('3. Plano_Detalhado'!$A$10:$Q$196,MATCH(1,($E164='3. Plano_Detalhado'!$E$10:$E$196)*($F164='3. Plano_Detalhado'!$F$10:$F$196)*($C164='3. Plano_Detalhado'!$A$10:$A$196),0),17)="","",INDEX('3. Plano_Detalhado'!$A$10:$Q$196,MATCH(1,($E164='3. Plano_Detalhado'!$E$10:$E$196)*($F164='3. Plano_Detalhado'!$F$10:$F$196)*($C164='3. Plano_Detalhado'!$A$10:$A$196),0),17))</f>
        <v/>
      </c>
      <c r="J164" s="187"/>
      <c r="K164" s="188"/>
      <c r="L164" s="188"/>
      <c r="M164" s="188"/>
      <c r="N164" s="188"/>
    </row>
    <row r="165" spans="1:14" ht="16.399999999999999" hidden="1" customHeight="1">
      <c r="A165" s="2"/>
      <c r="B165" s="48" t="s">
        <v>35</v>
      </c>
      <c r="C165" s="209" t="s">
        <v>381</v>
      </c>
      <c r="D165" s="26" t="str" cm="1">
        <f t="array" ref="D165">INDEX('3. Plano_Detalhado'!$A$10:$H$197,MATCH(1,($E165='3. Plano_Detalhado'!$E$10:$E$197)*($F165='3. Plano_Detalhado'!$F$10:$F$197)*($C165='3. Plano_Detalhado'!$A$10:$A$197),0),4)</f>
        <v>2. Campo</v>
      </c>
      <c r="E165" s="207" t="s">
        <v>29</v>
      </c>
      <c r="F165" s="26" t="s">
        <v>103</v>
      </c>
      <c r="G165" s="208" t="str" cm="1">
        <f t="array" ref="G165">IF(INDEX('3. Plano_Detalhado'!$A$10:$H$197,MATCH(1,($E165='3. Plano_Detalhado'!$E$10:$E$197)*($F165='3. Plano_Detalhado'!$F$10:$F$197)*($C165='3. Plano_Detalhado'!$A$10:$A$197),0),7)="","",INDEX('3. Plano_Detalhado'!$A$10:$H$197,MATCH(1,($E165='3. Plano_Detalhado'!$E$10:$E$197)*($F165='3. Plano_Detalhado'!$F$10:$F$197)*($C165='3. Plano_Detalhado'!$A$10:$A$197),0),7))</f>
        <v/>
      </c>
      <c r="H165" s="186" t="str" cm="1">
        <f t="array" ref="H165">IF(INDEX('3. Plano_Detalhado'!$A$10:$H$197,MATCH(1,($E165='3. Plano_Detalhado'!$E$10:$E$197)*($F165='3. Plano_Detalhado'!$F$10:$F$197)*($C165='3. Plano_Detalhado'!$A$10:$A$197),0),8)="","",INDEX('3. Plano_Detalhado'!$A$10:$H$197,MATCH(1,($E165='3. Plano_Detalhado'!$E$10:$E$197)*($F165='3. Plano_Detalhado'!$F$10:$F$197)*($C165='3. Plano_Detalhado'!$A$10:$A$197),0),8))</f>
        <v/>
      </c>
      <c r="I165" s="26" t="str" cm="1">
        <f t="array" ref="I165">IF(INDEX('3. Plano_Detalhado'!$A$10:$Q$196,MATCH(1,($E165='3. Plano_Detalhado'!$E$10:$E$196)*($F165='3. Plano_Detalhado'!$F$10:$F$196)*($C165='3. Plano_Detalhado'!$A$10:$A$196),0),17)="","",INDEX('3. Plano_Detalhado'!$A$10:$Q$196,MATCH(1,($E165='3. Plano_Detalhado'!$E$10:$E$196)*($F165='3. Plano_Detalhado'!$F$10:$F$196)*($C165='3. Plano_Detalhado'!$A$10:$A$196),0),17))</f>
        <v/>
      </c>
      <c r="J165" s="187"/>
      <c r="K165" s="188"/>
      <c r="L165" s="188"/>
      <c r="M165" s="188"/>
      <c r="N165" s="188"/>
    </row>
    <row r="166" spans="1:14" ht="16.399999999999999" hidden="1" customHeight="1">
      <c r="A166" s="2"/>
      <c r="B166" s="48" t="s">
        <v>35</v>
      </c>
      <c r="C166" s="209" t="s">
        <v>381</v>
      </c>
      <c r="D166" s="26" t="str" cm="1">
        <f t="array" ref="D166">INDEX('3. Plano_Detalhado'!$A$10:$H$197,MATCH(1,($E166='3. Plano_Detalhado'!$E$10:$E$197)*($F166='3. Plano_Detalhado'!$F$10:$F$197)*($C166='3. Plano_Detalhado'!$A$10:$A$197),0),4)</f>
        <v>2. Campo</v>
      </c>
      <c r="E166" s="207" t="s">
        <v>29</v>
      </c>
      <c r="F166" s="26" t="s">
        <v>110</v>
      </c>
      <c r="G166" s="208" t="str" cm="1">
        <f t="array" ref="G166">IF(INDEX('3. Plano_Detalhado'!$A$10:$H$197,MATCH(1,($E166='3. Plano_Detalhado'!$E$10:$E$197)*($F166='3. Plano_Detalhado'!$F$10:$F$197)*($C166='3. Plano_Detalhado'!$A$10:$A$197),0),7)="","",INDEX('3. Plano_Detalhado'!$A$10:$H$197,MATCH(1,($E166='3. Plano_Detalhado'!$E$10:$E$197)*($F166='3. Plano_Detalhado'!$F$10:$F$197)*($C166='3. Plano_Detalhado'!$A$10:$A$197),0),7))</f>
        <v/>
      </c>
      <c r="H166" s="186" t="str" cm="1">
        <f t="array" ref="H166">IF(INDEX('3. Plano_Detalhado'!$A$10:$H$197,MATCH(1,($E166='3. Plano_Detalhado'!$E$10:$E$197)*($F166='3. Plano_Detalhado'!$F$10:$F$197)*($C166='3. Plano_Detalhado'!$A$10:$A$197),0),8)="","",INDEX('3. Plano_Detalhado'!$A$10:$H$197,MATCH(1,($E166='3. Plano_Detalhado'!$E$10:$E$197)*($F166='3. Plano_Detalhado'!$F$10:$F$197)*($C166='3. Plano_Detalhado'!$A$10:$A$197),0),8))</f>
        <v/>
      </c>
      <c r="I166" s="26" t="str" cm="1">
        <f t="array" ref="I166">IF(INDEX('3. Plano_Detalhado'!$A$10:$Q$196,MATCH(1,($E166='3. Plano_Detalhado'!$E$10:$E$196)*($F166='3. Plano_Detalhado'!$F$10:$F$196)*($C166='3. Plano_Detalhado'!$A$10:$A$196),0),17)="","",INDEX('3. Plano_Detalhado'!$A$10:$Q$196,MATCH(1,($E166='3. Plano_Detalhado'!$E$10:$E$196)*($F166='3. Plano_Detalhado'!$F$10:$F$196)*($C166='3. Plano_Detalhado'!$A$10:$A$196),0),17))</f>
        <v/>
      </c>
      <c r="J166" s="187"/>
      <c r="K166" s="188"/>
      <c r="L166" s="188"/>
      <c r="M166" s="188"/>
      <c r="N166" s="188"/>
    </row>
    <row r="167" spans="1:14" ht="16.399999999999999" hidden="1" customHeight="1">
      <c r="A167" s="2"/>
      <c r="B167" s="48" t="s">
        <v>35</v>
      </c>
      <c r="C167" s="209" t="s">
        <v>381</v>
      </c>
      <c r="D167" s="26" t="str" cm="1">
        <f t="array" ref="D167">INDEX('3. Plano_Detalhado'!$A$10:$H$197,MATCH(1,($E167='3. Plano_Detalhado'!$E$10:$E$197)*($F167='3. Plano_Detalhado'!$F$10:$F$197)*($C167='3. Plano_Detalhado'!$A$10:$A$197),0),4)</f>
        <v>2. Campo</v>
      </c>
      <c r="E167" s="207" t="s">
        <v>29</v>
      </c>
      <c r="F167" s="26" t="s">
        <v>111</v>
      </c>
      <c r="G167" s="208" t="str" cm="1">
        <f t="array" ref="G167">IF(INDEX('3. Plano_Detalhado'!$A$10:$H$197,MATCH(1,($E167='3. Plano_Detalhado'!$E$10:$E$197)*($F167='3. Plano_Detalhado'!$F$10:$F$197)*($C167='3. Plano_Detalhado'!$A$10:$A$197),0),7)="","",INDEX('3. Plano_Detalhado'!$A$10:$H$197,MATCH(1,($E167='3. Plano_Detalhado'!$E$10:$E$197)*($F167='3. Plano_Detalhado'!$F$10:$F$197)*($C167='3. Plano_Detalhado'!$A$10:$A$197),0),7))</f>
        <v/>
      </c>
      <c r="H167" s="186" t="str" cm="1">
        <f t="array" ref="H167">IF(INDEX('3. Plano_Detalhado'!$A$10:$H$197,MATCH(1,($E167='3. Plano_Detalhado'!$E$10:$E$197)*($F167='3. Plano_Detalhado'!$F$10:$F$197)*($C167='3. Plano_Detalhado'!$A$10:$A$197),0),8)="","",INDEX('3. Plano_Detalhado'!$A$10:$H$197,MATCH(1,($E167='3. Plano_Detalhado'!$E$10:$E$197)*($F167='3. Plano_Detalhado'!$F$10:$F$197)*($C167='3. Plano_Detalhado'!$A$10:$A$197),0),8))</f>
        <v/>
      </c>
      <c r="I167" s="26" t="str" cm="1">
        <f t="array" ref="I167">IF(INDEX('3. Plano_Detalhado'!$A$10:$Q$196,MATCH(1,($E167='3. Plano_Detalhado'!$E$10:$E$196)*($F167='3. Plano_Detalhado'!$F$10:$F$196)*($C167='3. Plano_Detalhado'!$A$10:$A$196),0),17)="","",INDEX('3. Plano_Detalhado'!$A$10:$Q$196,MATCH(1,($E167='3. Plano_Detalhado'!$E$10:$E$196)*($F167='3. Plano_Detalhado'!$F$10:$F$196)*($C167='3. Plano_Detalhado'!$A$10:$A$196),0),17))</f>
        <v/>
      </c>
      <c r="J167" s="187"/>
      <c r="K167" s="188"/>
      <c r="L167" s="188"/>
      <c r="M167" s="188"/>
      <c r="N167" s="188"/>
    </row>
    <row r="168" spans="1:14" ht="16.399999999999999" hidden="1" customHeight="1">
      <c r="A168" s="2"/>
      <c r="B168" s="48" t="s">
        <v>35</v>
      </c>
      <c r="C168" s="209" t="s">
        <v>381</v>
      </c>
      <c r="D168" s="26" t="str" cm="1">
        <f t="array" ref="D168">INDEX('3. Plano_Detalhado'!$A$10:$H$197,MATCH(1,($E168='3. Plano_Detalhado'!$E$10:$E$197)*($F168='3. Plano_Detalhado'!$F$10:$F$197)*($C168='3. Plano_Detalhado'!$A$10:$A$197),0),4)</f>
        <v>2. Campo</v>
      </c>
      <c r="E168" s="207" t="s">
        <v>29</v>
      </c>
      <c r="F168" s="26" t="s">
        <v>112</v>
      </c>
      <c r="G168" s="208" t="str" cm="1">
        <f t="array" ref="G168">IF(INDEX('3. Plano_Detalhado'!$A$10:$H$197,MATCH(1,($E168='3. Plano_Detalhado'!$E$10:$E$197)*($F168='3. Plano_Detalhado'!$F$10:$F$197)*($C168='3. Plano_Detalhado'!$A$10:$A$197),0),7)="","",INDEX('3. Plano_Detalhado'!$A$10:$H$197,MATCH(1,($E168='3. Plano_Detalhado'!$E$10:$E$197)*($F168='3. Plano_Detalhado'!$F$10:$F$197)*($C168='3. Plano_Detalhado'!$A$10:$A$197),0),7))</f>
        <v/>
      </c>
      <c r="H168" s="186" t="str" cm="1">
        <f t="array" ref="H168">IF(INDEX('3. Plano_Detalhado'!$A$10:$H$197,MATCH(1,($E168='3. Plano_Detalhado'!$E$10:$E$197)*($F168='3. Plano_Detalhado'!$F$10:$F$197)*($C168='3. Plano_Detalhado'!$A$10:$A$197),0),8)="","",INDEX('3. Plano_Detalhado'!$A$10:$H$197,MATCH(1,($E168='3. Plano_Detalhado'!$E$10:$E$197)*($F168='3. Plano_Detalhado'!$F$10:$F$197)*($C168='3. Plano_Detalhado'!$A$10:$A$197),0),8))</f>
        <v/>
      </c>
      <c r="I168" s="26" t="str" cm="1">
        <f t="array" ref="I168">IF(INDEX('3. Plano_Detalhado'!$A$10:$Q$196,MATCH(1,($E168='3. Plano_Detalhado'!$E$10:$E$196)*($F168='3. Plano_Detalhado'!$F$10:$F$196)*($C168='3. Plano_Detalhado'!$A$10:$A$196),0),17)="","",INDEX('3. Plano_Detalhado'!$A$10:$Q$196,MATCH(1,($E168='3. Plano_Detalhado'!$E$10:$E$196)*($F168='3. Plano_Detalhado'!$F$10:$F$196)*($C168='3. Plano_Detalhado'!$A$10:$A$196),0),17))</f>
        <v/>
      </c>
      <c r="J168" s="187"/>
      <c r="K168" s="188"/>
      <c r="L168" s="188"/>
      <c r="M168" s="188"/>
      <c r="N168" s="188"/>
    </row>
    <row r="169" spans="1:14" ht="16.399999999999999" hidden="1" customHeight="1">
      <c r="A169" s="2"/>
      <c r="B169" s="48" t="s">
        <v>35</v>
      </c>
      <c r="C169" s="209" t="s">
        <v>381</v>
      </c>
      <c r="D169" s="26" t="str" cm="1">
        <f t="array" ref="D169">INDEX('3. Plano_Detalhado'!$A$10:$H$197,MATCH(1,($E169='3. Plano_Detalhado'!$E$10:$E$197)*($F169='3. Plano_Detalhado'!$F$10:$F$197)*($C169='3. Plano_Detalhado'!$A$10:$A$197),0),4)</f>
        <v>2. Campo</v>
      </c>
      <c r="E169" s="207" t="s">
        <v>275</v>
      </c>
      <c r="F169" s="26" t="s">
        <v>51</v>
      </c>
      <c r="G169" s="208" t="str" cm="1">
        <f t="array" ref="G169">IF(INDEX('3. Plano_Detalhado'!$A$10:$H$197,MATCH(1,($E169='3. Plano_Detalhado'!$E$10:$E$197)*($F169='3. Plano_Detalhado'!$F$10:$F$197)*($C169='3. Plano_Detalhado'!$A$10:$A$197),0),7)="","",INDEX('3. Plano_Detalhado'!$A$10:$H$197,MATCH(1,($E169='3. Plano_Detalhado'!$E$10:$E$197)*($F169='3. Plano_Detalhado'!$F$10:$F$197)*($C169='3. Plano_Detalhado'!$A$10:$A$197),0),7))</f>
        <v/>
      </c>
      <c r="H169" s="186" t="str" cm="1">
        <f t="array" ref="H169">IF(INDEX('3. Plano_Detalhado'!$A$10:$H$197,MATCH(1,($E169='3. Plano_Detalhado'!$E$10:$E$197)*($F169='3. Plano_Detalhado'!$F$10:$F$197)*($C169='3. Plano_Detalhado'!$A$10:$A$197),0),8)="","",INDEX('3. Plano_Detalhado'!$A$10:$H$197,MATCH(1,($E169='3. Plano_Detalhado'!$E$10:$E$197)*($F169='3. Plano_Detalhado'!$F$10:$F$197)*($C169='3. Plano_Detalhado'!$A$10:$A$197),0),8))</f>
        <v/>
      </c>
      <c r="I169" s="26" t="str" cm="1">
        <f t="array" ref="I169">IF(INDEX('3. Plano_Detalhado'!$A$10:$Q$196,MATCH(1,($E169='3. Plano_Detalhado'!$E$10:$E$196)*($F169='3. Plano_Detalhado'!$F$10:$F$196)*($C169='3. Plano_Detalhado'!$A$10:$A$196),0),17)="","",INDEX('3. Plano_Detalhado'!$A$10:$Q$196,MATCH(1,($E169='3. Plano_Detalhado'!$E$10:$E$196)*($F169='3. Plano_Detalhado'!$F$10:$F$196)*($C169='3. Plano_Detalhado'!$A$10:$A$196),0),17))</f>
        <v/>
      </c>
      <c r="J169" s="187"/>
      <c r="K169" s="188"/>
      <c r="L169" s="188"/>
      <c r="M169" s="188"/>
      <c r="N169" s="188"/>
    </row>
    <row r="170" spans="1:14" ht="16.399999999999999" hidden="1" customHeight="1">
      <c r="A170" s="2"/>
      <c r="B170" s="48" t="s">
        <v>35</v>
      </c>
      <c r="C170" s="209" t="s">
        <v>381</v>
      </c>
      <c r="D170" s="26" t="str" cm="1">
        <f t="array" ref="D170">INDEX('3. Plano_Detalhado'!$A$10:$H$197,MATCH(1,($E170='3. Plano_Detalhado'!$E$10:$E$197)*($F170='3. Plano_Detalhado'!$F$10:$F$197)*($C170='3. Plano_Detalhado'!$A$10:$A$197),0),4)</f>
        <v>2. Campo</v>
      </c>
      <c r="E170" s="207" t="s">
        <v>275</v>
      </c>
      <c r="F170" s="26" t="s">
        <v>52</v>
      </c>
      <c r="G170" s="208" t="str" cm="1">
        <f t="array" ref="G170">IF(INDEX('3. Plano_Detalhado'!$A$10:$H$197,MATCH(1,($E170='3. Plano_Detalhado'!$E$10:$E$197)*($F170='3. Plano_Detalhado'!$F$10:$F$197)*($C170='3. Plano_Detalhado'!$A$10:$A$197),0),7)="","",INDEX('3. Plano_Detalhado'!$A$10:$H$197,MATCH(1,($E170='3. Plano_Detalhado'!$E$10:$E$197)*($F170='3. Plano_Detalhado'!$F$10:$F$197)*($C170='3. Plano_Detalhado'!$A$10:$A$197),0),7))</f>
        <v/>
      </c>
      <c r="H170" s="186" t="str" cm="1">
        <f t="array" ref="H170">IF(INDEX('3. Plano_Detalhado'!$A$10:$H$197,MATCH(1,($E170='3. Plano_Detalhado'!$E$10:$E$197)*($F170='3. Plano_Detalhado'!$F$10:$F$197)*($C170='3. Plano_Detalhado'!$A$10:$A$197),0),8)="","",INDEX('3. Plano_Detalhado'!$A$10:$H$197,MATCH(1,($E170='3. Plano_Detalhado'!$E$10:$E$197)*($F170='3. Plano_Detalhado'!$F$10:$F$197)*($C170='3. Plano_Detalhado'!$A$10:$A$197),0),8))</f>
        <v/>
      </c>
      <c r="I170" s="26" t="str" cm="1">
        <f t="array" ref="I170">IF(INDEX('3. Plano_Detalhado'!$A$10:$Q$196,MATCH(1,($E170='3. Plano_Detalhado'!$E$10:$E$196)*($F170='3. Plano_Detalhado'!$F$10:$F$196)*($C170='3. Plano_Detalhado'!$A$10:$A$196),0),17)="","",INDEX('3. Plano_Detalhado'!$A$10:$Q$196,MATCH(1,($E170='3. Plano_Detalhado'!$E$10:$E$196)*($F170='3. Plano_Detalhado'!$F$10:$F$196)*($C170='3. Plano_Detalhado'!$A$10:$A$196),0),17))</f>
        <v/>
      </c>
      <c r="J170" s="187"/>
      <c r="K170" s="188"/>
      <c r="L170" s="188"/>
      <c r="M170" s="188"/>
      <c r="N170" s="188"/>
    </row>
    <row r="171" spans="1:14" ht="16.399999999999999" hidden="1" customHeight="1">
      <c r="A171" s="2"/>
      <c r="B171" s="48" t="s">
        <v>35</v>
      </c>
      <c r="C171" s="209" t="s">
        <v>381</v>
      </c>
      <c r="D171" s="26" t="str" cm="1">
        <f t="array" ref="D171">INDEX('3. Plano_Detalhado'!$A$10:$H$197,MATCH(1,($E171='3. Plano_Detalhado'!$E$10:$E$197)*($F171='3. Plano_Detalhado'!$F$10:$F$197)*($C171='3. Plano_Detalhado'!$A$10:$A$197),0),4)</f>
        <v>2. Campo</v>
      </c>
      <c r="E171" s="207" t="s">
        <v>275</v>
      </c>
      <c r="F171" s="26" t="s">
        <v>53</v>
      </c>
      <c r="G171" s="208" t="str" cm="1">
        <f t="array" ref="G171">IF(INDEX('3. Plano_Detalhado'!$A$10:$H$197,MATCH(1,($E171='3. Plano_Detalhado'!$E$10:$E$197)*($F171='3. Plano_Detalhado'!$F$10:$F$197)*($C171='3. Plano_Detalhado'!$A$10:$A$197),0),7)="","",INDEX('3. Plano_Detalhado'!$A$10:$H$197,MATCH(1,($E171='3. Plano_Detalhado'!$E$10:$E$197)*($F171='3. Plano_Detalhado'!$F$10:$F$197)*($C171='3. Plano_Detalhado'!$A$10:$A$197),0),7))</f>
        <v/>
      </c>
      <c r="H171" s="186" t="str" cm="1">
        <f t="array" ref="H171">IF(INDEX('3. Plano_Detalhado'!$A$10:$H$197,MATCH(1,($E171='3. Plano_Detalhado'!$E$10:$E$197)*($F171='3. Plano_Detalhado'!$F$10:$F$197)*($C171='3. Plano_Detalhado'!$A$10:$A$197),0),8)="","",INDEX('3. Plano_Detalhado'!$A$10:$H$197,MATCH(1,($E171='3. Plano_Detalhado'!$E$10:$E$197)*($F171='3. Plano_Detalhado'!$F$10:$F$197)*($C171='3. Plano_Detalhado'!$A$10:$A$197),0),8))</f>
        <v/>
      </c>
      <c r="I171" s="26" t="str" cm="1">
        <f t="array" ref="I171">IF(INDEX('3. Plano_Detalhado'!$A$10:$Q$196,MATCH(1,($E171='3. Plano_Detalhado'!$E$10:$E$196)*($F171='3. Plano_Detalhado'!$F$10:$F$196)*($C171='3. Plano_Detalhado'!$A$10:$A$196),0),17)="","",INDEX('3. Plano_Detalhado'!$A$10:$Q$196,MATCH(1,($E171='3. Plano_Detalhado'!$E$10:$E$196)*($F171='3. Plano_Detalhado'!$F$10:$F$196)*($C171='3. Plano_Detalhado'!$A$10:$A$196),0),17))</f>
        <v/>
      </c>
      <c r="J171" s="187"/>
      <c r="K171" s="188"/>
      <c r="L171" s="188"/>
      <c r="M171" s="188"/>
      <c r="N171" s="188"/>
    </row>
    <row r="172" spans="1:14" ht="16.399999999999999" hidden="1" customHeight="1">
      <c r="A172" s="2"/>
      <c r="B172" s="48" t="s">
        <v>35</v>
      </c>
      <c r="C172" s="209" t="s">
        <v>381</v>
      </c>
      <c r="D172" s="26" t="str" cm="1">
        <f t="array" ref="D172">INDEX('3. Plano_Detalhado'!$A$10:$H$197,MATCH(1,($E172='3. Plano_Detalhado'!$E$10:$E$197)*($F172='3. Plano_Detalhado'!$F$10:$F$197)*($C172='3. Plano_Detalhado'!$A$10:$A$197),0),4)</f>
        <v>2. Campo</v>
      </c>
      <c r="E172" s="207" t="s">
        <v>275</v>
      </c>
      <c r="F172" s="26" t="s">
        <v>113</v>
      </c>
      <c r="G172" s="208" t="str" cm="1">
        <f t="array" ref="G172">IF(INDEX('3. Plano_Detalhado'!$A$10:$H$197,MATCH(1,($E172='3. Plano_Detalhado'!$E$10:$E$197)*($F172='3. Plano_Detalhado'!$F$10:$F$197)*($C172='3. Plano_Detalhado'!$A$10:$A$197),0),7)="","",INDEX('3. Plano_Detalhado'!$A$10:$H$197,MATCH(1,($E172='3. Plano_Detalhado'!$E$10:$E$197)*($F172='3. Plano_Detalhado'!$F$10:$F$197)*($C172='3. Plano_Detalhado'!$A$10:$A$197),0),7))</f>
        <v/>
      </c>
      <c r="H172" s="186" t="str" cm="1">
        <f t="array" ref="H172">IF(INDEX('3. Plano_Detalhado'!$A$10:$H$197,MATCH(1,($E172='3. Plano_Detalhado'!$E$10:$E$197)*($F172='3. Plano_Detalhado'!$F$10:$F$197)*($C172='3. Plano_Detalhado'!$A$10:$A$197),0),8)="","",INDEX('3. Plano_Detalhado'!$A$10:$H$197,MATCH(1,($E172='3. Plano_Detalhado'!$E$10:$E$197)*($F172='3. Plano_Detalhado'!$F$10:$F$197)*($C172='3. Plano_Detalhado'!$A$10:$A$197),0),8))</f>
        <v/>
      </c>
      <c r="I172" s="26" t="str" cm="1">
        <f t="array" ref="I172">IF(INDEX('3. Plano_Detalhado'!$A$10:$Q$196,MATCH(1,($E172='3. Plano_Detalhado'!$E$10:$E$196)*($F172='3. Plano_Detalhado'!$F$10:$F$196)*($C172='3. Plano_Detalhado'!$A$10:$A$196),0),17)="","",INDEX('3. Plano_Detalhado'!$A$10:$Q$196,MATCH(1,($E172='3. Plano_Detalhado'!$E$10:$E$196)*($F172='3. Plano_Detalhado'!$F$10:$F$196)*($C172='3. Plano_Detalhado'!$A$10:$A$196),0),17))</f>
        <v/>
      </c>
      <c r="J172" s="187"/>
      <c r="K172" s="188"/>
      <c r="L172" s="188"/>
      <c r="M172" s="188"/>
      <c r="N172" s="188"/>
    </row>
    <row r="173" spans="1:14" ht="16.399999999999999" hidden="1" customHeight="1">
      <c r="A173" s="2"/>
      <c r="B173" s="48" t="s">
        <v>35</v>
      </c>
      <c r="C173" s="209" t="s">
        <v>381</v>
      </c>
      <c r="D173" s="26" t="str" cm="1">
        <f t="array" ref="D173">INDEX('3. Plano_Detalhado'!$A$10:$H$197,MATCH(1,($E173='3. Plano_Detalhado'!$E$10:$E$197)*($F173='3. Plano_Detalhado'!$F$10:$F$197)*($C173='3. Plano_Detalhado'!$A$10:$A$197),0),4)</f>
        <v>2. Campo</v>
      </c>
      <c r="E173" s="207" t="s">
        <v>28</v>
      </c>
      <c r="F173" s="26" t="s">
        <v>51</v>
      </c>
      <c r="G173" s="208" t="str" cm="1">
        <f t="array" ref="G173">IF(INDEX('3. Plano_Detalhado'!$A$10:$H$197,MATCH(1,($E173='3. Plano_Detalhado'!$E$10:$E$197)*($F173='3. Plano_Detalhado'!$F$10:$F$197)*($C173='3. Plano_Detalhado'!$A$10:$A$197),0),7)="","",INDEX('3. Plano_Detalhado'!$A$10:$H$197,MATCH(1,($E173='3. Plano_Detalhado'!$E$10:$E$197)*($F173='3. Plano_Detalhado'!$F$10:$F$197)*($C173='3. Plano_Detalhado'!$A$10:$A$197),0),7))</f>
        <v/>
      </c>
      <c r="H173" s="186" t="str" cm="1">
        <f t="array" ref="H173">IF(INDEX('3. Plano_Detalhado'!$A$10:$H$197,MATCH(1,($E173='3. Plano_Detalhado'!$E$10:$E$197)*($F173='3. Plano_Detalhado'!$F$10:$F$197)*($C173='3. Plano_Detalhado'!$A$10:$A$197),0),8)="","",INDEX('3. Plano_Detalhado'!$A$10:$H$197,MATCH(1,($E173='3. Plano_Detalhado'!$E$10:$E$197)*($F173='3. Plano_Detalhado'!$F$10:$F$197)*($C173='3. Plano_Detalhado'!$A$10:$A$197),0),8))</f>
        <v/>
      </c>
      <c r="I173" s="26" t="str" cm="1">
        <f t="array" ref="I173">IF(INDEX('3. Plano_Detalhado'!$A$10:$Q$196,MATCH(1,($E173='3. Plano_Detalhado'!$E$10:$E$196)*($F173='3. Plano_Detalhado'!$F$10:$F$196)*($C173='3. Plano_Detalhado'!$A$10:$A$196),0),17)="","",INDEX('3. Plano_Detalhado'!$A$10:$Q$196,MATCH(1,($E173='3. Plano_Detalhado'!$E$10:$E$196)*($F173='3. Plano_Detalhado'!$F$10:$F$196)*($C173='3. Plano_Detalhado'!$A$10:$A$196),0),17))</f>
        <v/>
      </c>
      <c r="J173" s="187"/>
      <c r="K173" s="188"/>
      <c r="L173" s="188"/>
      <c r="M173" s="188"/>
      <c r="N173" s="188"/>
    </row>
    <row r="174" spans="1:14" ht="16.399999999999999" hidden="1" customHeight="1">
      <c r="A174" s="2"/>
      <c r="B174" s="48" t="s">
        <v>35</v>
      </c>
      <c r="C174" s="209" t="s">
        <v>381</v>
      </c>
      <c r="D174" s="26" t="str" cm="1">
        <f t="array" ref="D174">INDEX('3. Plano_Detalhado'!$A$10:$H$197,MATCH(1,($E174='3. Plano_Detalhado'!$E$10:$E$197)*($F174='3. Plano_Detalhado'!$F$10:$F$197)*($C174='3. Plano_Detalhado'!$A$10:$A$197),0),4)</f>
        <v>2. Campo</v>
      </c>
      <c r="E174" s="207" t="s">
        <v>28</v>
      </c>
      <c r="F174" s="26" t="s">
        <v>52</v>
      </c>
      <c r="G174" s="208" t="str" cm="1">
        <f t="array" ref="G174">IF(INDEX('3. Plano_Detalhado'!$A$10:$H$197,MATCH(1,($E174='3. Plano_Detalhado'!$E$10:$E$197)*($F174='3. Plano_Detalhado'!$F$10:$F$197)*($C174='3. Plano_Detalhado'!$A$10:$A$197),0),7)="","",INDEX('3. Plano_Detalhado'!$A$10:$H$197,MATCH(1,($E174='3. Plano_Detalhado'!$E$10:$E$197)*($F174='3. Plano_Detalhado'!$F$10:$F$197)*($C174='3. Plano_Detalhado'!$A$10:$A$197),0),7))</f>
        <v/>
      </c>
      <c r="H174" s="186" t="str" cm="1">
        <f t="array" ref="H174">IF(INDEX('3. Plano_Detalhado'!$A$10:$H$197,MATCH(1,($E174='3. Plano_Detalhado'!$E$10:$E$197)*($F174='3. Plano_Detalhado'!$F$10:$F$197)*($C174='3. Plano_Detalhado'!$A$10:$A$197),0),8)="","",INDEX('3. Plano_Detalhado'!$A$10:$H$197,MATCH(1,($E174='3. Plano_Detalhado'!$E$10:$E$197)*($F174='3. Plano_Detalhado'!$F$10:$F$197)*($C174='3. Plano_Detalhado'!$A$10:$A$197),0),8))</f>
        <v/>
      </c>
      <c r="I174" s="26" t="str" cm="1">
        <f t="array" ref="I174">IF(INDEX('3. Plano_Detalhado'!$A$10:$Q$196,MATCH(1,($E174='3. Plano_Detalhado'!$E$10:$E$196)*($F174='3. Plano_Detalhado'!$F$10:$F$196)*($C174='3. Plano_Detalhado'!$A$10:$A$196),0),17)="","",INDEX('3. Plano_Detalhado'!$A$10:$Q$196,MATCH(1,($E174='3. Plano_Detalhado'!$E$10:$E$196)*($F174='3. Plano_Detalhado'!$F$10:$F$196)*($C174='3. Plano_Detalhado'!$A$10:$A$196),0),17))</f>
        <v/>
      </c>
      <c r="J174" s="187"/>
      <c r="K174" s="188"/>
      <c r="L174" s="188"/>
      <c r="M174" s="188"/>
      <c r="N174" s="188"/>
    </row>
    <row r="175" spans="1:14" ht="16.399999999999999" hidden="1" customHeight="1">
      <c r="A175" s="2"/>
      <c r="B175" s="48" t="s">
        <v>35</v>
      </c>
      <c r="C175" s="209" t="s">
        <v>381</v>
      </c>
      <c r="D175" s="26" t="str" cm="1">
        <f t="array" ref="D175">INDEX('3. Plano_Detalhado'!$A$10:$H$197,MATCH(1,($E175='3. Plano_Detalhado'!$E$10:$E$197)*($F175='3. Plano_Detalhado'!$F$10:$F$197)*($C175='3. Plano_Detalhado'!$A$10:$A$197),0),4)</f>
        <v>2. Campo</v>
      </c>
      <c r="E175" s="207" t="s">
        <v>28</v>
      </c>
      <c r="F175" s="26" t="s">
        <v>113</v>
      </c>
      <c r="G175" s="208" t="str" cm="1">
        <f t="array" ref="G175">IF(INDEX('3. Plano_Detalhado'!$A$10:$H$197,MATCH(1,($E175='3. Plano_Detalhado'!$E$10:$E$197)*($F175='3. Plano_Detalhado'!$F$10:$F$197)*($C175='3. Plano_Detalhado'!$A$10:$A$197),0),7)="","",INDEX('3. Plano_Detalhado'!$A$10:$H$197,MATCH(1,($E175='3. Plano_Detalhado'!$E$10:$E$197)*($F175='3. Plano_Detalhado'!$F$10:$F$197)*($C175='3. Plano_Detalhado'!$A$10:$A$197),0),7))</f>
        <v/>
      </c>
      <c r="H175" s="186" t="str" cm="1">
        <f t="array" ref="H175">IF(INDEX('3. Plano_Detalhado'!$A$10:$H$197,MATCH(1,($E175='3. Plano_Detalhado'!$E$10:$E$197)*($F175='3. Plano_Detalhado'!$F$10:$F$197)*($C175='3. Plano_Detalhado'!$A$10:$A$197),0),8)="","",INDEX('3. Plano_Detalhado'!$A$10:$H$197,MATCH(1,($E175='3. Plano_Detalhado'!$E$10:$E$197)*($F175='3. Plano_Detalhado'!$F$10:$F$197)*($C175='3. Plano_Detalhado'!$A$10:$A$197),0),8))</f>
        <v/>
      </c>
      <c r="I175" s="26" t="str" cm="1">
        <f t="array" ref="I175">IF(INDEX('3. Plano_Detalhado'!$A$10:$Q$196,MATCH(1,($E175='3. Plano_Detalhado'!$E$10:$E$196)*($F175='3. Plano_Detalhado'!$F$10:$F$196)*($C175='3. Plano_Detalhado'!$A$10:$A$196),0),17)="","",INDEX('3. Plano_Detalhado'!$A$10:$Q$196,MATCH(1,($E175='3. Plano_Detalhado'!$E$10:$E$196)*($F175='3. Plano_Detalhado'!$F$10:$F$196)*($C175='3. Plano_Detalhado'!$A$10:$A$196),0),17))</f>
        <v/>
      </c>
      <c r="J175" s="187"/>
      <c r="K175" s="188"/>
      <c r="L175" s="188"/>
      <c r="M175" s="188"/>
      <c r="N175" s="188"/>
    </row>
    <row r="176" spans="1:14" ht="16.399999999999999" hidden="1" customHeight="1">
      <c r="A176" s="2"/>
      <c r="B176" s="48" t="s">
        <v>35</v>
      </c>
      <c r="C176" s="209" t="s">
        <v>381</v>
      </c>
      <c r="D176" s="26" t="str" cm="1">
        <f t="array" ref="D176">INDEX('3. Plano_Detalhado'!$A$10:$H$197,MATCH(1,($E176='3. Plano_Detalhado'!$E$10:$E$197)*($F176='3. Plano_Detalhado'!$F$10:$F$197)*($C176='3. Plano_Detalhado'!$A$10:$A$197),0),4)</f>
        <v>2. Campo</v>
      </c>
      <c r="E176" s="207" t="s">
        <v>28</v>
      </c>
      <c r="F176" s="26" t="s">
        <v>114</v>
      </c>
      <c r="G176" s="208" t="str" cm="1">
        <f t="array" ref="G176">IF(INDEX('3. Plano_Detalhado'!$A$10:$H$197,MATCH(1,($E176='3. Plano_Detalhado'!$E$10:$E$197)*($F176='3. Plano_Detalhado'!$F$10:$F$197)*($C176='3. Plano_Detalhado'!$A$10:$A$197),0),7)="","",INDEX('3. Plano_Detalhado'!$A$10:$H$197,MATCH(1,($E176='3. Plano_Detalhado'!$E$10:$E$197)*($F176='3. Plano_Detalhado'!$F$10:$F$197)*($C176='3. Plano_Detalhado'!$A$10:$A$197),0),7))</f>
        <v/>
      </c>
      <c r="H176" s="186" t="str" cm="1">
        <f t="array" ref="H176">IF(INDEX('3. Plano_Detalhado'!$A$10:$H$197,MATCH(1,($E176='3. Plano_Detalhado'!$E$10:$E$197)*($F176='3. Plano_Detalhado'!$F$10:$F$197)*($C176='3. Plano_Detalhado'!$A$10:$A$197),0),8)="","",INDEX('3. Plano_Detalhado'!$A$10:$H$197,MATCH(1,($E176='3. Plano_Detalhado'!$E$10:$E$197)*($F176='3. Plano_Detalhado'!$F$10:$F$197)*($C176='3. Plano_Detalhado'!$A$10:$A$197),0),8))</f>
        <v/>
      </c>
      <c r="I176" s="26" t="str" cm="1">
        <f t="array" ref="I176">IF(INDEX('3. Plano_Detalhado'!$A$10:$Q$196,MATCH(1,($E176='3. Plano_Detalhado'!$E$10:$E$196)*($F176='3. Plano_Detalhado'!$F$10:$F$196)*($C176='3. Plano_Detalhado'!$A$10:$A$196),0),17)="","",INDEX('3. Plano_Detalhado'!$A$10:$Q$196,MATCH(1,($E176='3. Plano_Detalhado'!$E$10:$E$196)*($F176='3. Plano_Detalhado'!$F$10:$F$196)*($C176='3. Plano_Detalhado'!$A$10:$A$196),0),17))</f>
        <v/>
      </c>
      <c r="J176" s="187"/>
      <c r="K176" s="188"/>
      <c r="L176" s="188"/>
      <c r="M176" s="188"/>
      <c r="N176" s="188"/>
    </row>
    <row r="177" spans="1:14" ht="16.399999999999999" hidden="1" customHeight="1">
      <c r="A177" s="2"/>
      <c r="B177" s="48" t="s">
        <v>35</v>
      </c>
      <c r="C177" s="209" t="s">
        <v>381</v>
      </c>
      <c r="D177" s="26" t="str" cm="1">
        <f t="array" ref="D177">INDEX('3. Plano_Detalhado'!$A$10:$H$197,MATCH(1,($E177='3. Plano_Detalhado'!$E$10:$E$197)*($F177='3. Plano_Detalhado'!$F$10:$F$197)*($C177='3. Plano_Detalhado'!$A$10:$A$197),0),4)</f>
        <v>2. Campo</v>
      </c>
      <c r="E177" s="207" t="s">
        <v>28</v>
      </c>
      <c r="F177" s="26" t="s">
        <v>115</v>
      </c>
      <c r="G177" s="208" t="str" cm="1">
        <f t="array" ref="G177">IF(INDEX('3. Plano_Detalhado'!$A$10:$H$197,MATCH(1,($E177='3. Plano_Detalhado'!$E$10:$E$197)*($F177='3. Plano_Detalhado'!$F$10:$F$197)*($C177='3. Plano_Detalhado'!$A$10:$A$197),0),7)="","",INDEX('3. Plano_Detalhado'!$A$10:$H$197,MATCH(1,($E177='3. Plano_Detalhado'!$E$10:$E$197)*($F177='3. Plano_Detalhado'!$F$10:$F$197)*($C177='3. Plano_Detalhado'!$A$10:$A$197),0),7))</f>
        <v/>
      </c>
      <c r="H177" s="186" t="str" cm="1">
        <f t="array" ref="H177">IF(INDEX('3. Plano_Detalhado'!$A$10:$H$197,MATCH(1,($E177='3. Plano_Detalhado'!$E$10:$E$197)*($F177='3. Plano_Detalhado'!$F$10:$F$197)*($C177='3. Plano_Detalhado'!$A$10:$A$197),0),8)="","",INDEX('3. Plano_Detalhado'!$A$10:$H$197,MATCH(1,($E177='3. Plano_Detalhado'!$E$10:$E$197)*($F177='3. Plano_Detalhado'!$F$10:$F$197)*($C177='3. Plano_Detalhado'!$A$10:$A$197),0),8))</f>
        <v/>
      </c>
      <c r="I177" s="26" t="str" cm="1">
        <f t="array" ref="I177">IF(INDEX('3. Plano_Detalhado'!$A$10:$Q$196,MATCH(1,($E177='3. Plano_Detalhado'!$E$10:$E$196)*($F177='3. Plano_Detalhado'!$F$10:$F$196)*($C177='3. Plano_Detalhado'!$A$10:$A$196),0),17)="","",INDEX('3. Plano_Detalhado'!$A$10:$Q$196,MATCH(1,($E177='3. Plano_Detalhado'!$E$10:$E$196)*($F177='3. Plano_Detalhado'!$F$10:$F$196)*($C177='3. Plano_Detalhado'!$A$10:$A$196),0),17))</f>
        <v/>
      </c>
      <c r="J177" s="187"/>
      <c r="K177" s="188"/>
      <c r="L177" s="188"/>
      <c r="M177" s="188"/>
      <c r="N177" s="188"/>
    </row>
    <row r="178" spans="1:14" ht="16.399999999999999" hidden="1" customHeight="1">
      <c r="A178" s="2"/>
      <c r="B178" s="48" t="s">
        <v>35</v>
      </c>
      <c r="C178" s="209" t="s">
        <v>381</v>
      </c>
      <c r="D178" s="26" t="str" cm="1">
        <f t="array" ref="D178">INDEX('3. Plano_Detalhado'!$A$10:$H$197,MATCH(1,($E178='3. Plano_Detalhado'!$E$10:$E$197)*($F178='3. Plano_Detalhado'!$F$10:$F$197)*($C178='3. Plano_Detalhado'!$A$10:$A$197),0),4)</f>
        <v>2. Campo</v>
      </c>
      <c r="E178" s="207" t="s">
        <v>28</v>
      </c>
      <c r="F178" s="26" t="s">
        <v>118</v>
      </c>
      <c r="G178" s="208" t="str" cm="1">
        <f t="array" ref="G178">IF(INDEX('3. Plano_Detalhado'!$A$10:$H$197,MATCH(1,($E178='3. Plano_Detalhado'!$E$10:$E$197)*($F178='3. Plano_Detalhado'!$F$10:$F$197)*($C178='3. Plano_Detalhado'!$A$10:$A$197),0),7)="","",INDEX('3. Plano_Detalhado'!$A$10:$H$197,MATCH(1,($E178='3. Plano_Detalhado'!$E$10:$E$197)*($F178='3. Plano_Detalhado'!$F$10:$F$197)*($C178='3. Plano_Detalhado'!$A$10:$A$197),0),7))</f>
        <v/>
      </c>
      <c r="H178" s="186" t="str" cm="1">
        <f t="array" ref="H178">IF(INDEX('3. Plano_Detalhado'!$A$10:$H$197,MATCH(1,($E178='3. Plano_Detalhado'!$E$10:$E$197)*($F178='3. Plano_Detalhado'!$F$10:$F$197)*($C178='3. Plano_Detalhado'!$A$10:$A$197),0),8)="","",INDEX('3. Plano_Detalhado'!$A$10:$H$197,MATCH(1,($E178='3. Plano_Detalhado'!$E$10:$E$197)*($F178='3. Plano_Detalhado'!$F$10:$F$197)*($C178='3. Plano_Detalhado'!$A$10:$A$197),0),8))</f>
        <v/>
      </c>
      <c r="I178" s="26" t="str" cm="1">
        <f t="array" ref="I178">IF(INDEX('3. Plano_Detalhado'!$A$10:$Q$196,MATCH(1,($E178='3. Plano_Detalhado'!$E$10:$E$196)*($F178='3. Plano_Detalhado'!$F$10:$F$196)*($C178='3. Plano_Detalhado'!$A$10:$A$196),0),17)="","",INDEX('3. Plano_Detalhado'!$A$10:$Q$196,MATCH(1,($E178='3. Plano_Detalhado'!$E$10:$E$196)*($F178='3. Plano_Detalhado'!$F$10:$F$196)*($C178='3. Plano_Detalhado'!$A$10:$A$196),0),17))</f>
        <v/>
      </c>
      <c r="J178" s="187"/>
      <c r="K178" s="188"/>
      <c r="L178" s="188"/>
      <c r="M178" s="188"/>
      <c r="N178" s="188"/>
    </row>
    <row r="179" spans="1:14" ht="16.399999999999999" hidden="1" customHeight="1">
      <c r="A179" s="2"/>
      <c r="B179" s="48" t="s">
        <v>35</v>
      </c>
      <c r="C179" s="209" t="s">
        <v>381</v>
      </c>
      <c r="D179" s="26" t="str" cm="1">
        <f t="array" ref="D179">INDEX('3. Plano_Detalhado'!$A$10:$H$197,MATCH(1,($E179='3. Plano_Detalhado'!$E$10:$E$197)*($F179='3. Plano_Detalhado'!$F$10:$F$197)*($C179='3. Plano_Detalhado'!$A$10:$A$197),0),4)</f>
        <v>2. Campo</v>
      </c>
      <c r="E179" s="207" t="s">
        <v>108</v>
      </c>
      <c r="F179" s="26" t="s">
        <v>116</v>
      </c>
      <c r="G179" s="208" t="str" cm="1">
        <f t="array" ref="G179">IF(INDEX('3. Plano_Detalhado'!$A$10:$H$197,MATCH(1,($E179='3. Plano_Detalhado'!$E$10:$E$197)*($F179='3. Plano_Detalhado'!$F$10:$F$197)*($C179='3. Plano_Detalhado'!$A$10:$A$197),0),7)="","",INDEX('3. Plano_Detalhado'!$A$10:$H$197,MATCH(1,($E179='3. Plano_Detalhado'!$E$10:$E$197)*($F179='3. Plano_Detalhado'!$F$10:$F$197)*($C179='3. Plano_Detalhado'!$A$10:$A$197),0),7))</f>
        <v/>
      </c>
      <c r="H179" s="186" t="str" cm="1">
        <f t="array" ref="H179">IF(INDEX('3. Plano_Detalhado'!$A$10:$H$197,MATCH(1,($E179='3. Plano_Detalhado'!$E$10:$E$197)*($F179='3. Plano_Detalhado'!$F$10:$F$197)*($C179='3. Plano_Detalhado'!$A$10:$A$197),0),8)="","",INDEX('3. Plano_Detalhado'!$A$10:$H$197,MATCH(1,($E179='3. Plano_Detalhado'!$E$10:$E$197)*($F179='3. Plano_Detalhado'!$F$10:$F$197)*($C179='3. Plano_Detalhado'!$A$10:$A$197),0),8))</f>
        <v/>
      </c>
      <c r="I179" s="26" t="str" cm="1">
        <f t="array" ref="I179">IF(INDEX('3. Plano_Detalhado'!$A$10:$Q$196,MATCH(1,($E179='3. Plano_Detalhado'!$E$10:$E$196)*($F179='3. Plano_Detalhado'!$F$10:$F$196)*($C179='3. Plano_Detalhado'!$A$10:$A$196),0),17)="","",INDEX('3. Plano_Detalhado'!$A$10:$Q$196,MATCH(1,($E179='3. Plano_Detalhado'!$E$10:$E$196)*($F179='3. Plano_Detalhado'!$F$10:$F$196)*($C179='3. Plano_Detalhado'!$A$10:$A$196),0),17))</f>
        <v/>
      </c>
      <c r="J179" s="187"/>
      <c r="K179" s="188"/>
      <c r="L179" s="188"/>
      <c r="M179" s="188"/>
      <c r="N179" s="188"/>
    </row>
    <row r="180" spans="1:14" ht="16.399999999999999" hidden="1" customHeight="1">
      <c r="A180" s="2"/>
      <c r="B180" s="48" t="s">
        <v>35</v>
      </c>
      <c r="C180" s="209" t="s">
        <v>381</v>
      </c>
      <c r="D180" s="26" t="str" cm="1">
        <f t="array" ref="D180">INDEX('3. Plano_Detalhado'!$A$10:$H$197,MATCH(1,($E180='3. Plano_Detalhado'!$E$10:$E$197)*($F180='3. Plano_Detalhado'!$F$10:$F$197)*($C180='3. Plano_Detalhado'!$A$10:$A$197),0),4)</f>
        <v>2. Campo</v>
      </c>
      <c r="E180" s="207" t="s">
        <v>29</v>
      </c>
      <c r="F180" s="26" t="s">
        <v>64</v>
      </c>
      <c r="G180" s="208" t="str" cm="1">
        <f t="array" ref="G180">IF(INDEX('3. Plano_Detalhado'!$A$10:$H$197,MATCH(1,($E180='3. Plano_Detalhado'!$E$10:$E$197)*($F180='3. Plano_Detalhado'!$F$10:$F$197)*($C180='3. Plano_Detalhado'!$A$10:$A$197),0),7)="","",INDEX('3. Plano_Detalhado'!$A$10:$H$197,MATCH(1,($E180='3. Plano_Detalhado'!$E$10:$E$197)*($F180='3. Plano_Detalhado'!$F$10:$F$197)*($C180='3. Plano_Detalhado'!$A$10:$A$197),0),7))</f>
        <v/>
      </c>
      <c r="H180" s="186" t="str" cm="1">
        <f t="array" ref="H180">IF(INDEX('3. Plano_Detalhado'!$A$10:$H$197,MATCH(1,($E180='3. Plano_Detalhado'!$E$10:$E$197)*($F180='3. Plano_Detalhado'!$F$10:$F$197)*($C180='3. Plano_Detalhado'!$A$10:$A$197),0),8)="","",INDEX('3. Plano_Detalhado'!$A$10:$H$197,MATCH(1,($E180='3. Plano_Detalhado'!$E$10:$E$197)*($F180='3. Plano_Detalhado'!$F$10:$F$197)*($C180='3. Plano_Detalhado'!$A$10:$A$197),0),8))</f>
        <v/>
      </c>
      <c r="I180" s="26" t="str" cm="1">
        <f t="array" ref="I180">IF(INDEX('3. Plano_Detalhado'!$A$10:$Q$196,MATCH(1,($E180='3. Plano_Detalhado'!$E$10:$E$196)*($F180='3. Plano_Detalhado'!$F$10:$F$196)*($C180='3. Plano_Detalhado'!$A$10:$A$196),0),17)="","",INDEX('3. Plano_Detalhado'!$A$10:$Q$196,MATCH(1,($E180='3. Plano_Detalhado'!$E$10:$E$196)*($F180='3. Plano_Detalhado'!$F$10:$F$196)*($C180='3. Plano_Detalhado'!$A$10:$A$196),0),17))</f>
        <v/>
      </c>
      <c r="J180" s="187"/>
      <c r="K180" s="188"/>
      <c r="L180" s="188"/>
      <c r="M180" s="188"/>
      <c r="N180" s="188"/>
    </row>
    <row r="181" spans="1:14" ht="16.399999999999999" hidden="1" customHeight="1">
      <c r="A181" s="2"/>
      <c r="B181" s="48" t="s">
        <v>35</v>
      </c>
      <c r="C181" s="209" t="s">
        <v>381</v>
      </c>
      <c r="D181" s="26" t="str" cm="1">
        <f t="array" ref="D181">INDEX('3. Plano_Detalhado'!$A$10:$H$197,MATCH(1,($E181='3. Plano_Detalhado'!$E$10:$E$197)*($F181='3. Plano_Detalhado'!$F$10:$F$197)*($C181='3. Plano_Detalhado'!$A$10:$A$197),0),4)</f>
        <v>2. Campo</v>
      </c>
      <c r="E181" s="207" t="s">
        <v>108</v>
      </c>
      <c r="F181" s="26" t="s">
        <v>58</v>
      </c>
      <c r="G181" s="208" t="str" cm="1">
        <f t="array" ref="G181">IF(INDEX('3. Plano_Detalhado'!$A$10:$H$197,MATCH(1,($E181='3. Plano_Detalhado'!$E$10:$E$197)*($F181='3. Plano_Detalhado'!$F$10:$F$197)*($C181='3. Plano_Detalhado'!$A$10:$A$197),0),7)="","",INDEX('3. Plano_Detalhado'!$A$10:$H$197,MATCH(1,($E181='3. Plano_Detalhado'!$E$10:$E$197)*($F181='3. Plano_Detalhado'!$F$10:$F$197)*($C181='3. Plano_Detalhado'!$A$10:$A$197),0),7))</f>
        <v/>
      </c>
      <c r="H181" s="186" t="str" cm="1">
        <f t="array" ref="H181">IF(INDEX('3. Plano_Detalhado'!$A$10:$H$197,MATCH(1,($E181='3. Plano_Detalhado'!$E$10:$E$197)*($F181='3. Plano_Detalhado'!$F$10:$F$197)*($C181='3. Plano_Detalhado'!$A$10:$A$197),0),8)="","",INDEX('3. Plano_Detalhado'!$A$10:$H$197,MATCH(1,($E181='3. Plano_Detalhado'!$E$10:$E$197)*($F181='3. Plano_Detalhado'!$F$10:$F$197)*($C181='3. Plano_Detalhado'!$A$10:$A$197),0),8))</f>
        <v/>
      </c>
      <c r="I181" s="26" t="str" cm="1">
        <f t="array" ref="I181">IF(INDEX('3. Plano_Detalhado'!$A$10:$Q$196,MATCH(1,($E181='3. Plano_Detalhado'!$E$10:$E$196)*($F181='3. Plano_Detalhado'!$F$10:$F$196)*($C181='3. Plano_Detalhado'!$A$10:$A$196),0),17)="","",INDEX('3. Plano_Detalhado'!$A$10:$Q$196,MATCH(1,($E181='3. Plano_Detalhado'!$E$10:$E$196)*($F181='3. Plano_Detalhado'!$F$10:$F$196)*($C181='3. Plano_Detalhado'!$A$10:$A$196),0),17))</f>
        <v/>
      </c>
      <c r="J181" s="187"/>
      <c r="K181" s="188"/>
      <c r="L181" s="188"/>
      <c r="M181" s="188"/>
      <c r="N181" s="188"/>
    </row>
    <row r="182" spans="1:14" ht="16.399999999999999" hidden="1" customHeight="1">
      <c r="A182" s="2"/>
      <c r="B182" s="48" t="s">
        <v>35</v>
      </c>
      <c r="C182" s="209" t="s">
        <v>381</v>
      </c>
      <c r="D182" s="26" t="str" cm="1">
        <f t="array" ref="D182">INDEX('3. Plano_Detalhado'!$A$10:$H$197,MATCH(1,($E182='3. Plano_Detalhado'!$E$10:$E$197)*($F182='3. Plano_Detalhado'!$F$10:$F$197)*($C182='3. Plano_Detalhado'!$A$10:$A$197),0),4)</f>
        <v>2. Campo</v>
      </c>
      <c r="E182" s="207" t="s">
        <v>108</v>
      </c>
      <c r="F182" s="26" t="s">
        <v>59</v>
      </c>
      <c r="G182" s="208" t="str" cm="1">
        <f t="array" ref="G182">IF(INDEX('3. Plano_Detalhado'!$A$10:$H$197,MATCH(1,($E182='3. Plano_Detalhado'!$E$10:$E$197)*($F182='3. Plano_Detalhado'!$F$10:$F$197)*($C182='3. Plano_Detalhado'!$A$10:$A$197),0),7)="","",INDEX('3. Plano_Detalhado'!$A$10:$H$197,MATCH(1,($E182='3. Plano_Detalhado'!$E$10:$E$197)*($F182='3. Plano_Detalhado'!$F$10:$F$197)*($C182='3. Plano_Detalhado'!$A$10:$A$197),0),7))</f>
        <v/>
      </c>
      <c r="H182" s="186" t="str" cm="1">
        <f t="array" ref="H182">IF(INDEX('3. Plano_Detalhado'!$A$10:$H$197,MATCH(1,($E182='3. Plano_Detalhado'!$E$10:$E$197)*($F182='3. Plano_Detalhado'!$F$10:$F$197)*($C182='3. Plano_Detalhado'!$A$10:$A$197),0),8)="","",INDEX('3. Plano_Detalhado'!$A$10:$H$197,MATCH(1,($E182='3. Plano_Detalhado'!$E$10:$E$197)*($F182='3. Plano_Detalhado'!$F$10:$F$197)*($C182='3. Plano_Detalhado'!$A$10:$A$197),0),8))</f>
        <v/>
      </c>
      <c r="I182" s="26" t="str" cm="1">
        <f t="array" ref="I182">IF(INDEX('3. Plano_Detalhado'!$A$10:$Q$196,MATCH(1,($E182='3. Plano_Detalhado'!$E$10:$E$196)*($F182='3. Plano_Detalhado'!$F$10:$F$196)*($C182='3. Plano_Detalhado'!$A$10:$A$196),0),17)="","",INDEX('3. Plano_Detalhado'!$A$10:$Q$196,MATCH(1,($E182='3. Plano_Detalhado'!$E$10:$E$196)*($F182='3. Plano_Detalhado'!$F$10:$F$196)*($C182='3. Plano_Detalhado'!$A$10:$A$196),0),17))</f>
        <v/>
      </c>
      <c r="J182" s="187"/>
      <c r="K182" s="188"/>
      <c r="L182" s="188"/>
      <c r="M182" s="188"/>
      <c r="N182" s="188"/>
    </row>
    <row r="183" spans="1:14" ht="16.399999999999999" hidden="1" customHeight="1">
      <c r="A183" s="2"/>
      <c r="B183" s="48" t="s">
        <v>35</v>
      </c>
      <c r="C183" s="209" t="s">
        <v>381</v>
      </c>
      <c r="D183" s="26" t="str" cm="1">
        <f t="array" ref="D183">INDEX('3. Plano_Detalhado'!$A$10:$H$197,MATCH(1,($E183='3. Plano_Detalhado'!$E$10:$E$197)*($F183='3. Plano_Detalhado'!$F$10:$F$197)*($C183='3. Plano_Detalhado'!$A$10:$A$197),0),4)</f>
        <v>2. Campo</v>
      </c>
      <c r="E183" s="207" t="s">
        <v>29</v>
      </c>
      <c r="F183" s="26" t="s">
        <v>53</v>
      </c>
      <c r="G183" s="208" t="str" cm="1">
        <f t="array" ref="G183">IF(INDEX('3. Plano_Detalhado'!$A$10:$H$197,MATCH(1,($E183='3. Plano_Detalhado'!$E$10:$E$197)*($F183='3. Plano_Detalhado'!$F$10:$F$197)*($C183='3. Plano_Detalhado'!$A$10:$A$197),0),7)="","",INDEX('3. Plano_Detalhado'!$A$10:$H$197,MATCH(1,($E183='3. Plano_Detalhado'!$E$10:$E$197)*($F183='3. Plano_Detalhado'!$F$10:$F$197)*($C183='3. Plano_Detalhado'!$A$10:$A$197),0),7))</f>
        <v/>
      </c>
      <c r="H183" s="186" t="str" cm="1">
        <f t="array" ref="H183">IF(INDEX('3. Plano_Detalhado'!$A$10:$H$197,MATCH(1,($E183='3. Plano_Detalhado'!$E$10:$E$197)*($F183='3. Plano_Detalhado'!$F$10:$F$197)*($C183='3. Plano_Detalhado'!$A$10:$A$197),0),8)="","",INDEX('3. Plano_Detalhado'!$A$10:$H$197,MATCH(1,($E183='3. Plano_Detalhado'!$E$10:$E$197)*($F183='3. Plano_Detalhado'!$F$10:$F$197)*($C183='3. Plano_Detalhado'!$A$10:$A$197),0),8))</f>
        <v/>
      </c>
      <c r="I183" s="26" t="str" cm="1">
        <f t="array" ref="I183">IF(INDEX('3. Plano_Detalhado'!$A$10:$Q$196,MATCH(1,($E183='3. Plano_Detalhado'!$E$10:$E$196)*($F183='3. Plano_Detalhado'!$F$10:$F$196)*($C183='3. Plano_Detalhado'!$A$10:$A$196),0),17)="","",INDEX('3. Plano_Detalhado'!$A$10:$Q$196,MATCH(1,($E183='3. Plano_Detalhado'!$E$10:$E$196)*($F183='3. Plano_Detalhado'!$F$10:$F$196)*($C183='3. Plano_Detalhado'!$A$10:$A$196),0),17))</f>
        <v/>
      </c>
      <c r="J183" s="187"/>
      <c r="K183" s="188"/>
      <c r="L183" s="188"/>
      <c r="M183" s="188"/>
      <c r="N183" s="188"/>
    </row>
    <row r="184" spans="1:14" ht="16.399999999999999" hidden="1" customHeight="1">
      <c r="A184" s="2"/>
      <c r="B184" s="48" t="s">
        <v>35</v>
      </c>
      <c r="C184" s="209" t="s">
        <v>381</v>
      </c>
      <c r="D184" s="26" t="str" cm="1">
        <f t="array" ref="D184">INDEX('3. Plano_Detalhado'!$A$10:$H$197,MATCH(1,($E184='3. Plano_Detalhado'!$E$10:$E$197)*($F184='3. Plano_Detalhado'!$F$10:$F$197)*($C184='3. Plano_Detalhado'!$A$10:$A$197),0),4)</f>
        <v>2. Campo</v>
      </c>
      <c r="E184" s="207" t="s">
        <v>275</v>
      </c>
      <c r="F184" s="26" t="s">
        <v>117</v>
      </c>
      <c r="G184" s="208" t="str" cm="1">
        <f t="array" ref="G184">IF(INDEX('3. Plano_Detalhado'!$A$10:$H$197,MATCH(1,($E184='3. Plano_Detalhado'!$E$10:$E$197)*($F184='3. Plano_Detalhado'!$F$10:$F$197)*($C184='3. Plano_Detalhado'!$A$10:$A$197),0),7)="","",INDEX('3. Plano_Detalhado'!$A$10:$H$197,MATCH(1,($E184='3. Plano_Detalhado'!$E$10:$E$197)*($F184='3. Plano_Detalhado'!$F$10:$F$197)*($C184='3. Plano_Detalhado'!$A$10:$A$197),0),7))</f>
        <v/>
      </c>
      <c r="H184" s="186" t="str" cm="1">
        <f t="array" ref="H184">IF(INDEX('3. Plano_Detalhado'!$A$10:$H$197,MATCH(1,($E184='3. Plano_Detalhado'!$E$10:$E$197)*($F184='3. Plano_Detalhado'!$F$10:$F$197)*($C184='3. Plano_Detalhado'!$A$10:$A$197),0),8)="","",INDEX('3. Plano_Detalhado'!$A$10:$H$197,MATCH(1,($E184='3. Plano_Detalhado'!$E$10:$E$197)*($F184='3. Plano_Detalhado'!$F$10:$F$197)*($C184='3. Plano_Detalhado'!$A$10:$A$197),0),8))</f>
        <v/>
      </c>
      <c r="I184" s="26" t="str" cm="1">
        <f t="array" ref="I184">IF(INDEX('3. Plano_Detalhado'!$A$10:$Q$196,MATCH(1,($E184='3. Plano_Detalhado'!$E$10:$E$196)*($F184='3. Plano_Detalhado'!$F$10:$F$196)*($C184='3. Plano_Detalhado'!$A$10:$A$196),0),17)="","",INDEX('3. Plano_Detalhado'!$A$10:$Q$196,MATCH(1,($E184='3. Plano_Detalhado'!$E$10:$E$196)*($F184='3. Plano_Detalhado'!$F$10:$F$196)*($C184='3. Plano_Detalhado'!$A$10:$A$196),0),17))</f>
        <v/>
      </c>
      <c r="J184" s="187"/>
      <c r="K184" s="188"/>
      <c r="L184" s="188"/>
      <c r="M184" s="188"/>
      <c r="N184" s="188"/>
    </row>
    <row r="185" spans="1:14" ht="16.399999999999999" hidden="1" customHeight="1">
      <c r="A185" s="2"/>
      <c r="B185" s="48" t="s">
        <v>35</v>
      </c>
      <c r="C185" s="209" t="s">
        <v>381</v>
      </c>
      <c r="D185" s="26" t="str" cm="1">
        <f t="array" ref="D185">INDEX('3. Plano_Detalhado'!$A$10:$H$197,MATCH(1,($E185='3. Plano_Detalhado'!$E$10:$E$197)*($F185='3. Plano_Detalhado'!$F$10:$F$197)*($C185='3. Plano_Detalhado'!$A$10:$A$197),0),4)</f>
        <v>2. Campo</v>
      </c>
      <c r="E185" s="207" t="s">
        <v>108</v>
      </c>
      <c r="F185" s="26" t="s">
        <v>51</v>
      </c>
      <c r="G185" s="208" t="str" cm="1">
        <f t="array" ref="G185">IF(INDEX('3. Plano_Detalhado'!$A$10:$H$197,MATCH(1,($E185='3. Plano_Detalhado'!$E$10:$E$197)*($F185='3. Plano_Detalhado'!$F$10:$F$197)*($C185='3. Plano_Detalhado'!$A$10:$A$197),0),7)="","",INDEX('3. Plano_Detalhado'!$A$10:$H$197,MATCH(1,($E185='3. Plano_Detalhado'!$E$10:$E$197)*($F185='3. Plano_Detalhado'!$F$10:$F$197)*($C185='3. Plano_Detalhado'!$A$10:$A$197),0),7))</f>
        <v/>
      </c>
      <c r="H185" s="186" t="str" cm="1">
        <f t="array" ref="H185">IF(INDEX('3. Plano_Detalhado'!$A$10:$H$197,MATCH(1,($E185='3. Plano_Detalhado'!$E$10:$E$197)*($F185='3. Plano_Detalhado'!$F$10:$F$197)*($C185='3. Plano_Detalhado'!$A$10:$A$197),0),8)="","",INDEX('3. Plano_Detalhado'!$A$10:$H$197,MATCH(1,($E185='3. Plano_Detalhado'!$E$10:$E$197)*($F185='3. Plano_Detalhado'!$F$10:$F$197)*($C185='3. Plano_Detalhado'!$A$10:$A$197),0),8))</f>
        <v/>
      </c>
      <c r="I185" s="26" t="str" cm="1">
        <f t="array" ref="I185">IF(INDEX('3. Plano_Detalhado'!$A$10:$Q$196,MATCH(1,($E185='3. Plano_Detalhado'!$E$10:$E$196)*($F185='3. Plano_Detalhado'!$F$10:$F$196)*($C185='3. Plano_Detalhado'!$A$10:$A$196),0),17)="","",INDEX('3. Plano_Detalhado'!$A$10:$Q$196,MATCH(1,($E185='3. Plano_Detalhado'!$E$10:$E$196)*($F185='3. Plano_Detalhado'!$F$10:$F$196)*($C185='3. Plano_Detalhado'!$A$10:$A$196),0),17))</f>
        <v/>
      </c>
      <c r="J185" s="187"/>
      <c r="K185" s="188"/>
      <c r="L185" s="188"/>
      <c r="M185" s="188"/>
      <c r="N185" s="188"/>
    </row>
    <row r="186" spans="1:14" ht="16.399999999999999" hidden="1" customHeight="1">
      <c r="A186" s="2"/>
      <c r="B186" s="48" t="s">
        <v>35</v>
      </c>
      <c r="C186" s="209" t="s">
        <v>381</v>
      </c>
      <c r="D186" s="26" t="str" cm="1">
        <f t="array" ref="D186">INDEX('3. Plano_Detalhado'!$A$10:$H$197,MATCH(1,($E186='3. Plano_Detalhado'!$E$10:$E$197)*($F186='3. Plano_Detalhado'!$F$10:$F$197)*($C186='3. Plano_Detalhado'!$A$10:$A$197),0),4)</f>
        <v>2. Campo</v>
      </c>
      <c r="E186" s="207" t="s">
        <v>108</v>
      </c>
      <c r="F186" s="26" t="s">
        <v>52</v>
      </c>
      <c r="G186" s="208" t="str" cm="1">
        <f t="array" ref="G186">IF(INDEX('3. Plano_Detalhado'!$A$10:$H$197,MATCH(1,($E186='3. Plano_Detalhado'!$E$10:$E$197)*($F186='3. Plano_Detalhado'!$F$10:$F$197)*($C186='3. Plano_Detalhado'!$A$10:$A$197),0),7)="","",INDEX('3. Plano_Detalhado'!$A$10:$H$197,MATCH(1,($E186='3. Plano_Detalhado'!$E$10:$E$197)*($F186='3. Plano_Detalhado'!$F$10:$F$197)*($C186='3. Plano_Detalhado'!$A$10:$A$197),0),7))</f>
        <v/>
      </c>
      <c r="H186" s="186" t="str" cm="1">
        <f t="array" ref="H186">IF(INDEX('3. Plano_Detalhado'!$A$10:$H$197,MATCH(1,($E186='3. Plano_Detalhado'!$E$10:$E$197)*($F186='3. Plano_Detalhado'!$F$10:$F$197)*($C186='3. Plano_Detalhado'!$A$10:$A$197),0),8)="","",INDEX('3. Plano_Detalhado'!$A$10:$H$197,MATCH(1,($E186='3. Plano_Detalhado'!$E$10:$E$197)*($F186='3. Plano_Detalhado'!$F$10:$F$197)*($C186='3. Plano_Detalhado'!$A$10:$A$197),0),8))</f>
        <v/>
      </c>
      <c r="I186" s="26" t="str" cm="1">
        <f t="array" ref="I186">IF(INDEX('3. Plano_Detalhado'!$A$10:$Q$196,MATCH(1,($E186='3. Plano_Detalhado'!$E$10:$E$196)*($F186='3. Plano_Detalhado'!$F$10:$F$196)*($C186='3. Plano_Detalhado'!$A$10:$A$196),0),17)="","",INDEX('3. Plano_Detalhado'!$A$10:$Q$196,MATCH(1,($E186='3. Plano_Detalhado'!$E$10:$E$196)*($F186='3. Plano_Detalhado'!$F$10:$F$196)*($C186='3. Plano_Detalhado'!$A$10:$A$196),0),17))</f>
        <v/>
      </c>
      <c r="J186" s="187"/>
      <c r="K186" s="188"/>
      <c r="L186" s="188"/>
      <c r="M186" s="188"/>
      <c r="N186" s="188"/>
    </row>
    <row r="187" spans="1:14" ht="16.399999999999999" hidden="1" customHeight="1">
      <c r="A187" s="2"/>
      <c r="B187" s="48" t="s">
        <v>35</v>
      </c>
      <c r="C187" s="209" t="s">
        <v>381</v>
      </c>
      <c r="D187" s="26" t="str" cm="1">
        <f t="array" ref="D187">INDEX('3. Plano_Detalhado'!$A$10:$H$197,MATCH(1,($E187='3. Plano_Detalhado'!$E$10:$E$197)*($F187='3. Plano_Detalhado'!$F$10:$F$197)*($C187='3. Plano_Detalhado'!$A$10:$A$197),0),4)</f>
        <v>2. Campo</v>
      </c>
      <c r="E187" s="207" t="s">
        <v>108</v>
      </c>
      <c r="F187" s="26" t="s">
        <v>53</v>
      </c>
      <c r="G187" s="208" t="str" cm="1">
        <f t="array" ref="G187">IF(INDEX('3. Plano_Detalhado'!$A$10:$H$197,MATCH(1,($E187='3. Plano_Detalhado'!$E$10:$E$197)*($F187='3. Plano_Detalhado'!$F$10:$F$197)*($C187='3. Plano_Detalhado'!$A$10:$A$197),0),7)="","",INDEX('3. Plano_Detalhado'!$A$10:$H$197,MATCH(1,($E187='3. Plano_Detalhado'!$E$10:$E$197)*($F187='3. Plano_Detalhado'!$F$10:$F$197)*($C187='3. Plano_Detalhado'!$A$10:$A$197),0),7))</f>
        <v/>
      </c>
      <c r="H187" s="186" t="str" cm="1">
        <f t="array" ref="H187">IF(INDEX('3. Plano_Detalhado'!$A$10:$H$197,MATCH(1,($E187='3. Plano_Detalhado'!$E$10:$E$197)*($F187='3. Plano_Detalhado'!$F$10:$F$197)*($C187='3. Plano_Detalhado'!$A$10:$A$197),0),8)="","",INDEX('3. Plano_Detalhado'!$A$10:$H$197,MATCH(1,($E187='3. Plano_Detalhado'!$E$10:$E$197)*($F187='3. Plano_Detalhado'!$F$10:$F$197)*($C187='3. Plano_Detalhado'!$A$10:$A$197),0),8))</f>
        <v/>
      </c>
      <c r="I187" s="26" t="str" cm="1">
        <f t="array" ref="I187">IF(INDEX('3. Plano_Detalhado'!$A$10:$Q$196,MATCH(1,($E187='3. Plano_Detalhado'!$E$10:$E$196)*($F187='3. Plano_Detalhado'!$F$10:$F$196)*($C187='3. Plano_Detalhado'!$A$10:$A$196),0),17)="","",INDEX('3. Plano_Detalhado'!$A$10:$Q$196,MATCH(1,($E187='3. Plano_Detalhado'!$E$10:$E$196)*($F187='3. Plano_Detalhado'!$F$10:$F$196)*($C187='3. Plano_Detalhado'!$A$10:$A$196),0),17))</f>
        <v/>
      </c>
      <c r="J187" s="187"/>
      <c r="K187" s="188"/>
      <c r="L187" s="188"/>
      <c r="M187" s="188"/>
      <c r="N187" s="188"/>
    </row>
    <row r="188" spans="1:14" ht="16.399999999999999" customHeight="1">
      <c r="A188" s="2"/>
    </row>
    <row r="189" spans="1:14" ht="16.399999999999999" customHeight="1">
      <c r="A189" s="2"/>
    </row>
    <row r="190" spans="1:14" ht="16.399999999999999" customHeight="1">
      <c r="A190" s="2"/>
    </row>
    <row r="191" spans="1:14" ht="16.399999999999999" customHeight="1">
      <c r="A191" s="2"/>
    </row>
    <row r="192" spans="1:14" ht="16.399999999999999" customHeight="1">
      <c r="A192" s="2"/>
    </row>
    <row r="193" spans="1:1" ht="16.399999999999999" customHeight="1">
      <c r="A193" s="2"/>
    </row>
    <row r="194" spans="1:1" ht="16.399999999999999" customHeight="1">
      <c r="A194" s="2"/>
    </row>
    <row r="195" spans="1:1" ht="16.399999999999999" customHeight="1">
      <c r="A195" s="2"/>
    </row>
    <row r="196" spans="1:1" ht="16.399999999999999" customHeight="1">
      <c r="A196" s="2"/>
    </row>
    <row r="197" spans="1:1" ht="16.399999999999999" customHeight="1">
      <c r="A197" s="2"/>
    </row>
    <row r="198" spans="1:1" ht="16.399999999999999" customHeight="1">
      <c r="A198" s="2"/>
    </row>
    <row r="199" spans="1:1" ht="16.399999999999999" customHeight="1">
      <c r="A199" s="2"/>
    </row>
    <row r="200" spans="1:1" ht="16.399999999999999" customHeight="1">
      <c r="A200" s="2"/>
    </row>
    <row r="201" spans="1:1" ht="16.399999999999999" customHeight="1">
      <c r="A201" s="2"/>
    </row>
    <row r="202" spans="1:1" ht="16.399999999999999" customHeight="1">
      <c r="A202" s="2"/>
    </row>
    <row r="203" spans="1:1" ht="16.399999999999999" customHeight="1">
      <c r="A203" s="2"/>
    </row>
    <row r="204" spans="1:1" ht="16.399999999999999" customHeight="1">
      <c r="A204" s="2"/>
    </row>
    <row r="205" spans="1:1" ht="16.399999999999999" customHeight="1">
      <c r="A205" s="2"/>
    </row>
    <row r="206" spans="1:1" ht="16.399999999999999" customHeight="1">
      <c r="A206" s="2"/>
    </row>
    <row r="207" spans="1:1" ht="16.399999999999999" customHeight="1">
      <c r="A207" s="2"/>
    </row>
    <row r="208" spans="1:1" ht="16.399999999999999" customHeight="1">
      <c r="A208" s="2"/>
    </row>
    <row r="209" spans="1:1" ht="16.399999999999999" customHeight="1">
      <c r="A209" s="2"/>
    </row>
    <row r="210" spans="1:1" ht="16.399999999999999" customHeight="1">
      <c r="A210" s="2"/>
    </row>
    <row r="211" spans="1:1" ht="16.399999999999999" customHeight="1">
      <c r="A211" s="2"/>
    </row>
    <row r="212" spans="1:1" ht="16.399999999999999" customHeight="1">
      <c r="A212" s="2"/>
    </row>
    <row r="213" spans="1:1" ht="16.399999999999999" customHeight="1">
      <c r="A213" s="2"/>
    </row>
    <row r="214" spans="1:1" ht="16.399999999999999" customHeight="1">
      <c r="A214" s="2"/>
    </row>
    <row r="215" spans="1:1" ht="16.399999999999999" customHeight="1">
      <c r="A215" s="2"/>
    </row>
    <row r="216" spans="1:1" ht="16.399999999999999" customHeight="1">
      <c r="A216" s="2"/>
    </row>
    <row r="217" spans="1:1" ht="16.399999999999999" customHeight="1">
      <c r="A217" s="2"/>
    </row>
    <row r="218" spans="1:1" ht="16.399999999999999" customHeight="1">
      <c r="A218" s="2"/>
    </row>
    <row r="219" spans="1:1" ht="16.399999999999999" customHeight="1">
      <c r="A219" s="2"/>
    </row>
    <row r="220" spans="1:1" ht="16.399999999999999" customHeight="1">
      <c r="A220" s="2"/>
    </row>
    <row r="221" spans="1:1" ht="16.399999999999999" customHeight="1">
      <c r="A221" s="2"/>
    </row>
    <row r="222" spans="1:1" ht="16.399999999999999" customHeight="1">
      <c r="A222" s="2"/>
    </row>
    <row r="223" spans="1:1" ht="16.399999999999999" customHeight="1">
      <c r="A223" s="2"/>
    </row>
    <row r="224" spans="1:1" ht="16.399999999999999" customHeight="1">
      <c r="A224" s="2"/>
    </row>
    <row r="225" spans="1:1" ht="16.399999999999999" customHeight="1">
      <c r="A225" s="2"/>
    </row>
    <row r="226" spans="1:1" ht="16.399999999999999" customHeight="1">
      <c r="A226" s="2"/>
    </row>
    <row r="227" spans="1:1" ht="16.399999999999999" customHeight="1">
      <c r="A227" s="2"/>
    </row>
    <row r="228" spans="1:1" ht="16.399999999999999" customHeight="1">
      <c r="A228" s="2"/>
    </row>
    <row r="229" spans="1:1" ht="16.399999999999999" customHeight="1">
      <c r="A229" s="2"/>
    </row>
    <row r="230" spans="1:1" ht="16.399999999999999" customHeight="1">
      <c r="A230" s="2"/>
    </row>
    <row r="231" spans="1:1" ht="16.399999999999999" customHeight="1">
      <c r="A231" s="2"/>
    </row>
    <row r="232" spans="1:1" ht="16.399999999999999" customHeight="1">
      <c r="A232" s="2"/>
    </row>
    <row r="233" spans="1:1" ht="16.399999999999999" customHeight="1">
      <c r="A233" s="2"/>
    </row>
    <row r="234" spans="1:1" ht="16.399999999999999" customHeight="1">
      <c r="A234" s="2"/>
    </row>
    <row r="235" spans="1:1" ht="16.399999999999999" customHeight="1">
      <c r="A235" s="2"/>
    </row>
    <row r="236" spans="1:1" ht="16.399999999999999" customHeight="1">
      <c r="A236" s="2"/>
    </row>
    <row r="237" spans="1:1" ht="16.399999999999999" customHeight="1">
      <c r="A237" s="2"/>
    </row>
    <row r="238" spans="1:1" ht="16.399999999999999" customHeight="1">
      <c r="A238" s="2"/>
    </row>
    <row r="239" spans="1:1" ht="16.399999999999999" customHeight="1">
      <c r="A239" s="2"/>
    </row>
    <row r="240" spans="1:1" ht="16.399999999999999" customHeight="1">
      <c r="A240" s="2"/>
    </row>
    <row r="241" spans="1:1" ht="16.399999999999999" customHeight="1">
      <c r="A241" s="2"/>
    </row>
    <row r="242" spans="1:1" ht="16.399999999999999" customHeight="1">
      <c r="A242" s="2"/>
    </row>
    <row r="243" spans="1:1" ht="16.399999999999999" customHeight="1">
      <c r="A243" s="2"/>
    </row>
    <row r="244" spans="1:1" ht="16.399999999999999" customHeight="1">
      <c r="A244" s="2"/>
    </row>
    <row r="245" spans="1:1" ht="16.399999999999999" customHeight="1">
      <c r="A245" s="2"/>
    </row>
    <row r="246" spans="1:1" ht="16.399999999999999" customHeight="1">
      <c r="A246" s="2"/>
    </row>
    <row r="247" spans="1:1" ht="16.399999999999999" customHeight="1">
      <c r="A247" s="2"/>
    </row>
    <row r="248" spans="1:1" ht="16.399999999999999" customHeight="1">
      <c r="A248" s="2"/>
    </row>
    <row r="249" spans="1:1" ht="16.399999999999999" customHeight="1">
      <c r="A249" s="2"/>
    </row>
    <row r="250" spans="1:1" ht="16.399999999999999" customHeight="1">
      <c r="A250" s="2"/>
    </row>
    <row r="251" spans="1:1" ht="16.399999999999999" customHeight="1">
      <c r="A251" s="2"/>
    </row>
    <row r="252" spans="1:1" ht="16.399999999999999" customHeight="1">
      <c r="A252" s="2"/>
    </row>
    <row r="253" spans="1:1" ht="16.399999999999999" customHeight="1">
      <c r="A253" s="2"/>
    </row>
    <row r="254" spans="1:1" ht="16.399999999999999" customHeight="1">
      <c r="A254" s="2"/>
    </row>
    <row r="255" spans="1:1" ht="16.399999999999999" customHeight="1">
      <c r="A255" s="2"/>
    </row>
    <row r="256" spans="1:1" ht="16.399999999999999" customHeight="1">
      <c r="A256" s="2"/>
    </row>
    <row r="257" spans="1:1" ht="16.399999999999999" customHeight="1">
      <c r="A257" s="2"/>
    </row>
    <row r="258" spans="1:1" ht="16.399999999999999" customHeight="1">
      <c r="A258" s="2"/>
    </row>
    <row r="259" spans="1:1" ht="16.399999999999999" customHeight="1">
      <c r="A259" s="2"/>
    </row>
    <row r="260" spans="1:1" ht="16.399999999999999" customHeight="1">
      <c r="A260" s="2"/>
    </row>
    <row r="261" spans="1:1" ht="16.399999999999999" customHeight="1">
      <c r="A261" s="2"/>
    </row>
    <row r="262" spans="1:1" ht="16.399999999999999" customHeight="1">
      <c r="A262" s="2"/>
    </row>
    <row r="263" spans="1:1" ht="16.399999999999999" customHeight="1">
      <c r="A263" s="2"/>
    </row>
    <row r="264" spans="1:1" ht="16.399999999999999" customHeight="1">
      <c r="A264" s="2"/>
    </row>
    <row r="265" spans="1:1" ht="16.399999999999999" customHeight="1">
      <c r="A265" s="2"/>
    </row>
    <row r="266" spans="1:1" ht="16.399999999999999" customHeight="1">
      <c r="A266" s="2"/>
    </row>
    <row r="267" spans="1:1" ht="16.399999999999999" customHeight="1">
      <c r="A267" s="2"/>
    </row>
    <row r="268" spans="1:1" ht="16.399999999999999" customHeight="1">
      <c r="A268" s="2"/>
    </row>
    <row r="269" spans="1:1" ht="16.399999999999999" customHeight="1">
      <c r="A269" s="2"/>
    </row>
    <row r="270" spans="1:1" ht="16.399999999999999" customHeight="1">
      <c r="A270" s="2"/>
    </row>
    <row r="271" spans="1:1" ht="16.399999999999999" customHeight="1">
      <c r="A271" s="2"/>
    </row>
    <row r="272" spans="1:1" ht="16.399999999999999" customHeight="1">
      <c r="A272" s="2"/>
    </row>
    <row r="273" spans="1:1" ht="16.399999999999999" customHeight="1">
      <c r="A273" s="2"/>
    </row>
    <row r="274" spans="1:1" ht="16.399999999999999" customHeight="1">
      <c r="A274" s="2"/>
    </row>
    <row r="275" spans="1:1" ht="16.399999999999999" customHeight="1">
      <c r="A275" s="2"/>
    </row>
    <row r="276" spans="1:1" ht="16.399999999999999" customHeight="1">
      <c r="A276" s="2"/>
    </row>
    <row r="277" spans="1:1" ht="16.399999999999999" customHeight="1">
      <c r="A277" s="2"/>
    </row>
    <row r="278" spans="1:1" ht="16.399999999999999" customHeight="1">
      <c r="A278" s="2"/>
    </row>
    <row r="279" spans="1:1" ht="16.399999999999999" customHeight="1">
      <c r="A279" s="2"/>
    </row>
    <row r="280" spans="1:1" ht="16.399999999999999" customHeight="1">
      <c r="A280" s="2"/>
    </row>
    <row r="281" spans="1:1" ht="16.399999999999999" customHeight="1">
      <c r="A281" s="2"/>
    </row>
    <row r="282" spans="1:1" ht="16.399999999999999" customHeight="1">
      <c r="A282" s="2"/>
    </row>
    <row r="283" spans="1:1" ht="16.399999999999999" customHeight="1">
      <c r="A283" s="2"/>
    </row>
    <row r="284" spans="1:1" ht="16.399999999999999" customHeight="1">
      <c r="A284" s="2"/>
    </row>
    <row r="285" spans="1:1" ht="16.399999999999999" customHeight="1">
      <c r="A285" s="2"/>
    </row>
    <row r="286" spans="1:1" ht="16.399999999999999" customHeight="1">
      <c r="A286" s="2"/>
    </row>
    <row r="287" spans="1:1" ht="16.399999999999999" customHeight="1">
      <c r="A287" s="2"/>
    </row>
    <row r="288" spans="1:1" ht="16.399999999999999" customHeight="1">
      <c r="A288" s="2"/>
    </row>
    <row r="289" spans="1:1" ht="16.399999999999999" customHeight="1">
      <c r="A289" s="2"/>
    </row>
    <row r="290" spans="1:1" ht="16.399999999999999" customHeight="1">
      <c r="A290" s="2"/>
    </row>
    <row r="291" spans="1:1" ht="16.399999999999999" customHeight="1">
      <c r="A291" s="2"/>
    </row>
    <row r="292" spans="1:1" ht="16.399999999999999" customHeight="1">
      <c r="A292" s="2"/>
    </row>
    <row r="293" spans="1:1" ht="16.399999999999999" customHeight="1">
      <c r="A293" s="2"/>
    </row>
    <row r="294" spans="1:1" ht="16.399999999999999" customHeight="1">
      <c r="A294" s="2"/>
    </row>
    <row r="295" spans="1:1" ht="16.399999999999999" customHeight="1">
      <c r="A295" s="2"/>
    </row>
    <row r="296" spans="1:1" ht="16.399999999999999" customHeight="1">
      <c r="A296" s="2"/>
    </row>
    <row r="297" spans="1:1" ht="16.399999999999999" customHeight="1">
      <c r="A297" s="2"/>
    </row>
    <row r="298" spans="1:1" ht="16.399999999999999" customHeight="1">
      <c r="A298" s="2"/>
    </row>
    <row r="299" spans="1:1" ht="16.399999999999999" customHeight="1">
      <c r="A299" s="2"/>
    </row>
    <row r="300" spans="1:1" ht="16.399999999999999" customHeight="1">
      <c r="A300" s="2"/>
    </row>
    <row r="301" spans="1:1" ht="16.399999999999999" customHeight="1">
      <c r="A301" s="2"/>
    </row>
    <row r="302" spans="1:1" ht="16.399999999999999" customHeight="1">
      <c r="A302" s="2"/>
    </row>
    <row r="303" spans="1:1" ht="16.399999999999999" customHeight="1">
      <c r="A303" s="2"/>
    </row>
    <row r="304" spans="1:1" ht="16.399999999999999" customHeight="1">
      <c r="A304" s="2"/>
    </row>
    <row r="305" spans="1:1" ht="16.399999999999999" customHeight="1">
      <c r="A305" s="2"/>
    </row>
    <row r="306" spans="1:1" ht="16.399999999999999" customHeight="1">
      <c r="A306" s="2"/>
    </row>
    <row r="307" spans="1:1" ht="16.399999999999999" customHeight="1">
      <c r="A307" s="2"/>
    </row>
    <row r="308" spans="1:1" ht="16.399999999999999" customHeight="1">
      <c r="A308" s="2"/>
    </row>
    <row r="309" spans="1:1" ht="16.399999999999999" customHeight="1">
      <c r="A309" s="2"/>
    </row>
    <row r="310" spans="1:1" ht="16.399999999999999" customHeight="1">
      <c r="A310" s="2"/>
    </row>
    <row r="311" spans="1:1" ht="16.399999999999999" customHeight="1">
      <c r="A311" s="2"/>
    </row>
    <row r="312" spans="1:1" ht="16.399999999999999" customHeight="1">
      <c r="A312" s="2"/>
    </row>
    <row r="313" spans="1:1" ht="16.399999999999999" customHeight="1">
      <c r="A313" s="2"/>
    </row>
    <row r="314" spans="1:1" ht="16.399999999999999" customHeight="1">
      <c r="A314" s="2"/>
    </row>
    <row r="315" spans="1:1" ht="16.399999999999999" customHeight="1">
      <c r="A315" s="2"/>
    </row>
    <row r="316" spans="1:1" ht="16.399999999999999" customHeight="1">
      <c r="A316" s="2"/>
    </row>
    <row r="317" spans="1:1" ht="16.399999999999999" customHeight="1">
      <c r="A317" s="2"/>
    </row>
    <row r="318" spans="1:1" ht="16.399999999999999" customHeight="1">
      <c r="A318" s="2"/>
    </row>
    <row r="319" spans="1:1" ht="16.399999999999999" customHeight="1">
      <c r="A319" s="2"/>
    </row>
    <row r="320" spans="1:1" ht="16.399999999999999" customHeight="1">
      <c r="A320" s="2"/>
    </row>
    <row r="321" spans="1:1" ht="16.399999999999999" customHeight="1">
      <c r="A321" s="2"/>
    </row>
    <row r="322" spans="1:1" ht="16.399999999999999" customHeight="1">
      <c r="A322" s="2"/>
    </row>
    <row r="323" spans="1:1" ht="16.399999999999999" customHeight="1">
      <c r="A323" s="2"/>
    </row>
    <row r="324" spans="1:1" ht="16.399999999999999" customHeight="1">
      <c r="A324" s="2"/>
    </row>
    <row r="325" spans="1:1" ht="16.399999999999999" customHeight="1">
      <c r="A325" s="2"/>
    </row>
    <row r="326" spans="1:1" ht="16.399999999999999" customHeight="1">
      <c r="A326" s="2"/>
    </row>
    <row r="327" spans="1:1" ht="16.399999999999999" customHeight="1">
      <c r="A327" s="2"/>
    </row>
    <row r="328" spans="1:1" ht="16.399999999999999" customHeight="1">
      <c r="A328" s="2"/>
    </row>
    <row r="329" spans="1:1" ht="16.399999999999999" customHeight="1">
      <c r="A329" s="2"/>
    </row>
    <row r="330" spans="1:1" ht="16.399999999999999" customHeight="1">
      <c r="A330" s="2"/>
    </row>
    <row r="331" spans="1:1" ht="16.399999999999999" customHeight="1">
      <c r="A331" s="2"/>
    </row>
    <row r="332" spans="1:1" ht="16.399999999999999" customHeight="1">
      <c r="A332" s="2"/>
    </row>
    <row r="333" spans="1:1" ht="16.399999999999999" customHeight="1">
      <c r="A333" s="2"/>
    </row>
    <row r="334" spans="1:1" ht="16.399999999999999" customHeight="1">
      <c r="A334" s="2"/>
    </row>
    <row r="335" spans="1:1" ht="16.399999999999999" customHeight="1">
      <c r="A335" s="2"/>
    </row>
    <row r="336" spans="1:1" ht="16.399999999999999" customHeight="1">
      <c r="A336" s="2"/>
    </row>
    <row r="337" spans="1:1" ht="16.399999999999999" customHeight="1">
      <c r="A337" s="2"/>
    </row>
    <row r="338" spans="1:1" ht="16.399999999999999" customHeight="1">
      <c r="A338" s="2"/>
    </row>
    <row r="339" spans="1:1" ht="16.399999999999999" customHeight="1">
      <c r="A339" s="2"/>
    </row>
    <row r="340" spans="1:1" ht="16.399999999999999" customHeight="1">
      <c r="A340" s="2"/>
    </row>
    <row r="341" spans="1:1" ht="16.399999999999999" customHeight="1">
      <c r="A341" s="2"/>
    </row>
    <row r="342" spans="1:1" ht="16.399999999999999" customHeight="1">
      <c r="A342" s="2"/>
    </row>
    <row r="343" spans="1:1" ht="16.399999999999999" customHeight="1">
      <c r="A343" s="2"/>
    </row>
    <row r="344" spans="1:1" ht="16.399999999999999" customHeight="1">
      <c r="A344" s="2"/>
    </row>
    <row r="345" spans="1:1" ht="16.399999999999999" customHeight="1">
      <c r="A345" s="2"/>
    </row>
    <row r="346" spans="1:1" ht="16.399999999999999" customHeight="1">
      <c r="A346" s="2"/>
    </row>
    <row r="347" spans="1:1" ht="16.399999999999999" customHeight="1">
      <c r="A347" s="2"/>
    </row>
    <row r="348" spans="1:1" ht="16.399999999999999" customHeight="1">
      <c r="A348" s="2"/>
    </row>
    <row r="349" spans="1:1" ht="16.399999999999999" customHeight="1">
      <c r="A349" s="2"/>
    </row>
    <row r="350" spans="1:1" ht="16.399999999999999" customHeight="1">
      <c r="A350" s="2"/>
    </row>
    <row r="351" spans="1:1" ht="16.399999999999999" customHeight="1">
      <c r="A351" s="2"/>
    </row>
    <row r="352" spans="1:1" ht="16.399999999999999" customHeight="1">
      <c r="A352" s="2"/>
    </row>
    <row r="353" spans="1:1" ht="16.399999999999999" customHeight="1">
      <c r="A353" s="2"/>
    </row>
    <row r="354" spans="1:1" ht="16.399999999999999" customHeight="1">
      <c r="A354" s="2"/>
    </row>
    <row r="355" spans="1:1" ht="16.399999999999999" customHeight="1">
      <c r="A355" s="2"/>
    </row>
    <row r="356" spans="1:1" ht="16.399999999999999" customHeight="1">
      <c r="A356" s="2"/>
    </row>
    <row r="357" spans="1:1" ht="16.399999999999999" customHeight="1">
      <c r="A357" s="2"/>
    </row>
    <row r="358" spans="1:1" ht="16.399999999999999" customHeight="1">
      <c r="A358" s="2"/>
    </row>
    <row r="359" spans="1:1" ht="16.399999999999999" customHeight="1">
      <c r="A359" s="2"/>
    </row>
    <row r="360" spans="1:1" ht="16.399999999999999" customHeight="1">
      <c r="A360" s="2"/>
    </row>
    <row r="361" spans="1:1" ht="16.399999999999999" customHeight="1">
      <c r="A361" s="2"/>
    </row>
    <row r="362" spans="1:1" ht="16.399999999999999" customHeight="1">
      <c r="A362" s="2"/>
    </row>
    <row r="363" spans="1:1" ht="16.399999999999999" customHeight="1">
      <c r="A363" s="2"/>
    </row>
    <row r="364" spans="1:1" ht="16.399999999999999" customHeight="1">
      <c r="A364" s="2"/>
    </row>
    <row r="365" spans="1:1" ht="16.399999999999999" customHeight="1">
      <c r="A365" s="2"/>
    </row>
    <row r="366" spans="1:1" ht="16.399999999999999" customHeight="1">
      <c r="A366" s="2"/>
    </row>
    <row r="367" spans="1:1" ht="16.399999999999999" customHeight="1">
      <c r="A367" s="2"/>
    </row>
    <row r="368" spans="1:1" ht="16.399999999999999" customHeight="1">
      <c r="A368" s="2"/>
    </row>
    <row r="369" spans="1:1" ht="16.399999999999999" customHeight="1">
      <c r="A369" s="2"/>
    </row>
    <row r="370" spans="1:1" ht="16.399999999999999" customHeight="1">
      <c r="A370" s="2"/>
    </row>
    <row r="371" spans="1:1" ht="16.399999999999999" customHeight="1">
      <c r="A371" s="2"/>
    </row>
    <row r="372" spans="1:1" ht="16.399999999999999" customHeight="1">
      <c r="A372" s="2"/>
    </row>
    <row r="373" spans="1:1" ht="16.399999999999999" customHeight="1">
      <c r="A373" s="2"/>
    </row>
    <row r="374" spans="1:1" ht="16.399999999999999" customHeight="1">
      <c r="A374" s="2"/>
    </row>
    <row r="375" spans="1:1" ht="16.399999999999999" customHeight="1">
      <c r="A375" s="2"/>
    </row>
    <row r="376" spans="1:1" ht="16.399999999999999" customHeight="1">
      <c r="A376" s="2"/>
    </row>
    <row r="377" spans="1:1" ht="16.399999999999999" customHeight="1">
      <c r="A377" s="2"/>
    </row>
    <row r="378" spans="1:1" ht="16.399999999999999" customHeight="1">
      <c r="A378" s="2"/>
    </row>
    <row r="379" spans="1:1" ht="16.399999999999999" customHeight="1">
      <c r="A379" s="2"/>
    </row>
    <row r="380" spans="1:1" ht="16.399999999999999" customHeight="1">
      <c r="A380" s="2"/>
    </row>
    <row r="381" spans="1:1" ht="16.399999999999999" customHeight="1">
      <c r="A381" s="2"/>
    </row>
    <row r="382" spans="1:1" ht="16.399999999999999" customHeight="1">
      <c r="A382" s="2"/>
    </row>
    <row r="383" spans="1:1" ht="16.399999999999999" customHeight="1">
      <c r="A383" s="2"/>
    </row>
    <row r="384" spans="1:1" ht="16.399999999999999" customHeight="1">
      <c r="A384" s="2"/>
    </row>
    <row r="385" spans="1:1" ht="16.399999999999999" customHeight="1">
      <c r="A385" s="2"/>
    </row>
    <row r="386" spans="1:1" ht="16.399999999999999" customHeight="1">
      <c r="A386" s="2"/>
    </row>
    <row r="387" spans="1:1" ht="16.399999999999999" customHeight="1">
      <c r="A387" s="2"/>
    </row>
    <row r="388" spans="1:1" ht="16.399999999999999" customHeight="1">
      <c r="A388" s="2"/>
    </row>
    <row r="389" spans="1:1" ht="16.399999999999999" customHeight="1">
      <c r="A389" s="2"/>
    </row>
    <row r="390" spans="1:1" ht="16.399999999999999" customHeight="1">
      <c r="A390" s="2"/>
    </row>
    <row r="391" spans="1:1" ht="16.399999999999999" customHeight="1">
      <c r="A391" s="2"/>
    </row>
    <row r="392" spans="1:1" ht="16.399999999999999" customHeight="1">
      <c r="A392" s="2"/>
    </row>
    <row r="393" spans="1:1" ht="16.399999999999999" customHeight="1">
      <c r="A393" s="2"/>
    </row>
    <row r="394" spans="1:1" ht="16.399999999999999" customHeight="1">
      <c r="A394" s="2"/>
    </row>
    <row r="395" spans="1:1" ht="16.399999999999999" customHeight="1">
      <c r="A395" s="2"/>
    </row>
    <row r="396" spans="1:1" ht="16.399999999999999" customHeight="1">
      <c r="A396" s="2"/>
    </row>
    <row r="397" spans="1:1" ht="16.399999999999999" customHeight="1">
      <c r="A397" s="2"/>
    </row>
    <row r="398" spans="1:1" ht="16.399999999999999" customHeight="1">
      <c r="A398" s="2"/>
    </row>
    <row r="399" spans="1:1" ht="16.399999999999999" customHeight="1">
      <c r="A399" s="2"/>
    </row>
    <row r="400" spans="1:1" ht="16.399999999999999" customHeight="1">
      <c r="A400" s="2"/>
    </row>
    <row r="401" spans="1:1" ht="16.399999999999999" customHeight="1">
      <c r="A401" s="2"/>
    </row>
    <row r="402" spans="1:1" ht="16.399999999999999" customHeight="1">
      <c r="A402" s="2"/>
    </row>
    <row r="403" spans="1:1" ht="16.399999999999999" customHeight="1">
      <c r="A403" s="2"/>
    </row>
    <row r="404" spans="1:1" ht="16.399999999999999" customHeight="1">
      <c r="A404" s="2"/>
    </row>
    <row r="405" spans="1:1" ht="16.399999999999999" customHeight="1">
      <c r="A405" s="2"/>
    </row>
    <row r="406" spans="1:1" ht="16.399999999999999" customHeight="1">
      <c r="A406" s="2"/>
    </row>
    <row r="407" spans="1:1" ht="16.399999999999999" customHeight="1">
      <c r="A407" s="2"/>
    </row>
    <row r="408" spans="1:1" ht="16.399999999999999" customHeight="1">
      <c r="A408" s="2"/>
    </row>
    <row r="409" spans="1:1" ht="16.399999999999999" customHeight="1">
      <c r="A409" s="2"/>
    </row>
    <row r="410" spans="1:1" ht="16.399999999999999" customHeight="1">
      <c r="A410" s="2"/>
    </row>
    <row r="411" spans="1:1" ht="16.399999999999999" customHeight="1">
      <c r="A411" s="2"/>
    </row>
    <row r="412" spans="1:1" ht="16.399999999999999" customHeight="1">
      <c r="A412" s="2"/>
    </row>
    <row r="413" spans="1:1" ht="16.399999999999999" customHeight="1">
      <c r="A413" s="2"/>
    </row>
    <row r="414" spans="1:1" ht="16.399999999999999" customHeight="1">
      <c r="A414" s="2"/>
    </row>
    <row r="415" spans="1:1" ht="16.399999999999999" customHeight="1">
      <c r="A415" s="2"/>
    </row>
    <row r="416" spans="1:1" ht="16.399999999999999" customHeight="1">
      <c r="A416" s="2"/>
    </row>
    <row r="417" spans="1:1" ht="16.399999999999999" customHeight="1">
      <c r="A417" s="2"/>
    </row>
    <row r="418" spans="1:1" ht="16.399999999999999" customHeight="1">
      <c r="A418" s="2"/>
    </row>
    <row r="419" spans="1:1" ht="16.399999999999999" customHeight="1">
      <c r="A419" s="2"/>
    </row>
    <row r="420" spans="1:1" ht="16.399999999999999" customHeight="1">
      <c r="A420" s="2"/>
    </row>
    <row r="421" spans="1:1" ht="16.399999999999999" customHeight="1">
      <c r="A421" s="2"/>
    </row>
    <row r="422" spans="1:1" ht="16.399999999999999" customHeight="1">
      <c r="A422" s="2"/>
    </row>
    <row r="423" spans="1:1" ht="16.399999999999999" customHeight="1">
      <c r="A423" s="2"/>
    </row>
    <row r="424" spans="1:1" ht="16.399999999999999" customHeight="1">
      <c r="A424" s="2"/>
    </row>
    <row r="425" spans="1:1" ht="16.399999999999999" customHeight="1">
      <c r="A425" s="2"/>
    </row>
    <row r="426" spans="1:1" ht="16.399999999999999" customHeight="1">
      <c r="A426" s="2"/>
    </row>
    <row r="427" spans="1:1" ht="16.399999999999999" customHeight="1">
      <c r="A427" s="2"/>
    </row>
    <row r="428" spans="1:1" ht="16.399999999999999" customHeight="1">
      <c r="A428" s="2"/>
    </row>
    <row r="429" spans="1:1" ht="16.399999999999999" customHeight="1">
      <c r="A429" s="2"/>
    </row>
    <row r="430" spans="1:1" ht="16.399999999999999" customHeight="1">
      <c r="A430" s="2"/>
    </row>
    <row r="431" spans="1:1">
      <c r="A431" s="2"/>
    </row>
    <row r="432" spans="1:1">
      <c r="A432" s="2"/>
    </row>
    <row r="433" spans="1:1">
      <c r="A433" s="2"/>
    </row>
    <row r="434" spans="1:1" ht="16.399999999999999" customHeight="1">
      <c r="A434" s="2"/>
    </row>
    <row r="435" spans="1:1" ht="16.399999999999999" customHeight="1">
      <c r="A435" s="2"/>
    </row>
    <row r="436" spans="1:1" ht="16.399999999999999" customHeight="1">
      <c r="A436" s="2"/>
    </row>
    <row r="437" spans="1:1" ht="16.399999999999999" customHeight="1">
      <c r="A437" s="2"/>
    </row>
    <row r="438" spans="1:1" ht="16.399999999999999" customHeight="1">
      <c r="A438" s="2"/>
    </row>
    <row r="439" spans="1:1">
      <c r="A439" s="2"/>
    </row>
    <row r="440" spans="1:1">
      <c r="A440" s="2"/>
    </row>
    <row r="441" spans="1:1">
      <c r="A441" s="2"/>
    </row>
    <row r="442" spans="1:1">
      <c r="A442" s="2"/>
    </row>
    <row r="443" spans="1:1">
      <c r="A443" s="2"/>
    </row>
    <row r="444" spans="1:1">
      <c r="A444" s="2"/>
    </row>
    <row r="445" spans="1:1">
      <c r="A445" s="2"/>
    </row>
    <row r="446" spans="1:1">
      <c r="A446" s="2"/>
    </row>
    <row r="447" spans="1:1">
      <c r="A447" s="2"/>
    </row>
    <row r="448" spans="1:1">
      <c r="A448" s="2"/>
    </row>
    <row r="449" spans="1:1">
      <c r="A449" s="2"/>
    </row>
    <row r="450" spans="1:1" ht="16.399999999999999" customHeight="1">
      <c r="A450" s="2"/>
    </row>
    <row r="451" spans="1:1" ht="16.399999999999999" customHeight="1">
      <c r="A451" s="2"/>
    </row>
    <row r="452" spans="1:1" ht="16.399999999999999" customHeight="1">
      <c r="A452" s="2"/>
    </row>
    <row r="453" spans="1:1" ht="16.399999999999999" customHeight="1">
      <c r="A453" s="2"/>
    </row>
    <row r="454" spans="1:1" ht="16.399999999999999" customHeight="1">
      <c r="A454" s="2"/>
    </row>
    <row r="455" spans="1:1" ht="16.399999999999999" customHeight="1">
      <c r="A455" s="2"/>
    </row>
    <row r="456" spans="1:1" ht="16.399999999999999" customHeight="1">
      <c r="A456" s="2"/>
    </row>
    <row r="457" spans="1:1" ht="16.399999999999999" customHeight="1">
      <c r="A457" s="2"/>
    </row>
    <row r="458" spans="1:1" ht="16.399999999999999" customHeight="1">
      <c r="A458" s="2"/>
    </row>
    <row r="459" spans="1:1" ht="16.399999999999999" customHeight="1">
      <c r="A459" s="2"/>
    </row>
    <row r="460" spans="1:1" ht="16.399999999999999" customHeight="1">
      <c r="A460" s="2"/>
    </row>
    <row r="461" spans="1:1" ht="16.399999999999999" customHeight="1">
      <c r="A461" s="2"/>
    </row>
    <row r="462" spans="1:1" ht="16.399999999999999" customHeight="1">
      <c r="A462" s="2"/>
    </row>
    <row r="463" spans="1:1" ht="16.399999999999999" customHeight="1">
      <c r="A463" s="2"/>
    </row>
    <row r="464" spans="1:1" ht="16.399999999999999" customHeight="1">
      <c r="A464" s="2"/>
    </row>
    <row r="465" spans="1:1" ht="16.399999999999999" customHeight="1">
      <c r="A465" s="2"/>
    </row>
    <row r="466" spans="1:1" ht="16.399999999999999" customHeight="1">
      <c r="A466" s="2"/>
    </row>
    <row r="467" spans="1:1" ht="16.399999999999999" customHeight="1">
      <c r="A467" s="2"/>
    </row>
    <row r="468" spans="1:1" ht="16.399999999999999" customHeight="1">
      <c r="A468" s="2"/>
    </row>
    <row r="469" spans="1:1" ht="16.399999999999999" customHeight="1">
      <c r="A469" s="2"/>
    </row>
    <row r="470" spans="1:1" ht="16.399999999999999" customHeight="1">
      <c r="A470" s="2"/>
    </row>
    <row r="471" spans="1:1" ht="16.399999999999999" customHeight="1">
      <c r="A471" s="2"/>
    </row>
    <row r="472" spans="1:1" ht="16.399999999999999" customHeight="1">
      <c r="A472" s="2"/>
    </row>
    <row r="473" spans="1:1" ht="16.399999999999999" customHeight="1">
      <c r="A473" s="2"/>
    </row>
    <row r="474" spans="1:1" ht="16.399999999999999" customHeight="1">
      <c r="A474" s="2"/>
    </row>
    <row r="475" spans="1:1" ht="16.399999999999999" customHeight="1">
      <c r="A475" s="2"/>
    </row>
    <row r="476" spans="1:1" ht="16.399999999999999" customHeight="1">
      <c r="A476" s="2"/>
    </row>
    <row r="477" spans="1:1" ht="16.399999999999999" customHeight="1">
      <c r="A477" s="2"/>
    </row>
    <row r="478" spans="1:1" ht="16.399999999999999" customHeight="1">
      <c r="A478" s="2"/>
    </row>
    <row r="479" spans="1:1" ht="16.399999999999999" customHeight="1">
      <c r="A479" s="2"/>
    </row>
    <row r="480" spans="1:1" ht="16.399999999999999" customHeight="1">
      <c r="A480" s="2"/>
    </row>
    <row r="481" spans="1:1" ht="16.399999999999999" customHeight="1">
      <c r="A481" s="2"/>
    </row>
    <row r="482" spans="1:1" ht="16.399999999999999" customHeight="1">
      <c r="A482" s="2"/>
    </row>
    <row r="483" spans="1:1" ht="16.399999999999999" customHeight="1">
      <c r="A483" s="2"/>
    </row>
    <row r="484" spans="1:1" ht="16.399999999999999" customHeight="1">
      <c r="A484" s="2"/>
    </row>
    <row r="485" spans="1:1" ht="16.399999999999999" customHeight="1">
      <c r="A485" s="2"/>
    </row>
    <row r="486" spans="1:1" ht="16.399999999999999" customHeight="1">
      <c r="A486" s="2"/>
    </row>
    <row r="487" spans="1:1" ht="16.399999999999999" customHeight="1">
      <c r="A487" s="2"/>
    </row>
    <row r="488" spans="1:1" ht="16.399999999999999" customHeight="1">
      <c r="A488" s="2"/>
    </row>
    <row r="489" spans="1:1" ht="16.399999999999999" customHeight="1">
      <c r="A489" s="2"/>
    </row>
    <row r="490" spans="1:1" ht="16.399999999999999" customHeight="1">
      <c r="A490" s="2"/>
    </row>
    <row r="491" spans="1:1" ht="16.399999999999999" customHeight="1">
      <c r="A491" s="2"/>
    </row>
    <row r="492" spans="1:1" ht="16.399999999999999" customHeight="1">
      <c r="A492" s="2"/>
    </row>
    <row r="493" spans="1:1" ht="16.399999999999999" customHeight="1">
      <c r="A493" s="2"/>
    </row>
    <row r="494" spans="1:1" ht="16.399999999999999" customHeight="1">
      <c r="A494" s="2"/>
    </row>
    <row r="495" spans="1:1" ht="16.399999999999999" customHeight="1">
      <c r="A495" s="2"/>
    </row>
    <row r="496" spans="1:1" ht="16.399999999999999" customHeight="1">
      <c r="A496" s="2"/>
    </row>
    <row r="497" spans="1:1" ht="16.399999999999999" customHeight="1">
      <c r="A497" s="2"/>
    </row>
    <row r="498" spans="1:1" ht="16.399999999999999" customHeight="1">
      <c r="A498" s="2"/>
    </row>
    <row r="499" spans="1:1">
      <c r="A499" s="2"/>
    </row>
    <row r="500" spans="1:1">
      <c r="A500" s="2"/>
    </row>
    <row r="501" spans="1:1" ht="16.399999999999999" customHeight="1">
      <c r="A501" s="2"/>
    </row>
    <row r="502" spans="1:1" ht="16.399999999999999" customHeight="1">
      <c r="A502" s="2"/>
    </row>
    <row r="503" spans="1:1" ht="16.399999999999999" customHeight="1">
      <c r="A503" s="2"/>
    </row>
    <row r="504" spans="1:1" ht="16.399999999999999" customHeight="1">
      <c r="A504" s="2"/>
    </row>
    <row r="505" spans="1:1" ht="16.399999999999999" customHeight="1">
      <c r="A505" s="2"/>
    </row>
    <row r="506" spans="1:1" ht="16.399999999999999" customHeight="1">
      <c r="A506" s="2"/>
    </row>
    <row r="507" spans="1:1" ht="16.399999999999999" customHeight="1">
      <c r="A507" s="2"/>
    </row>
    <row r="508" spans="1:1" ht="16.399999999999999" customHeight="1">
      <c r="A508" s="2"/>
    </row>
    <row r="509" spans="1:1" ht="16.399999999999999" customHeight="1">
      <c r="A509" s="2"/>
    </row>
    <row r="510" spans="1:1" ht="16.399999999999999" customHeight="1">
      <c r="A510" s="2"/>
    </row>
    <row r="511" spans="1:1" ht="16.399999999999999" customHeight="1">
      <c r="A511" s="2"/>
    </row>
    <row r="512" spans="1:1" ht="16.399999999999999" customHeight="1">
      <c r="A512" s="2"/>
    </row>
    <row r="513" spans="1:1" ht="16.399999999999999" customHeight="1">
      <c r="A513" s="2"/>
    </row>
    <row r="514" spans="1:1" ht="16.399999999999999" customHeight="1">
      <c r="A514" s="2"/>
    </row>
    <row r="515" spans="1:1" ht="16.399999999999999" customHeight="1">
      <c r="A515" s="2"/>
    </row>
    <row r="516" spans="1:1" ht="16.399999999999999" customHeight="1">
      <c r="A516" s="2"/>
    </row>
    <row r="517" spans="1:1" ht="16.399999999999999" customHeight="1">
      <c r="A517" s="2"/>
    </row>
    <row r="518" spans="1:1" ht="16.399999999999999" customHeight="1">
      <c r="A518" s="2"/>
    </row>
    <row r="519" spans="1:1" ht="16.399999999999999" customHeight="1">
      <c r="A519" s="2"/>
    </row>
    <row r="520" spans="1:1" ht="16.399999999999999" customHeight="1">
      <c r="A520" s="2"/>
    </row>
    <row r="521" spans="1:1" ht="16.399999999999999" customHeight="1">
      <c r="A521" s="2"/>
    </row>
    <row r="522" spans="1:1" ht="16.399999999999999" customHeight="1">
      <c r="A522" s="2"/>
    </row>
    <row r="523" spans="1:1" ht="16.399999999999999" customHeight="1">
      <c r="A523" s="2"/>
    </row>
    <row r="524" spans="1:1" ht="16.399999999999999" customHeight="1">
      <c r="A524" s="2"/>
    </row>
    <row r="525" spans="1:1" ht="16.399999999999999" customHeight="1">
      <c r="A525" s="2"/>
    </row>
    <row r="526" spans="1:1" ht="16.399999999999999" customHeight="1">
      <c r="A526" s="2"/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A1:FT768"/>
  <sheetViews>
    <sheetView showGridLines="0" zoomScale="80" zoomScaleNormal="80" workbookViewId="0">
      <pane xSplit="1" ySplit="8" topLeftCell="B98" activePane="bottomRight" state="frozen"/>
      <selection pane="topRight" activeCell="B1" sqref="B1"/>
      <selection pane="bottomLeft" activeCell="A9" sqref="A9"/>
      <selection pane="bottomRight" activeCell="E6" sqref="E6"/>
    </sheetView>
  </sheetViews>
  <sheetFormatPr defaultColWidth="0" defaultRowHeight="18" zeroHeight="1" outlineLevelRow="1"/>
  <cols>
    <col min="1" max="1" width="3.58203125" style="1" customWidth="1"/>
    <col min="2" max="2" width="8.58203125" style="1" bestFit="1" customWidth="1"/>
    <col min="3" max="3" width="33" style="1" bestFit="1" customWidth="1"/>
    <col min="4" max="4" width="14.58203125" style="1" customWidth="1"/>
    <col min="5" max="5" width="17" style="1" customWidth="1"/>
    <col min="6" max="6" width="39.58203125" style="1" bestFit="1" customWidth="1"/>
    <col min="7" max="7" width="24.4140625" style="1" customWidth="1"/>
    <col min="8" max="8" width="24.1640625" style="1" bestFit="1" customWidth="1"/>
    <col min="9" max="9" width="30.4140625" style="1" customWidth="1"/>
    <col min="10" max="10" width="16.58203125" style="1" hidden="1" customWidth="1"/>
    <col min="11" max="11" width="11" style="1" hidden="1" customWidth="1"/>
    <col min="12" max="12" width="15.58203125" style="1" hidden="1" customWidth="1"/>
    <col min="13" max="13" width="14.08203125" style="1" hidden="1" customWidth="1"/>
    <col min="14" max="14" width="17.08203125" style="12" hidden="1" customWidth="1"/>
    <col min="15" max="16" width="13.08203125" style="12" hidden="1" customWidth="1"/>
    <col min="17" max="17" width="59" style="273" bestFit="1" customWidth="1"/>
    <col min="18" max="80" width="4.58203125" style="1" customWidth="1"/>
    <col min="81" max="81" width="8.58203125" style="1" customWidth="1"/>
    <col min="82" max="176" width="0" style="1" hidden="1" customWidth="1"/>
    <col min="177" max="16384" width="8.58203125" style="1" hidden="1"/>
  </cols>
  <sheetData>
    <row r="1" spans="1:81">
      <c r="N1" s="1"/>
      <c r="O1" s="1"/>
      <c r="P1" s="1"/>
      <c r="AK1" s="12"/>
    </row>
    <row r="2" spans="1:81">
      <c r="N2" s="1"/>
      <c r="O2" s="1"/>
      <c r="P2" s="1"/>
    </row>
    <row r="3" spans="1:81">
      <c r="N3" s="1"/>
      <c r="O3" s="1"/>
      <c r="P3" s="1"/>
    </row>
    <row r="4" spans="1:81" ht="5.15" customHeight="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274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</row>
    <row r="5" spans="1:81">
      <c r="N5" s="1"/>
      <c r="O5" s="1"/>
      <c r="P5" s="1"/>
      <c r="R5" s="8"/>
    </row>
    <row r="6" spans="1:81">
      <c r="N6" s="1"/>
      <c r="O6" s="1"/>
      <c r="P6" s="1"/>
    </row>
    <row r="7" spans="1:81">
      <c r="N7" s="1"/>
      <c r="O7" s="1"/>
      <c r="P7" s="1"/>
      <c r="R7" s="381" t="s">
        <v>33</v>
      </c>
      <c r="S7" s="381"/>
      <c r="T7" s="381"/>
      <c r="U7" s="381"/>
      <c r="V7" s="381"/>
      <c r="W7" s="381"/>
      <c r="X7" s="381"/>
      <c r="Y7" s="381"/>
      <c r="Z7" s="381"/>
      <c r="AA7" s="381"/>
      <c r="AB7" s="381"/>
      <c r="AC7" s="381"/>
      <c r="AD7" s="381"/>
      <c r="AE7" s="381"/>
      <c r="AF7" s="381"/>
      <c r="AG7" s="381"/>
      <c r="AH7" s="381"/>
      <c r="AI7" s="381"/>
      <c r="AJ7" s="381"/>
      <c r="AK7" s="381"/>
      <c r="AL7" s="381"/>
      <c r="AM7" s="381"/>
      <c r="AN7" s="381" t="s">
        <v>134</v>
      </c>
      <c r="AO7" s="381"/>
      <c r="AP7" s="381"/>
      <c r="AQ7" s="381"/>
      <c r="AR7" s="381"/>
      <c r="AS7" s="381"/>
      <c r="AT7" s="381"/>
      <c r="AU7" s="381"/>
      <c r="AV7" s="381"/>
      <c r="AW7" s="381"/>
      <c r="AX7" s="381"/>
      <c r="AY7" s="381"/>
      <c r="AZ7" s="381"/>
      <c r="BA7" s="381"/>
      <c r="BB7" s="381"/>
      <c r="BC7" s="381"/>
      <c r="BD7" s="381"/>
      <c r="BE7" s="381"/>
      <c r="BF7" s="381"/>
      <c r="BG7" s="381"/>
      <c r="BH7" s="381" t="s">
        <v>252</v>
      </c>
      <c r="BI7" s="381"/>
      <c r="BJ7" s="381"/>
      <c r="BK7" s="381"/>
      <c r="BL7" s="381"/>
      <c r="BM7" s="381"/>
      <c r="BN7" s="381"/>
      <c r="BO7" s="381"/>
      <c r="BP7" s="381"/>
      <c r="BQ7" s="381"/>
      <c r="BR7" s="381"/>
      <c r="BS7" s="381"/>
      <c r="BT7" s="381"/>
      <c r="BU7" s="381"/>
      <c r="BV7" s="381"/>
      <c r="BW7" s="381"/>
      <c r="BX7" s="381"/>
      <c r="BY7" s="381"/>
      <c r="BZ7" s="381"/>
      <c r="CA7" s="381"/>
      <c r="CB7" s="381"/>
    </row>
    <row r="8" spans="1:81">
      <c r="B8" s="232" t="s">
        <v>0</v>
      </c>
      <c r="C8" s="232" t="s">
        <v>1</v>
      </c>
      <c r="D8" s="232" t="s">
        <v>2</v>
      </c>
      <c r="E8" s="232" t="s">
        <v>3</v>
      </c>
      <c r="F8" s="232" t="s">
        <v>4</v>
      </c>
      <c r="G8" s="233" t="s">
        <v>253</v>
      </c>
      <c r="H8" s="232" t="s">
        <v>254</v>
      </c>
      <c r="I8" s="232" t="s">
        <v>440</v>
      </c>
      <c r="J8" s="232" t="s">
        <v>6</v>
      </c>
      <c r="K8" s="232" t="s">
        <v>7</v>
      </c>
      <c r="L8" s="232" t="s">
        <v>8</v>
      </c>
      <c r="M8" s="232" t="s">
        <v>9</v>
      </c>
      <c r="N8" s="232" t="s">
        <v>10</v>
      </c>
      <c r="O8" s="232" t="s">
        <v>11</v>
      </c>
      <c r="P8" s="232" t="s">
        <v>12</v>
      </c>
      <c r="Q8" s="232" t="s">
        <v>13</v>
      </c>
      <c r="R8" s="228">
        <f t="shared" ref="R8:CB8" si="0">R9</f>
        <v>45659</v>
      </c>
      <c r="S8" s="228">
        <f t="shared" si="0"/>
        <v>45660</v>
      </c>
      <c r="T8" s="228">
        <f t="shared" si="0"/>
        <v>45663</v>
      </c>
      <c r="U8" s="228">
        <f t="shared" si="0"/>
        <v>45664</v>
      </c>
      <c r="V8" s="228">
        <f t="shared" si="0"/>
        <v>45665</v>
      </c>
      <c r="W8" s="228">
        <f t="shared" si="0"/>
        <v>45666</v>
      </c>
      <c r="X8" s="228">
        <f t="shared" si="0"/>
        <v>45667</v>
      </c>
      <c r="Y8" s="228">
        <f t="shared" si="0"/>
        <v>45670</v>
      </c>
      <c r="Z8" s="228">
        <f t="shared" si="0"/>
        <v>45671</v>
      </c>
      <c r="AA8" s="228">
        <f t="shared" si="0"/>
        <v>45672</v>
      </c>
      <c r="AB8" s="228">
        <f t="shared" si="0"/>
        <v>45673</v>
      </c>
      <c r="AC8" s="228">
        <f t="shared" si="0"/>
        <v>45674</v>
      </c>
      <c r="AD8" s="228">
        <f t="shared" si="0"/>
        <v>45677</v>
      </c>
      <c r="AE8" s="228">
        <f t="shared" si="0"/>
        <v>45678</v>
      </c>
      <c r="AF8" s="228">
        <f t="shared" si="0"/>
        <v>45679</v>
      </c>
      <c r="AG8" s="228">
        <f t="shared" si="0"/>
        <v>45680</v>
      </c>
      <c r="AH8" s="228">
        <f t="shared" si="0"/>
        <v>45681</v>
      </c>
      <c r="AI8" s="228">
        <f t="shared" si="0"/>
        <v>45684</v>
      </c>
      <c r="AJ8" s="228">
        <f t="shared" si="0"/>
        <v>45685</v>
      </c>
      <c r="AK8" s="228">
        <f t="shared" si="0"/>
        <v>45686</v>
      </c>
      <c r="AL8" s="228">
        <f t="shared" si="0"/>
        <v>45687</v>
      </c>
      <c r="AM8" s="228">
        <f t="shared" si="0"/>
        <v>45688</v>
      </c>
      <c r="AN8" s="228">
        <f t="shared" si="0"/>
        <v>45691</v>
      </c>
      <c r="AO8" s="228">
        <f t="shared" si="0"/>
        <v>45692</v>
      </c>
      <c r="AP8" s="228">
        <f t="shared" si="0"/>
        <v>45693</v>
      </c>
      <c r="AQ8" s="228">
        <f t="shared" si="0"/>
        <v>45694</v>
      </c>
      <c r="AR8" s="228">
        <f t="shared" si="0"/>
        <v>45695</v>
      </c>
      <c r="AS8" s="228">
        <f t="shared" si="0"/>
        <v>45698</v>
      </c>
      <c r="AT8" s="228">
        <f t="shared" si="0"/>
        <v>45699</v>
      </c>
      <c r="AU8" s="228">
        <f t="shared" si="0"/>
        <v>45700</v>
      </c>
      <c r="AV8" s="228">
        <f t="shared" si="0"/>
        <v>45701</v>
      </c>
      <c r="AW8" s="228">
        <f t="shared" si="0"/>
        <v>45702</v>
      </c>
      <c r="AX8" s="228">
        <f t="shared" si="0"/>
        <v>45705</v>
      </c>
      <c r="AY8" s="228">
        <f t="shared" si="0"/>
        <v>45706</v>
      </c>
      <c r="AZ8" s="228">
        <f t="shared" si="0"/>
        <v>45707</v>
      </c>
      <c r="BA8" s="228">
        <f t="shared" si="0"/>
        <v>45708</v>
      </c>
      <c r="BB8" s="228">
        <f t="shared" si="0"/>
        <v>45709</v>
      </c>
      <c r="BC8" s="228">
        <f t="shared" si="0"/>
        <v>45712</v>
      </c>
      <c r="BD8" s="228">
        <f t="shared" si="0"/>
        <v>45713</v>
      </c>
      <c r="BE8" s="228">
        <f t="shared" si="0"/>
        <v>45714</v>
      </c>
      <c r="BF8" s="228">
        <f t="shared" si="0"/>
        <v>45715</v>
      </c>
      <c r="BG8" s="228">
        <f t="shared" si="0"/>
        <v>45716</v>
      </c>
      <c r="BH8" s="228">
        <f t="shared" si="0"/>
        <v>45719</v>
      </c>
      <c r="BI8" s="228">
        <f t="shared" si="0"/>
        <v>45720</v>
      </c>
      <c r="BJ8" s="228">
        <f t="shared" si="0"/>
        <v>45721</v>
      </c>
      <c r="BK8" s="228">
        <f t="shared" si="0"/>
        <v>45722</v>
      </c>
      <c r="BL8" s="228">
        <f t="shared" si="0"/>
        <v>45723</v>
      </c>
      <c r="BM8" s="228">
        <f t="shared" si="0"/>
        <v>45726</v>
      </c>
      <c r="BN8" s="228">
        <f t="shared" si="0"/>
        <v>45727</v>
      </c>
      <c r="BO8" s="228">
        <f t="shared" si="0"/>
        <v>45728</v>
      </c>
      <c r="BP8" s="228">
        <f t="shared" si="0"/>
        <v>45729</v>
      </c>
      <c r="BQ8" s="228">
        <f t="shared" si="0"/>
        <v>45730</v>
      </c>
      <c r="BR8" s="228">
        <f t="shared" si="0"/>
        <v>45733</v>
      </c>
      <c r="BS8" s="228">
        <f t="shared" si="0"/>
        <v>45734</v>
      </c>
      <c r="BT8" s="228">
        <f t="shared" si="0"/>
        <v>45735</v>
      </c>
      <c r="BU8" s="228">
        <f t="shared" si="0"/>
        <v>45736</v>
      </c>
      <c r="BV8" s="228">
        <f t="shared" si="0"/>
        <v>45737</v>
      </c>
      <c r="BW8" s="228">
        <f t="shared" si="0"/>
        <v>45740</v>
      </c>
      <c r="BX8" s="228">
        <f t="shared" si="0"/>
        <v>45741</v>
      </c>
      <c r="BY8" s="228">
        <f t="shared" si="0"/>
        <v>45742</v>
      </c>
      <c r="BZ8" s="228">
        <f t="shared" si="0"/>
        <v>45743</v>
      </c>
      <c r="CA8" s="228">
        <f t="shared" si="0"/>
        <v>45744</v>
      </c>
      <c r="CB8" s="228">
        <f t="shared" si="0"/>
        <v>45747</v>
      </c>
    </row>
    <row r="9" spans="1:81" ht="17.899999999999999" customHeight="1">
      <c r="B9" s="234" t="s">
        <v>14</v>
      </c>
      <c r="C9" s="235"/>
      <c r="D9" s="235"/>
      <c r="E9" s="235"/>
      <c r="F9" s="235"/>
      <c r="G9" s="235"/>
      <c r="H9" s="235"/>
      <c r="I9" s="235"/>
      <c r="J9" s="236">
        <f>+Macro_Plano_2025_v1!J15</f>
        <v>64</v>
      </c>
      <c r="K9" s="236">
        <f>J9/8</f>
        <v>8</v>
      </c>
      <c r="L9" s="236">
        <f>SUM(L10:L34)</f>
        <v>6.5</v>
      </c>
      <c r="M9" s="237">
        <f>SUM(M10:M34)</f>
        <v>1.5625</v>
      </c>
      <c r="N9" s="238">
        <f>SUMPRODUCT(N10:N34,J10:J34)/J9</f>
        <v>0.04</v>
      </c>
      <c r="O9" s="238">
        <f>SUMPRODUCT(O10:O34,K10:K34)/K9</f>
        <v>0.04</v>
      </c>
      <c r="P9" s="238">
        <f>O9-N9</f>
        <v>0</v>
      </c>
      <c r="Q9" s="275"/>
      <c r="R9" s="231">
        <v>45659</v>
      </c>
      <c r="S9" s="231">
        <f t="shared" ref="S9:CB9" si="1">WORKDAY(R9,1)</f>
        <v>45660</v>
      </c>
      <c r="T9" s="231">
        <f t="shared" si="1"/>
        <v>45663</v>
      </c>
      <c r="U9" s="231">
        <f t="shared" si="1"/>
        <v>45664</v>
      </c>
      <c r="V9" s="231">
        <f t="shared" si="1"/>
        <v>45665</v>
      </c>
      <c r="W9" s="231">
        <f t="shared" si="1"/>
        <v>45666</v>
      </c>
      <c r="X9" s="231">
        <f t="shared" si="1"/>
        <v>45667</v>
      </c>
      <c r="Y9" s="231">
        <f t="shared" si="1"/>
        <v>45670</v>
      </c>
      <c r="Z9" s="231">
        <f t="shared" si="1"/>
        <v>45671</v>
      </c>
      <c r="AA9" s="231">
        <f t="shared" si="1"/>
        <v>45672</v>
      </c>
      <c r="AB9" s="231">
        <f t="shared" si="1"/>
        <v>45673</v>
      </c>
      <c r="AC9" s="231">
        <f t="shared" si="1"/>
        <v>45674</v>
      </c>
      <c r="AD9" s="231">
        <f t="shared" si="1"/>
        <v>45677</v>
      </c>
      <c r="AE9" s="231">
        <f t="shared" si="1"/>
        <v>45678</v>
      </c>
      <c r="AF9" s="231">
        <f t="shared" si="1"/>
        <v>45679</v>
      </c>
      <c r="AG9" s="231">
        <f t="shared" si="1"/>
        <v>45680</v>
      </c>
      <c r="AH9" s="231">
        <f t="shared" si="1"/>
        <v>45681</v>
      </c>
      <c r="AI9" s="231">
        <f t="shared" si="1"/>
        <v>45684</v>
      </c>
      <c r="AJ9" s="231">
        <f t="shared" si="1"/>
        <v>45685</v>
      </c>
      <c r="AK9" s="231">
        <f t="shared" si="1"/>
        <v>45686</v>
      </c>
      <c r="AL9" s="231">
        <f t="shared" si="1"/>
        <v>45687</v>
      </c>
      <c r="AM9" s="231">
        <f t="shared" si="1"/>
        <v>45688</v>
      </c>
      <c r="AN9" s="231">
        <f t="shared" si="1"/>
        <v>45691</v>
      </c>
      <c r="AO9" s="231">
        <f t="shared" si="1"/>
        <v>45692</v>
      </c>
      <c r="AP9" s="231">
        <f t="shared" si="1"/>
        <v>45693</v>
      </c>
      <c r="AQ9" s="231">
        <f t="shared" si="1"/>
        <v>45694</v>
      </c>
      <c r="AR9" s="231">
        <f t="shared" si="1"/>
        <v>45695</v>
      </c>
      <c r="AS9" s="231">
        <f t="shared" si="1"/>
        <v>45698</v>
      </c>
      <c r="AT9" s="231">
        <f t="shared" si="1"/>
        <v>45699</v>
      </c>
      <c r="AU9" s="231">
        <f t="shared" si="1"/>
        <v>45700</v>
      </c>
      <c r="AV9" s="231">
        <f t="shared" si="1"/>
        <v>45701</v>
      </c>
      <c r="AW9" s="231">
        <f t="shared" si="1"/>
        <v>45702</v>
      </c>
      <c r="AX9" s="231">
        <f t="shared" si="1"/>
        <v>45705</v>
      </c>
      <c r="AY9" s="231">
        <f t="shared" si="1"/>
        <v>45706</v>
      </c>
      <c r="AZ9" s="231">
        <f t="shared" si="1"/>
        <v>45707</v>
      </c>
      <c r="BA9" s="231">
        <f t="shared" si="1"/>
        <v>45708</v>
      </c>
      <c r="BB9" s="231">
        <f t="shared" si="1"/>
        <v>45709</v>
      </c>
      <c r="BC9" s="231">
        <f t="shared" si="1"/>
        <v>45712</v>
      </c>
      <c r="BD9" s="231">
        <f t="shared" si="1"/>
        <v>45713</v>
      </c>
      <c r="BE9" s="231">
        <f t="shared" si="1"/>
        <v>45714</v>
      </c>
      <c r="BF9" s="231">
        <f t="shared" si="1"/>
        <v>45715</v>
      </c>
      <c r="BG9" s="231">
        <f t="shared" si="1"/>
        <v>45716</v>
      </c>
      <c r="BH9" s="231">
        <f t="shared" si="1"/>
        <v>45719</v>
      </c>
      <c r="BI9" s="231">
        <f t="shared" si="1"/>
        <v>45720</v>
      </c>
      <c r="BJ9" s="231">
        <f t="shared" si="1"/>
        <v>45721</v>
      </c>
      <c r="BK9" s="231">
        <f t="shared" si="1"/>
        <v>45722</v>
      </c>
      <c r="BL9" s="231">
        <f t="shared" si="1"/>
        <v>45723</v>
      </c>
      <c r="BM9" s="231">
        <f t="shared" si="1"/>
        <v>45726</v>
      </c>
      <c r="BN9" s="231">
        <f t="shared" si="1"/>
        <v>45727</v>
      </c>
      <c r="BO9" s="231">
        <f t="shared" si="1"/>
        <v>45728</v>
      </c>
      <c r="BP9" s="231">
        <f t="shared" si="1"/>
        <v>45729</v>
      </c>
      <c r="BQ9" s="231">
        <f t="shared" si="1"/>
        <v>45730</v>
      </c>
      <c r="BR9" s="231">
        <f t="shared" si="1"/>
        <v>45733</v>
      </c>
      <c r="BS9" s="231">
        <f t="shared" si="1"/>
        <v>45734</v>
      </c>
      <c r="BT9" s="231">
        <f t="shared" si="1"/>
        <v>45735</v>
      </c>
      <c r="BU9" s="231">
        <f t="shared" si="1"/>
        <v>45736</v>
      </c>
      <c r="BV9" s="231">
        <f t="shared" si="1"/>
        <v>45737</v>
      </c>
      <c r="BW9" s="231">
        <f t="shared" si="1"/>
        <v>45740</v>
      </c>
      <c r="BX9" s="231">
        <f t="shared" si="1"/>
        <v>45741</v>
      </c>
      <c r="BY9" s="231">
        <f t="shared" si="1"/>
        <v>45742</v>
      </c>
      <c r="BZ9" s="231">
        <f t="shared" si="1"/>
        <v>45743</v>
      </c>
      <c r="CA9" s="231">
        <f t="shared" si="1"/>
        <v>45744</v>
      </c>
      <c r="CB9" s="231">
        <f t="shared" si="1"/>
        <v>45747</v>
      </c>
    </row>
    <row r="10" spans="1:81" outlineLevel="1">
      <c r="A10" s="212" t="s">
        <v>119</v>
      </c>
      <c r="B10" s="223" t="s">
        <v>17</v>
      </c>
      <c r="C10" s="223" t="s">
        <v>251</v>
      </c>
      <c r="D10" s="223" t="s">
        <v>21</v>
      </c>
      <c r="E10" s="224" t="s">
        <v>29</v>
      </c>
      <c r="F10" s="224" t="s">
        <v>79</v>
      </c>
      <c r="G10" s="224" t="s">
        <v>266</v>
      </c>
      <c r="H10" s="224" t="s">
        <v>266</v>
      </c>
      <c r="I10" s="224"/>
      <c r="J10" s="225">
        <f>+$J$9/25</f>
        <v>2.56</v>
      </c>
      <c r="K10" s="225">
        <f>+$K$9/25</f>
        <v>0.32</v>
      </c>
      <c r="L10" s="225">
        <f>SUM(R10:CB10)</f>
        <v>0.5</v>
      </c>
      <c r="M10" s="226">
        <f>L10/8</f>
        <v>6.25E-2</v>
      </c>
      <c r="N10" s="227">
        <f>100%</f>
        <v>1</v>
      </c>
      <c r="O10" s="227">
        <f>100%</f>
        <v>1</v>
      </c>
      <c r="P10" s="227">
        <f t="shared" ref="P10" si="2">O10-N10</f>
        <v>0</v>
      </c>
      <c r="Q10" s="276"/>
      <c r="R10" s="229">
        <v>0.5</v>
      </c>
      <c r="S10" s="229"/>
      <c r="T10" s="229"/>
      <c r="U10" s="229"/>
      <c r="V10" s="229"/>
      <c r="W10" s="229"/>
      <c r="X10" s="229"/>
      <c r="Y10" s="229"/>
      <c r="Z10" s="229"/>
      <c r="AA10" s="229"/>
      <c r="AB10" s="229"/>
      <c r="AC10" s="229"/>
      <c r="AD10" s="229"/>
      <c r="AE10" s="229"/>
      <c r="AF10" s="229"/>
      <c r="AG10" s="229"/>
      <c r="AH10" s="229"/>
      <c r="AI10" s="229"/>
      <c r="AJ10" s="229"/>
      <c r="AK10" s="229"/>
      <c r="AL10" s="229"/>
      <c r="AM10" s="229"/>
      <c r="AN10" s="229"/>
      <c r="AO10" s="229"/>
      <c r="AP10" s="229"/>
      <c r="AQ10" s="229"/>
      <c r="AR10" s="229"/>
      <c r="AS10" s="229"/>
      <c r="AT10" s="229"/>
      <c r="AU10" s="229"/>
      <c r="AV10" s="229"/>
      <c r="AW10" s="229"/>
      <c r="AX10" s="229"/>
      <c r="AY10" s="229"/>
      <c r="AZ10" s="229"/>
      <c r="BA10" s="229"/>
      <c r="BB10" s="229"/>
      <c r="BC10" s="229"/>
      <c r="BD10" s="229"/>
      <c r="BE10" s="229"/>
      <c r="BF10" s="229"/>
      <c r="BG10" s="229"/>
      <c r="BH10" s="229"/>
      <c r="BI10" s="230"/>
      <c r="BJ10" s="229"/>
      <c r="BK10" s="229"/>
      <c r="BL10" s="229"/>
      <c r="BM10" s="229"/>
      <c r="BN10" s="229"/>
      <c r="BO10" s="230"/>
      <c r="BP10" s="229"/>
      <c r="BQ10" s="229"/>
      <c r="BR10" s="229"/>
      <c r="BS10" s="229"/>
      <c r="BT10" s="229"/>
      <c r="BU10" s="229"/>
      <c r="BV10" s="229"/>
      <c r="BW10" s="229"/>
      <c r="BX10" s="229"/>
      <c r="BY10" s="229"/>
      <c r="BZ10" s="229"/>
      <c r="CA10" s="229"/>
      <c r="CB10" s="229"/>
    </row>
    <row r="11" spans="1:81" outlineLevel="1">
      <c r="A11" s="212" t="s">
        <v>119</v>
      </c>
      <c r="B11" s="215" t="s">
        <v>17</v>
      </c>
      <c r="C11" s="215" t="s">
        <v>251</v>
      </c>
      <c r="D11" s="215" t="s">
        <v>21</v>
      </c>
      <c r="E11" s="216" t="s">
        <v>29</v>
      </c>
      <c r="F11" s="216" t="s">
        <v>60</v>
      </c>
      <c r="G11" s="222" t="s">
        <v>266</v>
      </c>
      <c r="H11" s="216" t="s">
        <v>268</v>
      </c>
      <c r="I11" s="216"/>
      <c r="J11" s="217">
        <f t="shared" ref="J11:J34" si="3">+$J$9/25</f>
        <v>2.56</v>
      </c>
      <c r="K11" s="217">
        <f t="shared" ref="K11:K33" si="4">+$K$9/25</f>
        <v>0.32</v>
      </c>
      <c r="L11" s="217">
        <f t="shared" ref="L11:L34" si="5">SUM(R11:CB11)</f>
        <v>0.5</v>
      </c>
      <c r="M11" s="218">
        <v>6.25E-2</v>
      </c>
      <c r="N11" s="219"/>
      <c r="O11" s="219"/>
      <c r="P11" s="219"/>
      <c r="Q11" s="277"/>
      <c r="R11" s="220"/>
      <c r="S11" s="220">
        <v>0.5</v>
      </c>
      <c r="T11" s="220"/>
      <c r="U11" s="220"/>
      <c r="V11" s="220"/>
      <c r="W11" s="220"/>
      <c r="X11" s="220"/>
      <c r="Y11" s="220"/>
      <c r="Z11" s="220"/>
      <c r="AA11" s="220"/>
      <c r="AB11" s="220"/>
      <c r="AC11" s="220"/>
      <c r="AD11" s="220"/>
      <c r="AE11" s="220"/>
      <c r="AF11" s="220"/>
      <c r="AG11" s="220"/>
      <c r="AH11" s="220"/>
      <c r="AI11" s="220"/>
      <c r="AJ11" s="220"/>
      <c r="AK11" s="220"/>
      <c r="AL11" s="220"/>
      <c r="AM11" s="220"/>
      <c r="AN11" s="220"/>
      <c r="AO11" s="220"/>
      <c r="AP11" s="220"/>
      <c r="AQ11" s="220"/>
      <c r="AR11" s="220"/>
      <c r="AS11" s="220"/>
      <c r="AT11" s="220"/>
      <c r="AU11" s="220"/>
      <c r="AV11" s="220"/>
      <c r="AW11" s="220"/>
      <c r="AX11" s="220"/>
      <c r="AY11" s="220"/>
      <c r="AZ11" s="220"/>
      <c r="BA11" s="220"/>
      <c r="BB11" s="220"/>
      <c r="BC11" s="220"/>
      <c r="BD11" s="220"/>
      <c r="BE11" s="220"/>
      <c r="BF11" s="220"/>
      <c r="BG11" s="220"/>
      <c r="BH11" s="220"/>
      <c r="BI11" s="221"/>
      <c r="BJ11" s="220"/>
      <c r="BK11" s="220"/>
      <c r="BL11" s="220"/>
      <c r="BM11" s="220"/>
      <c r="BN11" s="220"/>
      <c r="BO11" s="221"/>
      <c r="BP11" s="220"/>
      <c r="BQ11" s="220"/>
      <c r="BR11" s="220"/>
      <c r="BS11" s="220"/>
      <c r="BT11" s="220"/>
      <c r="BU11" s="220"/>
      <c r="BV11" s="220"/>
      <c r="BW11" s="220"/>
      <c r="BX11" s="220"/>
      <c r="BY11" s="220"/>
      <c r="BZ11" s="220"/>
      <c r="CA11" s="220"/>
      <c r="CB11" s="220"/>
    </row>
    <row r="12" spans="1:81" outlineLevel="1">
      <c r="A12" s="212" t="s">
        <v>119</v>
      </c>
      <c r="B12" s="215" t="s">
        <v>17</v>
      </c>
      <c r="C12" s="215" t="s">
        <v>251</v>
      </c>
      <c r="D12" s="215" t="s">
        <v>21</v>
      </c>
      <c r="E12" s="216" t="s">
        <v>29</v>
      </c>
      <c r="F12" s="216" t="s">
        <v>80</v>
      </c>
      <c r="G12" s="216" t="s">
        <v>266</v>
      </c>
      <c r="H12" s="216" t="s">
        <v>266</v>
      </c>
      <c r="I12" s="216"/>
      <c r="J12" s="217">
        <f t="shared" si="3"/>
        <v>2.56</v>
      </c>
      <c r="K12" s="217">
        <f t="shared" si="4"/>
        <v>0.32</v>
      </c>
      <c r="L12" s="217">
        <f t="shared" si="5"/>
        <v>0.5</v>
      </c>
      <c r="M12" s="218">
        <v>6.25E-2</v>
      </c>
      <c r="N12" s="219"/>
      <c r="O12" s="219"/>
      <c r="P12" s="219"/>
      <c r="Q12" s="277"/>
      <c r="R12" s="220"/>
      <c r="S12" s="220"/>
      <c r="T12" s="220">
        <v>0.5</v>
      </c>
      <c r="U12" s="220"/>
      <c r="V12" s="220"/>
      <c r="W12" s="220"/>
      <c r="X12" s="220"/>
      <c r="Y12" s="220"/>
      <c r="Z12" s="220"/>
      <c r="AA12" s="220"/>
      <c r="AB12" s="220"/>
      <c r="AC12" s="220"/>
      <c r="AD12" s="220"/>
      <c r="AE12" s="220"/>
      <c r="AF12" s="220"/>
      <c r="AG12" s="220"/>
      <c r="AH12" s="220"/>
      <c r="AI12" s="220"/>
      <c r="AJ12" s="220"/>
      <c r="AK12" s="220"/>
      <c r="AL12" s="220"/>
      <c r="AM12" s="220"/>
      <c r="AN12" s="220"/>
      <c r="AO12" s="220"/>
      <c r="AP12" s="220"/>
      <c r="AQ12" s="220"/>
      <c r="AR12" s="220"/>
      <c r="AS12" s="220"/>
      <c r="AT12" s="220"/>
      <c r="AU12" s="220"/>
      <c r="AV12" s="220"/>
      <c r="AW12" s="220"/>
      <c r="AX12" s="220"/>
      <c r="AY12" s="220"/>
      <c r="AZ12" s="220"/>
      <c r="BA12" s="220"/>
      <c r="BB12" s="220"/>
      <c r="BC12" s="220"/>
      <c r="BD12" s="220"/>
      <c r="BE12" s="220"/>
      <c r="BF12" s="220"/>
      <c r="BG12" s="220"/>
      <c r="BH12" s="220"/>
      <c r="BI12" s="221"/>
      <c r="BJ12" s="220"/>
      <c r="BK12" s="220"/>
      <c r="BL12" s="220"/>
      <c r="BM12" s="220"/>
      <c r="BN12" s="220"/>
      <c r="BO12" s="221"/>
      <c r="BP12" s="220"/>
      <c r="BQ12" s="220"/>
      <c r="BR12" s="220"/>
      <c r="BS12" s="220"/>
      <c r="BT12" s="220"/>
      <c r="BU12" s="220"/>
      <c r="BV12" s="220"/>
      <c r="BW12" s="220"/>
      <c r="BX12" s="220"/>
      <c r="BY12" s="220"/>
      <c r="BZ12" s="220"/>
      <c r="CA12" s="220"/>
      <c r="CB12" s="220"/>
    </row>
    <row r="13" spans="1:81" outlineLevel="1">
      <c r="A13" s="212" t="s">
        <v>119</v>
      </c>
      <c r="B13" s="215" t="s">
        <v>17</v>
      </c>
      <c r="C13" s="215" t="s">
        <v>251</v>
      </c>
      <c r="D13" s="215" t="s">
        <v>21</v>
      </c>
      <c r="E13" s="216" t="s">
        <v>29</v>
      </c>
      <c r="F13" s="216" t="s">
        <v>81</v>
      </c>
      <c r="G13" s="216" t="s">
        <v>266</v>
      </c>
      <c r="H13" s="216" t="s">
        <v>266</v>
      </c>
      <c r="I13" s="216"/>
      <c r="J13" s="217">
        <f t="shared" si="3"/>
        <v>2.56</v>
      </c>
      <c r="K13" s="217">
        <f t="shared" si="4"/>
        <v>0.32</v>
      </c>
      <c r="L13" s="217">
        <f t="shared" si="5"/>
        <v>0</v>
      </c>
      <c r="M13" s="218">
        <v>6.25E-2</v>
      </c>
      <c r="N13" s="219"/>
      <c r="O13" s="219"/>
      <c r="P13" s="219"/>
      <c r="Q13" s="277"/>
      <c r="R13" s="220"/>
      <c r="S13" s="220"/>
      <c r="T13" s="220"/>
      <c r="U13" s="220"/>
      <c r="V13" s="220"/>
      <c r="W13" s="220"/>
      <c r="X13" s="220"/>
      <c r="Y13" s="220"/>
      <c r="Z13" s="220"/>
      <c r="AA13" s="220"/>
      <c r="AB13" s="220"/>
      <c r="AC13" s="220"/>
      <c r="AD13" s="220"/>
      <c r="AE13" s="220"/>
      <c r="AF13" s="220"/>
      <c r="AG13" s="220"/>
      <c r="AH13" s="220"/>
      <c r="AI13" s="220"/>
      <c r="AJ13" s="220"/>
      <c r="AK13" s="220"/>
      <c r="AL13" s="220"/>
      <c r="AM13" s="220"/>
      <c r="AN13" s="220"/>
      <c r="AO13" s="220"/>
      <c r="AP13" s="220"/>
      <c r="AQ13" s="220"/>
      <c r="AR13" s="220"/>
      <c r="AS13" s="220"/>
      <c r="AT13" s="220"/>
      <c r="AU13" s="220"/>
      <c r="AV13" s="220"/>
      <c r="AW13" s="220"/>
      <c r="AX13" s="220"/>
      <c r="AY13" s="220"/>
      <c r="AZ13" s="220"/>
      <c r="BA13" s="220"/>
      <c r="BB13" s="220"/>
      <c r="BC13" s="220"/>
      <c r="BD13" s="220"/>
      <c r="BE13" s="220"/>
      <c r="BF13" s="220"/>
      <c r="BG13" s="220"/>
      <c r="BH13" s="220"/>
      <c r="BI13" s="221"/>
      <c r="BJ13" s="220"/>
      <c r="BK13" s="220"/>
      <c r="BL13" s="220"/>
      <c r="BM13" s="220"/>
      <c r="BN13" s="220"/>
      <c r="BO13" s="221"/>
      <c r="BP13" s="220"/>
      <c r="BQ13" s="220"/>
      <c r="BR13" s="220"/>
      <c r="BS13" s="220"/>
      <c r="BT13" s="220"/>
      <c r="BU13" s="220"/>
      <c r="BV13" s="220"/>
      <c r="BW13" s="220"/>
      <c r="BX13" s="220"/>
      <c r="BY13" s="220"/>
      <c r="BZ13" s="220"/>
      <c r="CA13" s="220"/>
      <c r="CB13" s="220"/>
    </row>
    <row r="14" spans="1:81" outlineLevel="1">
      <c r="A14" s="212" t="s">
        <v>119</v>
      </c>
      <c r="B14" s="215" t="s">
        <v>17</v>
      </c>
      <c r="C14" s="215" t="s">
        <v>251</v>
      </c>
      <c r="D14" s="215" t="s">
        <v>21</v>
      </c>
      <c r="E14" s="216" t="s">
        <v>29</v>
      </c>
      <c r="F14" s="216" t="s">
        <v>82</v>
      </c>
      <c r="G14" s="216" t="s">
        <v>266</v>
      </c>
      <c r="H14" s="216" t="s">
        <v>266</v>
      </c>
      <c r="I14" s="216"/>
      <c r="J14" s="217">
        <f t="shared" si="3"/>
        <v>2.56</v>
      </c>
      <c r="K14" s="217">
        <f t="shared" si="4"/>
        <v>0.32</v>
      </c>
      <c r="L14" s="217">
        <f t="shared" si="5"/>
        <v>1.5</v>
      </c>
      <c r="M14" s="218">
        <v>6.25E-2</v>
      </c>
      <c r="N14" s="219"/>
      <c r="O14" s="219"/>
      <c r="P14" s="219"/>
      <c r="Q14" s="277"/>
      <c r="R14" s="220"/>
      <c r="S14" s="220">
        <v>1.5</v>
      </c>
      <c r="T14" s="220"/>
      <c r="U14" s="220"/>
      <c r="V14" s="220"/>
      <c r="W14" s="220"/>
      <c r="X14" s="220"/>
      <c r="Y14" s="220"/>
      <c r="Z14" s="220"/>
      <c r="AA14" s="220"/>
      <c r="AB14" s="220"/>
      <c r="AC14" s="220"/>
      <c r="AD14" s="220"/>
      <c r="AE14" s="220"/>
      <c r="AF14" s="220"/>
      <c r="AG14" s="220"/>
      <c r="AH14" s="220"/>
      <c r="AI14" s="220"/>
      <c r="AJ14" s="220"/>
      <c r="AK14" s="220"/>
      <c r="AL14" s="220"/>
      <c r="AM14" s="220"/>
      <c r="AN14" s="220"/>
      <c r="AO14" s="220"/>
      <c r="AP14" s="220"/>
      <c r="AQ14" s="220"/>
      <c r="AR14" s="220"/>
      <c r="AS14" s="220"/>
      <c r="AT14" s="220"/>
      <c r="AU14" s="220"/>
      <c r="AV14" s="220"/>
      <c r="AW14" s="220"/>
      <c r="AX14" s="220"/>
      <c r="AY14" s="220"/>
      <c r="AZ14" s="220"/>
      <c r="BA14" s="220"/>
      <c r="BB14" s="220"/>
      <c r="BC14" s="220"/>
      <c r="BD14" s="220"/>
      <c r="BE14" s="220"/>
      <c r="BF14" s="220"/>
      <c r="BG14" s="220"/>
      <c r="BH14" s="220"/>
      <c r="BI14" s="221"/>
      <c r="BJ14" s="220"/>
      <c r="BK14" s="220"/>
      <c r="BL14" s="220"/>
      <c r="BM14" s="220"/>
      <c r="BN14" s="220"/>
      <c r="BO14" s="221"/>
      <c r="BP14" s="220"/>
      <c r="BQ14" s="220"/>
      <c r="BR14" s="220"/>
      <c r="BS14" s="220"/>
      <c r="BT14" s="220"/>
      <c r="BU14" s="220"/>
      <c r="BV14" s="220"/>
      <c r="BW14" s="220"/>
      <c r="BX14" s="220"/>
      <c r="BY14" s="220"/>
      <c r="BZ14" s="220"/>
      <c r="CA14" s="220"/>
      <c r="CB14" s="220"/>
    </row>
    <row r="15" spans="1:81" outlineLevel="1">
      <c r="A15" s="212" t="s">
        <v>119</v>
      </c>
      <c r="B15" s="215" t="s">
        <v>17</v>
      </c>
      <c r="C15" s="215" t="s">
        <v>251</v>
      </c>
      <c r="D15" s="215" t="s">
        <v>21</v>
      </c>
      <c r="E15" s="216" t="s">
        <v>29</v>
      </c>
      <c r="F15" s="216" t="s">
        <v>83</v>
      </c>
      <c r="G15" s="216" t="s">
        <v>266</v>
      </c>
      <c r="H15" s="216" t="s">
        <v>266</v>
      </c>
      <c r="I15" s="216"/>
      <c r="J15" s="217">
        <f t="shared" si="3"/>
        <v>2.56</v>
      </c>
      <c r="K15" s="217">
        <f t="shared" si="4"/>
        <v>0.32</v>
      </c>
      <c r="L15" s="217">
        <f t="shared" si="5"/>
        <v>0.5</v>
      </c>
      <c r="M15" s="218">
        <v>6.25E-2</v>
      </c>
      <c r="N15" s="219"/>
      <c r="O15" s="219"/>
      <c r="P15" s="219"/>
      <c r="Q15" s="277"/>
      <c r="R15" s="220"/>
      <c r="S15" s="220">
        <v>0.5</v>
      </c>
      <c r="T15" s="220"/>
      <c r="U15" s="220"/>
      <c r="V15" s="220"/>
      <c r="W15" s="220"/>
      <c r="X15" s="220"/>
      <c r="Y15" s="220"/>
      <c r="Z15" s="220"/>
      <c r="AA15" s="220"/>
      <c r="AB15" s="220"/>
      <c r="AC15" s="220"/>
      <c r="AD15" s="220"/>
      <c r="AE15" s="220"/>
      <c r="AF15" s="220"/>
      <c r="AG15" s="220"/>
      <c r="AH15" s="220"/>
      <c r="AI15" s="220"/>
      <c r="AJ15" s="220"/>
      <c r="AK15" s="220"/>
      <c r="AL15" s="220"/>
      <c r="AM15" s="220"/>
      <c r="AN15" s="220"/>
      <c r="AO15" s="220"/>
      <c r="AP15" s="220"/>
      <c r="AQ15" s="220"/>
      <c r="AR15" s="220"/>
      <c r="AS15" s="220"/>
      <c r="AT15" s="220"/>
      <c r="AU15" s="220"/>
      <c r="AV15" s="220"/>
      <c r="AW15" s="220"/>
      <c r="AX15" s="220"/>
      <c r="AY15" s="220"/>
      <c r="AZ15" s="220"/>
      <c r="BA15" s="220"/>
      <c r="BB15" s="220"/>
      <c r="BC15" s="220"/>
      <c r="BD15" s="220"/>
      <c r="BE15" s="220"/>
      <c r="BF15" s="220"/>
      <c r="BG15" s="220"/>
      <c r="BH15" s="220"/>
      <c r="BI15" s="221"/>
      <c r="BJ15" s="220"/>
      <c r="BK15" s="220"/>
      <c r="BL15" s="220"/>
      <c r="BM15" s="220"/>
      <c r="BN15" s="220"/>
      <c r="BO15" s="221"/>
      <c r="BP15" s="220"/>
      <c r="BQ15" s="220"/>
      <c r="BR15" s="220"/>
      <c r="BS15" s="220"/>
      <c r="BT15" s="220"/>
      <c r="BU15" s="220"/>
      <c r="BV15" s="220"/>
      <c r="BW15" s="220"/>
      <c r="BX15" s="220"/>
      <c r="BY15" s="220"/>
      <c r="BZ15" s="220"/>
      <c r="CA15" s="220"/>
      <c r="CB15" s="220"/>
    </row>
    <row r="16" spans="1:81" outlineLevel="1">
      <c r="A16" s="212" t="s">
        <v>119</v>
      </c>
      <c r="B16" s="215" t="s">
        <v>17</v>
      </c>
      <c r="C16" s="215" t="s">
        <v>251</v>
      </c>
      <c r="D16" s="215" t="s">
        <v>21</v>
      </c>
      <c r="E16" s="216" t="s">
        <v>29</v>
      </c>
      <c r="F16" s="216" t="s">
        <v>61</v>
      </c>
      <c r="G16" s="216" t="s">
        <v>266</v>
      </c>
      <c r="H16" s="216" t="s">
        <v>266</v>
      </c>
      <c r="I16" s="216"/>
      <c r="J16" s="217">
        <f t="shared" si="3"/>
        <v>2.56</v>
      </c>
      <c r="K16" s="217">
        <f t="shared" si="4"/>
        <v>0.32</v>
      </c>
      <c r="L16" s="217">
        <f t="shared" si="5"/>
        <v>0</v>
      </c>
      <c r="M16" s="218">
        <v>6.25E-2</v>
      </c>
      <c r="N16" s="219"/>
      <c r="O16" s="219"/>
      <c r="P16" s="219"/>
      <c r="Q16" s="277"/>
      <c r="R16" s="220"/>
      <c r="S16" s="220"/>
      <c r="T16" s="220"/>
      <c r="U16" s="220"/>
      <c r="V16" s="220"/>
      <c r="W16" s="220"/>
      <c r="X16" s="220"/>
      <c r="Y16" s="220"/>
      <c r="Z16" s="220"/>
      <c r="AA16" s="220"/>
      <c r="AB16" s="220"/>
      <c r="AC16" s="220"/>
      <c r="AD16" s="220"/>
      <c r="AE16" s="220"/>
      <c r="AF16" s="220"/>
      <c r="AG16" s="220"/>
      <c r="AH16" s="220"/>
      <c r="AI16" s="220"/>
      <c r="AJ16" s="220"/>
      <c r="AK16" s="220"/>
      <c r="AL16" s="220"/>
      <c r="AM16" s="220"/>
      <c r="AN16" s="220"/>
      <c r="AO16" s="220"/>
      <c r="AP16" s="220"/>
      <c r="AQ16" s="220"/>
      <c r="AR16" s="220"/>
      <c r="AS16" s="220"/>
      <c r="AT16" s="220"/>
      <c r="AU16" s="220"/>
      <c r="AV16" s="220"/>
      <c r="AW16" s="220"/>
      <c r="AX16" s="220"/>
      <c r="AY16" s="220"/>
      <c r="AZ16" s="220"/>
      <c r="BA16" s="220"/>
      <c r="BB16" s="220"/>
      <c r="BC16" s="220"/>
      <c r="BD16" s="220"/>
      <c r="BE16" s="220"/>
      <c r="BF16" s="220"/>
      <c r="BG16" s="220"/>
      <c r="BH16" s="220"/>
      <c r="BI16" s="221"/>
      <c r="BJ16" s="220"/>
      <c r="BK16" s="220"/>
      <c r="BL16" s="220"/>
      <c r="BM16" s="220"/>
      <c r="BN16" s="220"/>
      <c r="BO16" s="221"/>
      <c r="BP16" s="220"/>
      <c r="BQ16" s="220"/>
      <c r="BR16" s="220"/>
      <c r="BS16" s="220"/>
      <c r="BT16" s="220"/>
      <c r="BU16" s="220"/>
      <c r="BV16" s="220"/>
      <c r="BW16" s="220"/>
      <c r="BX16" s="220"/>
      <c r="BY16" s="220"/>
      <c r="BZ16" s="220"/>
      <c r="CA16" s="220"/>
      <c r="CB16" s="220"/>
    </row>
    <row r="17" spans="1:80" outlineLevel="1">
      <c r="A17" s="212" t="s">
        <v>119</v>
      </c>
      <c r="B17" s="215" t="s">
        <v>17</v>
      </c>
      <c r="C17" s="215" t="s">
        <v>251</v>
      </c>
      <c r="D17" s="215" t="s">
        <v>21</v>
      </c>
      <c r="E17" s="216" t="s">
        <v>29</v>
      </c>
      <c r="F17" s="216" t="s">
        <v>84</v>
      </c>
      <c r="G17" s="216" t="s">
        <v>266</v>
      </c>
      <c r="H17" s="216" t="s">
        <v>266</v>
      </c>
      <c r="I17" s="216"/>
      <c r="J17" s="217">
        <f t="shared" si="3"/>
        <v>2.56</v>
      </c>
      <c r="K17" s="217">
        <f t="shared" si="4"/>
        <v>0.32</v>
      </c>
      <c r="L17" s="217">
        <f t="shared" si="5"/>
        <v>0</v>
      </c>
      <c r="M17" s="218">
        <v>6.25E-2</v>
      </c>
      <c r="N17" s="219"/>
      <c r="O17" s="219"/>
      <c r="P17" s="219"/>
      <c r="Q17" s="277"/>
      <c r="R17" s="220"/>
      <c r="S17" s="220"/>
      <c r="T17" s="220"/>
      <c r="U17" s="220"/>
      <c r="V17" s="220"/>
      <c r="W17" s="220"/>
      <c r="X17" s="220"/>
      <c r="Y17" s="220"/>
      <c r="Z17" s="220"/>
      <c r="AA17" s="220"/>
      <c r="AB17" s="220"/>
      <c r="AC17" s="220"/>
      <c r="AD17" s="220"/>
      <c r="AE17" s="220"/>
      <c r="AF17" s="220"/>
      <c r="AG17" s="220"/>
      <c r="AH17" s="220"/>
      <c r="AI17" s="220"/>
      <c r="AJ17" s="220"/>
      <c r="AK17" s="220"/>
      <c r="AL17" s="220"/>
      <c r="AM17" s="220"/>
      <c r="AN17" s="220"/>
      <c r="AO17" s="220"/>
      <c r="AP17" s="220"/>
      <c r="AQ17" s="220"/>
      <c r="AR17" s="220"/>
      <c r="AS17" s="220"/>
      <c r="AT17" s="220"/>
      <c r="AU17" s="220"/>
      <c r="AV17" s="220"/>
      <c r="AW17" s="220"/>
      <c r="AX17" s="220"/>
      <c r="AY17" s="220"/>
      <c r="AZ17" s="220"/>
      <c r="BA17" s="220"/>
      <c r="BB17" s="220"/>
      <c r="BC17" s="220"/>
      <c r="BD17" s="220"/>
      <c r="BE17" s="220"/>
      <c r="BF17" s="220"/>
      <c r="BG17" s="220"/>
      <c r="BH17" s="220"/>
      <c r="BI17" s="221"/>
      <c r="BJ17" s="220"/>
      <c r="BK17" s="220"/>
      <c r="BL17" s="220"/>
      <c r="BM17" s="220"/>
      <c r="BN17" s="220"/>
      <c r="BO17" s="221"/>
      <c r="BP17" s="220"/>
      <c r="BQ17" s="220"/>
      <c r="BR17" s="220"/>
      <c r="BS17" s="220"/>
      <c r="BT17" s="220"/>
      <c r="BU17" s="220"/>
      <c r="BV17" s="220"/>
      <c r="BW17" s="220"/>
      <c r="BX17" s="220"/>
      <c r="BY17" s="220"/>
      <c r="BZ17" s="220"/>
      <c r="CA17" s="220"/>
      <c r="CB17" s="220"/>
    </row>
    <row r="18" spans="1:80" outlineLevel="1">
      <c r="A18" s="212" t="s">
        <v>119</v>
      </c>
      <c r="B18" s="215" t="s">
        <v>17</v>
      </c>
      <c r="C18" s="215" t="s">
        <v>251</v>
      </c>
      <c r="D18" s="215" t="s">
        <v>21</v>
      </c>
      <c r="E18" s="216" t="s">
        <v>29</v>
      </c>
      <c r="F18" s="216" t="s">
        <v>85</v>
      </c>
      <c r="G18" s="216" t="s">
        <v>266</v>
      </c>
      <c r="H18" s="216" t="s">
        <v>266</v>
      </c>
      <c r="I18" s="216"/>
      <c r="J18" s="217">
        <f t="shared" si="3"/>
        <v>2.56</v>
      </c>
      <c r="K18" s="217">
        <f t="shared" si="4"/>
        <v>0.32</v>
      </c>
      <c r="L18" s="217">
        <f t="shared" si="5"/>
        <v>0</v>
      </c>
      <c r="M18" s="218">
        <v>6.25E-2</v>
      </c>
      <c r="N18" s="219"/>
      <c r="O18" s="219"/>
      <c r="P18" s="219"/>
      <c r="Q18" s="277"/>
      <c r="R18" s="220"/>
      <c r="S18" s="220"/>
      <c r="T18" s="220"/>
      <c r="U18" s="220"/>
      <c r="V18" s="220"/>
      <c r="W18" s="220"/>
      <c r="X18" s="220"/>
      <c r="Y18" s="220"/>
      <c r="Z18" s="220"/>
      <c r="AA18" s="220"/>
      <c r="AB18" s="220"/>
      <c r="AC18" s="220"/>
      <c r="AD18" s="220"/>
      <c r="AE18" s="220"/>
      <c r="AF18" s="220"/>
      <c r="AG18" s="220"/>
      <c r="AH18" s="220"/>
      <c r="AI18" s="220"/>
      <c r="AJ18" s="220"/>
      <c r="AK18" s="220"/>
      <c r="AL18" s="220"/>
      <c r="AM18" s="220"/>
      <c r="AN18" s="220"/>
      <c r="AO18" s="220"/>
      <c r="AP18" s="220"/>
      <c r="AQ18" s="220"/>
      <c r="AR18" s="220"/>
      <c r="AS18" s="220"/>
      <c r="AT18" s="220"/>
      <c r="AU18" s="220"/>
      <c r="AV18" s="220"/>
      <c r="AW18" s="220"/>
      <c r="AX18" s="220"/>
      <c r="AY18" s="220"/>
      <c r="AZ18" s="220"/>
      <c r="BA18" s="220"/>
      <c r="BB18" s="220"/>
      <c r="BC18" s="220"/>
      <c r="BD18" s="220"/>
      <c r="BE18" s="220"/>
      <c r="BF18" s="220"/>
      <c r="BG18" s="220"/>
      <c r="BH18" s="220"/>
      <c r="BI18" s="221"/>
      <c r="BJ18" s="220"/>
      <c r="BK18" s="220"/>
      <c r="BL18" s="220"/>
      <c r="BM18" s="220"/>
      <c r="BN18" s="220"/>
      <c r="BO18" s="221"/>
      <c r="BP18" s="220"/>
      <c r="BQ18" s="220"/>
      <c r="BR18" s="220"/>
      <c r="BS18" s="220"/>
      <c r="BT18" s="220"/>
      <c r="BU18" s="220"/>
      <c r="BV18" s="220"/>
      <c r="BW18" s="220"/>
      <c r="BX18" s="220"/>
      <c r="BY18" s="220"/>
      <c r="BZ18" s="220"/>
      <c r="CA18" s="220"/>
      <c r="CB18" s="220"/>
    </row>
    <row r="19" spans="1:80" outlineLevel="1">
      <c r="A19" s="212" t="s">
        <v>119</v>
      </c>
      <c r="B19" s="215" t="s">
        <v>17</v>
      </c>
      <c r="C19" s="215" t="s">
        <v>251</v>
      </c>
      <c r="D19" s="215" t="s">
        <v>21</v>
      </c>
      <c r="E19" s="216" t="s">
        <v>29</v>
      </c>
      <c r="F19" s="216" t="s">
        <v>86</v>
      </c>
      <c r="G19" s="216" t="s">
        <v>266</v>
      </c>
      <c r="H19" s="216" t="s">
        <v>266</v>
      </c>
      <c r="I19" s="216"/>
      <c r="J19" s="217">
        <f t="shared" si="3"/>
        <v>2.56</v>
      </c>
      <c r="K19" s="217">
        <f t="shared" si="4"/>
        <v>0.32</v>
      </c>
      <c r="L19" s="217">
        <f t="shared" si="5"/>
        <v>0</v>
      </c>
      <c r="M19" s="218">
        <v>6.25E-2</v>
      </c>
      <c r="N19" s="219"/>
      <c r="O19" s="219"/>
      <c r="P19" s="219"/>
      <c r="Q19" s="277"/>
      <c r="R19" s="220"/>
      <c r="S19" s="220"/>
      <c r="T19" s="220"/>
      <c r="U19" s="220"/>
      <c r="V19" s="220"/>
      <c r="W19" s="220"/>
      <c r="X19" s="220"/>
      <c r="Y19" s="220"/>
      <c r="Z19" s="220"/>
      <c r="AA19" s="220"/>
      <c r="AB19" s="220"/>
      <c r="AC19" s="220"/>
      <c r="AD19" s="220"/>
      <c r="AE19" s="220"/>
      <c r="AF19" s="220"/>
      <c r="AG19" s="220"/>
      <c r="AH19" s="220"/>
      <c r="AI19" s="220"/>
      <c r="AJ19" s="220"/>
      <c r="AK19" s="220"/>
      <c r="AL19" s="220"/>
      <c r="AM19" s="220"/>
      <c r="AN19" s="220"/>
      <c r="AO19" s="220"/>
      <c r="AP19" s="220"/>
      <c r="AQ19" s="220"/>
      <c r="AR19" s="220"/>
      <c r="AS19" s="220"/>
      <c r="AT19" s="220"/>
      <c r="AU19" s="220"/>
      <c r="AV19" s="220"/>
      <c r="AW19" s="220"/>
      <c r="AX19" s="220"/>
      <c r="AY19" s="220"/>
      <c r="AZ19" s="220"/>
      <c r="BA19" s="220"/>
      <c r="BB19" s="220"/>
      <c r="BC19" s="220"/>
      <c r="BD19" s="220"/>
      <c r="BE19" s="220"/>
      <c r="BF19" s="220"/>
      <c r="BG19" s="220"/>
      <c r="BH19" s="220"/>
      <c r="BI19" s="221"/>
      <c r="BJ19" s="220"/>
      <c r="BK19" s="220"/>
      <c r="BL19" s="220"/>
      <c r="BM19" s="220"/>
      <c r="BN19" s="220"/>
      <c r="BO19" s="221"/>
      <c r="BP19" s="220"/>
      <c r="BQ19" s="220"/>
      <c r="BR19" s="220"/>
      <c r="BS19" s="220"/>
      <c r="BT19" s="220"/>
      <c r="BU19" s="220"/>
      <c r="BV19" s="220"/>
      <c r="BW19" s="220"/>
      <c r="BX19" s="220"/>
      <c r="BY19" s="220"/>
      <c r="BZ19" s="220"/>
      <c r="CA19" s="220"/>
      <c r="CB19" s="220"/>
    </row>
    <row r="20" spans="1:80" outlineLevel="1">
      <c r="A20" s="212" t="s">
        <v>119</v>
      </c>
      <c r="B20" s="215" t="s">
        <v>17</v>
      </c>
      <c r="C20" s="215" t="s">
        <v>251</v>
      </c>
      <c r="D20" s="215" t="s">
        <v>21</v>
      </c>
      <c r="E20" s="216" t="s">
        <v>29</v>
      </c>
      <c r="F20" s="216" t="s">
        <v>62</v>
      </c>
      <c r="G20" s="222" t="s">
        <v>266</v>
      </c>
      <c r="H20" s="216" t="s">
        <v>267</v>
      </c>
      <c r="I20" s="216"/>
      <c r="J20" s="217">
        <f t="shared" si="3"/>
        <v>2.56</v>
      </c>
      <c r="K20" s="217">
        <f t="shared" si="4"/>
        <v>0.32</v>
      </c>
      <c r="L20" s="217">
        <f t="shared" si="5"/>
        <v>0</v>
      </c>
      <c r="M20" s="218">
        <v>6.25E-2</v>
      </c>
      <c r="N20" s="219"/>
      <c r="O20" s="219"/>
      <c r="P20" s="219"/>
      <c r="Q20" s="277"/>
      <c r="R20" s="220"/>
      <c r="S20" s="220"/>
      <c r="T20" s="220"/>
      <c r="U20" s="220"/>
      <c r="V20" s="220"/>
      <c r="W20" s="220"/>
      <c r="X20" s="220"/>
      <c r="Y20" s="220"/>
      <c r="Z20" s="220"/>
      <c r="AA20" s="220"/>
      <c r="AB20" s="220"/>
      <c r="AC20" s="220"/>
      <c r="AD20" s="220"/>
      <c r="AE20" s="220"/>
      <c r="AF20" s="220"/>
      <c r="AG20" s="220"/>
      <c r="AH20" s="220"/>
      <c r="AI20" s="220"/>
      <c r="AJ20" s="220"/>
      <c r="AK20" s="220"/>
      <c r="AL20" s="220"/>
      <c r="AM20" s="220"/>
      <c r="AN20" s="220"/>
      <c r="AO20" s="220"/>
      <c r="AP20" s="220"/>
      <c r="AQ20" s="220"/>
      <c r="AR20" s="220"/>
      <c r="AS20" s="220"/>
      <c r="AT20" s="220"/>
      <c r="AU20" s="220"/>
      <c r="AV20" s="220"/>
      <c r="AW20" s="220"/>
      <c r="AX20" s="220"/>
      <c r="AY20" s="220"/>
      <c r="AZ20" s="220"/>
      <c r="BA20" s="220"/>
      <c r="BB20" s="220"/>
      <c r="BC20" s="220"/>
      <c r="BD20" s="220"/>
      <c r="BE20" s="220"/>
      <c r="BF20" s="220"/>
      <c r="BG20" s="220"/>
      <c r="BH20" s="220"/>
      <c r="BI20" s="221"/>
      <c r="BJ20" s="220"/>
      <c r="BK20" s="220"/>
      <c r="BL20" s="220"/>
      <c r="BM20" s="220"/>
      <c r="BN20" s="220"/>
      <c r="BO20" s="221"/>
      <c r="BP20" s="220"/>
      <c r="BQ20" s="220"/>
      <c r="BR20" s="220"/>
      <c r="BS20" s="220"/>
      <c r="BT20" s="220"/>
      <c r="BU20" s="220"/>
      <c r="BV20" s="220"/>
      <c r="BW20" s="220"/>
      <c r="BX20" s="220"/>
      <c r="BY20" s="220"/>
      <c r="BZ20" s="220"/>
      <c r="CA20" s="220"/>
      <c r="CB20" s="220"/>
    </row>
    <row r="21" spans="1:80" outlineLevel="1">
      <c r="A21" s="212" t="s">
        <v>119</v>
      </c>
      <c r="B21" s="215" t="s">
        <v>17</v>
      </c>
      <c r="C21" s="215" t="s">
        <v>251</v>
      </c>
      <c r="D21" s="215" t="s">
        <v>21</v>
      </c>
      <c r="E21" s="216" t="s">
        <v>29</v>
      </c>
      <c r="F21" s="216" t="s">
        <v>87</v>
      </c>
      <c r="G21" s="222" t="s">
        <v>266</v>
      </c>
      <c r="H21" s="216" t="s">
        <v>267</v>
      </c>
      <c r="I21" s="216"/>
      <c r="J21" s="217">
        <f t="shared" si="3"/>
        <v>2.56</v>
      </c>
      <c r="K21" s="217">
        <f t="shared" si="4"/>
        <v>0.32</v>
      </c>
      <c r="L21" s="217">
        <f t="shared" si="5"/>
        <v>0.5</v>
      </c>
      <c r="M21" s="218">
        <v>6.25E-2</v>
      </c>
      <c r="N21" s="219"/>
      <c r="O21" s="219"/>
      <c r="P21" s="219"/>
      <c r="Q21" s="277"/>
      <c r="R21" s="220"/>
      <c r="S21" s="220">
        <v>0.5</v>
      </c>
      <c r="T21" s="220"/>
      <c r="U21" s="220"/>
      <c r="V21" s="220"/>
      <c r="W21" s="220"/>
      <c r="X21" s="220"/>
      <c r="Y21" s="220"/>
      <c r="Z21" s="220"/>
      <c r="AA21" s="220"/>
      <c r="AB21" s="220"/>
      <c r="AC21" s="220"/>
      <c r="AD21" s="220"/>
      <c r="AE21" s="220"/>
      <c r="AF21" s="220"/>
      <c r="AG21" s="220"/>
      <c r="AH21" s="220"/>
      <c r="AI21" s="220"/>
      <c r="AJ21" s="220"/>
      <c r="AK21" s="220"/>
      <c r="AL21" s="220"/>
      <c r="AM21" s="220"/>
      <c r="AN21" s="220"/>
      <c r="AO21" s="220"/>
      <c r="AP21" s="220"/>
      <c r="AQ21" s="220"/>
      <c r="AR21" s="220"/>
      <c r="AS21" s="220"/>
      <c r="AT21" s="220"/>
      <c r="AU21" s="220"/>
      <c r="AV21" s="220"/>
      <c r="AW21" s="220"/>
      <c r="AX21" s="220"/>
      <c r="AY21" s="220"/>
      <c r="AZ21" s="220"/>
      <c r="BA21" s="220"/>
      <c r="BB21" s="220"/>
      <c r="BC21" s="220"/>
      <c r="BD21" s="220"/>
      <c r="BE21" s="220"/>
      <c r="BF21" s="220"/>
      <c r="BG21" s="220"/>
      <c r="BH21" s="220"/>
      <c r="BI21" s="221"/>
      <c r="BJ21" s="220"/>
      <c r="BK21" s="220"/>
      <c r="BL21" s="220"/>
      <c r="BM21" s="220"/>
      <c r="BN21" s="220"/>
      <c r="BO21" s="221"/>
      <c r="BP21" s="220"/>
      <c r="BQ21" s="220"/>
      <c r="BR21" s="220"/>
      <c r="BS21" s="220"/>
      <c r="BT21" s="220"/>
      <c r="BU21" s="220"/>
      <c r="BV21" s="220"/>
      <c r="BW21" s="220"/>
      <c r="BX21" s="220"/>
      <c r="BY21" s="220"/>
      <c r="BZ21" s="220"/>
      <c r="CA21" s="220"/>
      <c r="CB21" s="220"/>
    </row>
    <row r="22" spans="1:80" outlineLevel="1">
      <c r="A22" s="212" t="s">
        <v>119</v>
      </c>
      <c r="B22" s="215" t="s">
        <v>17</v>
      </c>
      <c r="C22" s="215" t="s">
        <v>251</v>
      </c>
      <c r="D22" s="215" t="s">
        <v>21</v>
      </c>
      <c r="E22" s="216" t="s">
        <v>29</v>
      </c>
      <c r="F22" s="216" t="s">
        <v>88</v>
      </c>
      <c r="G22" s="222" t="s">
        <v>266</v>
      </c>
      <c r="H22" s="216" t="s">
        <v>267</v>
      </c>
      <c r="I22" s="216"/>
      <c r="J22" s="217">
        <f t="shared" si="3"/>
        <v>2.56</v>
      </c>
      <c r="K22" s="217">
        <f t="shared" si="4"/>
        <v>0.32</v>
      </c>
      <c r="L22" s="217">
        <f t="shared" si="5"/>
        <v>0.5</v>
      </c>
      <c r="M22" s="218">
        <v>6.25E-2</v>
      </c>
      <c r="N22" s="219"/>
      <c r="O22" s="219"/>
      <c r="P22" s="219"/>
      <c r="Q22" s="277"/>
      <c r="R22" s="220"/>
      <c r="S22" s="220">
        <v>0.5</v>
      </c>
      <c r="T22" s="220"/>
      <c r="U22" s="220"/>
      <c r="V22" s="220"/>
      <c r="W22" s="220"/>
      <c r="X22" s="220"/>
      <c r="Y22" s="220"/>
      <c r="Z22" s="220"/>
      <c r="AA22" s="220"/>
      <c r="AB22" s="220"/>
      <c r="AC22" s="220"/>
      <c r="AD22" s="220"/>
      <c r="AE22" s="220"/>
      <c r="AF22" s="220"/>
      <c r="AG22" s="220"/>
      <c r="AH22" s="220"/>
      <c r="AI22" s="220"/>
      <c r="AJ22" s="220"/>
      <c r="AK22" s="220"/>
      <c r="AL22" s="220"/>
      <c r="AM22" s="220"/>
      <c r="AN22" s="220"/>
      <c r="AO22" s="220"/>
      <c r="AP22" s="220"/>
      <c r="AQ22" s="220"/>
      <c r="AR22" s="220"/>
      <c r="AS22" s="220"/>
      <c r="AT22" s="220"/>
      <c r="AU22" s="220"/>
      <c r="AV22" s="220"/>
      <c r="AW22" s="220"/>
      <c r="AX22" s="220"/>
      <c r="AY22" s="220"/>
      <c r="AZ22" s="220"/>
      <c r="BA22" s="220"/>
      <c r="BB22" s="220"/>
      <c r="BC22" s="220"/>
      <c r="BD22" s="220"/>
      <c r="BE22" s="220"/>
      <c r="BF22" s="220"/>
      <c r="BG22" s="220"/>
      <c r="BH22" s="220"/>
      <c r="BI22" s="221"/>
      <c r="BJ22" s="220"/>
      <c r="BK22" s="220"/>
      <c r="BL22" s="220"/>
      <c r="BM22" s="220"/>
      <c r="BN22" s="220"/>
      <c r="BO22" s="221"/>
      <c r="BP22" s="220"/>
      <c r="BQ22" s="220"/>
      <c r="BR22" s="220"/>
      <c r="BS22" s="220"/>
      <c r="BT22" s="220"/>
      <c r="BU22" s="220"/>
      <c r="BV22" s="220"/>
      <c r="BW22" s="220"/>
      <c r="BX22" s="220"/>
      <c r="BY22" s="220"/>
      <c r="BZ22" s="220"/>
      <c r="CA22" s="220"/>
      <c r="CB22" s="220"/>
    </row>
    <row r="23" spans="1:80" outlineLevel="1">
      <c r="A23" s="212" t="s">
        <v>119</v>
      </c>
      <c r="B23" s="215" t="s">
        <v>17</v>
      </c>
      <c r="C23" s="215" t="s">
        <v>251</v>
      </c>
      <c r="D23" s="215" t="s">
        <v>21</v>
      </c>
      <c r="E23" s="216" t="s">
        <v>29</v>
      </c>
      <c r="F23" s="216" t="s">
        <v>89</v>
      </c>
      <c r="G23" s="216" t="s">
        <v>266</v>
      </c>
      <c r="H23" s="216" t="s">
        <v>266</v>
      </c>
      <c r="I23" s="216"/>
      <c r="J23" s="217">
        <f t="shared" si="3"/>
        <v>2.56</v>
      </c>
      <c r="K23" s="217">
        <f t="shared" si="4"/>
        <v>0.32</v>
      </c>
      <c r="L23" s="217">
        <f t="shared" si="5"/>
        <v>0.5</v>
      </c>
      <c r="M23" s="218">
        <v>6.25E-2</v>
      </c>
      <c r="N23" s="219"/>
      <c r="O23" s="219"/>
      <c r="P23" s="219"/>
      <c r="Q23" s="277"/>
      <c r="R23" s="220"/>
      <c r="S23" s="220">
        <v>0.5</v>
      </c>
      <c r="T23" s="220"/>
      <c r="U23" s="220"/>
      <c r="V23" s="220"/>
      <c r="W23" s="220"/>
      <c r="X23" s="220"/>
      <c r="Y23" s="220"/>
      <c r="Z23" s="220"/>
      <c r="AA23" s="220"/>
      <c r="AB23" s="220"/>
      <c r="AC23" s="220"/>
      <c r="AD23" s="220"/>
      <c r="AE23" s="220"/>
      <c r="AF23" s="220"/>
      <c r="AG23" s="220"/>
      <c r="AH23" s="220"/>
      <c r="AI23" s="220"/>
      <c r="AJ23" s="220"/>
      <c r="AK23" s="220"/>
      <c r="AL23" s="220"/>
      <c r="AM23" s="220"/>
      <c r="AN23" s="220"/>
      <c r="AO23" s="220"/>
      <c r="AP23" s="220"/>
      <c r="AQ23" s="220"/>
      <c r="AR23" s="220"/>
      <c r="AS23" s="220"/>
      <c r="AT23" s="220"/>
      <c r="AU23" s="220"/>
      <c r="AV23" s="220"/>
      <c r="AW23" s="220"/>
      <c r="AX23" s="220"/>
      <c r="AY23" s="220"/>
      <c r="AZ23" s="220"/>
      <c r="BA23" s="220"/>
      <c r="BB23" s="220"/>
      <c r="BC23" s="220"/>
      <c r="BD23" s="220"/>
      <c r="BE23" s="220"/>
      <c r="BF23" s="220"/>
      <c r="BG23" s="220"/>
      <c r="BH23" s="220"/>
      <c r="BI23" s="221"/>
      <c r="BJ23" s="220"/>
      <c r="BK23" s="220"/>
      <c r="BL23" s="220"/>
      <c r="BM23" s="220"/>
      <c r="BN23" s="220"/>
      <c r="BO23" s="221"/>
      <c r="BP23" s="220"/>
      <c r="BQ23" s="220"/>
      <c r="BR23" s="220"/>
      <c r="BS23" s="220"/>
      <c r="BT23" s="220"/>
      <c r="BU23" s="220"/>
      <c r="BV23" s="220"/>
      <c r="BW23" s="220"/>
      <c r="BX23" s="220"/>
      <c r="BY23" s="220"/>
      <c r="BZ23" s="220"/>
      <c r="CA23" s="220"/>
      <c r="CB23" s="220"/>
    </row>
    <row r="24" spans="1:80" outlineLevel="1">
      <c r="A24" s="212" t="s">
        <v>119</v>
      </c>
      <c r="B24" s="215" t="s">
        <v>17</v>
      </c>
      <c r="C24" s="215" t="s">
        <v>251</v>
      </c>
      <c r="D24" s="215" t="s">
        <v>21</v>
      </c>
      <c r="E24" s="216" t="s">
        <v>29</v>
      </c>
      <c r="F24" s="216" t="s">
        <v>90</v>
      </c>
      <c r="G24" s="216" t="s">
        <v>266</v>
      </c>
      <c r="H24" s="216" t="s">
        <v>266</v>
      </c>
      <c r="I24" s="216"/>
      <c r="J24" s="217">
        <f t="shared" si="3"/>
        <v>2.56</v>
      </c>
      <c r="K24" s="217">
        <f t="shared" si="4"/>
        <v>0.32</v>
      </c>
      <c r="L24" s="217">
        <f t="shared" si="5"/>
        <v>0.5</v>
      </c>
      <c r="M24" s="218">
        <v>6.25E-2</v>
      </c>
      <c r="N24" s="219"/>
      <c r="O24" s="219"/>
      <c r="P24" s="219"/>
      <c r="Q24" s="277"/>
      <c r="R24" s="220"/>
      <c r="S24" s="220">
        <v>0.5</v>
      </c>
      <c r="T24" s="220"/>
      <c r="U24" s="220"/>
      <c r="V24" s="220"/>
      <c r="W24" s="220"/>
      <c r="X24" s="220"/>
      <c r="Y24" s="220"/>
      <c r="Z24" s="220"/>
      <c r="AA24" s="220"/>
      <c r="AB24" s="220"/>
      <c r="AC24" s="220"/>
      <c r="AD24" s="220"/>
      <c r="AE24" s="220"/>
      <c r="AF24" s="220"/>
      <c r="AG24" s="220"/>
      <c r="AH24" s="220"/>
      <c r="AI24" s="220"/>
      <c r="AJ24" s="220"/>
      <c r="AK24" s="220"/>
      <c r="AL24" s="220"/>
      <c r="AM24" s="220"/>
      <c r="AN24" s="220"/>
      <c r="AO24" s="220"/>
      <c r="AP24" s="220"/>
      <c r="AQ24" s="220"/>
      <c r="AR24" s="220"/>
      <c r="AS24" s="220"/>
      <c r="AT24" s="220"/>
      <c r="AU24" s="220"/>
      <c r="AV24" s="220"/>
      <c r="AW24" s="220"/>
      <c r="AX24" s="220"/>
      <c r="AY24" s="220"/>
      <c r="AZ24" s="220"/>
      <c r="BA24" s="220"/>
      <c r="BB24" s="220"/>
      <c r="BC24" s="220"/>
      <c r="BD24" s="220"/>
      <c r="BE24" s="220"/>
      <c r="BF24" s="220"/>
      <c r="BG24" s="220"/>
      <c r="BH24" s="220"/>
      <c r="BI24" s="221"/>
      <c r="BJ24" s="220"/>
      <c r="BK24" s="220"/>
      <c r="BL24" s="220"/>
      <c r="BM24" s="220"/>
      <c r="BN24" s="220"/>
      <c r="BO24" s="221"/>
      <c r="BP24" s="220"/>
      <c r="BQ24" s="220"/>
      <c r="BR24" s="220"/>
      <c r="BS24" s="220"/>
      <c r="BT24" s="220"/>
      <c r="BU24" s="220"/>
      <c r="BV24" s="220"/>
      <c r="BW24" s="220"/>
      <c r="BX24" s="220"/>
      <c r="BY24" s="220"/>
      <c r="BZ24" s="220"/>
      <c r="CA24" s="220"/>
      <c r="CB24" s="220"/>
    </row>
    <row r="25" spans="1:80" outlineLevel="1">
      <c r="A25" s="212" t="s">
        <v>119</v>
      </c>
      <c r="B25" s="215" t="s">
        <v>17</v>
      </c>
      <c r="C25" s="215" t="s">
        <v>251</v>
      </c>
      <c r="D25" s="215" t="s">
        <v>21</v>
      </c>
      <c r="E25" s="216" t="s">
        <v>29</v>
      </c>
      <c r="F25" s="216" t="s">
        <v>91</v>
      </c>
      <c r="G25" s="216" t="s">
        <v>266</v>
      </c>
      <c r="H25" s="216" t="s">
        <v>266</v>
      </c>
      <c r="I25" s="216"/>
      <c r="J25" s="217">
        <f t="shared" si="3"/>
        <v>2.56</v>
      </c>
      <c r="K25" s="217">
        <f t="shared" si="4"/>
        <v>0.32</v>
      </c>
      <c r="L25" s="217">
        <f t="shared" si="5"/>
        <v>0.5</v>
      </c>
      <c r="M25" s="218">
        <v>6.25E-2</v>
      </c>
      <c r="N25" s="219"/>
      <c r="O25" s="219"/>
      <c r="P25" s="219"/>
      <c r="Q25" s="277"/>
      <c r="R25" s="220"/>
      <c r="S25" s="220">
        <v>0.5</v>
      </c>
      <c r="T25" s="220"/>
      <c r="U25" s="220"/>
      <c r="V25" s="220"/>
      <c r="W25" s="220"/>
      <c r="X25" s="220"/>
      <c r="Y25" s="220"/>
      <c r="Z25" s="220"/>
      <c r="AA25" s="220"/>
      <c r="AB25" s="220"/>
      <c r="AC25" s="220"/>
      <c r="AD25" s="220"/>
      <c r="AE25" s="220"/>
      <c r="AF25" s="220"/>
      <c r="AG25" s="220"/>
      <c r="AH25" s="220"/>
      <c r="AI25" s="220"/>
      <c r="AJ25" s="220"/>
      <c r="AK25" s="220"/>
      <c r="AL25" s="220"/>
      <c r="AM25" s="220"/>
      <c r="AN25" s="220"/>
      <c r="AO25" s="220"/>
      <c r="AP25" s="220"/>
      <c r="AQ25" s="220"/>
      <c r="AR25" s="220"/>
      <c r="AS25" s="220"/>
      <c r="AT25" s="220"/>
      <c r="AU25" s="220"/>
      <c r="AV25" s="220"/>
      <c r="AW25" s="220"/>
      <c r="AX25" s="220"/>
      <c r="AY25" s="220"/>
      <c r="AZ25" s="220"/>
      <c r="BA25" s="220"/>
      <c r="BB25" s="220"/>
      <c r="BC25" s="220"/>
      <c r="BD25" s="220"/>
      <c r="BE25" s="220"/>
      <c r="BF25" s="220"/>
      <c r="BG25" s="220"/>
      <c r="BH25" s="220"/>
      <c r="BI25" s="221"/>
      <c r="BJ25" s="220"/>
      <c r="BK25" s="220"/>
      <c r="BL25" s="220"/>
      <c r="BM25" s="220"/>
      <c r="BN25" s="220"/>
      <c r="BO25" s="221"/>
      <c r="BP25" s="220"/>
      <c r="BQ25" s="220"/>
      <c r="BR25" s="220"/>
      <c r="BS25" s="220"/>
      <c r="BT25" s="220"/>
      <c r="BU25" s="220"/>
      <c r="BV25" s="220"/>
      <c r="BW25" s="220"/>
      <c r="BX25" s="220"/>
      <c r="BY25" s="220"/>
      <c r="BZ25" s="220"/>
      <c r="CA25" s="220"/>
      <c r="CB25" s="220"/>
    </row>
    <row r="26" spans="1:80" outlineLevel="1">
      <c r="A26" s="212" t="s">
        <v>119</v>
      </c>
      <c r="B26" s="215" t="s">
        <v>17</v>
      </c>
      <c r="C26" s="215" t="s">
        <v>251</v>
      </c>
      <c r="D26" s="215" t="s">
        <v>21</v>
      </c>
      <c r="E26" s="216" t="s">
        <v>29</v>
      </c>
      <c r="F26" s="216" t="s">
        <v>92</v>
      </c>
      <c r="G26" s="216" t="s">
        <v>266</v>
      </c>
      <c r="H26" s="216" t="s">
        <v>266</v>
      </c>
      <c r="I26" s="216"/>
      <c r="J26" s="217">
        <f t="shared" si="3"/>
        <v>2.56</v>
      </c>
      <c r="K26" s="217">
        <f t="shared" si="4"/>
        <v>0.32</v>
      </c>
      <c r="L26" s="217">
        <f t="shared" si="5"/>
        <v>0.5</v>
      </c>
      <c r="M26" s="218">
        <v>6.25E-2</v>
      </c>
      <c r="N26" s="219"/>
      <c r="O26" s="219"/>
      <c r="P26" s="219"/>
      <c r="Q26" s="277"/>
      <c r="R26" s="220"/>
      <c r="S26" s="220">
        <v>0.5</v>
      </c>
      <c r="T26" s="220"/>
      <c r="U26" s="220"/>
      <c r="V26" s="220"/>
      <c r="W26" s="220"/>
      <c r="X26" s="220"/>
      <c r="Y26" s="220"/>
      <c r="Z26" s="220"/>
      <c r="AA26" s="220"/>
      <c r="AB26" s="220"/>
      <c r="AC26" s="220"/>
      <c r="AD26" s="220"/>
      <c r="AE26" s="220"/>
      <c r="AF26" s="220"/>
      <c r="AG26" s="220"/>
      <c r="AH26" s="220"/>
      <c r="AI26" s="220"/>
      <c r="AJ26" s="220"/>
      <c r="AK26" s="220"/>
      <c r="AL26" s="220"/>
      <c r="AM26" s="220"/>
      <c r="AN26" s="220"/>
      <c r="AO26" s="220"/>
      <c r="AP26" s="220"/>
      <c r="AQ26" s="220"/>
      <c r="AR26" s="220"/>
      <c r="AS26" s="220"/>
      <c r="AT26" s="220"/>
      <c r="AU26" s="220"/>
      <c r="AV26" s="220"/>
      <c r="AW26" s="220"/>
      <c r="AX26" s="220"/>
      <c r="AY26" s="220"/>
      <c r="AZ26" s="220"/>
      <c r="BA26" s="220"/>
      <c r="BB26" s="220"/>
      <c r="BC26" s="220"/>
      <c r="BD26" s="220"/>
      <c r="BE26" s="220"/>
      <c r="BF26" s="220"/>
      <c r="BG26" s="220"/>
      <c r="BH26" s="220"/>
      <c r="BI26" s="221"/>
      <c r="BJ26" s="220"/>
      <c r="BK26" s="220"/>
      <c r="BL26" s="220"/>
      <c r="BM26" s="220"/>
      <c r="BN26" s="220"/>
      <c r="BO26" s="221"/>
      <c r="BP26" s="220"/>
      <c r="BQ26" s="220"/>
      <c r="BR26" s="220"/>
      <c r="BS26" s="220"/>
      <c r="BT26" s="220"/>
      <c r="BU26" s="220"/>
      <c r="BV26" s="220"/>
      <c r="BW26" s="220"/>
      <c r="BX26" s="220"/>
      <c r="BY26" s="220"/>
      <c r="BZ26" s="220"/>
      <c r="CA26" s="220"/>
      <c r="CB26" s="220"/>
    </row>
    <row r="27" spans="1:80" outlineLevel="1">
      <c r="A27" s="212" t="s">
        <v>119</v>
      </c>
      <c r="B27" s="215" t="s">
        <v>17</v>
      </c>
      <c r="C27" s="215" t="s">
        <v>251</v>
      </c>
      <c r="D27" s="215" t="s">
        <v>21</v>
      </c>
      <c r="E27" s="216" t="s">
        <v>29</v>
      </c>
      <c r="F27" s="216" t="s">
        <v>93</v>
      </c>
      <c r="G27" s="216" t="s">
        <v>266</v>
      </c>
      <c r="H27" s="216" t="s">
        <v>266</v>
      </c>
      <c r="I27" s="216"/>
      <c r="J27" s="217">
        <f t="shared" si="3"/>
        <v>2.56</v>
      </c>
      <c r="K27" s="217">
        <f t="shared" si="4"/>
        <v>0.32</v>
      </c>
      <c r="L27" s="217">
        <f t="shared" si="5"/>
        <v>0</v>
      </c>
      <c r="M27" s="218">
        <v>6.25E-2</v>
      </c>
      <c r="N27" s="219"/>
      <c r="O27" s="219"/>
      <c r="P27" s="219"/>
      <c r="Q27" s="277"/>
      <c r="R27" s="220"/>
      <c r="S27" s="220"/>
      <c r="T27" s="220"/>
      <c r="U27" s="220"/>
      <c r="V27" s="220"/>
      <c r="W27" s="220"/>
      <c r="X27" s="220"/>
      <c r="Y27" s="220"/>
      <c r="Z27" s="220"/>
      <c r="AA27" s="220"/>
      <c r="AB27" s="220"/>
      <c r="AC27" s="220"/>
      <c r="AD27" s="220"/>
      <c r="AE27" s="220"/>
      <c r="AF27" s="220"/>
      <c r="AG27" s="220"/>
      <c r="AH27" s="220"/>
      <c r="AI27" s="220"/>
      <c r="AJ27" s="220"/>
      <c r="AK27" s="220"/>
      <c r="AL27" s="220"/>
      <c r="AM27" s="220"/>
      <c r="AN27" s="220"/>
      <c r="AO27" s="220"/>
      <c r="AP27" s="220"/>
      <c r="AQ27" s="220"/>
      <c r="AR27" s="220"/>
      <c r="AS27" s="220"/>
      <c r="AT27" s="220"/>
      <c r="AU27" s="220"/>
      <c r="AV27" s="220"/>
      <c r="AW27" s="220"/>
      <c r="AX27" s="220"/>
      <c r="AY27" s="220"/>
      <c r="AZ27" s="220"/>
      <c r="BA27" s="220"/>
      <c r="BB27" s="220"/>
      <c r="BC27" s="220"/>
      <c r="BD27" s="220"/>
      <c r="BE27" s="220"/>
      <c r="BF27" s="220"/>
      <c r="BG27" s="220"/>
      <c r="BH27" s="220"/>
      <c r="BI27" s="221"/>
      <c r="BJ27" s="220"/>
      <c r="BK27" s="220"/>
      <c r="BL27" s="220"/>
      <c r="BM27" s="220"/>
      <c r="BN27" s="220"/>
      <c r="BO27" s="221"/>
      <c r="BP27" s="220"/>
      <c r="BQ27" s="220"/>
      <c r="BR27" s="220"/>
      <c r="BS27" s="220"/>
      <c r="BT27" s="220"/>
      <c r="BU27" s="220"/>
      <c r="BV27" s="220"/>
      <c r="BW27" s="220"/>
      <c r="BX27" s="220"/>
      <c r="BY27" s="220"/>
      <c r="BZ27" s="220"/>
      <c r="CA27" s="220"/>
      <c r="CB27" s="220"/>
    </row>
    <row r="28" spans="1:80" outlineLevel="1">
      <c r="A28" s="212" t="s">
        <v>119</v>
      </c>
      <c r="B28" s="215" t="s">
        <v>17</v>
      </c>
      <c r="C28" s="215" t="s">
        <v>251</v>
      </c>
      <c r="D28" s="215" t="s">
        <v>21</v>
      </c>
      <c r="E28" s="216" t="s">
        <v>29</v>
      </c>
      <c r="F28" s="216" t="s">
        <v>94</v>
      </c>
      <c r="G28" s="216" t="s">
        <v>266</v>
      </c>
      <c r="H28" s="216" t="s">
        <v>266</v>
      </c>
      <c r="I28" s="216"/>
      <c r="J28" s="217">
        <f t="shared" si="3"/>
        <v>2.56</v>
      </c>
      <c r="K28" s="217">
        <f t="shared" si="4"/>
        <v>0.32</v>
      </c>
      <c r="L28" s="217">
        <f t="shared" si="5"/>
        <v>0</v>
      </c>
      <c r="M28" s="218">
        <v>6.25E-2</v>
      </c>
      <c r="N28" s="219"/>
      <c r="O28" s="219"/>
      <c r="P28" s="219"/>
      <c r="Q28" s="277"/>
      <c r="R28" s="220"/>
      <c r="S28" s="220"/>
      <c r="T28" s="220"/>
      <c r="U28" s="220"/>
      <c r="V28" s="220"/>
      <c r="W28" s="220"/>
      <c r="X28" s="220"/>
      <c r="Y28" s="220"/>
      <c r="Z28" s="220"/>
      <c r="AA28" s="220"/>
      <c r="AB28" s="220"/>
      <c r="AC28" s="220"/>
      <c r="AD28" s="220"/>
      <c r="AE28" s="220"/>
      <c r="AF28" s="220"/>
      <c r="AG28" s="220"/>
      <c r="AH28" s="220"/>
      <c r="AI28" s="220"/>
      <c r="AJ28" s="220"/>
      <c r="AK28" s="220"/>
      <c r="AL28" s="220"/>
      <c r="AM28" s="220"/>
      <c r="AN28" s="220"/>
      <c r="AO28" s="220"/>
      <c r="AP28" s="220"/>
      <c r="AQ28" s="220"/>
      <c r="AR28" s="220"/>
      <c r="AS28" s="220"/>
      <c r="AT28" s="220"/>
      <c r="AU28" s="220"/>
      <c r="AV28" s="220"/>
      <c r="AW28" s="220"/>
      <c r="AX28" s="220"/>
      <c r="AY28" s="220"/>
      <c r="AZ28" s="220"/>
      <c r="BA28" s="220"/>
      <c r="BB28" s="220"/>
      <c r="BC28" s="220"/>
      <c r="BD28" s="220"/>
      <c r="BE28" s="220"/>
      <c r="BF28" s="220"/>
      <c r="BG28" s="220"/>
      <c r="BH28" s="220"/>
      <c r="BI28" s="221"/>
      <c r="BJ28" s="220"/>
      <c r="BK28" s="220"/>
      <c r="BL28" s="220"/>
      <c r="BM28" s="220"/>
      <c r="BN28" s="220"/>
      <c r="BO28" s="221"/>
      <c r="BP28" s="220"/>
      <c r="BQ28" s="220"/>
      <c r="BR28" s="220"/>
      <c r="BS28" s="220"/>
      <c r="BT28" s="220"/>
      <c r="BU28" s="220"/>
      <c r="BV28" s="220"/>
      <c r="BW28" s="220"/>
      <c r="BX28" s="220"/>
      <c r="BY28" s="220"/>
      <c r="BZ28" s="220"/>
      <c r="CA28" s="220"/>
      <c r="CB28" s="220"/>
    </row>
    <row r="29" spans="1:80" outlineLevel="1">
      <c r="A29" s="212" t="s">
        <v>119</v>
      </c>
      <c r="B29" s="215" t="s">
        <v>17</v>
      </c>
      <c r="C29" s="215" t="s">
        <v>251</v>
      </c>
      <c r="D29" s="215" t="s">
        <v>21</v>
      </c>
      <c r="E29" s="216" t="s">
        <v>29</v>
      </c>
      <c r="F29" s="216" t="s">
        <v>95</v>
      </c>
      <c r="G29" s="216" t="s">
        <v>266</v>
      </c>
      <c r="H29" s="216" t="s">
        <v>266</v>
      </c>
      <c r="I29" s="216"/>
      <c r="J29" s="217">
        <f t="shared" si="3"/>
        <v>2.56</v>
      </c>
      <c r="K29" s="217">
        <f t="shared" si="4"/>
        <v>0.32</v>
      </c>
      <c r="L29" s="217">
        <f t="shared" si="5"/>
        <v>0</v>
      </c>
      <c r="M29" s="218">
        <v>6.25E-2</v>
      </c>
      <c r="N29" s="219"/>
      <c r="O29" s="219"/>
      <c r="P29" s="219"/>
      <c r="Q29" s="277"/>
      <c r="R29" s="220"/>
      <c r="S29" s="220"/>
      <c r="T29" s="220"/>
      <c r="U29" s="220"/>
      <c r="V29" s="220"/>
      <c r="W29" s="220"/>
      <c r="X29" s="220"/>
      <c r="Y29" s="220"/>
      <c r="Z29" s="220"/>
      <c r="AA29" s="220"/>
      <c r="AB29" s="220"/>
      <c r="AC29" s="220"/>
      <c r="AD29" s="220"/>
      <c r="AE29" s="220"/>
      <c r="AF29" s="220"/>
      <c r="AG29" s="220"/>
      <c r="AH29" s="220"/>
      <c r="AI29" s="220"/>
      <c r="AJ29" s="220"/>
      <c r="AK29" s="220"/>
      <c r="AL29" s="220"/>
      <c r="AM29" s="220"/>
      <c r="AN29" s="220"/>
      <c r="AO29" s="220"/>
      <c r="AP29" s="220"/>
      <c r="AQ29" s="220"/>
      <c r="AR29" s="220"/>
      <c r="AS29" s="220"/>
      <c r="AT29" s="220"/>
      <c r="AU29" s="220"/>
      <c r="AV29" s="220"/>
      <c r="AW29" s="220"/>
      <c r="AX29" s="220"/>
      <c r="AY29" s="220"/>
      <c r="AZ29" s="220"/>
      <c r="BA29" s="220"/>
      <c r="BB29" s="220"/>
      <c r="BC29" s="220"/>
      <c r="BD29" s="220"/>
      <c r="BE29" s="220"/>
      <c r="BF29" s="220"/>
      <c r="BG29" s="220"/>
      <c r="BH29" s="220"/>
      <c r="BI29" s="221"/>
      <c r="BJ29" s="220"/>
      <c r="BK29" s="220"/>
      <c r="BL29" s="220"/>
      <c r="BM29" s="220"/>
      <c r="BN29" s="220"/>
      <c r="BO29" s="221"/>
      <c r="BP29" s="220"/>
      <c r="BQ29" s="220"/>
      <c r="BR29" s="220"/>
      <c r="BS29" s="220"/>
      <c r="BT29" s="220"/>
      <c r="BU29" s="220"/>
      <c r="BV29" s="220"/>
      <c r="BW29" s="220"/>
      <c r="BX29" s="220"/>
      <c r="BY29" s="220"/>
      <c r="BZ29" s="220"/>
      <c r="CA29" s="220"/>
      <c r="CB29" s="220"/>
    </row>
    <row r="30" spans="1:80" outlineLevel="1">
      <c r="A30" s="212" t="s">
        <v>119</v>
      </c>
      <c r="B30" s="215" t="s">
        <v>17</v>
      </c>
      <c r="C30" s="215" t="s">
        <v>251</v>
      </c>
      <c r="D30" s="215" t="s">
        <v>21</v>
      </c>
      <c r="E30" s="216" t="s">
        <v>29</v>
      </c>
      <c r="F30" s="216" t="s">
        <v>96</v>
      </c>
      <c r="G30" s="216" t="s">
        <v>266</v>
      </c>
      <c r="H30" s="216" t="s">
        <v>266</v>
      </c>
      <c r="I30" s="216"/>
      <c r="J30" s="217">
        <f t="shared" si="3"/>
        <v>2.56</v>
      </c>
      <c r="K30" s="217">
        <f t="shared" si="4"/>
        <v>0.32</v>
      </c>
      <c r="L30" s="217">
        <f t="shared" si="5"/>
        <v>0</v>
      </c>
      <c r="M30" s="218">
        <v>6.25E-2</v>
      </c>
      <c r="N30" s="219"/>
      <c r="O30" s="219"/>
      <c r="P30" s="219"/>
      <c r="Q30" s="277"/>
      <c r="R30" s="220"/>
      <c r="S30" s="220"/>
      <c r="T30" s="220"/>
      <c r="U30" s="220"/>
      <c r="V30" s="220"/>
      <c r="W30" s="220"/>
      <c r="X30" s="220"/>
      <c r="Y30" s="220"/>
      <c r="Z30" s="220"/>
      <c r="AA30" s="220"/>
      <c r="AB30" s="220"/>
      <c r="AC30" s="220"/>
      <c r="AD30" s="220"/>
      <c r="AE30" s="220"/>
      <c r="AF30" s="220"/>
      <c r="AG30" s="220"/>
      <c r="AH30" s="220"/>
      <c r="AI30" s="220"/>
      <c r="AJ30" s="220"/>
      <c r="AK30" s="220"/>
      <c r="AL30" s="220"/>
      <c r="AM30" s="220"/>
      <c r="AN30" s="220"/>
      <c r="AO30" s="220"/>
      <c r="AP30" s="220"/>
      <c r="AQ30" s="220"/>
      <c r="AR30" s="220"/>
      <c r="AS30" s="220"/>
      <c r="AT30" s="220"/>
      <c r="AU30" s="220"/>
      <c r="AV30" s="220"/>
      <c r="AW30" s="220"/>
      <c r="AX30" s="220"/>
      <c r="AY30" s="220"/>
      <c r="AZ30" s="220"/>
      <c r="BA30" s="220"/>
      <c r="BB30" s="220"/>
      <c r="BC30" s="220"/>
      <c r="BD30" s="220"/>
      <c r="BE30" s="220"/>
      <c r="BF30" s="220"/>
      <c r="BG30" s="220"/>
      <c r="BH30" s="220"/>
      <c r="BI30" s="221"/>
      <c r="BJ30" s="220"/>
      <c r="BK30" s="220"/>
      <c r="BL30" s="220"/>
      <c r="BM30" s="220"/>
      <c r="BN30" s="220"/>
      <c r="BO30" s="221"/>
      <c r="BP30" s="220"/>
      <c r="BQ30" s="220"/>
      <c r="BR30" s="220"/>
      <c r="BS30" s="220"/>
      <c r="BT30" s="220"/>
      <c r="BU30" s="220"/>
      <c r="BV30" s="220"/>
      <c r="BW30" s="220"/>
      <c r="BX30" s="220"/>
      <c r="BY30" s="220"/>
      <c r="BZ30" s="220"/>
      <c r="CA30" s="220"/>
      <c r="CB30" s="220"/>
    </row>
    <row r="31" spans="1:80" outlineLevel="1">
      <c r="A31" s="212" t="s">
        <v>119</v>
      </c>
      <c r="B31" s="215" t="s">
        <v>17</v>
      </c>
      <c r="C31" s="215" t="s">
        <v>251</v>
      </c>
      <c r="D31" s="215" t="s">
        <v>21</v>
      </c>
      <c r="E31" s="216" t="s">
        <v>29</v>
      </c>
      <c r="F31" s="216" t="s">
        <v>97</v>
      </c>
      <c r="G31" s="216" t="s">
        <v>266</v>
      </c>
      <c r="H31" s="216" t="s">
        <v>266</v>
      </c>
      <c r="I31" s="216"/>
      <c r="J31" s="217">
        <f t="shared" si="3"/>
        <v>2.56</v>
      </c>
      <c r="K31" s="217">
        <f t="shared" si="4"/>
        <v>0.32</v>
      </c>
      <c r="L31" s="217">
        <f t="shared" si="5"/>
        <v>0</v>
      </c>
      <c r="M31" s="218">
        <v>6.25E-2</v>
      </c>
      <c r="N31" s="219"/>
      <c r="O31" s="219"/>
      <c r="P31" s="219"/>
      <c r="Q31" s="277"/>
      <c r="R31" s="220"/>
      <c r="S31" s="220"/>
      <c r="T31" s="220"/>
      <c r="U31" s="220"/>
      <c r="V31" s="220"/>
      <c r="W31" s="220"/>
      <c r="X31" s="220"/>
      <c r="Y31" s="220"/>
      <c r="Z31" s="220"/>
      <c r="AA31" s="220"/>
      <c r="AB31" s="220"/>
      <c r="AC31" s="220"/>
      <c r="AD31" s="220"/>
      <c r="AE31" s="220"/>
      <c r="AF31" s="220"/>
      <c r="AG31" s="220"/>
      <c r="AH31" s="220"/>
      <c r="AI31" s="220"/>
      <c r="AJ31" s="220"/>
      <c r="AK31" s="220"/>
      <c r="AL31" s="220"/>
      <c r="AM31" s="220"/>
      <c r="AN31" s="220"/>
      <c r="AO31" s="220"/>
      <c r="AP31" s="220"/>
      <c r="AQ31" s="220"/>
      <c r="AR31" s="220"/>
      <c r="AS31" s="220"/>
      <c r="AT31" s="220"/>
      <c r="AU31" s="220"/>
      <c r="AV31" s="220"/>
      <c r="AW31" s="220"/>
      <c r="AX31" s="220"/>
      <c r="AY31" s="220"/>
      <c r="AZ31" s="220"/>
      <c r="BA31" s="220"/>
      <c r="BB31" s="220"/>
      <c r="BC31" s="220"/>
      <c r="BD31" s="220"/>
      <c r="BE31" s="220"/>
      <c r="BF31" s="220"/>
      <c r="BG31" s="220"/>
      <c r="BH31" s="220"/>
      <c r="BI31" s="221"/>
      <c r="BJ31" s="220"/>
      <c r="BK31" s="220"/>
      <c r="BL31" s="220"/>
      <c r="BM31" s="220"/>
      <c r="BN31" s="220"/>
      <c r="BO31" s="221"/>
      <c r="BP31" s="220"/>
      <c r="BQ31" s="220"/>
      <c r="BR31" s="220"/>
      <c r="BS31" s="220"/>
      <c r="BT31" s="220"/>
      <c r="BU31" s="220"/>
      <c r="BV31" s="220"/>
      <c r="BW31" s="220"/>
      <c r="BX31" s="220"/>
      <c r="BY31" s="220"/>
      <c r="BZ31" s="220"/>
      <c r="CA31" s="220"/>
      <c r="CB31" s="220"/>
    </row>
    <row r="32" spans="1:80" outlineLevel="1">
      <c r="A32" s="212" t="s">
        <v>119</v>
      </c>
      <c r="B32" s="215" t="s">
        <v>17</v>
      </c>
      <c r="C32" s="215" t="s">
        <v>251</v>
      </c>
      <c r="D32" s="215" t="s">
        <v>21</v>
      </c>
      <c r="E32" s="216" t="s">
        <v>29</v>
      </c>
      <c r="F32" s="216" t="s">
        <v>98</v>
      </c>
      <c r="G32" s="216" t="s">
        <v>266</v>
      </c>
      <c r="H32" s="216" t="s">
        <v>266</v>
      </c>
      <c r="I32" s="216"/>
      <c r="J32" s="217">
        <f t="shared" si="3"/>
        <v>2.56</v>
      </c>
      <c r="K32" s="217">
        <f t="shared" si="4"/>
        <v>0.32</v>
      </c>
      <c r="L32" s="217">
        <f t="shared" si="5"/>
        <v>0</v>
      </c>
      <c r="M32" s="218">
        <v>6.25E-2</v>
      </c>
      <c r="N32" s="219"/>
      <c r="O32" s="219"/>
      <c r="P32" s="219"/>
      <c r="Q32" s="277"/>
      <c r="R32" s="220"/>
      <c r="S32" s="220"/>
      <c r="T32" s="220"/>
      <c r="U32" s="220"/>
      <c r="V32" s="220"/>
      <c r="W32" s="220"/>
      <c r="X32" s="220"/>
      <c r="Y32" s="220"/>
      <c r="Z32" s="220"/>
      <c r="AA32" s="220"/>
      <c r="AB32" s="220"/>
      <c r="AC32" s="220"/>
      <c r="AD32" s="220"/>
      <c r="AE32" s="220"/>
      <c r="AF32" s="220"/>
      <c r="AG32" s="220"/>
      <c r="AH32" s="220"/>
      <c r="AI32" s="220"/>
      <c r="AJ32" s="220"/>
      <c r="AK32" s="220"/>
      <c r="AL32" s="220"/>
      <c r="AM32" s="220"/>
      <c r="AN32" s="220"/>
      <c r="AO32" s="220"/>
      <c r="AP32" s="220"/>
      <c r="AQ32" s="220"/>
      <c r="AR32" s="220"/>
      <c r="AS32" s="220"/>
      <c r="AT32" s="220"/>
      <c r="AU32" s="220"/>
      <c r="AV32" s="220"/>
      <c r="AW32" s="220"/>
      <c r="AX32" s="220"/>
      <c r="AY32" s="220"/>
      <c r="AZ32" s="220"/>
      <c r="BA32" s="220"/>
      <c r="BB32" s="220"/>
      <c r="BC32" s="220"/>
      <c r="BD32" s="220"/>
      <c r="BE32" s="220"/>
      <c r="BF32" s="220"/>
      <c r="BG32" s="220"/>
      <c r="BH32" s="220"/>
      <c r="BI32" s="221"/>
      <c r="BJ32" s="220"/>
      <c r="BK32" s="220"/>
      <c r="BL32" s="220"/>
      <c r="BM32" s="220"/>
      <c r="BN32" s="220"/>
      <c r="BO32" s="221"/>
      <c r="BP32" s="220"/>
      <c r="BQ32" s="220"/>
      <c r="BR32" s="220"/>
      <c r="BS32" s="220"/>
      <c r="BT32" s="220"/>
      <c r="BU32" s="220"/>
      <c r="BV32" s="220"/>
      <c r="BW32" s="220"/>
      <c r="BX32" s="220"/>
      <c r="BY32" s="220"/>
      <c r="BZ32" s="220"/>
      <c r="CA32" s="220"/>
      <c r="CB32" s="220"/>
    </row>
    <row r="33" spans="1:80" outlineLevel="1">
      <c r="A33" s="212" t="s">
        <v>119</v>
      </c>
      <c r="B33" s="215" t="s">
        <v>17</v>
      </c>
      <c r="C33" s="215" t="s">
        <v>251</v>
      </c>
      <c r="D33" s="215" t="s">
        <v>21</v>
      </c>
      <c r="E33" s="216" t="s">
        <v>29</v>
      </c>
      <c r="F33" s="216" t="s">
        <v>99</v>
      </c>
      <c r="G33" s="216" t="s">
        <v>266</v>
      </c>
      <c r="H33" s="216" t="s">
        <v>266</v>
      </c>
      <c r="I33" s="216"/>
      <c r="J33" s="217">
        <f t="shared" si="3"/>
        <v>2.56</v>
      </c>
      <c r="K33" s="217">
        <f t="shared" si="4"/>
        <v>0.32</v>
      </c>
      <c r="L33" s="217">
        <f t="shared" si="5"/>
        <v>0</v>
      </c>
      <c r="M33" s="218">
        <v>6.25E-2</v>
      </c>
      <c r="N33" s="219"/>
      <c r="O33" s="219"/>
      <c r="P33" s="219"/>
      <c r="Q33" s="277"/>
      <c r="R33" s="220"/>
      <c r="S33" s="220"/>
      <c r="T33" s="220"/>
      <c r="U33" s="220"/>
      <c r="V33" s="220"/>
      <c r="W33" s="220"/>
      <c r="X33" s="220"/>
      <c r="Y33" s="220"/>
      <c r="Z33" s="220"/>
      <c r="AA33" s="220"/>
      <c r="AB33" s="220"/>
      <c r="AC33" s="220"/>
      <c r="AD33" s="220"/>
      <c r="AE33" s="220"/>
      <c r="AF33" s="220"/>
      <c r="AG33" s="220"/>
      <c r="AH33" s="220"/>
      <c r="AI33" s="220"/>
      <c r="AJ33" s="220"/>
      <c r="AK33" s="220"/>
      <c r="AL33" s="220"/>
      <c r="AM33" s="220"/>
      <c r="AN33" s="220"/>
      <c r="AO33" s="220"/>
      <c r="AP33" s="220"/>
      <c r="AQ33" s="220"/>
      <c r="AR33" s="220"/>
      <c r="AS33" s="220"/>
      <c r="AT33" s="220"/>
      <c r="AU33" s="220"/>
      <c r="AV33" s="220"/>
      <c r="AW33" s="220"/>
      <c r="AX33" s="220"/>
      <c r="AY33" s="220"/>
      <c r="AZ33" s="220"/>
      <c r="BA33" s="220"/>
      <c r="BB33" s="220"/>
      <c r="BC33" s="220"/>
      <c r="BD33" s="220"/>
      <c r="BE33" s="220"/>
      <c r="BF33" s="220"/>
      <c r="BG33" s="220"/>
      <c r="BH33" s="220"/>
      <c r="BI33" s="221"/>
      <c r="BJ33" s="220"/>
      <c r="BK33" s="220"/>
      <c r="BL33" s="220"/>
      <c r="BM33" s="220"/>
      <c r="BN33" s="220"/>
      <c r="BO33" s="221"/>
      <c r="BP33" s="220"/>
      <c r="BQ33" s="220"/>
      <c r="BR33" s="220"/>
      <c r="BS33" s="220"/>
      <c r="BT33" s="220"/>
      <c r="BU33" s="220"/>
      <c r="BV33" s="220"/>
      <c r="BW33" s="220"/>
      <c r="BX33" s="220"/>
      <c r="BY33" s="220"/>
      <c r="BZ33" s="220"/>
      <c r="CA33" s="220"/>
      <c r="CB33" s="220"/>
    </row>
    <row r="34" spans="1:80" outlineLevel="1">
      <c r="A34" s="212" t="s">
        <v>119</v>
      </c>
      <c r="B34" s="215" t="s">
        <v>17</v>
      </c>
      <c r="C34" s="215" t="s">
        <v>251</v>
      </c>
      <c r="D34" s="215" t="s">
        <v>21</v>
      </c>
      <c r="E34" s="216" t="s">
        <v>29</v>
      </c>
      <c r="F34" s="216" t="s">
        <v>100</v>
      </c>
      <c r="G34" s="216" t="s">
        <v>266</v>
      </c>
      <c r="H34" s="216" t="s">
        <v>266</v>
      </c>
      <c r="I34" s="216"/>
      <c r="J34" s="217">
        <f t="shared" si="3"/>
        <v>2.56</v>
      </c>
      <c r="K34" s="217">
        <f>+$K$9/25</f>
        <v>0.32</v>
      </c>
      <c r="L34" s="217">
        <f t="shared" si="5"/>
        <v>0</v>
      </c>
      <c r="M34" s="218">
        <v>6.25E-2</v>
      </c>
      <c r="N34" s="219"/>
      <c r="O34" s="219"/>
      <c r="P34" s="219"/>
      <c r="Q34" s="277"/>
      <c r="R34" s="220"/>
      <c r="S34" s="220"/>
      <c r="T34" s="220"/>
      <c r="U34" s="220"/>
      <c r="V34" s="220"/>
      <c r="W34" s="220"/>
      <c r="X34" s="220"/>
      <c r="Y34" s="220"/>
      <c r="Z34" s="220"/>
      <c r="AA34" s="220"/>
      <c r="AB34" s="220"/>
      <c r="AC34" s="220"/>
      <c r="AD34" s="220"/>
      <c r="AE34" s="220"/>
      <c r="AF34" s="220"/>
      <c r="AG34" s="220"/>
      <c r="AH34" s="220"/>
      <c r="AI34" s="220"/>
      <c r="AJ34" s="220"/>
      <c r="AK34" s="220"/>
      <c r="AL34" s="220"/>
      <c r="AM34" s="220"/>
      <c r="AN34" s="220"/>
      <c r="AO34" s="220"/>
      <c r="AP34" s="220"/>
      <c r="AQ34" s="220"/>
      <c r="AR34" s="220"/>
      <c r="AS34" s="220"/>
      <c r="AT34" s="220"/>
      <c r="AU34" s="220"/>
      <c r="AV34" s="220"/>
      <c r="AW34" s="220"/>
      <c r="AX34" s="220"/>
      <c r="AY34" s="220"/>
      <c r="AZ34" s="220"/>
      <c r="BA34" s="220"/>
      <c r="BB34" s="220"/>
      <c r="BC34" s="220"/>
      <c r="BD34" s="220"/>
      <c r="BE34" s="220"/>
      <c r="BF34" s="220"/>
      <c r="BG34" s="220"/>
      <c r="BH34" s="220"/>
      <c r="BI34" s="221"/>
      <c r="BJ34" s="220"/>
      <c r="BK34" s="220"/>
      <c r="BL34" s="220"/>
      <c r="BM34" s="220"/>
      <c r="BN34" s="220"/>
      <c r="BO34" s="221"/>
      <c r="BP34" s="220"/>
      <c r="BQ34" s="220"/>
      <c r="BR34" s="220"/>
      <c r="BS34" s="220"/>
      <c r="BT34" s="220"/>
      <c r="BU34" s="220"/>
      <c r="BV34" s="220"/>
      <c r="BW34" s="220"/>
      <c r="BX34" s="220"/>
      <c r="BY34" s="220"/>
      <c r="BZ34" s="220"/>
      <c r="CA34" s="220"/>
      <c r="CB34" s="220"/>
    </row>
    <row r="35" spans="1:80" outlineLevel="1">
      <c r="A35" s="212" t="s">
        <v>119</v>
      </c>
      <c r="B35" s="215" t="s">
        <v>17</v>
      </c>
      <c r="C35" s="215" t="s">
        <v>251</v>
      </c>
      <c r="D35" s="215" t="s">
        <v>21</v>
      </c>
      <c r="E35" s="216" t="s">
        <v>29</v>
      </c>
      <c r="F35" s="216" t="s">
        <v>101</v>
      </c>
      <c r="G35" s="216" t="s">
        <v>266</v>
      </c>
      <c r="H35" s="216" t="s">
        <v>266</v>
      </c>
      <c r="I35" s="216"/>
      <c r="J35" s="217"/>
      <c r="K35" s="217"/>
      <c r="L35" s="217"/>
      <c r="M35" s="218"/>
      <c r="N35" s="219"/>
      <c r="O35" s="219"/>
      <c r="P35" s="219"/>
      <c r="Q35" s="277"/>
      <c r="R35" s="220"/>
      <c r="S35" s="220"/>
      <c r="T35" s="220"/>
      <c r="U35" s="220"/>
      <c r="V35" s="220"/>
      <c r="W35" s="220"/>
      <c r="X35" s="220"/>
      <c r="Y35" s="220"/>
      <c r="Z35" s="220"/>
      <c r="AA35" s="220"/>
      <c r="AB35" s="220"/>
      <c r="AC35" s="220"/>
      <c r="AD35" s="220"/>
      <c r="AE35" s="220"/>
      <c r="AF35" s="220"/>
      <c r="AG35" s="220"/>
      <c r="AH35" s="220"/>
      <c r="AI35" s="220"/>
      <c r="AJ35" s="220"/>
      <c r="AK35" s="220"/>
      <c r="AL35" s="220"/>
      <c r="AM35" s="220"/>
      <c r="AN35" s="220"/>
      <c r="AO35" s="220"/>
      <c r="AP35" s="220"/>
      <c r="AQ35" s="220"/>
      <c r="AR35" s="220"/>
      <c r="AS35" s="220"/>
      <c r="AT35" s="220"/>
      <c r="AU35" s="220"/>
      <c r="AV35" s="220"/>
      <c r="AW35" s="220"/>
      <c r="AX35" s="220"/>
      <c r="AY35" s="220"/>
      <c r="AZ35" s="220"/>
      <c r="BA35" s="220"/>
      <c r="BB35" s="220"/>
      <c r="BC35" s="220"/>
      <c r="BD35" s="220"/>
      <c r="BE35" s="220"/>
      <c r="BF35" s="220"/>
      <c r="BG35" s="220"/>
      <c r="BH35" s="220"/>
      <c r="BI35" s="221"/>
      <c r="BJ35" s="220"/>
      <c r="BK35" s="220"/>
      <c r="BL35" s="220"/>
      <c r="BM35" s="220"/>
      <c r="BN35" s="220"/>
      <c r="BO35" s="221"/>
      <c r="BP35" s="220"/>
      <c r="BQ35" s="220"/>
      <c r="BR35" s="220"/>
      <c r="BS35" s="220"/>
      <c r="BT35" s="220"/>
      <c r="BU35" s="220"/>
      <c r="BV35" s="220"/>
      <c r="BW35" s="220"/>
      <c r="BX35" s="220"/>
      <c r="BY35" s="220"/>
      <c r="BZ35" s="220"/>
      <c r="CA35" s="220"/>
      <c r="CB35" s="220"/>
    </row>
    <row r="36" spans="1:80" outlineLevel="1">
      <c r="A36" s="212" t="s">
        <v>119</v>
      </c>
      <c r="B36" s="215" t="s">
        <v>17</v>
      </c>
      <c r="C36" s="215" t="s">
        <v>251</v>
      </c>
      <c r="D36" s="215" t="s">
        <v>21</v>
      </c>
      <c r="E36" s="216" t="s">
        <v>29</v>
      </c>
      <c r="F36" s="216" t="s">
        <v>63</v>
      </c>
      <c r="G36" s="216" t="s">
        <v>266</v>
      </c>
      <c r="H36" s="216" t="s">
        <v>266</v>
      </c>
      <c r="I36" s="216"/>
      <c r="J36" s="217"/>
      <c r="K36" s="217"/>
      <c r="L36" s="217"/>
      <c r="M36" s="218"/>
      <c r="N36" s="219"/>
      <c r="O36" s="219"/>
      <c r="P36" s="219"/>
      <c r="Q36" s="277"/>
      <c r="R36" s="220"/>
      <c r="S36" s="220"/>
      <c r="T36" s="220"/>
      <c r="U36" s="220"/>
      <c r="V36" s="220"/>
      <c r="W36" s="220"/>
      <c r="X36" s="220"/>
      <c r="Y36" s="220"/>
      <c r="Z36" s="220"/>
      <c r="AA36" s="220"/>
      <c r="AB36" s="220"/>
      <c r="AC36" s="220"/>
      <c r="AD36" s="220"/>
      <c r="AE36" s="220"/>
      <c r="AF36" s="220"/>
      <c r="AG36" s="220"/>
      <c r="AH36" s="220"/>
      <c r="AI36" s="220"/>
      <c r="AJ36" s="220"/>
      <c r="AK36" s="220"/>
      <c r="AL36" s="220"/>
      <c r="AM36" s="220"/>
      <c r="AN36" s="220"/>
      <c r="AO36" s="220"/>
      <c r="AP36" s="220"/>
      <c r="AQ36" s="220"/>
      <c r="AR36" s="220"/>
      <c r="AS36" s="220"/>
      <c r="AT36" s="220"/>
      <c r="AU36" s="220"/>
      <c r="AV36" s="220"/>
      <c r="AW36" s="220"/>
      <c r="AX36" s="220"/>
      <c r="AY36" s="220"/>
      <c r="AZ36" s="220"/>
      <c r="BA36" s="220"/>
      <c r="BB36" s="220"/>
      <c r="BC36" s="220"/>
      <c r="BD36" s="220"/>
      <c r="BE36" s="220"/>
      <c r="BF36" s="220"/>
      <c r="BG36" s="220"/>
      <c r="BH36" s="220"/>
      <c r="BI36" s="221"/>
      <c r="BJ36" s="220"/>
      <c r="BK36" s="220"/>
      <c r="BL36" s="220"/>
      <c r="BM36" s="220"/>
      <c r="BN36" s="220"/>
      <c r="BO36" s="221"/>
      <c r="BP36" s="220"/>
      <c r="BQ36" s="220"/>
      <c r="BR36" s="220"/>
      <c r="BS36" s="220"/>
      <c r="BT36" s="220"/>
      <c r="BU36" s="220"/>
      <c r="BV36" s="220"/>
      <c r="BW36" s="220"/>
      <c r="BX36" s="220"/>
      <c r="BY36" s="220"/>
      <c r="BZ36" s="220"/>
      <c r="CA36" s="220"/>
      <c r="CB36" s="220"/>
    </row>
    <row r="37" spans="1:80" outlineLevel="1">
      <c r="A37" s="212" t="s">
        <v>119</v>
      </c>
      <c r="B37" s="215" t="s">
        <v>17</v>
      </c>
      <c r="C37" s="215" t="s">
        <v>251</v>
      </c>
      <c r="D37" s="215" t="s">
        <v>21</v>
      </c>
      <c r="E37" s="216" t="s">
        <v>29</v>
      </c>
      <c r="F37" s="216" t="s">
        <v>102</v>
      </c>
      <c r="G37" s="216" t="s">
        <v>266</v>
      </c>
      <c r="H37" s="216" t="s">
        <v>266</v>
      </c>
      <c r="I37" s="216"/>
      <c r="J37" s="217"/>
      <c r="K37" s="217"/>
      <c r="L37" s="217"/>
      <c r="M37" s="218"/>
      <c r="N37" s="219"/>
      <c r="O37" s="219"/>
      <c r="P37" s="219"/>
      <c r="Q37" s="277"/>
      <c r="R37" s="220"/>
      <c r="S37" s="220"/>
      <c r="T37" s="220"/>
      <c r="U37" s="220"/>
      <c r="V37" s="220"/>
      <c r="W37" s="220"/>
      <c r="X37" s="220"/>
      <c r="Y37" s="220"/>
      <c r="Z37" s="220"/>
      <c r="AA37" s="220"/>
      <c r="AB37" s="220"/>
      <c r="AC37" s="220"/>
      <c r="AD37" s="220"/>
      <c r="AE37" s="220"/>
      <c r="AF37" s="220"/>
      <c r="AG37" s="220"/>
      <c r="AH37" s="220"/>
      <c r="AI37" s="220"/>
      <c r="AJ37" s="220"/>
      <c r="AK37" s="220"/>
      <c r="AL37" s="220"/>
      <c r="AM37" s="220"/>
      <c r="AN37" s="220"/>
      <c r="AO37" s="220"/>
      <c r="AP37" s="220"/>
      <c r="AQ37" s="220"/>
      <c r="AR37" s="220"/>
      <c r="AS37" s="220"/>
      <c r="AT37" s="220"/>
      <c r="AU37" s="220"/>
      <c r="AV37" s="220"/>
      <c r="AW37" s="220"/>
      <c r="AX37" s="220"/>
      <c r="AY37" s="220"/>
      <c r="AZ37" s="220"/>
      <c r="BA37" s="220"/>
      <c r="BB37" s="220"/>
      <c r="BC37" s="220"/>
      <c r="BD37" s="220"/>
      <c r="BE37" s="220"/>
      <c r="BF37" s="220"/>
      <c r="BG37" s="220"/>
      <c r="BH37" s="220"/>
      <c r="BI37" s="221"/>
      <c r="BJ37" s="220"/>
      <c r="BK37" s="220"/>
      <c r="BL37" s="220"/>
      <c r="BM37" s="220"/>
      <c r="BN37" s="220"/>
      <c r="BO37" s="221"/>
      <c r="BP37" s="220"/>
      <c r="BQ37" s="220"/>
      <c r="BR37" s="220"/>
      <c r="BS37" s="220"/>
      <c r="BT37" s="220"/>
      <c r="BU37" s="220"/>
      <c r="BV37" s="220"/>
      <c r="BW37" s="220"/>
      <c r="BX37" s="220"/>
      <c r="BY37" s="220"/>
      <c r="BZ37" s="220"/>
      <c r="CA37" s="220"/>
      <c r="CB37" s="220"/>
    </row>
    <row r="38" spans="1:80" outlineLevel="1">
      <c r="A38" s="212" t="s">
        <v>119</v>
      </c>
      <c r="B38" s="215" t="s">
        <v>17</v>
      </c>
      <c r="C38" s="215" t="s">
        <v>251</v>
      </c>
      <c r="D38" s="215" t="s">
        <v>21</v>
      </c>
      <c r="E38" s="216" t="s">
        <v>29</v>
      </c>
      <c r="F38" s="216" t="s">
        <v>103</v>
      </c>
      <c r="G38" s="216" t="s">
        <v>266</v>
      </c>
      <c r="H38" s="216" t="s">
        <v>266</v>
      </c>
      <c r="I38" s="216"/>
      <c r="J38" s="217"/>
      <c r="K38" s="217"/>
      <c r="L38" s="217"/>
      <c r="M38" s="218"/>
      <c r="N38" s="219"/>
      <c r="O38" s="219"/>
      <c r="P38" s="219"/>
      <c r="Q38" s="277"/>
      <c r="R38" s="220"/>
      <c r="S38" s="220"/>
      <c r="T38" s="220"/>
      <c r="U38" s="220"/>
      <c r="V38" s="220"/>
      <c r="W38" s="220"/>
      <c r="X38" s="220"/>
      <c r="Y38" s="220"/>
      <c r="Z38" s="220"/>
      <c r="AA38" s="220"/>
      <c r="AB38" s="220"/>
      <c r="AC38" s="220"/>
      <c r="AD38" s="220"/>
      <c r="AE38" s="220"/>
      <c r="AF38" s="220"/>
      <c r="AG38" s="220"/>
      <c r="AH38" s="220"/>
      <c r="AI38" s="220"/>
      <c r="AJ38" s="220"/>
      <c r="AK38" s="220"/>
      <c r="AL38" s="220"/>
      <c r="AM38" s="220"/>
      <c r="AN38" s="220"/>
      <c r="AO38" s="220"/>
      <c r="AP38" s="220"/>
      <c r="AQ38" s="220"/>
      <c r="AR38" s="220"/>
      <c r="AS38" s="220"/>
      <c r="AT38" s="220"/>
      <c r="AU38" s="220"/>
      <c r="AV38" s="220"/>
      <c r="AW38" s="220"/>
      <c r="AX38" s="220"/>
      <c r="AY38" s="220"/>
      <c r="AZ38" s="220"/>
      <c r="BA38" s="220"/>
      <c r="BB38" s="220"/>
      <c r="BC38" s="220"/>
      <c r="BD38" s="220"/>
      <c r="BE38" s="220"/>
      <c r="BF38" s="220"/>
      <c r="BG38" s="220"/>
      <c r="BH38" s="220"/>
      <c r="BI38" s="221"/>
      <c r="BJ38" s="220"/>
      <c r="BK38" s="220"/>
      <c r="BL38" s="220"/>
      <c r="BM38" s="220"/>
      <c r="BN38" s="220"/>
      <c r="BO38" s="221"/>
      <c r="BP38" s="220"/>
      <c r="BQ38" s="220"/>
      <c r="BR38" s="220"/>
      <c r="BS38" s="220"/>
      <c r="BT38" s="220"/>
      <c r="BU38" s="220"/>
      <c r="BV38" s="220"/>
      <c r="BW38" s="220"/>
      <c r="BX38" s="220"/>
      <c r="BY38" s="220"/>
      <c r="BZ38" s="220"/>
      <c r="CA38" s="220"/>
      <c r="CB38" s="220"/>
    </row>
    <row r="39" spans="1:80" outlineLevel="1">
      <c r="A39" s="212" t="s">
        <v>119</v>
      </c>
      <c r="B39" s="215" t="s">
        <v>17</v>
      </c>
      <c r="C39" s="215" t="s">
        <v>251</v>
      </c>
      <c r="D39" s="215" t="s">
        <v>21</v>
      </c>
      <c r="E39" s="216" t="s">
        <v>29</v>
      </c>
      <c r="F39" s="216" t="s">
        <v>65</v>
      </c>
      <c r="G39" s="216" t="s">
        <v>39</v>
      </c>
      <c r="H39" s="216" t="s">
        <v>39</v>
      </c>
      <c r="I39" s="216"/>
      <c r="J39" s="217"/>
      <c r="K39" s="217"/>
      <c r="L39" s="217"/>
      <c r="M39" s="218"/>
      <c r="N39" s="219"/>
      <c r="O39" s="219"/>
      <c r="P39" s="219"/>
      <c r="Q39" s="277"/>
      <c r="R39" s="220"/>
      <c r="S39" s="220"/>
      <c r="T39" s="220"/>
      <c r="U39" s="220"/>
      <c r="V39" s="220"/>
      <c r="W39" s="220"/>
      <c r="X39" s="220"/>
      <c r="Y39" s="220"/>
      <c r="Z39" s="220"/>
      <c r="AA39" s="220"/>
      <c r="AB39" s="220"/>
      <c r="AC39" s="220"/>
      <c r="AD39" s="220"/>
      <c r="AE39" s="220"/>
      <c r="AF39" s="220"/>
      <c r="AG39" s="220"/>
      <c r="AH39" s="220"/>
      <c r="AI39" s="220"/>
      <c r="AJ39" s="220"/>
      <c r="AK39" s="220"/>
      <c r="AL39" s="220"/>
      <c r="AM39" s="220"/>
      <c r="AN39" s="220"/>
      <c r="AO39" s="220"/>
      <c r="AP39" s="220"/>
      <c r="AQ39" s="220"/>
      <c r="AR39" s="220"/>
      <c r="AS39" s="220"/>
      <c r="AT39" s="220"/>
      <c r="AU39" s="220"/>
      <c r="AV39" s="220"/>
      <c r="AW39" s="220"/>
      <c r="AX39" s="220"/>
      <c r="AY39" s="220"/>
      <c r="AZ39" s="220"/>
      <c r="BA39" s="220"/>
      <c r="BB39" s="220"/>
      <c r="BC39" s="220"/>
      <c r="BD39" s="220"/>
      <c r="BE39" s="220"/>
      <c r="BF39" s="220"/>
      <c r="BG39" s="220"/>
      <c r="BH39" s="220"/>
      <c r="BI39" s="221"/>
      <c r="BJ39" s="220"/>
      <c r="BK39" s="220"/>
      <c r="BL39" s="220"/>
      <c r="BM39" s="220"/>
      <c r="BN39" s="220"/>
      <c r="BO39" s="221"/>
      <c r="BP39" s="220"/>
      <c r="BQ39" s="220"/>
      <c r="BR39" s="220"/>
      <c r="BS39" s="220"/>
      <c r="BT39" s="220"/>
      <c r="BU39" s="220"/>
      <c r="BV39" s="220"/>
      <c r="BW39" s="220"/>
      <c r="BX39" s="220"/>
      <c r="BY39" s="220"/>
      <c r="BZ39" s="220"/>
      <c r="CA39" s="220"/>
      <c r="CB39" s="220"/>
    </row>
    <row r="40" spans="1:80" outlineLevel="1">
      <c r="A40" s="212" t="s">
        <v>119</v>
      </c>
      <c r="B40" s="215" t="s">
        <v>17</v>
      </c>
      <c r="C40" s="215" t="s">
        <v>251</v>
      </c>
      <c r="D40" s="215" t="s">
        <v>21</v>
      </c>
      <c r="E40" s="216" t="s">
        <v>269</v>
      </c>
      <c r="F40" s="216" t="s">
        <v>30</v>
      </c>
      <c r="G40" s="216" t="s">
        <v>266</v>
      </c>
      <c r="H40" s="216" t="s">
        <v>266</v>
      </c>
      <c r="I40" s="216"/>
      <c r="J40" s="217"/>
      <c r="K40" s="217"/>
      <c r="L40" s="217"/>
      <c r="M40" s="218"/>
      <c r="N40" s="219"/>
      <c r="O40" s="219"/>
      <c r="P40" s="219"/>
      <c r="Q40" s="277"/>
      <c r="R40" s="220"/>
      <c r="S40" s="220"/>
      <c r="T40" s="220"/>
      <c r="U40" s="220"/>
      <c r="V40" s="220"/>
      <c r="W40" s="220"/>
      <c r="X40" s="220"/>
      <c r="Y40" s="220"/>
      <c r="Z40" s="220"/>
      <c r="AA40" s="220"/>
      <c r="AB40" s="220"/>
      <c r="AC40" s="220"/>
      <c r="AD40" s="220"/>
      <c r="AE40" s="220"/>
      <c r="AF40" s="220"/>
      <c r="AG40" s="220"/>
      <c r="AH40" s="220"/>
      <c r="AI40" s="220"/>
      <c r="AJ40" s="220"/>
      <c r="AK40" s="220"/>
      <c r="AL40" s="220"/>
      <c r="AM40" s="220"/>
      <c r="AN40" s="220"/>
      <c r="AO40" s="220"/>
      <c r="AP40" s="220"/>
      <c r="AQ40" s="220"/>
      <c r="AR40" s="220"/>
      <c r="AS40" s="220"/>
      <c r="AT40" s="220"/>
      <c r="AU40" s="220"/>
      <c r="AV40" s="220"/>
      <c r="AW40" s="220"/>
      <c r="AX40" s="220"/>
      <c r="AY40" s="220"/>
      <c r="AZ40" s="220"/>
      <c r="BA40" s="220"/>
      <c r="BB40" s="220"/>
      <c r="BC40" s="220"/>
      <c r="BD40" s="220"/>
      <c r="BE40" s="220"/>
      <c r="BF40" s="220"/>
      <c r="BG40" s="220"/>
      <c r="BH40" s="220"/>
      <c r="BI40" s="221"/>
      <c r="BJ40" s="220"/>
      <c r="BK40" s="220"/>
      <c r="BL40" s="220"/>
      <c r="BM40" s="220"/>
      <c r="BN40" s="220"/>
      <c r="BO40" s="221"/>
      <c r="BP40" s="220"/>
      <c r="BQ40" s="220"/>
      <c r="BR40" s="220"/>
      <c r="BS40" s="220"/>
      <c r="BT40" s="220"/>
      <c r="BU40" s="220"/>
      <c r="BV40" s="220"/>
      <c r="BW40" s="220"/>
      <c r="BX40" s="220"/>
      <c r="BY40" s="220"/>
      <c r="BZ40" s="220"/>
      <c r="CA40" s="220"/>
      <c r="CB40" s="220"/>
    </row>
    <row r="41" spans="1:80" outlineLevel="1">
      <c r="A41" s="212" t="s">
        <v>119</v>
      </c>
      <c r="B41" s="215" t="s">
        <v>17</v>
      </c>
      <c r="C41" s="215" t="s">
        <v>251</v>
      </c>
      <c r="D41" s="215" t="s">
        <v>21</v>
      </c>
      <c r="E41" s="216" t="s">
        <v>269</v>
      </c>
      <c r="F41" s="216" t="s">
        <v>270</v>
      </c>
      <c r="G41" s="216" t="s">
        <v>266</v>
      </c>
      <c r="H41" s="216" t="s">
        <v>266</v>
      </c>
      <c r="I41" s="216"/>
      <c r="J41" s="217"/>
      <c r="K41" s="217"/>
      <c r="L41" s="217"/>
      <c r="M41" s="218"/>
      <c r="N41" s="219"/>
      <c r="O41" s="219"/>
      <c r="P41" s="219"/>
      <c r="Q41" s="277"/>
      <c r="R41" s="220"/>
      <c r="S41" s="220"/>
      <c r="T41" s="220"/>
      <c r="U41" s="220"/>
      <c r="V41" s="220"/>
      <c r="W41" s="220"/>
      <c r="X41" s="220"/>
      <c r="Y41" s="220"/>
      <c r="Z41" s="220"/>
      <c r="AA41" s="220"/>
      <c r="AB41" s="220"/>
      <c r="AC41" s="220"/>
      <c r="AD41" s="220"/>
      <c r="AE41" s="220"/>
      <c r="AF41" s="220"/>
      <c r="AG41" s="220"/>
      <c r="AH41" s="220"/>
      <c r="AI41" s="220"/>
      <c r="AJ41" s="220"/>
      <c r="AK41" s="220"/>
      <c r="AL41" s="220"/>
      <c r="AM41" s="220"/>
      <c r="AN41" s="220"/>
      <c r="AO41" s="220"/>
      <c r="AP41" s="220"/>
      <c r="AQ41" s="220"/>
      <c r="AR41" s="220"/>
      <c r="AS41" s="220"/>
      <c r="AT41" s="220"/>
      <c r="AU41" s="220"/>
      <c r="AV41" s="220"/>
      <c r="AW41" s="220"/>
      <c r="AX41" s="220"/>
      <c r="AY41" s="220"/>
      <c r="AZ41" s="220"/>
      <c r="BA41" s="220"/>
      <c r="BB41" s="220"/>
      <c r="BC41" s="220"/>
      <c r="BD41" s="220"/>
      <c r="BE41" s="220"/>
      <c r="BF41" s="220"/>
      <c r="BG41" s="220"/>
      <c r="BH41" s="220"/>
      <c r="BI41" s="221"/>
      <c r="BJ41" s="220"/>
      <c r="BK41" s="220"/>
      <c r="BL41" s="220"/>
      <c r="BM41" s="220"/>
      <c r="BN41" s="220"/>
      <c r="BO41" s="221"/>
      <c r="BP41" s="220"/>
      <c r="BQ41" s="220"/>
      <c r="BR41" s="220"/>
      <c r="BS41" s="220"/>
      <c r="BT41" s="220"/>
      <c r="BU41" s="220"/>
      <c r="BV41" s="220"/>
      <c r="BW41" s="220"/>
      <c r="BX41" s="220"/>
      <c r="BY41" s="220"/>
      <c r="BZ41" s="220"/>
      <c r="CA41" s="220"/>
      <c r="CB41" s="220"/>
    </row>
    <row r="42" spans="1:80" outlineLevel="1">
      <c r="A42" s="212" t="s">
        <v>119</v>
      </c>
      <c r="B42" s="215" t="s">
        <v>17</v>
      </c>
      <c r="C42" s="215" t="s">
        <v>251</v>
      </c>
      <c r="D42" s="215" t="s">
        <v>21</v>
      </c>
      <c r="E42" s="216" t="s">
        <v>269</v>
      </c>
      <c r="F42" s="216" t="s">
        <v>271</v>
      </c>
      <c r="G42" s="216" t="s">
        <v>266</v>
      </c>
      <c r="H42" s="216" t="s">
        <v>266</v>
      </c>
      <c r="I42" s="216"/>
      <c r="J42" s="217"/>
      <c r="K42" s="217"/>
      <c r="L42" s="217"/>
      <c r="M42" s="218"/>
      <c r="N42" s="219"/>
      <c r="O42" s="219"/>
      <c r="P42" s="219"/>
      <c r="Q42" s="277"/>
      <c r="R42" s="220"/>
      <c r="S42" s="220"/>
      <c r="T42" s="220"/>
      <c r="U42" s="220"/>
      <c r="V42" s="220"/>
      <c r="W42" s="220"/>
      <c r="X42" s="220"/>
      <c r="Y42" s="220"/>
      <c r="Z42" s="220"/>
      <c r="AA42" s="220"/>
      <c r="AB42" s="220"/>
      <c r="AC42" s="220"/>
      <c r="AD42" s="220"/>
      <c r="AE42" s="220"/>
      <c r="AF42" s="220"/>
      <c r="AG42" s="220"/>
      <c r="AH42" s="220"/>
      <c r="AI42" s="220"/>
      <c r="AJ42" s="220"/>
      <c r="AK42" s="220"/>
      <c r="AL42" s="220"/>
      <c r="AM42" s="220"/>
      <c r="AN42" s="220"/>
      <c r="AO42" s="220"/>
      <c r="AP42" s="220"/>
      <c r="AQ42" s="220"/>
      <c r="AR42" s="220"/>
      <c r="AS42" s="220"/>
      <c r="AT42" s="220"/>
      <c r="AU42" s="220"/>
      <c r="AV42" s="220"/>
      <c r="AW42" s="220"/>
      <c r="AX42" s="220"/>
      <c r="AY42" s="220"/>
      <c r="AZ42" s="220"/>
      <c r="BA42" s="220"/>
      <c r="BB42" s="220"/>
      <c r="BC42" s="220"/>
      <c r="BD42" s="220"/>
      <c r="BE42" s="220"/>
      <c r="BF42" s="220"/>
      <c r="BG42" s="220"/>
      <c r="BH42" s="220"/>
      <c r="BI42" s="221"/>
      <c r="BJ42" s="220"/>
      <c r="BK42" s="220"/>
      <c r="BL42" s="220"/>
      <c r="BM42" s="220"/>
      <c r="BN42" s="220"/>
      <c r="BO42" s="221"/>
      <c r="BP42" s="220"/>
      <c r="BQ42" s="220"/>
      <c r="BR42" s="220"/>
      <c r="BS42" s="220"/>
      <c r="BT42" s="220"/>
      <c r="BU42" s="220"/>
      <c r="BV42" s="220"/>
      <c r="BW42" s="220"/>
      <c r="BX42" s="220"/>
      <c r="BY42" s="220"/>
      <c r="BZ42" s="220"/>
      <c r="CA42" s="220"/>
      <c r="CB42" s="220"/>
    </row>
    <row r="43" spans="1:80" outlineLevel="1">
      <c r="A43" s="212" t="s">
        <v>119</v>
      </c>
      <c r="B43" s="215" t="s">
        <v>17</v>
      </c>
      <c r="C43" s="215" t="s">
        <v>251</v>
      </c>
      <c r="D43" s="215" t="s">
        <v>21</v>
      </c>
      <c r="E43" s="216" t="s">
        <v>269</v>
      </c>
      <c r="F43" s="216" t="s">
        <v>272</v>
      </c>
      <c r="G43" s="216" t="s">
        <v>266</v>
      </c>
      <c r="H43" s="216" t="s">
        <v>266</v>
      </c>
      <c r="I43" s="216"/>
      <c r="J43" s="217"/>
      <c r="K43" s="217"/>
      <c r="L43" s="217"/>
      <c r="M43" s="218"/>
      <c r="N43" s="219"/>
      <c r="O43" s="219"/>
      <c r="P43" s="219"/>
      <c r="Q43" s="277"/>
      <c r="R43" s="220"/>
      <c r="S43" s="220"/>
      <c r="T43" s="220"/>
      <c r="U43" s="220"/>
      <c r="V43" s="220"/>
      <c r="W43" s="220"/>
      <c r="X43" s="220"/>
      <c r="Y43" s="220"/>
      <c r="Z43" s="220"/>
      <c r="AA43" s="220"/>
      <c r="AB43" s="220"/>
      <c r="AC43" s="220"/>
      <c r="AD43" s="220"/>
      <c r="AE43" s="220"/>
      <c r="AF43" s="220"/>
      <c r="AG43" s="220"/>
      <c r="AH43" s="220"/>
      <c r="AI43" s="220"/>
      <c r="AJ43" s="220"/>
      <c r="AK43" s="220"/>
      <c r="AL43" s="220"/>
      <c r="AM43" s="220"/>
      <c r="AN43" s="220"/>
      <c r="AO43" s="220"/>
      <c r="AP43" s="220"/>
      <c r="AQ43" s="220"/>
      <c r="AR43" s="220"/>
      <c r="AS43" s="220"/>
      <c r="AT43" s="220"/>
      <c r="AU43" s="220"/>
      <c r="AV43" s="220"/>
      <c r="AW43" s="220"/>
      <c r="AX43" s="220"/>
      <c r="AY43" s="220"/>
      <c r="AZ43" s="220"/>
      <c r="BA43" s="220"/>
      <c r="BB43" s="220"/>
      <c r="BC43" s="220"/>
      <c r="BD43" s="220"/>
      <c r="BE43" s="220"/>
      <c r="BF43" s="220"/>
      <c r="BG43" s="220"/>
      <c r="BH43" s="220"/>
      <c r="BI43" s="221"/>
      <c r="BJ43" s="220"/>
      <c r="BK43" s="220"/>
      <c r="BL43" s="220"/>
      <c r="BM43" s="220"/>
      <c r="BN43" s="220"/>
      <c r="BO43" s="221"/>
      <c r="BP43" s="220"/>
      <c r="BQ43" s="220"/>
      <c r="BR43" s="220"/>
      <c r="BS43" s="220"/>
      <c r="BT43" s="220"/>
      <c r="BU43" s="220"/>
      <c r="BV43" s="220"/>
      <c r="BW43" s="220"/>
      <c r="BX43" s="220"/>
      <c r="BY43" s="220"/>
      <c r="BZ43" s="220"/>
      <c r="CA43" s="220"/>
      <c r="CB43" s="220"/>
    </row>
    <row r="44" spans="1:80" outlineLevel="1">
      <c r="A44" s="212" t="s">
        <v>119</v>
      </c>
      <c r="B44" s="215" t="s">
        <v>17</v>
      </c>
      <c r="C44" s="215" t="s">
        <v>251</v>
      </c>
      <c r="D44" s="215" t="s">
        <v>21</v>
      </c>
      <c r="E44" s="216" t="s">
        <v>269</v>
      </c>
      <c r="F44" s="216" t="s">
        <v>26</v>
      </c>
      <c r="G44" s="216" t="s">
        <v>266</v>
      </c>
      <c r="H44" s="216" t="s">
        <v>266</v>
      </c>
      <c r="I44" s="216"/>
      <c r="J44" s="217"/>
      <c r="K44" s="217"/>
      <c r="L44" s="217"/>
      <c r="M44" s="218"/>
      <c r="N44" s="219"/>
      <c r="O44" s="219"/>
      <c r="P44" s="219"/>
      <c r="Q44" s="277"/>
      <c r="R44" s="220"/>
      <c r="S44" s="220"/>
      <c r="T44" s="220"/>
      <c r="U44" s="220"/>
      <c r="V44" s="220"/>
      <c r="W44" s="220"/>
      <c r="X44" s="220"/>
      <c r="Y44" s="220"/>
      <c r="Z44" s="220"/>
      <c r="AA44" s="220"/>
      <c r="AB44" s="220"/>
      <c r="AC44" s="220"/>
      <c r="AD44" s="220"/>
      <c r="AE44" s="220"/>
      <c r="AF44" s="220"/>
      <c r="AG44" s="220"/>
      <c r="AH44" s="220"/>
      <c r="AI44" s="220"/>
      <c r="AJ44" s="220"/>
      <c r="AK44" s="220"/>
      <c r="AL44" s="220"/>
      <c r="AM44" s="220"/>
      <c r="AN44" s="220"/>
      <c r="AO44" s="220"/>
      <c r="AP44" s="220"/>
      <c r="AQ44" s="220"/>
      <c r="AR44" s="220"/>
      <c r="AS44" s="220"/>
      <c r="AT44" s="220"/>
      <c r="AU44" s="220"/>
      <c r="AV44" s="220"/>
      <c r="AW44" s="220"/>
      <c r="AX44" s="220"/>
      <c r="AY44" s="220"/>
      <c r="AZ44" s="220"/>
      <c r="BA44" s="220"/>
      <c r="BB44" s="220"/>
      <c r="BC44" s="220"/>
      <c r="BD44" s="220"/>
      <c r="BE44" s="220"/>
      <c r="BF44" s="220"/>
      <c r="BG44" s="220"/>
      <c r="BH44" s="220"/>
      <c r="BI44" s="221"/>
      <c r="BJ44" s="220"/>
      <c r="BK44" s="220"/>
      <c r="BL44" s="220"/>
      <c r="BM44" s="220"/>
      <c r="BN44" s="220"/>
      <c r="BO44" s="221"/>
      <c r="BP44" s="220"/>
      <c r="BQ44" s="220"/>
      <c r="BR44" s="220"/>
      <c r="BS44" s="220"/>
      <c r="BT44" s="220"/>
      <c r="BU44" s="220"/>
      <c r="BV44" s="220"/>
      <c r="BW44" s="220"/>
      <c r="BX44" s="220"/>
      <c r="BY44" s="220"/>
      <c r="BZ44" s="220"/>
      <c r="CA44" s="220"/>
      <c r="CB44" s="220"/>
    </row>
    <row r="45" spans="1:80" outlineLevel="1">
      <c r="A45" s="212" t="s">
        <v>119</v>
      </c>
      <c r="B45" s="215" t="s">
        <v>17</v>
      </c>
      <c r="C45" s="215" t="s">
        <v>251</v>
      </c>
      <c r="D45" s="215" t="s">
        <v>21</v>
      </c>
      <c r="E45" s="216" t="s">
        <v>269</v>
      </c>
      <c r="F45" s="216" t="s">
        <v>25</v>
      </c>
      <c r="G45" s="216" t="s">
        <v>266</v>
      </c>
      <c r="H45" s="216" t="s">
        <v>266</v>
      </c>
      <c r="I45" s="216"/>
      <c r="J45" s="217"/>
      <c r="K45" s="217"/>
      <c r="L45" s="217"/>
      <c r="M45" s="218"/>
      <c r="N45" s="219"/>
      <c r="O45" s="219"/>
      <c r="P45" s="219"/>
      <c r="Q45" s="277"/>
      <c r="R45" s="220"/>
      <c r="S45" s="220"/>
      <c r="T45" s="220"/>
      <c r="U45" s="220"/>
      <c r="V45" s="220"/>
      <c r="W45" s="220"/>
      <c r="X45" s="220"/>
      <c r="Y45" s="220"/>
      <c r="Z45" s="220"/>
      <c r="AA45" s="220"/>
      <c r="AB45" s="220"/>
      <c r="AC45" s="220"/>
      <c r="AD45" s="220"/>
      <c r="AE45" s="220"/>
      <c r="AF45" s="220"/>
      <c r="AG45" s="220"/>
      <c r="AH45" s="220"/>
      <c r="AI45" s="220"/>
      <c r="AJ45" s="220"/>
      <c r="AK45" s="220"/>
      <c r="AL45" s="220"/>
      <c r="AM45" s="220"/>
      <c r="AN45" s="220"/>
      <c r="AO45" s="220"/>
      <c r="AP45" s="220"/>
      <c r="AQ45" s="220"/>
      <c r="AR45" s="220"/>
      <c r="AS45" s="220"/>
      <c r="AT45" s="220"/>
      <c r="AU45" s="220"/>
      <c r="AV45" s="220"/>
      <c r="AW45" s="220"/>
      <c r="AX45" s="220"/>
      <c r="AY45" s="220"/>
      <c r="AZ45" s="220"/>
      <c r="BA45" s="220"/>
      <c r="BB45" s="220"/>
      <c r="BC45" s="220"/>
      <c r="BD45" s="220"/>
      <c r="BE45" s="220"/>
      <c r="BF45" s="220"/>
      <c r="BG45" s="220"/>
      <c r="BH45" s="220"/>
      <c r="BI45" s="221"/>
      <c r="BJ45" s="220"/>
      <c r="BK45" s="220"/>
      <c r="BL45" s="220"/>
      <c r="BM45" s="220"/>
      <c r="BN45" s="220"/>
      <c r="BO45" s="221"/>
      <c r="BP45" s="220"/>
      <c r="BQ45" s="220"/>
      <c r="BR45" s="220"/>
      <c r="BS45" s="220"/>
      <c r="BT45" s="220"/>
      <c r="BU45" s="220"/>
      <c r="BV45" s="220"/>
      <c r="BW45" s="220"/>
      <c r="BX45" s="220"/>
      <c r="BY45" s="220"/>
      <c r="BZ45" s="220"/>
      <c r="CA45" s="220"/>
      <c r="CB45" s="220"/>
    </row>
    <row r="46" spans="1:80" outlineLevel="1">
      <c r="A46" s="212" t="s">
        <v>119</v>
      </c>
      <c r="B46" s="215" t="s">
        <v>17</v>
      </c>
      <c r="C46" s="215" t="s">
        <v>251</v>
      </c>
      <c r="D46" s="215" t="s">
        <v>21</v>
      </c>
      <c r="E46" s="216" t="s">
        <v>29</v>
      </c>
      <c r="F46" s="216" t="s">
        <v>58</v>
      </c>
      <c r="G46" s="216" t="s">
        <v>39</v>
      </c>
      <c r="H46" s="216" t="s">
        <v>39</v>
      </c>
      <c r="I46" s="216"/>
      <c r="J46" s="217"/>
      <c r="K46" s="217"/>
      <c r="L46" s="217"/>
      <c r="M46" s="218"/>
      <c r="N46" s="219"/>
      <c r="O46" s="219"/>
      <c r="P46" s="219"/>
      <c r="Q46" s="277"/>
      <c r="R46" s="220"/>
      <c r="S46" s="220"/>
      <c r="T46" s="220"/>
      <c r="U46" s="220"/>
      <c r="V46" s="220"/>
      <c r="W46" s="220"/>
      <c r="X46" s="220"/>
      <c r="Y46" s="220"/>
      <c r="Z46" s="220"/>
      <c r="AA46" s="220"/>
      <c r="AB46" s="220"/>
      <c r="AC46" s="220"/>
      <c r="AD46" s="220"/>
      <c r="AE46" s="220"/>
      <c r="AF46" s="220"/>
      <c r="AG46" s="220"/>
      <c r="AH46" s="220"/>
      <c r="AI46" s="220"/>
      <c r="AJ46" s="220"/>
      <c r="AK46" s="220"/>
      <c r="AL46" s="220"/>
      <c r="AM46" s="220"/>
      <c r="AN46" s="220"/>
      <c r="AO46" s="220"/>
      <c r="AP46" s="220"/>
      <c r="AQ46" s="220"/>
      <c r="AR46" s="220"/>
      <c r="AS46" s="220"/>
      <c r="AT46" s="220"/>
      <c r="AU46" s="220"/>
      <c r="AV46" s="220"/>
      <c r="AW46" s="220"/>
      <c r="AX46" s="220"/>
      <c r="AY46" s="220"/>
      <c r="AZ46" s="220"/>
      <c r="BA46" s="220"/>
      <c r="BB46" s="220"/>
      <c r="BC46" s="220"/>
      <c r="BD46" s="220"/>
      <c r="BE46" s="220"/>
      <c r="BF46" s="220"/>
      <c r="BG46" s="220"/>
      <c r="BH46" s="220"/>
      <c r="BI46" s="221"/>
      <c r="BJ46" s="220"/>
      <c r="BK46" s="220"/>
      <c r="BL46" s="220"/>
      <c r="BM46" s="220"/>
      <c r="BN46" s="220"/>
      <c r="BO46" s="221"/>
      <c r="BP46" s="220"/>
      <c r="BQ46" s="220"/>
      <c r="BR46" s="220"/>
      <c r="BS46" s="220"/>
      <c r="BT46" s="220"/>
      <c r="BU46" s="220"/>
      <c r="BV46" s="220"/>
      <c r="BW46" s="220"/>
      <c r="BX46" s="220"/>
      <c r="BY46" s="220"/>
      <c r="BZ46" s="220"/>
      <c r="CA46" s="220"/>
      <c r="CB46" s="220"/>
    </row>
    <row r="47" spans="1:80" outlineLevel="1">
      <c r="A47" s="212" t="s">
        <v>119</v>
      </c>
      <c r="B47" s="215" t="s">
        <v>17</v>
      </c>
      <c r="C47" s="215" t="s">
        <v>251</v>
      </c>
      <c r="D47" s="215" t="s">
        <v>21</v>
      </c>
      <c r="E47" s="216" t="s">
        <v>29</v>
      </c>
      <c r="F47" s="216" t="s">
        <v>59</v>
      </c>
      <c r="G47" s="216" t="s">
        <v>39</v>
      </c>
      <c r="H47" s="216" t="s">
        <v>39</v>
      </c>
      <c r="I47" s="216"/>
      <c r="J47" s="217"/>
      <c r="K47" s="217"/>
      <c r="L47" s="217"/>
      <c r="M47" s="218"/>
      <c r="N47" s="219"/>
      <c r="O47" s="219"/>
      <c r="P47" s="219"/>
      <c r="Q47" s="277"/>
      <c r="R47" s="220"/>
      <c r="S47" s="220"/>
      <c r="T47" s="220"/>
      <c r="U47" s="220"/>
      <c r="V47" s="220"/>
      <c r="W47" s="220"/>
      <c r="X47" s="220"/>
      <c r="Y47" s="220"/>
      <c r="Z47" s="220"/>
      <c r="AA47" s="220"/>
      <c r="AB47" s="220"/>
      <c r="AC47" s="220"/>
      <c r="AD47" s="220"/>
      <c r="AE47" s="220"/>
      <c r="AF47" s="220"/>
      <c r="AG47" s="220"/>
      <c r="AH47" s="220"/>
      <c r="AI47" s="220"/>
      <c r="AJ47" s="220"/>
      <c r="AK47" s="220"/>
      <c r="AL47" s="220"/>
      <c r="AM47" s="220"/>
      <c r="AN47" s="220"/>
      <c r="AO47" s="220"/>
      <c r="AP47" s="220"/>
      <c r="AQ47" s="220"/>
      <c r="AR47" s="220"/>
      <c r="AS47" s="220"/>
      <c r="AT47" s="220"/>
      <c r="AU47" s="220"/>
      <c r="AV47" s="220"/>
      <c r="AW47" s="220"/>
      <c r="AX47" s="220"/>
      <c r="AY47" s="220"/>
      <c r="AZ47" s="220"/>
      <c r="BA47" s="220"/>
      <c r="BB47" s="220"/>
      <c r="BC47" s="220"/>
      <c r="BD47" s="220"/>
      <c r="BE47" s="220"/>
      <c r="BF47" s="220"/>
      <c r="BG47" s="220"/>
      <c r="BH47" s="220"/>
      <c r="BI47" s="221"/>
      <c r="BJ47" s="220"/>
      <c r="BK47" s="220"/>
      <c r="BL47" s="220"/>
      <c r="BM47" s="220"/>
      <c r="BN47" s="220"/>
      <c r="BO47" s="221"/>
      <c r="BP47" s="220"/>
      <c r="BQ47" s="220"/>
      <c r="BR47" s="220"/>
      <c r="BS47" s="220"/>
      <c r="BT47" s="220"/>
      <c r="BU47" s="220"/>
      <c r="BV47" s="220"/>
      <c r="BW47" s="220"/>
      <c r="BX47" s="220"/>
      <c r="BY47" s="220"/>
      <c r="BZ47" s="220"/>
      <c r="CA47" s="220"/>
      <c r="CB47" s="220"/>
    </row>
    <row r="48" spans="1:80" ht="10.4" customHeight="1">
      <c r="B48" s="213"/>
      <c r="C48" s="213"/>
      <c r="D48" s="213"/>
      <c r="E48" s="213"/>
      <c r="F48" s="213"/>
      <c r="G48" s="213"/>
      <c r="H48" s="213"/>
      <c r="I48" s="213"/>
      <c r="J48" s="19"/>
      <c r="K48" s="19"/>
      <c r="L48" s="19"/>
      <c r="M48" s="19"/>
      <c r="N48" s="19"/>
      <c r="O48" s="19"/>
      <c r="P48" s="1"/>
      <c r="Q48" s="278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214"/>
      <c r="BJ48" s="19"/>
      <c r="BK48" s="19"/>
      <c r="BL48" s="19"/>
      <c r="BM48" s="19"/>
      <c r="BN48" s="19"/>
      <c r="BO48" s="214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</row>
    <row r="49" spans="1:80" ht="17.899999999999999" customHeight="1">
      <c r="B49" s="141" t="s">
        <v>370</v>
      </c>
      <c r="C49" s="142"/>
      <c r="D49" s="142"/>
      <c r="E49" s="142"/>
      <c r="F49" s="142"/>
      <c r="G49" s="142"/>
      <c r="H49" s="142"/>
      <c r="I49" s="142"/>
      <c r="J49" s="143">
        <f>SUM(J50:J124)</f>
        <v>0</v>
      </c>
      <c r="K49" s="143">
        <f>SUM(K50:K124)</f>
        <v>0</v>
      </c>
      <c r="L49" s="143">
        <f>O49*J49</f>
        <v>0</v>
      </c>
      <c r="M49" s="145">
        <f>O49*K49</f>
        <v>0</v>
      </c>
      <c r="N49" s="144"/>
      <c r="O49" s="144"/>
      <c r="P49" s="144"/>
      <c r="Q49" s="279"/>
      <c r="R49" s="201"/>
      <c r="S49" s="201"/>
      <c r="T49" s="201"/>
      <c r="U49" s="201"/>
      <c r="V49" s="201"/>
      <c r="W49" s="201"/>
      <c r="X49" s="201"/>
      <c r="Y49" s="201"/>
      <c r="Z49" s="201"/>
      <c r="AA49" s="201"/>
      <c r="AB49" s="201"/>
      <c r="AC49" s="201"/>
      <c r="AD49" s="201"/>
      <c r="AE49" s="201"/>
      <c r="AF49" s="201"/>
      <c r="AG49" s="201"/>
      <c r="AH49" s="201"/>
      <c r="AI49" s="201"/>
      <c r="AJ49" s="201"/>
      <c r="AK49" s="201"/>
      <c r="AL49" s="201"/>
      <c r="AM49" s="201"/>
      <c r="AN49" s="201"/>
      <c r="AO49" s="201"/>
      <c r="AP49" s="201"/>
      <c r="AQ49" s="201"/>
      <c r="AR49" s="201"/>
      <c r="AS49" s="201"/>
      <c r="AT49" s="201"/>
      <c r="AU49" s="201"/>
      <c r="AV49" s="201"/>
      <c r="AW49" s="201"/>
      <c r="AX49" s="201"/>
      <c r="AY49" s="201"/>
      <c r="AZ49" s="201"/>
      <c r="BA49" s="201"/>
      <c r="BB49" s="201"/>
      <c r="BC49" s="201"/>
      <c r="BD49" s="201"/>
      <c r="BE49" s="201"/>
      <c r="BF49" s="201"/>
      <c r="BG49" s="201"/>
      <c r="BH49" s="201"/>
      <c r="BI49" s="202"/>
      <c r="BJ49" s="201"/>
      <c r="BK49" s="201"/>
      <c r="BL49" s="201"/>
      <c r="BM49" s="201"/>
      <c r="BN49" s="201"/>
      <c r="BO49" s="202"/>
      <c r="BP49" s="201"/>
      <c r="BQ49" s="201"/>
      <c r="BR49" s="201"/>
      <c r="BS49" s="201"/>
      <c r="BT49" s="201"/>
      <c r="BU49" s="201"/>
      <c r="BV49" s="201"/>
      <c r="BW49" s="201"/>
      <c r="BX49" s="201"/>
      <c r="BY49" s="201"/>
      <c r="BZ49" s="201"/>
      <c r="CA49" s="201"/>
      <c r="CB49" s="201"/>
    </row>
    <row r="50" spans="1:80">
      <c r="A50" s="212" t="s">
        <v>340</v>
      </c>
      <c r="B50" s="4" t="s">
        <v>17</v>
      </c>
      <c r="C50" s="9" t="s">
        <v>251</v>
      </c>
      <c r="D50" s="9" t="s">
        <v>21</v>
      </c>
      <c r="E50" s="5" t="s">
        <v>29</v>
      </c>
      <c r="F50" s="5" t="s">
        <v>79</v>
      </c>
      <c r="G50" s="297" t="s">
        <v>268</v>
      </c>
      <c r="H50" s="5" t="s">
        <v>40</v>
      </c>
      <c r="I50" s="299" t="s">
        <v>438</v>
      </c>
      <c r="J50" s="33">
        <f>K50*8</f>
        <v>0</v>
      </c>
      <c r="K50" s="33"/>
      <c r="L50" s="33"/>
      <c r="M50" s="33"/>
      <c r="N50" s="140"/>
      <c r="O50" s="140"/>
      <c r="P50" s="140"/>
      <c r="Q50" s="280" t="s">
        <v>457</v>
      </c>
      <c r="R50" s="203"/>
      <c r="S50" s="203"/>
      <c r="T50" s="203"/>
      <c r="U50" s="203"/>
      <c r="V50" s="203"/>
      <c r="W50" s="203"/>
      <c r="X50" s="203"/>
      <c r="Y50" s="203"/>
      <c r="Z50" s="203"/>
      <c r="AA50" s="203"/>
      <c r="AB50" s="203"/>
      <c r="AC50" s="203"/>
      <c r="AD50" s="203"/>
      <c r="AE50" s="203"/>
      <c r="AF50" s="203"/>
      <c r="AG50" s="203"/>
      <c r="AH50" s="203"/>
      <c r="AI50" s="203"/>
      <c r="AJ50" s="203"/>
      <c r="AK50" s="203"/>
      <c r="AL50" s="203"/>
      <c r="AM50" s="203"/>
      <c r="AN50" s="203"/>
      <c r="AO50" s="203"/>
      <c r="AP50" s="203"/>
      <c r="AQ50" s="203"/>
      <c r="AR50" s="203"/>
      <c r="AS50" s="203"/>
      <c r="AT50" s="203"/>
      <c r="AU50" s="203"/>
      <c r="AV50" s="203"/>
      <c r="AW50" s="203"/>
      <c r="AX50" s="203"/>
      <c r="AY50" s="203"/>
      <c r="AZ50" s="203"/>
      <c r="BA50" s="203"/>
      <c r="BB50" s="203"/>
      <c r="BC50" s="203"/>
      <c r="BD50" s="203"/>
      <c r="BE50" s="203"/>
      <c r="BF50" s="203"/>
      <c r="BG50" s="203"/>
      <c r="BH50" s="203"/>
      <c r="BI50" s="204"/>
      <c r="BJ50" s="203"/>
      <c r="BK50" s="203">
        <v>0.5</v>
      </c>
      <c r="BL50" s="203"/>
      <c r="BM50" s="203"/>
      <c r="BN50" s="203"/>
      <c r="BO50" s="204"/>
      <c r="BP50" s="203">
        <v>0.5</v>
      </c>
      <c r="BQ50" s="203"/>
      <c r="BR50" s="203"/>
      <c r="BS50" s="203"/>
      <c r="BT50" s="203"/>
      <c r="BU50" s="203">
        <v>0.5</v>
      </c>
      <c r="BV50" s="203"/>
      <c r="BW50" s="203"/>
      <c r="BX50" s="203"/>
      <c r="BY50" s="203"/>
      <c r="BZ50" s="203"/>
      <c r="CA50" s="203"/>
      <c r="CB50" s="203"/>
    </row>
    <row r="51" spans="1:80">
      <c r="A51" s="212" t="s">
        <v>340</v>
      </c>
      <c r="B51" s="4" t="s">
        <v>17</v>
      </c>
      <c r="C51" s="9" t="s">
        <v>251</v>
      </c>
      <c r="D51" s="9" t="s">
        <v>21</v>
      </c>
      <c r="E51" s="5" t="s">
        <v>29</v>
      </c>
      <c r="F51" s="5" t="s">
        <v>60</v>
      </c>
      <c r="G51" s="297" t="s">
        <v>268</v>
      </c>
      <c r="H51" s="5" t="s">
        <v>40</v>
      </c>
      <c r="I51" s="299" t="s">
        <v>439</v>
      </c>
      <c r="J51" s="33"/>
      <c r="K51" s="33"/>
      <c r="L51" s="33"/>
      <c r="M51" s="33"/>
      <c r="N51" s="140"/>
      <c r="O51" s="140"/>
      <c r="P51" s="140"/>
      <c r="Q51" s="280" t="s">
        <v>457</v>
      </c>
      <c r="R51" s="203"/>
      <c r="S51" s="203"/>
      <c r="T51" s="203"/>
      <c r="U51" s="203"/>
      <c r="V51" s="203"/>
      <c r="W51" s="203"/>
      <c r="X51" s="203"/>
      <c r="Y51" s="203"/>
      <c r="Z51" s="203"/>
      <c r="AA51" s="203"/>
      <c r="AB51" s="203"/>
      <c r="AC51" s="203"/>
      <c r="AD51" s="203"/>
      <c r="AE51" s="203"/>
      <c r="AF51" s="203"/>
      <c r="AG51" s="203"/>
      <c r="AH51" s="203"/>
      <c r="AI51" s="203"/>
      <c r="AJ51" s="203"/>
      <c r="AK51" s="203"/>
      <c r="AL51" s="203"/>
      <c r="AM51" s="203"/>
      <c r="AN51" s="203"/>
      <c r="AO51" s="203"/>
      <c r="AP51" s="203"/>
      <c r="AQ51" s="203"/>
      <c r="AR51" s="203"/>
      <c r="AS51" s="203"/>
      <c r="AT51" s="203"/>
      <c r="AU51" s="203"/>
      <c r="AV51" s="203"/>
      <c r="AW51" s="203"/>
      <c r="AX51" s="203"/>
      <c r="AY51" s="203"/>
      <c r="AZ51" s="203"/>
      <c r="BA51" s="203"/>
      <c r="BB51" s="203"/>
      <c r="BC51" s="203"/>
      <c r="BD51" s="203"/>
      <c r="BE51" s="203"/>
      <c r="BF51" s="203"/>
      <c r="BG51" s="203"/>
      <c r="BH51" s="203"/>
      <c r="BI51" s="204"/>
      <c r="BJ51" s="203"/>
      <c r="BK51" s="203"/>
      <c r="BL51" s="203"/>
      <c r="BM51" s="203"/>
      <c r="BN51" s="203"/>
      <c r="BO51" s="204"/>
      <c r="BP51" s="203"/>
      <c r="BQ51" s="203"/>
      <c r="BR51" s="203"/>
      <c r="BS51" s="203"/>
      <c r="BT51" s="203"/>
      <c r="BU51" s="203"/>
      <c r="BV51" s="203"/>
      <c r="BW51" s="203"/>
      <c r="BX51" s="203"/>
      <c r="BY51" s="203"/>
      <c r="BZ51" s="203"/>
      <c r="CA51" s="203"/>
      <c r="CB51" s="203"/>
    </row>
    <row r="52" spans="1:80">
      <c r="A52" s="212" t="s">
        <v>340</v>
      </c>
      <c r="B52" s="4" t="s">
        <v>17</v>
      </c>
      <c r="C52" s="9" t="s">
        <v>251</v>
      </c>
      <c r="D52" s="9" t="s">
        <v>21</v>
      </c>
      <c r="E52" s="5" t="s">
        <v>29</v>
      </c>
      <c r="F52" s="5" t="s">
        <v>80</v>
      </c>
      <c r="G52" s="297" t="s">
        <v>268</v>
      </c>
      <c r="H52" s="5" t="s">
        <v>40</v>
      </c>
      <c r="I52" s="299" t="s">
        <v>438</v>
      </c>
      <c r="J52" s="33"/>
      <c r="K52" s="33"/>
      <c r="L52" s="33"/>
      <c r="M52" s="33"/>
      <c r="N52" s="140"/>
      <c r="O52" s="140"/>
      <c r="P52" s="140"/>
      <c r="Q52" s="280" t="s">
        <v>457</v>
      </c>
      <c r="R52" s="203"/>
      <c r="S52" s="203"/>
      <c r="T52" s="203"/>
      <c r="U52" s="203"/>
      <c r="V52" s="203"/>
      <c r="W52" s="203"/>
      <c r="X52" s="203"/>
      <c r="Y52" s="203"/>
      <c r="Z52" s="203"/>
      <c r="AA52" s="203"/>
      <c r="AB52" s="203"/>
      <c r="AC52" s="203"/>
      <c r="AD52" s="203"/>
      <c r="AE52" s="203"/>
      <c r="AF52" s="203"/>
      <c r="AG52" s="203"/>
      <c r="AH52" s="203"/>
      <c r="AI52" s="203"/>
      <c r="AJ52" s="203"/>
      <c r="AK52" s="203"/>
      <c r="AL52" s="203"/>
      <c r="AM52" s="203"/>
      <c r="AN52" s="203"/>
      <c r="AO52" s="203"/>
      <c r="AP52" s="203"/>
      <c r="AQ52" s="203"/>
      <c r="AR52" s="203"/>
      <c r="AS52" s="203"/>
      <c r="AT52" s="203"/>
      <c r="AU52" s="203"/>
      <c r="AV52" s="203"/>
      <c r="AW52" s="203"/>
      <c r="AX52" s="203"/>
      <c r="AY52" s="203"/>
      <c r="AZ52" s="203"/>
      <c r="BA52" s="203"/>
      <c r="BB52" s="203"/>
      <c r="BC52" s="203"/>
      <c r="BD52" s="203"/>
      <c r="BE52" s="203"/>
      <c r="BF52" s="203"/>
      <c r="BG52" s="203"/>
      <c r="BH52" s="203"/>
      <c r="BI52" s="204"/>
      <c r="BJ52" s="203"/>
      <c r="BK52" s="203"/>
      <c r="BL52" s="203"/>
      <c r="BM52" s="203"/>
      <c r="BN52" s="203"/>
      <c r="BO52" s="204"/>
      <c r="BP52" s="203"/>
      <c r="BQ52" s="203"/>
      <c r="BR52" s="203"/>
      <c r="BS52" s="203"/>
      <c r="BT52" s="203"/>
      <c r="BU52" s="203"/>
      <c r="BV52" s="203"/>
      <c r="BW52" s="203"/>
      <c r="BX52" s="203"/>
      <c r="BY52" s="203"/>
      <c r="BZ52" s="203"/>
      <c r="CA52" s="203"/>
      <c r="CB52" s="203"/>
    </row>
    <row r="53" spans="1:80">
      <c r="A53" s="212" t="s">
        <v>340</v>
      </c>
      <c r="B53" s="4" t="s">
        <v>17</v>
      </c>
      <c r="C53" s="9" t="s">
        <v>251</v>
      </c>
      <c r="D53" s="9" t="s">
        <v>21</v>
      </c>
      <c r="E53" s="5" t="s">
        <v>29</v>
      </c>
      <c r="F53" s="5" t="s">
        <v>81</v>
      </c>
      <c r="G53" s="297" t="s">
        <v>268</v>
      </c>
      <c r="H53" s="5" t="s">
        <v>40</v>
      </c>
      <c r="I53" s="299" t="s">
        <v>438</v>
      </c>
      <c r="J53" s="33"/>
      <c r="K53" s="33"/>
      <c r="L53" s="33"/>
      <c r="M53" s="33"/>
      <c r="N53" s="140"/>
      <c r="O53" s="140"/>
      <c r="P53" s="140"/>
      <c r="Q53" s="280" t="s">
        <v>457</v>
      </c>
      <c r="R53" s="203"/>
      <c r="S53" s="203"/>
      <c r="T53" s="203"/>
      <c r="U53" s="203"/>
      <c r="V53" s="203"/>
      <c r="W53" s="203"/>
      <c r="X53" s="203"/>
      <c r="Y53" s="203"/>
      <c r="Z53" s="203"/>
      <c r="AA53" s="203"/>
      <c r="AB53" s="203"/>
      <c r="AC53" s="203"/>
      <c r="AD53" s="203"/>
      <c r="AE53" s="203"/>
      <c r="AF53" s="203"/>
      <c r="AG53" s="203"/>
      <c r="AH53" s="203"/>
      <c r="AI53" s="203"/>
      <c r="AJ53" s="203"/>
      <c r="AK53" s="203"/>
      <c r="AL53" s="203"/>
      <c r="AM53" s="203"/>
      <c r="AN53" s="203"/>
      <c r="AO53" s="203"/>
      <c r="AP53" s="203"/>
      <c r="AQ53" s="203"/>
      <c r="AR53" s="203"/>
      <c r="AS53" s="203"/>
      <c r="AT53" s="203"/>
      <c r="AU53" s="203"/>
      <c r="AV53" s="203"/>
      <c r="AW53" s="203"/>
      <c r="AX53" s="203"/>
      <c r="AY53" s="203"/>
      <c r="AZ53" s="203"/>
      <c r="BA53" s="203"/>
      <c r="BB53" s="203"/>
      <c r="BC53" s="203"/>
      <c r="BD53" s="203"/>
      <c r="BE53" s="203"/>
      <c r="BF53" s="203"/>
      <c r="BG53" s="203"/>
      <c r="BH53" s="203"/>
      <c r="BI53" s="204"/>
      <c r="BJ53" s="203"/>
      <c r="BK53" s="203"/>
      <c r="BL53" s="203"/>
      <c r="BM53" s="203"/>
      <c r="BN53" s="203"/>
      <c r="BO53" s="204"/>
      <c r="BP53" s="203"/>
      <c r="BQ53" s="203"/>
      <c r="BR53" s="203"/>
      <c r="BS53" s="203"/>
      <c r="BT53" s="203"/>
      <c r="BU53" s="203"/>
      <c r="BV53" s="203"/>
      <c r="BW53" s="203"/>
      <c r="BX53" s="203"/>
      <c r="BY53" s="203"/>
      <c r="BZ53" s="203"/>
      <c r="CA53" s="203"/>
      <c r="CB53" s="203"/>
    </row>
    <row r="54" spans="1:80">
      <c r="A54" s="212" t="s">
        <v>340</v>
      </c>
      <c r="B54" s="4" t="s">
        <v>17</v>
      </c>
      <c r="C54" s="9" t="s">
        <v>251</v>
      </c>
      <c r="D54" s="9" t="s">
        <v>21</v>
      </c>
      <c r="E54" s="5" t="s">
        <v>29</v>
      </c>
      <c r="F54" s="5" t="s">
        <v>82</v>
      </c>
      <c r="G54" s="5" t="s">
        <v>40</v>
      </c>
      <c r="H54" s="5" t="s">
        <v>40</v>
      </c>
      <c r="I54" s="299" t="s">
        <v>439</v>
      </c>
      <c r="J54" s="33"/>
      <c r="K54" s="33"/>
      <c r="L54" s="33"/>
      <c r="M54" s="33"/>
      <c r="N54" s="140"/>
      <c r="O54" s="140"/>
      <c r="P54" s="140"/>
      <c r="Q54" s="280"/>
      <c r="R54" s="203"/>
      <c r="S54" s="203"/>
      <c r="T54" s="203"/>
      <c r="U54" s="203"/>
      <c r="V54" s="203"/>
      <c r="W54" s="203"/>
      <c r="X54" s="203"/>
      <c r="Y54" s="203"/>
      <c r="Z54" s="203"/>
      <c r="AA54" s="203"/>
      <c r="AB54" s="203"/>
      <c r="AC54" s="203"/>
      <c r="AD54" s="203"/>
      <c r="AE54" s="203"/>
      <c r="AF54" s="203"/>
      <c r="AG54" s="203"/>
      <c r="AH54" s="203"/>
      <c r="AI54" s="203"/>
      <c r="AJ54" s="203"/>
      <c r="AK54" s="203"/>
      <c r="AL54" s="203"/>
      <c r="AM54" s="203"/>
      <c r="AN54" s="203"/>
      <c r="AO54" s="203"/>
      <c r="AP54" s="203"/>
      <c r="AQ54" s="203"/>
      <c r="AR54" s="203"/>
      <c r="AS54" s="203"/>
      <c r="AT54" s="203"/>
      <c r="AU54" s="203"/>
      <c r="AV54" s="203"/>
      <c r="AW54" s="203"/>
      <c r="AX54" s="203"/>
      <c r="AY54" s="203"/>
      <c r="AZ54" s="203"/>
      <c r="BA54" s="203"/>
      <c r="BB54" s="203"/>
      <c r="BC54" s="203"/>
      <c r="BD54" s="203"/>
      <c r="BE54" s="203"/>
      <c r="BF54" s="203"/>
      <c r="BG54" s="203"/>
      <c r="BH54" s="203"/>
      <c r="BI54" s="204"/>
      <c r="BJ54" s="203"/>
      <c r="BK54" s="203"/>
      <c r="BL54" s="203"/>
      <c r="BM54" s="203"/>
      <c r="BN54" s="203"/>
      <c r="BO54" s="204"/>
      <c r="BP54" s="203"/>
      <c r="BQ54" s="203"/>
      <c r="BR54" s="203"/>
      <c r="BS54" s="203"/>
      <c r="BT54" s="203"/>
      <c r="BU54" s="203"/>
      <c r="BV54" s="203"/>
      <c r="BW54" s="203"/>
      <c r="BX54" s="203"/>
      <c r="BY54" s="203"/>
      <c r="BZ54" s="203"/>
      <c r="CA54" s="203"/>
      <c r="CB54" s="203"/>
    </row>
    <row r="55" spans="1:80">
      <c r="A55" s="212" t="s">
        <v>340</v>
      </c>
      <c r="B55" s="4" t="s">
        <v>17</v>
      </c>
      <c r="C55" s="9" t="s">
        <v>251</v>
      </c>
      <c r="D55" s="9" t="s">
        <v>21</v>
      </c>
      <c r="E55" s="5" t="s">
        <v>29</v>
      </c>
      <c r="F55" s="5" t="s">
        <v>83</v>
      </c>
      <c r="G55" s="297" t="s">
        <v>268</v>
      </c>
      <c r="H55" s="5" t="s">
        <v>40</v>
      </c>
      <c r="I55" s="299" t="s">
        <v>438</v>
      </c>
      <c r="J55" s="33"/>
      <c r="K55" s="33"/>
      <c r="L55" s="33"/>
      <c r="M55" s="33"/>
      <c r="N55" s="140"/>
      <c r="O55" s="140"/>
      <c r="P55" s="140"/>
      <c r="Q55" s="280" t="s">
        <v>457</v>
      </c>
      <c r="R55" s="203"/>
      <c r="S55" s="203"/>
      <c r="T55" s="203"/>
      <c r="U55" s="203"/>
      <c r="V55" s="203"/>
      <c r="W55" s="203"/>
      <c r="X55" s="203"/>
      <c r="Y55" s="203"/>
      <c r="Z55" s="203"/>
      <c r="AA55" s="203"/>
      <c r="AB55" s="203"/>
      <c r="AC55" s="203"/>
      <c r="AD55" s="203"/>
      <c r="AE55" s="203"/>
      <c r="AF55" s="203"/>
      <c r="AG55" s="203"/>
      <c r="AH55" s="203"/>
      <c r="AI55" s="203"/>
      <c r="AJ55" s="203"/>
      <c r="AK55" s="203"/>
      <c r="AL55" s="203"/>
      <c r="AM55" s="203"/>
      <c r="AN55" s="203"/>
      <c r="AO55" s="203"/>
      <c r="AP55" s="203"/>
      <c r="AQ55" s="203"/>
      <c r="AR55" s="203"/>
      <c r="AS55" s="203"/>
      <c r="AT55" s="203"/>
      <c r="AU55" s="203"/>
      <c r="AV55" s="203"/>
      <c r="AW55" s="203"/>
      <c r="AX55" s="203"/>
      <c r="AY55" s="203"/>
      <c r="AZ55" s="203"/>
      <c r="BA55" s="203"/>
      <c r="BB55" s="203"/>
      <c r="BC55" s="203"/>
      <c r="BD55" s="203"/>
      <c r="BE55" s="203"/>
      <c r="BF55" s="203"/>
      <c r="BG55" s="203"/>
      <c r="BH55" s="203"/>
      <c r="BI55" s="204"/>
      <c r="BJ55" s="203"/>
      <c r="BK55" s="203"/>
      <c r="BL55" s="203"/>
      <c r="BM55" s="203"/>
      <c r="BN55" s="203"/>
      <c r="BO55" s="204"/>
      <c r="BP55" s="203"/>
      <c r="BQ55" s="203"/>
      <c r="BR55" s="203"/>
      <c r="BS55" s="203"/>
      <c r="BT55" s="203"/>
      <c r="BU55" s="203"/>
      <c r="BV55" s="203"/>
      <c r="BW55" s="203"/>
      <c r="BX55" s="203"/>
      <c r="BY55" s="203"/>
      <c r="BZ55" s="203"/>
      <c r="CA55" s="203"/>
      <c r="CB55" s="203"/>
    </row>
    <row r="56" spans="1:80">
      <c r="A56" s="212" t="s">
        <v>340</v>
      </c>
      <c r="B56" s="4" t="s">
        <v>17</v>
      </c>
      <c r="C56" s="9" t="s">
        <v>251</v>
      </c>
      <c r="D56" s="9" t="s">
        <v>21</v>
      </c>
      <c r="E56" s="5" t="s">
        <v>29</v>
      </c>
      <c r="F56" s="5" t="s">
        <v>61</v>
      </c>
      <c r="G56" s="5" t="s">
        <v>274</v>
      </c>
      <c r="H56" s="5" t="s">
        <v>341</v>
      </c>
      <c r="I56" s="299" t="s">
        <v>438</v>
      </c>
      <c r="J56" s="33"/>
      <c r="K56" s="33"/>
      <c r="L56" s="33"/>
      <c r="M56" s="33"/>
      <c r="N56" s="140"/>
      <c r="O56" s="140"/>
      <c r="P56" s="140"/>
      <c r="Q56" s="280" t="s">
        <v>458</v>
      </c>
      <c r="R56" s="203"/>
      <c r="S56" s="203"/>
      <c r="T56" s="203"/>
      <c r="U56" s="203"/>
      <c r="V56" s="203"/>
      <c r="W56" s="203"/>
      <c r="X56" s="203"/>
      <c r="Y56" s="203"/>
      <c r="Z56" s="203"/>
      <c r="AA56" s="203"/>
      <c r="AB56" s="203"/>
      <c r="AC56" s="203"/>
      <c r="AD56" s="203"/>
      <c r="AE56" s="203"/>
      <c r="AF56" s="203"/>
      <c r="AG56" s="203"/>
      <c r="AH56" s="203"/>
      <c r="AI56" s="203"/>
      <c r="AJ56" s="203"/>
      <c r="AK56" s="203"/>
      <c r="AL56" s="203"/>
      <c r="AM56" s="203"/>
      <c r="AN56" s="203"/>
      <c r="AO56" s="203"/>
      <c r="AP56" s="203"/>
      <c r="AQ56" s="203"/>
      <c r="AR56" s="203"/>
      <c r="AS56" s="203"/>
      <c r="AT56" s="203"/>
      <c r="AU56" s="203"/>
      <c r="AV56" s="203"/>
      <c r="AW56" s="203"/>
      <c r="AX56" s="203"/>
      <c r="AY56" s="203"/>
      <c r="AZ56" s="203"/>
      <c r="BA56" s="203"/>
      <c r="BB56" s="203"/>
      <c r="BC56" s="203"/>
      <c r="BD56" s="203"/>
      <c r="BE56" s="203"/>
      <c r="BF56" s="203"/>
      <c r="BG56" s="203"/>
      <c r="BH56" s="203"/>
      <c r="BI56" s="204"/>
      <c r="BJ56" s="203"/>
      <c r="BK56" s="203"/>
      <c r="BL56" s="203"/>
      <c r="BM56" s="203"/>
      <c r="BN56" s="203"/>
      <c r="BO56" s="204"/>
      <c r="BP56" s="203"/>
      <c r="BQ56" s="203"/>
      <c r="BR56" s="203"/>
      <c r="BS56" s="203"/>
      <c r="BT56" s="203"/>
      <c r="BU56" s="203"/>
      <c r="BV56" s="203"/>
      <c r="BW56" s="203"/>
      <c r="BX56" s="203"/>
      <c r="BY56" s="203"/>
      <c r="BZ56" s="203"/>
      <c r="CA56" s="203"/>
      <c r="CB56" s="203"/>
    </row>
    <row r="57" spans="1:80">
      <c r="A57" s="212" t="s">
        <v>340</v>
      </c>
      <c r="B57" s="4" t="s">
        <v>17</v>
      </c>
      <c r="C57" s="9" t="s">
        <v>251</v>
      </c>
      <c r="D57" s="9" t="s">
        <v>21</v>
      </c>
      <c r="E57" s="5" t="s">
        <v>29</v>
      </c>
      <c r="F57" s="5" t="s">
        <v>84</v>
      </c>
      <c r="G57" s="5" t="s">
        <v>40</v>
      </c>
      <c r="H57" s="5" t="s">
        <v>40</v>
      </c>
      <c r="I57" s="299" t="s">
        <v>439</v>
      </c>
      <c r="J57" s="33"/>
      <c r="K57" s="33"/>
      <c r="L57" s="33"/>
      <c r="M57" s="33"/>
      <c r="N57" s="140"/>
      <c r="O57" s="140"/>
      <c r="P57" s="140"/>
      <c r="Q57" s="280"/>
      <c r="R57" s="203"/>
      <c r="S57" s="203"/>
      <c r="T57" s="203"/>
      <c r="U57" s="203"/>
      <c r="V57" s="203"/>
      <c r="W57" s="203"/>
      <c r="X57" s="203"/>
      <c r="Y57" s="203"/>
      <c r="Z57" s="203"/>
      <c r="AA57" s="203"/>
      <c r="AB57" s="203"/>
      <c r="AC57" s="203"/>
      <c r="AD57" s="203"/>
      <c r="AE57" s="203"/>
      <c r="AF57" s="203"/>
      <c r="AG57" s="203"/>
      <c r="AH57" s="203"/>
      <c r="AI57" s="203"/>
      <c r="AJ57" s="203"/>
      <c r="AK57" s="203"/>
      <c r="AL57" s="203"/>
      <c r="AM57" s="203"/>
      <c r="AN57" s="203"/>
      <c r="AO57" s="203"/>
      <c r="AP57" s="203"/>
      <c r="AQ57" s="203"/>
      <c r="AR57" s="203"/>
      <c r="AS57" s="203"/>
      <c r="AT57" s="203"/>
      <c r="AU57" s="203"/>
      <c r="AV57" s="203"/>
      <c r="AW57" s="203"/>
      <c r="AX57" s="203"/>
      <c r="AY57" s="203"/>
      <c r="AZ57" s="203"/>
      <c r="BA57" s="203"/>
      <c r="BB57" s="203"/>
      <c r="BC57" s="203"/>
      <c r="BD57" s="203"/>
      <c r="BE57" s="203"/>
      <c r="BF57" s="203"/>
      <c r="BG57" s="203"/>
      <c r="BH57" s="203"/>
      <c r="BI57" s="204"/>
      <c r="BJ57" s="203"/>
      <c r="BK57" s="203"/>
      <c r="BL57" s="203"/>
      <c r="BM57" s="203"/>
      <c r="BN57" s="203"/>
      <c r="BO57" s="204"/>
      <c r="BP57" s="203"/>
      <c r="BQ57" s="203"/>
      <c r="BR57" s="203"/>
      <c r="BS57" s="203"/>
      <c r="BT57" s="203"/>
      <c r="BU57" s="203"/>
      <c r="BV57" s="203"/>
      <c r="BW57" s="203"/>
      <c r="BX57" s="203"/>
      <c r="BY57" s="203"/>
      <c r="BZ57" s="203"/>
      <c r="CA57" s="203"/>
      <c r="CB57" s="203"/>
    </row>
    <row r="58" spans="1:80">
      <c r="A58" s="212" t="s">
        <v>340</v>
      </c>
      <c r="B58" s="4" t="s">
        <v>17</v>
      </c>
      <c r="C58" s="9" t="s">
        <v>251</v>
      </c>
      <c r="D58" s="9" t="s">
        <v>21</v>
      </c>
      <c r="E58" s="5" t="s">
        <v>29</v>
      </c>
      <c r="F58" s="5" t="s">
        <v>85</v>
      </c>
      <c r="G58" s="297" t="s">
        <v>268</v>
      </c>
      <c r="H58" s="5" t="s">
        <v>40</v>
      </c>
      <c r="I58" s="299" t="s">
        <v>438</v>
      </c>
      <c r="J58" s="33"/>
      <c r="K58" s="33"/>
      <c r="L58" s="33"/>
      <c r="M58" s="33"/>
      <c r="N58" s="140"/>
      <c r="O58" s="140"/>
      <c r="P58" s="140"/>
      <c r="Q58" s="280" t="s">
        <v>457</v>
      </c>
      <c r="R58" s="203"/>
      <c r="S58" s="203"/>
      <c r="T58" s="203"/>
      <c r="U58" s="203"/>
      <c r="V58" s="203"/>
      <c r="W58" s="203"/>
      <c r="X58" s="203"/>
      <c r="Y58" s="203"/>
      <c r="Z58" s="203"/>
      <c r="AA58" s="203"/>
      <c r="AB58" s="203"/>
      <c r="AC58" s="203"/>
      <c r="AD58" s="203"/>
      <c r="AE58" s="203"/>
      <c r="AF58" s="203"/>
      <c r="AG58" s="203"/>
      <c r="AH58" s="203"/>
      <c r="AI58" s="203"/>
      <c r="AJ58" s="203"/>
      <c r="AK58" s="203"/>
      <c r="AL58" s="203"/>
      <c r="AM58" s="203"/>
      <c r="AN58" s="203"/>
      <c r="AO58" s="203"/>
      <c r="AP58" s="203"/>
      <c r="AQ58" s="203"/>
      <c r="AR58" s="203"/>
      <c r="AS58" s="203"/>
      <c r="AT58" s="203"/>
      <c r="AU58" s="203"/>
      <c r="AV58" s="203"/>
      <c r="AW58" s="203"/>
      <c r="AX58" s="203"/>
      <c r="AY58" s="203"/>
      <c r="AZ58" s="203"/>
      <c r="BA58" s="203"/>
      <c r="BB58" s="203"/>
      <c r="BC58" s="203"/>
      <c r="BD58" s="203"/>
      <c r="BE58" s="203"/>
      <c r="BF58" s="203"/>
      <c r="BG58" s="203"/>
      <c r="BH58" s="203"/>
      <c r="BI58" s="204"/>
      <c r="BJ58" s="203"/>
      <c r="BK58" s="203"/>
      <c r="BL58" s="203"/>
      <c r="BM58" s="203"/>
      <c r="BN58" s="203"/>
      <c r="BO58" s="204"/>
      <c r="BP58" s="203"/>
      <c r="BQ58" s="203"/>
      <c r="BR58" s="203"/>
      <c r="BS58" s="203"/>
      <c r="BT58" s="203"/>
      <c r="BU58" s="203"/>
      <c r="BV58" s="203"/>
      <c r="BW58" s="203"/>
      <c r="BX58" s="203"/>
      <c r="BY58" s="203"/>
      <c r="BZ58" s="203"/>
      <c r="CA58" s="203"/>
      <c r="CB58" s="203"/>
    </row>
    <row r="59" spans="1:80">
      <c r="A59" s="212" t="s">
        <v>340</v>
      </c>
      <c r="B59" s="4" t="s">
        <v>17</v>
      </c>
      <c r="C59" s="9" t="s">
        <v>251</v>
      </c>
      <c r="D59" s="9" t="s">
        <v>21</v>
      </c>
      <c r="E59" s="5" t="s">
        <v>29</v>
      </c>
      <c r="F59" s="5" t="s">
        <v>86</v>
      </c>
      <c r="G59" s="297" t="s">
        <v>268</v>
      </c>
      <c r="H59" s="5" t="s">
        <v>40</v>
      </c>
      <c r="I59" s="299" t="s">
        <v>438</v>
      </c>
      <c r="J59" s="33"/>
      <c r="K59" s="33"/>
      <c r="L59" s="33"/>
      <c r="M59" s="33"/>
      <c r="N59" s="140"/>
      <c r="O59" s="140"/>
      <c r="P59" s="140"/>
      <c r="Q59" s="280" t="s">
        <v>457</v>
      </c>
      <c r="R59" s="203"/>
      <c r="S59" s="203"/>
      <c r="T59" s="203"/>
      <c r="U59" s="203"/>
      <c r="V59" s="203"/>
      <c r="W59" s="203"/>
      <c r="X59" s="203"/>
      <c r="Y59" s="203"/>
      <c r="Z59" s="203"/>
      <c r="AA59" s="203"/>
      <c r="AB59" s="203"/>
      <c r="AC59" s="203"/>
      <c r="AD59" s="203"/>
      <c r="AE59" s="203"/>
      <c r="AF59" s="203"/>
      <c r="AG59" s="203"/>
      <c r="AH59" s="203"/>
      <c r="AI59" s="203"/>
      <c r="AJ59" s="203"/>
      <c r="AK59" s="203"/>
      <c r="AL59" s="203"/>
      <c r="AM59" s="203"/>
      <c r="AN59" s="203"/>
      <c r="AO59" s="203"/>
      <c r="AP59" s="203"/>
      <c r="AQ59" s="203"/>
      <c r="AR59" s="203"/>
      <c r="AS59" s="203"/>
      <c r="AT59" s="203"/>
      <c r="AU59" s="203"/>
      <c r="AV59" s="203"/>
      <c r="AW59" s="203"/>
      <c r="AX59" s="203"/>
      <c r="AY59" s="203"/>
      <c r="AZ59" s="203"/>
      <c r="BA59" s="203"/>
      <c r="BB59" s="203"/>
      <c r="BC59" s="203"/>
      <c r="BD59" s="203"/>
      <c r="BE59" s="203"/>
      <c r="BF59" s="203"/>
      <c r="BG59" s="203"/>
      <c r="BH59" s="203"/>
      <c r="BI59" s="204"/>
      <c r="BJ59" s="203"/>
      <c r="BK59" s="203"/>
      <c r="BL59" s="203"/>
      <c r="BM59" s="203"/>
      <c r="BN59" s="203"/>
      <c r="BO59" s="204"/>
      <c r="BP59" s="203"/>
      <c r="BQ59" s="203"/>
      <c r="BR59" s="203"/>
      <c r="BS59" s="203"/>
      <c r="BT59" s="203"/>
      <c r="BU59" s="203"/>
      <c r="BV59" s="203"/>
      <c r="BW59" s="203"/>
      <c r="BX59" s="203"/>
      <c r="BY59" s="203"/>
      <c r="BZ59" s="203"/>
      <c r="CA59" s="203"/>
      <c r="CB59" s="203"/>
    </row>
    <row r="60" spans="1:80">
      <c r="A60" s="212" t="s">
        <v>340</v>
      </c>
      <c r="B60" s="4" t="s">
        <v>17</v>
      </c>
      <c r="C60" s="9" t="s">
        <v>371</v>
      </c>
      <c r="D60" s="9" t="s">
        <v>21</v>
      </c>
      <c r="E60" s="5" t="s">
        <v>29</v>
      </c>
      <c r="F60" s="5" t="s">
        <v>62</v>
      </c>
      <c r="G60" s="5" t="s">
        <v>40</v>
      </c>
      <c r="H60" s="5" t="s">
        <v>40</v>
      </c>
      <c r="I60" s="299" t="s">
        <v>439</v>
      </c>
      <c r="J60" s="33"/>
      <c r="K60" s="33"/>
      <c r="L60" s="33"/>
      <c r="M60" s="33"/>
      <c r="N60" s="140"/>
      <c r="O60" s="140"/>
      <c r="P60" s="140"/>
      <c r="Q60" s="280" t="s">
        <v>383</v>
      </c>
      <c r="R60" s="203"/>
      <c r="S60" s="203"/>
      <c r="T60" s="203"/>
      <c r="U60" s="203"/>
      <c r="V60" s="203"/>
      <c r="W60" s="203"/>
      <c r="X60" s="203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  <c r="AS60" s="203"/>
      <c r="AT60" s="203"/>
      <c r="AU60" s="203"/>
      <c r="AV60" s="203"/>
      <c r="AW60" s="203"/>
      <c r="AX60" s="203"/>
      <c r="AY60" s="203"/>
      <c r="AZ60" s="203"/>
      <c r="BA60" s="203"/>
      <c r="BB60" s="203"/>
      <c r="BC60" s="203"/>
      <c r="BD60" s="203"/>
      <c r="BE60" s="203"/>
      <c r="BF60" s="203"/>
      <c r="BG60" s="203"/>
      <c r="BH60" s="203"/>
      <c r="BI60" s="204"/>
      <c r="BJ60" s="203"/>
      <c r="BK60" s="203"/>
      <c r="BL60" s="203"/>
      <c r="BM60" s="203"/>
      <c r="BN60" s="203"/>
      <c r="BO60" s="204"/>
      <c r="BP60" s="203"/>
      <c r="BQ60" s="203"/>
      <c r="BR60" s="203"/>
      <c r="BS60" s="203"/>
      <c r="BT60" s="203"/>
      <c r="BU60" s="203"/>
      <c r="BV60" s="203"/>
      <c r="BW60" s="203"/>
      <c r="BX60" s="203"/>
      <c r="BY60" s="203"/>
      <c r="BZ60" s="203"/>
      <c r="CA60" s="203"/>
      <c r="CB60" s="203"/>
    </row>
    <row r="61" spans="1:80">
      <c r="A61" s="212" t="s">
        <v>340</v>
      </c>
      <c r="B61" s="4" t="s">
        <v>17</v>
      </c>
      <c r="C61" s="9" t="s">
        <v>371</v>
      </c>
      <c r="D61" s="9" t="s">
        <v>21</v>
      </c>
      <c r="E61" s="5" t="s">
        <v>29</v>
      </c>
      <c r="F61" s="5" t="s">
        <v>87</v>
      </c>
      <c r="G61" s="5" t="s">
        <v>40</v>
      </c>
      <c r="H61" s="5" t="s">
        <v>40</v>
      </c>
      <c r="I61" s="299" t="s">
        <v>439</v>
      </c>
      <c r="J61" s="33"/>
      <c r="K61" s="33"/>
      <c r="L61" s="33"/>
      <c r="M61" s="33"/>
      <c r="N61" s="140"/>
      <c r="O61" s="140"/>
      <c r="P61" s="140"/>
      <c r="Q61" s="280" t="s">
        <v>383</v>
      </c>
      <c r="R61" s="203"/>
      <c r="S61" s="203"/>
      <c r="T61" s="203"/>
      <c r="U61" s="203"/>
      <c r="V61" s="203"/>
      <c r="W61" s="203"/>
      <c r="X61" s="203"/>
      <c r="Y61" s="203"/>
      <c r="Z61" s="203"/>
      <c r="AA61" s="203"/>
      <c r="AB61" s="203"/>
      <c r="AC61" s="203"/>
      <c r="AD61" s="203"/>
      <c r="AE61" s="203"/>
      <c r="AF61" s="203"/>
      <c r="AG61" s="203"/>
      <c r="AH61" s="203"/>
      <c r="AI61" s="203"/>
      <c r="AJ61" s="203"/>
      <c r="AK61" s="203"/>
      <c r="AL61" s="203"/>
      <c r="AM61" s="203"/>
      <c r="AN61" s="203"/>
      <c r="AO61" s="203"/>
      <c r="AP61" s="203"/>
      <c r="AQ61" s="203"/>
      <c r="AR61" s="203"/>
      <c r="AS61" s="203"/>
      <c r="AT61" s="203"/>
      <c r="AU61" s="203"/>
      <c r="AV61" s="203"/>
      <c r="AW61" s="203"/>
      <c r="AX61" s="203"/>
      <c r="AY61" s="203"/>
      <c r="AZ61" s="203"/>
      <c r="BA61" s="203"/>
      <c r="BB61" s="203"/>
      <c r="BC61" s="203"/>
      <c r="BD61" s="203"/>
      <c r="BE61" s="203"/>
      <c r="BF61" s="203"/>
      <c r="BG61" s="203"/>
      <c r="BH61" s="203"/>
      <c r="BI61" s="204"/>
      <c r="BJ61" s="203"/>
      <c r="BK61" s="203"/>
      <c r="BL61" s="203"/>
      <c r="BM61" s="203"/>
      <c r="BN61" s="203"/>
      <c r="BO61" s="204"/>
      <c r="BP61" s="203"/>
      <c r="BQ61" s="203"/>
      <c r="BR61" s="203"/>
      <c r="BS61" s="203"/>
      <c r="BT61" s="203"/>
      <c r="BU61" s="203"/>
      <c r="BV61" s="203"/>
      <c r="BW61" s="203"/>
      <c r="BX61" s="203"/>
      <c r="BY61" s="203"/>
      <c r="BZ61" s="203"/>
      <c r="CA61" s="203"/>
      <c r="CB61" s="203"/>
    </row>
    <row r="62" spans="1:80">
      <c r="A62" s="212" t="s">
        <v>340</v>
      </c>
      <c r="B62" s="4" t="s">
        <v>17</v>
      </c>
      <c r="C62" s="9" t="s">
        <v>371</v>
      </c>
      <c r="D62" s="9" t="s">
        <v>21</v>
      </c>
      <c r="E62" s="5" t="s">
        <v>29</v>
      </c>
      <c r="F62" s="5" t="s">
        <v>88</v>
      </c>
      <c r="G62" s="5" t="s">
        <v>40</v>
      </c>
      <c r="H62" s="5" t="s">
        <v>40</v>
      </c>
      <c r="I62" s="299" t="s">
        <v>439</v>
      </c>
      <c r="J62" s="33"/>
      <c r="K62" s="33"/>
      <c r="L62" s="33"/>
      <c r="M62" s="33"/>
      <c r="N62" s="140"/>
      <c r="O62" s="140"/>
      <c r="P62" s="140"/>
      <c r="Q62" s="280" t="s">
        <v>383</v>
      </c>
      <c r="R62" s="203"/>
      <c r="S62" s="203"/>
      <c r="T62" s="203"/>
      <c r="U62" s="203"/>
      <c r="V62" s="203"/>
      <c r="W62" s="203"/>
      <c r="X62" s="203"/>
      <c r="Y62" s="203"/>
      <c r="Z62" s="203"/>
      <c r="AA62" s="203"/>
      <c r="AB62" s="203"/>
      <c r="AC62" s="203"/>
      <c r="AD62" s="203"/>
      <c r="AE62" s="203"/>
      <c r="AF62" s="203"/>
      <c r="AG62" s="203"/>
      <c r="AH62" s="203"/>
      <c r="AI62" s="203"/>
      <c r="AJ62" s="203"/>
      <c r="AK62" s="203"/>
      <c r="AL62" s="203"/>
      <c r="AM62" s="203"/>
      <c r="AN62" s="203"/>
      <c r="AO62" s="203"/>
      <c r="AP62" s="203"/>
      <c r="AQ62" s="203"/>
      <c r="AR62" s="203"/>
      <c r="AS62" s="203"/>
      <c r="AT62" s="203"/>
      <c r="AU62" s="203"/>
      <c r="AV62" s="203"/>
      <c r="AW62" s="203"/>
      <c r="AX62" s="203"/>
      <c r="AY62" s="203"/>
      <c r="AZ62" s="203"/>
      <c r="BA62" s="203"/>
      <c r="BB62" s="203"/>
      <c r="BC62" s="203"/>
      <c r="BD62" s="203"/>
      <c r="BE62" s="203"/>
      <c r="BF62" s="203"/>
      <c r="BG62" s="203"/>
      <c r="BH62" s="203"/>
      <c r="BI62" s="204"/>
      <c r="BJ62" s="203"/>
      <c r="BK62" s="203"/>
      <c r="BL62" s="203"/>
      <c r="BM62" s="203"/>
      <c r="BN62" s="203"/>
      <c r="BO62" s="204"/>
      <c r="BP62" s="203"/>
      <c r="BQ62" s="203"/>
      <c r="BR62" s="203"/>
      <c r="BS62" s="203"/>
      <c r="BT62" s="203"/>
      <c r="BU62" s="203"/>
      <c r="BV62" s="203"/>
      <c r="BW62" s="203"/>
      <c r="BX62" s="203"/>
      <c r="BY62" s="203"/>
      <c r="BZ62" s="203"/>
      <c r="CA62" s="203"/>
      <c r="CB62" s="203"/>
    </row>
    <row r="63" spans="1:80">
      <c r="A63" s="212" t="s">
        <v>340</v>
      </c>
      <c r="B63" s="4" t="s">
        <v>17</v>
      </c>
      <c r="C63" s="9" t="s">
        <v>371</v>
      </c>
      <c r="D63" s="9" t="s">
        <v>21</v>
      </c>
      <c r="E63" s="5" t="s">
        <v>29</v>
      </c>
      <c r="F63" s="5" t="s">
        <v>89</v>
      </c>
      <c r="G63" s="5" t="s">
        <v>40</v>
      </c>
      <c r="H63" s="5" t="s">
        <v>40</v>
      </c>
      <c r="I63" s="299" t="s">
        <v>439</v>
      </c>
      <c r="J63" s="33"/>
      <c r="K63" s="33"/>
      <c r="L63" s="33"/>
      <c r="M63" s="33"/>
      <c r="N63" s="140"/>
      <c r="O63" s="140"/>
      <c r="P63" s="140"/>
      <c r="Q63" s="280" t="s">
        <v>383</v>
      </c>
      <c r="R63" s="203"/>
      <c r="S63" s="203"/>
      <c r="T63" s="203"/>
      <c r="U63" s="203"/>
      <c r="V63" s="203"/>
      <c r="W63" s="203"/>
      <c r="X63" s="203"/>
      <c r="Y63" s="203"/>
      <c r="Z63" s="203"/>
      <c r="AA63" s="203"/>
      <c r="AB63" s="203"/>
      <c r="AC63" s="203"/>
      <c r="AD63" s="203"/>
      <c r="AE63" s="203"/>
      <c r="AF63" s="203"/>
      <c r="AG63" s="203"/>
      <c r="AH63" s="203"/>
      <c r="AI63" s="203"/>
      <c r="AJ63" s="203"/>
      <c r="AK63" s="203"/>
      <c r="AL63" s="203"/>
      <c r="AM63" s="203"/>
      <c r="AN63" s="203"/>
      <c r="AO63" s="203"/>
      <c r="AP63" s="203"/>
      <c r="AQ63" s="203"/>
      <c r="AR63" s="203"/>
      <c r="AS63" s="203"/>
      <c r="AT63" s="203"/>
      <c r="AU63" s="203"/>
      <c r="AV63" s="203"/>
      <c r="AW63" s="203"/>
      <c r="AX63" s="203"/>
      <c r="AY63" s="203"/>
      <c r="AZ63" s="203"/>
      <c r="BA63" s="203"/>
      <c r="BB63" s="203"/>
      <c r="BC63" s="203"/>
      <c r="BD63" s="203"/>
      <c r="BE63" s="203"/>
      <c r="BF63" s="203"/>
      <c r="BG63" s="203"/>
      <c r="BH63" s="203"/>
      <c r="BI63" s="204"/>
      <c r="BJ63" s="203"/>
      <c r="BK63" s="203"/>
      <c r="BL63" s="203"/>
      <c r="BM63" s="203"/>
      <c r="BN63" s="203"/>
      <c r="BO63" s="204"/>
      <c r="BP63" s="203"/>
      <c r="BQ63" s="203"/>
      <c r="BR63" s="203"/>
      <c r="BS63" s="203"/>
      <c r="BT63" s="203"/>
      <c r="BU63" s="203"/>
      <c r="BV63" s="203"/>
      <c r="BW63" s="203"/>
      <c r="BX63" s="203"/>
      <c r="BY63" s="203"/>
      <c r="BZ63" s="203"/>
      <c r="CA63" s="203"/>
      <c r="CB63" s="203"/>
    </row>
    <row r="64" spans="1:80">
      <c r="A64" s="212" t="s">
        <v>340</v>
      </c>
      <c r="B64" s="4" t="s">
        <v>17</v>
      </c>
      <c r="C64" s="9" t="s">
        <v>251</v>
      </c>
      <c r="D64" s="9" t="s">
        <v>21</v>
      </c>
      <c r="E64" s="5" t="s">
        <v>29</v>
      </c>
      <c r="F64" s="5" t="s">
        <v>90</v>
      </c>
      <c r="G64" s="297" t="s">
        <v>268</v>
      </c>
      <c r="H64" s="5" t="s">
        <v>40</v>
      </c>
      <c r="I64" s="299" t="s">
        <v>438</v>
      </c>
      <c r="J64" s="33"/>
      <c r="K64" s="33"/>
      <c r="L64" s="33"/>
      <c r="M64" s="33"/>
      <c r="N64" s="140"/>
      <c r="O64" s="140"/>
      <c r="P64" s="140"/>
      <c r="Q64" s="280" t="s">
        <v>457</v>
      </c>
      <c r="R64" s="203"/>
      <c r="S64" s="203"/>
      <c r="T64" s="203"/>
      <c r="U64" s="203"/>
      <c r="V64" s="203"/>
      <c r="W64" s="203"/>
      <c r="X64" s="203"/>
      <c r="Y64" s="203"/>
      <c r="Z64" s="203"/>
      <c r="AA64" s="203"/>
      <c r="AB64" s="203"/>
      <c r="AC64" s="203"/>
      <c r="AD64" s="203"/>
      <c r="AE64" s="203"/>
      <c r="AF64" s="203"/>
      <c r="AG64" s="203"/>
      <c r="AH64" s="203"/>
      <c r="AI64" s="203"/>
      <c r="AJ64" s="203"/>
      <c r="AK64" s="203"/>
      <c r="AL64" s="203"/>
      <c r="AM64" s="203"/>
      <c r="AN64" s="203"/>
      <c r="AO64" s="203"/>
      <c r="AP64" s="203"/>
      <c r="AQ64" s="203"/>
      <c r="AR64" s="203"/>
      <c r="AS64" s="203"/>
      <c r="AT64" s="203"/>
      <c r="AU64" s="203"/>
      <c r="AV64" s="203"/>
      <c r="AW64" s="203"/>
      <c r="AX64" s="203"/>
      <c r="AY64" s="203"/>
      <c r="AZ64" s="203"/>
      <c r="BA64" s="203"/>
      <c r="BB64" s="203"/>
      <c r="BC64" s="203"/>
      <c r="BD64" s="203"/>
      <c r="BE64" s="203"/>
      <c r="BF64" s="203"/>
      <c r="BG64" s="203"/>
      <c r="BH64" s="203"/>
      <c r="BI64" s="204"/>
      <c r="BJ64" s="203"/>
      <c r="BK64" s="203"/>
      <c r="BL64" s="203"/>
      <c r="BM64" s="203"/>
      <c r="BN64" s="203"/>
      <c r="BO64" s="204"/>
      <c r="BP64" s="203"/>
      <c r="BQ64" s="203"/>
      <c r="BR64" s="203"/>
      <c r="BS64" s="203"/>
      <c r="BT64" s="203"/>
      <c r="BU64" s="203"/>
      <c r="BV64" s="203"/>
      <c r="BW64" s="203"/>
      <c r="BX64" s="203"/>
      <c r="BY64" s="203"/>
      <c r="BZ64" s="203"/>
      <c r="CA64" s="203"/>
      <c r="CB64" s="203"/>
    </row>
    <row r="65" spans="1:80">
      <c r="A65" s="212" t="s">
        <v>340</v>
      </c>
      <c r="B65" s="4" t="s">
        <v>17</v>
      </c>
      <c r="C65" s="9" t="s">
        <v>251</v>
      </c>
      <c r="D65" s="9" t="s">
        <v>21</v>
      </c>
      <c r="E65" s="5" t="s">
        <v>29</v>
      </c>
      <c r="F65" s="5" t="s">
        <v>91</v>
      </c>
      <c r="G65" s="5" t="s">
        <v>40</v>
      </c>
      <c r="H65" s="5" t="s">
        <v>40</v>
      </c>
      <c r="I65" s="299" t="s">
        <v>439</v>
      </c>
      <c r="J65" s="33"/>
      <c r="K65" s="33"/>
      <c r="L65" s="33"/>
      <c r="M65" s="33"/>
      <c r="N65" s="140"/>
      <c r="O65" s="140"/>
      <c r="P65" s="140"/>
      <c r="Q65" s="280"/>
      <c r="R65" s="203"/>
      <c r="S65" s="203"/>
      <c r="T65" s="203"/>
      <c r="U65" s="203"/>
      <c r="V65" s="203"/>
      <c r="W65" s="203"/>
      <c r="X65" s="203"/>
      <c r="Y65" s="203"/>
      <c r="Z65" s="203"/>
      <c r="AA65" s="203"/>
      <c r="AB65" s="203"/>
      <c r="AC65" s="203"/>
      <c r="AD65" s="203"/>
      <c r="AE65" s="203"/>
      <c r="AF65" s="203"/>
      <c r="AG65" s="203"/>
      <c r="AH65" s="203"/>
      <c r="AI65" s="203"/>
      <c r="AJ65" s="203"/>
      <c r="AK65" s="203"/>
      <c r="AL65" s="203"/>
      <c r="AM65" s="203"/>
      <c r="AN65" s="203"/>
      <c r="AO65" s="203"/>
      <c r="AP65" s="203"/>
      <c r="AQ65" s="203"/>
      <c r="AR65" s="203"/>
      <c r="AS65" s="203"/>
      <c r="AT65" s="203"/>
      <c r="AU65" s="203"/>
      <c r="AV65" s="203"/>
      <c r="AW65" s="203"/>
      <c r="AX65" s="203"/>
      <c r="AY65" s="203"/>
      <c r="AZ65" s="203"/>
      <c r="BA65" s="203"/>
      <c r="BB65" s="203"/>
      <c r="BC65" s="203"/>
      <c r="BD65" s="203"/>
      <c r="BE65" s="203"/>
      <c r="BF65" s="203"/>
      <c r="BG65" s="203"/>
      <c r="BH65" s="203"/>
      <c r="BI65" s="204"/>
      <c r="BJ65" s="203"/>
      <c r="BK65" s="203"/>
      <c r="BL65" s="203"/>
      <c r="BM65" s="203"/>
      <c r="BN65" s="203"/>
      <c r="BO65" s="204"/>
      <c r="BP65" s="203"/>
      <c r="BQ65" s="203"/>
      <c r="BR65" s="203"/>
      <c r="BS65" s="203"/>
      <c r="BT65" s="203"/>
      <c r="BU65" s="203"/>
      <c r="BV65" s="203"/>
      <c r="BW65" s="203"/>
      <c r="BX65" s="203"/>
      <c r="BY65" s="203"/>
      <c r="BZ65" s="203"/>
      <c r="CA65" s="203"/>
      <c r="CB65" s="203"/>
    </row>
    <row r="66" spans="1:80">
      <c r="A66" s="212" t="s">
        <v>340</v>
      </c>
      <c r="B66" s="4" t="s">
        <v>17</v>
      </c>
      <c r="C66" s="9" t="s">
        <v>251</v>
      </c>
      <c r="D66" s="9" t="s">
        <v>21</v>
      </c>
      <c r="E66" s="5" t="s">
        <v>29</v>
      </c>
      <c r="F66" s="5" t="s">
        <v>92</v>
      </c>
      <c r="G66" s="297" t="s">
        <v>268</v>
      </c>
      <c r="H66" s="5" t="s">
        <v>40</v>
      </c>
      <c r="I66" s="299" t="s">
        <v>438</v>
      </c>
      <c r="J66" s="33"/>
      <c r="K66" s="33"/>
      <c r="L66" s="33"/>
      <c r="M66" s="33"/>
      <c r="N66" s="140"/>
      <c r="O66" s="140"/>
      <c r="P66" s="140"/>
      <c r="Q66" s="280" t="s">
        <v>457</v>
      </c>
      <c r="R66" s="203"/>
      <c r="S66" s="203"/>
      <c r="T66" s="203"/>
      <c r="U66" s="203"/>
      <c r="V66" s="203"/>
      <c r="W66" s="203"/>
      <c r="X66" s="203"/>
      <c r="Y66" s="203"/>
      <c r="Z66" s="203"/>
      <c r="AA66" s="203"/>
      <c r="AB66" s="203"/>
      <c r="AC66" s="203"/>
      <c r="AD66" s="203"/>
      <c r="AE66" s="203"/>
      <c r="AF66" s="203"/>
      <c r="AG66" s="203"/>
      <c r="AH66" s="203"/>
      <c r="AI66" s="203"/>
      <c r="AJ66" s="203"/>
      <c r="AK66" s="203"/>
      <c r="AL66" s="203"/>
      <c r="AM66" s="203"/>
      <c r="AN66" s="203"/>
      <c r="AO66" s="203"/>
      <c r="AP66" s="203"/>
      <c r="AQ66" s="203"/>
      <c r="AR66" s="203"/>
      <c r="AS66" s="203"/>
      <c r="AT66" s="203"/>
      <c r="AU66" s="203"/>
      <c r="AV66" s="203"/>
      <c r="AW66" s="203"/>
      <c r="AX66" s="203"/>
      <c r="AY66" s="203"/>
      <c r="AZ66" s="203"/>
      <c r="BA66" s="203"/>
      <c r="BB66" s="203"/>
      <c r="BC66" s="203"/>
      <c r="BD66" s="203"/>
      <c r="BE66" s="203"/>
      <c r="BF66" s="203"/>
      <c r="BG66" s="203"/>
      <c r="BH66" s="203"/>
      <c r="BI66" s="204"/>
      <c r="BJ66" s="203"/>
      <c r="BK66" s="203"/>
      <c r="BL66" s="203"/>
      <c r="BM66" s="203"/>
      <c r="BN66" s="203"/>
      <c r="BO66" s="204"/>
      <c r="BP66" s="203"/>
      <c r="BQ66" s="203"/>
      <c r="BR66" s="203"/>
      <c r="BS66" s="203"/>
      <c r="BT66" s="203"/>
      <c r="BU66" s="203"/>
      <c r="BV66" s="203"/>
      <c r="BW66" s="203"/>
      <c r="BX66" s="203"/>
      <c r="BY66" s="203"/>
      <c r="BZ66" s="203"/>
      <c r="CA66" s="203"/>
      <c r="CB66" s="203"/>
    </row>
    <row r="67" spans="1:80">
      <c r="A67" s="212" t="s">
        <v>340</v>
      </c>
      <c r="B67" s="4" t="s">
        <v>17</v>
      </c>
      <c r="C67" s="9" t="s">
        <v>251</v>
      </c>
      <c r="D67" s="9" t="s">
        <v>21</v>
      </c>
      <c r="E67" s="5" t="s">
        <v>29</v>
      </c>
      <c r="F67" s="5" t="s">
        <v>93</v>
      </c>
      <c r="G67" s="297" t="s">
        <v>268</v>
      </c>
      <c r="H67" s="5" t="s">
        <v>40</v>
      </c>
      <c r="I67" s="299" t="s">
        <v>438</v>
      </c>
      <c r="J67" s="33"/>
      <c r="K67" s="33"/>
      <c r="L67" s="33"/>
      <c r="M67" s="33"/>
      <c r="N67" s="140"/>
      <c r="O67" s="140"/>
      <c r="P67" s="140"/>
      <c r="Q67" s="280" t="s">
        <v>457</v>
      </c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  <c r="AS67" s="203"/>
      <c r="AT67" s="203"/>
      <c r="AU67" s="203"/>
      <c r="AV67" s="203"/>
      <c r="AW67" s="203"/>
      <c r="AX67" s="203"/>
      <c r="AY67" s="203"/>
      <c r="AZ67" s="203"/>
      <c r="BA67" s="203"/>
      <c r="BB67" s="203"/>
      <c r="BC67" s="203"/>
      <c r="BD67" s="203"/>
      <c r="BE67" s="203"/>
      <c r="BF67" s="203"/>
      <c r="BG67" s="203"/>
      <c r="BH67" s="203"/>
      <c r="BI67" s="204"/>
      <c r="BJ67" s="203"/>
      <c r="BK67" s="203"/>
      <c r="BL67" s="203"/>
      <c r="BM67" s="203"/>
      <c r="BN67" s="203"/>
      <c r="BO67" s="204"/>
      <c r="BP67" s="203"/>
      <c r="BQ67" s="203"/>
      <c r="BR67" s="203"/>
      <c r="BS67" s="203"/>
      <c r="BT67" s="203"/>
      <c r="BU67" s="203"/>
      <c r="BV67" s="203"/>
      <c r="BW67" s="203"/>
      <c r="BX67" s="203"/>
      <c r="BY67" s="203"/>
      <c r="BZ67" s="203"/>
      <c r="CA67" s="203"/>
      <c r="CB67" s="203"/>
    </row>
    <row r="68" spans="1:80">
      <c r="A68" s="212" t="s">
        <v>340</v>
      </c>
      <c r="B68" s="4" t="s">
        <v>17</v>
      </c>
      <c r="C68" s="9" t="s">
        <v>251</v>
      </c>
      <c r="D68" s="9" t="s">
        <v>21</v>
      </c>
      <c r="E68" s="5" t="s">
        <v>29</v>
      </c>
      <c r="F68" s="5" t="s">
        <v>94</v>
      </c>
      <c r="G68" s="5" t="s">
        <v>40</v>
      </c>
      <c r="H68" s="5" t="s">
        <v>40</v>
      </c>
      <c r="I68" s="299" t="s">
        <v>439</v>
      </c>
      <c r="J68" s="33"/>
      <c r="K68" s="33"/>
      <c r="L68" s="33"/>
      <c r="M68" s="33"/>
      <c r="N68" s="140"/>
      <c r="O68" s="140"/>
      <c r="P68" s="140"/>
      <c r="Q68" s="280"/>
      <c r="R68" s="203"/>
      <c r="S68" s="203"/>
      <c r="T68" s="203"/>
      <c r="U68" s="203"/>
      <c r="V68" s="203"/>
      <c r="W68" s="203"/>
      <c r="X68" s="203"/>
      <c r="Y68" s="203"/>
      <c r="Z68" s="203"/>
      <c r="AA68" s="203"/>
      <c r="AB68" s="203"/>
      <c r="AC68" s="203"/>
      <c r="AD68" s="203"/>
      <c r="AE68" s="203"/>
      <c r="AF68" s="203"/>
      <c r="AG68" s="203"/>
      <c r="AH68" s="203"/>
      <c r="AI68" s="203"/>
      <c r="AJ68" s="203"/>
      <c r="AK68" s="203"/>
      <c r="AL68" s="203"/>
      <c r="AM68" s="203"/>
      <c r="AN68" s="203"/>
      <c r="AO68" s="203"/>
      <c r="AP68" s="203"/>
      <c r="AQ68" s="203"/>
      <c r="AR68" s="203"/>
      <c r="AS68" s="203"/>
      <c r="AT68" s="203"/>
      <c r="AU68" s="203"/>
      <c r="AV68" s="203"/>
      <c r="AW68" s="203"/>
      <c r="AX68" s="203"/>
      <c r="AY68" s="203"/>
      <c r="AZ68" s="203"/>
      <c r="BA68" s="203"/>
      <c r="BB68" s="203"/>
      <c r="BC68" s="203"/>
      <c r="BD68" s="203"/>
      <c r="BE68" s="203"/>
      <c r="BF68" s="203"/>
      <c r="BG68" s="203"/>
      <c r="BH68" s="203"/>
      <c r="BI68" s="204"/>
      <c r="BJ68" s="203"/>
      <c r="BK68" s="203"/>
      <c r="BL68" s="203"/>
      <c r="BM68" s="203"/>
      <c r="BN68" s="203"/>
      <c r="BO68" s="204"/>
      <c r="BP68" s="203"/>
      <c r="BQ68" s="203"/>
      <c r="BR68" s="203"/>
      <c r="BS68" s="203"/>
      <c r="BT68" s="203"/>
      <c r="BU68" s="203"/>
      <c r="BV68" s="203"/>
      <c r="BW68" s="203"/>
      <c r="BX68" s="203"/>
      <c r="BY68" s="203"/>
      <c r="BZ68" s="203"/>
      <c r="CA68" s="203"/>
      <c r="CB68" s="203"/>
    </row>
    <row r="69" spans="1:80">
      <c r="A69" s="212" t="s">
        <v>340</v>
      </c>
      <c r="B69" s="4" t="s">
        <v>17</v>
      </c>
      <c r="C69" s="9" t="s">
        <v>251</v>
      </c>
      <c r="D69" s="9" t="s">
        <v>21</v>
      </c>
      <c r="E69" s="5" t="s">
        <v>29</v>
      </c>
      <c r="F69" s="5" t="s">
        <v>95</v>
      </c>
      <c r="G69" s="297" t="s">
        <v>268</v>
      </c>
      <c r="H69" s="5" t="s">
        <v>40</v>
      </c>
      <c r="I69" s="299" t="s">
        <v>438</v>
      </c>
      <c r="J69" s="33"/>
      <c r="K69" s="33"/>
      <c r="L69" s="33"/>
      <c r="M69" s="33"/>
      <c r="N69" s="140"/>
      <c r="O69" s="140"/>
      <c r="P69" s="140"/>
      <c r="Q69" s="280" t="s">
        <v>457</v>
      </c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  <c r="AS69" s="203"/>
      <c r="AT69" s="203"/>
      <c r="AU69" s="203"/>
      <c r="AV69" s="203"/>
      <c r="AW69" s="203"/>
      <c r="AX69" s="203"/>
      <c r="AY69" s="203"/>
      <c r="AZ69" s="203"/>
      <c r="BA69" s="203"/>
      <c r="BB69" s="203"/>
      <c r="BC69" s="203"/>
      <c r="BD69" s="203"/>
      <c r="BE69" s="203"/>
      <c r="BF69" s="203"/>
      <c r="BG69" s="203"/>
      <c r="BH69" s="203"/>
      <c r="BI69" s="204"/>
      <c r="BJ69" s="203"/>
      <c r="BK69" s="203"/>
      <c r="BL69" s="203"/>
      <c r="BM69" s="203"/>
      <c r="BN69" s="203"/>
      <c r="BO69" s="204"/>
      <c r="BP69" s="203"/>
      <c r="BQ69" s="203"/>
      <c r="BR69" s="203"/>
      <c r="BS69" s="203"/>
      <c r="BT69" s="203"/>
      <c r="BU69" s="203"/>
      <c r="BV69" s="203"/>
      <c r="BW69" s="203"/>
      <c r="BX69" s="203"/>
      <c r="BY69" s="203"/>
      <c r="BZ69" s="203"/>
      <c r="CA69" s="203"/>
      <c r="CB69" s="203"/>
    </row>
    <row r="70" spans="1:80">
      <c r="A70" s="212" t="s">
        <v>340</v>
      </c>
      <c r="B70" s="4" t="s">
        <v>17</v>
      </c>
      <c r="C70" s="9" t="s">
        <v>251</v>
      </c>
      <c r="D70" s="9" t="s">
        <v>21</v>
      </c>
      <c r="E70" s="5" t="s">
        <v>29</v>
      </c>
      <c r="F70" s="5" t="s">
        <v>96</v>
      </c>
      <c r="G70" s="297" t="s">
        <v>268</v>
      </c>
      <c r="H70" s="5" t="s">
        <v>40</v>
      </c>
      <c r="I70" s="299" t="s">
        <v>438</v>
      </c>
      <c r="J70" s="33"/>
      <c r="K70" s="33"/>
      <c r="L70" s="33"/>
      <c r="M70" s="33"/>
      <c r="N70" s="140"/>
      <c r="O70" s="140"/>
      <c r="P70" s="140"/>
      <c r="Q70" s="280" t="s">
        <v>457</v>
      </c>
      <c r="R70" s="203"/>
      <c r="S70" s="203"/>
      <c r="T70" s="203"/>
      <c r="U70" s="203"/>
      <c r="V70" s="203"/>
      <c r="W70" s="203"/>
      <c r="X70" s="203"/>
      <c r="Y70" s="203"/>
      <c r="Z70" s="203"/>
      <c r="AA70" s="203"/>
      <c r="AB70" s="203"/>
      <c r="AC70" s="203"/>
      <c r="AD70" s="203"/>
      <c r="AE70" s="203"/>
      <c r="AF70" s="203"/>
      <c r="AG70" s="203"/>
      <c r="AH70" s="203"/>
      <c r="AI70" s="203"/>
      <c r="AJ70" s="203"/>
      <c r="AK70" s="203"/>
      <c r="AL70" s="203"/>
      <c r="AM70" s="203"/>
      <c r="AN70" s="203"/>
      <c r="AO70" s="203"/>
      <c r="AP70" s="203"/>
      <c r="AQ70" s="203"/>
      <c r="AR70" s="203"/>
      <c r="AS70" s="203"/>
      <c r="AT70" s="203"/>
      <c r="AU70" s="203"/>
      <c r="AV70" s="203"/>
      <c r="AW70" s="203"/>
      <c r="AX70" s="203"/>
      <c r="AY70" s="203"/>
      <c r="AZ70" s="203"/>
      <c r="BA70" s="203"/>
      <c r="BB70" s="203"/>
      <c r="BC70" s="203"/>
      <c r="BD70" s="203"/>
      <c r="BE70" s="203"/>
      <c r="BF70" s="203"/>
      <c r="BG70" s="203"/>
      <c r="BH70" s="203"/>
      <c r="BI70" s="204"/>
      <c r="BJ70" s="203"/>
      <c r="BK70" s="203"/>
      <c r="BL70" s="203"/>
      <c r="BM70" s="203"/>
      <c r="BN70" s="203"/>
      <c r="BO70" s="204"/>
      <c r="BP70" s="203"/>
      <c r="BQ70" s="203"/>
      <c r="BR70" s="203"/>
      <c r="BS70" s="203"/>
      <c r="BT70" s="203"/>
      <c r="BU70" s="203"/>
      <c r="BV70" s="203"/>
      <c r="BW70" s="203"/>
      <c r="BX70" s="203"/>
      <c r="BY70" s="203"/>
      <c r="BZ70" s="203"/>
      <c r="CA70" s="203"/>
      <c r="CB70" s="203"/>
    </row>
    <row r="71" spans="1:80">
      <c r="A71" s="212" t="s">
        <v>340</v>
      </c>
      <c r="B71" s="4" t="s">
        <v>17</v>
      </c>
      <c r="C71" s="9" t="s">
        <v>251</v>
      </c>
      <c r="D71" s="9" t="s">
        <v>21</v>
      </c>
      <c r="E71" s="5" t="s">
        <v>29</v>
      </c>
      <c r="F71" s="5" t="s">
        <v>97</v>
      </c>
      <c r="G71" s="297" t="s">
        <v>40</v>
      </c>
      <c r="H71" s="5" t="s">
        <v>341</v>
      </c>
      <c r="I71" s="299" t="s">
        <v>438</v>
      </c>
      <c r="J71" s="33"/>
      <c r="K71" s="33"/>
      <c r="L71" s="33"/>
      <c r="M71" s="33"/>
      <c r="N71" s="140"/>
      <c r="O71" s="140"/>
      <c r="P71" s="140"/>
      <c r="Q71" s="280" t="s">
        <v>458</v>
      </c>
      <c r="R71" s="203"/>
      <c r="S71" s="203"/>
      <c r="T71" s="203"/>
      <c r="U71" s="203"/>
      <c r="V71" s="203"/>
      <c r="W71" s="203"/>
      <c r="X71" s="203"/>
      <c r="Y71" s="203"/>
      <c r="Z71" s="203"/>
      <c r="AA71" s="203"/>
      <c r="AB71" s="203"/>
      <c r="AC71" s="203"/>
      <c r="AD71" s="203"/>
      <c r="AE71" s="203"/>
      <c r="AF71" s="203"/>
      <c r="AG71" s="203"/>
      <c r="AH71" s="203"/>
      <c r="AI71" s="203"/>
      <c r="AJ71" s="203"/>
      <c r="AK71" s="203"/>
      <c r="AL71" s="203"/>
      <c r="AM71" s="203"/>
      <c r="AN71" s="203"/>
      <c r="AO71" s="203"/>
      <c r="AP71" s="203"/>
      <c r="AQ71" s="203"/>
      <c r="AR71" s="203"/>
      <c r="AS71" s="203"/>
      <c r="AT71" s="203"/>
      <c r="AU71" s="203"/>
      <c r="AV71" s="203"/>
      <c r="AW71" s="203"/>
      <c r="AX71" s="203"/>
      <c r="AY71" s="203"/>
      <c r="AZ71" s="203"/>
      <c r="BA71" s="203"/>
      <c r="BB71" s="203"/>
      <c r="BC71" s="203"/>
      <c r="BD71" s="203"/>
      <c r="BE71" s="203"/>
      <c r="BF71" s="203"/>
      <c r="BG71" s="203"/>
      <c r="BH71" s="203"/>
      <c r="BI71" s="204"/>
      <c r="BJ71" s="203"/>
      <c r="BK71" s="203"/>
      <c r="BL71" s="203"/>
      <c r="BM71" s="203"/>
      <c r="BN71" s="203"/>
      <c r="BO71" s="204"/>
      <c r="BP71" s="203"/>
      <c r="BQ71" s="203"/>
      <c r="BR71" s="203"/>
      <c r="BS71" s="203"/>
      <c r="BT71" s="203"/>
      <c r="BU71" s="203"/>
      <c r="BV71" s="203"/>
      <c r="BW71" s="203"/>
      <c r="BX71" s="203"/>
      <c r="BY71" s="203"/>
      <c r="BZ71" s="203"/>
      <c r="CA71" s="203"/>
      <c r="CB71" s="203"/>
    </row>
    <row r="72" spans="1:80">
      <c r="A72" s="212" t="s">
        <v>340</v>
      </c>
      <c r="B72" s="4" t="s">
        <v>17</v>
      </c>
      <c r="C72" s="9" t="s">
        <v>251</v>
      </c>
      <c r="D72" s="9" t="s">
        <v>21</v>
      </c>
      <c r="E72" s="5" t="s">
        <v>29</v>
      </c>
      <c r="F72" s="5" t="s">
        <v>98</v>
      </c>
      <c r="G72" s="297" t="s">
        <v>40</v>
      </c>
      <c r="H72" s="5" t="s">
        <v>341</v>
      </c>
      <c r="I72" s="299" t="s">
        <v>438</v>
      </c>
      <c r="J72" s="33"/>
      <c r="K72" s="33"/>
      <c r="L72" s="33"/>
      <c r="M72" s="33"/>
      <c r="N72" s="140"/>
      <c r="O72" s="140"/>
      <c r="P72" s="140"/>
      <c r="Q72" s="280" t="s">
        <v>458</v>
      </c>
      <c r="R72" s="203"/>
      <c r="S72" s="203"/>
      <c r="T72" s="203"/>
      <c r="U72" s="203"/>
      <c r="V72" s="203"/>
      <c r="W72" s="203"/>
      <c r="X72" s="203"/>
      <c r="Y72" s="203"/>
      <c r="Z72" s="203"/>
      <c r="AA72" s="203"/>
      <c r="AB72" s="203"/>
      <c r="AC72" s="203"/>
      <c r="AD72" s="203"/>
      <c r="AE72" s="203"/>
      <c r="AF72" s="203"/>
      <c r="AG72" s="203"/>
      <c r="AH72" s="203"/>
      <c r="AI72" s="203"/>
      <c r="AJ72" s="203"/>
      <c r="AK72" s="203"/>
      <c r="AL72" s="203"/>
      <c r="AM72" s="203"/>
      <c r="AN72" s="203"/>
      <c r="AO72" s="203"/>
      <c r="AP72" s="203"/>
      <c r="AQ72" s="203"/>
      <c r="AR72" s="203"/>
      <c r="AS72" s="203"/>
      <c r="AT72" s="203"/>
      <c r="AU72" s="203"/>
      <c r="AV72" s="203"/>
      <c r="AW72" s="203"/>
      <c r="AX72" s="203"/>
      <c r="AY72" s="203"/>
      <c r="AZ72" s="203"/>
      <c r="BA72" s="203"/>
      <c r="BB72" s="203"/>
      <c r="BC72" s="203"/>
      <c r="BD72" s="203"/>
      <c r="BE72" s="203"/>
      <c r="BF72" s="203"/>
      <c r="BG72" s="203"/>
      <c r="BH72" s="203"/>
      <c r="BI72" s="204"/>
      <c r="BJ72" s="203"/>
      <c r="BK72" s="203"/>
      <c r="BL72" s="203"/>
      <c r="BM72" s="203"/>
      <c r="BN72" s="203"/>
      <c r="BO72" s="204"/>
      <c r="BP72" s="203"/>
      <c r="BQ72" s="203"/>
      <c r="BR72" s="203"/>
      <c r="BS72" s="203"/>
      <c r="BT72" s="203"/>
      <c r="BU72" s="203"/>
      <c r="BV72" s="203"/>
      <c r="BW72" s="203"/>
      <c r="BX72" s="203"/>
      <c r="BY72" s="203"/>
      <c r="BZ72" s="203"/>
      <c r="CA72" s="203"/>
      <c r="CB72" s="203"/>
    </row>
    <row r="73" spans="1:80">
      <c r="A73" s="212" t="s">
        <v>340</v>
      </c>
      <c r="B73" s="4" t="s">
        <v>17</v>
      </c>
      <c r="C73" s="9" t="s">
        <v>251</v>
      </c>
      <c r="D73" s="9" t="s">
        <v>21</v>
      </c>
      <c r="E73" s="5" t="s">
        <v>29</v>
      </c>
      <c r="F73" s="5" t="s">
        <v>99</v>
      </c>
      <c r="G73" s="297" t="s">
        <v>40</v>
      </c>
      <c r="H73" s="5" t="s">
        <v>341</v>
      </c>
      <c r="I73" s="299" t="s">
        <v>438</v>
      </c>
      <c r="J73" s="33"/>
      <c r="K73" s="33"/>
      <c r="L73" s="33"/>
      <c r="M73" s="33"/>
      <c r="N73" s="140"/>
      <c r="O73" s="140"/>
      <c r="P73" s="140"/>
      <c r="Q73" s="280" t="s">
        <v>458</v>
      </c>
      <c r="R73" s="203"/>
      <c r="S73" s="203"/>
      <c r="T73" s="203"/>
      <c r="U73" s="203"/>
      <c r="V73" s="203"/>
      <c r="W73" s="203"/>
      <c r="X73" s="203"/>
      <c r="Y73" s="203"/>
      <c r="Z73" s="203"/>
      <c r="AA73" s="203"/>
      <c r="AB73" s="203"/>
      <c r="AC73" s="203"/>
      <c r="AD73" s="203"/>
      <c r="AE73" s="203"/>
      <c r="AF73" s="203"/>
      <c r="AG73" s="203"/>
      <c r="AH73" s="203"/>
      <c r="AI73" s="203"/>
      <c r="AJ73" s="203"/>
      <c r="AK73" s="203"/>
      <c r="AL73" s="203"/>
      <c r="AM73" s="203"/>
      <c r="AN73" s="203"/>
      <c r="AO73" s="203"/>
      <c r="AP73" s="203"/>
      <c r="AQ73" s="203"/>
      <c r="AR73" s="203"/>
      <c r="AS73" s="203"/>
      <c r="AT73" s="203"/>
      <c r="AU73" s="203"/>
      <c r="AV73" s="203"/>
      <c r="AW73" s="203"/>
      <c r="AX73" s="203"/>
      <c r="AY73" s="203"/>
      <c r="AZ73" s="203"/>
      <c r="BA73" s="203"/>
      <c r="BB73" s="203"/>
      <c r="BC73" s="203"/>
      <c r="BD73" s="203"/>
      <c r="BE73" s="203"/>
      <c r="BF73" s="203"/>
      <c r="BG73" s="203"/>
      <c r="BH73" s="203"/>
      <c r="BI73" s="204"/>
      <c r="BJ73" s="203"/>
      <c r="BK73" s="203"/>
      <c r="BL73" s="203"/>
      <c r="BM73" s="203"/>
      <c r="BN73" s="203"/>
      <c r="BO73" s="204"/>
      <c r="BP73" s="203"/>
      <c r="BQ73" s="203"/>
      <c r="BR73" s="203"/>
      <c r="BS73" s="203"/>
      <c r="BT73" s="203"/>
      <c r="BU73" s="203"/>
      <c r="BV73" s="203"/>
      <c r="BW73" s="203"/>
      <c r="BX73" s="203"/>
      <c r="BY73" s="203"/>
      <c r="BZ73" s="203"/>
      <c r="CA73" s="203"/>
      <c r="CB73" s="203"/>
    </row>
    <row r="74" spans="1:80">
      <c r="A74" s="212" t="s">
        <v>340</v>
      </c>
      <c r="B74" s="4" t="s">
        <v>17</v>
      </c>
      <c r="C74" s="9" t="s">
        <v>251</v>
      </c>
      <c r="D74" s="9" t="s">
        <v>21</v>
      </c>
      <c r="E74" s="5" t="s">
        <v>29</v>
      </c>
      <c r="F74" s="5" t="s">
        <v>100</v>
      </c>
      <c r="G74" s="297" t="s">
        <v>40</v>
      </c>
      <c r="H74" s="5" t="s">
        <v>341</v>
      </c>
      <c r="I74" s="299" t="s">
        <v>438</v>
      </c>
      <c r="J74" s="33"/>
      <c r="K74" s="33"/>
      <c r="L74" s="33"/>
      <c r="M74" s="33"/>
      <c r="N74" s="140"/>
      <c r="O74" s="140"/>
      <c r="P74" s="140"/>
      <c r="Q74" s="280" t="s">
        <v>458</v>
      </c>
      <c r="R74" s="203"/>
      <c r="S74" s="203"/>
      <c r="T74" s="203"/>
      <c r="U74" s="203"/>
      <c r="V74" s="203"/>
      <c r="W74" s="203"/>
      <c r="X74" s="203"/>
      <c r="Y74" s="203"/>
      <c r="Z74" s="203"/>
      <c r="AA74" s="203"/>
      <c r="AB74" s="203"/>
      <c r="AC74" s="203"/>
      <c r="AD74" s="203"/>
      <c r="AE74" s="203"/>
      <c r="AF74" s="203"/>
      <c r="AG74" s="203"/>
      <c r="AH74" s="203"/>
      <c r="AI74" s="203"/>
      <c r="AJ74" s="203"/>
      <c r="AK74" s="203"/>
      <c r="AL74" s="203"/>
      <c r="AM74" s="203"/>
      <c r="AN74" s="203"/>
      <c r="AO74" s="203"/>
      <c r="AP74" s="203"/>
      <c r="AQ74" s="203"/>
      <c r="AR74" s="203"/>
      <c r="AS74" s="203"/>
      <c r="AT74" s="203"/>
      <c r="AU74" s="203"/>
      <c r="AV74" s="203"/>
      <c r="AW74" s="203"/>
      <c r="AX74" s="203"/>
      <c r="AY74" s="203"/>
      <c r="AZ74" s="203"/>
      <c r="BA74" s="203"/>
      <c r="BB74" s="203"/>
      <c r="BC74" s="203"/>
      <c r="BD74" s="203"/>
      <c r="BE74" s="203"/>
      <c r="BF74" s="203"/>
      <c r="BG74" s="203"/>
      <c r="BH74" s="203"/>
      <c r="BI74" s="204"/>
      <c r="BJ74" s="203"/>
      <c r="BK74" s="203"/>
      <c r="BL74" s="203"/>
      <c r="BM74" s="203"/>
      <c r="BN74" s="203"/>
      <c r="BO74" s="204"/>
      <c r="BP74" s="203"/>
      <c r="BQ74" s="203"/>
      <c r="BR74" s="203"/>
      <c r="BS74" s="203"/>
      <c r="BT74" s="203"/>
      <c r="BU74" s="203"/>
      <c r="BV74" s="203"/>
      <c r="BW74" s="203"/>
      <c r="BX74" s="203"/>
      <c r="BY74" s="203"/>
      <c r="BZ74" s="203"/>
      <c r="CA74" s="203"/>
      <c r="CB74" s="203"/>
    </row>
    <row r="75" spans="1:80">
      <c r="A75" s="212" t="s">
        <v>340</v>
      </c>
      <c r="B75" s="4" t="s">
        <v>17</v>
      </c>
      <c r="C75" s="9" t="s">
        <v>251</v>
      </c>
      <c r="D75" s="9" t="s">
        <v>21</v>
      </c>
      <c r="E75" s="5" t="s">
        <v>29</v>
      </c>
      <c r="F75" s="5" t="s">
        <v>101</v>
      </c>
      <c r="G75" s="297" t="s">
        <v>40</v>
      </c>
      <c r="H75" s="5" t="s">
        <v>341</v>
      </c>
      <c r="I75" s="299" t="s">
        <v>438</v>
      </c>
      <c r="J75" s="33"/>
      <c r="K75" s="33"/>
      <c r="L75" s="33"/>
      <c r="M75" s="33"/>
      <c r="N75" s="140"/>
      <c r="O75" s="140"/>
      <c r="P75" s="140"/>
      <c r="Q75" s="280" t="s">
        <v>458</v>
      </c>
      <c r="R75" s="203"/>
      <c r="S75" s="203"/>
      <c r="T75" s="203"/>
      <c r="U75" s="203"/>
      <c r="V75" s="203"/>
      <c r="W75" s="203"/>
      <c r="X75" s="203"/>
      <c r="Y75" s="203"/>
      <c r="Z75" s="203"/>
      <c r="AA75" s="203"/>
      <c r="AB75" s="203"/>
      <c r="AC75" s="203"/>
      <c r="AD75" s="203"/>
      <c r="AE75" s="203"/>
      <c r="AF75" s="203"/>
      <c r="AG75" s="203"/>
      <c r="AH75" s="203"/>
      <c r="AI75" s="203"/>
      <c r="AJ75" s="203"/>
      <c r="AK75" s="203"/>
      <c r="AL75" s="203"/>
      <c r="AM75" s="203"/>
      <c r="AN75" s="203"/>
      <c r="AO75" s="203"/>
      <c r="AP75" s="203"/>
      <c r="AQ75" s="203"/>
      <c r="AR75" s="203"/>
      <c r="AS75" s="203"/>
      <c r="AT75" s="203"/>
      <c r="AU75" s="203"/>
      <c r="AV75" s="203"/>
      <c r="AW75" s="203"/>
      <c r="AX75" s="203"/>
      <c r="AY75" s="203"/>
      <c r="AZ75" s="203"/>
      <c r="BA75" s="203"/>
      <c r="BB75" s="203"/>
      <c r="BC75" s="203"/>
      <c r="BD75" s="203"/>
      <c r="BE75" s="203"/>
      <c r="BF75" s="203"/>
      <c r="BG75" s="203"/>
      <c r="BH75" s="203"/>
      <c r="BI75" s="204"/>
      <c r="BJ75" s="203"/>
      <c r="BK75" s="203"/>
      <c r="BL75" s="203"/>
      <c r="BM75" s="203"/>
      <c r="BN75" s="203"/>
      <c r="BO75" s="204"/>
      <c r="BP75" s="203"/>
      <c r="BQ75" s="203"/>
      <c r="BR75" s="203"/>
      <c r="BS75" s="203"/>
      <c r="BT75" s="203"/>
      <c r="BU75" s="203"/>
      <c r="BV75" s="203"/>
      <c r="BW75" s="203"/>
      <c r="BX75" s="203"/>
      <c r="BY75" s="203"/>
      <c r="BZ75" s="203"/>
      <c r="CA75" s="203"/>
      <c r="CB75" s="203"/>
    </row>
    <row r="76" spans="1:80">
      <c r="A76" s="212" t="s">
        <v>340</v>
      </c>
      <c r="B76" s="4" t="s">
        <v>17</v>
      </c>
      <c r="C76" s="9" t="s">
        <v>251</v>
      </c>
      <c r="D76" s="9" t="s">
        <v>21</v>
      </c>
      <c r="E76" s="5" t="s">
        <v>29</v>
      </c>
      <c r="F76" s="5" t="s">
        <v>63</v>
      </c>
      <c r="G76" s="297" t="s">
        <v>40</v>
      </c>
      <c r="H76" s="5" t="s">
        <v>341</v>
      </c>
      <c r="I76" s="299" t="s">
        <v>438</v>
      </c>
      <c r="J76" s="33"/>
      <c r="K76" s="33"/>
      <c r="L76" s="33"/>
      <c r="M76" s="33"/>
      <c r="N76" s="140"/>
      <c r="O76" s="140"/>
      <c r="P76" s="140"/>
      <c r="Q76" s="280" t="s">
        <v>458</v>
      </c>
      <c r="R76" s="203"/>
      <c r="S76" s="203"/>
      <c r="T76" s="203"/>
      <c r="U76" s="203"/>
      <c r="V76" s="203"/>
      <c r="W76" s="203"/>
      <c r="X76" s="203"/>
      <c r="Y76" s="203"/>
      <c r="Z76" s="203"/>
      <c r="AA76" s="203"/>
      <c r="AB76" s="203"/>
      <c r="AC76" s="203"/>
      <c r="AD76" s="203"/>
      <c r="AE76" s="203"/>
      <c r="AF76" s="203"/>
      <c r="AG76" s="203"/>
      <c r="AH76" s="203"/>
      <c r="AI76" s="203"/>
      <c r="AJ76" s="203"/>
      <c r="AK76" s="203"/>
      <c r="AL76" s="203"/>
      <c r="AM76" s="203"/>
      <c r="AN76" s="203"/>
      <c r="AO76" s="203"/>
      <c r="AP76" s="203"/>
      <c r="AQ76" s="203"/>
      <c r="AR76" s="203"/>
      <c r="AS76" s="203"/>
      <c r="AT76" s="203"/>
      <c r="AU76" s="203"/>
      <c r="AV76" s="203"/>
      <c r="AW76" s="203"/>
      <c r="AX76" s="203"/>
      <c r="AY76" s="203"/>
      <c r="AZ76" s="203"/>
      <c r="BA76" s="203"/>
      <c r="BB76" s="203"/>
      <c r="BC76" s="203"/>
      <c r="BD76" s="203"/>
      <c r="BE76" s="203"/>
      <c r="BF76" s="203"/>
      <c r="BG76" s="203"/>
      <c r="BH76" s="203"/>
      <c r="BI76" s="204"/>
      <c r="BJ76" s="203"/>
      <c r="BK76" s="203"/>
      <c r="BL76" s="203"/>
      <c r="BM76" s="203"/>
      <c r="BN76" s="203"/>
      <c r="BO76" s="204"/>
      <c r="BP76" s="203"/>
      <c r="BQ76" s="203"/>
      <c r="BR76" s="203"/>
      <c r="BS76" s="203"/>
      <c r="BT76" s="203"/>
      <c r="BU76" s="203"/>
      <c r="BV76" s="203"/>
      <c r="BW76" s="203"/>
      <c r="BX76" s="203"/>
      <c r="BY76" s="203"/>
      <c r="BZ76" s="203"/>
      <c r="CA76" s="203"/>
      <c r="CB76" s="203"/>
    </row>
    <row r="77" spans="1:80">
      <c r="A77" s="212" t="s">
        <v>340</v>
      </c>
      <c r="B77" s="4" t="s">
        <v>17</v>
      </c>
      <c r="C77" s="9" t="s">
        <v>251</v>
      </c>
      <c r="D77" s="9" t="s">
        <v>21</v>
      </c>
      <c r="E77" s="5" t="s">
        <v>29</v>
      </c>
      <c r="F77" s="5" t="s">
        <v>102</v>
      </c>
      <c r="G77" s="297" t="s">
        <v>40</v>
      </c>
      <c r="H77" s="5" t="s">
        <v>341</v>
      </c>
      <c r="I77" s="299" t="s">
        <v>438</v>
      </c>
      <c r="J77" s="33"/>
      <c r="K77" s="33"/>
      <c r="L77" s="33"/>
      <c r="M77" s="33"/>
      <c r="N77" s="140"/>
      <c r="O77" s="140"/>
      <c r="P77" s="140"/>
      <c r="Q77" s="280" t="s">
        <v>458</v>
      </c>
      <c r="R77" s="203"/>
      <c r="S77" s="203"/>
      <c r="T77" s="203"/>
      <c r="U77" s="203"/>
      <c r="V77" s="203"/>
      <c r="W77" s="203"/>
      <c r="X77" s="203"/>
      <c r="Y77" s="203"/>
      <c r="Z77" s="203"/>
      <c r="AA77" s="203"/>
      <c r="AB77" s="203"/>
      <c r="AC77" s="203"/>
      <c r="AD77" s="203"/>
      <c r="AE77" s="203"/>
      <c r="AF77" s="203"/>
      <c r="AG77" s="203"/>
      <c r="AH77" s="203"/>
      <c r="AI77" s="203"/>
      <c r="AJ77" s="203"/>
      <c r="AK77" s="203"/>
      <c r="AL77" s="203"/>
      <c r="AM77" s="203"/>
      <c r="AN77" s="203"/>
      <c r="AO77" s="203"/>
      <c r="AP77" s="203"/>
      <c r="AQ77" s="203"/>
      <c r="AR77" s="203"/>
      <c r="AS77" s="203"/>
      <c r="AT77" s="203"/>
      <c r="AU77" s="203"/>
      <c r="AV77" s="203"/>
      <c r="AW77" s="203"/>
      <c r="AX77" s="203"/>
      <c r="AY77" s="203"/>
      <c r="AZ77" s="203"/>
      <c r="BA77" s="203"/>
      <c r="BB77" s="203"/>
      <c r="BC77" s="203"/>
      <c r="BD77" s="203"/>
      <c r="BE77" s="203"/>
      <c r="BF77" s="203"/>
      <c r="BG77" s="203"/>
      <c r="BH77" s="203"/>
      <c r="BI77" s="204"/>
      <c r="BJ77" s="203"/>
      <c r="BK77" s="203"/>
      <c r="BL77" s="203"/>
      <c r="BM77" s="203"/>
      <c r="BN77" s="203"/>
      <c r="BO77" s="204"/>
      <c r="BP77" s="203"/>
      <c r="BQ77" s="203"/>
      <c r="BR77" s="203"/>
      <c r="BS77" s="203"/>
      <c r="BT77" s="203"/>
      <c r="BU77" s="203"/>
      <c r="BV77" s="203"/>
      <c r="BW77" s="203"/>
      <c r="BX77" s="203"/>
      <c r="BY77" s="203"/>
      <c r="BZ77" s="203"/>
      <c r="CA77" s="203"/>
      <c r="CB77" s="203"/>
    </row>
    <row r="78" spans="1:80">
      <c r="A78" s="212" t="s">
        <v>340</v>
      </c>
      <c r="B78" s="4" t="s">
        <v>17</v>
      </c>
      <c r="C78" s="9" t="s">
        <v>251</v>
      </c>
      <c r="D78" s="9" t="s">
        <v>21</v>
      </c>
      <c r="E78" s="5" t="s">
        <v>29</v>
      </c>
      <c r="F78" s="5" t="s">
        <v>103</v>
      </c>
      <c r="G78" s="297" t="s">
        <v>40</v>
      </c>
      <c r="H78" s="5" t="s">
        <v>341</v>
      </c>
      <c r="I78" s="299" t="s">
        <v>438</v>
      </c>
      <c r="J78" s="33"/>
      <c r="K78" s="33"/>
      <c r="L78" s="33"/>
      <c r="M78" s="33"/>
      <c r="N78" s="140"/>
      <c r="O78" s="140"/>
      <c r="P78" s="140"/>
      <c r="Q78" s="280" t="s">
        <v>458</v>
      </c>
      <c r="R78" s="203"/>
      <c r="S78" s="203"/>
      <c r="T78" s="203"/>
      <c r="U78" s="203"/>
      <c r="V78" s="203"/>
      <c r="W78" s="203"/>
      <c r="X78" s="203"/>
      <c r="Y78" s="203"/>
      <c r="Z78" s="203"/>
      <c r="AA78" s="203"/>
      <c r="AB78" s="203"/>
      <c r="AC78" s="203"/>
      <c r="AD78" s="203"/>
      <c r="AE78" s="203"/>
      <c r="AF78" s="203"/>
      <c r="AG78" s="203"/>
      <c r="AH78" s="203"/>
      <c r="AI78" s="203"/>
      <c r="AJ78" s="203"/>
      <c r="AK78" s="203"/>
      <c r="AL78" s="203"/>
      <c r="AM78" s="203"/>
      <c r="AN78" s="203"/>
      <c r="AO78" s="203"/>
      <c r="AP78" s="203"/>
      <c r="AQ78" s="203"/>
      <c r="AR78" s="203"/>
      <c r="AS78" s="203"/>
      <c r="AT78" s="203"/>
      <c r="AU78" s="203"/>
      <c r="AV78" s="203"/>
      <c r="AW78" s="203"/>
      <c r="AX78" s="203"/>
      <c r="AY78" s="203"/>
      <c r="AZ78" s="203"/>
      <c r="BA78" s="203"/>
      <c r="BB78" s="203"/>
      <c r="BC78" s="203"/>
      <c r="BD78" s="203"/>
      <c r="BE78" s="203"/>
      <c r="BF78" s="203"/>
      <c r="BG78" s="203"/>
      <c r="BH78" s="203"/>
      <c r="BI78" s="204"/>
      <c r="BJ78" s="203"/>
      <c r="BK78" s="203"/>
      <c r="BL78" s="203"/>
      <c r="BM78" s="203"/>
      <c r="BN78" s="203"/>
      <c r="BO78" s="204"/>
      <c r="BP78" s="203"/>
      <c r="BQ78" s="203"/>
      <c r="BR78" s="203"/>
      <c r="BS78" s="203"/>
      <c r="BT78" s="203"/>
      <c r="BU78" s="203"/>
      <c r="BV78" s="203"/>
      <c r="BW78" s="203"/>
      <c r="BX78" s="203"/>
      <c r="BY78" s="203"/>
      <c r="BZ78" s="203"/>
      <c r="CA78" s="203"/>
      <c r="CB78" s="203"/>
    </row>
    <row r="79" spans="1:80">
      <c r="A79" s="212" t="s">
        <v>340</v>
      </c>
      <c r="B79" s="4" t="s">
        <v>17</v>
      </c>
      <c r="C79" s="9" t="s">
        <v>251</v>
      </c>
      <c r="D79" s="9" t="s">
        <v>21</v>
      </c>
      <c r="E79" s="5" t="s">
        <v>269</v>
      </c>
      <c r="F79" s="5" t="s">
        <v>30</v>
      </c>
      <c r="G79" s="5" t="s">
        <v>341</v>
      </c>
      <c r="H79" s="5" t="s">
        <v>341</v>
      </c>
      <c r="I79" s="300" t="s">
        <v>15</v>
      </c>
      <c r="J79" s="33"/>
      <c r="K79" s="33"/>
      <c r="L79" s="33"/>
      <c r="M79" s="33"/>
      <c r="N79" s="140"/>
      <c r="O79" s="140"/>
      <c r="P79" s="140"/>
      <c r="Q79" s="280"/>
      <c r="R79" s="203"/>
      <c r="S79" s="203"/>
      <c r="T79" s="203"/>
      <c r="U79" s="203"/>
      <c r="V79" s="203"/>
      <c r="W79" s="203"/>
      <c r="X79" s="203"/>
      <c r="Y79" s="203"/>
      <c r="Z79" s="203"/>
      <c r="AA79" s="203"/>
      <c r="AB79" s="203"/>
      <c r="AC79" s="203"/>
      <c r="AD79" s="203"/>
      <c r="AE79" s="203"/>
      <c r="AF79" s="203"/>
      <c r="AG79" s="203"/>
      <c r="AH79" s="203"/>
      <c r="AI79" s="203"/>
      <c r="AJ79" s="203"/>
      <c r="AK79" s="203"/>
      <c r="AL79" s="203"/>
      <c r="AM79" s="203"/>
      <c r="AN79" s="203"/>
      <c r="AO79" s="203"/>
      <c r="AP79" s="203"/>
      <c r="AQ79" s="203"/>
      <c r="AR79" s="203"/>
      <c r="AS79" s="203"/>
      <c r="AT79" s="203"/>
      <c r="AU79" s="203"/>
      <c r="AV79" s="203"/>
      <c r="AW79" s="203"/>
      <c r="AX79" s="203"/>
      <c r="AY79" s="203"/>
      <c r="AZ79" s="203"/>
      <c r="BA79" s="203"/>
      <c r="BB79" s="203"/>
      <c r="BC79" s="203"/>
      <c r="BD79" s="203"/>
      <c r="BE79" s="203"/>
      <c r="BF79" s="203"/>
      <c r="BG79" s="203"/>
      <c r="BH79" s="203"/>
      <c r="BI79" s="204"/>
      <c r="BJ79" s="203"/>
      <c r="BK79" s="203"/>
      <c r="BL79" s="203"/>
      <c r="BM79" s="203"/>
      <c r="BN79" s="203"/>
      <c r="BO79" s="204"/>
      <c r="BP79" s="203"/>
      <c r="BQ79" s="203"/>
      <c r="BR79" s="203"/>
      <c r="BS79" s="203"/>
      <c r="BT79" s="203"/>
      <c r="BU79" s="203"/>
      <c r="BV79" s="203"/>
      <c r="BW79" s="203"/>
      <c r="BX79" s="203"/>
      <c r="BY79" s="203"/>
      <c r="BZ79" s="203"/>
      <c r="CA79" s="203"/>
      <c r="CB79" s="203"/>
    </row>
    <row r="80" spans="1:80">
      <c r="A80" s="212" t="s">
        <v>340</v>
      </c>
      <c r="B80" s="4" t="s">
        <v>17</v>
      </c>
      <c r="C80" s="9" t="s">
        <v>251</v>
      </c>
      <c r="D80" s="9" t="s">
        <v>21</v>
      </c>
      <c r="E80" s="5" t="s">
        <v>269</v>
      </c>
      <c r="F80" s="5" t="s">
        <v>270</v>
      </c>
      <c r="G80" s="5" t="s">
        <v>341</v>
      </c>
      <c r="H80" s="5" t="s">
        <v>341</v>
      </c>
      <c r="I80" s="300" t="s">
        <v>15</v>
      </c>
      <c r="J80" s="33"/>
      <c r="K80" s="33"/>
      <c r="L80" s="33"/>
      <c r="M80" s="33"/>
      <c r="N80" s="140"/>
      <c r="O80" s="140"/>
      <c r="P80" s="140"/>
      <c r="Q80" s="280"/>
      <c r="R80" s="203"/>
      <c r="S80" s="203"/>
      <c r="T80" s="203"/>
      <c r="U80" s="203"/>
      <c r="V80" s="203"/>
      <c r="W80" s="203"/>
      <c r="X80" s="203"/>
      <c r="Y80" s="203"/>
      <c r="Z80" s="203"/>
      <c r="AA80" s="203"/>
      <c r="AB80" s="203"/>
      <c r="AC80" s="203"/>
      <c r="AD80" s="203"/>
      <c r="AE80" s="203"/>
      <c r="AF80" s="203"/>
      <c r="AG80" s="203"/>
      <c r="AH80" s="203"/>
      <c r="AI80" s="203"/>
      <c r="AJ80" s="203"/>
      <c r="AK80" s="203"/>
      <c r="AL80" s="203"/>
      <c r="AM80" s="203"/>
      <c r="AN80" s="203"/>
      <c r="AO80" s="203"/>
      <c r="AP80" s="203"/>
      <c r="AQ80" s="203"/>
      <c r="AR80" s="203"/>
      <c r="AS80" s="203"/>
      <c r="AT80" s="203"/>
      <c r="AU80" s="203"/>
      <c r="AV80" s="203"/>
      <c r="AW80" s="203"/>
      <c r="AX80" s="203"/>
      <c r="AY80" s="203"/>
      <c r="AZ80" s="203"/>
      <c r="BA80" s="203"/>
      <c r="BB80" s="203"/>
      <c r="BC80" s="203"/>
      <c r="BD80" s="203"/>
      <c r="BE80" s="203"/>
      <c r="BF80" s="203"/>
      <c r="BG80" s="203"/>
      <c r="BH80" s="203"/>
      <c r="BI80" s="204"/>
      <c r="BJ80" s="203"/>
      <c r="BK80" s="203"/>
      <c r="BL80" s="203"/>
      <c r="BM80" s="203"/>
      <c r="BN80" s="203"/>
      <c r="BO80" s="204"/>
      <c r="BP80" s="203"/>
      <c r="BQ80" s="203"/>
      <c r="BR80" s="203"/>
      <c r="BS80" s="203"/>
      <c r="BT80" s="203"/>
      <c r="BU80" s="203"/>
      <c r="BV80" s="203"/>
      <c r="BW80" s="203"/>
      <c r="BX80" s="203"/>
      <c r="BY80" s="203"/>
      <c r="BZ80" s="203"/>
      <c r="CA80" s="203"/>
      <c r="CB80" s="203"/>
    </row>
    <row r="81" spans="1:80">
      <c r="A81" s="212" t="s">
        <v>340</v>
      </c>
      <c r="B81" s="4" t="s">
        <v>17</v>
      </c>
      <c r="C81" s="9" t="s">
        <v>251</v>
      </c>
      <c r="D81" s="9" t="s">
        <v>21</v>
      </c>
      <c r="E81" s="5" t="s">
        <v>269</v>
      </c>
      <c r="F81" s="5" t="s">
        <v>271</v>
      </c>
      <c r="G81" s="5" t="s">
        <v>341</v>
      </c>
      <c r="H81" s="5" t="s">
        <v>341</v>
      </c>
      <c r="I81" s="300" t="s">
        <v>15</v>
      </c>
      <c r="J81" s="33"/>
      <c r="K81" s="33"/>
      <c r="L81" s="33"/>
      <c r="M81" s="33"/>
      <c r="N81" s="140"/>
      <c r="O81" s="140"/>
      <c r="P81" s="140"/>
      <c r="Q81" s="280"/>
      <c r="R81" s="203"/>
      <c r="S81" s="203"/>
      <c r="T81" s="203"/>
      <c r="U81" s="203"/>
      <c r="V81" s="203"/>
      <c r="W81" s="203"/>
      <c r="X81" s="203"/>
      <c r="Y81" s="203"/>
      <c r="Z81" s="203"/>
      <c r="AA81" s="203"/>
      <c r="AB81" s="203"/>
      <c r="AC81" s="203"/>
      <c r="AD81" s="203"/>
      <c r="AE81" s="203"/>
      <c r="AF81" s="203"/>
      <c r="AG81" s="203"/>
      <c r="AH81" s="203"/>
      <c r="AI81" s="203"/>
      <c r="AJ81" s="203"/>
      <c r="AK81" s="203"/>
      <c r="AL81" s="203"/>
      <c r="AM81" s="203"/>
      <c r="AN81" s="203"/>
      <c r="AO81" s="203"/>
      <c r="AP81" s="203"/>
      <c r="AQ81" s="203"/>
      <c r="AR81" s="203"/>
      <c r="AS81" s="203"/>
      <c r="AT81" s="203"/>
      <c r="AU81" s="203"/>
      <c r="AV81" s="203"/>
      <c r="AW81" s="203"/>
      <c r="AX81" s="203"/>
      <c r="AY81" s="203"/>
      <c r="AZ81" s="203"/>
      <c r="BA81" s="203"/>
      <c r="BB81" s="203"/>
      <c r="BC81" s="203"/>
      <c r="BD81" s="203"/>
      <c r="BE81" s="203"/>
      <c r="BF81" s="203"/>
      <c r="BG81" s="203"/>
      <c r="BH81" s="203"/>
      <c r="BI81" s="204"/>
      <c r="BJ81" s="203"/>
      <c r="BK81" s="203"/>
      <c r="BL81" s="203"/>
      <c r="BM81" s="203"/>
      <c r="BN81" s="203"/>
      <c r="BO81" s="204"/>
      <c r="BP81" s="203"/>
      <c r="BQ81" s="203"/>
      <c r="BR81" s="203"/>
      <c r="BS81" s="203"/>
      <c r="BT81" s="203"/>
      <c r="BU81" s="203"/>
      <c r="BV81" s="203"/>
      <c r="BW81" s="203"/>
      <c r="BX81" s="203"/>
      <c r="BY81" s="203"/>
      <c r="BZ81" s="203"/>
      <c r="CA81" s="203"/>
      <c r="CB81" s="203"/>
    </row>
    <row r="82" spans="1:80">
      <c r="A82" s="212" t="s">
        <v>340</v>
      </c>
      <c r="B82" s="4" t="s">
        <v>17</v>
      </c>
      <c r="C82" s="9" t="s">
        <v>251</v>
      </c>
      <c r="D82" s="9" t="s">
        <v>21</v>
      </c>
      <c r="E82" s="5" t="s">
        <v>269</v>
      </c>
      <c r="F82" s="5" t="s">
        <v>272</v>
      </c>
      <c r="G82" s="5" t="s">
        <v>341</v>
      </c>
      <c r="H82" s="5" t="s">
        <v>341</v>
      </c>
      <c r="I82" s="300" t="s">
        <v>15</v>
      </c>
      <c r="J82" s="33"/>
      <c r="K82" s="33"/>
      <c r="L82" s="33"/>
      <c r="M82" s="33"/>
      <c r="N82" s="140"/>
      <c r="O82" s="140"/>
      <c r="P82" s="140"/>
      <c r="Q82" s="280"/>
      <c r="R82" s="203"/>
      <c r="S82" s="203"/>
      <c r="T82" s="203"/>
      <c r="U82" s="203"/>
      <c r="V82" s="203"/>
      <c r="W82" s="203"/>
      <c r="X82" s="203"/>
      <c r="Y82" s="203"/>
      <c r="Z82" s="203"/>
      <c r="AA82" s="203"/>
      <c r="AB82" s="203"/>
      <c r="AC82" s="203"/>
      <c r="AD82" s="203"/>
      <c r="AE82" s="203"/>
      <c r="AF82" s="203"/>
      <c r="AG82" s="203"/>
      <c r="AH82" s="203"/>
      <c r="AI82" s="203"/>
      <c r="AJ82" s="203"/>
      <c r="AK82" s="203"/>
      <c r="AL82" s="203"/>
      <c r="AM82" s="203"/>
      <c r="AN82" s="203"/>
      <c r="AO82" s="203"/>
      <c r="AP82" s="203"/>
      <c r="AQ82" s="203"/>
      <c r="AR82" s="203"/>
      <c r="AS82" s="203"/>
      <c r="AT82" s="203"/>
      <c r="AU82" s="203"/>
      <c r="AV82" s="203"/>
      <c r="AW82" s="203"/>
      <c r="AX82" s="203"/>
      <c r="AY82" s="203"/>
      <c r="AZ82" s="203"/>
      <c r="BA82" s="203"/>
      <c r="BB82" s="203"/>
      <c r="BC82" s="203"/>
      <c r="BD82" s="203"/>
      <c r="BE82" s="203"/>
      <c r="BF82" s="203"/>
      <c r="BG82" s="203"/>
      <c r="BH82" s="203"/>
      <c r="BI82" s="204"/>
      <c r="BJ82" s="203"/>
      <c r="BK82" s="203"/>
      <c r="BL82" s="203"/>
      <c r="BM82" s="203"/>
      <c r="BN82" s="203"/>
      <c r="BO82" s="204"/>
      <c r="BP82" s="203"/>
      <c r="BQ82" s="203"/>
      <c r="BR82" s="203"/>
      <c r="BS82" s="203"/>
      <c r="BT82" s="203"/>
      <c r="BU82" s="203"/>
      <c r="BV82" s="203"/>
      <c r="BW82" s="203"/>
      <c r="BX82" s="203"/>
      <c r="BY82" s="203"/>
      <c r="BZ82" s="203"/>
      <c r="CA82" s="203"/>
      <c r="CB82" s="203"/>
    </row>
    <row r="83" spans="1:80">
      <c r="A83" s="212" t="s">
        <v>340</v>
      </c>
      <c r="B83" s="4" t="s">
        <v>17</v>
      </c>
      <c r="C83" s="9" t="s">
        <v>251</v>
      </c>
      <c r="D83" s="9" t="s">
        <v>21</v>
      </c>
      <c r="E83" s="5" t="s">
        <v>269</v>
      </c>
      <c r="F83" s="5" t="s">
        <v>26</v>
      </c>
      <c r="G83" s="5" t="s">
        <v>341</v>
      </c>
      <c r="H83" s="5" t="s">
        <v>341</v>
      </c>
      <c r="I83" s="300" t="s">
        <v>15</v>
      </c>
      <c r="J83" s="33"/>
      <c r="K83" s="33"/>
      <c r="L83" s="33"/>
      <c r="M83" s="33"/>
      <c r="N83" s="140"/>
      <c r="O83" s="140"/>
      <c r="P83" s="140"/>
      <c r="Q83" s="280"/>
      <c r="R83" s="203"/>
      <c r="S83" s="203"/>
      <c r="T83" s="203"/>
      <c r="U83" s="203"/>
      <c r="V83" s="203"/>
      <c r="W83" s="203"/>
      <c r="X83" s="203"/>
      <c r="Y83" s="203"/>
      <c r="Z83" s="203"/>
      <c r="AA83" s="203"/>
      <c r="AB83" s="203"/>
      <c r="AC83" s="203"/>
      <c r="AD83" s="203"/>
      <c r="AE83" s="203"/>
      <c r="AF83" s="203"/>
      <c r="AG83" s="203"/>
      <c r="AH83" s="203"/>
      <c r="AI83" s="203"/>
      <c r="AJ83" s="203"/>
      <c r="AK83" s="203"/>
      <c r="AL83" s="203"/>
      <c r="AM83" s="203"/>
      <c r="AN83" s="203"/>
      <c r="AO83" s="203"/>
      <c r="AP83" s="203"/>
      <c r="AQ83" s="203"/>
      <c r="AR83" s="203"/>
      <c r="AS83" s="203"/>
      <c r="AT83" s="203"/>
      <c r="AU83" s="203"/>
      <c r="AV83" s="203"/>
      <c r="AW83" s="203"/>
      <c r="AX83" s="203"/>
      <c r="AY83" s="203"/>
      <c r="AZ83" s="203"/>
      <c r="BA83" s="203"/>
      <c r="BB83" s="203"/>
      <c r="BC83" s="203"/>
      <c r="BD83" s="203"/>
      <c r="BE83" s="203"/>
      <c r="BF83" s="203"/>
      <c r="BG83" s="203"/>
      <c r="BH83" s="203"/>
      <c r="BI83" s="204"/>
      <c r="BJ83" s="203"/>
      <c r="BK83" s="203"/>
      <c r="BL83" s="203"/>
      <c r="BM83" s="203"/>
      <c r="BN83" s="203"/>
      <c r="BO83" s="204"/>
      <c r="BP83" s="203"/>
      <c r="BQ83" s="203"/>
      <c r="BR83" s="203"/>
      <c r="BS83" s="203"/>
      <c r="BT83" s="203"/>
      <c r="BU83" s="203"/>
      <c r="BV83" s="203"/>
      <c r="BW83" s="203"/>
      <c r="BX83" s="203"/>
      <c r="BY83" s="203"/>
      <c r="BZ83" s="203"/>
      <c r="CA83" s="203"/>
      <c r="CB83" s="203"/>
    </row>
    <row r="84" spans="1:80">
      <c r="A84" s="212" t="s">
        <v>340</v>
      </c>
      <c r="B84" s="4" t="s">
        <v>17</v>
      </c>
      <c r="C84" s="9" t="s">
        <v>251</v>
      </c>
      <c r="D84" s="9" t="s">
        <v>21</v>
      </c>
      <c r="E84" s="5" t="s">
        <v>269</v>
      </c>
      <c r="F84" s="5" t="s">
        <v>25</v>
      </c>
      <c r="G84" s="5" t="s">
        <v>341</v>
      </c>
      <c r="H84" s="5" t="s">
        <v>341</v>
      </c>
      <c r="I84" s="300" t="s">
        <v>15</v>
      </c>
      <c r="J84" s="33"/>
      <c r="K84" s="33"/>
      <c r="L84" s="33"/>
      <c r="M84" s="33"/>
      <c r="N84" s="140"/>
      <c r="O84" s="140"/>
      <c r="P84" s="140"/>
      <c r="Q84" s="280"/>
      <c r="R84" s="203"/>
      <c r="S84" s="203"/>
      <c r="T84" s="203"/>
      <c r="U84" s="203"/>
      <c r="V84" s="203"/>
      <c r="W84" s="203"/>
      <c r="X84" s="203"/>
      <c r="Y84" s="203"/>
      <c r="Z84" s="203"/>
      <c r="AA84" s="203"/>
      <c r="AB84" s="203"/>
      <c r="AC84" s="203"/>
      <c r="AD84" s="203"/>
      <c r="AE84" s="203"/>
      <c r="AF84" s="203"/>
      <c r="AG84" s="203"/>
      <c r="AH84" s="203"/>
      <c r="AI84" s="203"/>
      <c r="AJ84" s="203"/>
      <c r="AK84" s="203"/>
      <c r="AL84" s="203"/>
      <c r="AM84" s="203"/>
      <c r="AN84" s="203"/>
      <c r="AO84" s="203"/>
      <c r="AP84" s="203"/>
      <c r="AQ84" s="203"/>
      <c r="AR84" s="203"/>
      <c r="AS84" s="203"/>
      <c r="AT84" s="203"/>
      <c r="AU84" s="203"/>
      <c r="AV84" s="203"/>
      <c r="AW84" s="203"/>
      <c r="AX84" s="203"/>
      <c r="AY84" s="203"/>
      <c r="AZ84" s="203"/>
      <c r="BA84" s="203"/>
      <c r="BB84" s="203"/>
      <c r="BC84" s="203"/>
      <c r="BD84" s="203"/>
      <c r="BE84" s="203"/>
      <c r="BF84" s="203"/>
      <c r="BG84" s="203"/>
      <c r="BH84" s="203"/>
      <c r="BI84" s="204"/>
      <c r="BJ84" s="203"/>
      <c r="BK84" s="203"/>
      <c r="BL84" s="203"/>
      <c r="BM84" s="203"/>
      <c r="BN84" s="203"/>
      <c r="BO84" s="204"/>
      <c r="BP84" s="203"/>
      <c r="BQ84" s="203"/>
      <c r="BR84" s="203"/>
      <c r="BS84" s="203"/>
      <c r="BT84" s="203"/>
      <c r="BU84" s="203"/>
      <c r="BV84" s="203"/>
      <c r="BW84" s="203"/>
      <c r="BX84" s="203"/>
      <c r="BY84" s="203"/>
      <c r="BZ84" s="203"/>
      <c r="CA84" s="203"/>
      <c r="CB84" s="203"/>
    </row>
    <row r="85" spans="1:80">
      <c r="A85" s="212" t="s">
        <v>340</v>
      </c>
      <c r="B85" s="4" t="s">
        <v>17</v>
      </c>
      <c r="C85" s="9" t="s">
        <v>372</v>
      </c>
      <c r="D85" s="9" t="s">
        <v>21</v>
      </c>
      <c r="E85" s="5" t="s">
        <v>29</v>
      </c>
      <c r="F85" s="5" t="s">
        <v>110</v>
      </c>
      <c r="G85" s="5" t="s">
        <v>40</v>
      </c>
      <c r="H85" s="5" t="s">
        <v>40</v>
      </c>
      <c r="I85" s="299" t="s">
        <v>439</v>
      </c>
      <c r="J85" s="33"/>
      <c r="K85" s="33"/>
      <c r="L85" s="33"/>
      <c r="M85" s="33"/>
      <c r="N85" s="140"/>
      <c r="O85" s="140"/>
      <c r="P85" s="140"/>
      <c r="Q85" s="280"/>
      <c r="R85" s="203"/>
      <c r="S85" s="203"/>
      <c r="T85" s="203"/>
      <c r="U85" s="203"/>
      <c r="V85" s="203"/>
      <c r="W85" s="203"/>
      <c r="X85" s="203"/>
      <c r="Y85" s="203"/>
      <c r="Z85" s="203"/>
      <c r="AA85" s="203"/>
      <c r="AB85" s="203"/>
      <c r="AC85" s="203"/>
      <c r="AD85" s="203"/>
      <c r="AE85" s="203"/>
      <c r="AF85" s="203"/>
      <c r="AG85" s="203"/>
      <c r="AH85" s="203"/>
      <c r="AI85" s="203"/>
      <c r="AJ85" s="203"/>
      <c r="AK85" s="203"/>
      <c r="AL85" s="203"/>
      <c r="AM85" s="203"/>
      <c r="AN85" s="203"/>
      <c r="AO85" s="203"/>
      <c r="AP85" s="203"/>
      <c r="AQ85" s="203"/>
      <c r="AR85" s="203"/>
      <c r="AS85" s="203"/>
      <c r="AT85" s="203"/>
      <c r="AU85" s="203"/>
      <c r="AV85" s="203"/>
      <c r="AW85" s="203"/>
      <c r="AX85" s="203"/>
      <c r="AY85" s="203"/>
      <c r="AZ85" s="203"/>
      <c r="BA85" s="203"/>
      <c r="BB85" s="203"/>
      <c r="BC85" s="203"/>
      <c r="BD85" s="203"/>
      <c r="BE85" s="203"/>
      <c r="BF85" s="203"/>
      <c r="BG85" s="203"/>
      <c r="BH85" s="203"/>
      <c r="BI85" s="204"/>
      <c r="BJ85" s="203"/>
      <c r="BK85" s="203"/>
      <c r="BL85" s="203"/>
      <c r="BM85" s="203"/>
      <c r="BN85" s="203"/>
      <c r="BO85" s="204"/>
      <c r="BP85" s="203"/>
      <c r="BQ85" s="203"/>
      <c r="BR85" s="203"/>
      <c r="BS85" s="203"/>
      <c r="BT85" s="203"/>
      <c r="BU85" s="203"/>
      <c r="BV85" s="203"/>
      <c r="BW85" s="203"/>
      <c r="BX85" s="203"/>
      <c r="BY85" s="203"/>
      <c r="BZ85" s="203"/>
      <c r="CA85" s="203"/>
      <c r="CB85" s="203"/>
    </row>
    <row r="86" spans="1:80">
      <c r="A86" s="212" t="s">
        <v>340</v>
      </c>
      <c r="B86" s="4" t="s">
        <v>17</v>
      </c>
      <c r="C86" s="9" t="s">
        <v>419</v>
      </c>
      <c r="D86" s="9" t="s">
        <v>21</v>
      </c>
      <c r="E86" s="5" t="s">
        <v>29</v>
      </c>
      <c r="F86" s="5" t="s">
        <v>111</v>
      </c>
      <c r="G86" s="297" t="s">
        <v>274</v>
      </c>
      <c r="H86" s="5" t="s">
        <v>40</v>
      </c>
      <c r="I86" s="299" t="s">
        <v>439</v>
      </c>
      <c r="J86" s="33"/>
      <c r="K86" s="33"/>
      <c r="L86" s="33"/>
      <c r="M86" s="33"/>
      <c r="N86" s="140"/>
      <c r="O86" s="140"/>
      <c r="P86" s="140"/>
      <c r="Q86" s="280" t="s">
        <v>446</v>
      </c>
      <c r="R86" s="203"/>
      <c r="S86" s="203"/>
      <c r="T86" s="203"/>
      <c r="U86" s="203"/>
      <c r="V86" s="203"/>
      <c r="W86" s="203"/>
      <c r="X86" s="203"/>
      <c r="Y86" s="203"/>
      <c r="Z86" s="203"/>
      <c r="AA86" s="203"/>
      <c r="AB86" s="203"/>
      <c r="AC86" s="203"/>
      <c r="AD86" s="203"/>
      <c r="AE86" s="203"/>
      <c r="AF86" s="203"/>
      <c r="AG86" s="203"/>
      <c r="AH86" s="203"/>
      <c r="AI86" s="203"/>
      <c r="AJ86" s="203"/>
      <c r="AK86" s="203"/>
      <c r="AL86" s="203"/>
      <c r="AM86" s="203"/>
      <c r="AN86" s="203"/>
      <c r="AO86" s="203"/>
      <c r="AP86" s="203"/>
      <c r="AQ86" s="203"/>
      <c r="AR86" s="203"/>
      <c r="AS86" s="203"/>
      <c r="AT86" s="203"/>
      <c r="AU86" s="203"/>
      <c r="AV86" s="203"/>
      <c r="AW86" s="203"/>
      <c r="AX86" s="203"/>
      <c r="AY86" s="203"/>
      <c r="AZ86" s="203"/>
      <c r="BA86" s="203"/>
      <c r="BB86" s="203"/>
      <c r="BC86" s="203"/>
      <c r="BD86" s="203"/>
      <c r="BE86" s="203"/>
      <c r="BF86" s="203"/>
      <c r="BG86" s="203"/>
      <c r="BH86" s="203"/>
      <c r="BI86" s="204"/>
      <c r="BJ86" s="203"/>
      <c r="BK86" s="203"/>
      <c r="BL86" s="203"/>
      <c r="BM86" s="203"/>
      <c r="BN86" s="203"/>
      <c r="BO86" s="204"/>
      <c r="BP86" s="203"/>
      <c r="BQ86" s="203"/>
      <c r="BR86" s="203"/>
      <c r="BS86" s="203"/>
      <c r="BT86" s="203"/>
      <c r="BU86" s="203"/>
      <c r="BV86" s="203"/>
      <c r="BW86" s="203"/>
      <c r="BX86" s="203"/>
      <c r="BY86" s="203"/>
      <c r="BZ86" s="203"/>
      <c r="CA86" s="203"/>
      <c r="CB86" s="203"/>
    </row>
    <row r="87" spans="1:80">
      <c r="A87" s="212" t="s">
        <v>340</v>
      </c>
      <c r="B87" s="4" t="s">
        <v>17</v>
      </c>
      <c r="C87" s="9" t="s">
        <v>419</v>
      </c>
      <c r="D87" s="9" t="s">
        <v>21</v>
      </c>
      <c r="E87" s="5" t="s">
        <v>29</v>
      </c>
      <c r="F87" s="5" t="s">
        <v>112</v>
      </c>
      <c r="G87" s="5" t="s">
        <v>274</v>
      </c>
      <c r="H87" s="5" t="s">
        <v>274</v>
      </c>
      <c r="I87" s="299" t="s">
        <v>439</v>
      </c>
      <c r="J87" s="33"/>
      <c r="K87" s="33"/>
      <c r="L87" s="33"/>
      <c r="M87" s="33"/>
      <c r="N87" s="140"/>
      <c r="O87" s="140"/>
      <c r="P87" s="140"/>
      <c r="Q87" s="280" t="s">
        <v>447</v>
      </c>
      <c r="R87" s="203"/>
      <c r="S87" s="203"/>
      <c r="T87" s="203"/>
      <c r="U87" s="203"/>
      <c r="V87" s="203"/>
      <c r="W87" s="203"/>
      <c r="X87" s="203"/>
      <c r="Y87" s="203"/>
      <c r="Z87" s="203"/>
      <c r="AA87" s="203"/>
      <c r="AB87" s="203"/>
      <c r="AC87" s="203"/>
      <c r="AD87" s="203"/>
      <c r="AE87" s="203"/>
      <c r="AF87" s="203"/>
      <c r="AG87" s="203"/>
      <c r="AH87" s="203"/>
      <c r="AI87" s="203"/>
      <c r="AJ87" s="203"/>
      <c r="AK87" s="203"/>
      <c r="AL87" s="203"/>
      <c r="AM87" s="203"/>
      <c r="AN87" s="203"/>
      <c r="AO87" s="203"/>
      <c r="AP87" s="203"/>
      <c r="AQ87" s="203"/>
      <c r="AR87" s="203"/>
      <c r="AS87" s="203"/>
      <c r="AT87" s="203"/>
      <c r="AU87" s="203"/>
      <c r="AV87" s="203"/>
      <c r="AW87" s="203"/>
      <c r="AX87" s="203"/>
      <c r="AY87" s="203"/>
      <c r="AZ87" s="203"/>
      <c r="BA87" s="203"/>
      <c r="BB87" s="203"/>
      <c r="BC87" s="203"/>
      <c r="BD87" s="203"/>
      <c r="BE87" s="203"/>
      <c r="BF87" s="203"/>
      <c r="BG87" s="203"/>
      <c r="BH87" s="203"/>
      <c r="BI87" s="204"/>
      <c r="BJ87" s="203"/>
      <c r="BK87" s="203"/>
      <c r="BL87" s="203"/>
      <c r="BM87" s="203"/>
      <c r="BN87" s="203"/>
      <c r="BO87" s="204"/>
      <c r="BP87" s="203"/>
      <c r="BQ87" s="203"/>
      <c r="BR87" s="203"/>
      <c r="BS87" s="203"/>
      <c r="BT87" s="203"/>
      <c r="BU87" s="203"/>
      <c r="BV87" s="203"/>
      <c r="BW87" s="203"/>
      <c r="BX87" s="203"/>
      <c r="BY87" s="203"/>
      <c r="BZ87" s="203"/>
      <c r="CA87" s="203"/>
      <c r="CB87" s="203"/>
    </row>
    <row r="88" spans="1:80">
      <c r="A88" s="212" t="s">
        <v>340</v>
      </c>
      <c r="B88" s="4" t="s">
        <v>17</v>
      </c>
      <c r="C88" s="9" t="s">
        <v>372</v>
      </c>
      <c r="D88" s="9" t="s">
        <v>21</v>
      </c>
      <c r="E88" s="5" t="s">
        <v>29</v>
      </c>
      <c r="F88" s="5" t="s">
        <v>51</v>
      </c>
      <c r="G88" s="5" t="s">
        <v>40</v>
      </c>
      <c r="H88" s="5" t="s">
        <v>40</v>
      </c>
      <c r="I88" s="299" t="s">
        <v>439</v>
      </c>
      <c r="J88" s="33"/>
      <c r="K88" s="33"/>
      <c r="L88" s="33"/>
      <c r="M88" s="33"/>
      <c r="N88" s="140"/>
      <c r="O88" s="140"/>
      <c r="P88" s="140"/>
      <c r="Q88" s="280"/>
      <c r="R88" s="203"/>
      <c r="S88" s="203"/>
      <c r="T88" s="203"/>
      <c r="U88" s="203"/>
      <c r="V88" s="203"/>
      <c r="W88" s="203"/>
      <c r="X88" s="203"/>
      <c r="Y88" s="203"/>
      <c r="Z88" s="203"/>
      <c r="AA88" s="203"/>
      <c r="AB88" s="203"/>
      <c r="AC88" s="203"/>
      <c r="AD88" s="203"/>
      <c r="AE88" s="203"/>
      <c r="AF88" s="203"/>
      <c r="AG88" s="203"/>
      <c r="AH88" s="203"/>
      <c r="AI88" s="203"/>
      <c r="AJ88" s="203"/>
      <c r="AK88" s="203"/>
      <c r="AL88" s="203"/>
      <c r="AM88" s="203"/>
      <c r="AN88" s="203"/>
      <c r="AO88" s="203"/>
      <c r="AP88" s="203"/>
      <c r="AQ88" s="203"/>
      <c r="AR88" s="203"/>
      <c r="AS88" s="203"/>
      <c r="AT88" s="203"/>
      <c r="AU88" s="203"/>
      <c r="AV88" s="203"/>
      <c r="AW88" s="203"/>
      <c r="AX88" s="203"/>
      <c r="AY88" s="203"/>
      <c r="AZ88" s="203"/>
      <c r="BA88" s="203"/>
      <c r="BB88" s="203"/>
      <c r="BC88" s="203"/>
      <c r="BD88" s="203"/>
      <c r="BE88" s="203"/>
      <c r="BF88" s="203"/>
      <c r="BG88" s="203"/>
      <c r="BH88" s="203"/>
      <c r="BI88" s="204"/>
      <c r="BJ88" s="203"/>
      <c r="BK88" s="203"/>
      <c r="BL88" s="203"/>
      <c r="BM88" s="203"/>
      <c r="BN88" s="203"/>
      <c r="BO88" s="204"/>
      <c r="BP88" s="203"/>
      <c r="BQ88" s="203"/>
      <c r="BR88" s="203"/>
      <c r="BS88" s="203"/>
      <c r="BT88" s="203"/>
      <c r="BU88" s="203"/>
      <c r="BV88" s="203"/>
      <c r="BW88" s="203"/>
      <c r="BX88" s="203"/>
      <c r="BY88" s="203"/>
      <c r="BZ88" s="203"/>
      <c r="CA88" s="203"/>
      <c r="CB88" s="203"/>
    </row>
    <row r="89" spans="1:80">
      <c r="A89" s="212" t="s">
        <v>340</v>
      </c>
      <c r="B89" s="4" t="s">
        <v>17</v>
      </c>
      <c r="C89" s="9" t="s">
        <v>372</v>
      </c>
      <c r="D89" s="9" t="s">
        <v>21</v>
      </c>
      <c r="E89" s="5" t="s">
        <v>29</v>
      </c>
      <c r="F89" s="5" t="s">
        <v>68</v>
      </c>
      <c r="G89" s="5" t="s">
        <v>40</v>
      </c>
      <c r="H89" s="5" t="s">
        <v>40</v>
      </c>
      <c r="I89" s="299" t="s">
        <v>439</v>
      </c>
      <c r="J89" s="33"/>
      <c r="K89" s="33"/>
      <c r="L89" s="33"/>
      <c r="M89" s="33"/>
      <c r="N89" s="140"/>
      <c r="O89" s="140"/>
      <c r="P89" s="140"/>
      <c r="Q89" s="280"/>
      <c r="R89" s="203"/>
      <c r="S89" s="203"/>
      <c r="T89" s="203"/>
      <c r="U89" s="203"/>
      <c r="V89" s="203"/>
      <c r="W89" s="203"/>
      <c r="X89" s="203"/>
      <c r="Y89" s="203"/>
      <c r="Z89" s="203"/>
      <c r="AA89" s="203"/>
      <c r="AB89" s="203"/>
      <c r="AC89" s="203"/>
      <c r="AD89" s="203"/>
      <c r="AE89" s="203"/>
      <c r="AF89" s="203"/>
      <c r="AG89" s="203"/>
      <c r="AH89" s="203"/>
      <c r="AI89" s="203"/>
      <c r="AJ89" s="203"/>
      <c r="AK89" s="203"/>
      <c r="AL89" s="203"/>
      <c r="AM89" s="203"/>
      <c r="AN89" s="203"/>
      <c r="AO89" s="203"/>
      <c r="AP89" s="203"/>
      <c r="AQ89" s="203"/>
      <c r="AR89" s="203"/>
      <c r="AS89" s="203"/>
      <c r="AT89" s="203"/>
      <c r="AU89" s="203"/>
      <c r="AV89" s="203"/>
      <c r="AW89" s="203"/>
      <c r="AX89" s="203"/>
      <c r="AY89" s="203"/>
      <c r="AZ89" s="203"/>
      <c r="BA89" s="203"/>
      <c r="BB89" s="203"/>
      <c r="BC89" s="203"/>
      <c r="BD89" s="203"/>
      <c r="BE89" s="203"/>
      <c r="BF89" s="203"/>
      <c r="BG89" s="203"/>
      <c r="BH89" s="203"/>
      <c r="BI89" s="204"/>
      <c r="BJ89" s="203"/>
      <c r="BK89" s="203"/>
      <c r="BL89" s="203"/>
      <c r="BM89" s="203"/>
      <c r="BN89" s="203"/>
      <c r="BO89" s="204"/>
      <c r="BP89" s="203"/>
      <c r="BQ89" s="203"/>
      <c r="BR89" s="203"/>
      <c r="BS89" s="203"/>
      <c r="BT89" s="203"/>
      <c r="BU89" s="203"/>
      <c r="BV89" s="203"/>
      <c r="BW89" s="203"/>
      <c r="BX89" s="203"/>
      <c r="BY89" s="203"/>
      <c r="BZ89" s="203"/>
      <c r="CA89" s="203"/>
      <c r="CB89" s="203"/>
    </row>
    <row r="90" spans="1:80">
      <c r="A90" s="212" t="s">
        <v>340</v>
      </c>
      <c r="B90" s="4" t="s">
        <v>17</v>
      </c>
      <c r="C90" s="9" t="s">
        <v>372</v>
      </c>
      <c r="D90" s="9" t="s">
        <v>21</v>
      </c>
      <c r="E90" s="5" t="s">
        <v>29</v>
      </c>
      <c r="F90" s="5" t="s">
        <v>52</v>
      </c>
      <c r="G90" s="5" t="s">
        <v>40</v>
      </c>
      <c r="H90" s="5" t="s">
        <v>40</v>
      </c>
      <c r="I90" s="299" t="s">
        <v>439</v>
      </c>
      <c r="J90" s="33"/>
      <c r="K90" s="33"/>
      <c r="L90" s="33"/>
      <c r="M90" s="33"/>
      <c r="N90" s="140"/>
      <c r="O90" s="140"/>
      <c r="P90" s="140"/>
      <c r="Q90" s="280"/>
      <c r="R90" s="203"/>
      <c r="S90" s="203"/>
      <c r="T90" s="203"/>
      <c r="U90" s="203"/>
      <c r="V90" s="203"/>
      <c r="W90" s="203"/>
      <c r="X90" s="203"/>
      <c r="Y90" s="203"/>
      <c r="Z90" s="203"/>
      <c r="AA90" s="203"/>
      <c r="AB90" s="203"/>
      <c r="AC90" s="203"/>
      <c r="AD90" s="203"/>
      <c r="AE90" s="203"/>
      <c r="AF90" s="203"/>
      <c r="AG90" s="203"/>
      <c r="AH90" s="203"/>
      <c r="AI90" s="203"/>
      <c r="AJ90" s="203"/>
      <c r="AK90" s="203"/>
      <c r="AL90" s="203"/>
      <c r="AM90" s="203"/>
      <c r="AN90" s="203"/>
      <c r="AO90" s="203"/>
      <c r="AP90" s="203"/>
      <c r="AQ90" s="203"/>
      <c r="AR90" s="203"/>
      <c r="AS90" s="203"/>
      <c r="AT90" s="203"/>
      <c r="AU90" s="203"/>
      <c r="AV90" s="203"/>
      <c r="AW90" s="203"/>
      <c r="AX90" s="203"/>
      <c r="AY90" s="203"/>
      <c r="AZ90" s="203"/>
      <c r="BA90" s="203"/>
      <c r="BB90" s="203"/>
      <c r="BC90" s="203"/>
      <c r="BD90" s="203"/>
      <c r="BE90" s="203"/>
      <c r="BF90" s="203"/>
      <c r="BG90" s="203"/>
      <c r="BH90" s="203"/>
      <c r="BI90" s="204"/>
      <c r="BJ90" s="203"/>
      <c r="BK90" s="203"/>
      <c r="BL90" s="203"/>
      <c r="BM90" s="203"/>
      <c r="BN90" s="203"/>
      <c r="BO90" s="204"/>
      <c r="BP90" s="203"/>
      <c r="BQ90" s="203"/>
      <c r="BR90" s="203"/>
      <c r="BS90" s="203"/>
      <c r="BT90" s="203"/>
      <c r="BU90" s="203"/>
      <c r="BV90" s="203"/>
      <c r="BW90" s="203"/>
      <c r="BX90" s="203"/>
      <c r="BY90" s="203"/>
      <c r="BZ90" s="203"/>
      <c r="CA90" s="203"/>
      <c r="CB90" s="203"/>
    </row>
    <row r="91" spans="1:80">
      <c r="A91" s="212" t="s">
        <v>340</v>
      </c>
      <c r="B91" s="4" t="s">
        <v>17</v>
      </c>
      <c r="C91" s="9" t="s">
        <v>419</v>
      </c>
      <c r="D91" s="9" t="s">
        <v>21</v>
      </c>
      <c r="E91" s="5" t="s">
        <v>29</v>
      </c>
      <c r="F91" s="5" t="s">
        <v>55</v>
      </c>
      <c r="G91" s="297" t="s">
        <v>274</v>
      </c>
      <c r="H91" s="5" t="s">
        <v>40</v>
      </c>
      <c r="I91" s="299" t="s">
        <v>439</v>
      </c>
      <c r="J91" s="33"/>
      <c r="K91" s="33"/>
      <c r="L91" s="33"/>
      <c r="M91" s="33"/>
      <c r="N91" s="140"/>
      <c r="O91" s="140"/>
      <c r="P91" s="140"/>
      <c r="Q91" s="280" t="s">
        <v>448</v>
      </c>
      <c r="R91" s="203"/>
      <c r="S91" s="203"/>
      <c r="T91" s="203"/>
      <c r="U91" s="203"/>
      <c r="V91" s="203"/>
      <c r="W91" s="203"/>
      <c r="X91" s="203"/>
      <c r="Y91" s="203"/>
      <c r="Z91" s="203"/>
      <c r="AA91" s="203"/>
      <c r="AB91" s="203"/>
      <c r="AC91" s="203"/>
      <c r="AD91" s="203"/>
      <c r="AE91" s="203"/>
      <c r="AF91" s="203"/>
      <c r="AG91" s="203"/>
      <c r="AH91" s="203"/>
      <c r="AI91" s="203"/>
      <c r="AJ91" s="203"/>
      <c r="AK91" s="203"/>
      <c r="AL91" s="203"/>
      <c r="AM91" s="203"/>
      <c r="AN91" s="203"/>
      <c r="AO91" s="203"/>
      <c r="AP91" s="203"/>
      <c r="AQ91" s="203"/>
      <c r="AR91" s="203"/>
      <c r="AS91" s="203"/>
      <c r="AT91" s="203"/>
      <c r="AU91" s="203"/>
      <c r="AV91" s="203"/>
      <c r="AW91" s="203"/>
      <c r="AX91" s="203"/>
      <c r="AY91" s="203"/>
      <c r="AZ91" s="203"/>
      <c r="BA91" s="203"/>
      <c r="BB91" s="203"/>
      <c r="BC91" s="203"/>
      <c r="BD91" s="203"/>
      <c r="BE91" s="203"/>
      <c r="BF91" s="203"/>
      <c r="BG91" s="203"/>
      <c r="BH91" s="203"/>
      <c r="BI91" s="204"/>
      <c r="BJ91" s="203"/>
      <c r="BK91" s="203"/>
      <c r="BL91" s="203"/>
      <c r="BM91" s="203"/>
      <c r="BN91" s="203"/>
      <c r="BO91" s="204"/>
      <c r="BP91" s="203"/>
      <c r="BQ91" s="203"/>
      <c r="BR91" s="203"/>
      <c r="BS91" s="203"/>
      <c r="BT91" s="203"/>
      <c r="BU91" s="203"/>
      <c r="BV91" s="203"/>
      <c r="BW91" s="203"/>
      <c r="BX91" s="203"/>
      <c r="BY91" s="203"/>
      <c r="BZ91" s="203"/>
      <c r="CA91" s="203"/>
      <c r="CB91" s="203"/>
    </row>
    <row r="92" spans="1:80">
      <c r="A92" s="212" t="s">
        <v>340</v>
      </c>
      <c r="B92" s="4" t="s">
        <v>17</v>
      </c>
      <c r="C92" s="9" t="s">
        <v>372</v>
      </c>
      <c r="D92" s="9" t="s">
        <v>21</v>
      </c>
      <c r="E92" s="5" t="s">
        <v>29</v>
      </c>
      <c r="F92" s="5" t="s">
        <v>69</v>
      </c>
      <c r="G92" s="297" t="s">
        <v>274</v>
      </c>
      <c r="H92" s="5" t="s">
        <v>40</v>
      </c>
      <c r="I92" s="299" t="s">
        <v>439</v>
      </c>
      <c r="J92" s="33"/>
      <c r="K92" s="33"/>
      <c r="L92" s="33"/>
      <c r="M92" s="33"/>
      <c r="N92" s="140"/>
      <c r="O92" s="140"/>
      <c r="P92" s="140"/>
      <c r="Q92" s="280" t="s">
        <v>459</v>
      </c>
      <c r="R92" s="203"/>
      <c r="S92" s="203"/>
      <c r="T92" s="203"/>
      <c r="U92" s="203"/>
      <c r="V92" s="203"/>
      <c r="W92" s="203"/>
      <c r="X92" s="203"/>
      <c r="Y92" s="203"/>
      <c r="Z92" s="203"/>
      <c r="AA92" s="203"/>
      <c r="AB92" s="203"/>
      <c r="AC92" s="203"/>
      <c r="AD92" s="203"/>
      <c r="AE92" s="203"/>
      <c r="AF92" s="203"/>
      <c r="AG92" s="203"/>
      <c r="AH92" s="203"/>
      <c r="AI92" s="203"/>
      <c r="AJ92" s="203"/>
      <c r="AK92" s="203"/>
      <c r="AL92" s="203"/>
      <c r="AM92" s="203"/>
      <c r="AN92" s="203"/>
      <c r="AO92" s="203"/>
      <c r="AP92" s="203"/>
      <c r="AQ92" s="203"/>
      <c r="AR92" s="203"/>
      <c r="AS92" s="203"/>
      <c r="AT92" s="203"/>
      <c r="AU92" s="203"/>
      <c r="AV92" s="203"/>
      <c r="AW92" s="203"/>
      <c r="AX92" s="203"/>
      <c r="AY92" s="203"/>
      <c r="AZ92" s="203"/>
      <c r="BA92" s="203"/>
      <c r="BB92" s="203"/>
      <c r="BC92" s="203"/>
      <c r="BD92" s="203"/>
      <c r="BE92" s="203"/>
      <c r="BF92" s="203"/>
      <c r="BG92" s="203"/>
      <c r="BH92" s="203"/>
      <c r="BI92" s="204"/>
      <c r="BJ92" s="203"/>
      <c r="BK92" s="203"/>
      <c r="BL92" s="203"/>
      <c r="BM92" s="203"/>
      <c r="BN92" s="203"/>
      <c r="BO92" s="204"/>
      <c r="BP92" s="203"/>
      <c r="BQ92" s="203"/>
      <c r="BR92" s="203"/>
      <c r="BS92" s="203"/>
      <c r="BT92" s="203"/>
      <c r="BU92" s="203"/>
      <c r="BV92" s="203"/>
      <c r="BW92" s="203"/>
      <c r="BX92" s="203"/>
      <c r="BY92" s="203"/>
      <c r="BZ92" s="203"/>
      <c r="CA92" s="203"/>
      <c r="CB92" s="203"/>
    </row>
    <row r="93" spans="1:80">
      <c r="A93" s="212" t="s">
        <v>340</v>
      </c>
      <c r="B93" s="4" t="s">
        <v>17</v>
      </c>
      <c r="C93" s="9" t="s">
        <v>372</v>
      </c>
      <c r="D93" s="9" t="s">
        <v>21</v>
      </c>
      <c r="E93" s="5" t="s">
        <v>29</v>
      </c>
      <c r="F93" s="5" t="s">
        <v>56</v>
      </c>
      <c r="G93" s="297" t="s">
        <v>274</v>
      </c>
      <c r="H93" s="5" t="s">
        <v>40</v>
      </c>
      <c r="I93" s="299" t="s">
        <v>439</v>
      </c>
      <c r="J93" s="33"/>
      <c r="K93" s="33"/>
      <c r="L93" s="33"/>
      <c r="M93" s="33"/>
      <c r="N93" s="140"/>
      <c r="O93" s="140"/>
      <c r="P93" s="140"/>
      <c r="Q93" s="280" t="s">
        <v>459</v>
      </c>
      <c r="R93" s="203"/>
      <c r="S93" s="203"/>
      <c r="T93" s="203"/>
      <c r="U93" s="203"/>
      <c r="V93" s="203"/>
      <c r="W93" s="203"/>
      <c r="X93" s="203"/>
      <c r="Y93" s="203"/>
      <c r="Z93" s="203"/>
      <c r="AA93" s="203"/>
      <c r="AB93" s="203"/>
      <c r="AC93" s="203"/>
      <c r="AD93" s="203"/>
      <c r="AE93" s="203"/>
      <c r="AF93" s="203"/>
      <c r="AG93" s="203"/>
      <c r="AH93" s="203"/>
      <c r="AI93" s="203"/>
      <c r="AJ93" s="203"/>
      <c r="AK93" s="203"/>
      <c r="AL93" s="203"/>
      <c r="AM93" s="203"/>
      <c r="AN93" s="203"/>
      <c r="AO93" s="203"/>
      <c r="AP93" s="203"/>
      <c r="AQ93" s="203"/>
      <c r="AR93" s="203"/>
      <c r="AS93" s="203"/>
      <c r="AT93" s="203"/>
      <c r="AU93" s="203"/>
      <c r="AV93" s="203"/>
      <c r="AW93" s="203"/>
      <c r="AX93" s="203"/>
      <c r="AY93" s="203"/>
      <c r="AZ93" s="203"/>
      <c r="BA93" s="203"/>
      <c r="BB93" s="203"/>
      <c r="BC93" s="203"/>
      <c r="BD93" s="203"/>
      <c r="BE93" s="203"/>
      <c r="BF93" s="203"/>
      <c r="BG93" s="203"/>
      <c r="BH93" s="203"/>
      <c r="BI93" s="204"/>
      <c r="BJ93" s="203"/>
      <c r="BK93" s="203"/>
      <c r="BL93" s="203"/>
      <c r="BM93" s="203"/>
      <c r="BN93" s="203"/>
      <c r="BO93" s="204"/>
      <c r="BP93" s="203"/>
      <c r="BQ93" s="203"/>
      <c r="BR93" s="203"/>
      <c r="BS93" s="203"/>
      <c r="BT93" s="203"/>
      <c r="BU93" s="203"/>
      <c r="BV93" s="203"/>
      <c r="BW93" s="203"/>
      <c r="BX93" s="203"/>
      <c r="BY93" s="203"/>
      <c r="BZ93" s="203"/>
      <c r="CA93" s="203"/>
      <c r="CB93" s="203"/>
    </row>
    <row r="94" spans="1:80">
      <c r="A94" s="212" t="s">
        <v>340</v>
      </c>
      <c r="B94" s="4" t="s">
        <v>17</v>
      </c>
      <c r="C94" s="9" t="s">
        <v>372</v>
      </c>
      <c r="D94" s="9" t="s">
        <v>21</v>
      </c>
      <c r="E94" s="5" t="s">
        <v>29</v>
      </c>
      <c r="F94" s="298" t="s">
        <v>70</v>
      </c>
      <c r="G94" s="5" t="s">
        <v>40</v>
      </c>
      <c r="H94" s="5" t="s">
        <v>40</v>
      </c>
      <c r="I94" s="299" t="s">
        <v>438</v>
      </c>
      <c r="J94" s="33"/>
      <c r="K94" s="33"/>
      <c r="L94" s="33"/>
      <c r="M94" s="33"/>
      <c r="N94" s="140"/>
      <c r="O94" s="140"/>
      <c r="P94" s="140"/>
      <c r="Q94" s="280" t="s">
        <v>463</v>
      </c>
      <c r="R94" s="203"/>
      <c r="S94" s="203"/>
      <c r="T94" s="203"/>
      <c r="U94" s="203"/>
      <c r="V94" s="203"/>
      <c r="W94" s="203"/>
      <c r="X94" s="203"/>
      <c r="Y94" s="203"/>
      <c r="Z94" s="203"/>
      <c r="AA94" s="203"/>
      <c r="AB94" s="203"/>
      <c r="AC94" s="203"/>
      <c r="AD94" s="203"/>
      <c r="AE94" s="203"/>
      <c r="AF94" s="203"/>
      <c r="AG94" s="203"/>
      <c r="AH94" s="203"/>
      <c r="AI94" s="203"/>
      <c r="AJ94" s="203"/>
      <c r="AK94" s="203"/>
      <c r="AL94" s="203"/>
      <c r="AM94" s="203"/>
      <c r="AN94" s="203"/>
      <c r="AO94" s="203"/>
      <c r="AP94" s="203"/>
      <c r="AQ94" s="203"/>
      <c r="AR94" s="203"/>
      <c r="AS94" s="203"/>
      <c r="AT94" s="203"/>
      <c r="AU94" s="203"/>
      <c r="AV94" s="203"/>
      <c r="AW94" s="203"/>
      <c r="AX94" s="203"/>
      <c r="AY94" s="203"/>
      <c r="AZ94" s="203"/>
      <c r="BA94" s="203"/>
      <c r="BB94" s="203"/>
      <c r="BC94" s="203"/>
      <c r="BD94" s="203"/>
      <c r="BE94" s="203"/>
      <c r="BF94" s="203"/>
      <c r="BG94" s="203"/>
      <c r="BH94" s="203"/>
      <c r="BI94" s="204"/>
      <c r="BJ94" s="203"/>
      <c r="BK94" s="203"/>
      <c r="BL94" s="203"/>
      <c r="BM94" s="203"/>
      <c r="BN94" s="203"/>
      <c r="BO94" s="204"/>
      <c r="BP94" s="203"/>
      <c r="BQ94" s="203"/>
      <c r="BR94" s="203"/>
      <c r="BS94" s="203"/>
      <c r="BT94" s="203"/>
      <c r="BU94" s="203"/>
      <c r="BV94" s="203"/>
      <c r="BW94" s="203"/>
      <c r="BX94" s="203"/>
      <c r="BY94" s="203"/>
      <c r="BZ94" s="203"/>
      <c r="CA94" s="203"/>
      <c r="CB94" s="203"/>
    </row>
    <row r="95" spans="1:80">
      <c r="A95" s="212" t="s">
        <v>340</v>
      </c>
      <c r="B95" s="4" t="s">
        <v>17</v>
      </c>
      <c r="C95" s="9" t="s">
        <v>372</v>
      </c>
      <c r="D95" s="9" t="s">
        <v>21</v>
      </c>
      <c r="E95" s="5" t="s">
        <v>29</v>
      </c>
      <c r="F95" s="5" t="s">
        <v>71</v>
      </c>
      <c r="G95" s="5" t="s">
        <v>40</v>
      </c>
      <c r="H95" s="5" t="s">
        <v>40</v>
      </c>
      <c r="I95" s="299" t="s">
        <v>439</v>
      </c>
      <c r="J95" s="33"/>
      <c r="K95" s="33"/>
      <c r="L95" s="33"/>
      <c r="M95" s="33"/>
      <c r="N95" s="140"/>
      <c r="O95" s="140"/>
      <c r="P95" s="140"/>
      <c r="Q95" s="280"/>
      <c r="R95" s="203"/>
      <c r="S95" s="203"/>
      <c r="T95" s="203"/>
      <c r="U95" s="203"/>
      <c r="V95" s="203"/>
      <c r="W95" s="203"/>
      <c r="X95" s="203"/>
      <c r="Y95" s="203"/>
      <c r="Z95" s="203"/>
      <c r="AA95" s="203"/>
      <c r="AB95" s="203"/>
      <c r="AC95" s="203"/>
      <c r="AD95" s="203"/>
      <c r="AE95" s="203"/>
      <c r="AF95" s="203"/>
      <c r="AG95" s="203"/>
      <c r="AH95" s="203"/>
      <c r="AI95" s="203"/>
      <c r="AJ95" s="203"/>
      <c r="AK95" s="203"/>
      <c r="AL95" s="203"/>
      <c r="AM95" s="203"/>
      <c r="AN95" s="203"/>
      <c r="AO95" s="203"/>
      <c r="AP95" s="203"/>
      <c r="AQ95" s="203"/>
      <c r="AR95" s="203"/>
      <c r="AS95" s="203"/>
      <c r="AT95" s="203"/>
      <c r="AU95" s="203"/>
      <c r="AV95" s="203"/>
      <c r="AW95" s="203"/>
      <c r="AX95" s="203"/>
      <c r="AY95" s="203"/>
      <c r="AZ95" s="203"/>
      <c r="BA95" s="203"/>
      <c r="BB95" s="203"/>
      <c r="BC95" s="203"/>
      <c r="BD95" s="203"/>
      <c r="BE95" s="203"/>
      <c r="BF95" s="203"/>
      <c r="BG95" s="203"/>
      <c r="BH95" s="203"/>
      <c r="BI95" s="204"/>
      <c r="BJ95" s="203"/>
      <c r="BK95" s="203"/>
      <c r="BL95" s="203"/>
      <c r="BM95" s="203"/>
      <c r="BN95" s="203"/>
      <c r="BO95" s="204"/>
      <c r="BP95" s="203"/>
      <c r="BQ95" s="203"/>
      <c r="BR95" s="203"/>
      <c r="BS95" s="203"/>
      <c r="BT95" s="203"/>
      <c r="BU95" s="203"/>
      <c r="BV95" s="203"/>
      <c r="BW95" s="203"/>
      <c r="BX95" s="203"/>
      <c r="BY95" s="203"/>
      <c r="BZ95" s="203"/>
      <c r="CA95" s="203"/>
      <c r="CB95" s="203"/>
    </row>
    <row r="96" spans="1:80">
      <c r="A96" s="212" t="s">
        <v>340</v>
      </c>
      <c r="B96" s="4" t="s">
        <v>17</v>
      </c>
      <c r="C96" s="9" t="s">
        <v>372</v>
      </c>
      <c r="D96" s="9" t="s">
        <v>21</v>
      </c>
      <c r="E96" s="5" t="s">
        <v>29</v>
      </c>
      <c r="F96" s="5" t="s">
        <v>72</v>
      </c>
      <c r="G96" s="5" t="s">
        <v>40</v>
      </c>
      <c r="H96" s="5" t="s">
        <v>40</v>
      </c>
      <c r="I96" s="299" t="s">
        <v>439</v>
      </c>
      <c r="J96" s="33"/>
      <c r="K96" s="33"/>
      <c r="L96" s="33"/>
      <c r="M96" s="33"/>
      <c r="N96" s="140"/>
      <c r="O96" s="140"/>
      <c r="P96" s="140"/>
      <c r="Q96" s="280"/>
      <c r="R96" s="203"/>
      <c r="S96" s="203"/>
      <c r="T96" s="203"/>
      <c r="U96" s="203"/>
      <c r="V96" s="203"/>
      <c r="W96" s="203"/>
      <c r="X96" s="203"/>
      <c r="Y96" s="203"/>
      <c r="Z96" s="203"/>
      <c r="AA96" s="203"/>
      <c r="AB96" s="203"/>
      <c r="AC96" s="203"/>
      <c r="AD96" s="203"/>
      <c r="AE96" s="203"/>
      <c r="AF96" s="203"/>
      <c r="AG96" s="203"/>
      <c r="AH96" s="203"/>
      <c r="AI96" s="203"/>
      <c r="AJ96" s="203"/>
      <c r="AK96" s="203"/>
      <c r="AL96" s="203"/>
      <c r="AM96" s="203"/>
      <c r="AN96" s="203"/>
      <c r="AO96" s="203"/>
      <c r="AP96" s="203"/>
      <c r="AQ96" s="203"/>
      <c r="AR96" s="203"/>
      <c r="AS96" s="203"/>
      <c r="AT96" s="203"/>
      <c r="AU96" s="203"/>
      <c r="AV96" s="203"/>
      <c r="AW96" s="203"/>
      <c r="AX96" s="203"/>
      <c r="AY96" s="203"/>
      <c r="AZ96" s="203"/>
      <c r="BA96" s="203"/>
      <c r="BB96" s="203"/>
      <c r="BC96" s="203"/>
      <c r="BD96" s="203"/>
      <c r="BE96" s="203"/>
      <c r="BF96" s="203"/>
      <c r="BG96" s="203"/>
      <c r="BH96" s="203"/>
      <c r="BI96" s="204"/>
      <c r="BJ96" s="203"/>
      <c r="BK96" s="203"/>
      <c r="BL96" s="203"/>
      <c r="BM96" s="203"/>
      <c r="BN96" s="203"/>
      <c r="BO96" s="204"/>
      <c r="BP96" s="203"/>
      <c r="BQ96" s="203"/>
      <c r="BR96" s="203"/>
      <c r="BS96" s="203"/>
      <c r="BT96" s="203"/>
      <c r="BU96" s="203"/>
      <c r="BV96" s="203"/>
      <c r="BW96" s="203"/>
      <c r="BX96" s="203"/>
      <c r="BY96" s="203"/>
      <c r="BZ96" s="203"/>
      <c r="CA96" s="203"/>
      <c r="CB96" s="203"/>
    </row>
    <row r="97" spans="1:80">
      <c r="A97" s="212" t="s">
        <v>340</v>
      </c>
      <c r="B97" s="4" t="s">
        <v>17</v>
      </c>
      <c r="C97" s="9" t="s">
        <v>372</v>
      </c>
      <c r="D97" s="9" t="s">
        <v>21</v>
      </c>
      <c r="E97" s="5" t="s">
        <v>29</v>
      </c>
      <c r="F97" s="298" t="s">
        <v>73</v>
      </c>
      <c r="G97" s="5" t="s">
        <v>40</v>
      </c>
      <c r="H97" s="5" t="s">
        <v>40</v>
      </c>
      <c r="I97" s="299" t="s">
        <v>438</v>
      </c>
      <c r="J97" s="33"/>
      <c r="K97" s="33"/>
      <c r="L97" s="33"/>
      <c r="M97" s="33"/>
      <c r="N97" s="140"/>
      <c r="O97" s="140"/>
      <c r="P97" s="140"/>
      <c r="Q97" s="280" t="s">
        <v>463</v>
      </c>
      <c r="R97" s="203"/>
      <c r="S97" s="203"/>
      <c r="T97" s="203"/>
      <c r="U97" s="203"/>
      <c r="V97" s="203"/>
      <c r="W97" s="203"/>
      <c r="X97" s="203"/>
      <c r="Y97" s="203"/>
      <c r="Z97" s="203"/>
      <c r="AA97" s="203"/>
      <c r="AB97" s="203"/>
      <c r="AC97" s="203"/>
      <c r="AD97" s="203"/>
      <c r="AE97" s="203"/>
      <c r="AF97" s="203"/>
      <c r="AG97" s="203"/>
      <c r="AH97" s="203"/>
      <c r="AI97" s="203"/>
      <c r="AJ97" s="203"/>
      <c r="AK97" s="203"/>
      <c r="AL97" s="203"/>
      <c r="AM97" s="203"/>
      <c r="AN97" s="203"/>
      <c r="AO97" s="203"/>
      <c r="AP97" s="203"/>
      <c r="AQ97" s="203"/>
      <c r="AR97" s="203"/>
      <c r="AS97" s="203"/>
      <c r="AT97" s="203"/>
      <c r="AU97" s="203"/>
      <c r="AV97" s="203"/>
      <c r="AW97" s="203"/>
      <c r="AX97" s="203"/>
      <c r="AY97" s="203"/>
      <c r="AZ97" s="203"/>
      <c r="BA97" s="203"/>
      <c r="BB97" s="203"/>
      <c r="BC97" s="203"/>
      <c r="BD97" s="203"/>
      <c r="BE97" s="203"/>
      <c r="BF97" s="203"/>
      <c r="BG97" s="203"/>
      <c r="BH97" s="203"/>
      <c r="BI97" s="204"/>
      <c r="BJ97" s="203"/>
      <c r="BK97" s="203"/>
      <c r="BL97" s="203"/>
      <c r="BM97" s="203"/>
      <c r="BN97" s="203"/>
      <c r="BO97" s="204"/>
      <c r="BP97" s="203"/>
      <c r="BQ97" s="203"/>
      <c r="BR97" s="203"/>
      <c r="BS97" s="203"/>
      <c r="BT97" s="203"/>
      <c r="BU97" s="203"/>
      <c r="BV97" s="203"/>
      <c r="BW97" s="203"/>
      <c r="BX97" s="203"/>
      <c r="BY97" s="203"/>
      <c r="BZ97" s="203"/>
      <c r="CA97" s="203"/>
      <c r="CB97" s="203"/>
    </row>
    <row r="98" spans="1:80">
      <c r="A98" s="212" t="s">
        <v>340</v>
      </c>
      <c r="B98" s="4" t="s">
        <v>17</v>
      </c>
      <c r="C98" s="9" t="s">
        <v>419</v>
      </c>
      <c r="D98" s="9" t="s">
        <v>21</v>
      </c>
      <c r="E98" s="5" t="s">
        <v>29</v>
      </c>
      <c r="F98" s="5" t="s">
        <v>74</v>
      </c>
      <c r="G98" s="297" t="s">
        <v>274</v>
      </c>
      <c r="H98" s="5" t="s">
        <v>40</v>
      </c>
      <c r="I98" s="299" t="s">
        <v>439</v>
      </c>
      <c r="J98" s="33"/>
      <c r="K98" s="33"/>
      <c r="L98" s="33"/>
      <c r="M98" s="33"/>
      <c r="N98" s="140"/>
      <c r="O98" s="140"/>
      <c r="P98" s="140"/>
      <c r="Q98" s="280" t="s">
        <v>449</v>
      </c>
      <c r="R98" s="203"/>
      <c r="S98" s="203"/>
      <c r="T98" s="203"/>
      <c r="U98" s="203"/>
      <c r="V98" s="203"/>
      <c r="W98" s="203"/>
      <c r="X98" s="203"/>
      <c r="Y98" s="203"/>
      <c r="Z98" s="203"/>
      <c r="AA98" s="203"/>
      <c r="AB98" s="203"/>
      <c r="AC98" s="203"/>
      <c r="AD98" s="203"/>
      <c r="AE98" s="203"/>
      <c r="AF98" s="203"/>
      <c r="AG98" s="203"/>
      <c r="AH98" s="203"/>
      <c r="AI98" s="203"/>
      <c r="AJ98" s="203"/>
      <c r="AK98" s="203"/>
      <c r="AL98" s="203"/>
      <c r="AM98" s="203"/>
      <c r="AN98" s="203"/>
      <c r="AO98" s="203"/>
      <c r="AP98" s="203"/>
      <c r="AQ98" s="203"/>
      <c r="AR98" s="203"/>
      <c r="AS98" s="203"/>
      <c r="AT98" s="203"/>
      <c r="AU98" s="203"/>
      <c r="AV98" s="203"/>
      <c r="AW98" s="203"/>
      <c r="AX98" s="203"/>
      <c r="AY98" s="203"/>
      <c r="AZ98" s="203"/>
      <c r="BA98" s="203"/>
      <c r="BB98" s="203"/>
      <c r="BC98" s="203"/>
      <c r="BD98" s="203"/>
      <c r="BE98" s="203"/>
      <c r="BF98" s="203"/>
      <c r="BG98" s="203"/>
      <c r="BH98" s="203"/>
      <c r="BI98" s="204"/>
      <c r="BJ98" s="203"/>
      <c r="BK98" s="203"/>
      <c r="BL98" s="203"/>
      <c r="BM98" s="203"/>
      <c r="BN98" s="203"/>
      <c r="BO98" s="204"/>
      <c r="BP98" s="203"/>
      <c r="BQ98" s="203"/>
      <c r="BR98" s="203"/>
      <c r="BS98" s="203"/>
      <c r="BT98" s="203"/>
      <c r="BU98" s="203"/>
      <c r="BV98" s="203"/>
      <c r="BW98" s="203"/>
      <c r="BX98" s="203"/>
      <c r="BY98" s="203"/>
      <c r="BZ98" s="203"/>
      <c r="CA98" s="203"/>
      <c r="CB98" s="203"/>
    </row>
    <row r="99" spans="1:80">
      <c r="A99" s="212" t="s">
        <v>340</v>
      </c>
      <c r="B99" s="4" t="s">
        <v>17</v>
      </c>
      <c r="C99" s="9" t="s">
        <v>372</v>
      </c>
      <c r="D99" s="9" t="s">
        <v>21</v>
      </c>
      <c r="E99" s="5" t="s">
        <v>29</v>
      </c>
      <c r="F99" s="5" t="s">
        <v>75</v>
      </c>
      <c r="G99" s="5" t="s">
        <v>40</v>
      </c>
      <c r="H99" s="5" t="s">
        <v>40</v>
      </c>
      <c r="I99" s="299" t="s">
        <v>439</v>
      </c>
      <c r="J99" s="33"/>
      <c r="K99" s="33"/>
      <c r="L99" s="33"/>
      <c r="M99" s="33"/>
      <c r="N99" s="140"/>
      <c r="O99" s="140"/>
      <c r="P99" s="140"/>
      <c r="Q99" s="280"/>
      <c r="R99" s="203"/>
      <c r="S99" s="203"/>
      <c r="T99" s="203"/>
      <c r="U99" s="203"/>
      <c r="V99" s="203"/>
      <c r="W99" s="203"/>
      <c r="X99" s="203"/>
      <c r="Y99" s="203"/>
      <c r="Z99" s="203"/>
      <c r="AA99" s="203"/>
      <c r="AB99" s="203"/>
      <c r="AC99" s="203"/>
      <c r="AD99" s="203"/>
      <c r="AE99" s="203"/>
      <c r="AF99" s="203"/>
      <c r="AG99" s="203"/>
      <c r="AH99" s="203"/>
      <c r="AI99" s="203"/>
      <c r="AJ99" s="203"/>
      <c r="AK99" s="203"/>
      <c r="AL99" s="203"/>
      <c r="AM99" s="203"/>
      <c r="AN99" s="203"/>
      <c r="AO99" s="203"/>
      <c r="AP99" s="203"/>
      <c r="AQ99" s="203"/>
      <c r="AR99" s="203"/>
      <c r="AS99" s="203"/>
      <c r="AT99" s="203"/>
      <c r="AU99" s="203"/>
      <c r="AV99" s="203"/>
      <c r="AW99" s="203"/>
      <c r="AX99" s="203"/>
      <c r="AY99" s="203"/>
      <c r="AZ99" s="203"/>
      <c r="BA99" s="203"/>
      <c r="BB99" s="203"/>
      <c r="BC99" s="203"/>
      <c r="BD99" s="203"/>
      <c r="BE99" s="203"/>
      <c r="BF99" s="203"/>
      <c r="BG99" s="203"/>
      <c r="BH99" s="203"/>
      <c r="BI99" s="204"/>
      <c r="BJ99" s="203"/>
      <c r="BK99" s="203"/>
      <c r="BL99" s="203"/>
      <c r="BM99" s="203"/>
      <c r="BN99" s="203"/>
      <c r="BO99" s="204"/>
      <c r="BP99" s="203"/>
      <c r="BQ99" s="203"/>
      <c r="BR99" s="203"/>
      <c r="BS99" s="203"/>
      <c r="BT99" s="203"/>
      <c r="BU99" s="203"/>
      <c r="BV99" s="203"/>
      <c r="BW99" s="203"/>
      <c r="BX99" s="203"/>
      <c r="BY99" s="203"/>
      <c r="BZ99" s="203"/>
      <c r="CA99" s="203"/>
      <c r="CB99" s="203"/>
    </row>
    <row r="100" spans="1:80">
      <c r="A100" s="212" t="s">
        <v>340</v>
      </c>
      <c r="B100" s="4" t="s">
        <v>17</v>
      </c>
      <c r="C100" s="9" t="s">
        <v>419</v>
      </c>
      <c r="D100" s="9" t="s">
        <v>21</v>
      </c>
      <c r="E100" s="5" t="s">
        <v>29</v>
      </c>
      <c r="F100" s="5" t="s">
        <v>76</v>
      </c>
      <c r="G100" s="297" t="s">
        <v>274</v>
      </c>
      <c r="H100" s="5" t="s">
        <v>40</v>
      </c>
      <c r="I100" s="299" t="s">
        <v>439</v>
      </c>
      <c r="J100" s="33"/>
      <c r="K100" s="33"/>
      <c r="L100" s="33"/>
      <c r="M100" s="33"/>
      <c r="N100" s="140"/>
      <c r="O100" s="140"/>
      <c r="P100" s="140"/>
      <c r="Q100" s="280" t="s">
        <v>446</v>
      </c>
      <c r="R100" s="203"/>
      <c r="S100" s="203"/>
      <c r="T100" s="203"/>
      <c r="U100" s="203"/>
      <c r="V100" s="203"/>
      <c r="W100" s="203"/>
      <c r="X100" s="203"/>
      <c r="Y100" s="203"/>
      <c r="Z100" s="203"/>
      <c r="AA100" s="203"/>
      <c r="AB100" s="203"/>
      <c r="AC100" s="203"/>
      <c r="AD100" s="203"/>
      <c r="AE100" s="203"/>
      <c r="AF100" s="203"/>
      <c r="AG100" s="203"/>
      <c r="AH100" s="203"/>
      <c r="AI100" s="203"/>
      <c r="AJ100" s="203"/>
      <c r="AK100" s="203"/>
      <c r="AL100" s="203"/>
      <c r="AM100" s="203"/>
      <c r="AN100" s="203"/>
      <c r="AO100" s="203"/>
      <c r="AP100" s="203"/>
      <c r="AQ100" s="203"/>
      <c r="AR100" s="203"/>
      <c r="AS100" s="203"/>
      <c r="AT100" s="203"/>
      <c r="AU100" s="203"/>
      <c r="AV100" s="203"/>
      <c r="AW100" s="203"/>
      <c r="AX100" s="203"/>
      <c r="AY100" s="203"/>
      <c r="AZ100" s="203"/>
      <c r="BA100" s="203"/>
      <c r="BB100" s="203"/>
      <c r="BC100" s="203"/>
      <c r="BD100" s="203"/>
      <c r="BE100" s="203"/>
      <c r="BF100" s="203"/>
      <c r="BG100" s="203"/>
      <c r="BH100" s="203"/>
      <c r="BI100" s="204"/>
      <c r="BJ100" s="203"/>
      <c r="BK100" s="203"/>
      <c r="BL100" s="203"/>
      <c r="BM100" s="203"/>
      <c r="BN100" s="203"/>
      <c r="BO100" s="204"/>
      <c r="BP100" s="203"/>
      <c r="BQ100" s="203"/>
      <c r="BR100" s="203"/>
      <c r="BS100" s="203"/>
      <c r="BT100" s="203"/>
      <c r="BU100" s="203"/>
      <c r="BV100" s="203"/>
      <c r="BW100" s="203"/>
      <c r="BX100" s="203"/>
      <c r="BY100" s="203"/>
      <c r="BZ100" s="203"/>
      <c r="CA100" s="203"/>
      <c r="CB100" s="203"/>
    </row>
    <row r="101" spans="1:80">
      <c r="A101" s="212" t="s">
        <v>340</v>
      </c>
      <c r="B101" s="4" t="s">
        <v>17</v>
      </c>
      <c r="C101" s="9" t="s">
        <v>372</v>
      </c>
      <c r="D101" s="9" t="s">
        <v>21</v>
      </c>
      <c r="E101" s="5" t="s">
        <v>29</v>
      </c>
      <c r="F101" s="5" t="s">
        <v>77</v>
      </c>
      <c r="G101" s="5" t="s">
        <v>40</v>
      </c>
      <c r="H101" s="5" t="s">
        <v>40</v>
      </c>
      <c r="I101" s="299" t="s">
        <v>439</v>
      </c>
      <c r="J101" s="33"/>
      <c r="K101" s="33"/>
      <c r="L101" s="33"/>
      <c r="M101" s="33"/>
      <c r="N101" s="140"/>
      <c r="O101" s="140"/>
      <c r="P101" s="140"/>
      <c r="Q101" s="280"/>
      <c r="R101" s="203"/>
      <c r="S101" s="203"/>
      <c r="T101" s="203"/>
      <c r="U101" s="203"/>
      <c r="V101" s="203"/>
      <c r="W101" s="203"/>
      <c r="X101" s="203"/>
      <c r="Y101" s="203"/>
      <c r="Z101" s="203"/>
      <c r="AA101" s="203"/>
      <c r="AB101" s="203"/>
      <c r="AC101" s="203"/>
      <c r="AD101" s="203"/>
      <c r="AE101" s="203"/>
      <c r="AF101" s="203"/>
      <c r="AG101" s="203"/>
      <c r="AH101" s="203"/>
      <c r="AI101" s="203"/>
      <c r="AJ101" s="203"/>
      <c r="AK101" s="203"/>
      <c r="AL101" s="203"/>
      <c r="AM101" s="203"/>
      <c r="AN101" s="203"/>
      <c r="AO101" s="203"/>
      <c r="AP101" s="203"/>
      <c r="AQ101" s="203"/>
      <c r="AR101" s="203"/>
      <c r="AS101" s="203"/>
      <c r="AT101" s="203"/>
      <c r="AU101" s="203"/>
      <c r="AV101" s="203"/>
      <c r="AW101" s="203"/>
      <c r="AX101" s="203"/>
      <c r="AY101" s="203"/>
      <c r="AZ101" s="203"/>
      <c r="BA101" s="203"/>
      <c r="BB101" s="203"/>
      <c r="BC101" s="203"/>
      <c r="BD101" s="203"/>
      <c r="BE101" s="203"/>
      <c r="BF101" s="203"/>
      <c r="BG101" s="203"/>
      <c r="BH101" s="203"/>
      <c r="BI101" s="204"/>
      <c r="BJ101" s="203"/>
      <c r="BK101" s="203"/>
      <c r="BL101" s="203"/>
      <c r="BM101" s="203"/>
      <c r="BN101" s="203"/>
      <c r="BO101" s="204"/>
      <c r="BP101" s="203"/>
      <c r="BQ101" s="203"/>
      <c r="BR101" s="203"/>
      <c r="BS101" s="203"/>
      <c r="BT101" s="203"/>
      <c r="BU101" s="203"/>
      <c r="BV101" s="203"/>
      <c r="BW101" s="203"/>
      <c r="BX101" s="203"/>
      <c r="BY101" s="203"/>
      <c r="BZ101" s="203"/>
      <c r="CA101" s="203"/>
      <c r="CB101" s="203"/>
    </row>
    <row r="102" spans="1:80">
      <c r="A102" s="212" t="s">
        <v>340</v>
      </c>
      <c r="B102" s="4" t="s">
        <v>17</v>
      </c>
      <c r="C102" s="9" t="s">
        <v>372</v>
      </c>
      <c r="D102" s="9" t="s">
        <v>21</v>
      </c>
      <c r="E102" s="5" t="s">
        <v>29</v>
      </c>
      <c r="F102" s="5" t="s">
        <v>78</v>
      </c>
      <c r="G102" s="5" t="s">
        <v>40</v>
      </c>
      <c r="H102" s="5" t="s">
        <v>40</v>
      </c>
      <c r="I102" s="299" t="s">
        <v>439</v>
      </c>
      <c r="J102" s="33"/>
      <c r="K102" s="33"/>
      <c r="L102" s="33"/>
      <c r="M102" s="33"/>
      <c r="N102" s="140"/>
      <c r="O102" s="140"/>
      <c r="P102" s="140"/>
      <c r="Q102" s="280" t="s">
        <v>462</v>
      </c>
      <c r="R102" s="203"/>
      <c r="S102" s="203"/>
      <c r="T102" s="203"/>
      <c r="U102" s="203"/>
      <c r="V102" s="203"/>
      <c r="W102" s="203"/>
      <c r="X102" s="203"/>
      <c r="Y102" s="203"/>
      <c r="Z102" s="203"/>
      <c r="AA102" s="203"/>
      <c r="AB102" s="203"/>
      <c r="AC102" s="203"/>
      <c r="AD102" s="203"/>
      <c r="AE102" s="203"/>
      <c r="AF102" s="203"/>
      <c r="AG102" s="203"/>
      <c r="AH102" s="203"/>
      <c r="AI102" s="203"/>
      <c r="AJ102" s="203"/>
      <c r="AK102" s="203"/>
      <c r="AL102" s="203"/>
      <c r="AM102" s="203"/>
      <c r="AN102" s="203"/>
      <c r="AO102" s="203"/>
      <c r="AP102" s="203"/>
      <c r="AQ102" s="203"/>
      <c r="AR102" s="203"/>
      <c r="AS102" s="203"/>
      <c r="AT102" s="203"/>
      <c r="AU102" s="203"/>
      <c r="AV102" s="203"/>
      <c r="AW102" s="203"/>
      <c r="AX102" s="203"/>
      <c r="AY102" s="203"/>
      <c r="AZ102" s="203"/>
      <c r="BA102" s="203"/>
      <c r="BB102" s="203"/>
      <c r="BC102" s="203"/>
      <c r="BD102" s="203"/>
      <c r="BE102" s="203"/>
      <c r="BF102" s="203"/>
      <c r="BG102" s="203"/>
      <c r="BH102" s="203"/>
      <c r="BI102" s="204"/>
      <c r="BJ102" s="203"/>
      <c r="BK102" s="203"/>
      <c r="BL102" s="203"/>
      <c r="BM102" s="203"/>
      <c r="BN102" s="203"/>
      <c r="BO102" s="204"/>
      <c r="BP102" s="203"/>
      <c r="BQ102" s="203"/>
      <c r="BR102" s="203"/>
      <c r="BS102" s="203"/>
      <c r="BT102" s="203"/>
      <c r="BU102" s="203"/>
      <c r="BV102" s="203"/>
      <c r="BW102" s="203"/>
      <c r="BX102" s="203"/>
      <c r="BY102" s="203"/>
      <c r="BZ102" s="203"/>
      <c r="CA102" s="203"/>
      <c r="CB102" s="203"/>
    </row>
    <row r="103" spans="1:80">
      <c r="A103" s="212" t="s">
        <v>340</v>
      </c>
      <c r="B103" s="4" t="s">
        <v>17</v>
      </c>
      <c r="C103" s="9" t="s">
        <v>372</v>
      </c>
      <c r="D103" s="9" t="s">
        <v>21</v>
      </c>
      <c r="E103" s="5" t="s">
        <v>29</v>
      </c>
      <c r="F103" s="5" t="s">
        <v>57</v>
      </c>
      <c r="G103" s="5" t="s">
        <v>40</v>
      </c>
      <c r="H103" s="5" t="s">
        <v>40</v>
      </c>
      <c r="I103" s="299" t="s">
        <v>439</v>
      </c>
      <c r="J103" s="33"/>
      <c r="K103" s="33"/>
      <c r="L103" s="33"/>
      <c r="M103" s="33"/>
      <c r="N103" s="140"/>
      <c r="O103" s="140"/>
      <c r="P103" s="140"/>
      <c r="Q103" s="280" t="s">
        <v>460</v>
      </c>
      <c r="R103" s="203"/>
      <c r="S103" s="203"/>
      <c r="T103" s="203"/>
      <c r="U103" s="203"/>
      <c r="V103" s="203"/>
      <c r="W103" s="203"/>
      <c r="X103" s="203"/>
      <c r="Y103" s="203"/>
      <c r="Z103" s="203"/>
      <c r="AA103" s="203"/>
      <c r="AB103" s="203"/>
      <c r="AC103" s="203"/>
      <c r="AD103" s="203"/>
      <c r="AE103" s="203"/>
      <c r="AF103" s="203"/>
      <c r="AG103" s="203"/>
      <c r="AH103" s="203"/>
      <c r="AI103" s="203"/>
      <c r="AJ103" s="203"/>
      <c r="AK103" s="203"/>
      <c r="AL103" s="203"/>
      <c r="AM103" s="203"/>
      <c r="AN103" s="203"/>
      <c r="AO103" s="203"/>
      <c r="AP103" s="203"/>
      <c r="AQ103" s="203"/>
      <c r="AR103" s="203"/>
      <c r="AS103" s="203"/>
      <c r="AT103" s="203"/>
      <c r="AU103" s="203"/>
      <c r="AV103" s="203"/>
      <c r="AW103" s="203"/>
      <c r="AX103" s="203"/>
      <c r="AY103" s="203"/>
      <c r="AZ103" s="203"/>
      <c r="BA103" s="203"/>
      <c r="BB103" s="203"/>
      <c r="BC103" s="203"/>
      <c r="BD103" s="203"/>
      <c r="BE103" s="203"/>
      <c r="BF103" s="203"/>
      <c r="BG103" s="203"/>
      <c r="BH103" s="203"/>
      <c r="BI103" s="204"/>
      <c r="BJ103" s="203"/>
      <c r="BK103" s="203"/>
      <c r="BL103" s="203"/>
      <c r="BM103" s="203"/>
      <c r="BN103" s="203"/>
      <c r="BO103" s="204"/>
      <c r="BP103" s="203"/>
      <c r="BQ103" s="203"/>
      <c r="BR103" s="203"/>
      <c r="BS103" s="203"/>
      <c r="BT103" s="203"/>
      <c r="BU103" s="203"/>
      <c r="BV103" s="203"/>
      <c r="BW103" s="203"/>
      <c r="BX103" s="203"/>
      <c r="BY103" s="203"/>
      <c r="BZ103" s="203"/>
      <c r="CA103" s="203"/>
      <c r="CB103" s="203"/>
    </row>
    <row r="104" spans="1:80">
      <c r="A104" s="212" t="s">
        <v>340</v>
      </c>
      <c r="B104" s="4" t="s">
        <v>17</v>
      </c>
      <c r="C104" s="9" t="s">
        <v>17</v>
      </c>
      <c r="D104" s="9" t="s">
        <v>21</v>
      </c>
      <c r="E104" s="5" t="s">
        <v>29</v>
      </c>
      <c r="F104" s="5" t="s">
        <v>66</v>
      </c>
      <c r="G104" s="297" t="s">
        <v>274</v>
      </c>
      <c r="H104" s="5" t="s">
        <v>40</v>
      </c>
      <c r="I104" s="299" t="s">
        <v>438</v>
      </c>
      <c r="J104" s="33"/>
      <c r="K104" s="33"/>
      <c r="L104" s="33"/>
      <c r="M104" s="33"/>
      <c r="N104" s="140"/>
      <c r="O104" s="140"/>
      <c r="P104" s="140"/>
      <c r="Q104" s="280" t="s">
        <v>446</v>
      </c>
      <c r="R104" s="203"/>
      <c r="S104" s="203"/>
      <c r="T104" s="203"/>
      <c r="U104" s="203"/>
      <c r="V104" s="203"/>
      <c r="W104" s="203"/>
      <c r="X104" s="203"/>
      <c r="Y104" s="203"/>
      <c r="Z104" s="203"/>
      <c r="AA104" s="203"/>
      <c r="AB104" s="203"/>
      <c r="AC104" s="203"/>
      <c r="AD104" s="203"/>
      <c r="AE104" s="203"/>
      <c r="AF104" s="203"/>
      <c r="AG104" s="203"/>
      <c r="AH104" s="203"/>
      <c r="AI104" s="203"/>
      <c r="AJ104" s="203"/>
      <c r="AK104" s="203"/>
      <c r="AL104" s="203"/>
      <c r="AM104" s="203"/>
      <c r="AN104" s="203"/>
      <c r="AO104" s="203"/>
      <c r="AP104" s="203"/>
      <c r="AQ104" s="203"/>
      <c r="AR104" s="203"/>
      <c r="AS104" s="203"/>
      <c r="AT104" s="203"/>
      <c r="AU104" s="203"/>
      <c r="AV104" s="203"/>
      <c r="AW104" s="203"/>
      <c r="AX104" s="203"/>
      <c r="AY104" s="203"/>
      <c r="AZ104" s="203"/>
      <c r="BA104" s="203"/>
      <c r="BB104" s="203"/>
      <c r="BC104" s="203"/>
      <c r="BD104" s="203"/>
      <c r="BE104" s="203"/>
      <c r="BF104" s="203"/>
      <c r="BG104" s="203"/>
      <c r="BH104" s="203"/>
      <c r="BI104" s="204"/>
      <c r="BJ104" s="203"/>
      <c r="BK104" s="203"/>
      <c r="BL104" s="203"/>
      <c r="BM104" s="203"/>
      <c r="BN104" s="203"/>
      <c r="BO104" s="204"/>
      <c r="BP104" s="203"/>
      <c r="BQ104" s="203"/>
      <c r="BR104" s="203"/>
      <c r="BS104" s="203"/>
      <c r="BT104" s="203"/>
      <c r="BU104" s="203"/>
      <c r="BV104" s="203"/>
      <c r="BW104" s="203"/>
      <c r="BX104" s="203"/>
      <c r="BY104" s="203"/>
      <c r="BZ104" s="203"/>
      <c r="CA104" s="203"/>
      <c r="CB104" s="203"/>
    </row>
    <row r="105" spans="1:80">
      <c r="A105" s="212" t="s">
        <v>340</v>
      </c>
      <c r="B105" s="4" t="s">
        <v>17</v>
      </c>
      <c r="C105" s="9" t="s">
        <v>372</v>
      </c>
      <c r="D105" s="9" t="s">
        <v>21</v>
      </c>
      <c r="E105" s="5" t="s">
        <v>275</v>
      </c>
      <c r="F105" s="5" t="s">
        <v>51</v>
      </c>
      <c r="G105" s="5" t="s">
        <v>40</v>
      </c>
      <c r="H105" s="5" t="s">
        <v>40</v>
      </c>
      <c r="I105" s="299" t="s">
        <v>439</v>
      </c>
      <c r="J105" s="33"/>
      <c r="K105" s="33"/>
      <c r="L105" s="33"/>
      <c r="M105" s="33"/>
      <c r="N105" s="140"/>
      <c r="O105" s="140"/>
      <c r="P105" s="140"/>
      <c r="Q105" s="280"/>
      <c r="R105" s="203"/>
      <c r="S105" s="203"/>
      <c r="T105" s="203"/>
      <c r="U105" s="203"/>
      <c r="V105" s="203"/>
      <c r="W105" s="203"/>
      <c r="X105" s="203"/>
      <c r="Y105" s="203"/>
      <c r="Z105" s="203"/>
      <c r="AA105" s="203"/>
      <c r="AB105" s="203"/>
      <c r="AC105" s="203"/>
      <c r="AD105" s="203"/>
      <c r="AE105" s="203"/>
      <c r="AF105" s="203"/>
      <c r="AG105" s="203"/>
      <c r="AH105" s="203"/>
      <c r="AI105" s="203"/>
      <c r="AJ105" s="203"/>
      <c r="AK105" s="203"/>
      <c r="AL105" s="203"/>
      <c r="AM105" s="203"/>
      <c r="AN105" s="203"/>
      <c r="AO105" s="203"/>
      <c r="AP105" s="203"/>
      <c r="AQ105" s="203"/>
      <c r="AR105" s="203"/>
      <c r="AS105" s="203"/>
      <c r="AT105" s="203"/>
      <c r="AU105" s="203"/>
      <c r="AV105" s="203"/>
      <c r="AW105" s="203"/>
      <c r="AX105" s="203"/>
      <c r="AY105" s="203"/>
      <c r="AZ105" s="203"/>
      <c r="BA105" s="203"/>
      <c r="BB105" s="203"/>
      <c r="BC105" s="203"/>
      <c r="BD105" s="203"/>
      <c r="BE105" s="203"/>
      <c r="BF105" s="203"/>
      <c r="BG105" s="203"/>
      <c r="BH105" s="203"/>
      <c r="BI105" s="204"/>
      <c r="BJ105" s="203"/>
      <c r="BK105" s="203"/>
      <c r="BL105" s="203"/>
      <c r="BM105" s="203"/>
      <c r="BN105" s="203"/>
      <c r="BO105" s="204"/>
      <c r="BP105" s="203"/>
      <c r="BQ105" s="203"/>
      <c r="BR105" s="203"/>
      <c r="BS105" s="203"/>
      <c r="BT105" s="203"/>
      <c r="BU105" s="203"/>
      <c r="BV105" s="203"/>
      <c r="BW105" s="203"/>
      <c r="BX105" s="203"/>
      <c r="BY105" s="203"/>
      <c r="BZ105" s="203"/>
      <c r="CA105" s="203"/>
      <c r="CB105" s="203"/>
    </row>
    <row r="106" spans="1:80">
      <c r="A106" s="212" t="s">
        <v>340</v>
      </c>
      <c r="B106" s="4" t="s">
        <v>17</v>
      </c>
      <c r="C106" s="9" t="s">
        <v>372</v>
      </c>
      <c r="D106" s="9" t="s">
        <v>21</v>
      </c>
      <c r="E106" s="5" t="s">
        <v>275</v>
      </c>
      <c r="F106" s="5" t="s">
        <v>52</v>
      </c>
      <c r="G106" s="5" t="s">
        <v>40</v>
      </c>
      <c r="H106" s="5" t="s">
        <v>40</v>
      </c>
      <c r="I106" s="299" t="s">
        <v>439</v>
      </c>
      <c r="J106" s="33"/>
      <c r="K106" s="33"/>
      <c r="L106" s="33"/>
      <c r="M106" s="33"/>
      <c r="N106" s="140"/>
      <c r="O106" s="140"/>
      <c r="P106" s="140"/>
      <c r="Q106" s="280"/>
      <c r="R106" s="203"/>
      <c r="S106" s="203"/>
      <c r="T106" s="203"/>
      <c r="U106" s="203"/>
      <c r="V106" s="203"/>
      <c r="W106" s="203"/>
      <c r="X106" s="203"/>
      <c r="Y106" s="203"/>
      <c r="Z106" s="203"/>
      <c r="AA106" s="203"/>
      <c r="AB106" s="203"/>
      <c r="AC106" s="203"/>
      <c r="AD106" s="203"/>
      <c r="AE106" s="203"/>
      <c r="AF106" s="203"/>
      <c r="AG106" s="203"/>
      <c r="AH106" s="203"/>
      <c r="AI106" s="203"/>
      <c r="AJ106" s="203"/>
      <c r="AK106" s="203"/>
      <c r="AL106" s="203"/>
      <c r="AM106" s="203"/>
      <c r="AN106" s="203"/>
      <c r="AO106" s="203"/>
      <c r="AP106" s="203"/>
      <c r="AQ106" s="203"/>
      <c r="AR106" s="203"/>
      <c r="AS106" s="203"/>
      <c r="AT106" s="203"/>
      <c r="AU106" s="203"/>
      <c r="AV106" s="203"/>
      <c r="AW106" s="203"/>
      <c r="AX106" s="203"/>
      <c r="AY106" s="203"/>
      <c r="AZ106" s="203"/>
      <c r="BA106" s="203"/>
      <c r="BB106" s="203"/>
      <c r="BC106" s="203"/>
      <c r="BD106" s="203"/>
      <c r="BE106" s="203"/>
      <c r="BF106" s="203"/>
      <c r="BG106" s="203"/>
      <c r="BH106" s="203"/>
      <c r="BI106" s="204"/>
      <c r="BJ106" s="203"/>
      <c r="BK106" s="203"/>
      <c r="BL106" s="203"/>
      <c r="BM106" s="203"/>
      <c r="BN106" s="203"/>
      <c r="BO106" s="204"/>
      <c r="BP106" s="203"/>
      <c r="BQ106" s="203"/>
      <c r="BR106" s="203"/>
      <c r="BS106" s="203"/>
      <c r="BT106" s="203"/>
      <c r="BU106" s="203"/>
      <c r="BV106" s="203"/>
      <c r="BW106" s="203"/>
      <c r="BX106" s="203"/>
      <c r="BY106" s="203"/>
      <c r="BZ106" s="203"/>
      <c r="CA106" s="203"/>
      <c r="CB106" s="203"/>
    </row>
    <row r="107" spans="1:80">
      <c r="A107" s="212" t="s">
        <v>340</v>
      </c>
      <c r="B107" s="4" t="s">
        <v>17</v>
      </c>
      <c r="C107" s="9" t="s">
        <v>372</v>
      </c>
      <c r="D107" s="9" t="s">
        <v>21</v>
      </c>
      <c r="E107" s="5" t="s">
        <v>275</v>
      </c>
      <c r="F107" s="5" t="s">
        <v>53</v>
      </c>
      <c r="G107" s="5" t="s">
        <v>40</v>
      </c>
      <c r="H107" s="5" t="s">
        <v>40</v>
      </c>
      <c r="I107" s="299" t="s">
        <v>439</v>
      </c>
      <c r="J107" s="33"/>
      <c r="K107" s="33"/>
      <c r="L107" s="33"/>
      <c r="M107" s="33"/>
      <c r="N107" s="140"/>
      <c r="O107" s="140"/>
      <c r="P107" s="140"/>
      <c r="Q107" s="280"/>
      <c r="R107" s="203"/>
      <c r="S107" s="203"/>
      <c r="T107" s="203"/>
      <c r="U107" s="203"/>
      <c r="V107" s="203"/>
      <c r="W107" s="203"/>
      <c r="X107" s="203"/>
      <c r="Y107" s="203"/>
      <c r="Z107" s="203"/>
      <c r="AA107" s="203"/>
      <c r="AB107" s="203"/>
      <c r="AC107" s="203"/>
      <c r="AD107" s="203"/>
      <c r="AE107" s="203"/>
      <c r="AF107" s="203"/>
      <c r="AG107" s="203"/>
      <c r="AH107" s="203"/>
      <c r="AI107" s="203"/>
      <c r="AJ107" s="203"/>
      <c r="AK107" s="203"/>
      <c r="AL107" s="203"/>
      <c r="AM107" s="203"/>
      <c r="AN107" s="203"/>
      <c r="AO107" s="203"/>
      <c r="AP107" s="203"/>
      <c r="AQ107" s="203"/>
      <c r="AR107" s="203"/>
      <c r="AS107" s="203"/>
      <c r="AT107" s="203"/>
      <c r="AU107" s="203"/>
      <c r="AV107" s="203"/>
      <c r="AW107" s="203"/>
      <c r="AX107" s="203"/>
      <c r="AY107" s="203"/>
      <c r="AZ107" s="203"/>
      <c r="BA107" s="203"/>
      <c r="BB107" s="203"/>
      <c r="BC107" s="203"/>
      <c r="BD107" s="203"/>
      <c r="BE107" s="203"/>
      <c r="BF107" s="203"/>
      <c r="BG107" s="203"/>
      <c r="BH107" s="203"/>
      <c r="BI107" s="204"/>
      <c r="BJ107" s="203"/>
      <c r="BK107" s="203"/>
      <c r="BL107" s="203"/>
      <c r="BM107" s="203"/>
      <c r="BN107" s="203"/>
      <c r="BO107" s="204"/>
      <c r="BP107" s="203"/>
      <c r="BQ107" s="203"/>
      <c r="BR107" s="203"/>
      <c r="BS107" s="203"/>
      <c r="BT107" s="203"/>
      <c r="BU107" s="203"/>
      <c r="BV107" s="203"/>
      <c r="BW107" s="203"/>
      <c r="BX107" s="203"/>
      <c r="BY107" s="203"/>
      <c r="BZ107" s="203"/>
      <c r="CA107" s="203"/>
      <c r="CB107" s="203"/>
    </row>
    <row r="108" spans="1:80">
      <c r="A108" s="212" t="s">
        <v>340</v>
      </c>
      <c r="B108" s="4" t="s">
        <v>17</v>
      </c>
      <c r="C108" s="9" t="s">
        <v>372</v>
      </c>
      <c r="D108" s="9" t="s">
        <v>21</v>
      </c>
      <c r="E108" s="5" t="s">
        <v>275</v>
      </c>
      <c r="F108" s="5" t="s">
        <v>113</v>
      </c>
      <c r="G108" s="5" t="s">
        <v>40</v>
      </c>
      <c r="H108" s="5" t="s">
        <v>40</v>
      </c>
      <c r="I108" s="299" t="s">
        <v>439</v>
      </c>
      <c r="J108" s="33"/>
      <c r="K108" s="33"/>
      <c r="L108" s="33"/>
      <c r="M108" s="33"/>
      <c r="N108" s="140"/>
      <c r="O108" s="140"/>
      <c r="P108" s="140"/>
      <c r="Q108" s="280"/>
      <c r="R108" s="203"/>
      <c r="S108" s="203"/>
      <c r="T108" s="203"/>
      <c r="U108" s="203"/>
      <c r="V108" s="203"/>
      <c r="W108" s="203"/>
      <c r="X108" s="203"/>
      <c r="Y108" s="203"/>
      <c r="Z108" s="203"/>
      <c r="AA108" s="203"/>
      <c r="AB108" s="203"/>
      <c r="AC108" s="203"/>
      <c r="AD108" s="203"/>
      <c r="AE108" s="203"/>
      <c r="AF108" s="203"/>
      <c r="AG108" s="203"/>
      <c r="AH108" s="203"/>
      <c r="AI108" s="203"/>
      <c r="AJ108" s="203"/>
      <c r="AK108" s="203"/>
      <c r="AL108" s="203"/>
      <c r="AM108" s="203"/>
      <c r="AN108" s="203"/>
      <c r="AO108" s="203"/>
      <c r="AP108" s="203"/>
      <c r="AQ108" s="203"/>
      <c r="AR108" s="203"/>
      <c r="AS108" s="203"/>
      <c r="AT108" s="203"/>
      <c r="AU108" s="203"/>
      <c r="AV108" s="203"/>
      <c r="AW108" s="203"/>
      <c r="AX108" s="203"/>
      <c r="AY108" s="203"/>
      <c r="AZ108" s="203"/>
      <c r="BA108" s="203"/>
      <c r="BB108" s="203"/>
      <c r="BC108" s="203"/>
      <c r="BD108" s="203"/>
      <c r="BE108" s="203"/>
      <c r="BF108" s="203"/>
      <c r="BG108" s="203"/>
      <c r="BH108" s="203"/>
      <c r="BI108" s="204"/>
      <c r="BJ108" s="203"/>
      <c r="BK108" s="203"/>
      <c r="BL108" s="203"/>
      <c r="BM108" s="203"/>
      <c r="BN108" s="203"/>
      <c r="BO108" s="204"/>
      <c r="BP108" s="203"/>
      <c r="BQ108" s="203"/>
      <c r="BR108" s="203"/>
      <c r="BS108" s="203"/>
      <c r="BT108" s="203"/>
      <c r="BU108" s="203"/>
      <c r="BV108" s="203"/>
      <c r="BW108" s="203"/>
      <c r="BX108" s="203"/>
      <c r="BY108" s="203"/>
      <c r="BZ108" s="203"/>
      <c r="CA108" s="203"/>
      <c r="CB108" s="203"/>
    </row>
    <row r="109" spans="1:80">
      <c r="A109" s="212" t="s">
        <v>340</v>
      </c>
      <c r="B109" s="4" t="s">
        <v>17</v>
      </c>
      <c r="C109" s="9" t="s">
        <v>372</v>
      </c>
      <c r="D109" s="9" t="s">
        <v>21</v>
      </c>
      <c r="E109" s="5" t="s">
        <v>28</v>
      </c>
      <c r="F109" s="5" t="s">
        <v>51</v>
      </c>
      <c r="G109" s="5" t="s">
        <v>40</v>
      </c>
      <c r="H109" s="5" t="s">
        <v>40</v>
      </c>
      <c r="I109" s="299" t="s">
        <v>439</v>
      </c>
      <c r="J109" s="33"/>
      <c r="K109" s="33"/>
      <c r="L109" s="33"/>
      <c r="M109" s="33"/>
      <c r="N109" s="140"/>
      <c r="O109" s="140"/>
      <c r="P109" s="140"/>
      <c r="Q109" s="280"/>
      <c r="R109" s="203"/>
      <c r="S109" s="203"/>
      <c r="T109" s="203"/>
      <c r="U109" s="203"/>
      <c r="V109" s="203"/>
      <c r="W109" s="203"/>
      <c r="X109" s="203"/>
      <c r="Y109" s="203"/>
      <c r="Z109" s="203"/>
      <c r="AA109" s="203"/>
      <c r="AB109" s="203"/>
      <c r="AC109" s="203"/>
      <c r="AD109" s="203"/>
      <c r="AE109" s="203"/>
      <c r="AF109" s="203"/>
      <c r="AG109" s="203"/>
      <c r="AH109" s="203"/>
      <c r="AI109" s="203"/>
      <c r="AJ109" s="203"/>
      <c r="AK109" s="203"/>
      <c r="AL109" s="203"/>
      <c r="AM109" s="203"/>
      <c r="AN109" s="203"/>
      <c r="AO109" s="203"/>
      <c r="AP109" s="203"/>
      <c r="AQ109" s="203"/>
      <c r="AR109" s="203"/>
      <c r="AS109" s="203"/>
      <c r="AT109" s="203"/>
      <c r="AU109" s="203"/>
      <c r="AV109" s="203"/>
      <c r="AW109" s="203"/>
      <c r="AX109" s="203"/>
      <c r="AY109" s="203"/>
      <c r="AZ109" s="203"/>
      <c r="BA109" s="203"/>
      <c r="BB109" s="203"/>
      <c r="BC109" s="203"/>
      <c r="BD109" s="203"/>
      <c r="BE109" s="203"/>
      <c r="BF109" s="203"/>
      <c r="BG109" s="203"/>
      <c r="BH109" s="203"/>
      <c r="BI109" s="204"/>
      <c r="BJ109" s="203"/>
      <c r="BK109" s="203"/>
      <c r="BL109" s="203"/>
      <c r="BM109" s="203"/>
      <c r="BN109" s="203"/>
      <c r="BO109" s="204"/>
      <c r="BP109" s="203"/>
      <c r="BQ109" s="203"/>
      <c r="BR109" s="203"/>
      <c r="BS109" s="203"/>
      <c r="BT109" s="203"/>
      <c r="BU109" s="203"/>
      <c r="BV109" s="203"/>
      <c r="BW109" s="203"/>
      <c r="BX109" s="203"/>
      <c r="BY109" s="203"/>
      <c r="BZ109" s="203"/>
      <c r="CA109" s="203"/>
      <c r="CB109" s="203"/>
    </row>
    <row r="110" spans="1:80">
      <c r="A110" s="212" t="s">
        <v>340</v>
      </c>
      <c r="B110" s="4" t="s">
        <v>17</v>
      </c>
      <c r="C110" s="9" t="s">
        <v>372</v>
      </c>
      <c r="D110" s="9" t="s">
        <v>21</v>
      </c>
      <c r="E110" s="5" t="s">
        <v>28</v>
      </c>
      <c r="F110" s="5" t="s">
        <v>52</v>
      </c>
      <c r="G110" s="5" t="s">
        <v>40</v>
      </c>
      <c r="H110" s="5" t="s">
        <v>40</v>
      </c>
      <c r="I110" s="299" t="s">
        <v>439</v>
      </c>
      <c r="J110" s="33"/>
      <c r="K110" s="33"/>
      <c r="L110" s="33"/>
      <c r="M110" s="33"/>
      <c r="N110" s="140"/>
      <c r="O110" s="140"/>
      <c r="P110" s="140"/>
      <c r="Q110" s="280"/>
      <c r="R110" s="203"/>
      <c r="S110" s="203"/>
      <c r="T110" s="203"/>
      <c r="U110" s="203"/>
      <c r="V110" s="203"/>
      <c r="W110" s="203"/>
      <c r="X110" s="203"/>
      <c r="Y110" s="203"/>
      <c r="Z110" s="203"/>
      <c r="AA110" s="203"/>
      <c r="AB110" s="203"/>
      <c r="AC110" s="203"/>
      <c r="AD110" s="203"/>
      <c r="AE110" s="203"/>
      <c r="AF110" s="203"/>
      <c r="AG110" s="203"/>
      <c r="AH110" s="203"/>
      <c r="AI110" s="203"/>
      <c r="AJ110" s="203"/>
      <c r="AK110" s="203"/>
      <c r="AL110" s="203"/>
      <c r="AM110" s="203"/>
      <c r="AN110" s="203"/>
      <c r="AO110" s="203"/>
      <c r="AP110" s="203"/>
      <c r="AQ110" s="203"/>
      <c r="AR110" s="203"/>
      <c r="AS110" s="203"/>
      <c r="AT110" s="203"/>
      <c r="AU110" s="203"/>
      <c r="AV110" s="203"/>
      <c r="AW110" s="203"/>
      <c r="AX110" s="203"/>
      <c r="AY110" s="203"/>
      <c r="AZ110" s="203"/>
      <c r="BA110" s="203"/>
      <c r="BB110" s="203"/>
      <c r="BC110" s="203"/>
      <c r="BD110" s="203"/>
      <c r="BE110" s="203"/>
      <c r="BF110" s="203"/>
      <c r="BG110" s="203"/>
      <c r="BH110" s="203"/>
      <c r="BI110" s="204"/>
      <c r="BJ110" s="203"/>
      <c r="BK110" s="203"/>
      <c r="BL110" s="203"/>
      <c r="BM110" s="203"/>
      <c r="BN110" s="203"/>
      <c r="BO110" s="204"/>
      <c r="BP110" s="203"/>
      <c r="BQ110" s="203"/>
      <c r="BR110" s="203"/>
      <c r="BS110" s="203"/>
      <c r="BT110" s="203"/>
      <c r="BU110" s="203"/>
      <c r="BV110" s="203"/>
      <c r="BW110" s="203"/>
      <c r="BX110" s="203"/>
      <c r="BY110" s="203"/>
      <c r="BZ110" s="203"/>
      <c r="CA110" s="203"/>
      <c r="CB110" s="203"/>
    </row>
    <row r="111" spans="1:80">
      <c r="A111" s="212" t="s">
        <v>340</v>
      </c>
      <c r="B111" s="4" t="s">
        <v>17</v>
      </c>
      <c r="C111" s="9" t="s">
        <v>372</v>
      </c>
      <c r="D111" s="9" t="s">
        <v>21</v>
      </c>
      <c r="E111" s="5" t="s">
        <v>28</v>
      </c>
      <c r="F111" s="5" t="s">
        <v>113</v>
      </c>
      <c r="G111" s="5" t="s">
        <v>40</v>
      </c>
      <c r="H111" s="5" t="s">
        <v>40</v>
      </c>
      <c r="I111" s="299" t="s">
        <v>439</v>
      </c>
      <c r="J111" s="33"/>
      <c r="K111" s="33"/>
      <c r="L111" s="33"/>
      <c r="M111" s="33"/>
      <c r="N111" s="140"/>
      <c r="O111" s="140"/>
      <c r="P111" s="140"/>
      <c r="Q111" s="280"/>
      <c r="R111" s="203"/>
      <c r="S111" s="203"/>
      <c r="T111" s="203"/>
      <c r="U111" s="203"/>
      <c r="V111" s="203"/>
      <c r="W111" s="203"/>
      <c r="X111" s="203"/>
      <c r="Y111" s="203"/>
      <c r="Z111" s="203"/>
      <c r="AA111" s="203"/>
      <c r="AB111" s="203"/>
      <c r="AC111" s="203"/>
      <c r="AD111" s="203"/>
      <c r="AE111" s="203"/>
      <c r="AF111" s="203"/>
      <c r="AG111" s="203"/>
      <c r="AH111" s="203"/>
      <c r="AI111" s="203"/>
      <c r="AJ111" s="203"/>
      <c r="AK111" s="203"/>
      <c r="AL111" s="203"/>
      <c r="AM111" s="203"/>
      <c r="AN111" s="203"/>
      <c r="AO111" s="203"/>
      <c r="AP111" s="203"/>
      <c r="AQ111" s="203"/>
      <c r="AR111" s="203"/>
      <c r="AS111" s="203"/>
      <c r="AT111" s="203"/>
      <c r="AU111" s="203"/>
      <c r="AV111" s="203"/>
      <c r="AW111" s="203"/>
      <c r="AX111" s="203"/>
      <c r="AY111" s="203"/>
      <c r="AZ111" s="203"/>
      <c r="BA111" s="203"/>
      <c r="BB111" s="203"/>
      <c r="BC111" s="203"/>
      <c r="BD111" s="203"/>
      <c r="BE111" s="203"/>
      <c r="BF111" s="203"/>
      <c r="BG111" s="203"/>
      <c r="BH111" s="203"/>
      <c r="BI111" s="204"/>
      <c r="BJ111" s="203"/>
      <c r="BK111" s="203"/>
      <c r="BL111" s="203"/>
      <c r="BM111" s="203"/>
      <c r="BN111" s="203"/>
      <c r="BO111" s="204"/>
      <c r="BP111" s="203"/>
      <c r="BQ111" s="203"/>
      <c r="BR111" s="203"/>
      <c r="BS111" s="203"/>
      <c r="BT111" s="203"/>
      <c r="BU111" s="203"/>
      <c r="BV111" s="203"/>
      <c r="BW111" s="203"/>
      <c r="BX111" s="203"/>
      <c r="BY111" s="203"/>
      <c r="BZ111" s="203"/>
      <c r="CA111" s="203"/>
      <c r="CB111" s="203"/>
    </row>
    <row r="112" spans="1:80">
      <c r="A112" s="212" t="s">
        <v>340</v>
      </c>
      <c r="B112" s="4" t="s">
        <v>17</v>
      </c>
      <c r="C112" s="9" t="s">
        <v>372</v>
      </c>
      <c r="D112" s="9" t="s">
        <v>21</v>
      </c>
      <c r="E112" s="5" t="s">
        <v>28</v>
      </c>
      <c r="F112" s="5" t="s">
        <v>114</v>
      </c>
      <c r="G112" s="5" t="s">
        <v>40</v>
      </c>
      <c r="H112" s="5" t="s">
        <v>40</v>
      </c>
      <c r="I112" s="299" t="s">
        <v>439</v>
      </c>
      <c r="J112" s="33"/>
      <c r="K112" s="33"/>
      <c r="L112" s="33"/>
      <c r="M112" s="33"/>
      <c r="N112" s="140"/>
      <c r="O112" s="140"/>
      <c r="P112" s="140"/>
      <c r="Q112" s="280"/>
      <c r="R112" s="203"/>
      <c r="S112" s="203"/>
      <c r="T112" s="203"/>
      <c r="U112" s="203"/>
      <c r="V112" s="203"/>
      <c r="W112" s="203"/>
      <c r="X112" s="203"/>
      <c r="Y112" s="203"/>
      <c r="Z112" s="203"/>
      <c r="AA112" s="203"/>
      <c r="AB112" s="203"/>
      <c r="AC112" s="203"/>
      <c r="AD112" s="203"/>
      <c r="AE112" s="203"/>
      <c r="AF112" s="203"/>
      <c r="AG112" s="203"/>
      <c r="AH112" s="203"/>
      <c r="AI112" s="203"/>
      <c r="AJ112" s="203"/>
      <c r="AK112" s="203"/>
      <c r="AL112" s="203"/>
      <c r="AM112" s="203"/>
      <c r="AN112" s="203"/>
      <c r="AO112" s="203"/>
      <c r="AP112" s="203"/>
      <c r="AQ112" s="203"/>
      <c r="AR112" s="203"/>
      <c r="AS112" s="203"/>
      <c r="AT112" s="203"/>
      <c r="AU112" s="203"/>
      <c r="AV112" s="203"/>
      <c r="AW112" s="203"/>
      <c r="AX112" s="203"/>
      <c r="AY112" s="203"/>
      <c r="AZ112" s="203"/>
      <c r="BA112" s="203"/>
      <c r="BB112" s="203"/>
      <c r="BC112" s="203"/>
      <c r="BD112" s="203"/>
      <c r="BE112" s="203"/>
      <c r="BF112" s="203"/>
      <c r="BG112" s="203"/>
      <c r="BH112" s="203"/>
      <c r="BI112" s="204"/>
      <c r="BJ112" s="203"/>
      <c r="BK112" s="203"/>
      <c r="BL112" s="203"/>
      <c r="BM112" s="203"/>
      <c r="BN112" s="203"/>
      <c r="BO112" s="204"/>
      <c r="BP112" s="203"/>
      <c r="BQ112" s="203"/>
      <c r="BR112" s="203"/>
      <c r="BS112" s="203"/>
      <c r="BT112" s="203"/>
      <c r="BU112" s="203"/>
      <c r="BV112" s="203"/>
      <c r="BW112" s="203"/>
      <c r="BX112" s="203"/>
      <c r="BY112" s="203"/>
      <c r="BZ112" s="203"/>
      <c r="CA112" s="203"/>
      <c r="CB112" s="203"/>
    </row>
    <row r="113" spans="1:80">
      <c r="A113" s="212" t="s">
        <v>340</v>
      </c>
      <c r="B113" s="4" t="s">
        <v>17</v>
      </c>
      <c r="C113" s="9" t="s">
        <v>372</v>
      </c>
      <c r="D113" s="9" t="s">
        <v>21</v>
      </c>
      <c r="E113" s="5" t="s">
        <v>28</v>
      </c>
      <c r="F113" s="5" t="s">
        <v>115</v>
      </c>
      <c r="G113" s="5" t="s">
        <v>40</v>
      </c>
      <c r="H113" s="5" t="s">
        <v>40</v>
      </c>
      <c r="I113" s="299" t="s">
        <v>439</v>
      </c>
      <c r="J113" s="33"/>
      <c r="K113" s="33"/>
      <c r="L113" s="33"/>
      <c r="M113" s="33"/>
      <c r="N113" s="140"/>
      <c r="O113" s="140"/>
      <c r="P113" s="140"/>
      <c r="Q113" s="280" t="s">
        <v>461</v>
      </c>
      <c r="R113" s="203"/>
      <c r="S113" s="203"/>
      <c r="T113" s="203"/>
      <c r="U113" s="203"/>
      <c r="V113" s="203"/>
      <c r="W113" s="203"/>
      <c r="X113" s="203"/>
      <c r="Y113" s="203"/>
      <c r="Z113" s="203"/>
      <c r="AA113" s="203"/>
      <c r="AB113" s="203"/>
      <c r="AC113" s="203"/>
      <c r="AD113" s="203"/>
      <c r="AE113" s="203"/>
      <c r="AF113" s="203"/>
      <c r="AG113" s="203"/>
      <c r="AH113" s="203"/>
      <c r="AI113" s="203"/>
      <c r="AJ113" s="203"/>
      <c r="AK113" s="203"/>
      <c r="AL113" s="203"/>
      <c r="AM113" s="203"/>
      <c r="AN113" s="203"/>
      <c r="AO113" s="203"/>
      <c r="AP113" s="203"/>
      <c r="AQ113" s="203"/>
      <c r="AR113" s="203"/>
      <c r="AS113" s="203"/>
      <c r="AT113" s="203"/>
      <c r="AU113" s="203"/>
      <c r="AV113" s="203"/>
      <c r="AW113" s="203"/>
      <c r="AX113" s="203"/>
      <c r="AY113" s="203"/>
      <c r="AZ113" s="203"/>
      <c r="BA113" s="203"/>
      <c r="BB113" s="203"/>
      <c r="BC113" s="203"/>
      <c r="BD113" s="203"/>
      <c r="BE113" s="203"/>
      <c r="BF113" s="203"/>
      <c r="BG113" s="203"/>
      <c r="BH113" s="203"/>
      <c r="BI113" s="204"/>
      <c r="BJ113" s="203"/>
      <c r="BK113" s="203"/>
      <c r="BL113" s="203"/>
      <c r="BM113" s="203"/>
      <c r="BN113" s="203"/>
      <c r="BO113" s="204"/>
      <c r="BP113" s="203"/>
      <c r="BQ113" s="203"/>
      <c r="BR113" s="203"/>
      <c r="BS113" s="203"/>
      <c r="BT113" s="203"/>
      <c r="BU113" s="203"/>
      <c r="BV113" s="203"/>
      <c r="BW113" s="203"/>
      <c r="BX113" s="203"/>
      <c r="BY113" s="203"/>
      <c r="BZ113" s="203"/>
      <c r="CA113" s="203"/>
      <c r="CB113" s="203"/>
    </row>
    <row r="114" spans="1:80">
      <c r="A114" s="212" t="s">
        <v>340</v>
      </c>
      <c r="B114" s="4" t="s">
        <v>17</v>
      </c>
      <c r="C114" s="9" t="s">
        <v>399</v>
      </c>
      <c r="D114" s="9" t="s">
        <v>21</v>
      </c>
      <c r="E114" s="5" t="s">
        <v>28</v>
      </c>
      <c r="F114" s="5" t="s">
        <v>400</v>
      </c>
      <c r="G114" s="297" t="s">
        <v>274</v>
      </c>
      <c r="H114" s="5" t="s">
        <v>274</v>
      </c>
      <c r="I114" s="300" t="s">
        <v>439</v>
      </c>
      <c r="J114" s="33"/>
      <c r="K114" s="33"/>
      <c r="L114" s="33"/>
      <c r="M114" s="33"/>
      <c r="N114" s="140"/>
      <c r="O114" s="140"/>
      <c r="P114" s="140"/>
      <c r="Q114" s="280" t="s">
        <v>467</v>
      </c>
      <c r="R114" s="203"/>
      <c r="S114" s="203"/>
      <c r="T114" s="203"/>
      <c r="U114" s="203"/>
      <c r="V114" s="203"/>
      <c r="W114" s="203"/>
      <c r="X114" s="203"/>
      <c r="Y114" s="203"/>
      <c r="Z114" s="203"/>
      <c r="AA114" s="203"/>
      <c r="AB114" s="203"/>
      <c r="AC114" s="203"/>
      <c r="AD114" s="203"/>
      <c r="AE114" s="203"/>
      <c r="AF114" s="203"/>
      <c r="AG114" s="203"/>
      <c r="AH114" s="203"/>
      <c r="AI114" s="203"/>
      <c r="AJ114" s="203"/>
      <c r="AK114" s="203"/>
      <c r="AL114" s="203"/>
      <c r="AM114" s="203"/>
      <c r="AN114" s="203"/>
      <c r="AO114" s="203"/>
      <c r="AP114" s="203"/>
      <c r="AQ114" s="203"/>
      <c r="AR114" s="203"/>
      <c r="AS114" s="203"/>
      <c r="AT114" s="203"/>
      <c r="AU114" s="203"/>
      <c r="AV114" s="203"/>
      <c r="AW114" s="203"/>
      <c r="AX114" s="203"/>
      <c r="AY114" s="203"/>
      <c r="AZ114" s="203"/>
      <c r="BA114" s="203"/>
      <c r="BB114" s="203"/>
      <c r="BC114" s="203"/>
      <c r="BD114" s="203"/>
      <c r="BE114" s="203"/>
      <c r="BF114" s="203"/>
      <c r="BG114" s="203"/>
      <c r="BH114" s="203"/>
      <c r="BI114" s="204"/>
      <c r="BJ114" s="203"/>
      <c r="BK114" s="203"/>
      <c r="BL114" s="203"/>
      <c r="BM114" s="203"/>
      <c r="BN114" s="203"/>
      <c r="BO114" s="204"/>
      <c r="BP114" s="203"/>
      <c r="BQ114" s="203"/>
      <c r="BR114" s="203"/>
      <c r="BS114" s="203"/>
      <c r="BT114" s="203"/>
      <c r="BU114" s="203"/>
      <c r="BV114" s="203"/>
      <c r="BW114" s="203"/>
      <c r="BX114" s="203"/>
      <c r="BY114" s="203"/>
      <c r="BZ114" s="203"/>
      <c r="CA114" s="203"/>
      <c r="CB114" s="203"/>
    </row>
    <row r="115" spans="1:80">
      <c r="A115" s="212" t="s">
        <v>340</v>
      </c>
      <c r="B115" s="4" t="s">
        <v>17</v>
      </c>
      <c r="C115" s="9" t="s">
        <v>373</v>
      </c>
      <c r="D115" s="9" t="s">
        <v>21</v>
      </c>
      <c r="E115" s="5" t="s">
        <v>28</v>
      </c>
      <c r="F115" s="5" t="s">
        <v>118</v>
      </c>
      <c r="G115" s="297" t="s">
        <v>274</v>
      </c>
      <c r="H115" s="5"/>
      <c r="I115" s="300" t="s">
        <v>15</v>
      </c>
      <c r="J115" s="33"/>
      <c r="K115" s="33"/>
      <c r="L115" s="33"/>
      <c r="M115" s="33"/>
      <c r="N115" s="140"/>
      <c r="O115" s="140"/>
      <c r="P115" s="140"/>
      <c r="Q115" s="280" t="s">
        <v>412</v>
      </c>
      <c r="R115" s="203"/>
      <c r="S115" s="203"/>
      <c r="T115" s="203"/>
      <c r="U115" s="203"/>
      <c r="V115" s="203"/>
      <c r="W115" s="203"/>
      <c r="X115" s="203"/>
      <c r="Y115" s="203"/>
      <c r="Z115" s="203"/>
      <c r="AA115" s="203"/>
      <c r="AB115" s="203"/>
      <c r="AC115" s="203"/>
      <c r="AD115" s="203"/>
      <c r="AE115" s="203"/>
      <c r="AF115" s="203"/>
      <c r="AG115" s="203"/>
      <c r="AH115" s="203"/>
      <c r="AI115" s="203"/>
      <c r="AJ115" s="203"/>
      <c r="AK115" s="203"/>
      <c r="AL115" s="203"/>
      <c r="AM115" s="203"/>
      <c r="AN115" s="203"/>
      <c r="AO115" s="203"/>
      <c r="AP115" s="203"/>
      <c r="AQ115" s="203"/>
      <c r="AR115" s="203"/>
      <c r="AS115" s="203"/>
      <c r="AT115" s="203"/>
      <c r="AU115" s="203"/>
      <c r="AV115" s="203"/>
      <c r="AW115" s="203"/>
      <c r="AX115" s="203"/>
      <c r="AY115" s="203"/>
      <c r="AZ115" s="203"/>
      <c r="BA115" s="203"/>
      <c r="BB115" s="203"/>
      <c r="BC115" s="203"/>
      <c r="BD115" s="203"/>
      <c r="BE115" s="203"/>
      <c r="BF115" s="203"/>
      <c r="BG115" s="203"/>
      <c r="BH115" s="203"/>
      <c r="BI115" s="204"/>
      <c r="BJ115" s="203"/>
      <c r="BK115" s="203"/>
      <c r="BL115" s="203"/>
      <c r="BM115" s="203"/>
      <c r="BN115" s="203"/>
      <c r="BO115" s="204"/>
      <c r="BP115" s="203"/>
      <c r="BQ115" s="203"/>
      <c r="BR115" s="203"/>
      <c r="BS115" s="203"/>
      <c r="BT115" s="203"/>
      <c r="BU115" s="203"/>
      <c r="BV115" s="203"/>
      <c r="BW115" s="203"/>
      <c r="BX115" s="203"/>
      <c r="BY115" s="203"/>
      <c r="BZ115" s="203"/>
      <c r="CA115" s="203"/>
      <c r="CB115" s="203"/>
    </row>
    <row r="116" spans="1:80">
      <c r="A116" s="212" t="s">
        <v>340</v>
      </c>
      <c r="B116" s="4" t="s">
        <v>17</v>
      </c>
      <c r="C116" s="9" t="s">
        <v>411</v>
      </c>
      <c r="D116" s="9" t="s">
        <v>21</v>
      </c>
      <c r="E116" s="5" t="s">
        <v>108</v>
      </c>
      <c r="F116" s="304" t="s">
        <v>116</v>
      </c>
      <c r="G116" s="5" t="s">
        <v>341</v>
      </c>
      <c r="H116" s="5" t="s">
        <v>341</v>
      </c>
      <c r="I116" s="300" t="s">
        <v>439</v>
      </c>
      <c r="J116" s="33"/>
      <c r="K116" s="33"/>
      <c r="L116" s="33"/>
      <c r="M116" s="33"/>
      <c r="N116" s="140"/>
      <c r="O116" s="140"/>
      <c r="P116" s="140"/>
      <c r="Q116" s="280" t="s">
        <v>468</v>
      </c>
      <c r="R116" s="203"/>
      <c r="S116" s="203"/>
      <c r="T116" s="203"/>
      <c r="U116" s="203"/>
      <c r="V116" s="203"/>
      <c r="W116" s="203"/>
      <c r="X116" s="203"/>
      <c r="Y116" s="203"/>
      <c r="Z116" s="203"/>
      <c r="AA116" s="203"/>
      <c r="AB116" s="203"/>
      <c r="AC116" s="203"/>
      <c r="AD116" s="203"/>
      <c r="AE116" s="203"/>
      <c r="AF116" s="203"/>
      <c r="AG116" s="203"/>
      <c r="AH116" s="203"/>
      <c r="AI116" s="203"/>
      <c r="AJ116" s="203"/>
      <c r="AK116" s="203"/>
      <c r="AL116" s="203"/>
      <c r="AM116" s="203"/>
      <c r="AN116" s="203"/>
      <c r="AO116" s="203"/>
      <c r="AP116" s="203"/>
      <c r="AQ116" s="203"/>
      <c r="AR116" s="203"/>
      <c r="AS116" s="203"/>
      <c r="AT116" s="203"/>
      <c r="AU116" s="203"/>
      <c r="AV116" s="203"/>
      <c r="AW116" s="203"/>
      <c r="AX116" s="203"/>
      <c r="AY116" s="203"/>
      <c r="AZ116" s="203"/>
      <c r="BA116" s="203"/>
      <c r="BB116" s="203"/>
      <c r="BC116" s="203"/>
      <c r="BD116" s="203"/>
      <c r="BE116" s="203"/>
      <c r="BF116" s="203"/>
      <c r="BG116" s="203"/>
      <c r="BH116" s="203"/>
      <c r="BI116" s="204"/>
      <c r="BJ116" s="203"/>
      <c r="BK116" s="203"/>
      <c r="BL116" s="203"/>
      <c r="BM116" s="203"/>
      <c r="BN116" s="203"/>
      <c r="BO116" s="204"/>
      <c r="BP116" s="203"/>
      <c r="BQ116" s="203"/>
      <c r="BR116" s="203"/>
      <c r="BS116" s="203"/>
      <c r="BT116" s="203"/>
      <c r="BU116" s="203"/>
      <c r="BV116" s="203"/>
      <c r="BW116" s="203"/>
      <c r="BX116" s="203"/>
      <c r="BY116" s="203"/>
      <c r="BZ116" s="203"/>
      <c r="CA116" s="203"/>
      <c r="CB116" s="203"/>
    </row>
    <row r="117" spans="1:80">
      <c r="A117" s="212" t="s">
        <v>340</v>
      </c>
      <c r="B117" s="4" t="s">
        <v>17</v>
      </c>
      <c r="C117" s="9" t="s">
        <v>411</v>
      </c>
      <c r="D117" s="9" t="s">
        <v>21</v>
      </c>
      <c r="E117" s="5" t="s">
        <v>29</v>
      </c>
      <c r="F117" s="5" t="s">
        <v>64</v>
      </c>
      <c r="G117" s="297" t="s">
        <v>341</v>
      </c>
      <c r="H117" s="5" t="s">
        <v>274</v>
      </c>
      <c r="I117" s="299" t="s">
        <v>438</v>
      </c>
      <c r="J117" s="33"/>
      <c r="K117" s="33"/>
      <c r="L117" s="33"/>
      <c r="M117" s="33"/>
      <c r="N117" s="140"/>
      <c r="O117" s="140"/>
      <c r="P117" s="140"/>
      <c r="Q117" s="280"/>
      <c r="R117" s="203"/>
      <c r="S117" s="203"/>
      <c r="T117" s="203"/>
      <c r="U117" s="203"/>
      <c r="V117" s="203"/>
      <c r="W117" s="203"/>
      <c r="X117" s="203"/>
      <c r="Y117" s="203"/>
      <c r="Z117" s="203"/>
      <c r="AA117" s="203"/>
      <c r="AB117" s="203"/>
      <c r="AC117" s="203"/>
      <c r="AD117" s="203"/>
      <c r="AE117" s="203"/>
      <c r="AF117" s="203"/>
      <c r="AG117" s="203"/>
      <c r="AH117" s="203"/>
      <c r="AI117" s="203"/>
      <c r="AJ117" s="203"/>
      <c r="AK117" s="203"/>
      <c r="AL117" s="203"/>
      <c r="AM117" s="203"/>
      <c r="AN117" s="203"/>
      <c r="AO117" s="203"/>
      <c r="AP117" s="203"/>
      <c r="AQ117" s="203"/>
      <c r="AR117" s="203"/>
      <c r="AS117" s="203"/>
      <c r="AT117" s="203"/>
      <c r="AU117" s="203"/>
      <c r="AV117" s="203"/>
      <c r="AW117" s="203"/>
      <c r="AX117" s="203"/>
      <c r="AY117" s="203"/>
      <c r="AZ117" s="203"/>
      <c r="BA117" s="203"/>
      <c r="BB117" s="203"/>
      <c r="BC117" s="203"/>
      <c r="BD117" s="203"/>
      <c r="BE117" s="203"/>
      <c r="BF117" s="203"/>
      <c r="BG117" s="203"/>
      <c r="BH117" s="203"/>
      <c r="BI117" s="204"/>
      <c r="BJ117" s="203"/>
      <c r="BK117" s="203"/>
      <c r="BL117" s="203"/>
      <c r="BM117" s="203"/>
      <c r="BN117" s="203"/>
      <c r="BO117" s="204"/>
      <c r="BP117" s="203"/>
      <c r="BQ117" s="203"/>
      <c r="BR117" s="203"/>
      <c r="BS117" s="203"/>
      <c r="BT117" s="203"/>
      <c r="BU117" s="203"/>
      <c r="BV117" s="203"/>
      <c r="BW117" s="203"/>
      <c r="BX117" s="203"/>
      <c r="BY117" s="203"/>
      <c r="BZ117" s="203"/>
      <c r="CA117" s="203"/>
      <c r="CB117" s="203"/>
    </row>
    <row r="118" spans="1:80">
      <c r="A118" s="212" t="s">
        <v>340</v>
      </c>
      <c r="B118" s="4" t="s">
        <v>17</v>
      </c>
      <c r="C118" s="9" t="s">
        <v>374</v>
      </c>
      <c r="D118" s="9" t="s">
        <v>21</v>
      </c>
      <c r="E118" s="5" t="s">
        <v>108</v>
      </c>
      <c r="F118" s="304" t="s">
        <v>58</v>
      </c>
      <c r="G118" s="5" t="s">
        <v>341</v>
      </c>
      <c r="H118" s="5" t="s">
        <v>341</v>
      </c>
      <c r="I118" s="299" t="s">
        <v>439</v>
      </c>
      <c r="J118" s="33"/>
      <c r="K118" s="33"/>
      <c r="L118" s="33"/>
      <c r="M118" s="33"/>
      <c r="N118" s="140"/>
      <c r="O118" s="140"/>
      <c r="P118" s="140"/>
      <c r="Q118" s="280" t="s">
        <v>469</v>
      </c>
      <c r="R118" s="203"/>
      <c r="S118" s="203"/>
      <c r="T118" s="203"/>
      <c r="U118" s="203"/>
      <c r="V118" s="203"/>
      <c r="W118" s="203"/>
      <c r="X118" s="203"/>
      <c r="Y118" s="203"/>
      <c r="Z118" s="203"/>
      <c r="AA118" s="203"/>
      <c r="AB118" s="203"/>
      <c r="AC118" s="203"/>
      <c r="AD118" s="203"/>
      <c r="AE118" s="203"/>
      <c r="AF118" s="203"/>
      <c r="AG118" s="203"/>
      <c r="AH118" s="203"/>
      <c r="AI118" s="203"/>
      <c r="AJ118" s="203"/>
      <c r="AK118" s="203"/>
      <c r="AL118" s="203"/>
      <c r="AM118" s="203"/>
      <c r="AN118" s="203"/>
      <c r="AO118" s="203"/>
      <c r="AP118" s="203"/>
      <c r="AQ118" s="203"/>
      <c r="AR118" s="203"/>
      <c r="AS118" s="203"/>
      <c r="AT118" s="203"/>
      <c r="AU118" s="203"/>
      <c r="AV118" s="203"/>
      <c r="AW118" s="203"/>
      <c r="AX118" s="203"/>
      <c r="AY118" s="203"/>
      <c r="AZ118" s="203"/>
      <c r="BA118" s="203"/>
      <c r="BB118" s="203"/>
      <c r="BC118" s="203"/>
      <c r="BD118" s="203"/>
      <c r="BE118" s="203"/>
      <c r="BF118" s="203"/>
      <c r="BG118" s="203"/>
      <c r="BH118" s="203"/>
      <c r="BI118" s="204"/>
      <c r="BJ118" s="203"/>
      <c r="BK118" s="203"/>
      <c r="BL118" s="203"/>
      <c r="BM118" s="203"/>
      <c r="BN118" s="203"/>
      <c r="BO118" s="204"/>
      <c r="BP118" s="203"/>
      <c r="BQ118" s="203"/>
      <c r="BR118" s="203"/>
      <c r="BS118" s="203"/>
      <c r="BT118" s="203"/>
      <c r="BU118" s="203"/>
      <c r="BV118" s="203"/>
      <c r="BW118" s="203"/>
      <c r="BX118" s="203"/>
      <c r="BY118" s="203"/>
      <c r="BZ118" s="203"/>
      <c r="CA118" s="203"/>
      <c r="CB118" s="203"/>
    </row>
    <row r="119" spans="1:80">
      <c r="A119" s="212" t="s">
        <v>340</v>
      </c>
      <c r="B119" s="4" t="s">
        <v>17</v>
      </c>
      <c r="C119" s="9" t="s">
        <v>374</v>
      </c>
      <c r="D119" s="9" t="s">
        <v>21</v>
      </c>
      <c r="E119" s="5" t="s">
        <v>108</v>
      </c>
      <c r="F119" s="304" t="s">
        <v>59</v>
      </c>
      <c r="G119" s="5" t="s">
        <v>341</v>
      </c>
      <c r="H119" s="5" t="s">
        <v>341</v>
      </c>
      <c r="I119" s="299" t="s">
        <v>439</v>
      </c>
      <c r="J119" s="33"/>
      <c r="K119" s="33"/>
      <c r="L119" s="33"/>
      <c r="M119" s="33"/>
      <c r="N119" s="140"/>
      <c r="O119" s="140"/>
      <c r="P119" s="140"/>
      <c r="Q119" s="280" t="s">
        <v>469</v>
      </c>
      <c r="R119" s="203"/>
      <c r="S119" s="203"/>
      <c r="T119" s="203"/>
      <c r="U119" s="203"/>
      <c r="V119" s="203"/>
      <c r="W119" s="203"/>
      <c r="X119" s="203"/>
      <c r="Y119" s="203"/>
      <c r="Z119" s="203"/>
      <c r="AA119" s="203"/>
      <c r="AB119" s="203"/>
      <c r="AC119" s="203"/>
      <c r="AD119" s="203"/>
      <c r="AE119" s="203"/>
      <c r="AF119" s="203"/>
      <c r="AG119" s="203"/>
      <c r="AH119" s="203"/>
      <c r="AI119" s="203"/>
      <c r="AJ119" s="203"/>
      <c r="AK119" s="203"/>
      <c r="AL119" s="203"/>
      <c r="AM119" s="203"/>
      <c r="AN119" s="203"/>
      <c r="AO119" s="203"/>
      <c r="AP119" s="203"/>
      <c r="AQ119" s="203"/>
      <c r="AR119" s="203"/>
      <c r="AS119" s="203"/>
      <c r="AT119" s="203"/>
      <c r="AU119" s="203"/>
      <c r="AV119" s="203"/>
      <c r="AW119" s="203"/>
      <c r="AX119" s="203"/>
      <c r="AY119" s="203"/>
      <c r="AZ119" s="203"/>
      <c r="BA119" s="203"/>
      <c r="BB119" s="203"/>
      <c r="BC119" s="203"/>
      <c r="BD119" s="203"/>
      <c r="BE119" s="203"/>
      <c r="BF119" s="203"/>
      <c r="BG119" s="203"/>
      <c r="BH119" s="203"/>
      <c r="BI119" s="204"/>
      <c r="BJ119" s="203"/>
      <c r="BK119" s="203"/>
      <c r="BL119" s="203"/>
      <c r="BM119" s="203"/>
      <c r="BN119" s="203"/>
      <c r="BO119" s="204"/>
      <c r="BP119" s="203"/>
      <c r="BQ119" s="203"/>
      <c r="BR119" s="203"/>
      <c r="BS119" s="203"/>
      <c r="BT119" s="203"/>
      <c r="BU119" s="203"/>
      <c r="BV119" s="203"/>
      <c r="BW119" s="203"/>
      <c r="BX119" s="203"/>
      <c r="BY119" s="203"/>
      <c r="BZ119" s="203"/>
      <c r="CA119" s="203"/>
      <c r="CB119" s="203"/>
    </row>
    <row r="120" spans="1:80">
      <c r="A120" s="212" t="s">
        <v>340</v>
      </c>
      <c r="B120" s="4" t="s">
        <v>17</v>
      </c>
      <c r="C120" s="9" t="s">
        <v>372</v>
      </c>
      <c r="D120" s="9" t="s">
        <v>21</v>
      </c>
      <c r="E120" s="5" t="s">
        <v>29</v>
      </c>
      <c r="F120" s="5" t="s">
        <v>53</v>
      </c>
      <c r="G120" s="5" t="s">
        <v>40</v>
      </c>
      <c r="H120" s="5" t="s">
        <v>40</v>
      </c>
      <c r="I120" s="299" t="s">
        <v>439</v>
      </c>
      <c r="J120" s="33"/>
      <c r="K120" s="33"/>
      <c r="L120" s="33"/>
      <c r="M120" s="33"/>
      <c r="N120" s="140"/>
      <c r="O120" s="140"/>
      <c r="P120" s="140"/>
      <c r="Q120" s="280"/>
      <c r="R120" s="203"/>
      <c r="S120" s="203"/>
      <c r="T120" s="203"/>
      <c r="U120" s="203"/>
      <c r="V120" s="203"/>
      <c r="W120" s="203"/>
      <c r="X120" s="203"/>
      <c r="Y120" s="203"/>
      <c r="Z120" s="203"/>
      <c r="AA120" s="203"/>
      <c r="AB120" s="203"/>
      <c r="AC120" s="203"/>
      <c r="AD120" s="203"/>
      <c r="AE120" s="203"/>
      <c r="AF120" s="203"/>
      <c r="AG120" s="203"/>
      <c r="AH120" s="203"/>
      <c r="AI120" s="203"/>
      <c r="AJ120" s="203"/>
      <c r="AK120" s="203"/>
      <c r="AL120" s="203"/>
      <c r="AM120" s="203"/>
      <c r="AN120" s="203"/>
      <c r="AO120" s="203"/>
      <c r="AP120" s="203"/>
      <c r="AQ120" s="203"/>
      <c r="AR120" s="203"/>
      <c r="AS120" s="203"/>
      <c r="AT120" s="203"/>
      <c r="AU120" s="203"/>
      <c r="AV120" s="203"/>
      <c r="AW120" s="203"/>
      <c r="AX120" s="203"/>
      <c r="AY120" s="203"/>
      <c r="AZ120" s="203"/>
      <c r="BA120" s="203"/>
      <c r="BB120" s="203"/>
      <c r="BC120" s="203"/>
      <c r="BD120" s="203"/>
      <c r="BE120" s="203"/>
      <c r="BF120" s="203"/>
      <c r="BG120" s="203"/>
      <c r="BH120" s="203"/>
      <c r="BI120" s="204"/>
      <c r="BJ120" s="203"/>
      <c r="BK120" s="203"/>
      <c r="BL120" s="203"/>
      <c r="BM120" s="203"/>
      <c r="BN120" s="203"/>
      <c r="BO120" s="204"/>
      <c r="BP120" s="203"/>
      <c r="BQ120" s="203"/>
      <c r="BR120" s="203"/>
      <c r="BS120" s="203"/>
      <c r="BT120" s="203"/>
      <c r="BU120" s="203"/>
      <c r="BV120" s="203"/>
      <c r="BW120" s="203"/>
      <c r="BX120" s="203"/>
      <c r="BY120" s="203"/>
      <c r="BZ120" s="203"/>
      <c r="CA120" s="203"/>
      <c r="CB120" s="203"/>
    </row>
    <row r="121" spans="1:80">
      <c r="A121" s="212" t="s">
        <v>340</v>
      </c>
      <c r="B121" s="4" t="s">
        <v>17</v>
      </c>
      <c r="C121" s="9" t="s">
        <v>399</v>
      </c>
      <c r="D121" s="9" t="s">
        <v>21</v>
      </c>
      <c r="E121" s="5" t="s">
        <v>275</v>
      </c>
      <c r="F121" s="5" t="s">
        <v>117</v>
      </c>
      <c r="G121" s="297" t="s">
        <v>341</v>
      </c>
      <c r="H121" s="5" t="s">
        <v>274</v>
      </c>
      <c r="I121" s="299" t="s">
        <v>439</v>
      </c>
      <c r="J121" s="33"/>
      <c r="K121" s="33"/>
      <c r="L121" s="33"/>
      <c r="M121" s="33"/>
      <c r="N121" s="140"/>
      <c r="O121" s="140"/>
      <c r="P121" s="140"/>
      <c r="Q121" s="280" t="s">
        <v>467</v>
      </c>
      <c r="R121" s="203"/>
      <c r="S121" s="203"/>
      <c r="T121" s="203"/>
      <c r="U121" s="203"/>
      <c r="V121" s="203"/>
      <c r="W121" s="203"/>
      <c r="X121" s="203"/>
      <c r="Y121" s="203"/>
      <c r="Z121" s="203"/>
      <c r="AA121" s="203"/>
      <c r="AB121" s="203"/>
      <c r="AC121" s="203"/>
      <c r="AD121" s="203"/>
      <c r="AE121" s="203"/>
      <c r="AF121" s="203"/>
      <c r="AG121" s="203"/>
      <c r="AH121" s="203"/>
      <c r="AI121" s="203"/>
      <c r="AJ121" s="203"/>
      <c r="AK121" s="203"/>
      <c r="AL121" s="203"/>
      <c r="AM121" s="203"/>
      <c r="AN121" s="203"/>
      <c r="AO121" s="203"/>
      <c r="AP121" s="203"/>
      <c r="AQ121" s="203"/>
      <c r="AR121" s="203"/>
      <c r="AS121" s="203"/>
      <c r="AT121" s="203"/>
      <c r="AU121" s="203"/>
      <c r="AV121" s="203"/>
      <c r="AW121" s="203"/>
      <c r="AX121" s="203"/>
      <c r="AY121" s="203"/>
      <c r="AZ121" s="203"/>
      <c r="BA121" s="203"/>
      <c r="BB121" s="203"/>
      <c r="BC121" s="203"/>
      <c r="BD121" s="203"/>
      <c r="BE121" s="203"/>
      <c r="BF121" s="203"/>
      <c r="BG121" s="203"/>
      <c r="BH121" s="203"/>
      <c r="BI121" s="204"/>
      <c r="BJ121" s="203"/>
      <c r="BK121" s="203"/>
      <c r="BL121" s="203"/>
      <c r="BM121" s="203"/>
      <c r="BN121" s="203"/>
      <c r="BO121" s="204"/>
      <c r="BP121" s="203"/>
      <c r="BQ121" s="203"/>
      <c r="BR121" s="203"/>
      <c r="BS121" s="203"/>
      <c r="BT121" s="203"/>
      <c r="BU121" s="203"/>
      <c r="BV121" s="203"/>
      <c r="BW121" s="203"/>
      <c r="BX121" s="203"/>
      <c r="BY121" s="203"/>
      <c r="BZ121" s="203"/>
      <c r="CA121" s="203"/>
      <c r="CB121" s="203"/>
    </row>
    <row r="122" spans="1:80">
      <c r="A122" s="212" t="s">
        <v>340</v>
      </c>
      <c r="B122" s="4" t="s">
        <v>17</v>
      </c>
      <c r="C122" s="9" t="s">
        <v>374</v>
      </c>
      <c r="D122" s="9" t="s">
        <v>21</v>
      </c>
      <c r="E122" s="5" t="s">
        <v>108</v>
      </c>
      <c r="F122" s="304" t="s">
        <v>51</v>
      </c>
      <c r="G122" s="297" t="s">
        <v>341</v>
      </c>
      <c r="H122" s="5" t="s">
        <v>274</v>
      </c>
      <c r="I122" s="299" t="s">
        <v>439</v>
      </c>
      <c r="J122" s="33"/>
      <c r="K122" s="33"/>
      <c r="L122" s="33"/>
      <c r="M122" s="33"/>
      <c r="N122" s="140"/>
      <c r="O122" s="140"/>
      <c r="P122" s="140"/>
      <c r="Q122" s="280" t="s">
        <v>468</v>
      </c>
      <c r="R122" s="203"/>
      <c r="S122" s="203"/>
      <c r="T122" s="203"/>
      <c r="U122" s="203"/>
      <c r="V122" s="203"/>
      <c r="W122" s="203"/>
      <c r="X122" s="203"/>
      <c r="Y122" s="203"/>
      <c r="Z122" s="203"/>
      <c r="AA122" s="203"/>
      <c r="AB122" s="203"/>
      <c r="AC122" s="203"/>
      <c r="AD122" s="203"/>
      <c r="AE122" s="203"/>
      <c r="AF122" s="203"/>
      <c r="AG122" s="203"/>
      <c r="AH122" s="203"/>
      <c r="AI122" s="203"/>
      <c r="AJ122" s="203"/>
      <c r="AK122" s="203"/>
      <c r="AL122" s="203"/>
      <c r="AM122" s="203"/>
      <c r="AN122" s="203"/>
      <c r="AO122" s="203"/>
      <c r="AP122" s="203"/>
      <c r="AQ122" s="203"/>
      <c r="AR122" s="203"/>
      <c r="AS122" s="203"/>
      <c r="AT122" s="203"/>
      <c r="AU122" s="203"/>
      <c r="AV122" s="203"/>
      <c r="AW122" s="203"/>
      <c r="AX122" s="203"/>
      <c r="AY122" s="203"/>
      <c r="AZ122" s="203"/>
      <c r="BA122" s="203"/>
      <c r="BB122" s="203"/>
      <c r="BC122" s="203"/>
      <c r="BD122" s="203"/>
      <c r="BE122" s="203"/>
      <c r="BF122" s="203"/>
      <c r="BG122" s="203"/>
      <c r="BH122" s="203"/>
      <c r="BI122" s="204"/>
      <c r="BJ122" s="203"/>
      <c r="BK122" s="203"/>
      <c r="BL122" s="203"/>
      <c r="BM122" s="203"/>
      <c r="BN122" s="203"/>
      <c r="BO122" s="204"/>
      <c r="BP122" s="203"/>
      <c r="BQ122" s="203"/>
      <c r="BR122" s="203"/>
      <c r="BS122" s="203"/>
      <c r="BT122" s="203"/>
      <c r="BU122" s="203"/>
      <c r="BV122" s="203"/>
      <c r="BW122" s="203"/>
      <c r="BX122" s="203"/>
      <c r="BY122" s="203"/>
      <c r="BZ122" s="203"/>
      <c r="CA122" s="203"/>
      <c r="CB122" s="203"/>
    </row>
    <row r="123" spans="1:80">
      <c r="A123" s="212" t="s">
        <v>340</v>
      </c>
      <c r="B123" s="4" t="s">
        <v>17</v>
      </c>
      <c r="C123" s="9" t="s">
        <v>374</v>
      </c>
      <c r="D123" s="9" t="s">
        <v>21</v>
      </c>
      <c r="E123" s="5" t="s">
        <v>108</v>
      </c>
      <c r="F123" s="304" t="s">
        <v>52</v>
      </c>
      <c r="G123" s="297" t="s">
        <v>341</v>
      </c>
      <c r="H123" s="5" t="s">
        <v>274</v>
      </c>
      <c r="I123" s="299" t="s">
        <v>439</v>
      </c>
      <c r="J123" s="33"/>
      <c r="K123" s="33"/>
      <c r="L123" s="33"/>
      <c r="M123" s="33"/>
      <c r="N123" s="140"/>
      <c r="O123" s="140"/>
      <c r="P123" s="140"/>
      <c r="Q123" s="280" t="s">
        <v>468</v>
      </c>
      <c r="R123" s="203"/>
      <c r="S123" s="203"/>
      <c r="T123" s="203"/>
      <c r="U123" s="203"/>
      <c r="V123" s="203"/>
      <c r="W123" s="203"/>
      <c r="X123" s="203"/>
      <c r="Y123" s="203"/>
      <c r="Z123" s="203"/>
      <c r="AA123" s="203"/>
      <c r="AB123" s="203"/>
      <c r="AC123" s="203"/>
      <c r="AD123" s="203"/>
      <c r="AE123" s="203"/>
      <c r="AF123" s="203"/>
      <c r="AG123" s="203"/>
      <c r="AH123" s="203"/>
      <c r="AI123" s="203"/>
      <c r="AJ123" s="203"/>
      <c r="AK123" s="203"/>
      <c r="AL123" s="203"/>
      <c r="AM123" s="203"/>
      <c r="AN123" s="203"/>
      <c r="AO123" s="203"/>
      <c r="AP123" s="203"/>
      <c r="AQ123" s="203"/>
      <c r="AR123" s="203"/>
      <c r="AS123" s="203"/>
      <c r="AT123" s="203"/>
      <c r="AU123" s="203"/>
      <c r="AV123" s="203"/>
      <c r="AW123" s="203"/>
      <c r="AX123" s="203"/>
      <c r="AY123" s="203"/>
      <c r="AZ123" s="203"/>
      <c r="BA123" s="203"/>
      <c r="BB123" s="203"/>
      <c r="BC123" s="203"/>
      <c r="BD123" s="203"/>
      <c r="BE123" s="203"/>
      <c r="BF123" s="203"/>
      <c r="BG123" s="203"/>
      <c r="BH123" s="203"/>
      <c r="BI123" s="204"/>
      <c r="BJ123" s="203"/>
      <c r="BK123" s="203">
        <v>0.5</v>
      </c>
      <c r="BL123" s="203"/>
      <c r="BM123" s="203"/>
      <c r="BN123" s="203"/>
      <c r="BO123" s="204"/>
      <c r="BP123" s="203">
        <v>0.5</v>
      </c>
      <c r="BQ123" s="203"/>
      <c r="BR123" s="203"/>
      <c r="BS123" s="203"/>
      <c r="BT123" s="203"/>
      <c r="BU123" s="203">
        <v>0.5</v>
      </c>
      <c r="BV123" s="203"/>
      <c r="BW123" s="203"/>
      <c r="BX123" s="203"/>
      <c r="BY123" s="203"/>
      <c r="BZ123" s="203"/>
      <c r="CA123" s="203"/>
      <c r="CB123" s="203"/>
    </row>
    <row r="124" spans="1:80">
      <c r="A124" s="212" t="s">
        <v>340</v>
      </c>
      <c r="B124" s="4" t="s">
        <v>17</v>
      </c>
      <c r="C124" s="9" t="s">
        <v>374</v>
      </c>
      <c r="D124" s="9" t="s">
        <v>21</v>
      </c>
      <c r="E124" s="5" t="s">
        <v>108</v>
      </c>
      <c r="F124" s="304" t="s">
        <v>53</v>
      </c>
      <c r="G124" s="297" t="s">
        <v>341</v>
      </c>
      <c r="H124" s="5" t="s">
        <v>274</v>
      </c>
      <c r="I124" s="299" t="s">
        <v>439</v>
      </c>
      <c r="J124" s="33"/>
      <c r="K124" s="33"/>
      <c r="L124" s="33"/>
      <c r="M124" s="33"/>
      <c r="N124" s="140"/>
      <c r="O124" s="140"/>
      <c r="P124" s="140"/>
      <c r="Q124" s="280" t="s">
        <v>468</v>
      </c>
      <c r="R124" s="203"/>
      <c r="S124" s="203"/>
      <c r="T124" s="203"/>
      <c r="U124" s="203"/>
      <c r="V124" s="203"/>
      <c r="W124" s="203"/>
      <c r="X124" s="203"/>
      <c r="Y124" s="203"/>
      <c r="Z124" s="203"/>
      <c r="AA124" s="203"/>
      <c r="AB124" s="203"/>
      <c r="AC124" s="203"/>
      <c r="AD124" s="203"/>
      <c r="AE124" s="203"/>
      <c r="AF124" s="203"/>
      <c r="AG124" s="203"/>
      <c r="AH124" s="203"/>
      <c r="AI124" s="203"/>
      <c r="AJ124" s="203"/>
      <c r="AK124" s="203"/>
      <c r="AL124" s="203"/>
      <c r="AM124" s="203"/>
      <c r="AN124" s="203"/>
      <c r="AO124" s="203"/>
      <c r="AP124" s="203"/>
      <c r="AQ124" s="203"/>
      <c r="AR124" s="203"/>
      <c r="AS124" s="203"/>
      <c r="AT124" s="203"/>
      <c r="AU124" s="203"/>
      <c r="AV124" s="203"/>
      <c r="AW124" s="203"/>
      <c r="AX124" s="203"/>
      <c r="AY124" s="203"/>
      <c r="AZ124" s="203"/>
      <c r="BA124" s="203"/>
      <c r="BB124" s="203"/>
      <c r="BC124" s="203"/>
      <c r="BD124" s="203"/>
      <c r="BE124" s="203"/>
      <c r="BF124" s="203"/>
      <c r="BG124" s="203"/>
      <c r="BH124" s="203"/>
      <c r="BI124" s="204"/>
      <c r="BJ124" s="203"/>
      <c r="BK124" s="203"/>
      <c r="BL124" s="203"/>
      <c r="BM124" s="203"/>
      <c r="BN124" s="203"/>
      <c r="BO124" s="204"/>
      <c r="BP124" s="203">
        <v>0.5</v>
      </c>
      <c r="BQ124" s="203"/>
      <c r="BR124" s="203"/>
      <c r="BS124" s="203"/>
      <c r="BT124" s="203"/>
      <c r="BU124" s="203">
        <v>0.5</v>
      </c>
      <c r="BV124" s="203"/>
      <c r="BW124" s="203"/>
      <c r="BX124" s="203"/>
      <c r="BY124" s="203"/>
      <c r="BZ124" s="203">
        <v>0.5</v>
      </c>
      <c r="CA124" s="203"/>
      <c r="CB124" s="203"/>
    </row>
    <row r="125" spans="1:80" ht="10.4" customHeight="1">
      <c r="B125" s="5"/>
      <c r="C125" s="5"/>
      <c r="D125" s="5"/>
      <c r="E125" s="5"/>
      <c r="F125" s="5"/>
      <c r="G125" s="5"/>
      <c r="H125" s="5"/>
      <c r="I125" s="5"/>
      <c r="J125" s="7"/>
      <c r="K125" s="7"/>
      <c r="L125" s="7"/>
      <c r="M125" s="7"/>
      <c r="N125" s="7"/>
      <c r="O125" s="7"/>
      <c r="P125" s="1"/>
      <c r="Q125" s="281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205"/>
      <c r="BJ125" s="7"/>
      <c r="BK125" s="7"/>
      <c r="BL125" s="7"/>
      <c r="BM125" s="7"/>
      <c r="BN125" s="7"/>
      <c r="BO125" s="205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</row>
    <row r="126" spans="1:80" ht="17.899999999999999" customHeight="1">
      <c r="B126" s="141" t="s">
        <v>376</v>
      </c>
      <c r="C126" s="142"/>
      <c r="D126" s="142"/>
      <c r="E126" s="142"/>
      <c r="F126" s="142"/>
      <c r="G126" s="142"/>
      <c r="H126" s="142"/>
      <c r="I126" s="142"/>
      <c r="J126" s="143"/>
      <c r="K126" s="143"/>
      <c r="L126" s="143"/>
      <c r="M126" s="145"/>
      <c r="N126" s="144"/>
      <c r="O126" s="144"/>
      <c r="P126" s="144"/>
      <c r="Q126" s="279"/>
      <c r="R126" s="201"/>
      <c r="S126" s="201"/>
      <c r="T126" s="201"/>
      <c r="U126" s="201"/>
      <c r="V126" s="201"/>
      <c r="W126" s="201"/>
      <c r="X126" s="201"/>
      <c r="Y126" s="201"/>
      <c r="Z126" s="201"/>
      <c r="AA126" s="201"/>
      <c r="AB126" s="201"/>
      <c r="AC126" s="201"/>
      <c r="AD126" s="201"/>
      <c r="AE126" s="201"/>
      <c r="AF126" s="201"/>
      <c r="AG126" s="201"/>
      <c r="AH126" s="201"/>
      <c r="AI126" s="201"/>
      <c r="AJ126" s="201"/>
      <c r="AK126" s="201"/>
      <c r="AL126" s="201"/>
      <c r="AM126" s="201"/>
      <c r="AN126" s="201"/>
      <c r="AO126" s="201"/>
      <c r="AP126" s="201"/>
      <c r="AQ126" s="201"/>
      <c r="AR126" s="201"/>
      <c r="AS126" s="201"/>
      <c r="AT126" s="201"/>
      <c r="AU126" s="201"/>
      <c r="AV126" s="201"/>
      <c r="AW126" s="201"/>
      <c r="AX126" s="201"/>
      <c r="AY126" s="201"/>
      <c r="AZ126" s="201"/>
      <c r="BA126" s="201"/>
      <c r="BB126" s="201"/>
      <c r="BC126" s="201"/>
      <c r="BD126" s="201"/>
      <c r="BE126" s="201"/>
      <c r="BF126" s="201"/>
      <c r="BG126" s="201"/>
      <c r="BH126" s="201"/>
      <c r="BI126" s="202"/>
      <c r="BJ126" s="201"/>
      <c r="BK126" s="201"/>
      <c r="BL126" s="201"/>
      <c r="BM126" s="201"/>
      <c r="BN126" s="201"/>
      <c r="BO126" s="202"/>
      <c r="BP126" s="201"/>
      <c r="BQ126" s="201"/>
      <c r="BR126" s="201"/>
      <c r="BS126" s="201"/>
      <c r="BT126" s="201"/>
      <c r="BU126" s="201"/>
      <c r="BV126" s="201"/>
      <c r="BW126" s="201"/>
      <c r="BX126" s="201"/>
      <c r="BY126" s="201"/>
      <c r="BZ126" s="201"/>
      <c r="CA126" s="201"/>
      <c r="CB126" s="201"/>
    </row>
    <row r="127" spans="1:80">
      <c r="A127" s="212" t="s">
        <v>380</v>
      </c>
      <c r="B127" s="4" t="s">
        <v>17</v>
      </c>
      <c r="C127" s="9" t="s">
        <v>371</v>
      </c>
      <c r="D127" s="9" t="s">
        <v>21</v>
      </c>
      <c r="E127" s="200" t="s">
        <v>29</v>
      </c>
      <c r="F127" s="200" t="s">
        <v>62</v>
      </c>
      <c r="G127" s="5"/>
      <c r="H127" s="5"/>
      <c r="I127" s="5"/>
      <c r="J127" s="36"/>
      <c r="K127" s="36"/>
      <c r="L127" s="36"/>
      <c r="M127" s="36"/>
      <c r="N127" s="35"/>
      <c r="O127" s="35"/>
      <c r="P127" s="35"/>
      <c r="Q127" s="282"/>
      <c r="R127" s="203"/>
      <c r="S127" s="203"/>
      <c r="T127" s="203"/>
      <c r="U127" s="203"/>
      <c r="V127" s="203"/>
      <c r="W127" s="203"/>
      <c r="X127" s="203"/>
      <c r="Y127" s="203"/>
      <c r="Z127" s="203"/>
      <c r="AA127" s="203"/>
      <c r="AB127" s="203"/>
      <c r="AC127" s="203"/>
      <c r="AD127" s="203"/>
      <c r="AE127" s="203"/>
      <c r="AF127" s="203"/>
      <c r="AG127" s="203"/>
      <c r="AH127" s="203"/>
      <c r="AI127" s="203"/>
      <c r="AJ127" s="203"/>
      <c r="AK127" s="203"/>
      <c r="AL127" s="203"/>
      <c r="AM127" s="203"/>
      <c r="AN127" s="203"/>
      <c r="AO127" s="203"/>
      <c r="AP127" s="203"/>
      <c r="AQ127" s="203"/>
      <c r="AR127" s="203"/>
      <c r="AS127" s="203"/>
      <c r="AT127" s="203"/>
      <c r="AU127" s="203"/>
      <c r="AV127" s="203"/>
      <c r="AW127" s="203"/>
      <c r="AX127" s="203"/>
      <c r="AY127" s="203"/>
      <c r="AZ127" s="203"/>
      <c r="BA127" s="203"/>
      <c r="BB127" s="203"/>
      <c r="BC127" s="203"/>
      <c r="BD127" s="203"/>
      <c r="BE127" s="203"/>
      <c r="BF127" s="203"/>
      <c r="BG127" s="203"/>
      <c r="BH127" s="203"/>
      <c r="BI127" s="204"/>
      <c r="BJ127" s="203"/>
      <c r="BK127" s="203"/>
      <c r="BL127" s="203"/>
      <c r="BM127" s="203"/>
      <c r="BN127" s="203"/>
      <c r="BO127" s="204"/>
      <c r="BP127" s="203"/>
      <c r="BQ127" s="203"/>
      <c r="BR127" s="203"/>
      <c r="BS127" s="203"/>
      <c r="BT127" s="203"/>
      <c r="BU127" s="203"/>
      <c r="BV127" s="203"/>
      <c r="BW127" s="203"/>
      <c r="BX127" s="203"/>
      <c r="BY127" s="203"/>
      <c r="BZ127" s="203"/>
      <c r="CA127" s="203"/>
      <c r="CB127" s="203"/>
    </row>
    <row r="128" spans="1:80">
      <c r="A128" s="212" t="s">
        <v>380</v>
      </c>
      <c r="B128" s="4" t="s">
        <v>17</v>
      </c>
      <c r="C128" s="9" t="s">
        <v>371</v>
      </c>
      <c r="D128" s="9" t="s">
        <v>21</v>
      </c>
      <c r="E128" s="200" t="s">
        <v>29</v>
      </c>
      <c r="F128" s="200" t="s">
        <v>87</v>
      </c>
      <c r="G128" s="5"/>
      <c r="H128" s="5"/>
      <c r="I128" s="5"/>
      <c r="J128" s="36"/>
      <c r="K128" s="36"/>
      <c r="L128" s="36"/>
      <c r="M128" s="36"/>
      <c r="N128" s="35"/>
      <c r="O128" s="35"/>
      <c r="P128" s="35"/>
      <c r="Q128" s="282"/>
      <c r="R128" s="203"/>
      <c r="S128" s="203"/>
      <c r="T128" s="203"/>
      <c r="U128" s="203"/>
      <c r="V128" s="203"/>
      <c r="W128" s="203"/>
      <c r="X128" s="203"/>
      <c r="Y128" s="203"/>
      <c r="Z128" s="203"/>
      <c r="AA128" s="203"/>
      <c r="AB128" s="203"/>
      <c r="AC128" s="203"/>
      <c r="AD128" s="203"/>
      <c r="AE128" s="203"/>
      <c r="AF128" s="203"/>
      <c r="AG128" s="203"/>
      <c r="AH128" s="203"/>
      <c r="AI128" s="203"/>
      <c r="AJ128" s="203"/>
      <c r="AK128" s="203"/>
      <c r="AL128" s="203"/>
      <c r="AM128" s="203"/>
      <c r="AN128" s="203"/>
      <c r="AO128" s="203"/>
      <c r="AP128" s="203"/>
      <c r="AQ128" s="203"/>
      <c r="AR128" s="203"/>
      <c r="AS128" s="203"/>
      <c r="AT128" s="203"/>
      <c r="AU128" s="203"/>
      <c r="AV128" s="203"/>
      <c r="AW128" s="203"/>
      <c r="AX128" s="203"/>
      <c r="AY128" s="203"/>
      <c r="AZ128" s="203"/>
      <c r="BA128" s="203"/>
      <c r="BB128" s="203"/>
      <c r="BC128" s="203"/>
      <c r="BD128" s="203"/>
      <c r="BE128" s="203"/>
      <c r="BF128" s="203"/>
      <c r="BG128" s="203"/>
      <c r="BH128" s="203"/>
      <c r="BI128" s="204"/>
      <c r="BJ128" s="203"/>
      <c r="BK128" s="203"/>
      <c r="BL128" s="203"/>
      <c r="BM128" s="203"/>
      <c r="BN128" s="203"/>
      <c r="BO128" s="204"/>
      <c r="BP128" s="203"/>
      <c r="BQ128" s="203"/>
      <c r="BR128" s="203"/>
      <c r="BS128" s="203"/>
      <c r="BT128" s="203"/>
      <c r="BU128" s="203"/>
      <c r="BV128" s="203"/>
      <c r="BW128" s="203"/>
      <c r="BX128" s="203"/>
      <c r="BY128" s="203"/>
      <c r="BZ128" s="203"/>
      <c r="CA128" s="203"/>
      <c r="CB128" s="203"/>
    </row>
    <row r="129" spans="1:80">
      <c r="A129" s="212" t="s">
        <v>380</v>
      </c>
      <c r="B129" s="4" t="s">
        <v>17</v>
      </c>
      <c r="C129" s="9" t="s">
        <v>371</v>
      </c>
      <c r="D129" s="9" t="s">
        <v>21</v>
      </c>
      <c r="E129" s="200" t="s">
        <v>29</v>
      </c>
      <c r="F129" s="200" t="s">
        <v>88</v>
      </c>
      <c r="G129" s="5"/>
      <c r="H129" s="5"/>
      <c r="I129" s="5"/>
      <c r="J129" s="36"/>
      <c r="K129" s="36"/>
      <c r="L129" s="36"/>
      <c r="M129" s="36"/>
      <c r="N129" s="35"/>
      <c r="O129" s="35"/>
      <c r="P129" s="35"/>
      <c r="Q129" s="282"/>
      <c r="R129" s="203"/>
      <c r="S129" s="203"/>
      <c r="T129" s="203"/>
      <c r="U129" s="203"/>
      <c r="V129" s="203"/>
      <c r="W129" s="203"/>
      <c r="X129" s="203"/>
      <c r="Y129" s="203"/>
      <c r="Z129" s="203"/>
      <c r="AA129" s="203"/>
      <c r="AB129" s="203"/>
      <c r="AC129" s="203"/>
      <c r="AD129" s="203"/>
      <c r="AE129" s="203"/>
      <c r="AF129" s="203"/>
      <c r="AG129" s="203"/>
      <c r="AH129" s="203"/>
      <c r="AI129" s="203"/>
      <c r="AJ129" s="203"/>
      <c r="AK129" s="203"/>
      <c r="AL129" s="203"/>
      <c r="AM129" s="203"/>
      <c r="AN129" s="203"/>
      <c r="AO129" s="203"/>
      <c r="AP129" s="203"/>
      <c r="AQ129" s="203"/>
      <c r="AR129" s="203"/>
      <c r="AS129" s="203"/>
      <c r="AT129" s="203"/>
      <c r="AU129" s="203"/>
      <c r="AV129" s="203"/>
      <c r="AW129" s="203"/>
      <c r="AX129" s="203"/>
      <c r="AY129" s="203"/>
      <c r="AZ129" s="203"/>
      <c r="BA129" s="203"/>
      <c r="BB129" s="203"/>
      <c r="BC129" s="203"/>
      <c r="BD129" s="203"/>
      <c r="BE129" s="203"/>
      <c r="BF129" s="203"/>
      <c r="BG129" s="203"/>
      <c r="BH129" s="203"/>
      <c r="BI129" s="204"/>
      <c r="BJ129" s="203"/>
      <c r="BK129" s="203"/>
      <c r="BL129" s="203"/>
      <c r="BM129" s="203"/>
      <c r="BN129" s="203"/>
      <c r="BO129" s="204"/>
      <c r="BP129" s="203"/>
      <c r="BQ129" s="203"/>
      <c r="BR129" s="203"/>
      <c r="BS129" s="203"/>
      <c r="BT129" s="203"/>
      <c r="BU129" s="203"/>
      <c r="BV129" s="203"/>
      <c r="BW129" s="203"/>
      <c r="BX129" s="203"/>
      <c r="BY129" s="203"/>
      <c r="BZ129" s="203"/>
      <c r="CA129" s="203"/>
      <c r="CB129" s="203"/>
    </row>
    <row r="130" spans="1:80">
      <c r="A130" s="212" t="s">
        <v>380</v>
      </c>
      <c r="B130" s="4" t="s">
        <v>17</v>
      </c>
      <c r="C130" s="9" t="s">
        <v>371</v>
      </c>
      <c r="D130" s="9" t="s">
        <v>21</v>
      </c>
      <c r="E130" s="200" t="s">
        <v>29</v>
      </c>
      <c r="F130" s="200" t="s">
        <v>89</v>
      </c>
      <c r="G130" s="5"/>
      <c r="H130" s="5"/>
      <c r="I130" s="5"/>
      <c r="J130" s="36"/>
      <c r="K130" s="36"/>
      <c r="L130" s="36"/>
      <c r="M130" s="36"/>
      <c r="N130" s="35"/>
      <c r="O130" s="35"/>
      <c r="P130" s="35"/>
      <c r="Q130" s="282"/>
      <c r="R130" s="203"/>
      <c r="S130" s="203"/>
      <c r="T130" s="203"/>
      <c r="U130" s="203"/>
      <c r="V130" s="203"/>
      <c r="W130" s="203"/>
      <c r="X130" s="203"/>
      <c r="Y130" s="203"/>
      <c r="Z130" s="203"/>
      <c r="AA130" s="203"/>
      <c r="AB130" s="203"/>
      <c r="AC130" s="203"/>
      <c r="AD130" s="203"/>
      <c r="AE130" s="203"/>
      <c r="AF130" s="203"/>
      <c r="AG130" s="203"/>
      <c r="AH130" s="203"/>
      <c r="AI130" s="203"/>
      <c r="AJ130" s="203"/>
      <c r="AK130" s="203"/>
      <c r="AL130" s="203"/>
      <c r="AM130" s="203"/>
      <c r="AN130" s="203"/>
      <c r="AO130" s="203"/>
      <c r="AP130" s="203"/>
      <c r="AQ130" s="203"/>
      <c r="AR130" s="203"/>
      <c r="AS130" s="203"/>
      <c r="AT130" s="203"/>
      <c r="AU130" s="203"/>
      <c r="AV130" s="203"/>
      <c r="AW130" s="203"/>
      <c r="AX130" s="203"/>
      <c r="AY130" s="203"/>
      <c r="AZ130" s="203"/>
      <c r="BA130" s="203"/>
      <c r="BB130" s="203"/>
      <c r="BC130" s="203"/>
      <c r="BD130" s="203"/>
      <c r="BE130" s="203"/>
      <c r="BF130" s="203"/>
      <c r="BG130" s="203"/>
      <c r="BH130" s="203"/>
      <c r="BI130" s="204"/>
      <c r="BJ130" s="203"/>
      <c r="BK130" s="203"/>
      <c r="BL130" s="203"/>
      <c r="BM130" s="203"/>
      <c r="BN130" s="203"/>
      <c r="BO130" s="204"/>
      <c r="BP130" s="203"/>
      <c r="BQ130" s="203"/>
      <c r="BR130" s="203"/>
      <c r="BS130" s="203"/>
      <c r="BT130" s="203"/>
      <c r="BU130" s="203"/>
      <c r="BV130" s="203"/>
      <c r="BW130" s="203"/>
      <c r="BX130" s="203"/>
      <c r="BY130" s="203"/>
      <c r="BZ130" s="203"/>
      <c r="CA130" s="203"/>
      <c r="CB130" s="203"/>
    </row>
    <row r="131" spans="1:80">
      <c r="A131" s="212" t="s">
        <v>380</v>
      </c>
      <c r="B131" s="4" t="s">
        <v>17</v>
      </c>
      <c r="C131" s="9" t="s">
        <v>251</v>
      </c>
      <c r="D131" s="9" t="s">
        <v>21</v>
      </c>
      <c r="E131" s="200" t="s">
        <v>29</v>
      </c>
      <c r="F131" s="200" t="s">
        <v>91</v>
      </c>
      <c r="G131" s="5"/>
      <c r="H131" s="5"/>
      <c r="I131" s="5"/>
      <c r="J131" s="37"/>
      <c r="K131" s="37"/>
      <c r="L131" s="37"/>
      <c r="M131" s="37"/>
      <c r="N131" s="34"/>
      <c r="O131" s="34"/>
      <c r="P131" s="34"/>
      <c r="Q131" s="280"/>
      <c r="R131" s="203"/>
      <c r="S131" s="203"/>
      <c r="T131" s="203"/>
      <c r="U131" s="203"/>
      <c r="V131" s="203"/>
      <c r="W131" s="203"/>
      <c r="X131" s="203"/>
      <c r="Y131" s="203"/>
      <c r="Z131" s="203"/>
      <c r="AA131" s="203"/>
      <c r="AB131" s="203"/>
      <c r="AC131" s="203"/>
      <c r="AD131" s="203"/>
      <c r="AE131" s="203"/>
      <c r="AF131" s="203"/>
      <c r="AG131" s="203"/>
      <c r="AH131" s="203"/>
      <c r="AI131" s="203"/>
      <c r="AJ131" s="203"/>
      <c r="AK131" s="203"/>
      <c r="AL131" s="203"/>
      <c r="AM131" s="203"/>
      <c r="AN131" s="203"/>
      <c r="AO131" s="203"/>
      <c r="AP131" s="203"/>
      <c r="AQ131" s="203"/>
      <c r="AR131" s="203"/>
      <c r="AS131" s="203"/>
      <c r="AT131" s="203"/>
      <c r="AU131" s="203"/>
      <c r="AV131" s="203"/>
      <c r="AW131" s="203"/>
      <c r="AX131" s="203"/>
      <c r="AY131" s="203"/>
      <c r="AZ131" s="203"/>
      <c r="BA131" s="203"/>
      <c r="BB131" s="203"/>
      <c r="BC131" s="203"/>
      <c r="BD131" s="203"/>
      <c r="BE131" s="203"/>
      <c r="BF131" s="203"/>
      <c r="BG131" s="203"/>
      <c r="BH131" s="203"/>
      <c r="BI131" s="204"/>
      <c r="BJ131" s="203"/>
      <c r="BK131" s="203"/>
      <c r="BL131" s="203"/>
      <c r="BM131" s="203"/>
      <c r="BN131" s="203"/>
      <c r="BO131" s="204"/>
      <c r="BP131" s="203"/>
      <c r="BQ131" s="203"/>
      <c r="BR131" s="203"/>
      <c r="BS131" s="203"/>
      <c r="BT131" s="203"/>
      <c r="BU131" s="203"/>
      <c r="BV131" s="203"/>
      <c r="BW131" s="203"/>
      <c r="BX131" s="203"/>
      <c r="BY131" s="203"/>
      <c r="BZ131" s="203"/>
      <c r="CA131" s="203"/>
      <c r="CB131" s="203"/>
    </row>
    <row r="132" spans="1:80">
      <c r="A132" s="212" t="s">
        <v>380</v>
      </c>
      <c r="B132" s="4" t="s">
        <v>17</v>
      </c>
      <c r="C132" s="9" t="s">
        <v>251</v>
      </c>
      <c r="D132" s="9" t="s">
        <v>21</v>
      </c>
      <c r="E132" s="200" t="s">
        <v>29</v>
      </c>
      <c r="F132" s="200" t="s">
        <v>94</v>
      </c>
      <c r="G132" s="5"/>
      <c r="H132" s="5"/>
      <c r="I132" s="5"/>
      <c r="J132" s="37"/>
      <c r="K132" s="37"/>
      <c r="L132" s="37"/>
      <c r="M132" s="37"/>
      <c r="N132" s="34"/>
      <c r="O132" s="34"/>
      <c r="P132" s="34"/>
      <c r="Q132" s="280"/>
      <c r="R132" s="203"/>
      <c r="S132" s="203"/>
      <c r="T132" s="203"/>
      <c r="U132" s="203"/>
      <c r="V132" s="203"/>
      <c r="W132" s="203"/>
      <c r="X132" s="203"/>
      <c r="Y132" s="203"/>
      <c r="Z132" s="203"/>
      <c r="AA132" s="203"/>
      <c r="AB132" s="203"/>
      <c r="AC132" s="203"/>
      <c r="AD132" s="203"/>
      <c r="AE132" s="203"/>
      <c r="AF132" s="203"/>
      <c r="AG132" s="203"/>
      <c r="AH132" s="203"/>
      <c r="AI132" s="203"/>
      <c r="AJ132" s="203"/>
      <c r="AK132" s="203"/>
      <c r="AL132" s="203"/>
      <c r="AM132" s="203"/>
      <c r="AN132" s="203"/>
      <c r="AO132" s="203"/>
      <c r="AP132" s="203"/>
      <c r="AQ132" s="203"/>
      <c r="AR132" s="203"/>
      <c r="AS132" s="203"/>
      <c r="AT132" s="203"/>
      <c r="AU132" s="203"/>
      <c r="AV132" s="203"/>
      <c r="AW132" s="203"/>
      <c r="AX132" s="203"/>
      <c r="AY132" s="203"/>
      <c r="AZ132" s="203"/>
      <c r="BA132" s="203"/>
      <c r="BB132" s="203"/>
      <c r="BC132" s="203"/>
      <c r="BD132" s="203"/>
      <c r="BE132" s="203"/>
      <c r="BF132" s="203"/>
      <c r="BG132" s="203"/>
      <c r="BH132" s="203"/>
      <c r="BI132" s="204"/>
      <c r="BJ132" s="203"/>
      <c r="BK132" s="203"/>
      <c r="BL132" s="203"/>
      <c r="BM132" s="203"/>
      <c r="BN132" s="203"/>
      <c r="BO132" s="204"/>
      <c r="BP132" s="203"/>
      <c r="BQ132" s="203"/>
      <c r="BR132" s="203"/>
      <c r="BS132" s="203"/>
      <c r="BT132" s="203"/>
      <c r="BU132" s="203"/>
      <c r="BV132" s="203"/>
      <c r="BW132" s="203"/>
      <c r="BX132" s="203"/>
      <c r="BY132" s="203"/>
      <c r="BZ132" s="203"/>
      <c r="CA132" s="203"/>
      <c r="CB132" s="203"/>
    </row>
    <row r="133" spans="1:80">
      <c r="A133" s="212" t="s">
        <v>380</v>
      </c>
      <c r="B133" s="4" t="s">
        <v>17</v>
      </c>
      <c r="C133" s="9" t="s">
        <v>371</v>
      </c>
      <c r="D133" s="9" t="s">
        <v>21</v>
      </c>
      <c r="E133" s="200" t="s">
        <v>29</v>
      </c>
      <c r="F133" s="200" t="s">
        <v>51</v>
      </c>
      <c r="G133" s="5"/>
      <c r="H133" s="5"/>
      <c r="I133" s="5"/>
      <c r="J133" s="37"/>
      <c r="K133" s="37"/>
      <c r="L133" s="37"/>
      <c r="M133" s="37"/>
      <c r="N133" s="34"/>
      <c r="O133" s="34"/>
      <c r="P133" s="34"/>
      <c r="Q133" s="280"/>
      <c r="R133" s="203"/>
      <c r="S133" s="203"/>
      <c r="T133" s="203"/>
      <c r="U133" s="203"/>
      <c r="V133" s="203"/>
      <c r="W133" s="203"/>
      <c r="X133" s="203"/>
      <c r="Y133" s="203"/>
      <c r="Z133" s="203"/>
      <c r="AA133" s="203"/>
      <c r="AB133" s="203"/>
      <c r="AC133" s="203"/>
      <c r="AD133" s="203"/>
      <c r="AE133" s="203"/>
      <c r="AF133" s="203"/>
      <c r="AG133" s="203"/>
      <c r="AH133" s="203"/>
      <c r="AI133" s="203"/>
      <c r="AJ133" s="203"/>
      <c r="AK133" s="203"/>
      <c r="AL133" s="203"/>
      <c r="AM133" s="203"/>
      <c r="AN133" s="203"/>
      <c r="AO133" s="203"/>
      <c r="AP133" s="203"/>
      <c r="AQ133" s="203"/>
      <c r="AR133" s="203"/>
      <c r="AS133" s="203"/>
      <c r="AT133" s="203"/>
      <c r="AU133" s="203"/>
      <c r="AV133" s="203"/>
      <c r="AW133" s="203"/>
      <c r="AX133" s="203"/>
      <c r="AY133" s="203"/>
      <c r="AZ133" s="203"/>
      <c r="BA133" s="203"/>
      <c r="BB133" s="203"/>
      <c r="BC133" s="203"/>
      <c r="BD133" s="203"/>
      <c r="BE133" s="203"/>
      <c r="BF133" s="203"/>
      <c r="BG133" s="203"/>
      <c r="BH133" s="203"/>
      <c r="BI133" s="204"/>
      <c r="BJ133" s="203"/>
      <c r="BK133" s="203"/>
      <c r="BL133" s="203"/>
      <c r="BM133" s="203"/>
      <c r="BN133" s="203"/>
      <c r="BO133" s="204"/>
      <c r="BP133" s="203"/>
      <c r="BQ133" s="203"/>
      <c r="BR133" s="203"/>
      <c r="BS133" s="203"/>
      <c r="BT133" s="203"/>
      <c r="BU133" s="203"/>
      <c r="BV133" s="203"/>
      <c r="BW133" s="203"/>
      <c r="BX133" s="203"/>
      <c r="BY133" s="203"/>
      <c r="BZ133" s="203"/>
      <c r="CA133" s="203"/>
      <c r="CB133" s="203"/>
    </row>
    <row r="134" spans="1:80">
      <c r="A134" s="212" t="s">
        <v>380</v>
      </c>
      <c r="B134" s="4" t="s">
        <v>17</v>
      </c>
      <c r="C134" s="9" t="s">
        <v>372</v>
      </c>
      <c r="D134" s="9" t="s">
        <v>21</v>
      </c>
      <c r="E134" s="200" t="s">
        <v>29</v>
      </c>
      <c r="F134" s="200" t="s">
        <v>68</v>
      </c>
      <c r="G134" s="5"/>
      <c r="H134" s="5"/>
      <c r="I134" s="5"/>
      <c r="J134" s="37"/>
      <c r="K134" s="37"/>
      <c r="L134" s="37"/>
      <c r="M134" s="37"/>
      <c r="N134" s="34"/>
      <c r="O134" s="34"/>
      <c r="P134" s="34"/>
      <c r="Q134" s="280"/>
      <c r="R134" s="203"/>
      <c r="S134" s="203"/>
      <c r="T134" s="203"/>
      <c r="U134" s="203"/>
      <c r="V134" s="203"/>
      <c r="W134" s="203"/>
      <c r="X134" s="203"/>
      <c r="Y134" s="203"/>
      <c r="Z134" s="203"/>
      <c r="AA134" s="203"/>
      <c r="AB134" s="203"/>
      <c r="AC134" s="203"/>
      <c r="AD134" s="203"/>
      <c r="AE134" s="203"/>
      <c r="AF134" s="203"/>
      <c r="AG134" s="203"/>
      <c r="AH134" s="203"/>
      <c r="AI134" s="203"/>
      <c r="AJ134" s="203"/>
      <c r="AK134" s="203"/>
      <c r="AL134" s="203"/>
      <c r="AM134" s="203"/>
      <c r="AN134" s="203"/>
      <c r="AO134" s="203"/>
      <c r="AP134" s="203"/>
      <c r="AQ134" s="203"/>
      <c r="AR134" s="203"/>
      <c r="AS134" s="203"/>
      <c r="AT134" s="203"/>
      <c r="AU134" s="203"/>
      <c r="AV134" s="203"/>
      <c r="AW134" s="203"/>
      <c r="AX134" s="203"/>
      <c r="AY134" s="203"/>
      <c r="AZ134" s="203"/>
      <c r="BA134" s="203"/>
      <c r="BB134" s="203"/>
      <c r="BC134" s="203"/>
      <c r="BD134" s="203"/>
      <c r="BE134" s="203"/>
      <c r="BF134" s="203"/>
      <c r="BG134" s="203"/>
      <c r="BH134" s="203"/>
      <c r="BI134" s="204"/>
      <c r="BJ134" s="203"/>
      <c r="BK134" s="203"/>
      <c r="BL134" s="203"/>
      <c r="BM134" s="203"/>
      <c r="BN134" s="203"/>
      <c r="BO134" s="204"/>
      <c r="BP134" s="203"/>
      <c r="BQ134" s="203"/>
      <c r="BR134" s="203"/>
      <c r="BS134" s="203"/>
      <c r="BT134" s="203"/>
      <c r="BU134" s="203"/>
      <c r="BV134" s="203"/>
      <c r="BW134" s="203"/>
      <c r="BX134" s="203"/>
      <c r="BY134" s="203"/>
      <c r="BZ134" s="203"/>
      <c r="CA134" s="203"/>
      <c r="CB134" s="203"/>
    </row>
    <row r="135" spans="1:80">
      <c r="A135" s="212" t="s">
        <v>380</v>
      </c>
      <c r="B135" s="4" t="s">
        <v>17</v>
      </c>
      <c r="C135" s="9" t="s">
        <v>372</v>
      </c>
      <c r="D135" s="9" t="s">
        <v>21</v>
      </c>
      <c r="E135" s="200" t="s">
        <v>29</v>
      </c>
      <c r="F135" s="200" t="s">
        <v>52</v>
      </c>
      <c r="G135" s="5"/>
      <c r="H135" s="5"/>
      <c r="I135" s="5"/>
      <c r="J135" s="37"/>
      <c r="K135" s="37"/>
      <c r="L135" s="37"/>
      <c r="M135" s="37"/>
      <c r="N135" s="34"/>
      <c r="O135" s="34"/>
      <c r="P135" s="34"/>
      <c r="Q135" s="280"/>
      <c r="R135" s="203"/>
      <c r="S135" s="203"/>
      <c r="T135" s="203"/>
      <c r="U135" s="203"/>
      <c r="V135" s="203"/>
      <c r="W135" s="203"/>
      <c r="X135" s="203"/>
      <c r="Y135" s="203"/>
      <c r="Z135" s="203"/>
      <c r="AA135" s="203"/>
      <c r="AB135" s="203"/>
      <c r="AC135" s="203"/>
      <c r="AD135" s="203"/>
      <c r="AE135" s="203"/>
      <c r="AF135" s="203"/>
      <c r="AG135" s="203"/>
      <c r="AH135" s="203"/>
      <c r="AI135" s="203"/>
      <c r="AJ135" s="203"/>
      <c r="AK135" s="203"/>
      <c r="AL135" s="203"/>
      <c r="AM135" s="203"/>
      <c r="AN135" s="203"/>
      <c r="AO135" s="203"/>
      <c r="AP135" s="203"/>
      <c r="AQ135" s="203"/>
      <c r="AR135" s="203"/>
      <c r="AS135" s="203"/>
      <c r="AT135" s="203"/>
      <c r="AU135" s="203"/>
      <c r="AV135" s="203"/>
      <c r="AW135" s="203"/>
      <c r="AX135" s="203"/>
      <c r="AY135" s="203"/>
      <c r="AZ135" s="203"/>
      <c r="BA135" s="203"/>
      <c r="BB135" s="203"/>
      <c r="BC135" s="203"/>
      <c r="BD135" s="203"/>
      <c r="BE135" s="203"/>
      <c r="BF135" s="203"/>
      <c r="BG135" s="203"/>
      <c r="BH135" s="203"/>
      <c r="BI135" s="204"/>
      <c r="BJ135" s="203"/>
      <c r="BK135" s="203"/>
      <c r="BL135" s="203"/>
      <c r="BM135" s="203"/>
      <c r="BN135" s="203"/>
      <c r="BO135" s="204"/>
      <c r="BP135" s="203"/>
      <c r="BQ135" s="203"/>
      <c r="BR135" s="203"/>
      <c r="BS135" s="203"/>
      <c r="BT135" s="203"/>
      <c r="BU135" s="203"/>
      <c r="BV135" s="203"/>
      <c r="BW135" s="203"/>
      <c r="BX135" s="203"/>
      <c r="BY135" s="203"/>
      <c r="BZ135" s="203"/>
      <c r="CA135" s="203"/>
      <c r="CB135" s="203"/>
    </row>
    <row r="136" spans="1:80">
      <c r="A136" s="212" t="s">
        <v>380</v>
      </c>
      <c r="B136" s="4" t="s">
        <v>17</v>
      </c>
      <c r="C136" s="9" t="s">
        <v>372</v>
      </c>
      <c r="D136" s="9" t="s">
        <v>21</v>
      </c>
      <c r="E136" s="200" t="s">
        <v>29</v>
      </c>
      <c r="F136" s="200" t="s">
        <v>55</v>
      </c>
      <c r="G136" s="5"/>
      <c r="H136" s="5"/>
      <c r="I136" s="5"/>
      <c r="J136" s="37"/>
      <c r="K136" s="37"/>
      <c r="L136" s="37"/>
      <c r="M136" s="37"/>
      <c r="N136" s="34"/>
      <c r="O136" s="34"/>
      <c r="P136" s="34"/>
      <c r="Q136" s="280"/>
      <c r="R136" s="203"/>
      <c r="S136" s="203"/>
      <c r="T136" s="203"/>
      <c r="U136" s="203"/>
      <c r="V136" s="203"/>
      <c r="W136" s="203"/>
      <c r="X136" s="203"/>
      <c r="Y136" s="203"/>
      <c r="Z136" s="203"/>
      <c r="AA136" s="203"/>
      <c r="AB136" s="203"/>
      <c r="AC136" s="203"/>
      <c r="AD136" s="203"/>
      <c r="AE136" s="203"/>
      <c r="AF136" s="203"/>
      <c r="AG136" s="203"/>
      <c r="AH136" s="203"/>
      <c r="AI136" s="203"/>
      <c r="AJ136" s="203"/>
      <c r="AK136" s="203"/>
      <c r="AL136" s="203"/>
      <c r="AM136" s="203"/>
      <c r="AN136" s="203"/>
      <c r="AO136" s="203"/>
      <c r="AP136" s="203"/>
      <c r="AQ136" s="203"/>
      <c r="AR136" s="203"/>
      <c r="AS136" s="203"/>
      <c r="AT136" s="203"/>
      <c r="AU136" s="203"/>
      <c r="AV136" s="203"/>
      <c r="AW136" s="203"/>
      <c r="AX136" s="203"/>
      <c r="AY136" s="203"/>
      <c r="AZ136" s="203"/>
      <c r="BA136" s="203"/>
      <c r="BB136" s="203"/>
      <c r="BC136" s="203"/>
      <c r="BD136" s="203"/>
      <c r="BE136" s="203"/>
      <c r="BF136" s="203"/>
      <c r="BG136" s="203"/>
      <c r="BH136" s="203"/>
      <c r="BI136" s="204"/>
      <c r="BJ136" s="203"/>
      <c r="BK136" s="203"/>
      <c r="BL136" s="203"/>
      <c r="BM136" s="203"/>
      <c r="BN136" s="203"/>
      <c r="BO136" s="204"/>
      <c r="BP136" s="203"/>
      <c r="BQ136" s="203"/>
      <c r="BR136" s="203"/>
      <c r="BS136" s="203"/>
      <c r="BT136" s="203"/>
      <c r="BU136" s="203"/>
      <c r="BV136" s="203"/>
      <c r="BW136" s="203"/>
      <c r="BX136" s="203"/>
      <c r="BY136" s="203"/>
      <c r="BZ136" s="203"/>
      <c r="CA136" s="203"/>
      <c r="CB136" s="203"/>
    </row>
    <row r="137" spans="1:80">
      <c r="A137" s="212" t="s">
        <v>380</v>
      </c>
      <c r="B137" s="4" t="s">
        <v>17</v>
      </c>
      <c r="C137" s="9" t="s">
        <v>372</v>
      </c>
      <c r="D137" s="9" t="s">
        <v>21</v>
      </c>
      <c r="E137" s="200" t="s">
        <v>29</v>
      </c>
      <c r="F137" s="200" t="s">
        <v>69</v>
      </c>
      <c r="G137" s="5"/>
      <c r="H137" s="5"/>
      <c r="I137" s="5"/>
      <c r="J137" s="37"/>
      <c r="K137" s="37"/>
      <c r="L137" s="37"/>
      <c r="M137" s="37"/>
      <c r="N137" s="34"/>
      <c r="O137" s="34"/>
      <c r="P137" s="34"/>
      <c r="Q137" s="280"/>
      <c r="R137" s="203"/>
      <c r="S137" s="203"/>
      <c r="T137" s="203"/>
      <c r="U137" s="203"/>
      <c r="V137" s="203"/>
      <c r="W137" s="203"/>
      <c r="X137" s="203"/>
      <c r="Y137" s="203"/>
      <c r="Z137" s="203"/>
      <c r="AA137" s="203"/>
      <c r="AB137" s="203"/>
      <c r="AC137" s="203"/>
      <c r="AD137" s="203"/>
      <c r="AE137" s="203"/>
      <c r="AF137" s="203"/>
      <c r="AG137" s="203"/>
      <c r="AH137" s="203"/>
      <c r="AI137" s="203"/>
      <c r="AJ137" s="203"/>
      <c r="AK137" s="203"/>
      <c r="AL137" s="203"/>
      <c r="AM137" s="203"/>
      <c r="AN137" s="203"/>
      <c r="AO137" s="203"/>
      <c r="AP137" s="203"/>
      <c r="AQ137" s="203"/>
      <c r="AR137" s="203"/>
      <c r="AS137" s="203"/>
      <c r="AT137" s="203"/>
      <c r="AU137" s="203"/>
      <c r="AV137" s="203"/>
      <c r="AW137" s="203"/>
      <c r="AX137" s="203"/>
      <c r="AY137" s="203"/>
      <c r="AZ137" s="203"/>
      <c r="BA137" s="203"/>
      <c r="BB137" s="203"/>
      <c r="BC137" s="203"/>
      <c r="BD137" s="203"/>
      <c r="BE137" s="203"/>
      <c r="BF137" s="203"/>
      <c r="BG137" s="203"/>
      <c r="BH137" s="203"/>
      <c r="BI137" s="204"/>
      <c r="BJ137" s="203"/>
      <c r="BK137" s="203"/>
      <c r="BL137" s="203"/>
      <c r="BM137" s="203"/>
      <c r="BN137" s="203"/>
      <c r="BO137" s="204"/>
      <c r="BP137" s="203"/>
      <c r="BQ137" s="203"/>
      <c r="BR137" s="203"/>
      <c r="BS137" s="203"/>
      <c r="BT137" s="203"/>
      <c r="BU137" s="203"/>
      <c r="BV137" s="203"/>
      <c r="BW137" s="203"/>
      <c r="BX137" s="203"/>
      <c r="BY137" s="203"/>
      <c r="BZ137" s="203"/>
      <c r="CA137" s="203"/>
      <c r="CB137" s="203"/>
    </row>
    <row r="138" spans="1:80">
      <c r="A138" s="212" t="s">
        <v>380</v>
      </c>
      <c r="B138" s="4" t="s">
        <v>17</v>
      </c>
      <c r="C138" s="9" t="s">
        <v>372</v>
      </c>
      <c r="D138" s="9" t="s">
        <v>21</v>
      </c>
      <c r="E138" s="200" t="s">
        <v>29</v>
      </c>
      <c r="F138" s="200" t="s">
        <v>56</v>
      </c>
      <c r="G138" s="5"/>
      <c r="H138" s="5"/>
      <c r="I138" s="5"/>
      <c r="J138" s="37"/>
      <c r="K138" s="37"/>
      <c r="L138" s="37"/>
      <c r="M138" s="37"/>
      <c r="N138" s="34"/>
      <c r="O138" s="34"/>
      <c r="P138" s="34"/>
      <c r="Q138" s="280"/>
      <c r="R138" s="203"/>
      <c r="S138" s="203"/>
      <c r="T138" s="203"/>
      <c r="U138" s="203"/>
      <c r="V138" s="203"/>
      <c r="W138" s="203"/>
      <c r="X138" s="203"/>
      <c r="Y138" s="203"/>
      <c r="Z138" s="203"/>
      <c r="AA138" s="203"/>
      <c r="AB138" s="203"/>
      <c r="AC138" s="203"/>
      <c r="AD138" s="203"/>
      <c r="AE138" s="203"/>
      <c r="AF138" s="203"/>
      <c r="AG138" s="203"/>
      <c r="AH138" s="203"/>
      <c r="AI138" s="203"/>
      <c r="AJ138" s="203"/>
      <c r="AK138" s="203"/>
      <c r="AL138" s="203"/>
      <c r="AM138" s="203"/>
      <c r="AN138" s="203"/>
      <c r="AO138" s="203"/>
      <c r="AP138" s="203"/>
      <c r="AQ138" s="203"/>
      <c r="AR138" s="203"/>
      <c r="AS138" s="203"/>
      <c r="AT138" s="203"/>
      <c r="AU138" s="203"/>
      <c r="AV138" s="203"/>
      <c r="AW138" s="203"/>
      <c r="AX138" s="203"/>
      <c r="AY138" s="203"/>
      <c r="AZ138" s="203"/>
      <c r="BA138" s="203"/>
      <c r="BB138" s="203"/>
      <c r="BC138" s="203"/>
      <c r="BD138" s="203"/>
      <c r="BE138" s="203"/>
      <c r="BF138" s="203"/>
      <c r="BG138" s="203"/>
      <c r="BH138" s="203"/>
      <c r="BI138" s="204"/>
      <c r="BJ138" s="203"/>
      <c r="BK138" s="203"/>
      <c r="BL138" s="203"/>
      <c r="BM138" s="203"/>
      <c r="BN138" s="203"/>
      <c r="BO138" s="204"/>
      <c r="BP138" s="203"/>
      <c r="BQ138" s="203"/>
      <c r="BR138" s="203"/>
      <c r="BS138" s="203"/>
      <c r="BT138" s="203"/>
      <c r="BU138" s="203"/>
      <c r="BV138" s="203"/>
      <c r="BW138" s="203"/>
      <c r="BX138" s="203"/>
      <c r="BY138" s="203"/>
      <c r="BZ138" s="203"/>
      <c r="CA138" s="203"/>
      <c r="CB138" s="203"/>
    </row>
    <row r="139" spans="1:80">
      <c r="A139" s="212" t="s">
        <v>380</v>
      </c>
      <c r="B139" s="4" t="s">
        <v>17</v>
      </c>
      <c r="C139" s="9" t="s">
        <v>372</v>
      </c>
      <c r="D139" s="9" t="s">
        <v>21</v>
      </c>
      <c r="E139" s="200" t="s">
        <v>29</v>
      </c>
      <c r="F139" s="200" t="s">
        <v>70</v>
      </c>
      <c r="G139" s="5"/>
      <c r="H139" s="5"/>
      <c r="I139" s="5"/>
      <c r="J139" s="37"/>
      <c r="K139" s="37"/>
      <c r="L139" s="37"/>
      <c r="M139" s="37"/>
      <c r="N139" s="34"/>
      <c r="O139" s="34"/>
      <c r="P139" s="34"/>
      <c r="Q139" s="280"/>
      <c r="R139" s="203"/>
      <c r="S139" s="203"/>
      <c r="T139" s="203"/>
      <c r="U139" s="203"/>
      <c r="V139" s="203"/>
      <c r="W139" s="203"/>
      <c r="X139" s="203"/>
      <c r="Y139" s="203"/>
      <c r="Z139" s="203"/>
      <c r="AA139" s="203"/>
      <c r="AB139" s="203"/>
      <c r="AC139" s="203"/>
      <c r="AD139" s="203"/>
      <c r="AE139" s="203"/>
      <c r="AF139" s="203"/>
      <c r="AG139" s="203"/>
      <c r="AH139" s="203"/>
      <c r="AI139" s="203"/>
      <c r="AJ139" s="203"/>
      <c r="AK139" s="203"/>
      <c r="AL139" s="203"/>
      <c r="AM139" s="203"/>
      <c r="AN139" s="203"/>
      <c r="AO139" s="203"/>
      <c r="AP139" s="203"/>
      <c r="AQ139" s="203"/>
      <c r="AR139" s="203"/>
      <c r="AS139" s="203"/>
      <c r="AT139" s="203"/>
      <c r="AU139" s="203"/>
      <c r="AV139" s="203"/>
      <c r="AW139" s="203"/>
      <c r="AX139" s="203"/>
      <c r="AY139" s="203"/>
      <c r="AZ139" s="203"/>
      <c r="BA139" s="203"/>
      <c r="BB139" s="203"/>
      <c r="BC139" s="203"/>
      <c r="BD139" s="203"/>
      <c r="BE139" s="203"/>
      <c r="BF139" s="203"/>
      <c r="BG139" s="203"/>
      <c r="BH139" s="203"/>
      <c r="BI139" s="204"/>
      <c r="BJ139" s="203"/>
      <c r="BK139" s="203"/>
      <c r="BL139" s="203"/>
      <c r="BM139" s="203"/>
      <c r="BN139" s="203"/>
      <c r="BO139" s="204"/>
      <c r="BP139" s="203"/>
      <c r="BQ139" s="203"/>
      <c r="BR139" s="203"/>
      <c r="BS139" s="203"/>
      <c r="BT139" s="203"/>
      <c r="BU139" s="203"/>
      <c r="BV139" s="203"/>
      <c r="BW139" s="203"/>
      <c r="BX139" s="203"/>
      <c r="BY139" s="203"/>
      <c r="BZ139" s="203"/>
      <c r="CA139" s="203"/>
      <c r="CB139" s="203"/>
    </row>
    <row r="140" spans="1:80">
      <c r="A140" s="212" t="s">
        <v>380</v>
      </c>
      <c r="B140" s="4" t="s">
        <v>17</v>
      </c>
      <c r="C140" s="9" t="s">
        <v>372</v>
      </c>
      <c r="D140" s="9" t="s">
        <v>21</v>
      </c>
      <c r="E140" s="200" t="s">
        <v>29</v>
      </c>
      <c r="F140" s="200" t="s">
        <v>71</v>
      </c>
      <c r="G140" s="5"/>
      <c r="H140" s="5"/>
      <c r="I140" s="5"/>
      <c r="J140" s="37"/>
      <c r="K140" s="37"/>
      <c r="L140" s="37"/>
      <c r="M140" s="37"/>
      <c r="N140" s="34"/>
      <c r="O140" s="34"/>
      <c r="P140" s="34"/>
      <c r="Q140" s="280"/>
      <c r="R140" s="203"/>
      <c r="S140" s="203"/>
      <c r="T140" s="203"/>
      <c r="U140" s="203"/>
      <c r="V140" s="203"/>
      <c r="W140" s="203"/>
      <c r="X140" s="203"/>
      <c r="Y140" s="203"/>
      <c r="Z140" s="203"/>
      <c r="AA140" s="203"/>
      <c r="AB140" s="203"/>
      <c r="AC140" s="203"/>
      <c r="AD140" s="203"/>
      <c r="AE140" s="203"/>
      <c r="AF140" s="203"/>
      <c r="AG140" s="203"/>
      <c r="AH140" s="203"/>
      <c r="AI140" s="203"/>
      <c r="AJ140" s="203"/>
      <c r="AK140" s="203"/>
      <c r="AL140" s="203"/>
      <c r="AM140" s="203"/>
      <c r="AN140" s="203"/>
      <c r="AO140" s="203"/>
      <c r="AP140" s="203"/>
      <c r="AQ140" s="203"/>
      <c r="AR140" s="203"/>
      <c r="AS140" s="203"/>
      <c r="AT140" s="203"/>
      <c r="AU140" s="203"/>
      <c r="AV140" s="203"/>
      <c r="AW140" s="203"/>
      <c r="AX140" s="203"/>
      <c r="AY140" s="203"/>
      <c r="AZ140" s="203"/>
      <c r="BA140" s="203"/>
      <c r="BB140" s="203"/>
      <c r="BC140" s="203"/>
      <c r="BD140" s="203"/>
      <c r="BE140" s="203"/>
      <c r="BF140" s="203"/>
      <c r="BG140" s="203"/>
      <c r="BH140" s="203"/>
      <c r="BI140" s="204"/>
      <c r="BJ140" s="203"/>
      <c r="BK140" s="203"/>
      <c r="BL140" s="203"/>
      <c r="BM140" s="203"/>
      <c r="BN140" s="203"/>
      <c r="BO140" s="204"/>
      <c r="BP140" s="203"/>
      <c r="BQ140" s="203"/>
      <c r="BR140" s="203"/>
      <c r="BS140" s="203"/>
      <c r="BT140" s="203"/>
      <c r="BU140" s="203"/>
      <c r="BV140" s="203"/>
      <c r="BW140" s="203"/>
      <c r="BX140" s="203"/>
      <c r="BY140" s="203"/>
      <c r="BZ140" s="203"/>
      <c r="CA140" s="203"/>
      <c r="CB140" s="203"/>
    </row>
    <row r="141" spans="1:80">
      <c r="A141" s="212" t="s">
        <v>380</v>
      </c>
      <c r="B141" s="4" t="s">
        <v>17</v>
      </c>
      <c r="C141" s="9" t="s">
        <v>372</v>
      </c>
      <c r="D141" s="9" t="s">
        <v>21</v>
      </c>
      <c r="E141" s="200" t="s">
        <v>29</v>
      </c>
      <c r="F141" s="200" t="s">
        <v>72</v>
      </c>
      <c r="G141" s="5"/>
      <c r="H141" s="5"/>
      <c r="I141" s="5"/>
      <c r="J141" s="37"/>
      <c r="K141" s="37"/>
      <c r="L141" s="37"/>
      <c r="M141" s="37"/>
      <c r="N141" s="34"/>
      <c r="O141" s="34"/>
      <c r="P141" s="34"/>
      <c r="Q141" s="280"/>
      <c r="R141" s="203"/>
      <c r="S141" s="203"/>
      <c r="T141" s="203"/>
      <c r="U141" s="203"/>
      <c r="V141" s="203"/>
      <c r="W141" s="203"/>
      <c r="X141" s="203"/>
      <c r="Y141" s="203"/>
      <c r="Z141" s="203"/>
      <c r="AA141" s="203"/>
      <c r="AB141" s="203"/>
      <c r="AC141" s="203"/>
      <c r="AD141" s="203"/>
      <c r="AE141" s="203"/>
      <c r="AF141" s="203"/>
      <c r="AG141" s="203"/>
      <c r="AH141" s="203"/>
      <c r="AI141" s="203"/>
      <c r="AJ141" s="203"/>
      <c r="AK141" s="203"/>
      <c r="AL141" s="203"/>
      <c r="AM141" s="203"/>
      <c r="AN141" s="203"/>
      <c r="AO141" s="203"/>
      <c r="AP141" s="203"/>
      <c r="AQ141" s="203"/>
      <c r="AR141" s="203"/>
      <c r="AS141" s="203"/>
      <c r="AT141" s="203"/>
      <c r="AU141" s="203"/>
      <c r="AV141" s="203"/>
      <c r="AW141" s="203"/>
      <c r="AX141" s="203"/>
      <c r="AY141" s="203"/>
      <c r="AZ141" s="203"/>
      <c r="BA141" s="203"/>
      <c r="BB141" s="203"/>
      <c r="BC141" s="203"/>
      <c r="BD141" s="203"/>
      <c r="BE141" s="203"/>
      <c r="BF141" s="203"/>
      <c r="BG141" s="203"/>
      <c r="BH141" s="203"/>
      <c r="BI141" s="204"/>
      <c r="BJ141" s="203"/>
      <c r="BK141" s="203"/>
      <c r="BL141" s="203"/>
      <c r="BM141" s="203"/>
      <c r="BN141" s="203"/>
      <c r="BO141" s="204"/>
      <c r="BP141" s="203"/>
      <c r="BQ141" s="203"/>
      <c r="BR141" s="203"/>
      <c r="BS141" s="203"/>
      <c r="BT141" s="203"/>
      <c r="BU141" s="203"/>
      <c r="BV141" s="203"/>
      <c r="BW141" s="203"/>
      <c r="BX141" s="203"/>
      <c r="BY141" s="203"/>
      <c r="BZ141" s="203"/>
      <c r="CA141" s="203"/>
      <c r="CB141" s="203"/>
    </row>
    <row r="142" spans="1:80">
      <c r="A142" s="212" t="s">
        <v>380</v>
      </c>
      <c r="B142" s="4" t="s">
        <v>17</v>
      </c>
      <c r="C142" s="9" t="s">
        <v>372</v>
      </c>
      <c r="D142" s="9" t="s">
        <v>21</v>
      </c>
      <c r="E142" s="200" t="s">
        <v>29</v>
      </c>
      <c r="F142" s="200" t="s">
        <v>73</v>
      </c>
      <c r="G142" s="5"/>
      <c r="H142" s="5"/>
      <c r="I142" s="5"/>
      <c r="J142" s="37"/>
      <c r="K142" s="37"/>
      <c r="L142" s="37"/>
      <c r="M142" s="37"/>
      <c r="N142" s="34"/>
      <c r="O142" s="34"/>
      <c r="P142" s="34"/>
      <c r="Q142" s="280"/>
      <c r="R142" s="203"/>
      <c r="S142" s="203"/>
      <c r="T142" s="203"/>
      <c r="U142" s="203"/>
      <c r="V142" s="203"/>
      <c r="W142" s="203"/>
      <c r="X142" s="203"/>
      <c r="Y142" s="203"/>
      <c r="Z142" s="203"/>
      <c r="AA142" s="203"/>
      <c r="AB142" s="203"/>
      <c r="AC142" s="203"/>
      <c r="AD142" s="203"/>
      <c r="AE142" s="203"/>
      <c r="AF142" s="203"/>
      <c r="AG142" s="203"/>
      <c r="AH142" s="203"/>
      <c r="AI142" s="203"/>
      <c r="AJ142" s="203"/>
      <c r="AK142" s="203"/>
      <c r="AL142" s="203"/>
      <c r="AM142" s="203"/>
      <c r="AN142" s="203"/>
      <c r="AO142" s="203"/>
      <c r="AP142" s="203"/>
      <c r="AQ142" s="203"/>
      <c r="AR142" s="203"/>
      <c r="AS142" s="203"/>
      <c r="AT142" s="203"/>
      <c r="AU142" s="203"/>
      <c r="AV142" s="203"/>
      <c r="AW142" s="203"/>
      <c r="AX142" s="203"/>
      <c r="AY142" s="203"/>
      <c r="AZ142" s="203"/>
      <c r="BA142" s="203"/>
      <c r="BB142" s="203"/>
      <c r="BC142" s="203"/>
      <c r="BD142" s="203"/>
      <c r="BE142" s="203"/>
      <c r="BF142" s="203"/>
      <c r="BG142" s="203"/>
      <c r="BH142" s="203"/>
      <c r="BI142" s="204"/>
      <c r="BJ142" s="203"/>
      <c r="BK142" s="203"/>
      <c r="BL142" s="203"/>
      <c r="BM142" s="203"/>
      <c r="BN142" s="203"/>
      <c r="BO142" s="204"/>
      <c r="BP142" s="203"/>
      <c r="BQ142" s="203"/>
      <c r="BR142" s="203"/>
      <c r="BS142" s="203"/>
      <c r="BT142" s="203"/>
      <c r="BU142" s="203"/>
      <c r="BV142" s="203"/>
      <c r="BW142" s="203"/>
      <c r="BX142" s="203"/>
      <c r="BY142" s="203"/>
      <c r="BZ142" s="203"/>
      <c r="CA142" s="203"/>
      <c r="CB142" s="203"/>
    </row>
    <row r="143" spans="1:80">
      <c r="A143" s="212" t="s">
        <v>380</v>
      </c>
      <c r="B143" s="4" t="s">
        <v>17</v>
      </c>
      <c r="C143" s="9" t="s">
        <v>372</v>
      </c>
      <c r="D143" s="9" t="s">
        <v>21</v>
      </c>
      <c r="E143" s="200" t="s">
        <v>29</v>
      </c>
      <c r="F143" s="200" t="s">
        <v>74</v>
      </c>
      <c r="G143" s="5"/>
      <c r="H143" s="5"/>
      <c r="I143" s="5"/>
      <c r="J143" s="37"/>
      <c r="K143" s="37"/>
      <c r="L143" s="37"/>
      <c r="M143" s="37"/>
      <c r="N143" s="34"/>
      <c r="O143" s="34"/>
      <c r="P143" s="34"/>
      <c r="Q143" s="280"/>
      <c r="R143" s="203"/>
      <c r="S143" s="203"/>
      <c r="T143" s="203"/>
      <c r="U143" s="203"/>
      <c r="V143" s="203"/>
      <c r="W143" s="203"/>
      <c r="X143" s="203"/>
      <c r="Y143" s="203"/>
      <c r="Z143" s="203"/>
      <c r="AA143" s="203"/>
      <c r="AB143" s="203"/>
      <c r="AC143" s="203"/>
      <c r="AD143" s="203"/>
      <c r="AE143" s="203"/>
      <c r="AF143" s="203"/>
      <c r="AG143" s="203"/>
      <c r="AH143" s="203"/>
      <c r="AI143" s="203"/>
      <c r="AJ143" s="203"/>
      <c r="AK143" s="203"/>
      <c r="AL143" s="203"/>
      <c r="AM143" s="203"/>
      <c r="AN143" s="203"/>
      <c r="AO143" s="203"/>
      <c r="AP143" s="203"/>
      <c r="AQ143" s="203"/>
      <c r="AR143" s="203"/>
      <c r="AS143" s="203"/>
      <c r="AT143" s="203"/>
      <c r="AU143" s="203"/>
      <c r="AV143" s="203"/>
      <c r="AW143" s="203"/>
      <c r="AX143" s="203"/>
      <c r="AY143" s="203"/>
      <c r="AZ143" s="203"/>
      <c r="BA143" s="203"/>
      <c r="BB143" s="203"/>
      <c r="BC143" s="203"/>
      <c r="BD143" s="203"/>
      <c r="BE143" s="203"/>
      <c r="BF143" s="203"/>
      <c r="BG143" s="203"/>
      <c r="BH143" s="203"/>
      <c r="BI143" s="204"/>
      <c r="BJ143" s="203"/>
      <c r="BK143" s="203"/>
      <c r="BL143" s="203"/>
      <c r="BM143" s="203"/>
      <c r="BN143" s="203"/>
      <c r="BO143" s="204"/>
      <c r="BP143" s="203"/>
      <c r="BQ143" s="203"/>
      <c r="BR143" s="203"/>
      <c r="BS143" s="203"/>
      <c r="BT143" s="203"/>
      <c r="BU143" s="203"/>
      <c r="BV143" s="203"/>
      <c r="BW143" s="203"/>
      <c r="BX143" s="203"/>
      <c r="BY143" s="203"/>
      <c r="BZ143" s="203"/>
      <c r="CA143" s="203"/>
      <c r="CB143" s="203"/>
    </row>
    <row r="144" spans="1:80">
      <c r="A144" s="212" t="s">
        <v>380</v>
      </c>
      <c r="B144" s="4" t="s">
        <v>17</v>
      </c>
      <c r="C144" s="9" t="s">
        <v>372</v>
      </c>
      <c r="D144" s="9" t="s">
        <v>21</v>
      </c>
      <c r="E144" s="200" t="s">
        <v>29</v>
      </c>
      <c r="F144" s="200" t="s">
        <v>75</v>
      </c>
      <c r="G144" s="5"/>
      <c r="H144" s="5"/>
      <c r="I144" s="5"/>
      <c r="J144" s="37"/>
      <c r="K144" s="37"/>
      <c r="L144" s="37"/>
      <c r="M144" s="37"/>
      <c r="N144" s="34"/>
      <c r="O144" s="34"/>
      <c r="P144" s="34"/>
      <c r="Q144" s="280"/>
      <c r="R144" s="203"/>
      <c r="S144" s="203"/>
      <c r="T144" s="203"/>
      <c r="U144" s="203"/>
      <c r="V144" s="203"/>
      <c r="W144" s="203"/>
      <c r="X144" s="203"/>
      <c r="Y144" s="203"/>
      <c r="Z144" s="203"/>
      <c r="AA144" s="203"/>
      <c r="AB144" s="203"/>
      <c r="AC144" s="203"/>
      <c r="AD144" s="203"/>
      <c r="AE144" s="203"/>
      <c r="AF144" s="203"/>
      <c r="AG144" s="203"/>
      <c r="AH144" s="203"/>
      <c r="AI144" s="203"/>
      <c r="AJ144" s="203"/>
      <c r="AK144" s="203"/>
      <c r="AL144" s="203"/>
      <c r="AM144" s="203"/>
      <c r="AN144" s="203"/>
      <c r="AO144" s="203"/>
      <c r="AP144" s="203"/>
      <c r="AQ144" s="203"/>
      <c r="AR144" s="203"/>
      <c r="AS144" s="203"/>
      <c r="AT144" s="203"/>
      <c r="AU144" s="203"/>
      <c r="AV144" s="203"/>
      <c r="AW144" s="203"/>
      <c r="AX144" s="203"/>
      <c r="AY144" s="203"/>
      <c r="AZ144" s="203"/>
      <c r="BA144" s="203"/>
      <c r="BB144" s="203"/>
      <c r="BC144" s="203"/>
      <c r="BD144" s="203"/>
      <c r="BE144" s="203"/>
      <c r="BF144" s="203"/>
      <c r="BG144" s="203"/>
      <c r="BH144" s="203"/>
      <c r="BI144" s="204"/>
      <c r="BJ144" s="203"/>
      <c r="BK144" s="203"/>
      <c r="BL144" s="203"/>
      <c r="BM144" s="203"/>
      <c r="BN144" s="203"/>
      <c r="BO144" s="204"/>
      <c r="BP144" s="203"/>
      <c r="BQ144" s="203"/>
      <c r="BR144" s="203"/>
      <c r="BS144" s="203"/>
      <c r="BT144" s="203"/>
      <c r="BU144" s="203"/>
      <c r="BV144" s="203"/>
      <c r="BW144" s="203"/>
      <c r="BX144" s="203"/>
      <c r="BY144" s="203"/>
      <c r="BZ144" s="203"/>
      <c r="CA144" s="203"/>
      <c r="CB144" s="203"/>
    </row>
    <row r="145" spans="1:80">
      <c r="A145" s="212" t="s">
        <v>380</v>
      </c>
      <c r="B145" s="4" t="s">
        <v>17</v>
      </c>
      <c r="C145" s="9" t="s">
        <v>372</v>
      </c>
      <c r="D145" s="9" t="s">
        <v>21</v>
      </c>
      <c r="E145" s="200" t="s">
        <v>29</v>
      </c>
      <c r="F145" s="200" t="s">
        <v>76</v>
      </c>
      <c r="G145" s="9"/>
      <c r="H145" s="9"/>
      <c r="I145" s="9"/>
      <c r="J145" s="36"/>
      <c r="K145" s="36"/>
      <c r="L145" s="36"/>
      <c r="M145" s="36"/>
      <c r="N145" s="35"/>
      <c r="O145" s="35"/>
      <c r="P145" s="35"/>
      <c r="Q145" s="283"/>
      <c r="R145" s="203"/>
      <c r="S145" s="203"/>
      <c r="T145" s="203"/>
      <c r="U145" s="203"/>
      <c r="V145" s="203"/>
      <c r="W145" s="203"/>
      <c r="X145" s="203"/>
      <c r="Y145" s="203"/>
      <c r="Z145" s="203"/>
      <c r="AA145" s="203"/>
      <c r="AB145" s="203"/>
      <c r="AC145" s="203"/>
      <c r="AD145" s="203"/>
      <c r="AE145" s="203"/>
      <c r="AF145" s="203"/>
      <c r="AG145" s="203"/>
      <c r="AH145" s="203"/>
      <c r="AI145" s="203"/>
      <c r="AJ145" s="203"/>
      <c r="AK145" s="203"/>
      <c r="AL145" s="203"/>
      <c r="AM145" s="203"/>
      <c r="AN145" s="203"/>
      <c r="AO145" s="203"/>
      <c r="AP145" s="203"/>
      <c r="AQ145" s="203"/>
      <c r="AR145" s="203"/>
      <c r="AS145" s="203"/>
      <c r="AT145" s="203"/>
      <c r="AU145" s="203"/>
      <c r="AV145" s="203"/>
      <c r="AW145" s="203"/>
      <c r="AX145" s="203"/>
      <c r="AY145" s="203"/>
      <c r="AZ145" s="203"/>
      <c r="BA145" s="203"/>
      <c r="BB145" s="203"/>
      <c r="BC145" s="203"/>
      <c r="BD145" s="203"/>
      <c r="BE145" s="203"/>
      <c r="BF145" s="203"/>
      <c r="BG145" s="203"/>
      <c r="BH145" s="203"/>
      <c r="BI145" s="204"/>
      <c r="BJ145" s="203"/>
      <c r="BK145" s="203"/>
      <c r="BL145" s="203"/>
      <c r="BM145" s="203"/>
      <c r="BN145" s="203"/>
      <c r="BO145" s="204"/>
      <c r="BP145" s="203"/>
      <c r="BQ145" s="203"/>
      <c r="BR145" s="203"/>
      <c r="BS145" s="203"/>
      <c r="BT145" s="203"/>
      <c r="BU145" s="203"/>
      <c r="BV145" s="203"/>
      <c r="BW145" s="203"/>
      <c r="BX145" s="203"/>
      <c r="BY145" s="203"/>
      <c r="BZ145" s="203"/>
      <c r="CA145" s="203"/>
      <c r="CB145" s="203"/>
    </row>
    <row r="146" spans="1:80">
      <c r="A146" s="212" t="s">
        <v>380</v>
      </c>
      <c r="B146" s="4" t="s">
        <v>17</v>
      </c>
      <c r="C146" s="9" t="s">
        <v>372</v>
      </c>
      <c r="D146" s="9" t="s">
        <v>21</v>
      </c>
      <c r="E146" s="200" t="s">
        <v>29</v>
      </c>
      <c r="F146" s="200" t="s">
        <v>77</v>
      </c>
      <c r="G146" s="5"/>
      <c r="H146" s="5"/>
      <c r="I146" s="5"/>
      <c r="J146" s="37"/>
      <c r="K146" s="37"/>
      <c r="L146" s="37"/>
      <c r="M146" s="37"/>
      <c r="N146" s="34"/>
      <c r="O146" s="34"/>
      <c r="P146" s="34"/>
      <c r="Q146" s="280"/>
      <c r="R146" s="203"/>
      <c r="S146" s="203"/>
      <c r="T146" s="203"/>
      <c r="U146" s="203"/>
      <c r="V146" s="203"/>
      <c r="W146" s="203"/>
      <c r="X146" s="203"/>
      <c r="Y146" s="203"/>
      <c r="Z146" s="203"/>
      <c r="AA146" s="203"/>
      <c r="AB146" s="203"/>
      <c r="AC146" s="203"/>
      <c r="AD146" s="203"/>
      <c r="AE146" s="203"/>
      <c r="AF146" s="203"/>
      <c r="AG146" s="203"/>
      <c r="AH146" s="203"/>
      <c r="AI146" s="203"/>
      <c r="AJ146" s="203"/>
      <c r="AK146" s="203"/>
      <c r="AL146" s="203"/>
      <c r="AM146" s="203"/>
      <c r="AN146" s="203"/>
      <c r="AO146" s="203"/>
      <c r="AP146" s="203"/>
      <c r="AQ146" s="203"/>
      <c r="AR146" s="203"/>
      <c r="AS146" s="203"/>
      <c r="AT146" s="203"/>
      <c r="AU146" s="203"/>
      <c r="AV146" s="203"/>
      <c r="AW146" s="203"/>
      <c r="AX146" s="203"/>
      <c r="AZ146" s="203"/>
      <c r="BA146" s="203"/>
      <c r="BB146" s="203"/>
      <c r="BC146" s="203"/>
      <c r="BD146" s="203"/>
      <c r="BE146" s="203"/>
      <c r="BF146" s="203"/>
      <c r="BG146" s="203"/>
      <c r="BH146" s="203"/>
      <c r="BI146" s="204"/>
      <c r="BJ146" s="203"/>
      <c r="BK146" s="203"/>
      <c r="BL146" s="203"/>
      <c r="BM146" s="203"/>
      <c r="BO146" s="204"/>
      <c r="BP146" s="203"/>
      <c r="BQ146" s="203"/>
      <c r="BR146" s="203"/>
      <c r="BS146" s="203"/>
      <c r="BT146" s="203"/>
      <c r="BU146" s="203"/>
      <c r="BV146" s="203"/>
      <c r="BW146" s="203"/>
      <c r="BX146" s="203"/>
      <c r="BY146" s="203"/>
      <c r="BZ146" s="203"/>
      <c r="CA146" s="203"/>
      <c r="CB146" s="203"/>
    </row>
    <row r="147" spans="1:80">
      <c r="A147" s="212" t="s">
        <v>380</v>
      </c>
      <c r="B147" s="4" t="s">
        <v>17</v>
      </c>
      <c r="C147" s="9" t="s">
        <v>372</v>
      </c>
      <c r="D147" s="9" t="s">
        <v>21</v>
      </c>
      <c r="E147" s="200" t="s">
        <v>29</v>
      </c>
      <c r="F147" s="200" t="s">
        <v>78</v>
      </c>
      <c r="G147" s="5"/>
      <c r="H147" s="5"/>
      <c r="I147" s="5"/>
      <c r="J147" s="37"/>
      <c r="K147" s="37"/>
      <c r="L147" s="37"/>
      <c r="M147" s="37"/>
      <c r="N147" s="34"/>
      <c r="O147" s="34"/>
      <c r="P147" s="34"/>
      <c r="Q147" s="280"/>
      <c r="R147" s="203"/>
      <c r="S147" s="203"/>
      <c r="T147" s="203"/>
      <c r="U147" s="203"/>
      <c r="V147" s="203"/>
      <c r="W147" s="203"/>
      <c r="X147" s="203"/>
      <c r="Y147" s="203"/>
      <c r="Z147" s="203"/>
      <c r="AA147" s="203"/>
      <c r="AB147" s="203"/>
      <c r="AC147" s="203"/>
      <c r="AD147" s="203"/>
      <c r="AE147" s="203"/>
      <c r="AF147" s="203"/>
      <c r="AG147" s="203"/>
      <c r="AH147" s="203"/>
      <c r="AI147" s="203"/>
      <c r="AJ147" s="203"/>
      <c r="AK147" s="203"/>
      <c r="AL147" s="203"/>
      <c r="AM147" s="203"/>
      <c r="AN147" s="203"/>
      <c r="AO147" s="203"/>
      <c r="AP147" s="203"/>
      <c r="AQ147" s="203"/>
      <c r="AR147" s="203"/>
      <c r="AS147" s="203"/>
      <c r="AT147" s="203"/>
      <c r="AU147" s="203"/>
      <c r="AV147" s="203"/>
      <c r="AW147" s="203"/>
      <c r="AX147" s="203"/>
      <c r="AZ147" s="203"/>
      <c r="BA147" s="203"/>
      <c r="BB147" s="203"/>
      <c r="BC147" s="203"/>
      <c r="BD147" s="203"/>
      <c r="BE147" s="203"/>
      <c r="BF147" s="203"/>
      <c r="BG147" s="203"/>
      <c r="BH147" s="203"/>
      <c r="BI147" s="204"/>
      <c r="BJ147" s="203"/>
      <c r="BK147" s="203"/>
      <c r="BL147" s="203"/>
      <c r="BM147" s="203"/>
      <c r="BO147" s="204"/>
      <c r="BP147" s="203"/>
      <c r="BQ147" s="203"/>
      <c r="BR147" s="203"/>
      <c r="BS147" s="203"/>
      <c r="BT147" s="203"/>
      <c r="BU147" s="203"/>
      <c r="BV147" s="203"/>
      <c r="BW147" s="203"/>
      <c r="BX147" s="203"/>
      <c r="BY147" s="203"/>
      <c r="BZ147" s="203"/>
      <c r="CA147" s="203"/>
      <c r="CB147" s="203"/>
    </row>
    <row r="148" spans="1:80">
      <c r="A148" s="212" t="s">
        <v>380</v>
      </c>
      <c r="B148" s="4" t="s">
        <v>17</v>
      </c>
      <c r="C148" s="9" t="s">
        <v>372</v>
      </c>
      <c r="D148" s="9" t="s">
        <v>21</v>
      </c>
      <c r="E148" s="200" t="s">
        <v>29</v>
      </c>
      <c r="F148" s="200" t="s">
        <v>57</v>
      </c>
      <c r="G148" s="5"/>
      <c r="H148" s="5"/>
      <c r="I148" s="5"/>
      <c r="J148" s="37"/>
      <c r="K148" s="37"/>
      <c r="L148" s="37"/>
      <c r="M148" s="37"/>
      <c r="N148" s="34"/>
      <c r="O148" s="34"/>
      <c r="P148" s="34"/>
      <c r="Q148" s="280"/>
      <c r="R148" s="203"/>
      <c r="S148" s="203"/>
      <c r="T148" s="203"/>
      <c r="U148" s="203"/>
      <c r="V148" s="203"/>
      <c r="W148" s="203"/>
      <c r="X148" s="203"/>
      <c r="Y148" s="203"/>
      <c r="Z148" s="203"/>
      <c r="AA148" s="203"/>
      <c r="AB148" s="203"/>
      <c r="AC148" s="203"/>
      <c r="AD148" s="203"/>
      <c r="AE148" s="203"/>
      <c r="AF148" s="203"/>
      <c r="AG148" s="203"/>
      <c r="AH148" s="203"/>
      <c r="AI148" s="203"/>
      <c r="AJ148" s="203"/>
      <c r="AK148" s="203"/>
      <c r="AL148" s="203"/>
      <c r="AM148" s="203"/>
      <c r="AN148" s="203"/>
      <c r="AO148" s="203"/>
      <c r="AP148" s="203"/>
      <c r="AQ148" s="203"/>
      <c r="AR148" s="203"/>
      <c r="AS148" s="203"/>
      <c r="AT148" s="203"/>
      <c r="AU148" s="203"/>
      <c r="AV148" s="203"/>
      <c r="AW148" s="203"/>
      <c r="AX148" s="203"/>
      <c r="AZ148" s="203"/>
      <c r="BA148" s="203"/>
      <c r="BB148" s="203"/>
      <c r="BC148" s="203"/>
      <c r="BD148" s="203"/>
      <c r="BE148" s="203"/>
      <c r="BF148" s="203"/>
      <c r="BG148" s="203"/>
      <c r="BH148" s="203"/>
      <c r="BI148" s="204"/>
      <c r="BJ148" s="203"/>
      <c r="BK148" s="203"/>
      <c r="BL148" s="203"/>
      <c r="BM148" s="203"/>
      <c r="BO148" s="204"/>
      <c r="BP148" s="203"/>
      <c r="BQ148" s="203"/>
      <c r="BR148" s="203"/>
      <c r="BS148" s="203"/>
      <c r="BT148" s="203"/>
      <c r="BU148" s="203"/>
      <c r="BV148" s="203"/>
      <c r="BW148" s="203"/>
      <c r="BX148" s="203"/>
      <c r="BY148" s="203"/>
      <c r="BZ148" s="203"/>
      <c r="CA148" s="203"/>
      <c r="CB148" s="203"/>
    </row>
    <row r="149" spans="1:80">
      <c r="A149" s="212" t="s">
        <v>380</v>
      </c>
      <c r="B149" s="4" t="s">
        <v>17</v>
      </c>
      <c r="C149" s="9" t="s">
        <v>372</v>
      </c>
      <c r="D149" s="9" t="s">
        <v>21</v>
      </c>
      <c r="E149" s="200" t="s">
        <v>29</v>
      </c>
      <c r="F149" s="200" t="s">
        <v>66</v>
      </c>
      <c r="G149" s="5"/>
      <c r="H149" s="5"/>
      <c r="I149" s="5"/>
      <c r="J149" s="37"/>
      <c r="K149" s="37"/>
      <c r="L149" s="37"/>
      <c r="M149" s="37"/>
      <c r="N149" s="34"/>
      <c r="O149" s="34"/>
      <c r="P149" s="34"/>
      <c r="Q149" s="280"/>
      <c r="R149" s="203"/>
      <c r="S149" s="203"/>
      <c r="T149" s="203"/>
      <c r="U149" s="203"/>
      <c r="V149" s="203"/>
      <c r="W149" s="203"/>
      <c r="X149" s="203"/>
      <c r="Y149" s="203"/>
      <c r="Z149" s="203"/>
      <c r="AA149" s="203"/>
      <c r="AB149" s="203"/>
      <c r="AC149" s="203"/>
      <c r="AD149" s="203"/>
      <c r="AE149" s="203"/>
      <c r="AF149" s="203"/>
      <c r="AG149" s="203"/>
      <c r="AH149" s="203"/>
      <c r="AI149" s="203"/>
      <c r="AJ149" s="203"/>
      <c r="AK149" s="203"/>
      <c r="AL149" s="203"/>
      <c r="AM149" s="203"/>
      <c r="AN149" s="203"/>
      <c r="AO149" s="203"/>
      <c r="AP149" s="203"/>
      <c r="AQ149" s="203"/>
      <c r="AR149" s="203"/>
      <c r="AS149" s="203"/>
      <c r="AT149" s="203"/>
      <c r="AU149" s="203"/>
      <c r="AV149" s="203"/>
      <c r="AW149" s="203"/>
      <c r="AX149" s="203"/>
      <c r="AZ149" s="203"/>
      <c r="BA149" s="203"/>
      <c r="BB149" s="203"/>
      <c r="BC149" s="203"/>
      <c r="BD149" s="203"/>
      <c r="BE149" s="203"/>
      <c r="BF149" s="203"/>
      <c r="BG149" s="203"/>
      <c r="BH149" s="203"/>
      <c r="BI149" s="204"/>
      <c r="BJ149" s="203"/>
      <c r="BK149" s="203"/>
      <c r="BL149" s="203"/>
      <c r="BM149" s="203"/>
      <c r="BO149" s="204"/>
      <c r="BP149" s="203"/>
      <c r="BQ149" s="203"/>
      <c r="BR149" s="203"/>
      <c r="BS149" s="203"/>
      <c r="BT149" s="203"/>
      <c r="BU149" s="203"/>
      <c r="BV149" s="203"/>
      <c r="BW149" s="203"/>
      <c r="BX149" s="203"/>
      <c r="BY149" s="203"/>
      <c r="BZ149" s="203"/>
      <c r="CA149" s="203"/>
      <c r="CB149" s="203"/>
    </row>
    <row r="150" spans="1:80" ht="10.4" customHeight="1">
      <c r="D150" s="206"/>
      <c r="P150" s="1"/>
      <c r="BI150" s="1" t="s">
        <v>31</v>
      </c>
      <c r="BO150" s="1" t="s">
        <v>31</v>
      </c>
    </row>
    <row r="151" spans="1:80" ht="17.899999999999999" customHeight="1">
      <c r="B151" s="141" t="s">
        <v>377</v>
      </c>
      <c r="C151" s="142"/>
      <c r="D151" s="142"/>
      <c r="E151" s="142"/>
      <c r="F151" s="142"/>
      <c r="G151" s="142"/>
      <c r="H151" s="142"/>
      <c r="I151" s="142"/>
      <c r="J151" s="143"/>
      <c r="K151" s="143"/>
      <c r="L151" s="143"/>
      <c r="M151" s="145"/>
      <c r="N151" s="144"/>
      <c r="O151" s="144"/>
      <c r="P151" s="144"/>
      <c r="Q151" s="279"/>
      <c r="R151" s="201"/>
      <c r="S151" s="201"/>
      <c r="T151" s="201"/>
      <c r="U151" s="201"/>
      <c r="V151" s="201"/>
      <c r="W151" s="201"/>
      <c r="X151" s="201"/>
      <c r="Y151" s="201"/>
      <c r="Z151" s="201"/>
      <c r="AA151" s="201"/>
      <c r="AB151" s="201"/>
      <c r="AC151" s="201"/>
      <c r="AD151" s="201"/>
      <c r="AE151" s="201"/>
      <c r="AF151" s="201"/>
      <c r="AG151" s="201"/>
      <c r="AH151" s="201"/>
      <c r="AI151" s="201"/>
      <c r="AJ151" s="201"/>
      <c r="AK151" s="201"/>
      <c r="AL151" s="201"/>
      <c r="AM151" s="201"/>
      <c r="AN151" s="201"/>
      <c r="AO151" s="201"/>
      <c r="AP151" s="201"/>
      <c r="AQ151" s="201"/>
      <c r="AR151" s="201"/>
      <c r="AS151" s="201"/>
      <c r="AT151" s="201"/>
      <c r="AU151" s="201"/>
      <c r="AV151" s="201"/>
      <c r="AW151" s="201"/>
      <c r="AX151" s="201"/>
      <c r="AY151" s="201"/>
      <c r="AZ151" s="201"/>
      <c r="BA151" s="201"/>
      <c r="BB151" s="201"/>
      <c r="BC151" s="201"/>
      <c r="BD151" s="201"/>
      <c r="BE151" s="201"/>
      <c r="BF151" s="201"/>
      <c r="BG151" s="201"/>
      <c r="BH151" s="201"/>
      <c r="BI151" s="202"/>
      <c r="BJ151" s="201"/>
      <c r="BK151" s="201"/>
      <c r="BL151" s="201"/>
      <c r="BM151" s="201"/>
      <c r="BN151" s="201"/>
      <c r="BO151" s="202"/>
      <c r="BP151" s="201"/>
      <c r="BQ151" s="201"/>
      <c r="BR151" s="201"/>
      <c r="BS151" s="201"/>
      <c r="BT151" s="201"/>
      <c r="BU151" s="201"/>
      <c r="BV151" s="201"/>
      <c r="BW151" s="201"/>
      <c r="BX151" s="201"/>
      <c r="BY151" s="201"/>
      <c r="BZ151" s="201"/>
      <c r="CA151" s="201"/>
      <c r="CB151" s="201"/>
    </row>
    <row r="152" spans="1:80">
      <c r="A152" s="212" t="s">
        <v>381</v>
      </c>
      <c r="B152" s="4" t="s">
        <v>17</v>
      </c>
      <c r="C152" s="9" t="s">
        <v>251</v>
      </c>
      <c r="D152" s="9" t="s">
        <v>21</v>
      </c>
      <c r="E152" s="200" t="s">
        <v>29</v>
      </c>
      <c r="F152" s="200" t="s">
        <v>79</v>
      </c>
      <c r="G152" s="5"/>
      <c r="H152" s="5"/>
      <c r="I152" s="5"/>
      <c r="J152" s="36"/>
      <c r="K152" s="36"/>
      <c r="L152" s="36"/>
      <c r="M152" s="36"/>
      <c r="N152" s="35"/>
      <c r="O152" s="35"/>
      <c r="P152" s="35"/>
      <c r="Q152" s="282"/>
      <c r="R152" s="203"/>
      <c r="S152" s="203"/>
      <c r="T152" s="203"/>
      <c r="U152" s="203"/>
      <c r="V152" s="203"/>
      <c r="W152" s="203"/>
      <c r="X152" s="203"/>
      <c r="Y152" s="203"/>
      <c r="Z152" s="203"/>
      <c r="AA152" s="203"/>
      <c r="AB152" s="203"/>
      <c r="AC152" s="203"/>
      <c r="AD152" s="203"/>
      <c r="AE152" s="203"/>
      <c r="AF152" s="203"/>
      <c r="AG152" s="203"/>
      <c r="AH152" s="203"/>
      <c r="AI152" s="203"/>
      <c r="AJ152" s="203"/>
      <c r="AK152" s="203"/>
      <c r="AL152" s="203"/>
      <c r="AM152" s="203"/>
      <c r="AN152" s="203"/>
      <c r="AO152" s="203"/>
      <c r="AP152" s="203"/>
      <c r="AQ152" s="203"/>
      <c r="AR152" s="203"/>
      <c r="AS152" s="203"/>
      <c r="AT152" s="203"/>
      <c r="AU152" s="203"/>
      <c r="AV152" s="203"/>
      <c r="AW152" s="203"/>
      <c r="AX152" s="203"/>
      <c r="AY152" s="203"/>
      <c r="AZ152" s="203"/>
      <c r="BA152" s="203"/>
      <c r="BB152" s="203"/>
      <c r="BC152" s="203"/>
      <c r="BD152" s="203"/>
      <c r="BE152" s="203"/>
      <c r="BF152" s="203"/>
      <c r="BG152" s="203"/>
      <c r="BH152" s="203"/>
      <c r="BI152" s="204"/>
      <c r="BJ152" s="203"/>
      <c r="BK152" s="203"/>
      <c r="BL152" s="203"/>
      <c r="BM152" s="203"/>
      <c r="BN152" s="203"/>
      <c r="BO152" s="204"/>
      <c r="BP152" s="203"/>
      <c r="BQ152" s="203"/>
      <c r="BR152" s="203"/>
      <c r="BS152" s="203"/>
      <c r="BT152" s="203"/>
      <c r="BU152" s="203"/>
      <c r="BV152" s="203"/>
      <c r="BW152" s="203"/>
      <c r="BX152" s="203"/>
      <c r="BY152" s="203"/>
      <c r="BZ152" s="203"/>
      <c r="CA152" s="203"/>
      <c r="CB152" s="203"/>
    </row>
    <row r="153" spans="1:80">
      <c r="A153" s="212" t="s">
        <v>381</v>
      </c>
      <c r="B153" s="4" t="s">
        <v>17</v>
      </c>
      <c r="C153" s="9" t="s">
        <v>251</v>
      </c>
      <c r="D153" s="9" t="s">
        <v>21</v>
      </c>
      <c r="E153" s="200" t="s">
        <v>29</v>
      </c>
      <c r="F153" s="200" t="s">
        <v>60</v>
      </c>
      <c r="G153" s="5"/>
      <c r="H153" s="5"/>
      <c r="I153" s="5"/>
      <c r="J153" s="36"/>
      <c r="K153" s="36"/>
      <c r="L153" s="36"/>
      <c r="M153" s="36"/>
      <c r="N153" s="35"/>
      <c r="O153" s="35"/>
      <c r="P153" s="35"/>
      <c r="Q153" s="282"/>
      <c r="R153" s="203"/>
      <c r="S153" s="203"/>
      <c r="T153" s="203"/>
      <c r="U153" s="203"/>
      <c r="V153" s="203"/>
      <c r="W153" s="203"/>
      <c r="X153" s="203"/>
      <c r="Y153" s="203"/>
      <c r="Z153" s="203"/>
      <c r="AA153" s="203"/>
      <c r="AB153" s="203"/>
      <c r="AC153" s="203"/>
      <c r="AD153" s="203"/>
      <c r="AE153" s="203"/>
      <c r="AF153" s="203"/>
      <c r="AG153" s="203"/>
      <c r="AH153" s="203"/>
      <c r="AI153" s="203"/>
      <c r="AJ153" s="203"/>
      <c r="AK153" s="203"/>
      <c r="AL153" s="203"/>
      <c r="AM153" s="203"/>
      <c r="AN153" s="203"/>
      <c r="AO153" s="203"/>
      <c r="AP153" s="203"/>
      <c r="AQ153" s="203"/>
      <c r="AR153" s="203"/>
      <c r="AS153" s="203"/>
      <c r="AT153" s="203"/>
      <c r="AU153" s="203"/>
      <c r="AV153" s="203"/>
      <c r="AW153" s="203"/>
      <c r="AX153" s="203"/>
      <c r="AY153" s="203"/>
      <c r="AZ153" s="203"/>
      <c r="BA153" s="203"/>
      <c r="BB153" s="203"/>
      <c r="BC153" s="203"/>
      <c r="BD153" s="203"/>
      <c r="BE153" s="203"/>
      <c r="BF153" s="203"/>
      <c r="BG153" s="203"/>
      <c r="BH153" s="203"/>
      <c r="BI153" s="204"/>
      <c r="BJ153" s="203"/>
      <c r="BK153" s="203"/>
      <c r="BL153" s="203"/>
      <c r="BM153" s="203"/>
      <c r="BN153" s="203"/>
      <c r="BO153" s="204"/>
      <c r="BP153" s="203"/>
      <c r="BQ153" s="203"/>
      <c r="BR153" s="203"/>
      <c r="BS153" s="203"/>
      <c r="BT153" s="203"/>
      <c r="BU153" s="203"/>
      <c r="BV153" s="203"/>
      <c r="BW153" s="203"/>
      <c r="BX153" s="203"/>
      <c r="BY153" s="203"/>
      <c r="BZ153" s="203"/>
      <c r="CA153" s="203"/>
      <c r="CB153" s="203"/>
    </row>
    <row r="154" spans="1:80">
      <c r="A154" s="212" t="s">
        <v>381</v>
      </c>
      <c r="B154" s="4" t="s">
        <v>17</v>
      </c>
      <c r="C154" s="9" t="s">
        <v>251</v>
      </c>
      <c r="D154" s="9" t="s">
        <v>21</v>
      </c>
      <c r="E154" s="200" t="s">
        <v>29</v>
      </c>
      <c r="F154" s="200" t="s">
        <v>80</v>
      </c>
      <c r="G154" s="5"/>
      <c r="H154" s="5"/>
      <c r="I154" s="5"/>
      <c r="J154" s="36"/>
      <c r="K154" s="36"/>
      <c r="L154" s="36"/>
      <c r="M154" s="36"/>
      <c r="N154" s="35"/>
      <c r="O154" s="35"/>
      <c r="P154" s="35"/>
      <c r="Q154" s="282"/>
      <c r="R154" s="203"/>
      <c r="S154" s="203"/>
      <c r="T154" s="203"/>
      <c r="U154" s="203"/>
      <c r="V154" s="203"/>
      <c r="W154" s="203"/>
      <c r="X154" s="203"/>
      <c r="Y154" s="203"/>
      <c r="Z154" s="203"/>
      <c r="AA154" s="203"/>
      <c r="AB154" s="203"/>
      <c r="AC154" s="203"/>
      <c r="AD154" s="203"/>
      <c r="AE154" s="203"/>
      <c r="AF154" s="203"/>
      <c r="AG154" s="203"/>
      <c r="AH154" s="203"/>
      <c r="AI154" s="203"/>
      <c r="AJ154" s="203"/>
      <c r="AK154" s="203"/>
      <c r="AL154" s="203"/>
      <c r="AM154" s="203"/>
      <c r="AN154" s="203"/>
      <c r="AO154" s="203"/>
      <c r="AP154" s="203"/>
      <c r="AQ154" s="203"/>
      <c r="AR154" s="203"/>
      <c r="AS154" s="203"/>
      <c r="AT154" s="203"/>
      <c r="AU154" s="203"/>
      <c r="AV154" s="203"/>
      <c r="AW154" s="203"/>
      <c r="AX154" s="203"/>
      <c r="AY154" s="203"/>
      <c r="AZ154" s="203"/>
      <c r="BA154" s="203"/>
      <c r="BB154" s="203"/>
      <c r="BC154" s="203"/>
      <c r="BD154" s="203"/>
      <c r="BE154" s="203"/>
      <c r="BF154" s="203"/>
      <c r="BG154" s="203"/>
      <c r="BH154" s="203"/>
      <c r="BI154" s="204"/>
      <c r="BJ154" s="203"/>
      <c r="BK154" s="203"/>
      <c r="BL154" s="203"/>
      <c r="BM154" s="203"/>
      <c r="BN154" s="203"/>
      <c r="BO154" s="204"/>
      <c r="BP154" s="203"/>
      <c r="BQ154" s="203"/>
      <c r="BR154" s="203"/>
      <c r="BS154" s="203"/>
      <c r="BT154" s="203"/>
      <c r="BU154" s="203"/>
      <c r="BV154" s="203"/>
      <c r="BW154" s="203"/>
      <c r="BX154" s="203"/>
      <c r="BY154" s="203"/>
      <c r="BZ154" s="203"/>
      <c r="CA154" s="203"/>
      <c r="CB154" s="203"/>
    </row>
    <row r="155" spans="1:80">
      <c r="A155" s="212" t="s">
        <v>381</v>
      </c>
      <c r="B155" s="4" t="s">
        <v>17</v>
      </c>
      <c r="C155" s="9" t="s">
        <v>251</v>
      </c>
      <c r="D155" s="9" t="s">
        <v>21</v>
      </c>
      <c r="E155" s="200" t="s">
        <v>29</v>
      </c>
      <c r="F155" s="200" t="s">
        <v>81</v>
      </c>
      <c r="G155" s="5"/>
      <c r="H155" s="5"/>
      <c r="I155" s="5"/>
      <c r="J155" s="36"/>
      <c r="K155" s="36"/>
      <c r="L155" s="36"/>
      <c r="M155" s="36"/>
      <c r="N155" s="35"/>
      <c r="O155" s="35"/>
      <c r="P155" s="35"/>
      <c r="Q155" s="282"/>
      <c r="R155" s="203"/>
      <c r="S155" s="203"/>
      <c r="T155" s="203"/>
      <c r="U155" s="203"/>
      <c r="V155" s="203"/>
      <c r="W155" s="203"/>
      <c r="X155" s="203"/>
      <c r="Y155" s="203"/>
      <c r="Z155" s="203"/>
      <c r="AA155" s="203"/>
      <c r="AB155" s="203"/>
      <c r="AC155" s="203"/>
      <c r="AD155" s="203"/>
      <c r="AE155" s="203"/>
      <c r="AF155" s="203"/>
      <c r="AG155" s="203"/>
      <c r="AH155" s="203"/>
      <c r="AI155" s="203"/>
      <c r="AJ155" s="203"/>
      <c r="AK155" s="203"/>
      <c r="AL155" s="203"/>
      <c r="AM155" s="203"/>
      <c r="AN155" s="203"/>
      <c r="AO155" s="203"/>
      <c r="AP155" s="203"/>
      <c r="AQ155" s="203"/>
      <c r="AR155" s="203"/>
      <c r="AS155" s="203"/>
      <c r="AT155" s="203"/>
      <c r="AU155" s="203"/>
      <c r="AV155" s="203"/>
      <c r="AW155" s="203"/>
      <c r="AX155" s="203"/>
      <c r="AY155" s="203"/>
      <c r="AZ155" s="203"/>
      <c r="BA155" s="203"/>
      <c r="BB155" s="203"/>
      <c r="BC155" s="203"/>
      <c r="BD155" s="203"/>
      <c r="BE155" s="203"/>
      <c r="BF155" s="203"/>
      <c r="BG155" s="203"/>
      <c r="BH155" s="203"/>
      <c r="BI155" s="204"/>
      <c r="BJ155" s="203"/>
      <c r="BK155" s="203"/>
      <c r="BL155" s="203"/>
      <c r="BM155" s="203"/>
      <c r="BN155" s="203"/>
      <c r="BO155" s="204"/>
      <c r="BP155" s="203"/>
      <c r="BQ155" s="203"/>
      <c r="BR155" s="203"/>
      <c r="BS155" s="203"/>
      <c r="BT155" s="203"/>
      <c r="BU155" s="203"/>
      <c r="BV155" s="203"/>
      <c r="BW155" s="203"/>
      <c r="BX155" s="203"/>
      <c r="BY155" s="203"/>
      <c r="BZ155" s="203"/>
      <c r="CA155" s="203"/>
      <c r="CB155" s="203"/>
    </row>
    <row r="156" spans="1:80">
      <c r="A156" s="212" t="s">
        <v>381</v>
      </c>
      <c r="B156" s="4" t="s">
        <v>17</v>
      </c>
      <c r="C156" s="9" t="s">
        <v>251</v>
      </c>
      <c r="D156" s="9" t="s">
        <v>21</v>
      </c>
      <c r="E156" s="200" t="s">
        <v>29</v>
      </c>
      <c r="F156" s="200" t="s">
        <v>82</v>
      </c>
      <c r="G156" s="5"/>
      <c r="H156" s="5"/>
      <c r="I156" s="5"/>
      <c r="J156" s="36"/>
      <c r="K156" s="36"/>
      <c r="L156" s="36"/>
      <c r="M156" s="36"/>
      <c r="N156" s="35"/>
      <c r="O156" s="35"/>
      <c r="P156" s="35"/>
      <c r="Q156" s="282"/>
      <c r="R156" s="203"/>
      <c r="S156" s="203"/>
      <c r="T156" s="203"/>
      <c r="U156" s="203"/>
      <c r="V156" s="203"/>
      <c r="W156" s="203"/>
      <c r="X156" s="203"/>
      <c r="Y156" s="203"/>
      <c r="Z156" s="203"/>
      <c r="AA156" s="203"/>
      <c r="AB156" s="203"/>
      <c r="AC156" s="203"/>
      <c r="AD156" s="203"/>
      <c r="AE156" s="203"/>
      <c r="AF156" s="203"/>
      <c r="AG156" s="203"/>
      <c r="AH156" s="203"/>
      <c r="AI156" s="203"/>
      <c r="AJ156" s="203"/>
      <c r="AK156" s="203"/>
      <c r="AL156" s="203"/>
      <c r="AM156" s="203"/>
      <c r="AN156" s="203"/>
      <c r="AO156" s="203"/>
      <c r="AP156" s="203"/>
      <c r="AQ156" s="203"/>
      <c r="AR156" s="203"/>
      <c r="AS156" s="203"/>
      <c r="AT156" s="203"/>
      <c r="AU156" s="203"/>
      <c r="AV156" s="203"/>
      <c r="AW156" s="203"/>
      <c r="AX156" s="203"/>
      <c r="AY156" s="203"/>
      <c r="AZ156" s="203"/>
      <c r="BA156" s="203"/>
      <c r="BB156" s="203"/>
      <c r="BC156" s="203"/>
      <c r="BD156" s="203"/>
      <c r="BE156" s="203"/>
      <c r="BF156" s="203"/>
      <c r="BG156" s="203"/>
      <c r="BH156" s="203"/>
      <c r="BI156" s="204"/>
      <c r="BJ156" s="203"/>
      <c r="BK156" s="203"/>
      <c r="BL156" s="203"/>
      <c r="BM156" s="203"/>
      <c r="BN156" s="203"/>
      <c r="BO156" s="204"/>
      <c r="BP156" s="203"/>
      <c r="BQ156" s="203"/>
      <c r="BR156" s="203"/>
      <c r="BS156" s="203"/>
      <c r="BT156" s="203"/>
      <c r="BU156" s="203"/>
      <c r="BV156" s="203"/>
      <c r="BW156" s="203"/>
      <c r="BX156" s="203"/>
      <c r="BY156" s="203"/>
      <c r="BZ156" s="203"/>
      <c r="CA156" s="203"/>
      <c r="CB156" s="203"/>
    </row>
    <row r="157" spans="1:80">
      <c r="A157" s="212" t="s">
        <v>381</v>
      </c>
      <c r="B157" s="4" t="s">
        <v>17</v>
      </c>
      <c r="C157" s="9" t="s">
        <v>251</v>
      </c>
      <c r="D157" s="9" t="s">
        <v>21</v>
      </c>
      <c r="E157" s="200" t="s">
        <v>29</v>
      </c>
      <c r="F157" s="200" t="s">
        <v>83</v>
      </c>
      <c r="G157" s="5"/>
      <c r="H157" s="5"/>
      <c r="I157" s="5"/>
      <c r="J157" s="36"/>
      <c r="K157" s="36"/>
      <c r="L157" s="36"/>
      <c r="M157" s="36"/>
      <c r="N157" s="35"/>
      <c r="O157" s="35"/>
      <c r="P157" s="35"/>
      <c r="Q157" s="282"/>
      <c r="R157" s="203"/>
      <c r="S157" s="203"/>
      <c r="T157" s="203"/>
      <c r="U157" s="203"/>
      <c r="V157" s="203"/>
      <c r="W157" s="203"/>
      <c r="X157" s="203"/>
      <c r="Y157" s="203"/>
      <c r="Z157" s="203"/>
      <c r="AA157" s="203"/>
      <c r="AB157" s="203"/>
      <c r="AC157" s="203"/>
      <c r="AD157" s="203"/>
      <c r="AE157" s="203"/>
      <c r="AF157" s="203"/>
      <c r="AG157" s="203"/>
      <c r="AH157" s="203"/>
      <c r="AI157" s="203"/>
      <c r="AJ157" s="203"/>
      <c r="AK157" s="203"/>
      <c r="AL157" s="203"/>
      <c r="AM157" s="203"/>
      <c r="AN157" s="203"/>
      <c r="AO157" s="203"/>
      <c r="AP157" s="203"/>
      <c r="AQ157" s="203"/>
      <c r="AR157" s="203"/>
      <c r="AS157" s="203"/>
      <c r="AT157" s="203"/>
      <c r="AU157" s="203"/>
      <c r="AV157" s="203"/>
      <c r="AW157" s="203"/>
      <c r="AX157" s="203"/>
      <c r="AY157" s="203"/>
      <c r="AZ157" s="203"/>
      <c r="BA157" s="203"/>
      <c r="BB157" s="203"/>
      <c r="BC157" s="203"/>
      <c r="BD157" s="203"/>
      <c r="BE157" s="203"/>
      <c r="BF157" s="203"/>
      <c r="BG157" s="203"/>
      <c r="BH157" s="203"/>
      <c r="BI157" s="204"/>
      <c r="BJ157" s="203"/>
      <c r="BK157" s="203"/>
      <c r="BL157" s="203"/>
      <c r="BM157" s="203"/>
      <c r="BN157" s="203"/>
      <c r="BO157" s="204"/>
      <c r="BP157" s="203"/>
      <c r="BQ157" s="203"/>
      <c r="BR157" s="203"/>
      <c r="BS157" s="203"/>
      <c r="BT157" s="203"/>
      <c r="BU157" s="203"/>
      <c r="BV157" s="203"/>
      <c r="BW157" s="203"/>
      <c r="BX157" s="203"/>
      <c r="BY157" s="203"/>
      <c r="BZ157" s="203"/>
      <c r="CA157" s="203"/>
      <c r="CB157" s="203"/>
    </row>
    <row r="158" spans="1:80">
      <c r="A158" s="212" t="s">
        <v>381</v>
      </c>
      <c r="B158" s="4" t="s">
        <v>17</v>
      </c>
      <c r="C158" s="9" t="s">
        <v>251</v>
      </c>
      <c r="D158" s="9" t="s">
        <v>21</v>
      </c>
      <c r="E158" s="200" t="s">
        <v>29</v>
      </c>
      <c r="F158" s="200" t="s">
        <v>61</v>
      </c>
      <c r="G158" s="5"/>
      <c r="H158" s="5"/>
      <c r="I158" s="5"/>
      <c r="J158" s="36"/>
      <c r="K158" s="36"/>
      <c r="L158" s="36"/>
      <c r="M158" s="36"/>
      <c r="N158" s="35"/>
      <c r="O158" s="35"/>
      <c r="P158" s="35"/>
      <c r="Q158" s="282"/>
      <c r="R158" s="203"/>
      <c r="S158" s="203"/>
      <c r="T158" s="203"/>
      <c r="U158" s="203"/>
      <c r="V158" s="203"/>
      <c r="W158" s="203"/>
      <c r="X158" s="203"/>
      <c r="Y158" s="203"/>
      <c r="Z158" s="203"/>
      <c r="AA158" s="203"/>
      <c r="AB158" s="203"/>
      <c r="AC158" s="203"/>
      <c r="AD158" s="203"/>
      <c r="AE158" s="203"/>
      <c r="AF158" s="203"/>
      <c r="AG158" s="203"/>
      <c r="AH158" s="203"/>
      <c r="AI158" s="203"/>
      <c r="AJ158" s="203"/>
      <c r="AK158" s="203"/>
      <c r="AL158" s="203"/>
      <c r="AM158" s="203"/>
      <c r="AN158" s="203"/>
      <c r="AO158" s="203"/>
      <c r="AP158" s="203"/>
      <c r="AQ158" s="203"/>
      <c r="AR158" s="203"/>
      <c r="AS158" s="203"/>
      <c r="AT158" s="203"/>
      <c r="AU158" s="203"/>
      <c r="AV158" s="203"/>
      <c r="AW158" s="203"/>
      <c r="AX158" s="203"/>
      <c r="AY158" s="203"/>
      <c r="AZ158" s="203"/>
      <c r="BA158" s="203"/>
      <c r="BB158" s="203"/>
      <c r="BC158" s="203"/>
      <c r="BD158" s="203"/>
      <c r="BE158" s="203"/>
      <c r="BF158" s="203"/>
      <c r="BG158" s="203"/>
      <c r="BH158" s="203"/>
      <c r="BI158" s="204"/>
      <c r="BJ158" s="203"/>
      <c r="BK158" s="203"/>
      <c r="BL158" s="203"/>
      <c r="BM158" s="203"/>
      <c r="BN158" s="203"/>
      <c r="BO158" s="204"/>
      <c r="BP158" s="203"/>
      <c r="BQ158" s="203"/>
      <c r="BR158" s="203"/>
      <c r="BS158" s="203"/>
      <c r="BT158" s="203"/>
      <c r="BU158" s="203"/>
      <c r="BV158" s="203"/>
      <c r="BW158" s="203"/>
      <c r="BX158" s="203"/>
      <c r="BY158" s="203"/>
      <c r="BZ158" s="203"/>
      <c r="CA158" s="203"/>
      <c r="CB158" s="203"/>
    </row>
    <row r="159" spans="1:80">
      <c r="A159" s="212" t="s">
        <v>381</v>
      </c>
      <c r="B159" s="4" t="s">
        <v>17</v>
      </c>
      <c r="C159" s="9" t="s">
        <v>251</v>
      </c>
      <c r="D159" s="9" t="s">
        <v>21</v>
      </c>
      <c r="E159" s="200" t="s">
        <v>29</v>
      </c>
      <c r="F159" s="200" t="s">
        <v>84</v>
      </c>
      <c r="G159" s="5"/>
      <c r="H159" s="5"/>
      <c r="I159" s="5"/>
      <c r="J159" s="36"/>
      <c r="K159" s="36"/>
      <c r="L159" s="36"/>
      <c r="M159" s="36"/>
      <c r="N159" s="35"/>
      <c r="O159" s="35"/>
      <c r="P159" s="35"/>
      <c r="Q159" s="282"/>
      <c r="R159" s="203"/>
      <c r="S159" s="203"/>
      <c r="T159" s="203"/>
      <c r="U159" s="203"/>
      <c r="V159" s="203"/>
      <c r="W159" s="203"/>
      <c r="X159" s="203"/>
      <c r="Y159" s="203"/>
      <c r="Z159" s="203"/>
      <c r="AA159" s="203"/>
      <c r="AB159" s="203"/>
      <c r="AC159" s="203"/>
      <c r="AD159" s="203"/>
      <c r="AE159" s="203"/>
      <c r="AF159" s="203"/>
      <c r="AG159" s="203"/>
      <c r="AH159" s="203"/>
      <c r="AI159" s="203"/>
      <c r="AJ159" s="203"/>
      <c r="AK159" s="203"/>
      <c r="AL159" s="203"/>
      <c r="AM159" s="203"/>
      <c r="AN159" s="203"/>
      <c r="AO159" s="203"/>
      <c r="AP159" s="203"/>
      <c r="AQ159" s="203"/>
      <c r="AR159" s="203"/>
      <c r="AS159" s="203"/>
      <c r="AT159" s="203"/>
      <c r="AU159" s="203"/>
      <c r="AV159" s="203"/>
      <c r="AW159" s="203"/>
      <c r="AX159" s="203"/>
      <c r="AY159" s="203"/>
      <c r="AZ159" s="203"/>
      <c r="BA159" s="203"/>
      <c r="BB159" s="203"/>
      <c r="BC159" s="203"/>
      <c r="BD159" s="203"/>
      <c r="BE159" s="203"/>
      <c r="BF159" s="203"/>
      <c r="BG159" s="203"/>
      <c r="BH159" s="203"/>
      <c r="BI159" s="204"/>
      <c r="BJ159" s="203"/>
      <c r="BK159" s="203"/>
      <c r="BL159" s="203"/>
      <c r="BM159" s="203"/>
      <c r="BN159" s="203"/>
      <c r="BO159" s="204"/>
      <c r="BP159" s="203"/>
      <c r="BQ159" s="203"/>
      <c r="BR159" s="203"/>
      <c r="BS159" s="203"/>
      <c r="BT159" s="203"/>
      <c r="BU159" s="203"/>
      <c r="BV159" s="203"/>
      <c r="BW159" s="203"/>
      <c r="BX159" s="203"/>
      <c r="BY159" s="203"/>
      <c r="BZ159" s="203"/>
      <c r="CA159" s="203"/>
      <c r="CB159" s="203"/>
    </row>
    <row r="160" spans="1:80">
      <c r="A160" s="212" t="s">
        <v>381</v>
      </c>
      <c r="B160" s="4" t="s">
        <v>17</v>
      </c>
      <c r="C160" s="9" t="s">
        <v>251</v>
      </c>
      <c r="D160" s="9" t="s">
        <v>21</v>
      </c>
      <c r="E160" s="200" t="s">
        <v>29</v>
      </c>
      <c r="F160" s="200" t="s">
        <v>85</v>
      </c>
      <c r="G160" s="5"/>
      <c r="H160" s="5"/>
      <c r="I160" s="5"/>
      <c r="J160" s="36"/>
      <c r="K160" s="36"/>
      <c r="L160" s="36"/>
      <c r="M160" s="36"/>
      <c r="N160" s="35"/>
      <c r="O160" s="35"/>
      <c r="P160" s="35"/>
      <c r="Q160" s="282"/>
      <c r="R160" s="203"/>
      <c r="S160" s="203"/>
      <c r="T160" s="203"/>
      <c r="U160" s="203"/>
      <c r="V160" s="203"/>
      <c r="W160" s="203"/>
      <c r="X160" s="203"/>
      <c r="Y160" s="203"/>
      <c r="Z160" s="203"/>
      <c r="AA160" s="203"/>
      <c r="AB160" s="203"/>
      <c r="AC160" s="203"/>
      <c r="AD160" s="203"/>
      <c r="AE160" s="203"/>
      <c r="AF160" s="203"/>
      <c r="AG160" s="203"/>
      <c r="AH160" s="203"/>
      <c r="AI160" s="203"/>
      <c r="AJ160" s="203"/>
      <c r="AK160" s="203"/>
      <c r="AL160" s="203"/>
      <c r="AM160" s="203"/>
      <c r="AN160" s="203"/>
      <c r="AO160" s="203"/>
      <c r="AP160" s="203"/>
      <c r="AQ160" s="203"/>
      <c r="AR160" s="203"/>
      <c r="AS160" s="203"/>
      <c r="AT160" s="203"/>
      <c r="AU160" s="203"/>
      <c r="AV160" s="203"/>
      <c r="AW160" s="203"/>
      <c r="AX160" s="203"/>
      <c r="AY160" s="203"/>
      <c r="AZ160" s="203"/>
      <c r="BA160" s="203"/>
      <c r="BB160" s="203"/>
      <c r="BC160" s="203"/>
      <c r="BD160" s="203"/>
      <c r="BE160" s="203"/>
      <c r="BF160" s="203"/>
      <c r="BG160" s="203"/>
      <c r="BH160" s="203"/>
      <c r="BI160" s="204"/>
      <c r="BJ160" s="203"/>
      <c r="BK160" s="203"/>
      <c r="BL160" s="203"/>
      <c r="BM160" s="203"/>
      <c r="BN160" s="203"/>
      <c r="BO160" s="204"/>
      <c r="BP160" s="203"/>
      <c r="BQ160" s="203"/>
      <c r="BR160" s="203"/>
      <c r="BS160" s="203"/>
      <c r="BT160" s="203"/>
      <c r="BU160" s="203"/>
      <c r="BV160" s="203"/>
      <c r="BW160" s="203"/>
      <c r="BX160" s="203"/>
      <c r="BY160" s="203"/>
      <c r="BZ160" s="203"/>
      <c r="CA160" s="203"/>
      <c r="CB160" s="203"/>
    </row>
    <row r="161" spans="1:80">
      <c r="A161" s="212" t="s">
        <v>381</v>
      </c>
      <c r="B161" s="4" t="s">
        <v>17</v>
      </c>
      <c r="C161" s="9" t="s">
        <v>251</v>
      </c>
      <c r="D161" s="9" t="s">
        <v>21</v>
      </c>
      <c r="E161" s="200" t="s">
        <v>29</v>
      </c>
      <c r="F161" s="200" t="s">
        <v>86</v>
      </c>
      <c r="G161" s="5"/>
      <c r="H161" s="5"/>
      <c r="I161" s="5"/>
      <c r="J161" s="36"/>
      <c r="K161" s="36"/>
      <c r="L161" s="36"/>
      <c r="M161" s="36"/>
      <c r="N161" s="35"/>
      <c r="O161" s="35"/>
      <c r="P161" s="35"/>
      <c r="Q161" s="282"/>
      <c r="R161" s="203"/>
      <c r="S161" s="203"/>
      <c r="T161" s="203"/>
      <c r="U161" s="203"/>
      <c r="V161" s="203"/>
      <c r="W161" s="203"/>
      <c r="X161" s="203"/>
      <c r="Y161" s="203"/>
      <c r="Z161" s="203"/>
      <c r="AA161" s="203"/>
      <c r="AB161" s="203"/>
      <c r="AC161" s="203"/>
      <c r="AD161" s="203"/>
      <c r="AE161" s="203"/>
      <c r="AF161" s="203"/>
      <c r="AG161" s="203"/>
      <c r="AH161" s="203"/>
      <c r="AI161" s="203"/>
      <c r="AJ161" s="203"/>
      <c r="AK161" s="203"/>
      <c r="AL161" s="203"/>
      <c r="AM161" s="203"/>
      <c r="AN161" s="203"/>
      <c r="AO161" s="203"/>
      <c r="AP161" s="203"/>
      <c r="AQ161" s="203"/>
      <c r="AR161" s="203"/>
      <c r="AS161" s="203"/>
      <c r="AT161" s="203"/>
      <c r="AU161" s="203"/>
      <c r="AV161" s="203"/>
      <c r="AW161" s="203"/>
      <c r="AX161" s="203"/>
      <c r="AY161" s="203"/>
      <c r="AZ161" s="203"/>
      <c r="BA161" s="203"/>
      <c r="BB161" s="203"/>
      <c r="BC161" s="203"/>
      <c r="BD161" s="203"/>
      <c r="BE161" s="203"/>
      <c r="BF161" s="203"/>
      <c r="BG161" s="203"/>
      <c r="BH161" s="203"/>
      <c r="BI161" s="204"/>
      <c r="BJ161" s="203"/>
      <c r="BK161" s="203"/>
      <c r="BL161" s="203"/>
      <c r="BM161" s="203"/>
      <c r="BN161" s="203"/>
      <c r="BO161" s="204"/>
      <c r="BP161" s="203"/>
      <c r="BQ161" s="203"/>
      <c r="BR161" s="203"/>
      <c r="BS161" s="203"/>
      <c r="BT161" s="203"/>
      <c r="BU161" s="203"/>
      <c r="BV161" s="203"/>
      <c r="BW161" s="203"/>
      <c r="BX161" s="203"/>
      <c r="BY161" s="203"/>
      <c r="BZ161" s="203"/>
      <c r="CA161" s="203"/>
      <c r="CB161" s="203"/>
    </row>
    <row r="162" spans="1:80">
      <c r="A162" s="212" t="s">
        <v>381</v>
      </c>
      <c r="B162" s="4" t="s">
        <v>17</v>
      </c>
      <c r="C162" s="9" t="s">
        <v>251</v>
      </c>
      <c r="D162" s="9" t="s">
        <v>21</v>
      </c>
      <c r="E162" s="200" t="s">
        <v>29</v>
      </c>
      <c r="F162" s="200" t="s">
        <v>90</v>
      </c>
      <c r="G162" s="5"/>
      <c r="H162" s="5"/>
      <c r="I162" s="5"/>
      <c r="J162" s="36"/>
      <c r="K162" s="36"/>
      <c r="L162" s="36"/>
      <c r="M162" s="36"/>
      <c r="N162" s="35"/>
      <c r="O162" s="35"/>
      <c r="P162" s="35"/>
      <c r="Q162" s="282"/>
      <c r="R162" s="203"/>
      <c r="S162" s="203"/>
      <c r="T162" s="203"/>
      <c r="U162" s="203"/>
      <c r="V162" s="203"/>
      <c r="W162" s="203"/>
      <c r="X162" s="203"/>
      <c r="Y162" s="203"/>
      <c r="Z162" s="203"/>
      <c r="AA162" s="203"/>
      <c r="AB162" s="203"/>
      <c r="AC162" s="203"/>
      <c r="AD162" s="203"/>
      <c r="AE162" s="203"/>
      <c r="AF162" s="203"/>
      <c r="AG162" s="203"/>
      <c r="AH162" s="203"/>
      <c r="AI162" s="203"/>
      <c r="AJ162" s="203"/>
      <c r="AK162" s="203"/>
      <c r="AL162" s="203"/>
      <c r="AM162" s="203"/>
      <c r="AN162" s="203"/>
      <c r="AO162" s="203"/>
      <c r="AP162" s="203"/>
      <c r="AQ162" s="203"/>
      <c r="AR162" s="203"/>
      <c r="AS162" s="203"/>
      <c r="AT162" s="203"/>
      <c r="AU162" s="203"/>
      <c r="AV162" s="203"/>
      <c r="AW162" s="203"/>
      <c r="AX162" s="203"/>
      <c r="AY162" s="203"/>
      <c r="AZ162" s="203"/>
      <c r="BA162" s="203"/>
      <c r="BB162" s="203"/>
      <c r="BC162" s="203"/>
      <c r="BD162" s="203"/>
      <c r="BE162" s="203"/>
      <c r="BF162" s="203"/>
      <c r="BG162" s="203"/>
      <c r="BH162" s="203"/>
      <c r="BI162" s="204"/>
      <c r="BJ162" s="203"/>
      <c r="BK162" s="203"/>
      <c r="BL162" s="203"/>
      <c r="BM162" s="203"/>
      <c r="BN162" s="203"/>
      <c r="BO162" s="204"/>
      <c r="BP162" s="203"/>
      <c r="BQ162" s="203"/>
      <c r="BR162" s="203"/>
      <c r="BS162" s="203"/>
      <c r="BT162" s="203"/>
      <c r="BU162" s="203"/>
      <c r="BV162" s="203"/>
      <c r="BW162" s="203"/>
      <c r="BX162" s="203"/>
      <c r="BY162" s="203"/>
      <c r="BZ162" s="203"/>
      <c r="CA162" s="203"/>
      <c r="CB162" s="203"/>
    </row>
    <row r="163" spans="1:80">
      <c r="A163" s="212" t="s">
        <v>381</v>
      </c>
      <c r="B163" s="4" t="s">
        <v>17</v>
      </c>
      <c r="C163" s="9" t="s">
        <v>251</v>
      </c>
      <c r="D163" s="9" t="s">
        <v>21</v>
      </c>
      <c r="E163" s="200" t="s">
        <v>29</v>
      </c>
      <c r="F163" s="200" t="s">
        <v>92</v>
      </c>
      <c r="G163" s="5"/>
      <c r="H163" s="5"/>
      <c r="I163" s="5"/>
      <c r="J163" s="36"/>
      <c r="K163" s="36"/>
      <c r="L163" s="36"/>
      <c r="M163" s="36"/>
      <c r="N163" s="35"/>
      <c r="O163" s="35"/>
      <c r="P163" s="35"/>
      <c r="Q163" s="282"/>
      <c r="R163" s="203"/>
      <c r="S163" s="203"/>
      <c r="T163" s="203"/>
      <c r="U163" s="203"/>
      <c r="V163" s="203"/>
      <c r="W163" s="203"/>
      <c r="X163" s="203"/>
      <c r="Y163" s="203"/>
      <c r="Z163" s="203"/>
      <c r="AA163" s="203"/>
      <c r="AB163" s="203"/>
      <c r="AC163" s="203"/>
      <c r="AD163" s="203"/>
      <c r="AE163" s="203"/>
      <c r="AF163" s="203"/>
      <c r="AG163" s="203"/>
      <c r="AH163" s="203"/>
      <c r="AI163" s="203"/>
      <c r="AJ163" s="203"/>
      <c r="AK163" s="203"/>
      <c r="AL163" s="203"/>
      <c r="AM163" s="203"/>
      <c r="AN163" s="203"/>
      <c r="AO163" s="203"/>
      <c r="AP163" s="203"/>
      <c r="AQ163" s="203"/>
      <c r="AR163" s="203"/>
      <c r="AS163" s="203"/>
      <c r="AT163" s="203"/>
      <c r="AU163" s="203"/>
      <c r="AV163" s="203"/>
      <c r="AW163" s="203"/>
      <c r="AX163" s="203"/>
      <c r="AY163" s="203"/>
      <c r="AZ163" s="203"/>
      <c r="BA163" s="203"/>
      <c r="BB163" s="203"/>
      <c r="BC163" s="203"/>
      <c r="BD163" s="203"/>
      <c r="BE163" s="203"/>
      <c r="BF163" s="203"/>
      <c r="BG163" s="203"/>
      <c r="BH163" s="203"/>
      <c r="BI163" s="204"/>
      <c r="BJ163" s="203"/>
      <c r="BK163" s="203"/>
      <c r="BL163" s="203"/>
      <c r="BM163" s="203"/>
      <c r="BN163" s="203"/>
      <c r="BO163" s="204"/>
      <c r="BP163" s="203"/>
      <c r="BQ163" s="203"/>
      <c r="BR163" s="203"/>
      <c r="BS163" s="203"/>
      <c r="BT163" s="203"/>
      <c r="BU163" s="203"/>
      <c r="BV163" s="203"/>
      <c r="BW163" s="203"/>
      <c r="BX163" s="203"/>
      <c r="BY163" s="203"/>
      <c r="BZ163" s="203"/>
      <c r="CA163" s="203"/>
      <c r="CB163" s="203"/>
    </row>
    <row r="164" spans="1:80">
      <c r="A164" s="212" t="s">
        <v>381</v>
      </c>
      <c r="B164" s="4" t="s">
        <v>17</v>
      </c>
      <c r="C164" s="9" t="s">
        <v>251</v>
      </c>
      <c r="D164" s="9" t="s">
        <v>21</v>
      </c>
      <c r="E164" s="200" t="s">
        <v>29</v>
      </c>
      <c r="F164" s="200" t="s">
        <v>93</v>
      </c>
      <c r="G164" s="5"/>
      <c r="H164" s="5"/>
      <c r="I164" s="5"/>
      <c r="J164" s="36"/>
      <c r="K164" s="36"/>
      <c r="L164" s="36"/>
      <c r="M164" s="36"/>
      <c r="N164" s="35"/>
      <c r="O164" s="35"/>
      <c r="P164" s="35"/>
      <c r="Q164" s="282"/>
      <c r="R164" s="203"/>
      <c r="S164" s="203"/>
      <c r="T164" s="203"/>
      <c r="U164" s="203"/>
      <c r="V164" s="203"/>
      <c r="W164" s="203"/>
      <c r="X164" s="203"/>
      <c r="Y164" s="203"/>
      <c r="Z164" s="203"/>
      <c r="AA164" s="203"/>
      <c r="AB164" s="203"/>
      <c r="AC164" s="203"/>
      <c r="AD164" s="203"/>
      <c r="AE164" s="203"/>
      <c r="AF164" s="203"/>
      <c r="AG164" s="203"/>
      <c r="AH164" s="203"/>
      <c r="AI164" s="203"/>
      <c r="AJ164" s="203"/>
      <c r="AK164" s="203"/>
      <c r="AL164" s="203"/>
      <c r="AM164" s="203"/>
      <c r="AN164" s="203"/>
      <c r="AO164" s="203"/>
      <c r="AP164" s="203"/>
      <c r="AQ164" s="203"/>
      <c r="AR164" s="203"/>
      <c r="AS164" s="203"/>
      <c r="AT164" s="203"/>
      <c r="AU164" s="203"/>
      <c r="AV164" s="203"/>
      <c r="AW164" s="203"/>
      <c r="AX164" s="203"/>
      <c r="AY164" s="203"/>
      <c r="AZ164" s="203"/>
      <c r="BA164" s="203"/>
      <c r="BB164" s="203"/>
      <c r="BC164" s="203"/>
      <c r="BD164" s="203"/>
      <c r="BE164" s="203"/>
      <c r="BF164" s="203"/>
      <c r="BG164" s="203"/>
      <c r="BH164" s="203"/>
      <c r="BI164" s="204"/>
      <c r="BJ164" s="203"/>
      <c r="BK164" s="203"/>
      <c r="BL164" s="203"/>
      <c r="BM164" s="203"/>
      <c r="BN164" s="203"/>
      <c r="BO164" s="204"/>
      <c r="BP164" s="203"/>
      <c r="BQ164" s="203"/>
      <c r="BR164" s="203"/>
      <c r="BS164" s="203"/>
      <c r="BT164" s="203"/>
      <c r="BU164" s="203"/>
      <c r="BV164" s="203"/>
      <c r="BW164" s="203"/>
      <c r="BX164" s="203"/>
      <c r="BY164" s="203"/>
      <c r="BZ164" s="203"/>
      <c r="CA164" s="203"/>
      <c r="CB164" s="203"/>
    </row>
    <row r="165" spans="1:80">
      <c r="A165" s="212" t="s">
        <v>381</v>
      </c>
      <c r="B165" s="4" t="s">
        <v>17</v>
      </c>
      <c r="C165" s="9" t="s">
        <v>251</v>
      </c>
      <c r="D165" s="9" t="s">
        <v>21</v>
      </c>
      <c r="E165" s="200" t="s">
        <v>29</v>
      </c>
      <c r="F165" s="200" t="s">
        <v>95</v>
      </c>
      <c r="G165" s="5"/>
      <c r="H165" s="5"/>
      <c r="I165" s="5"/>
      <c r="J165" s="36"/>
      <c r="K165" s="36"/>
      <c r="L165" s="36"/>
      <c r="M165" s="36"/>
      <c r="N165" s="35"/>
      <c r="O165" s="35"/>
      <c r="P165" s="35"/>
      <c r="Q165" s="282"/>
      <c r="R165" s="203"/>
      <c r="S165" s="203"/>
      <c r="T165" s="203"/>
      <c r="U165" s="203"/>
      <c r="V165" s="203"/>
      <c r="W165" s="203"/>
      <c r="X165" s="203"/>
      <c r="Y165" s="203"/>
      <c r="Z165" s="203"/>
      <c r="AA165" s="203"/>
      <c r="AB165" s="203"/>
      <c r="AC165" s="203"/>
      <c r="AD165" s="203"/>
      <c r="AE165" s="203"/>
      <c r="AF165" s="203"/>
      <c r="AG165" s="203"/>
      <c r="AH165" s="203"/>
      <c r="AI165" s="203"/>
      <c r="AJ165" s="203"/>
      <c r="AK165" s="203"/>
      <c r="AL165" s="203"/>
      <c r="AM165" s="203"/>
      <c r="AN165" s="203"/>
      <c r="AO165" s="203"/>
      <c r="AP165" s="203"/>
      <c r="AQ165" s="203"/>
      <c r="AR165" s="203"/>
      <c r="AS165" s="203"/>
      <c r="AT165" s="203"/>
      <c r="AU165" s="203"/>
      <c r="AV165" s="203"/>
      <c r="AW165" s="203"/>
      <c r="AX165" s="203"/>
      <c r="AY165" s="203"/>
      <c r="AZ165" s="203"/>
      <c r="BA165" s="203"/>
      <c r="BB165" s="203"/>
      <c r="BC165" s="203"/>
      <c r="BD165" s="203"/>
      <c r="BE165" s="203"/>
      <c r="BF165" s="203"/>
      <c r="BG165" s="203"/>
      <c r="BH165" s="203"/>
      <c r="BI165" s="204"/>
      <c r="BJ165" s="203"/>
      <c r="BK165" s="203"/>
      <c r="BL165" s="203"/>
      <c r="BM165" s="203"/>
      <c r="BN165" s="203"/>
      <c r="BO165" s="204"/>
      <c r="BP165" s="203"/>
      <c r="BQ165" s="203"/>
      <c r="BR165" s="203"/>
      <c r="BS165" s="203"/>
      <c r="BT165" s="203"/>
      <c r="BU165" s="203"/>
      <c r="BV165" s="203"/>
      <c r="BW165" s="203"/>
      <c r="BX165" s="203"/>
      <c r="BY165" s="203"/>
      <c r="BZ165" s="203"/>
      <c r="CA165" s="203"/>
      <c r="CB165" s="203"/>
    </row>
    <row r="166" spans="1:80">
      <c r="A166" s="212" t="s">
        <v>381</v>
      </c>
      <c r="B166" s="4" t="s">
        <v>17</v>
      </c>
      <c r="C166" s="9" t="s">
        <v>251</v>
      </c>
      <c r="D166" s="9" t="s">
        <v>21</v>
      </c>
      <c r="E166" s="200" t="s">
        <v>29</v>
      </c>
      <c r="F166" s="200" t="s">
        <v>96</v>
      </c>
      <c r="G166" s="5"/>
      <c r="H166" s="5"/>
      <c r="I166" s="5"/>
      <c r="J166" s="36"/>
      <c r="K166" s="36"/>
      <c r="L166" s="36"/>
      <c r="M166" s="36"/>
      <c r="N166" s="35"/>
      <c r="O166" s="35"/>
      <c r="P166" s="35"/>
      <c r="Q166" s="282"/>
      <c r="R166" s="203"/>
      <c r="S166" s="203"/>
      <c r="T166" s="203"/>
      <c r="U166" s="203"/>
      <c r="V166" s="203"/>
      <c r="W166" s="203"/>
      <c r="X166" s="203"/>
      <c r="Y166" s="203"/>
      <c r="Z166" s="203"/>
      <c r="AA166" s="203"/>
      <c r="AB166" s="203"/>
      <c r="AC166" s="203"/>
      <c r="AD166" s="203"/>
      <c r="AE166" s="203"/>
      <c r="AF166" s="203"/>
      <c r="AG166" s="203"/>
      <c r="AH166" s="203"/>
      <c r="AI166" s="203"/>
      <c r="AJ166" s="203"/>
      <c r="AK166" s="203"/>
      <c r="AL166" s="203"/>
      <c r="AM166" s="203"/>
      <c r="AN166" s="203"/>
      <c r="AO166" s="203"/>
      <c r="AP166" s="203"/>
      <c r="AQ166" s="203"/>
      <c r="AR166" s="203"/>
      <c r="AS166" s="203"/>
      <c r="AT166" s="203"/>
      <c r="AU166" s="203"/>
      <c r="AV166" s="203"/>
      <c r="AW166" s="203"/>
      <c r="AX166" s="203"/>
      <c r="AY166" s="203"/>
      <c r="AZ166" s="203"/>
      <c r="BA166" s="203"/>
      <c r="BB166" s="203"/>
      <c r="BC166" s="203"/>
      <c r="BD166" s="203"/>
      <c r="BE166" s="203"/>
      <c r="BF166" s="203"/>
      <c r="BG166" s="203"/>
      <c r="BH166" s="203"/>
      <c r="BI166" s="204"/>
      <c r="BJ166" s="203"/>
      <c r="BK166" s="203"/>
      <c r="BL166" s="203"/>
      <c r="BM166" s="203"/>
      <c r="BN166" s="203"/>
      <c r="BO166" s="204"/>
      <c r="BP166" s="203"/>
      <c r="BQ166" s="203"/>
      <c r="BR166" s="203"/>
      <c r="BS166" s="203"/>
      <c r="BT166" s="203"/>
      <c r="BU166" s="203"/>
      <c r="BV166" s="203"/>
      <c r="BW166" s="203"/>
      <c r="BX166" s="203"/>
      <c r="BY166" s="203"/>
      <c r="BZ166" s="203"/>
      <c r="CA166" s="203"/>
      <c r="CB166" s="203"/>
    </row>
    <row r="167" spans="1:80">
      <c r="A167" s="212" t="s">
        <v>381</v>
      </c>
      <c r="B167" s="4" t="s">
        <v>17</v>
      </c>
      <c r="C167" s="9" t="s">
        <v>251</v>
      </c>
      <c r="D167" s="9" t="s">
        <v>21</v>
      </c>
      <c r="E167" s="200" t="s">
        <v>29</v>
      </c>
      <c r="F167" s="200" t="s">
        <v>97</v>
      </c>
      <c r="G167" s="5"/>
      <c r="H167" s="5"/>
      <c r="I167" s="5"/>
      <c r="J167" s="36"/>
      <c r="K167" s="36"/>
      <c r="L167" s="36"/>
      <c r="M167" s="36"/>
      <c r="N167" s="35"/>
      <c r="O167" s="35"/>
      <c r="P167" s="35"/>
      <c r="Q167" s="282"/>
      <c r="R167" s="203"/>
      <c r="S167" s="203"/>
      <c r="T167" s="203"/>
      <c r="U167" s="203"/>
      <c r="V167" s="203"/>
      <c r="W167" s="203"/>
      <c r="X167" s="203"/>
      <c r="Y167" s="203"/>
      <c r="Z167" s="203"/>
      <c r="AA167" s="203"/>
      <c r="AB167" s="203"/>
      <c r="AC167" s="203"/>
      <c r="AD167" s="203"/>
      <c r="AE167" s="203"/>
      <c r="AF167" s="203"/>
      <c r="AG167" s="203"/>
      <c r="AH167" s="203"/>
      <c r="AI167" s="203"/>
      <c r="AJ167" s="203"/>
      <c r="AK167" s="203"/>
      <c r="AL167" s="203"/>
      <c r="AM167" s="203"/>
      <c r="AN167" s="203"/>
      <c r="AO167" s="203"/>
      <c r="AP167" s="203"/>
      <c r="AQ167" s="203"/>
      <c r="AR167" s="203"/>
      <c r="AS167" s="203"/>
      <c r="AT167" s="203"/>
      <c r="AU167" s="203"/>
      <c r="AV167" s="203"/>
      <c r="AW167" s="203"/>
      <c r="AX167" s="203"/>
      <c r="AY167" s="203"/>
      <c r="AZ167" s="203"/>
      <c r="BA167" s="203"/>
      <c r="BB167" s="203"/>
      <c r="BC167" s="203"/>
      <c r="BD167" s="203"/>
      <c r="BE167" s="203"/>
      <c r="BF167" s="203"/>
      <c r="BG167" s="203"/>
      <c r="BH167" s="203"/>
      <c r="BI167" s="204"/>
      <c r="BJ167" s="203"/>
      <c r="BK167" s="203"/>
      <c r="BL167" s="203"/>
      <c r="BM167" s="203"/>
      <c r="BN167" s="203"/>
      <c r="BO167" s="204"/>
      <c r="BP167" s="203"/>
      <c r="BQ167" s="203"/>
      <c r="BR167" s="203"/>
      <c r="BS167" s="203"/>
      <c r="BT167" s="203"/>
      <c r="BU167" s="203"/>
      <c r="BV167" s="203"/>
      <c r="BW167" s="203"/>
      <c r="BX167" s="203"/>
      <c r="BY167" s="203"/>
      <c r="BZ167" s="203"/>
      <c r="CA167" s="203"/>
      <c r="CB167" s="203"/>
    </row>
    <row r="168" spans="1:80">
      <c r="A168" s="212" t="s">
        <v>381</v>
      </c>
      <c r="B168" s="4" t="s">
        <v>17</v>
      </c>
      <c r="C168" s="9" t="s">
        <v>251</v>
      </c>
      <c r="D168" s="9" t="s">
        <v>21</v>
      </c>
      <c r="E168" s="200" t="s">
        <v>29</v>
      </c>
      <c r="F168" s="200" t="s">
        <v>98</v>
      </c>
      <c r="G168" s="5"/>
      <c r="H168" s="5"/>
      <c r="I168" s="5"/>
      <c r="J168" s="36"/>
      <c r="K168" s="36"/>
      <c r="L168" s="36"/>
      <c r="M168" s="36"/>
      <c r="N168" s="35"/>
      <c r="O168" s="35"/>
      <c r="P168" s="35"/>
      <c r="Q168" s="282"/>
      <c r="R168" s="203"/>
      <c r="S168" s="203"/>
      <c r="T168" s="203"/>
      <c r="U168" s="203"/>
      <c r="V168" s="203"/>
      <c r="W168" s="203"/>
      <c r="X168" s="203"/>
      <c r="Y168" s="203"/>
      <c r="Z168" s="203"/>
      <c r="AA168" s="203"/>
      <c r="AB168" s="203"/>
      <c r="AC168" s="203"/>
      <c r="AD168" s="203"/>
      <c r="AE168" s="203"/>
      <c r="AF168" s="203"/>
      <c r="AG168" s="203"/>
      <c r="AH168" s="203"/>
      <c r="AI168" s="203"/>
      <c r="AJ168" s="203"/>
      <c r="AK168" s="203"/>
      <c r="AL168" s="203"/>
      <c r="AM168" s="203"/>
      <c r="AN168" s="203"/>
      <c r="AO168" s="203"/>
      <c r="AP168" s="203"/>
      <c r="AQ168" s="203"/>
      <c r="AR168" s="203"/>
      <c r="AS168" s="203"/>
      <c r="AT168" s="203"/>
      <c r="AU168" s="203"/>
      <c r="AV168" s="203"/>
      <c r="AW168" s="203"/>
      <c r="AX168" s="203"/>
      <c r="AY168" s="203"/>
      <c r="AZ168" s="203"/>
      <c r="BA168" s="203"/>
      <c r="BB168" s="203"/>
      <c r="BC168" s="203"/>
      <c r="BD168" s="203"/>
      <c r="BE168" s="203"/>
      <c r="BF168" s="203"/>
      <c r="BG168" s="203"/>
      <c r="BH168" s="203"/>
      <c r="BI168" s="204"/>
      <c r="BJ168" s="203"/>
      <c r="BK168" s="203"/>
      <c r="BL168" s="203"/>
      <c r="BM168" s="203"/>
      <c r="BN168" s="203"/>
      <c r="BO168" s="204"/>
      <c r="BP168" s="203"/>
      <c r="BQ168" s="203"/>
      <c r="BR168" s="203"/>
      <c r="BS168" s="203"/>
      <c r="BT168" s="203"/>
      <c r="BU168" s="203"/>
      <c r="BV168" s="203"/>
      <c r="BW168" s="203"/>
      <c r="BX168" s="203"/>
      <c r="BY168" s="203"/>
      <c r="BZ168" s="203"/>
      <c r="CA168" s="203"/>
      <c r="CB168" s="203"/>
    </row>
    <row r="169" spans="1:80">
      <c r="A169" s="212" t="s">
        <v>381</v>
      </c>
      <c r="B169" s="4" t="s">
        <v>17</v>
      </c>
      <c r="C169" s="9" t="s">
        <v>251</v>
      </c>
      <c r="D169" s="9" t="s">
        <v>21</v>
      </c>
      <c r="E169" s="200" t="s">
        <v>29</v>
      </c>
      <c r="F169" s="200" t="s">
        <v>99</v>
      </c>
      <c r="G169" s="5"/>
      <c r="H169" s="5"/>
      <c r="I169" s="5"/>
      <c r="J169" s="36"/>
      <c r="K169" s="36"/>
      <c r="L169" s="36"/>
      <c r="M169" s="36"/>
      <c r="N169" s="35"/>
      <c r="O169" s="35"/>
      <c r="P169" s="35"/>
      <c r="Q169" s="282"/>
      <c r="R169" s="203"/>
      <c r="S169" s="203"/>
      <c r="T169" s="203"/>
      <c r="U169" s="203"/>
      <c r="V169" s="203"/>
      <c r="W169" s="203"/>
      <c r="X169" s="203"/>
      <c r="Y169" s="203"/>
      <c r="Z169" s="203"/>
      <c r="AA169" s="203"/>
      <c r="AB169" s="203"/>
      <c r="AC169" s="203"/>
      <c r="AD169" s="203"/>
      <c r="AE169" s="203"/>
      <c r="AF169" s="203"/>
      <c r="AG169" s="203"/>
      <c r="AH169" s="203"/>
      <c r="AI169" s="203"/>
      <c r="AJ169" s="203"/>
      <c r="AK169" s="203"/>
      <c r="AL169" s="203"/>
      <c r="AM169" s="203"/>
      <c r="AN169" s="203"/>
      <c r="AO169" s="203"/>
      <c r="AP169" s="203"/>
      <c r="AQ169" s="203"/>
      <c r="AR169" s="203"/>
      <c r="AS169" s="203"/>
      <c r="AT169" s="203"/>
      <c r="AU169" s="203"/>
      <c r="AV169" s="203"/>
      <c r="AW169" s="203"/>
      <c r="AX169" s="203"/>
      <c r="AY169" s="203"/>
      <c r="AZ169" s="203"/>
      <c r="BA169" s="203"/>
      <c r="BB169" s="203"/>
      <c r="BC169" s="203"/>
      <c r="BD169" s="203"/>
      <c r="BE169" s="203"/>
      <c r="BF169" s="203"/>
      <c r="BG169" s="203"/>
      <c r="BH169" s="203"/>
      <c r="BI169" s="204"/>
      <c r="BJ169" s="203"/>
      <c r="BK169" s="203"/>
      <c r="BL169" s="203"/>
      <c r="BM169" s="203"/>
      <c r="BN169" s="203"/>
      <c r="BO169" s="204"/>
      <c r="BP169" s="203"/>
      <c r="BQ169" s="203"/>
      <c r="BR169" s="203"/>
      <c r="BS169" s="203"/>
      <c r="BT169" s="203"/>
      <c r="BU169" s="203"/>
      <c r="BV169" s="203"/>
      <c r="BW169" s="203"/>
      <c r="BX169" s="203"/>
      <c r="BY169" s="203"/>
      <c r="BZ169" s="203"/>
      <c r="CA169" s="203"/>
      <c r="CB169" s="203"/>
    </row>
    <row r="170" spans="1:80">
      <c r="A170" s="212" t="s">
        <v>381</v>
      </c>
      <c r="B170" s="4" t="s">
        <v>17</v>
      </c>
      <c r="C170" s="9" t="s">
        <v>251</v>
      </c>
      <c r="D170" s="9" t="s">
        <v>21</v>
      </c>
      <c r="E170" s="200" t="s">
        <v>29</v>
      </c>
      <c r="F170" s="200" t="s">
        <v>100</v>
      </c>
      <c r="G170" s="5"/>
      <c r="H170" s="5"/>
      <c r="I170" s="5"/>
      <c r="J170" s="36"/>
      <c r="K170" s="36"/>
      <c r="L170" s="36"/>
      <c r="M170" s="36"/>
      <c r="N170" s="35"/>
      <c r="O170" s="35"/>
      <c r="P170" s="35"/>
      <c r="Q170" s="282"/>
      <c r="R170" s="203"/>
      <c r="S170" s="203"/>
      <c r="T170" s="203"/>
      <c r="U170" s="203"/>
      <c r="V170" s="203"/>
      <c r="W170" s="203"/>
      <c r="X170" s="203"/>
      <c r="Y170" s="203"/>
      <c r="Z170" s="203"/>
      <c r="AA170" s="203"/>
      <c r="AB170" s="203"/>
      <c r="AC170" s="203"/>
      <c r="AD170" s="203"/>
      <c r="AE170" s="203"/>
      <c r="AF170" s="203"/>
      <c r="AG170" s="203"/>
      <c r="AH170" s="203"/>
      <c r="AI170" s="203"/>
      <c r="AJ170" s="203"/>
      <c r="AK170" s="203"/>
      <c r="AL170" s="203"/>
      <c r="AM170" s="203"/>
      <c r="AN170" s="203"/>
      <c r="AO170" s="203"/>
      <c r="AP170" s="203"/>
      <c r="AQ170" s="203"/>
      <c r="AR170" s="203"/>
      <c r="AS170" s="203"/>
      <c r="AT170" s="203"/>
      <c r="AU170" s="203"/>
      <c r="AV170" s="203"/>
      <c r="AW170" s="203"/>
      <c r="AX170" s="203"/>
      <c r="AY170" s="203"/>
      <c r="AZ170" s="203"/>
      <c r="BA170" s="203"/>
      <c r="BB170" s="203"/>
      <c r="BC170" s="203"/>
      <c r="BD170" s="203"/>
      <c r="BE170" s="203"/>
      <c r="BF170" s="203"/>
      <c r="BG170" s="203"/>
      <c r="BH170" s="203"/>
      <c r="BI170" s="204"/>
      <c r="BJ170" s="203"/>
      <c r="BK170" s="203"/>
      <c r="BL170" s="203"/>
      <c r="BM170" s="203"/>
      <c r="BN170" s="203"/>
      <c r="BO170" s="204"/>
      <c r="BP170" s="203"/>
      <c r="BQ170" s="203"/>
      <c r="BR170" s="203"/>
      <c r="BS170" s="203"/>
      <c r="BT170" s="203"/>
      <c r="BU170" s="203"/>
      <c r="BV170" s="203"/>
      <c r="BW170" s="203"/>
      <c r="BX170" s="203"/>
      <c r="BY170" s="203"/>
      <c r="BZ170" s="203"/>
      <c r="CA170" s="203"/>
      <c r="CB170" s="203"/>
    </row>
    <row r="171" spans="1:80">
      <c r="A171" s="212" t="s">
        <v>381</v>
      </c>
      <c r="B171" s="4" t="s">
        <v>17</v>
      </c>
      <c r="C171" s="9" t="s">
        <v>251</v>
      </c>
      <c r="D171" s="9" t="s">
        <v>21</v>
      </c>
      <c r="E171" s="200" t="s">
        <v>29</v>
      </c>
      <c r="F171" s="200" t="s">
        <v>101</v>
      </c>
      <c r="G171" s="5"/>
      <c r="H171" s="5"/>
      <c r="I171" s="5"/>
      <c r="J171" s="36"/>
      <c r="K171" s="36"/>
      <c r="L171" s="36"/>
      <c r="M171" s="36"/>
      <c r="N171" s="35"/>
      <c r="O171" s="35"/>
      <c r="P171" s="35"/>
      <c r="Q171" s="282"/>
      <c r="R171" s="203"/>
      <c r="S171" s="203"/>
      <c r="T171" s="203"/>
      <c r="U171" s="203"/>
      <c r="V171" s="203"/>
      <c r="W171" s="203"/>
      <c r="X171" s="203"/>
      <c r="Y171" s="203"/>
      <c r="Z171" s="203"/>
      <c r="AA171" s="203"/>
      <c r="AB171" s="203"/>
      <c r="AC171" s="203"/>
      <c r="AD171" s="203"/>
      <c r="AE171" s="203"/>
      <c r="AF171" s="203"/>
      <c r="AG171" s="203"/>
      <c r="AH171" s="203"/>
      <c r="AI171" s="203"/>
      <c r="AJ171" s="203"/>
      <c r="AK171" s="203"/>
      <c r="AL171" s="203"/>
      <c r="AM171" s="203"/>
      <c r="AN171" s="203"/>
      <c r="AO171" s="203"/>
      <c r="AP171" s="203"/>
      <c r="AQ171" s="203"/>
      <c r="AR171" s="203"/>
      <c r="AS171" s="203"/>
      <c r="AT171" s="203"/>
      <c r="AU171" s="203"/>
      <c r="AV171" s="203"/>
      <c r="AW171" s="203"/>
      <c r="AX171" s="203"/>
      <c r="AY171" s="203"/>
      <c r="AZ171" s="203"/>
      <c r="BA171" s="203"/>
      <c r="BB171" s="203"/>
      <c r="BC171" s="203"/>
      <c r="BD171" s="203"/>
      <c r="BE171" s="203"/>
      <c r="BF171" s="203"/>
      <c r="BG171" s="203"/>
      <c r="BH171" s="203"/>
      <c r="BI171" s="204"/>
      <c r="BJ171" s="203"/>
      <c r="BK171" s="203"/>
      <c r="BL171" s="203"/>
      <c r="BM171" s="203"/>
      <c r="BN171" s="203"/>
      <c r="BO171" s="204"/>
      <c r="BP171" s="203"/>
      <c r="BQ171" s="203"/>
      <c r="BR171" s="203"/>
      <c r="BS171" s="203"/>
      <c r="BT171" s="203"/>
      <c r="BU171" s="203"/>
      <c r="BV171" s="203"/>
      <c r="BW171" s="203"/>
      <c r="BX171" s="203"/>
      <c r="BY171" s="203"/>
      <c r="BZ171" s="203"/>
      <c r="CA171" s="203"/>
      <c r="CB171" s="203"/>
    </row>
    <row r="172" spans="1:80">
      <c r="A172" s="212" t="s">
        <v>381</v>
      </c>
      <c r="B172" s="4" t="s">
        <v>17</v>
      </c>
      <c r="C172" s="9" t="s">
        <v>251</v>
      </c>
      <c r="D172" s="9" t="s">
        <v>21</v>
      </c>
      <c r="E172" s="200" t="s">
        <v>29</v>
      </c>
      <c r="F172" s="200" t="s">
        <v>63</v>
      </c>
      <c r="G172" s="5"/>
      <c r="H172" s="5"/>
      <c r="I172" s="5"/>
      <c r="J172" s="36"/>
      <c r="K172" s="36"/>
      <c r="L172" s="36"/>
      <c r="M172" s="36"/>
      <c r="N172" s="35"/>
      <c r="O172" s="35"/>
      <c r="P172" s="35"/>
      <c r="Q172" s="282"/>
      <c r="R172" s="203"/>
      <c r="S172" s="203"/>
      <c r="T172" s="203"/>
      <c r="U172" s="203"/>
      <c r="V172" s="203"/>
      <c r="W172" s="203"/>
      <c r="X172" s="203"/>
      <c r="Y172" s="203"/>
      <c r="Z172" s="203"/>
      <c r="AA172" s="203"/>
      <c r="AB172" s="203"/>
      <c r="AC172" s="203"/>
      <c r="AD172" s="203"/>
      <c r="AE172" s="203"/>
      <c r="AF172" s="203"/>
      <c r="AG172" s="203"/>
      <c r="AH172" s="203"/>
      <c r="AI172" s="203"/>
      <c r="AJ172" s="203"/>
      <c r="AK172" s="203"/>
      <c r="AL172" s="203"/>
      <c r="AM172" s="203"/>
      <c r="AN172" s="203"/>
      <c r="AO172" s="203"/>
      <c r="AP172" s="203"/>
      <c r="AQ172" s="203"/>
      <c r="AR172" s="203"/>
      <c r="AS172" s="203"/>
      <c r="AT172" s="203"/>
      <c r="AU172" s="203"/>
      <c r="AV172" s="203"/>
      <c r="AW172" s="203"/>
      <c r="AX172" s="203"/>
      <c r="AY172" s="203"/>
      <c r="AZ172" s="203"/>
      <c r="BA172" s="203"/>
      <c r="BB172" s="203"/>
      <c r="BC172" s="203"/>
      <c r="BD172" s="203"/>
      <c r="BE172" s="203"/>
      <c r="BF172" s="203"/>
      <c r="BG172" s="203"/>
      <c r="BH172" s="203"/>
      <c r="BI172" s="204"/>
      <c r="BJ172" s="203"/>
      <c r="BK172" s="203"/>
      <c r="BL172" s="203"/>
      <c r="BM172" s="203"/>
      <c r="BN172" s="203"/>
      <c r="BO172" s="204"/>
      <c r="BP172" s="203"/>
      <c r="BQ172" s="203"/>
      <c r="BR172" s="203"/>
      <c r="BS172" s="203"/>
      <c r="BT172" s="203"/>
      <c r="BU172" s="203"/>
      <c r="BV172" s="203"/>
      <c r="BW172" s="203"/>
      <c r="BX172" s="203"/>
      <c r="BY172" s="203"/>
      <c r="BZ172" s="203"/>
      <c r="CA172" s="203"/>
      <c r="CB172" s="203"/>
    </row>
    <row r="173" spans="1:80">
      <c r="A173" s="212" t="s">
        <v>381</v>
      </c>
      <c r="B173" s="4" t="s">
        <v>17</v>
      </c>
      <c r="C173" s="9" t="s">
        <v>251</v>
      </c>
      <c r="D173" s="9" t="s">
        <v>21</v>
      </c>
      <c r="E173" s="200" t="s">
        <v>29</v>
      </c>
      <c r="F173" s="200" t="s">
        <v>102</v>
      </c>
      <c r="G173" s="5"/>
      <c r="H173" s="5"/>
      <c r="I173" s="5"/>
      <c r="J173" s="36"/>
      <c r="K173" s="36"/>
      <c r="L173" s="36"/>
      <c r="M173" s="36"/>
      <c r="N173" s="35"/>
      <c r="O173" s="35"/>
      <c r="P173" s="35"/>
      <c r="Q173" s="282"/>
      <c r="R173" s="203"/>
      <c r="S173" s="203"/>
      <c r="T173" s="203"/>
      <c r="U173" s="203"/>
      <c r="V173" s="203"/>
      <c r="W173" s="203"/>
      <c r="X173" s="203"/>
      <c r="Y173" s="203"/>
      <c r="Z173" s="203"/>
      <c r="AA173" s="203"/>
      <c r="AB173" s="203"/>
      <c r="AC173" s="203"/>
      <c r="AD173" s="203"/>
      <c r="AE173" s="203"/>
      <c r="AF173" s="203"/>
      <c r="AG173" s="203"/>
      <c r="AH173" s="203"/>
      <c r="AI173" s="203"/>
      <c r="AJ173" s="203"/>
      <c r="AK173" s="203"/>
      <c r="AL173" s="203"/>
      <c r="AM173" s="203"/>
      <c r="AN173" s="203"/>
      <c r="AO173" s="203"/>
      <c r="AP173" s="203"/>
      <c r="AQ173" s="203"/>
      <c r="AR173" s="203"/>
      <c r="AS173" s="203"/>
      <c r="AT173" s="203"/>
      <c r="AU173" s="203"/>
      <c r="AV173" s="203"/>
      <c r="AW173" s="203"/>
      <c r="AX173" s="203"/>
      <c r="AY173" s="203"/>
      <c r="AZ173" s="203"/>
      <c r="BA173" s="203"/>
      <c r="BB173" s="203"/>
      <c r="BC173" s="203"/>
      <c r="BD173" s="203"/>
      <c r="BE173" s="203"/>
      <c r="BF173" s="203"/>
      <c r="BG173" s="203"/>
      <c r="BH173" s="203"/>
      <c r="BI173" s="204"/>
      <c r="BJ173" s="203"/>
      <c r="BK173" s="203"/>
      <c r="BL173" s="203"/>
      <c r="BM173" s="203"/>
      <c r="BN173" s="203"/>
      <c r="BO173" s="204"/>
      <c r="BP173" s="203"/>
      <c r="BQ173" s="203"/>
      <c r="BR173" s="203"/>
      <c r="BS173" s="203"/>
      <c r="BT173" s="203"/>
      <c r="BU173" s="203"/>
      <c r="BV173" s="203"/>
      <c r="BW173" s="203"/>
      <c r="BX173" s="203"/>
      <c r="BY173" s="203"/>
      <c r="BZ173" s="203"/>
      <c r="CA173" s="203"/>
      <c r="CB173" s="203"/>
    </row>
    <row r="174" spans="1:80">
      <c r="A174" s="212" t="s">
        <v>381</v>
      </c>
      <c r="B174" s="4" t="s">
        <v>17</v>
      </c>
      <c r="C174" s="9" t="s">
        <v>251</v>
      </c>
      <c r="D174" s="9" t="s">
        <v>21</v>
      </c>
      <c r="E174" s="200" t="s">
        <v>29</v>
      </c>
      <c r="F174" s="200" t="s">
        <v>103</v>
      </c>
      <c r="G174" s="5"/>
      <c r="H174" s="5"/>
      <c r="I174" s="5"/>
      <c r="J174" s="36"/>
      <c r="K174" s="36"/>
      <c r="L174" s="36"/>
      <c r="M174" s="36"/>
      <c r="N174" s="35"/>
      <c r="O174" s="35"/>
      <c r="P174" s="35"/>
      <c r="Q174" s="282"/>
      <c r="R174" s="203"/>
      <c r="S174" s="203"/>
      <c r="T174" s="203"/>
      <c r="U174" s="203"/>
      <c r="V174" s="203"/>
      <c r="W174" s="203"/>
      <c r="X174" s="203"/>
      <c r="Y174" s="203"/>
      <c r="Z174" s="203"/>
      <c r="AA174" s="203"/>
      <c r="AB174" s="203"/>
      <c r="AC174" s="203"/>
      <c r="AD174" s="203"/>
      <c r="AE174" s="203"/>
      <c r="AF174" s="203"/>
      <c r="AG174" s="203"/>
      <c r="AH174" s="203"/>
      <c r="AI174" s="203"/>
      <c r="AJ174" s="203"/>
      <c r="AK174" s="203"/>
      <c r="AL174" s="203"/>
      <c r="AM174" s="203"/>
      <c r="AN174" s="203"/>
      <c r="AO174" s="203"/>
      <c r="AP174" s="203"/>
      <c r="AQ174" s="203"/>
      <c r="AR174" s="203"/>
      <c r="AS174" s="203"/>
      <c r="AT174" s="203"/>
      <c r="AU174" s="203"/>
      <c r="AV174" s="203"/>
      <c r="AW174" s="203"/>
      <c r="AX174" s="203"/>
      <c r="AY174" s="203"/>
      <c r="AZ174" s="203"/>
      <c r="BA174" s="203"/>
      <c r="BB174" s="203"/>
      <c r="BC174" s="203"/>
      <c r="BD174" s="203"/>
      <c r="BE174" s="203"/>
      <c r="BF174" s="203"/>
      <c r="BG174" s="203"/>
      <c r="BH174" s="203"/>
      <c r="BI174" s="204"/>
      <c r="BJ174" s="203"/>
      <c r="BK174" s="203"/>
      <c r="BL174" s="203"/>
      <c r="BM174" s="203"/>
      <c r="BN174" s="203"/>
      <c r="BO174" s="204"/>
      <c r="BP174" s="203"/>
      <c r="BQ174" s="203"/>
      <c r="BR174" s="203"/>
      <c r="BS174" s="203"/>
      <c r="BT174" s="203"/>
      <c r="BU174" s="203"/>
      <c r="BV174" s="203"/>
      <c r="BW174" s="203"/>
      <c r="BX174" s="203"/>
      <c r="BY174" s="203"/>
      <c r="BZ174" s="203"/>
      <c r="CA174" s="203"/>
      <c r="CB174" s="203"/>
    </row>
    <row r="175" spans="1:80">
      <c r="A175" s="212" t="s">
        <v>381</v>
      </c>
      <c r="B175" s="4" t="s">
        <v>17</v>
      </c>
      <c r="C175" s="9" t="s">
        <v>372</v>
      </c>
      <c r="D175" s="9" t="s">
        <v>21</v>
      </c>
      <c r="E175" s="200" t="s">
        <v>29</v>
      </c>
      <c r="F175" s="200" t="s">
        <v>110</v>
      </c>
      <c r="G175" s="5"/>
      <c r="H175" s="5"/>
      <c r="I175" s="5"/>
      <c r="J175" s="36"/>
      <c r="K175" s="36"/>
      <c r="L175" s="36"/>
      <c r="M175" s="36"/>
      <c r="N175" s="35"/>
      <c r="O175" s="35"/>
      <c r="P175" s="35"/>
      <c r="Q175" s="282"/>
      <c r="R175" s="203"/>
      <c r="S175" s="203"/>
      <c r="T175" s="203"/>
      <c r="U175" s="203"/>
      <c r="V175" s="203"/>
      <c r="W175" s="203"/>
      <c r="X175" s="203"/>
      <c r="Y175" s="203"/>
      <c r="Z175" s="203"/>
      <c r="AA175" s="203"/>
      <c r="AB175" s="203"/>
      <c r="AC175" s="203"/>
      <c r="AD175" s="203"/>
      <c r="AE175" s="203"/>
      <c r="AF175" s="203"/>
      <c r="AG175" s="203"/>
      <c r="AH175" s="203"/>
      <c r="AI175" s="203"/>
      <c r="AJ175" s="203"/>
      <c r="AK175" s="203"/>
      <c r="AL175" s="203"/>
      <c r="AM175" s="203"/>
      <c r="AN175" s="203"/>
      <c r="AO175" s="203"/>
      <c r="AP175" s="203"/>
      <c r="AQ175" s="203"/>
      <c r="AR175" s="203"/>
      <c r="AS175" s="203"/>
      <c r="AT175" s="203"/>
      <c r="AU175" s="203"/>
      <c r="AV175" s="203"/>
      <c r="AW175" s="203"/>
      <c r="AX175" s="203"/>
      <c r="AY175" s="203"/>
      <c r="AZ175" s="203"/>
      <c r="BA175" s="203"/>
      <c r="BB175" s="203"/>
      <c r="BC175" s="203"/>
      <c r="BD175" s="203"/>
      <c r="BE175" s="203"/>
      <c r="BF175" s="203"/>
      <c r="BG175" s="203"/>
      <c r="BH175" s="203"/>
      <c r="BI175" s="204"/>
      <c r="BJ175" s="203"/>
      <c r="BK175" s="203"/>
      <c r="BL175" s="203"/>
      <c r="BM175" s="203"/>
      <c r="BN175" s="203"/>
      <c r="BO175" s="204"/>
      <c r="BP175" s="203"/>
      <c r="BQ175" s="203"/>
      <c r="BR175" s="203"/>
      <c r="BS175" s="203"/>
      <c r="BT175" s="203"/>
      <c r="BU175" s="203"/>
      <c r="BV175" s="203"/>
      <c r="BW175" s="203"/>
      <c r="BX175" s="203"/>
      <c r="BY175" s="203"/>
      <c r="BZ175" s="203"/>
      <c r="CA175" s="203"/>
      <c r="CB175" s="203"/>
    </row>
    <row r="176" spans="1:80">
      <c r="A176" s="212" t="s">
        <v>381</v>
      </c>
      <c r="B176" s="4" t="s">
        <v>17</v>
      </c>
      <c r="C176" s="9" t="s">
        <v>372</v>
      </c>
      <c r="D176" s="9" t="s">
        <v>21</v>
      </c>
      <c r="E176" s="200" t="s">
        <v>29</v>
      </c>
      <c r="F176" s="200" t="s">
        <v>111</v>
      </c>
      <c r="G176" s="5"/>
      <c r="H176" s="5"/>
      <c r="I176" s="5"/>
      <c r="J176" s="36"/>
      <c r="K176" s="36"/>
      <c r="L176" s="36"/>
      <c r="M176" s="36"/>
      <c r="N176" s="35"/>
      <c r="O176" s="35"/>
      <c r="P176" s="35"/>
      <c r="Q176" s="282"/>
      <c r="R176" s="203"/>
      <c r="S176" s="203"/>
      <c r="T176" s="203"/>
      <c r="U176" s="203"/>
      <c r="V176" s="203"/>
      <c r="W176" s="203"/>
      <c r="X176" s="203"/>
      <c r="Y176" s="203"/>
      <c r="Z176" s="203"/>
      <c r="AA176" s="203"/>
      <c r="AB176" s="203"/>
      <c r="AC176" s="203"/>
      <c r="AD176" s="203"/>
      <c r="AE176" s="203"/>
      <c r="AF176" s="203"/>
      <c r="AG176" s="203"/>
      <c r="AH176" s="203"/>
      <c r="AI176" s="203"/>
      <c r="AJ176" s="203"/>
      <c r="AK176" s="203"/>
      <c r="AL176" s="203"/>
      <c r="AM176" s="203"/>
      <c r="AN176" s="203"/>
      <c r="AO176" s="203"/>
      <c r="AP176" s="203"/>
      <c r="AQ176" s="203"/>
      <c r="AR176" s="203"/>
      <c r="AS176" s="203"/>
      <c r="AT176" s="203"/>
      <c r="AU176" s="203"/>
      <c r="AV176" s="203"/>
      <c r="AW176" s="203"/>
      <c r="AX176" s="203"/>
      <c r="AY176" s="203"/>
      <c r="AZ176" s="203"/>
      <c r="BA176" s="203"/>
      <c r="BB176" s="203"/>
      <c r="BC176" s="203"/>
      <c r="BD176" s="203"/>
      <c r="BE176" s="203"/>
      <c r="BF176" s="203"/>
      <c r="BG176" s="203"/>
      <c r="BH176" s="203"/>
      <c r="BI176" s="204"/>
      <c r="BJ176" s="203"/>
      <c r="BK176" s="203"/>
      <c r="BL176" s="203"/>
      <c r="BM176" s="203"/>
      <c r="BN176" s="203"/>
      <c r="BO176" s="204"/>
      <c r="BP176" s="203"/>
      <c r="BQ176" s="203"/>
      <c r="BR176" s="203"/>
      <c r="BS176" s="203"/>
      <c r="BT176" s="203"/>
      <c r="BU176" s="203"/>
      <c r="BV176" s="203"/>
      <c r="BW176" s="203"/>
      <c r="BX176" s="203"/>
      <c r="BY176" s="203"/>
      <c r="BZ176" s="203"/>
      <c r="CA176" s="203"/>
      <c r="CB176" s="203"/>
    </row>
    <row r="177" spans="1:80">
      <c r="A177" s="212" t="s">
        <v>381</v>
      </c>
      <c r="B177" s="4" t="s">
        <v>17</v>
      </c>
      <c r="C177" s="9" t="s">
        <v>372</v>
      </c>
      <c r="D177" s="9" t="s">
        <v>21</v>
      </c>
      <c r="E177" s="200" t="s">
        <v>29</v>
      </c>
      <c r="F177" s="200" t="s">
        <v>112</v>
      </c>
      <c r="G177" s="5"/>
      <c r="H177" s="5"/>
      <c r="I177" s="5"/>
      <c r="J177" s="36"/>
      <c r="K177" s="36"/>
      <c r="L177" s="36"/>
      <c r="M177" s="36"/>
      <c r="N177" s="35"/>
      <c r="O177" s="35"/>
      <c r="P177" s="35"/>
      <c r="Q177" s="282"/>
      <c r="R177" s="203"/>
      <c r="S177" s="203"/>
      <c r="T177" s="203"/>
      <c r="U177" s="203"/>
      <c r="V177" s="203"/>
      <c r="W177" s="203"/>
      <c r="X177" s="203"/>
      <c r="Y177" s="203"/>
      <c r="Z177" s="203"/>
      <c r="AA177" s="203"/>
      <c r="AB177" s="203"/>
      <c r="AC177" s="203"/>
      <c r="AD177" s="203"/>
      <c r="AE177" s="203"/>
      <c r="AF177" s="203"/>
      <c r="AG177" s="203"/>
      <c r="AH177" s="203"/>
      <c r="AI177" s="203"/>
      <c r="AJ177" s="203"/>
      <c r="AK177" s="203"/>
      <c r="AL177" s="203"/>
      <c r="AM177" s="203"/>
      <c r="AN177" s="203"/>
      <c r="AO177" s="203"/>
      <c r="AP177" s="203"/>
      <c r="AQ177" s="203"/>
      <c r="AR177" s="203"/>
      <c r="AS177" s="203"/>
      <c r="AT177" s="203"/>
      <c r="AU177" s="203"/>
      <c r="AV177" s="203"/>
      <c r="AW177" s="203"/>
      <c r="AX177" s="203"/>
      <c r="AY177" s="203"/>
      <c r="AZ177" s="203"/>
      <c r="BA177" s="203"/>
      <c r="BB177" s="203"/>
      <c r="BC177" s="203"/>
      <c r="BD177" s="203"/>
      <c r="BE177" s="203"/>
      <c r="BF177" s="203"/>
      <c r="BG177" s="203"/>
      <c r="BH177" s="203"/>
      <c r="BI177" s="204"/>
      <c r="BJ177" s="203"/>
      <c r="BK177" s="203"/>
      <c r="BL177" s="203"/>
      <c r="BM177" s="203"/>
      <c r="BN177" s="203"/>
      <c r="BO177" s="204"/>
      <c r="BP177" s="203"/>
      <c r="BQ177" s="203"/>
      <c r="BR177" s="203"/>
      <c r="BS177" s="203"/>
      <c r="BT177" s="203"/>
      <c r="BU177" s="203"/>
      <c r="BV177" s="203"/>
      <c r="BW177" s="203"/>
      <c r="BX177" s="203"/>
      <c r="BY177" s="203"/>
      <c r="BZ177" s="203"/>
      <c r="CA177" s="203"/>
      <c r="CB177" s="203"/>
    </row>
    <row r="178" spans="1:80">
      <c r="A178" s="212" t="s">
        <v>381</v>
      </c>
      <c r="B178" s="4" t="s">
        <v>17</v>
      </c>
      <c r="C178" s="9" t="s">
        <v>372</v>
      </c>
      <c r="D178" s="9" t="s">
        <v>21</v>
      </c>
      <c r="E178" s="200" t="s">
        <v>275</v>
      </c>
      <c r="F178" s="200" t="s">
        <v>51</v>
      </c>
      <c r="G178" s="5"/>
      <c r="H178" s="5"/>
      <c r="I178" s="5"/>
      <c r="J178" s="36"/>
      <c r="K178" s="36"/>
      <c r="L178" s="36"/>
      <c r="M178" s="36"/>
      <c r="N178" s="35"/>
      <c r="O178" s="35"/>
      <c r="P178" s="35"/>
      <c r="Q178" s="282"/>
      <c r="R178" s="203"/>
      <c r="S178" s="203"/>
      <c r="T178" s="203"/>
      <c r="U178" s="203"/>
      <c r="V178" s="203"/>
      <c r="W178" s="203"/>
      <c r="X178" s="203"/>
      <c r="Y178" s="203"/>
      <c r="Z178" s="203"/>
      <c r="AA178" s="203"/>
      <c r="AB178" s="203"/>
      <c r="AC178" s="203"/>
      <c r="AD178" s="203"/>
      <c r="AE178" s="203"/>
      <c r="AF178" s="203"/>
      <c r="AG178" s="203"/>
      <c r="AH178" s="203"/>
      <c r="AI178" s="203"/>
      <c r="AJ178" s="203"/>
      <c r="AK178" s="203"/>
      <c r="AL178" s="203"/>
      <c r="AM178" s="203"/>
      <c r="AN178" s="203"/>
      <c r="AO178" s="203"/>
      <c r="AP178" s="203"/>
      <c r="AQ178" s="203"/>
      <c r="AR178" s="203"/>
      <c r="AS178" s="203"/>
      <c r="AT178" s="203"/>
      <c r="AU178" s="203"/>
      <c r="AV178" s="203"/>
      <c r="AW178" s="203"/>
      <c r="AX178" s="203"/>
      <c r="AY178" s="203"/>
      <c r="AZ178" s="203"/>
      <c r="BA178" s="203"/>
      <c r="BB178" s="203"/>
      <c r="BC178" s="203"/>
      <c r="BD178" s="203"/>
      <c r="BE178" s="203"/>
      <c r="BF178" s="203"/>
      <c r="BG178" s="203"/>
      <c r="BH178" s="203"/>
      <c r="BI178" s="204"/>
      <c r="BJ178" s="203"/>
      <c r="BK178" s="203"/>
      <c r="BL178" s="203"/>
      <c r="BM178" s="203"/>
      <c r="BN178" s="203"/>
      <c r="BO178" s="204"/>
      <c r="BP178" s="203"/>
      <c r="BQ178" s="203"/>
      <c r="BR178" s="203"/>
      <c r="BS178" s="203"/>
      <c r="BT178" s="203"/>
      <c r="BU178" s="203"/>
      <c r="BV178" s="203"/>
      <c r="BW178" s="203"/>
      <c r="BX178" s="203"/>
      <c r="BY178" s="203"/>
      <c r="BZ178" s="203"/>
      <c r="CA178" s="203"/>
      <c r="CB178" s="203"/>
    </row>
    <row r="179" spans="1:80">
      <c r="A179" s="212" t="s">
        <v>381</v>
      </c>
      <c r="B179" s="4" t="s">
        <v>17</v>
      </c>
      <c r="C179" s="9" t="s">
        <v>372</v>
      </c>
      <c r="D179" s="9" t="s">
        <v>21</v>
      </c>
      <c r="E179" s="200" t="s">
        <v>275</v>
      </c>
      <c r="F179" s="200" t="s">
        <v>52</v>
      </c>
      <c r="G179" s="5"/>
      <c r="H179" s="5"/>
      <c r="I179" s="5"/>
      <c r="J179" s="36"/>
      <c r="K179" s="36"/>
      <c r="L179" s="36"/>
      <c r="M179" s="36"/>
      <c r="N179" s="35"/>
      <c r="O179" s="35"/>
      <c r="P179" s="35"/>
      <c r="Q179" s="282"/>
      <c r="R179" s="203"/>
      <c r="S179" s="203"/>
      <c r="T179" s="203"/>
      <c r="U179" s="203"/>
      <c r="V179" s="203"/>
      <c r="W179" s="203"/>
      <c r="X179" s="203"/>
      <c r="Y179" s="203"/>
      <c r="Z179" s="203"/>
      <c r="AA179" s="203"/>
      <c r="AB179" s="203"/>
      <c r="AC179" s="203"/>
      <c r="AD179" s="203"/>
      <c r="AE179" s="203"/>
      <c r="AF179" s="203"/>
      <c r="AG179" s="203"/>
      <c r="AH179" s="203"/>
      <c r="AI179" s="203"/>
      <c r="AJ179" s="203"/>
      <c r="AK179" s="203"/>
      <c r="AL179" s="203"/>
      <c r="AM179" s="203"/>
      <c r="AN179" s="203"/>
      <c r="AO179" s="203"/>
      <c r="AP179" s="203"/>
      <c r="AQ179" s="203"/>
      <c r="AR179" s="203"/>
      <c r="AS179" s="203"/>
      <c r="AT179" s="203"/>
      <c r="AU179" s="203"/>
      <c r="AV179" s="203"/>
      <c r="AW179" s="203"/>
      <c r="AX179" s="203"/>
      <c r="AY179" s="203"/>
      <c r="AZ179" s="203"/>
      <c r="BA179" s="203"/>
      <c r="BB179" s="203"/>
      <c r="BC179" s="203"/>
      <c r="BD179" s="203"/>
      <c r="BE179" s="203"/>
      <c r="BF179" s="203"/>
      <c r="BG179" s="203"/>
      <c r="BH179" s="203"/>
      <c r="BI179" s="204"/>
      <c r="BJ179" s="203"/>
      <c r="BK179" s="203"/>
      <c r="BL179" s="203"/>
      <c r="BM179" s="203"/>
      <c r="BN179" s="203"/>
      <c r="BO179" s="204"/>
      <c r="BP179" s="203"/>
      <c r="BQ179" s="203"/>
      <c r="BR179" s="203"/>
      <c r="BS179" s="203"/>
      <c r="BT179" s="203"/>
      <c r="BU179" s="203"/>
      <c r="BV179" s="203"/>
      <c r="BW179" s="203"/>
      <c r="BX179" s="203"/>
      <c r="BY179" s="203"/>
      <c r="BZ179" s="203"/>
      <c r="CA179" s="203"/>
      <c r="CB179" s="203"/>
    </row>
    <row r="180" spans="1:80">
      <c r="A180" s="212" t="s">
        <v>381</v>
      </c>
      <c r="B180" s="4" t="s">
        <v>17</v>
      </c>
      <c r="C180" s="9" t="s">
        <v>372</v>
      </c>
      <c r="D180" s="9" t="s">
        <v>21</v>
      </c>
      <c r="E180" s="200" t="s">
        <v>275</v>
      </c>
      <c r="F180" s="200" t="s">
        <v>53</v>
      </c>
      <c r="G180" s="5"/>
      <c r="H180" s="5"/>
      <c r="I180" s="5"/>
      <c r="J180" s="36"/>
      <c r="K180" s="36"/>
      <c r="L180" s="36"/>
      <c r="M180" s="36"/>
      <c r="N180" s="35"/>
      <c r="O180" s="35"/>
      <c r="P180" s="35"/>
      <c r="Q180" s="282"/>
      <c r="R180" s="203"/>
      <c r="S180" s="203"/>
      <c r="T180" s="203"/>
      <c r="U180" s="203"/>
      <c r="V180" s="203"/>
      <c r="W180" s="203"/>
      <c r="X180" s="203"/>
      <c r="Y180" s="203"/>
      <c r="Z180" s="203"/>
      <c r="AA180" s="203"/>
      <c r="AB180" s="203"/>
      <c r="AC180" s="203"/>
      <c r="AD180" s="203"/>
      <c r="AE180" s="203"/>
      <c r="AF180" s="203"/>
      <c r="AG180" s="203"/>
      <c r="AH180" s="203"/>
      <c r="AI180" s="203"/>
      <c r="AJ180" s="203"/>
      <c r="AK180" s="203"/>
      <c r="AL180" s="203"/>
      <c r="AM180" s="203"/>
      <c r="AN180" s="203"/>
      <c r="AO180" s="203"/>
      <c r="AP180" s="203"/>
      <c r="AQ180" s="203"/>
      <c r="AR180" s="203"/>
      <c r="AS180" s="203"/>
      <c r="AT180" s="203"/>
      <c r="AU180" s="203"/>
      <c r="AV180" s="203"/>
      <c r="AW180" s="203"/>
      <c r="AX180" s="203"/>
      <c r="AY180" s="203"/>
      <c r="AZ180" s="203"/>
      <c r="BA180" s="203"/>
      <c r="BB180" s="203"/>
      <c r="BC180" s="203"/>
      <c r="BD180" s="203"/>
      <c r="BE180" s="203"/>
      <c r="BF180" s="203"/>
      <c r="BG180" s="203"/>
      <c r="BH180" s="203"/>
      <c r="BI180" s="204"/>
      <c r="BJ180" s="203"/>
      <c r="BK180" s="203"/>
      <c r="BL180" s="203"/>
      <c r="BM180" s="203"/>
      <c r="BN180" s="203"/>
      <c r="BO180" s="204"/>
      <c r="BP180" s="203"/>
      <c r="BQ180" s="203"/>
      <c r="BR180" s="203"/>
      <c r="BS180" s="203"/>
      <c r="BT180" s="203"/>
      <c r="BU180" s="203"/>
      <c r="BV180" s="203"/>
      <c r="BW180" s="203"/>
      <c r="BX180" s="203"/>
      <c r="BY180" s="203"/>
      <c r="BZ180" s="203"/>
      <c r="CA180" s="203"/>
      <c r="CB180" s="203"/>
    </row>
    <row r="181" spans="1:80">
      <c r="A181" s="212" t="s">
        <v>381</v>
      </c>
      <c r="B181" s="4" t="s">
        <v>17</v>
      </c>
      <c r="C181" s="9" t="s">
        <v>372</v>
      </c>
      <c r="D181" s="9" t="s">
        <v>21</v>
      </c>
      <c r="E181" s="200" t="s">
        <v>275</v>
      </c>
      <c r="F181" s="200" t="s">
        <v>113</v>
      </c>
      <c r="G181" s="5"/>
      <c r="H181" s="5"/>
      <c r="I181" s="5"/>
      <c r="J181" s="36"/>
      <c r="K181" s="36"/>
      <c r="L181" s="36"/>
      <c r="M181" s="36"/>
      <c r="N181" s="35"/>
      <c r="O181" s="35"/>
      <c r="P181" s="35"/>
      <c r="Q181" s="282"/>
      <c r="R181" s="203"/>
      <c r="S181" s="203"/>
      <c r="T181" s="203"/>
      <c r="U181" s="203"/>
      <c r="V181" s="203"/>
      <c r="W181" s="203"/>
      <c r="X181" s="203"/>
      <c r="Y181" s="203"/>
      <c r="Z181" s="203"/>
      <c r="AA181" s="203"/>
      <c r="AB181" s="203"/>
      <c r="AC181" s="203"/>
      <c r="AD181" s="203"/>
      <c r="AE181" s="203"/>
      <c r="AF181" s="203"/>
      <c r="AG181" s="203"/>
      <c r="AH181" s="203"/>
      <c r="AI181" s="203"/>
      <c r="AJ181" s="203"/>
      <c r="AK181" s="203"/>
      <c r="AL181" s="203"/>
      <c r="AM181" s="203"/>
      <c r="AN181" s="203"/>
      <c r="AO181" s="203"/>
      <c r="AP181" s="203"/>
      <c r="AQ181" s="203"/>
      <c r="AR181" s="203"/>
      <c r="AS181" s="203"/>
      <c r="AT181" s="203"/>
      <c r="AU181" s="203"/>
      <c r="AV181" s="203"/>
      <c r="AW181" s="203"/>
      <c r="AX181" s="203"/>
      <c r="AY181" s="203"/>
      <c r="AZ181" s="203"/>
      <c r="BA181" s="203"/>
      <c r="BB181" s="203"/>
      <c r="BC181" s="203"/>
      <c r="BD181" s="203"/>
      <c r="BE181" s="203"/>
      <c r="BF181" s="203"/>
      <c r="BG181" s="203"/>
      <c r="BH181" s="203"/>
      <c r="BI181" s="204"/>
      <c r="BJ181" s="203"/>
      <c r="BK181" s="203"/>
      <c r="BL181" s="203"/>
      <c r="BM181" s="203"/>
      <c r="BN181" s="203"/>
      <c r="BO181" s="204"/>
      <c r="BP181" s="203"/>
      <c r="BQ181" s="203"/>
      <c r="BR181" s="203"/>
      <c r="BS181" s="203"/>
      <c r="BT181" s="203"/>
      <c r="BU181" s="203"/>
      <c r="BV181" s="203"/>
      <c r="BW181" s="203"/>
      <c r="BX181" s="203"/>
      <c r="BY181" s="203"/>
      <c r="BZ181" s="203"/>
      <c r="CA181" s="203"/>
      <c r="CB181" s="203"/>
    </row>
    <row r="182" spans="1:80">
      <c r="A182" s="212" t="s">
        <v>381</v>
      </c>
      <c r="B182" s="4" t="s">
        <v>17</v>
      </c>
      <c r="C182" s="9" t="s">
        <v>372</v>
      </c>
      <c r="D182" s="9" t="s">
        <v>21</v>
      </c>
      <c r="E182" s="200" t="s">
        <v>28</v>
      </c>
      <c r="F182" s="200" t="s">
        <v>51</v>
      </c>
      <c r="G182" s="5"/>
      <c r="H182" s="5"/>
      <c r="I182" s="5"/>
      <c r="J182" s="36"/>
      <c r="K182" s="36"/>
      <c r="L182" s="36"/>
      <c r="M182" s="36"/>
      <c r="N182" s="35"/>
      <c r="O182" s="35"/>
      <c r="P182" s="35"/>
      <c r="Q182" s="282"/>
      <c r="R182" s="203"/>
      <c r="S182" s="203"/>
      <c r="T182" s="203"/>
      <c r="U182" s="203"/>
      <c r="V182" s="203"/>
      <c r="W182" s="203"/>
      <c r="X182" s="203"/>
      <c r="Y182" s="203"/>
      <c r="Z182" s="203"/>
      <c r="AA182" s="203"/>
      <c r="AB182" s="203"/>
      <c r="AC182" s="203"/>
      <c r="AD182" s="203"/>
      <c r="AE182" s="203"/>
      <c r="AF182" s="203"/>
      <c r="AG182" s="203"/>
      <c r="AH182" s="203"/>
      <c r="AI182" s="203"/>
      <c r="AJ182" s="203"/>
      <c r="AK182" s="203"/>
      <c r="AL182" s="203"/>
      <c r="AM182" s="203"/>
      <c r="AN182" s="203"/>
      <c r="AO182" s="203"/>
      <c r="AP182" s="203"/>
      <c r="AQ182" s="203"/>
      <c r="AR182" s="203"/>
      <c r="AS182" s="203"/>
      <c r="AT182" s="203"/>
      <c r="AU182" s="203"/>
      <c r="AV182" s="203"/>
      <c r="AW182" s="203"/>
      <c r="AX182" s="203"/>
      <c r="AY182" s="203"/>
      <c r="AZ182" s="203"/>
      <c r="BA182" s="203"/>
      <c r="BB182" s="203"/>
      <c r="BC182" s="203"/>
      <c r="BD182" s="203"/>
      <c r="BE182" s="203"/>
      <c r="BF182" s="203"/>
      <c r="BG182" s="203"/>
      <c r="BH182" s="203"/>
      <c r="BI182" s="204"/>
      <c r="BJ182" s="203"/>
      <c r="BK182" s="203"/>
      <c r="BL182" s="203"/>
      <c r="BM182" s="203"/>
      <c r="BN182" s="203"/>
      <c r="BO182" s="204"/>
      <c r="BP182" s="203"/>
      <c r="BQ182" s="203"/>
      <c r="BR182" s="203"/>
      <c r="BS182" s="203"/>
      <c r="BT182" s="203"/>
      <c r="BU182" s="203"/>
      <c r="BV182" s="203"/>
      <c r="BW182" s="203"/>
      <c r="BX182" s="203"/>
      <c r="BY182" s="203"/>
      <c r="BZ182" s="203"/>
      <c r="CA182" s="203"/>
      <c r="CB182" s="203"/>
    </row>
    <row r="183" spans="1:80">
      <c r="A183" s="212" t="s">
        <v>381</v>
      </c>
      <c r="B183" s="4" t="s">
        <v>17</v>
      </c>
      <c r="C183" s="9" t="s">
        <v>372</v>
      </c>
      <c r="D183" s="9" t="s">
        <v>21</v>
      </c>
      <c r="E183" s="200" t="s">
        <v>28</v>
      </c>
      <c r="F183" s="200" t="s">
        <v>52</v>
      </c>
      <c r="G183" s="5"/>
      <c r="H183" s="5"/>
      <c r="I183" s="5"/>
      <c r="J183" s="36"/>
      <c r="K183" s="36"/>
      <c r="L183" s="36"/>
      <c r="M183" s="36"/>
      <c r="N183" s="35"/>
      <c r="O183" s="35"/>
      <c r="P183" s="35"/>
      <c r="Q183" s="282"/>
      <c r="R183" s="203"/>
      <c r="S183" s="203"/>
      <c r="T183" s="203"/>
      <c r="U183" s="203"/>
      <c r="V183" s="203"/>
      <c r="W183" s="203"/>
      <c r="X183" s="203"/>
      <c r="Y183" s="203"/>
      <c r="Z183" s="203"/>
      <c r="AA183" s="203"/>
      <c r="AB183" s="203"/>
      <c r="AC183" s="203"/>
      <c r="AD183" s="203"/>
      <c r="AE183" s="203"/>
      <c r="AF183" s="203"/>
      <c r="AG183" s="203"/>
      <c r="AH183" s="203"/>
      <c r="AI183" s="203"/>
      <c r="AJ183" s="203"/>
      <c r="AK183" s="203"/>
      <c r="AL183" s="203"/>
      <c r="AM183" s="203"/>
      <c r="AN183" s="203"/>
      <c r="AO183" s="203"/>
      <c r="AP183" s="203"/>
      <c r="AQ183" s="203"/>
      <c r="AR183" s="203"/>
      <c r="AS183" s="203"/>
      <c r="AT183" s="203"/>
      <c r="AU183" s="203"/>
      <c r="AV183" s="203"/>
      <c r="AW183" s="203"/>
      <c r="AX183" s="203"/>
      <c r="AY183" s="203"/>
      <c r="AZ183" s="203"/>
      <c r="BA183" s="203"/>
      <c r="BB183" s="203"/>
      <c r="BC183" s="203"/>
      <c r="BD183" s="203"/>
      <c r="BE183" s="203"/>
      <c r="BF183" s="203"/>
      <c r="BG183" s="203"/>
      <c r="BH183" s="203"/>
      <c r="BI183" s="204"/>
      <c r="BJ183" s="203"/>
      <c r="BK183" s="203"/>
      <c r="BL183" s="203"/>
      <c r="BM183" s="203"/>
      <c r="BN183" s="203"/>
      <c r="BO183" s="204"/>
      <c r="BP183" s="203"/>
      <c r="BQ183" s="203"/>
      <c r="BR183" s="203"/>
      <c r="BS183" s="203"/>
      <c r="BT183" s="203"/>
      <c r="BU183" s="203"/>
      <c r="BV183" s="203"/>
      <c r="BW183" s="203"/>
      <c r="BX183" s="203"/>
      <c r="BY183" s="203"/>
      <c r="BZ183" s="203"/>
      <c r="CA183" s="203"/>
      <c r="CB183" s="203"/>
    </row>
    <row r="184" spans="1:80">
      <c r="A184" s="212" t="s">
        <v>381</v>
      </c>
      <c r="B184" s="4" t="s">
        <v>17</v>
      </c>
      <c r="C184" s="9" t="s">
        <v>372</v>
      </c>
      <c r="D184" s="9" t="s">
        <v>21</v>
      </c>
      <c r="E184" s="200" t="s">
        <v>28</v>
      </c>
      <c r="F184" s="200" t="s">
        <v>113</v>
      </c>
      <c r="G184" s="5"/>
      <c r="H184" s="5"/>
      <c r="I184" s="5"/>
      <c r="J184" s="36"/>
      <c r="K184" s="36"/>
      <c r="L184" s="36"/>
      <c r="M184" s="36"/>
      <c r="N184" s="35"/>
      <c r="O184" s="35"/>
      <c r="P184" s="35"/>
      <c r="Q184" s="282"/>
      <c r="R184" s="203"/>
      <c r="S184" s="203"/>
      <c r="T184" s="203"/>
      <c r="U184" s="203"/>
      <c r="V184" s="203"/>
      <c r="W184" s="203"/>
      <c r="X184" s="203"/>
      <c r="Y184" s="203"/>
      <c r="Z184" s="203"/>
      <c r="AA184" s="203"/>
      <c r="AB184" s="203"/>
      <c r="AC184" s="203"/>
      <c r="AD184" s="203"/>
      <c r="AE184" s="203"/>
      <c r="AF184" s="203"/>
      <c r="AG184" s="203"/>
      <c r="AH184" s="203"/>
      <c r="AI184" s="203"/>
      <c r="AJ184" s="203"/>
      <c r="AK184" s="203"/>
      <c r="AL184" s="203"/>
      <c r="AM184" s="203"/>
      <c r="AN184" s="203"/>
      <c r="AO184" s="203"/>
      <c r="AP184" s="203"/>
      <c r="AQ184" s="203"/>
      <c r="AR184" s="203"/>
      <c r="AS184" s="203"/>
      <c r="AT184" s="203"/>
      <c r="AU184" s="203"/>
      <c r="AV184" s="203"/>
      <c r="AW184" s="203"/>
      <c r="AX184" s="203"/>
      <c r="AY184" s="203"/>
      <c r="AZ184" s="203"/>
      <c r="BA184" s="203"/>
      <c r="BB184" s="203"/>
      <c r="BC184" s="203"/>
      <c r="BD184" s="203"/>
      <c r="BE184" s="203"/>
      <c r="BF184" s="203"/>
      <c r="BG184" s="203"/>
      <c r="BH184" s="203"/>
      <c r="BI184" s="204"/>
      <c r="BJ184" s="203"/>
      <c r="BK184" s="203"/>
      <c r="BL184" s="203"/>
      <c r="BM184" s="203"/>
      <c r="BN184" s="203"/>
      <c r="BO184" s="204"/>
      <c r="BP184" s="203"/>
      <c r="BQ184" s="203"/>
      <c r="BR184" s="203"/>
      <c r="BS184" s="203"/>
      <c r="BT184" s="203"/>
      <c r="BU184" s="203"/>
      <c r="BV184" s="203"/>
      <c r="BW184" s="203"/>
      <c r="BX184" s="203"/>
      <c r="BY184" s="203"/>
      <c r="BZ184" s="203"/>
      <c r="CA184" s="203"/>
      <c r="CB184" s="203"/>
    </row>
    <row r="185" spans="1:80">
      <c r="A185" s="212" t="s">
        <v>381</v>
      </c>
      <c r="B185" s="4" t="s">
        <v>17</v>
      </c>
      <c r="C185" s="9" t="s">
        <v>372</v>
      </c>
      <c r="D185" s="9" t="s">
        <v>21</v>
      </c>
      <c r="E185" s="200" t="s">
        <v>28</v>
      </c>
      <c r="F185" s="200" t="s">
        <v>114</v>
      </c>
      <c r="G185" s="5"/>
      <c r="H185" s="5"/>
      <c r="I185" s="5"/>
      <c r="J185" s="36"/>
      <c r="K185" s="36"/>
      <c r="L185" s="36"/>
      <c r="M185" s="36"/>
      <c r="N185" s="35"/>
      <c r="O185" s="35"/>
      <c r="P185" s="35"/>
      <c r="Q185" s="282"/>
      <c r="R185" s="203"/>
      <c r="S185" s="203"/>
      <c r="T185" s="203"/>
      <c r="U185" s="203"/>
      <c r="V185" s="203"/>
      <c r="W185" s="203"/>
      <c r="X185" s="203"/>
      <c r="Y185" s="203"/>
      <c r="Z185" s="203"/>
      <c r="AA185" s="203"/>
      <c r="AB185" s="203"/>
      <c r="AC185" s="203"/>
      <c r="AD185" s="203"/>
      <c r="AE185" s="203"/>
      <c r="AF185" s="203"/>
      <c r="AG185" s="203"/>
      <c r="AH185" s="203"/>
      <c r="AI185" s="203"/>
      <c r="AJ185" s="203"/>
      <c r="AK185" s="203"/>
      <c r="AL185" s="203"/>
      <c r="AM185" s="203"/>
      <c r="AN185" s="203"/>
      <c r="AO185" s="203"/>
      <c r="AP185" s="203"/>
      <c r="AQ185" s="203"/>
      <c r="AR185" s="203"/>
      <c r="AS185" s="203"/>
      <c r="AT185" s="203"/>
      <c r="AU185" s="203"/>
      <c r="AV185" s="203"/>
      <c r="AW185" s="203"/>
      <c r="AX185" s="203"/>
      <c r="AY185" s="203"/>
      <c r="AZ185" s="203"/>
      <c r="BA185" s="203"/>
      <c r="BB185" s="203"/>
      <c r="BC185" s="203"/>
      <c r="BD185" s="203"/>
      <c r="BE185" s="203"/>
      <c r="BF185" s="203"/>
      <c r="BG185" s="203"/>
      <c r="BH185" s="203"/>
      <c r="BI185" s="204"/>
      <c r="BJ185" s="203"/>
      <c r="BK185" s="203"/>
      <c r="BL185" s="203"/>
      <c r="BM185" s="203"/>
      <c r="BN185" s="203"/>
      <c r="BO185" s="204"/>
      <c r="BP185" s="203"/>
      <c r="BQ185" s="203"/>
      <c r="BR185" s="203"/>
      <c r="BS185" s="203"/>
      <c r="BT185" s="203"/>
      <c r="BU185" s="203"/>
      <c r="BV185" s="203"/>
      <c r="BW185" s="203"/>
      <c r="BX185" s="203"/>
      <c r="BY185" s="203"/>
      <c r="BZ185" s="203"/>
      <c r="CA185" s="203"/>
      <c r="CB185" s="203"/>
    </row>
    <row r="186" spans="1:80">
      <c r="A186" s="212" t="s">
        <v>381</v>
      </c>
      <c r="B186" s="4" t="s">
        <v>17</v>
      </c>
      <c r="C186" s="9" t="s">
        <v>372</v>
      </c>
      <c r="D186" s="9" t="s">
        <v>21</v>
      </c>
      <c r="E186" s="200" t="s">
        <v>28</v>
      </c>
      <c r="F186" s="200" t="s">
        <v>115</v>
      </c>
      <c r="G186" s="5"/>
      <c r="H186" s="5"/>
      <c r="I186" s="5"/>
      <c r="J186" s="36"/>
      <c r="K186" s="36"/>
      <c r="L186" s="36"/>
      <c r="M186" s="36"/>
      <c r="N186" s="35"/>
      <c r="O186" s="35"/>
      <c r="P186" s="35"/>
      <c r="Q186" s="282"/>
      <c r="R186" s="203"/>
      <c r="S186" s="203"/>
      <c r="T186" s="203"/>
      <c r="U186" s="203"/>
      <c r="V186" s="203"/>
      <c r="W186" s="203"/>
      <c r="X186" s="203"/>
      <c r="Y186" s="203"/>
      <c r="Z186" s="203"/>
      <c r="AA186" s="203"/>
      <c r="AB186" s="203"/>
      <c r="AC186" s="203"/>
      <c r="AD186" s="203"/>
      <c r="AE186" s="203"/>
      <c r="AF186" s="203"/>
      <c r="AG186" s="203"/>
      <c r="AH186" s="203"/>
      <c r="AI186" s="203"/>
      <c r="AJ186" s="203"/>
      <c r="AK186" s="203"/>
      <c r="AL186" s="203"/>
      <c r="AM186" s="203"/>
      <c r="AN186" s="203"/>
      <c r="AO186" s="203"/>
      <c r="AP186" s="203"/>
      <c r="AQ186" s="203"/>
      <c r="AR186" s="203"/>
      <c r="AS186" s="203"/>
      <c r="AT186" s="203"/>
      <c r="AU186" s="203"/>
      <c r="AV186" s="203"/>
      <c r="AW186" s="203"/>
      <c r="AX186" s="203"/>
      <c r="AY186" s="203"/>
      <c r="AZ186" s="203"/>
      <c r="BA186" s="203"/>
      <c r="BB186" s="203"/>
      <c r="BC186" s="203"/>
      <c r="BD186" s="203"/>
      <c r="BE186" s="203"/>
      <c r="BF186" s="203"/>
      <c r="BG186" s="203"/>
      <c r="BH186" s="203"/>
      <c r="BI186" s="204"/>
      <c r="BJ186" s="203"/>
      <c r="BK186" s="203"/>
      <c r="BL186" s="203"/>
      <c r="BM186" s="203"/>
      <c r="BN186" s="203"/>
      <c r="BO186" s="204"/>
      <c r="BP186" s="203"/>
      <c r="BQ186" s="203"/>
      <c r="BR186" s="203"/>
      <c r="BS186" s="203"/>
      <c r="BT186" s="203"/>
      <c r="BU186" s="203"/>
      <c r="BV186" s="203"/>
      <c r="BW186" s="203"/>
      <c r="BX186" s="203"/>
      <c r="BY186" s="203"/>
      <c r="BZ186" s="203"/>
      <c r="CA186" s="203"/>
      <c r="CB186" s="203"/>
    </row>
    <row r="187" spans="1:80">
      <c r="A187" s="212" t="s">
        <v>381</v>
      </c>
      <c r="B187" s="4" t="s">
        <v>17</v>
      </c>
      <c r="C187" s="9" t="s">
        <v>373</v>
      </c>
      <c r="D187" s="9" t="s">
        <v>21</v>
      </c>
      <c r="E187" s="200" t="s">
        <v>28</v>
      </c>
      <c r="F187" s="200" t="s">
        <v>118</v>
      </c>
      <c r="G187" s="5"/>
      <c r="H187" s="5"/>
      <c r="I187" s="5"/>
      <c r="J187" s="36"/>
      <c r="K187" s="36"/>
      <c r="L187" s="36"/>
      <c r="M187" s="36"/>
      <c r="N187" s="35"/>
      <c r="O187" s="35"/>
      <c r="P187" s="35"/>
      <c r="Q187" s="282"/>
      <c r="R187" s="203"/>
      <c r="S187" s="203"/>
      <c r="T187" s="203"/>
      <c r="U187" s="203"/>
      <c r="V187" s="203"/>
      <c r="W187" s="203"/>
      <c r="X187" s="203"/>
      <c r="Y187" s="203"/>
      <c r="Z187" s="203"/>
      <c r="AA187" s="203"/>
      <c r="AB187" s="203"/>
      <c r="AC187" s="203"/>
      <c r="AD187" s="203"/>
      <c r="AE187" s="203"/>
      <c r="AF187" s="203"/>
      <c r="AG187" s="203"/>
      <c r="AH187" s="203"/>
      <c r="AI187" s="203"/>
      <c r="AJ187" s="203"/>
      <c r="AK187" s="203"/>
      <c r="AL187" s="203"/>
      <c r="AM187" s="203"/>
      <c r="AN187" s="203"/>
      <c r="AO187" s="203"/>
      <c r="AP187" s="203"/>
      <c r="AQ187" s="203"/>
      <c r="AR187" s="203"/>
      <c r="AS187" s="203"/>
      <c r="AT187" s="203"/>
      <c r="AU187" s="203"/>
      <c r="AV187" s="203"/>
      <c r="AW187" s="203"/>
      <c r="AX187" s="203"/>
      <c r="AY187" s="203"/>
      <c r="AZ187" s="203"/>
      <c r="BA187" s="203"/>
      <c r="BB187" s="203"/>
      <c r="BC187" s="203"/>
      <c r="BD187" s="203"/>
      <c r="BE187" s="203"/>
      <c r="BF187" s="203"/>
      <c r="BG187" s="203"/>
      <c r="BH187" s="203"/>
      <c r="BI187" s="204"/>
      <c r="BJ187" s="203"/>
      <c r="BK187" s="203"/>
      <c r="BL187" s="203"/>
      <c r="BM187" s="203"/>
      <c r="BN187" s="203"/>
      <c r="BO187" s="204"/>
      <c r="BP187" s="203"/>
      <c r="BQ187" s="203"/>
      <c r="BR187" s="203"/>
      <c r="BS187" s="203"/>
      <c r="BT187" s="203"/>
      <c r="BU187" s="203"/>
      <c r="BV187" s="203"/>
      <c r="BW187" s="203"/>
      <c r="BX187" s="203"/>
      <c r="BY187" s="203"/>
      <c r="BZ187" s="203"/>
      <c r="CA187" s="203"/>
      <c r="CB187" s="203"/>
    </row>
    <row r="188" spans="1:80">
      <c r="A188" s="212" t="s">
        <v>381</v>
      </c>
      <c r="B188" s="4" t="s">
        <v>17</v>
      </c>
      <c r="C188" s="9" t="s">
        <v>372</v>
      </c>
      <c r="D188" s="9" t="s">
        <v>21</v>
      </c>
      <c r="E188" s="200" t="s">
        <v>108</v>
      </c>
      <c r="F188" s="200" t="s">
        <v>116</v>
      </c>
      <c r="G188" s="5"/>
      <c r="H188" s="5"/>
      <c r="I188" s="5"/>
      <c r="J188" s="36"/>
      <c r="K188" s="36"/>
      <c r="L188" s="36"/>
      <c r="M188" s="36"/>
      <c r="N188" s="35"/>
      <c r="O188" s="35"/>
      <c r="P188" s="35"/>
      <c r="Q188" s="282"/>
      <c r="R188" s="203"/>
      <c r="S188" s="203"/>
      <c r="T188" s="203"/>
      <c r="U188" s="203"/>
      <c r="V188" s="203"/>
      <c r="W188" s="203"/>
      <c r="X188" s="203"/>
      <c r="Y188" s="203"/>
      <c r="Z188" s="203"/>
      <c r="AA188" s="203"/>
      <c r="AB188" s="203"/>
      <c r="AC188" s="203"/>
      <c r="AD188" s="203"/>
      <c r="AE188" s="203"/>
      <c r="AF188" s="203"/>
      <c r="AG188" s="203"/>
      <c r="AH188" s="203"/>
      <c r="AI188" s="203"/>
      <c r="AJ188" s="203"/>
      <c r="AK188" s="203"/>
      <c r="AL188" s="203"/>
      <c r="AM188" s="203"/>
      <c r="AN188" s="203"/>
      <c r="AO188" s="203"/>
      <c r="AP188" s="203"/>
      <c r="AQ188" s="203"/>
      <c r="AR188" s="203"/>
      <c r="AS188" s="203"/>
      <c r="AT188" s="203"/>
      <c r="AU188" s="203"/>
      <c r="AV188" s="203"/>
      <c r="AW188" s="203"/>
      <c r="AX188" s="203"/>
      <c r="AY188" s="203"/>
      <c r="AZ188" s="203"/>
      <c r="BA188" s="203"/>
      <c r="BB188" s="203"/>
      <c r="BC188" s="203"/>
      <c r="BD188" s="203"/>
      <c r="BE188" s="203"/>
      <c r="BF188" s="203"/>
      <c r="BG188" s="203"/>
      <c r="BH188" s="203"/>
      <c r="BI188" s="204"/>
      <c r="BJ188" s="203"/>
      <c r="BK188" s="203"/>
      <c r="BL188" s="203"/>
      <c r="BM188" s="203"/>
      <c r="BN188" s="203"/>
      <c r="BO188" s="204"/>
      <c r="BP188" s="203"/>
      <c r="BQ188" s="203"/>
      <c r="BR188" s="203"/>
      <c r="BS188" s="203"/>
      <c r="BT188" s="203"/>
      <c r="BU188" s="203"/>
      <c r="BV188" s="203"/>
      <c r="BW188" s="203"/>
      <c r="BX188" s="203"/>
      <c r="BY188" s="203"/>
      <c r="BZ188" s="203"/>
      <c r="CA188" s="203"/>
      <c r="CB188" s="203"/>
    </row>
    <row r="189" spans="1:80">
      <c r="A189" s="212" t="s">
        <v>381</v>
      </c>
      <c r="B189" s="4" t="s">
        <v>17</v>
      </c>
      <c r="C189" s="9" t="s">
        <v>375</v>
      </c>
      <c r="D189" s="9" t="s">
        <v>21</v>
      </c>
      <c r="E189" s="200" t="s">
        <v>29</v>
      </c>
      <c r="F189" s="200" t="s">
        <v>64</v>
      </c>
      <c r="G189" s="5"/>
      <c r="H189" s="5"/>
      <c r="I189" s="5"/>
      <c r="J189" s="36"/>
      <c r="K189" s="36"/>
      <c r="L189" s="36"/>
      <c r="M189" s="36"/>
      <c r="N189" s="35"/>
      <c r="O189" s="35"/>
      <c r="P189" s="35"/>
      <c r="Q189" s="282"/>
      <c r="R189" s="203"/>
      <c r="S189" s="203"/>
      <c r="T189" s="203"/>
      <c r="U189" s="203"/>
      <c r="V189" s="203"/>
      <c r="W189" s="203"/>
      <c r="X189" s="203"/>
      <c r="Y189" s="203"/>
      <c r="Z189" s="203"/>
      <c r="AA189" s="203"/>
      <c r="AB189" s="203"/>
      <c r="AC189" s="203"/>
      <c r="AD189" s="203"/>
      <c r="AE189" s="203"/>
      <c r="AF189" s="203"/>
      <c r="AG189" s="203"/>
      <c r="AH189" s="203"/>
      <c r="AI189" s="203"/>
      <c r="AJ189" s="203"/>
      <c r="AK189" s="203"/>
      <c r="AL189" s="203"/>
      <c r="AM189" s="203"/>
      <c r="AN189" s="203"/>
      <c r="AO189" s="203"/>
      <c r="AP189" s="203"/>
      <c r="AQ189" s="203"/>
      <c r="AR189" s="203"/>
      <c r="AS189" s="203"/>
      <c r="AT189" s="203"/>
      <c r="AU189" s="203"/>
      <c r="AV189" s="203"/>
      <c r="AW189" s="203"/>
      <c r="AX189" s="203"/>
      <c r="AY189" s="203"/>
      <c r="AZ189" s="203"/>
      <c r="BA189" s="203"/>
      <c r="BB189" s="203"/>
      <c r="BC189" s="203"/>
      <c r="BD189" s="203"/>
      <c r="BE189" s="203"/>
      <c r="BF189" s="203"/>
      <c r="BG189" s="203"/>
      <c r="BH189" s="203"/>
      <c r="BI189" s="204"/>
      <c r="BJ189" s="203"/>
      <c r="BK189" s="203"/>
      <c r="BL189" s="203"/>
      <c r="BM189" s="203"/>
      <c r="BN189" s="203"/>
      <c r="BO189" s="204"/>
      <c r="BP189" s="203"/>
      <c r="BQ189" s="203"/>
      <c r="BR189" s="203"/>
      <c r="BS189" s="203"/>
      <c r="BT189" s="203"/>
      <c r="BU189" s="203"/>
      <c r="BV189" s="203"/>
      <c r="BW189" s="203"/>
      <c r="BX189" s="203"/>
      <c r="BY189" s="203"/>
      <c r="BZ189" s="203"/>
      <c r="CA189" s="203"/>
      <c r="CB189" s="203"/>
    </row>
    <row r="190" spans="1:80">
      <c r="A190" s="212" t="s">
        <v>381</v>
      </c>
      <c r="B190" s="4" t="s">
        <v>17</v>
      </c>
      <c r="C190" s="9" t="s">
        <v>374</v>
      </c>
      <c r="D190" s="9" t="s">
        <v>21</v>
      </c>
      <c r="E190" s="200" t="s">
        <v>108</v>
      </c>
      <c r="F190" s="200" t="s">
        <v>58</v>
      </c>
      <c r="G190" s="5"/>
      <c r="H190" s="5"/>
      <c r="I190" s="5"/>
      <c r="J190" s="36"/>
      <c r="K190" s="36"/>
      <c r="L190" s="36"/>
      <c r="M190" s="36"/>
      <c r="N190" s="35"/>
      <c r="O190" s="35"/>
      <c r="P190" s="35"/>
      <c r="Q190" s="282"/>
      <c r="R190" s="203"/>
      <c r="S190" s="203"/>
      <c r="T190" s="203"/>
      <c r="U190" s="203"/>
      <c r="V190" s="203"/>
      <c r="W190" s="203"/>
      <c r="X190" s="203"/>
      <c r="Y190" s="203"/>
      <c r="Z190" s="203"/>
      <c r="AA190" s="203"/>
      <c r="AB190" s="203"/>
      <c r="AC190" s="203"/>
      <c r="AD190" s="203"/>
      <c r="AE190" s="203"/>
      <c r="AF190" s="203"/>
      <c r="AG190" s="203"/>
      <c r="AH190" s="203"/>
      <c r="AI190" s="203"/>
      <c r="AJ190" s="203"/>
      <c r="AK190" s="203"/>
      <c r="AL190" s="203"/>
      <c r="AM190" s="203"/>
      <c r="AN190" s="203"/>
      <c r="AO190" s="203"/>
      <c r="AP190" s="203"/>
      <c r="AQ190" s="203"/>
      <c r="AR190" s="203"/>
      <c r="AS190" s="203"/>
      <c r="AT190" s="203"/>
      <c r="AU190" s="203"/>
      <c r="AV190" s="203"/>
      <c r="AW190" s="203"/>
      <c r="AX190" s="203"/>
      <c r="AY190" s="203"/>
      <c r="AZ190" s="203"/>
      <c r="BA190" s="203"/>
      <c r="BB190" s="203"/>
      <c r="BC190" s="203"/>
      <c r="BD190" s="203"/>
      <c r="BE190" s="203"/>
      <c r="BF190" s="203"/>
      <c r="BG190" s="203"/>
      <c r="BH190" s="203"/>
      <c r="BI190" s="204"/>
      <c r="BJ190" s="203"/>
      <c r="BK190" s="203"/>
      <c r="BL190" s="203"/>
      <c r="BM190" s="203"/>
      <c r="BN190" s="203"/>
      <c r="BO190" s="204"/>
      <c r="BP190" s="203"/>
      <c r="BQ190" s="203"/>
      <c r="BR190" s="203"/>
      <c r="BS190" s="203"/>
      <c r="BT190" s="203"/>
      <c r="BU190" s="203"/>
      <c r="BV190" s="203"/>
      <c r="BW190" s="203"/>
      <c r="BX190" s="203"/>
      <c r="BY190" s="203"/>
      <c r="BZ190" s="203"/>
      <c r="CA190" s="203"/>
      <c r="CB190" s="203"/>
    </row>
    <row r="191" spans="1:80">
      <c r="A191" s="212" t="s">
        <v>381</v>
      </c>
      <c r="B191" s="4" t="s">
        <v>17</v>
      </c>
      <c r="C191" s="9" t="s">
        <v>374</v>
      </c>
      <c r="D191" s="9" t="s">
        <v>21</v>
      </c>
      <c r="E191" s="200" t="s">
        <v>108</v>
      </c>
      <c r="F191" s="200" t="s">
        <v>59</v>
      </c>
      <c r="G191" s="5"/>
      <c r="H191" s="5"/>
      <c r="I191" s="5"/>
      <c r="J191" s="36"/>
      <c r="K191" s="36"/>
      <c r="L191" s="36"/>
      <c r="M191" s="36"/>
      <c r="N191" s="35"/>
      <c r="O191" s="35"/>
      <c r="P191" s="35"/>
      <c r="Q191" s="282"/>
      <c r="R191" s="203"/>
      <c r="S191" s="203"/>
      <c r="T191" s="203"/>
      <c r="U191" s="203"/>
      <c r="V191" s="203"/>
      <c r="W191" s="203"/>
      <c r="X191" s="203"/>
      <c r="Y191" s="203"/>
      <c r="Z191" s="203"/>
      <c r="AA191" s="203"/>
      <c r="AB191" s="203"/>
      <c r="AC191" s="203"/>
      <c r="AD191" s="203"/>
      <c r="AE191" s="203"/>
      <c r="AF191" s="203"/>
      <c r="AG191" s="203"/>
      <c r="AH191" s="203"/>
      <c r="AI191" s="203"/>
      <c r="AJ191" s="203"/>
      <c r="AK191" s="203"/>
      <c r="AL191" s="203"/>
      <c r="AM191" s="203"/>
      <c r="AN191" s="203"/>
      <c r="AO191" s="203"/>
      <c r="AP191" s="203"/>
      <c r="AQ191" s="203"/>
      <c r="AR191" s="203"/>
      <c r="AS191" s="203"/>
      <c r="AT191" s="203"/>
      <c r="AU191" s="203"/>
      <c r="AV191" s="203"/>
      <c r="AW191" s="203"/>
      <c r="AX191" s="203"/>
      <c r="AY191" s="203"/>
      <c r="AZ191" s="203"/>
      <c r="BA191" s="203"/>
      <c r="BB191" s="203"/>
      <c r="BC191" s="203"/>
      <c r="BD191" s="203"/>
      <c r="BE191" s="203"/>
      <c r="BF191" s="203"/>
      <c r="BG191" s="203"/>
      <c r="BH191" s="203"/>
      <c r="BI191" s="204"/>
      <c r="BJ191" s="203"/>
      <c r="BK191" s="203"/>
      <c r="BL191" s="203"/>
      <c r="BM191" s="203"/>
      <c r="BN191" s="203"/>
      <c r="BO191" s="204"/>
      <c r="BP191" s="203"/>
      <c r="BQ191" s="203"/>
      <c r="BR191" s="203"/>
      <c r="BS191" s="203"/>
      <c r="BT191" s="203"/>
      <c r="BU191" s="203"/>
      <c r="BV191" s="203"/>
      <c r="BW191" s="203"/>
      <c r="BX191" s="203"/>
      <c r="BY191" s="203"/>
      <c r="BZ191" s="203"/>
      <c r="CA191" s="203"/>
      <c r="CB191" s="203"/>
    </row>
    <row r="192" spans="1:80">
      <c r="A192" s="212" t="s">
        <v>381</v>
      </c>
      <c r="B192" s="4" t="s">
        <v>17</v>
      </c>
      <c r="C192" s="9" t="s">
        <v>372</v>
      </c>
      <c r="D192" s="9" t="s">
        <v>21</v>
      </c>
      <c r="E192" s="200" t="s">
        <v>29</v>
      </c>
      <c r="F192" s="200" t="s">
        <v>53</v>
      </c>
      <c r="G192" s="5"/>
      <c r="H192" s="5"/>
      <c r="I192" s="5"/>
      <c r="J192" s="36"/>
      <c r="K192" s="36"/>
      <c r="L192" s="36"/>
      <c r="M192" s="36"/>
      <c r="N192" s="35"/>
      <c r="O192" s="35"/>
      <c r="P192" s="35"/>
      <c r="Q192" s="282"/>
      <c r="R192" s="203"/>
      <c r="S192" s="203"/>
      <c r="T192" s="203"/>
      <c r="U192" s="203"/>
      <c r="V192" s="203"/>
      <c r="W192" s="203"/>
      <c r="X192" s="203"/>
      <c r="Y192" s="203"/>
      <c r="Z192" s="203"/>
      <c r="AA192" s="203"/>
      <c r="AB192" s="203"/>
      <c r="AC192" s="203"/>
      <c r="AD192" s="203"/>
      <c r="AE192" s="203"/>
      <c r="AF192" s="203"/>
      <c r="AG192" s="203"/>
      <c r="AH192" s="203"/>
      <c r="AI192" s="203"/>
      <c r="AJ192" s="203"/>
      <c r="AK192" s="203"/>
      <c r="AL192" s="203"/>
      <c r="AM192" s="203"/>
      <c r="AN192" s="203"/>
      <c r="AO192" s="203"/>
      <c r="AP192" s="203"/>
      <c r="AQ192" s="203"/>
      <c r="AR192" s="203"/>
      <c r="AS192" s="203"/>
      <c r="AT192" s="203"/>
      <c r="AU192" s="203"/>
      <c r="AV192" s="203"/>
      <c r="AW192" s="203"/>
      <c r="AX192" s="203"/>
      <c r="AY192" s="203"/>
      <c r="AZ192" s="203"/>
      <c r="BA192" s="203"/>
      <c r="BB192" s="203"/>
      <c r="BC192" s="203"/>
      <c r="BD192" s="203"/>
      <c r="BE192" s="203"/>
      <c r="BF192" s="203"/>
      <c r="BG192" s="203"/>
      <c r="BH192" s="203"/>
      <c r="BI192" s="204"/>
      <c r="BJ192" s="203"/>
      <c r="BK192" s="203"/>
      <c r="BL192" s="203"/>
      <c r="BM192" s="203"/>
      <c r="BN192" s="203"/>
      <c r="BO192" s="204"/>
      <c r="BP192" s="203"/>
      <c r="BQ192" s="203"/>
      <c r="BR192" s="203"/>
      <c r="BS192" s="203"/>
      <c r="BT192" s="203"/>
      <c r="BU192" s="203"/>
      <c r="BV192" s="203"/>
      <c r="BW192" s="203"/>
      <c r="BX192" s="203"/>
      <c r="BY192" s="203"/>
      <c r="BZ192" s="203"/>
      <c r="CA192" s="203"/>
      <c r="CB192" s="203"/>
    </row>
    <row r="193" spans="1:80">
      <c r="A193" s="212" t="s">
        <v>381</v>
      </c>
      <c r="B193" s="4" t="s">
        <v>17</v>
      </c>
      <c r="C193" s="9" t="s">
        <v>378</v>
      </c>
      <c r="D193" s="9" t="s">
        <v>21</v>
      </c>
      <c r="E193" s="200" t="s">
        <v>275</v>
      </c>
      <c r="F193" s="200" t="s">
        <v>117</v>
      </c>
      <c r="G193" s="5"/>
      <c r="H193" s="5"/>
      <c r="I193" s="5"/>
      <c r="J193" s="36"/>
      <c r="K193" s="36"/>
      <c r="L193" s="36"/>
      <c r="M193" s="36"/>
      <c r="N193" s="35"/>
      <c r="O193" s="35"/>
      <c r="P193" s="35"/>
      <c r="Q193" s="282"/>
      <c r="R193" s="203"/>
      <c r="S193" s="203"/>
      <c r="T193" s="203"/>
      <c r="U193" s="203"/>
      <c r="V193" s="203"/>
      <c r="W193" s="203"/>
      <c r="X193" s="203"/>
      <c r="Y193" s="203"/>
      <c r="Z193" s="203"/>
      <c r="AA193" s="203"/>
      <c r="AB193" s="203"/>
      <c r="AC193" s="203"/>
      <c r="AD193" s="203"/>
      <c r="AE193" s="203"/>
      <c r="AF193" s="203"/>
      <c r="AG193" s="203"/>
      <c r="AH193" s="203"/>
      <c r="AI193" s="203"/>
      <c r="AJ193" s="203"/>
      <c r="AK193" s="203"/>
      <c r="AL193" s="203"/>
      <c r="AM193" s="203"/>
      <c r="AN193" s="203"/>
      <c r="AO193" s="203"/>
      <c r="AP193" s="203"/>
      <c r="AQ193" s="203"/>
      <c r="AR193" s="203"/>
      <c r="AS193" s="203"/>
      <c r="AT193" s="203"/>
      <c r="AU193" s="203"/>
      <c r="AV193" s="203"/>
      <c r="AW193" s="203"/>
      <c r="AX193" s="203"/>
      <c r="AY193" s="203"/>
      <c r="AZ193" s="203"/>
      <c r="BA193" s="203"/>
      <c r="BB193" s="203"/>
      <c r="BC193" s="203"/>
      <c r="BD193" s="203"/>
      <c r="BE193" s="203"/>
      <c r="BF193" s="203"/>
      <c r="BG193" s="203"/>
      <c r="BH193" s="203"/>
      <c r="BI193" s="204"/>
      <c r="BJ193" s="203"/>
      <c r="BK193" s="203"/>
      <c r="BL193" s="203"/>
      <c r="BM193" s="203"/>
      <c r="BN193" s="203"/>
      <c r="BO193" s="204"/>
      <c r="BP193" s="203"/>
      <c r="BQ193" s="203"/>
      <c r="BR193" s="203"/>
      <c r="BS193" s="203"/>
      <c r="BT193" s="203"/>
      <c r="BU193" s="203"/>
      <c r="BV193" s="203"/>
      <c r="BW193" s="203"/>
      <c r="BX193" s="203"/>
      <c r="BY193" s="203"/>
      <c r="BZ193" s="203"/>
      <c r="CA193" s="203"/>
      <c r="CB193" s="203"/>
    </row>
    <row r="194" spans="1:80">
      <c r="A194" s="212" t="s">
        <v>381</v>
      </c>
      <c r="B194" s="4" t="s">
        <v>17</v>
      </c>
      <c r="C194" s="9" t="s">
        <v>374</v>
      </c>
      <c r="D194" s="9" t="s">
        <v>21</v>
      </c>
      <c r="E194" s="200" t="s">
        <v>108</v>
      </c>
      <c r="F194" s="200" t="s">
        <v>51</v>
      </c>
      <c r="G194" s="5"/>
      <c r="H194" s="5"/>
      <c r="I194" s="5"/>
      <c r="J194" s="36"/>
      <c r="K194" s="36"/>
      <c r="L194" s="36"/>
      <c r="M194" s="36"/>
      <c r="N194" s="35"/>
      <c r="O194" s="35"/>
      <c r="P194" s="35"/>
      <c r="Q194" s="282"/>
      <c r="R194" s="203"/>
      <c r="S194" s="203"/>
      <c r="T194" s="203"/>
      <c r="U194" s="203"/>
      <c r="V194" s="203"/>
      <c r="W194" s="203"/>
      <c r="X194" s="203"/>
      <c r="Y194" s="203"/>
      <c r="Z194" s="203"/>
      <c r="AA194" s="203"/>
      <c r="AB194" s="203"/>
      <c r="AC194" s="203"/>
      <c r="AD194" s="203"/>
      <c r="AE194" s="203"/>
      <c r="AF194" s="203"/>
      <c r="AG194" s="203"/>
      <c r="AH194" s="203"/>
      <c r="AI194" s="203"/>
      <c r="AJ194" s="203"/>
      <c r="AK194" s="203"/>
      <c r="AL194" s="203"/>
      <c r="AM194" s="203"/>
      <c r="AN194" s="203"/>
      <c r="AO194" s="203"/>
      <c r="AP194" s="203"/>
      <c r="AQ194" s="203"/>
      <c r="AR194" s="203"/>
      <c r="AS194" s="203"/>
      <c r="AT194" s="203"/>
      <c r="AU194" s="203"/>
      <c r="AV194" s="203"/>
      <c r="AW194" s="203"/>
      <c r="AX194" s="203"/>
      <c r="AY194" s="203"/>
      <c r="AZ194" s="203"/>
      <c r="BA194" s="203"/>
      <c r="BB194" s="203"/>
      <c r="BC194" s="203"/>
      <c r="BD194" s="203"/>
      <c r="BE194" s="203"/>
      <c r="BF194" s="203"/>
      <c r="BG194" s="203"/>
      <c r="BH194" s="203"/>
      <c r="BI194" s="204"/>
      <c r="BJ194" s="203"/>
      <c r="BK194" s="203"/>
      <c r="BL194" s="203"/>
      <c r="BM194" s="203"/>
      <c r="BN194" s="203"/>
      <c r="BO194" s="204"/>
      <c r="BP194" s="203"/>
      <c r="BQ194" s="203"/>
      <c r="BR194" s="203"/>
      <c r="BS194" s="203"/>
      <c r="BT194" s="203"/>
      <c r="BU194" s="203"/>
      <c r="BV194" s="203"/>
      <c r="BW194" s="203"/>
      <c r="BX194" s="203"/>
      <c r="BY194" s="203"/>
      <c r="BZ194" s="203"/>
      <c r="CA194" s="203"/>
      <c r="CB194" s="203"/>
    </row>
    <row r="195" spans="1:80">
      <c r="A195" s="212" t="s">
        <v>381</v>
      </c>
      <c r="B195" s="4" t="s">
        <v>17</v>
      </c>
      <c r="C195" s="9" t="s">
        <v>374</v>
      </c>
      <c r="D195" s="9" t="s">
        <v>21</v>
      </c>
      <c r="E195" s="200" t="s">
        <v>108</v>
      </c>
      <c r="F195" s="200" t="s">
        <v>52</v>
      </c>
      <c r="G195" s="5"/>
      <c r="H195" s="5"/>
      <c r="I195" s="5"/>
      <c r="J195" s="36"/>
      <c r="K195" s="36"/>
      <c r="L195" s="36"/>
      <c r="M195" s="36"/>
      <c r="N195" s="35"/>
      <c r="O195" s="35"/>
      <c r="P195" s="35"/>
      <c r="Q195" s="282"/>
      <c r="R195" s="203"/>
      <c r="S195" s="203"/>
      <c r="T195" s="203"/>
      <c r="U195" s="203"/>
      <c r="V195" s="203"/>
      <c r="W195" s="203"/>
      <c r="X195" s="203"/>
      <c r="Y195" s="203"/>
      <c r="Z195" s="203"/>
      <c r="AA195" s="203"/>
      <c r="AB195" s="203"/>
      <c r="AC195" s="203"/>
      <c r="AD195" s="203"/>
      <c r="AE195" s="203"/>
      <c r="AF195" s="203"/>
      <c r="AG195" s="203"/>
      <c r="AH195" s="203"/>
      <c r="AI195" s="203"/>
      <c r="AJ195" s="203"/>
      <c r="AK195" s="203"/>
      <c r="AL195" s="203"/>
      <c r="AM195" s="203"/>
      <c r="AN195" s="203"/>
      <c r="AO195" s="203"/>
      <c r="AP195" s="203"/>
      <c r="AQ195" s="203"/>
      <c r="AR195" s="203"/>
      <c r="AS195" s="203"/>
      <c r="AT195" s="203"/>
      <c r="AU195" s="203"/>
      <c r="AV195" s="203"/>
      <c r="AW195" s="203"/>
      <c r="AX195" s="203"/>
      <c r="AY195" s="203"/>
      <c r="AZ195" s="203"/>
      <c r="BA195" s="203"/>
      <c r="BB195" s="203"/>
      <c r="BC195" s="203"/>
      <c r="BD195" s="203"/>
      <c r="BE195" s="203"/>
      <c r="BF195" s="203"/>
      <c r="BG195" s="203"/>
      <c r="BH195" s="203"/>
      <c r="BI195" s="204"/>
      <c r="BJ195" s="203"/>
      <c r="BK195" s="203"/>
      <c r="BL195" s="203"/>
      <c r="BM195" s="203"/>
      <c r="BN195" s="203"/>
      <c r="BO195" s="204"/>
      <c r="BP195" s="203"/>
      <c r="BQ195" s="203"/>
      <c r="BR195" s="203"/>
      <c r="BS195" s="203"/>
      <c r="BT195" s="203"/>
      <c r="BU195" s="203"/>
      <c r="BV195" s="203"/>
      <c r="BW195" s="203"/>
      <c r="BX195" s="203"/>
      <c r="BY195" s="203"/>
      <c r="BZ195" s="203"/>
      <c r="CA195" s="203"/>
      <c r="CB195" s="203"/>
    </row>
    <row r="196" spans="1:80">
      <c r="A196" s="212" t="s">
        <v>381</v>
      </c>
      <c r="B196" s="4" t="s">
        <v>17</v>
      </c>
      <c r="C196" s="9" t="s">
        <v>374</v>
      </c>
      <c r="D196" s="9" t="s">
        <v>21</v>
      </c>
      <c r="E196" s="200" t="s">
        <v>108</v>
      </c>
      <c r="F196" s="200" t="s">
        <v>53</v>
      </c>
      <c r="G196" s="5"/>
      <c r="H196" s="5"/>
      <c r="I196" s="5"/>
      <c r="J196" s="36"/>
      <c r="K196" s="36"/>
      <c r="L196" s="36"/>
      <c r="M196" s="36"/>
      <c r="N196" s="35"/>
      <c r="O196" s="35"/>
      <c r="P196" s="35"/>
      <c r="Q196" s="282"/>
      <c r="R196" s="203"/>
      <c r="S196" s="203"/>
      <c r="T196" s="203"/>
      <c r="U196" s="203"/>
      <c r="V196" s="203"/>
      <c r="W196" s="203"/>
      <c r="X196" s="203"/>
      <c r="Y196" s="203"/>
      <c r="Z196" s="203"/>
      <c r="AA196" s="203"/>
      <c r="AB196" s="203"/>
      <c r="AC196" s="203"/>
      <c r="AD196" s="203"/>
      <c r="AE196" s="203"/>
      <c r="AF196" s="203"/>
      <c r="AG196" s="203"/>
      <c r="AH196" s="203"/>
      <c r="AI196" s="203"/>
      <c r="AJ196" s="203"/>
      <c r="AK196" s="203"/>
      <c r="AL196" s="203"/>
      <c r="AM196" s="203"/>
      <c r="AN196" s="203"/>
      <c r="AO196" s="203"/>
      <c r="AP196" s="203"/>
      <c r="AQ196" s="203"/>
      <c r="AR196" s="203"/>
      <c r="AS196" s="203"/>
      <c r="AT196" s="203"/>
      <c r="AU196" s="203"/>
      <c r="AV196" s="203"/>
      <c r="AW196" s="203"/>
      <c r="AX196" s="203"/>
      <c r="AY196" s="203"/>
      <c r="AZ196" s="203"/>
      <c r="BA196" s="203"/>
      <c r="BB196" s="203"/>
      <c r="BC196" s="203"/>
      <c r="BD196" s="203"/>
      <c r="BE196" s="203"/>
      <c r="BF196" s="203"/>
      <c r="BG196" s="203"/>
      <c r="BH196" s="203"/>
      <c r="BI196" s="204"/>
      <c r="BJ196" s="203"/>
      <c r="BK196" s="203"/>
      <c r="BL196" s="203"/>
      <c r="BM196" s="203"/>
      <c r="BN196" s="203"/>
      <c r="BO196" s="204"/>
      <c r="BP196" s="203"/>
      <c r="BQ196" s="203"/>
      <c r="BR196" s="203"/>
      <c r="BS196" s="203"/>
      <c r="BT196" s="203"/>
      <c r="BU196" s="203"/>
      <c r="BV196" s="203"/>
      <c r="BW196" s="203"/>
      <c r="BX196" s="203"/>
      <c r="BY196" s="203"/>
      <c r="BZ196" s="203"/>
      <c r="CA196" s="203"/>
      <c r="CB196" s="203"/>
    </row>
    <row r="197" spans="1:80" ht="10.4" customHeight="1">
      <c r="D197" s="206"/>
      <c r="P197" s="1"/>
    </row>
    <row r="198" spans="1:80" ht="17.899999999999999" customHeight="1">
      <c r="B198" s="141" t="s">
        <v>32</v>
      </c>
      <c r="C198" s="142"/>
      <c r="D198" s="142"/>
      <c r="E198" s="142"/>
      <c r="F198" s="142"/>
      <c r="G198" s="142"/>
      <c r="H198" s="142"/>
      <c r="I198" s="142"/>
      <c r="J198" s="143"/>
      <c r="K198" s="143">
        <f>K126+K49+K9</f>
        <v>8</v>
      </c>
      <c r="L198" s="143"/>
      <c r="M198" s="145">
        <f>M126+M49+M9</f>
        <v>1.5625</v>
      </c>
      <c r="N198" s="144">
        <f>((N126*K126)+(N49*K49)+(N9*K9))/K198</f>
        <v>0.04</v>
      </c>
      <c r="O198" s="144">
        <f>((O126*M126)+(O49*M49)+(O9*M9))/M198</f>
        <v>0.04</v>
      </c>
      <c r="P198" s="144">
        <f t="shared" ref="P198" si="6">O198-N198</f>
        <v>0</v>
      </c>
      <c r="Q198" s="279" t="s">
        <v>15</v>
      </c>
      <c r="R198" s="201"/>
      <c r="S198" s="201"/>
      <c r="T198" s="201"/>
      <c r="U198" s="201"/>
      <c r="V198" s="201"/>
      <c r="W198" s="201"/>
      <c r="X198" s="201"/>
      <c r="Y198" s="201"/>
      <c r="Z198" s="201"/>
      <c r="AA198" s="201"/>
      <c r="AB198" s="201"/>
      <c r="AC198" s="201"/>
      <c r="AD198" s="201"/>
      <c r="AE198" s="201"/>
      <c r="AF198" s="201"/>
      <c r="AG198" s="201"/>
      <c r="AH198" s="201"/>
      <c r="AI198" s="201"/>
      <c r="AJ198" s="201"/>
      <c r="AK198" s="201"/>
      <c r="AL198" s="201"/>
      <c r="AM198" s="201"/>
      <c r="AN198" s="201"/>
      <c r="AO198" s="201"/>
      <c r="AP198" s="201"/>
      <c r="AQ198" s="201"/>
      <c r="AR198" s="201"/>
      <c r="AS198" s="201"/>
      <c r="AT198" s="201"/>
      <c r="AU198" s="201"/>
      <c r="AV198" s="201"/>
      <c r="AW198" s="201"/>
      <c r="AX198" s="201"/>
      <c r="AY198" s="201"/>
      <c r="AZ198" s="201"/>
      <c r="BA198" s="201"/>
      <c r="BB198" s="201"/>
      <c r="BC198" s="201"/>
      <c r="BD198" s="201"/>
      <c r="BE198" s="201"/>
      <c r="BF198" s="201"/>
      <c r="BG198" s="201"/>
      <c r="BH198" s="201"/>
      <c r="BI198" s="202"/>
      <c r="BJ198" s="201"/>
      <c r="BK198" s="201"/>
      <c r="BL198" s="201"/>
      <c r="BM198" s="201"/>
      <c r="BN198" s="201"/>
      <c r="BO198" s="202"/>
      <c r="BP198" s="201"/>
      <c r="BQ198" s="201"/>
      <c r="BR198" s="201"/>
      <c r="BS198" s="201"/>
      <c r="BT198" s="201"/>
      <c r="BU198" s="201"/>
      <c r="BV198" s="201"/>
      <c r="BW198" s="201"/>
      <c r="BX198" s="201"/>
      <c r="BY198" s="201"/>
      <c r="BZ198" s="201"/>
      <c r="CA198" s="201"/>
      <c r="CB198" s="201"/>
    </row>
    <row r="199" spans="1:80">
      <c r="P199" s="1"/>
    </row>
    <row r="200" spans="1:80"/>
    <row r="201" spans="1:80"/>
    <row r="202" spans="1:80"/>
    <row r="203" spans="1:80"/>
    <row r="204" spans="1:80"/>
    <row r="205" spans="1:80"/>
    <row r="206" spans="1:80"/>
    <row r="207" spans="1:80"/>
    <row r="208" spans="1:80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</sheetData>
  <autoFilter ref="B49:CC124" xr:uid="{00000000-0001-0000-0300-000000000000}"/>
  <dataConsolidate/>
  <mergeCells count="3">
    <mergeCell ref="R7:AM7"/>
    <mergeCell ref="AN7:BG7"/>
    <mergeCell ref="BH7:CB7"/>
  </mergeCells>
  <conditionalFormatting sqref="G9 G48:G55 G57:G149">
    <cfRule type="cellIs" dxfId="63" priority="103" operator="equal">
      <formula>#REF!</formula>
    </cfRule>
  </conditionalFormatting>
  <conditionalFormatting sqref="G151:G196">
    <cfRule type="cellIs" dxfId="60" priority="38" operator="equal">
      <formula>#REF!</formula>
    </cfRule>
  </conditionalFormatting>
  <conditionalFormatting sqref="G198">
    <cfRule type="cellIs" dxfId="50" priority="27" operator="equal">
      <formula>#REF!</formula>
    </cfRule>
  </conditionalFormatting>
  <conditionalFormatting sqref="G56:H56">
    <cfRule type="cellIs" dxfId="45" priority="48" operator="equal">
      <formula>#REF!</formula>
    </cfRule>
  </conditionalFormatting>
  <conditionalFormatting sqref="H50:H55 H57:H124">
    <cfRule type="cellIs" dxfId="40" priority="6" operator="equal">
      <formula>#REF!</formula>
    </cfRule>
  </conditionalFormatting>
  <conditionalFormatting sqref="P9:P47 P49:P124">
    <cfRule type="cellIs" dxfId="38" priority="114" operator="lessThan">
      <formula>0</formula>
    </cfRule>
    <cfRule type="cellIs" dxfId="37" priority="115" operator="greaterThanOrEqual">
      <formula>0</formula>
    </cfRule>
  </conditionalFormatting>
  <conditionalFormatting sqref="P126:P149">
    <cfRule type="cellIs" dxfId="36" priority="40" operator="lessThan">
      <formula>0</formula>
    </cfRule>
    <cfRule type="cellIs" dxfId="35" priority="41" operator="greaterThanOrEqual">
      <formula>0</formula>
    </cfRule>
  </conditionalFormatting>
  <conditionalFormatting sqref="P151:P196">
    <cfRule type="cellIs" dxfId="34" priority="28" operator="lessThan">
      <formula>0</formula>
    </cfRule>
    <cfRule type="cellIs" dxfId="33" priority="29" operator="greaterThanOrEqual">
      <formula>0</formula>
    </cfRule>
  </conditionalFormatting>
  <conditionalFormatting sqref="P198">
    <cfRule type="cellIs" dxfId="32" priority="20" operator="greaterThanOrEqual">
      <formula>0</formula>
    </cfRule>
    <cfRule type="cellIs" dxfId="31" priority="19" operator="lessThan">
      <formula>0</formula>
    </cfRule>
  </conditionalFormatting>
  <conditionalFormatting sqref="R5">
    <cfRule type="cellIs" dxfId="30" priority="142" operator="notEqual">
      <formula>0</formula>
    </cfRule>
  </conditionalFormatting>
  <conditionalFormatting sqref="R10:CB47 R50:CB124 R127:CB130 R145:CB145">
    <cfRule type="cellIs" dxfId="29" priority="140" operator="greaterThan">
      <formula>0</formula>
    </cfRule>
  </conditionalFormatting>
  <conditionalFormatting sqref="R152:CB196">
    <cfRule type="cellIs" dxfId="28" priority="39" operator="greaterThan">
      <formula>0</formula>
    </cfRule>
  </conditionalFormatting>
  <dataValidations count="1">
    <dataValidation type="list" allowBlank="1" showInputMessage="1" showErrorMessage="1" sqref="G144" xr:uid="{00000000-0002-0000-0300-000000000000}">
      <formula1>#REF!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99" operator="containsText" id="{E6A2E11D-3FB4-4BCE-8BCC-4A41F7E5C802}">
            <xm:f>NOT(ISERROR(SEARCH(#REF!,G9)))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100" operator="containsText" id="{44DF8C4C-76C9-48C5-A74E-CDEA571325AF}">
            <xm:f>NOT(ISERROR(SEARCH(#REF!,G9)))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101" operator="containsText" id="{50E3FC31-F419-4DAE-BB92-680B48735D9A}">
            <xm:f>NOT(ISERROR(SEARCH(#REF!,G9)))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102" operator="containsText" id="{78E7875E-13AC-45A4-ADD2-BBD13D004F81}">
            <xm:f>NOT(ISERROR(SEARCH(#REF!,G9)))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G9 G48:G55 G57:G149</xm:sqref>
        </x14:conditionalFormatting>
        <x14:conditionalFormatting xmlns:xm="http://schemas.microsoft.com/office/excel/2006/main">
          <x14:cfRule type="containsText" priority="97" operator="containsText" id="{56209084-2720-4331-BEDC-8C9820B7F9DD}">
            <xm:f>NOT(ISERROR(SEARCH(#REF!,G9)))</xm:f>
            <xm:f>#REF!</xm:f>
            <x14:dxf>
              <font>
                <b/>
                <i val="0"/>
                <color rgb="FFFFC000"/>
              </font>
              <fill>
                <patternFill>
                  <bgColor theme="9" tint="0.59996337778862885"/>
                </patternFill>
              </fill>
            </x14:dxf>
          </x14:cfRule>
          <xm:sqref>G48:G149 G9</xm:sqref>
        </x14:conditionalFormatting>
        <x14:conditionalFormatting xmlns:xm="http://schemas.microsoft.com/office/excel/2006/main">
          <x14:cfRule type="containsText" priority="37" operator="containsText" id="{CFBA50C1-E529-4293-93AA-B6F8AB51D959}">
            <xm:f>NOT(ISERROR(SEARCH(#REF!,G151)))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14:cfRule type="containsText" priority="32" operator="containsText" id="{5737EC2B-36B2-46E3-8117-4790D36524BC}">
            <xm:f>NOT(ISERROR(SEARCH(#REF!,G151)))</xm:f>
            <xm:f>#REF!</xm:f>
            <x14:dxf>
              <font>
                <b/>
                <i val="0"/>
                <color rgb="FFFFC000"/>
              </font>
              <fill>
                <patternFill>
                  <bgColor theme="9" tint="0.59996337778862885"/>
                </patternFill>
              </fill>
            </x14:dxf>
          </x14:cfRule>
          <x14:cfRule type="containsText" priority="34" operator="containsText" id="{46A4A297-D72A-4656-97DF-5ADFAC714732}">
            <xm:f>NOT(ISERROR(SEARCH(#REF!,G151)))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35" operator="containsText" id="{D15B316E-AABC-4B19-A2AA-BC00AF03FB99}">
            <xm:f>NOT(ISERROR(SEARCH(#REF!,G151)))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36" operator="containsText" id="{AAB30A67-BBBF-4286-A547-637BBC51684E}">
            <xm:f>NOT(ISERROR(SEARCH(#REF!,G151)))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m:sqref>G151:G196</xm:sqref>
        </x14:conditionalFormatting>
        <x14:conditionalFormatting xmlns:xm="http://schemas.microsoft.com/office/excel/2006/main">
          <x14:cfRule type="containsText" priority="21" operator="containsText" id="{905FA512-9A77-480D-8CE6-4E7373BAE575}">
            <xm:f>NOT(ISERROR(SEARCH(#REF!,G198)))</xm:f>
            <xm:f>#REF!</xm:f>
            <x14:dxf>
              <font>
                <b/>
                <i val="0"/>
                <color rgb="FFFFC000"/>
              </font>
              <fill>
                <patternFill>
                  <bgColor theme="9" tint="0.59996337778862885"/>
                </patternFill>
              </fill>
            </x14:dxf>
          </x14:cfRule>
          <x14:cfRule type="containsText" priority="23" operator="containsText" id="{46E2C471-FA30-4A74-B1F8-E993382A9A03}">
            <xm:f>NOT(ISERROR(SEARCH(#REF!,G198)))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24" operator="containsText" id="{A98AD987-D98C-4DE5-BF9B-8F42EC097617}">
            <xm:f>NOT(ISERROR(SEARCH(#REF!,G198)))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25" operator="containsText" id="{C2FD2BD3-EF4A-4C4F-9360-BB77E16F77A4}">
            <xm:f>NOT(ISERROR(SEARCH(#REF!,G198)))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26" operator="containsText" id="{78947934-2E3A-48B1-83DE-1D4F2963B60A}">
            <xm:f>NOT(ISERROR(SEARCH(#REF!,G198)))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G198</xm:sqref>
        </x14:conditionalFormatting>
        <x14:conditionalFormatting xmlns:xm="http://schemas.microsoft.com/office/excel/2006/main">
          <x14:cfRule type="containsText" priority="46" operator="containsText" id="{EB27CB3C-9456-4642-A848-977F16BCFAC3}">
            <xm:f>NOT(ISERROR(SEARCH(#REF!,G56)))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45" operator="containsText" id="{486A1FC8-2FA4-4F39-BAEE-CF38CF5926EC}">
            <xm:f>NOT(ISERROR(SEARCH(#REF!,G56)))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44" operator="containsText" id="{E0B80B67-8BE3-4182-833F-898CA64CD3BB}">
            <xm:f>NOT(ISERROR(SEARCH(#REF!,G56)))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47" operator="containsText" id="{F89877C6-C3A2-459D-8E7F-003EE5797829}">
            <xm:f>NOT(ISERROR(SEARCH(#REF!,G56)))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G56:H56</xm:sqref>
        </x14:conditionalFormatting>
        <x14:conditionalFormatting xmlns:xm="http://schemas.microsoft.com/office/excel/2006/main">
          <x14:cfRule type="containsText" priority="2" operator="containsText" id="{0197B9D2-1145-4C83-A9C7-59D7322A0B67}">
            <xm:f>NOT(ISERROR(SEARCH(#REF!,H50)))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3" operator="containsText" id="{7285B5F3-619C-4C0D-A30E-7BBAF350A34D}">
            <xm:f>NOT(ISERROR(SEARCH(#REF!,H50)))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4" operator="containsText" id="{5D83680B-6F46-437F-A112-D50C0F5F2F82}">
            <xm:f>NOT(ISERROR(SEARCH(#REF!,H50)))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5" operator="containsText" id="{9199879C-74BE-4493-95E9-42A891219299}">
            <xm:f>NOT(ISERROR(SEARCH(#REF!,H50)))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H50:H55 H57:H124</xm:sqref>
        </x14:conditionalFormatting>
        <x14:conditionalFormatting xmlns:xm="http://schemas.microsoft.com/office/excel/2006/main">
          <x14:cfRule type="containsText" priority="1" operator="containsText" id="{5DC8AD55-1BFE-4C0E-BEAB-66E82AEAA308}">
            <xm:f>NOT(ISERROR(SEARCH(#REF!,H50)))</xm:f>
            <xm:f>#REF!</xm:f>
            <x14:dxf>
              <font>
                <b/>
                <i val="0"/>
                <color rgb="FFFFC000"/>
              </font>
              <fill>
                <patternFill>
                  <bgColor theme="9" tint="0.59996337778862885"/>
                </patternFill>
              </fill>
            </x14:dxf>
          </x14:cfRule>
          <xm:sqref>H50:H124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034C329-1613-4C1A-B76A-BFD0AD10B5C0}">
          <x14:formula1>
            <xm:f>Auxiliar_GD!$B$20:$B$25</xm:f>
          </x14:formula1>
          <xm:sqref>G10:I47</xm:sqref>
        </x14:dataValidation>
        <x14:dataValidation type="list" allowBlank="1" showInputMessage="1" showErrorMessage="1" xr:uid="{2BA2806D-38A1-41AD-AE0E-DE7BC67B9838}">
          <x14:formula1>
            <xm:f>Auxiliar_GD!$B$30:$B$35</xm:f>
          </x14:formula1>
          <xm:sqref>G50:H124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053CF-65FD-4A1A-ABCC-1E7E9A12BC6D}">
  <sheetPr>
    <tabColor rgb="FFFF0000"/>
  </sheetPr>
  <dimension ref="A1:BO188"/>
  <sheetViews>
    <sheetView showGridLines="0" tabSelected="1" zoomScale="70" zoomScaleNormal="70" workbookViewId="0">
      <pane xSplit="10" ySplit="9" topLeftCell="K144" activePane="bottomRight" state="frozen"/>
      <selection activeCell="C2" sqref="C2"/>
      <selection pane="topRight" activeCell="C2" sqref="C2"/>
      <selection pane="bottomLeft" activeCell="C2" sqref="C2"/>
      <selection pane="bottomRight" activeCell="H162" sqref="H162"/>
    </sheetView>
  </sheetViews>
  <sheetFormatPr defaultColWidth="8" defaultRowHeight="18" outlineLevelRow="1" outlineLevelCol="1"/>
  <cols>
    <col min="1" max="1" width="4.08203125" style="241" customWidth="1"/>
    <col min="2" max="2" width="5.58203125" style="38" customWidth="1"/>
    <col min="3" max="3" width="49.1640625" style="38" bestFit="1" customWidth="1"/>
    <col min="4" max="4" width="13" style="38" bestFit="1" customWidth="1"/>
    <col min="5" max="5" width="9" style="38" bestFit="1" customWidth="1"/>
    <col min="6" max="7" width="9.58203125" style="38" customWidth="1"/>
    <col min="8" max="9" width="9.58203125" style="38" customWidth="1" outlineLevel="1"/>
    <col min="10" max="10" width="1" style="38" customWidth="1"/>
    <col min="11" max="12" width="5.6640625" style="38" customWidth="1"/>
    <col min="13" max="67" width="2.6640625" style="38" customWidth="1"/>
    <col min="68" max="16384" width="8" style="38"/>
  </cols>
  <sheetData>
    <row r="1" spans="1:67">
      <c r="A1" s="38"/>
    </row>
    <row r="2" spans="1:67">
      <c r="A2" s="38"/>
    </row>
    <row r="3" spans="1:67">
      <c r="A3" s="38"/>
    </row>
    <row r="4" spans="1:67" ht="2.25" customHeight="1">
      <c r="A4" s="263"/>
      <c r="B4" s="263"/>
      <c r="C4" s="263"/>
      <c r="D4" s="263"/>
      <c r="E4" s="263"/>
      <c r="F4" s="263"/>
      <c r="G4" s="263"/>
      <c r="H4" s="263"/>
      <c r="I4" s="263"/>
      <c r="J4" s="263"/>
      <c r="K4" s="263"/>
      <c r="L4" s="263"/>
      <c r="M4" s="263"/>
      <c r="N4" s="263"/>
      <c r="O4" s="263"/>
      <c r="P4" s="263"/>
      <c r="Q4" s="263"/>
      <c r="R4" s="263"/>
      <c r="S4" s="263"/>
      <c r="T4" s="263"/>
      <c r="U4" s="263"/>
      <c r="V4" s="263"/>
      <c r="W4" s="263"/>
      <c r="X4" s="263"/>
      <c r="Y4" s="263"/>
      <c r="Z4" s="263"/>
      <c r="AA4" s="263"/>
      <c r="AB4" s="263"/>
      <c r="AC4" s="263"/>
      <c r="AD4" s="263"/>
      <c r="AE4" s="263"/>
      <c r="AF4" s="263"/>
      <c r="AG4" s="263"/>
      <c r="AH4" s="263"/>
      <c r="AI4" s="263"/>
      <c r="AJ4" s="263"/>
      <c r="AK4" s="263"/>
      <c r="AL4" s="263"/>
      <c r="AM4" s="263"/>
      <c r="AN4" s="263"/>
      <c r="AO4" s="263"/>
      <c r="AP4" s="263"/>
      <c r="AQ4" s="263"/>
      <c r="AR4" s="263"/>
      <c r="AS4" s="263"/>
      <c r="AT4" s="263"/>
      <c r="AU4" s="263"/>
      <c r="AV4" s="263"/>
      <c r="AW4" s="263"/>
      <c r="AX4" s="263"/>
      <c r="AY4" s="263"/>
      <c r="AZ4" s="263"/>
      <c r="BA4" s="263"/>
      <c r="BB4" s="263"/>
      <c r="BC4" s="263"/>
      <c r="BD4" s="263"/>
      <c r="BE4" s="263"/>
      <c r="BF4" s="263"/>
      <c r="BG4" s="263"/>
      <c r="BH4" s="263"/>
      <c r="BI4" s="263"/>
      <c r="BJ4" s="263"/>
      <c r="BK4" s="263"/>
      <c r="BL4" s="263"/>
      <c r="BM4" s="263"/>
      <c r="BN4" s="263"/>
      <c r="BO4" s="263"/>
    </row>
    <row r="6" spans="1:67">
      <c r="B6" s="242" t="s">
        <v>322</v>
      </c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  <c r="V6" s="243"/>
      <c r="W6" s="243"/>
      <c r="X6" s="243"/>
      <c r="Y6" s="243"/>
      <c r="Z6" s="243"/>
      <c r="AA6" s="243"/>
      <c r="AB6" s="243"/>
      <c r="AC6" s="243"/>
      <c r="AD6" s="243"/>
      <c r="AE6" s="243"/>
      <c r="AF6" s="243"/>
      <c r="AG6" s="243"/>
      <c r="AH6" s="243"/>
      <c r="AI6" s="243"/>
      <c r="AJ6" s="243"/>
      <c r="AK6" s="243"/>
      <c r="AL6" s="243"/>
      <c r="AM6" s="243"/>
      <c r="AN6" s="243"/>
      <c r="AO6" s="243"/>
      <c r="AP6" s="243"/>
      <c r="AQ6" s="243"/>
      <c r="AR6" s="243"/>
      <c r="AS6" s="243"/>
      <c r="AT6" s="243"/>
      <c r="AU6" s="243"/>
      <c r="AV6" s="243"/>
      <c r="AW6" s="243"/>
      <c r="AX6" s="243"/>
      <c r="AY6" s="243"/>
      <c r="AZ6" s="243"/>
      <c r="BA6" s="243"/>
      <c r="BB6" s="243"/>
      <c r="BC6" s="243"/>
      <c r="BD6" s="243"/>
      <c r="BE6" s="243"/>
      <c r="BF6" s="243"/>
      <c r="BG6" s="243"/>
      <c r="BH6" s="243"/>
      <c r="BI6" s="243"/>
      <c r="BJ6" s="243"/>
      <c r="BK6" s="243"/>
      <c r="BL6" s="243"/>
      <c r="BM6" s="243"/>
      <c r="BN6" s="243"/>
      <c r="BO6" s="243"/>
    </row>
    <row r="7" spans="1:67" ht="18.5" thickBot="1"/>
    <row r="8" spans="1:67" ht="18.5" thickBot="1">
      <c r="F8" s="386" t="s">
        <v>292</v>
      </c>
      <c r="G8" s="387"/>
      <c r="H8" s="386" t="s">
        <v>550</v>
      </c>
      <c r="I8" s="387"/>
      <c r="K8" s="386" t="s">
        <v>293</v>
      </c>
      <c r="L8" s="387"/>
      <c r="M8" s="385" t="s">
        <v>294</v>
      </c>
      <c r="N8" s="385"/>
      <c r="O8" s="385"/>
      <c r="P8" s="385"/>
      <c r="Q8" s="385"/>
      <c r="R8" s="385" t="s">
        <v>295</v>
      </c>
      <c r="S8" s="385"/>
      <c r="T8" s="385"/>
      <c r="U8" s="385"/>
      <c r="V8" s="385"/>
      <c r="W8" s="385" t="s">
        <v>296</v>
      </c>
      <c r="X8" s="385"/>
      <c r="Y8" s="385"/>
      <c r="Z8" s="385"/>
      <c r="AA8" s="385"/>
      <c r="AB8" s="385" t="s">
        <v>297</v>
      </c>
      <c r="AC8" s="385"/>
      <c r="AD8" s="385"/>
      <c r="AE8" s="385"/>
      <c r="AF8" s="385"/>
      <c r="AG8" s="385" t="s">
        <v>298</v>
      </c>
      <c r="AH8" s="385"/>
      <c r="AI8" s="385"/>
      <c r="AJ8" s="385"/>
      <c r="AK8" s="385"/>
      <c r="AL8" s="385" t="s">
        <v>299</v>
      </c>
      <c r="AM8" s="385"/>
      <c r="AN8" s="385"/>
      <c r="AO8" s="385"/>
      <c r="AP8" s="385"/>
      <c r="AQ8" s="385" t="s">
        <v>300</v>
      </c>
      <c r="AR8" s="385"/>
      <c r="AS8" s="385"/>
      <c r="AT8" s="385"/>
      <c r="AU8" s="385"/>
      <c r="AV8" s="385" t="s">
        <v>301</v>
      </c>
      <c r="AW8" s="385"/>
      <c r="AX8" s="385"/>
      <c r="AY8" s="385"/>
      <c r="AZ8" s="385"/>
      <c r="BA8" s="385" t="s">
        <v>302</v>
      </c>
      <c r="BB8" s="385"/>
      <c r="BC8" s="385"/>
      <c r="BD8" s="385"/>
      <c r="BE8" s="385"/>
      <c r="BF8" s="385" t="s">
        <v>303</v>
      </c>
      <c r="BG8" s="385"/>
      <c r="BH8" s="385"/>
      <c r="BI8" s="385"/>
      <c r="BJ8" s="385"/>
      <c r="BK8" s="385" t="s">
        <v>304</v>
      </c>
      <c r="BL8" s="385"/>
      <c r="BM8" s="385"/>
      <c r="BN8" s="385"/>
      <c r="BO8" s="386"/>
    </row>
    <row r="9" spans="1:67" ht="18.5" thickBot="1">
      <c r="B9" s="244" t="s">
        <v>136</v>
      </c>
      <c r="C9" s="303" t="s">
        <v>305</v>
      </c>
      <c r="D9" s="303" t="s">
        <v>50</v>
      </c>
      <c r="E9" s="245" t="s">
        <v>5</v>
      </c>
      <c r="F9" s="246" t="s">
        <v>306</v>
      </c>
      <c r="G9" s="246" t="s">
        <v>307</v>
      </c>
      <c r="H9" s="246" t="s">
        <v>306</v>
      </c>
      <c r="I9" s="246" t="s">
        <v>307</v>
      </c>
      <c r="J9" s="247"/>
      <c r="K9" s="382" t="s">
        <v>334</v>
      </c>
      <c r="L9" s="384"/>
      <c r="M9" s="382" t="s">
        <v>335</v>
      </c>
      <c r="N9" s="383"/>
      <c r="O9" s="383"/>
      <c r="P9" s="383"/>
      <c r="Q9" s="384"/>
      <c r="R9" s="382" t="s">
        <v>324</v>
      </c>
      <c r="S9" s="383"/>
      <c r="T9" s="383"/>
      <c r="U9" s="383"/>
      <c r="V9" s="384"/>
      <c r="W9" s="382" t="s">
        <v>325</v>
      </c>
      <c r="X9" s="383"/>
      <c r="Y9" s="383"/>
      <c r="Z9" s="383"/>
      <c r="AA9" s="384"/>
      <c r="AB9" s="382" t="s">
        <v>326</v>
      </c>
      <c r="AC9" s="383"/>
      <c r="AD9" s="383"/>
      <c r="AE9" s="383"/>
      <c r="AF9" s="384"/>
      <c r="AG9" s="382" t="s">
        <v>332</v>
      </c>
      <c r="AH9" s="383"/>
      <c r="AI9" s="383"/>
      <c r="AJ9" s="383"/>
      <c r="AK9" s="384"/>
      <c r="AL9" s="382" t="s">
        <v>327</v>
      </c>
      <c r="AM9" s="383"/>
      <c r="AN9" s="383"/>
      <c r="AO9" s="383"/>
      <c r="AP9" s="384"/>
      <c r="AQ9" s="382" t="s">
        <v>328</v>
      </c>
      <c r="AR9" s="383"/>
      <c r="AS9" s="383"/>
      <c r="AT9" s="383"/>
      <c r="AU9" s="384"/>
      <c r="AV9" s="382" t="s">
        <v>329</v>
      </c>
      <c r="AW9" s="383"/>
      <c r="AX9" s="383"/>
      <c r="AY9" s="383"/>
      <c r="AZ9" s="384"/>
      <c r="BA9" s="382" t="s">
        <v>333</v>
      </c>
      <c r="BB9" s="383"/>
      <c r="BC9" s="383"/>
      <c r="BD9" s="383"/>
      <c r="BE9" s="384"/>
      <c r="BF9" s="382" t="s">
        <v>330</v>
      </c>
      <c r="BG9" s="383"/>
      <c r="BH9" s="383"/>
      <c r="BI9" s="383"/>
      <c r="BJ9" s="384"/>
      <c r="BK9" s="382" t="s">
        <v>331</v>
      </c>
      <c r="BL9" s="383"/>
      <c r="BM9" s="383"/>
      <c r="BN9" s="383"/>
      <c r="BO9" s="384"/>
    </row>
    <row r="10" spans="1:67">
      <c r="B10" s="320" t="s">
        <v>391</v>
      </c>
      <c r="C10" s="320" t="s">
        <v>392</v>
      </c>
      <c r="D10" s="320"/>
      <c r="E10" s="321"/>
      <c r="F10" s="322"/>
      <c r="G10" s="322"/>
      <c r="H10" s="322"/>
      <c r="I10" s="322"/>
      <c r="J10" s="251"/>
      <c r="K10" s="323"/>
      <c r="L10" s="324"/>
      <c r="M10" s="323"/>
      <c r="N10" s="325"/>
      <c r="O10" s="325"/>
      <c r="P10" s="325"/>
      <c r="Q10" s="326"/>
      <c r="R10" s="323"/>
      <c r="S10" s="325"/>
      <c r="T10" s="325"/>
      <c r="U10" s="325"/>
      <c r="V10" s="326"/>
      <c r="W10" s="323"/>
      <c r="X10" s="325"/>
      <c r="Y10" s="325"/>
      <c r="Z10" s="325"/>
      <c r="AA10" s="326"/>
      <c r="AB10" s="323"/>
      <c r="AC10" s="327"/>
      <c r="AD10" s="327"/>
      <c r="AE10" s="325"/>
      <c r="AF10" s="326"/>
      <c r="AG10" s="323"/>
      <c r="AH10" s="325"/>
      <c r="AI10" s="325"/>
      <c r="AJ10" s="325"/>
      <c r="AK10" s="326"/>
      <c r="AL10" s="323"/>
      <c r="AM10" s="325"/>
      <c r="AN10" s="325"/>
      <c r="AO10" s="325"/>
      <c r="AP10" s="326"/>
      <c r="AQ10" s="323"/>
      <c r="AR10" s="325"/>
      <c r="AS10" s="325"/>
      <c r="AT10" s="325"/>
      <c r="AU10" s="328"/>
      <c r="AV10" s="323"/>
      <c r="AW10" s="325"/>
      <c r="AX10" s="325"/>
      <c r="AY10" s="325"/>
      <c r="AZ10" s="328"/>
      <c r="BA10" s="323"/>
      <c r="BB10" s="265"/>
      <c r="BC10" s="325"/>
      <c r="BD10" s="325"/>
      <c r="BE10" s="328"/>
      <c r="BF10" s="323"/>
      <c r="BG10" s="325"/>
      <c r="BH10" s="325"/>
      <c r="BI10" s="325"/>
      <c r="BJ10" s="328"/>
      <c r="BK10" s="323"/>
      <c r="BL10" s="325"/>
      <c r="BM10" s="325"/>
      <c r="BN10" s="325"/>
      <c r="BO10" s="328"/>
    </row>
    <row r="11" spans="1:67" ht="18.5" thickBot="1">
      <c r="B11" s="255" t="s">
        <v>393</v>
      </c>
      <c r="C11" s="256" t="s">
        <v>394</v>
      </c>
      <c r="D11" s="306" t="s">
        <v>395</v>
      </c>
      <c r="E11" s="270" t="s">
        <v>309</v>
      </c>
      <c r="F11" s="330">
        <v>45659</v>
      </c>
      <c r="G11" s="330">
        <v>45736</v>
      </c>
      <c r="H11" s="330"/>
      <c r="I11" s="330"/>
      <c r="J11" s="251"/>
      <c r="K11" s="316" t="s">
        <v>314</v>
      </c>
      <c r="L11" s="315"/>
      <c r="M11" s="258"/>
      <c r="N11" s="216"/>
      <c r="O11" s="216"/>
      <c r="P11" s="269" t="s">
        <v>314</v>
      </c>
      <c r="Q11" s="252"/>
      <c r="R11" s="258"/>
      <c r="S11" s="216"/>
      <c r="T11" s="216"/>
      <c r="U11" s="269" t="s">
        <v>314</v>
      </c>
      <c r="V11" s="252"/>
      <c r="W11" s="258"/>
      <c r="X11" s="216"/>
      <c r="Y11" s="216"/>
      <c r="Z11" s="269" t="s">
        <v>314</v>
      </c>
      <c r="AA11" s="252"/>
      <c r="AB11" s="258"/>
      <c r="AC11" s="253"/>
      <c r="AD11" s="253"/>
      <c r="AE11" s="269" t="s">
        <v>314</v>
      </c>
      <c r="AF11" s="252"/>
      <c r="AG11" s="258"/>
      <c r="AH11" s="216"/>
      <c r="AI11" s="216"/>
      <c r="AJ11" s="269" t="s">
        <v>314</v>
      </c>
      <c r="AK11" s="252"/>
      <c r="AL11" s="258"/>
      <c r="AM11" s="216"/>
      <c r="AN11" s="216"/>
      <c r="AO11" s="269" t="s">
        <v>314</v>
      </c>
      <c r="AP11" s="252"/>
      <c r="AQ11" s="258"/>
      <c r="AR11" s="216"/>
      <c r="AS11" s="216"/>
      <c r="AT11" s="269" t="s">
        <v>314</v>
      </c>
      <c r="AU11" s="254"/>
      <c r="AV11" s="258"/>
      <c r="AW11" s="216"/>
      <c r="AX11" s="216"/>
      <c r="AY11" s="269" t="s">
        <v>314</v>
      </c>
      <c r="AZ11" s="254"/>
      <c r="BA11" s="258"/>
      <c r="BB11" s="265"/>
      <c r="BC11" s="216"/>
      <c r="BD11" s="269" t="s">
        <v>314</v>
      </c>
      <c r="BE11" s="254"/>
      <c r="BF11" s="258"/>
      <c r="BG11" s="216"/>
      <c r="BH11" s="216"/>
      <c r="BI11" s="269" t="s">
        <v>314</v>
      </c>
      <c r="BJ11" s="254"/>
      <c r="BK11" s="258"/>
      <c r="BL11" s="216"/>
      <c r="BM11" s="216"/>
      <c r="BN11" s="269" t="s">
        <v>314</v>
      </c>
      <c r="BO11" s="254"/>
    </row>
    <row r="12" spans="1:67" ht="3.75" customHeight="1" thickBot="1">
      <c r="B12" s="248"/>
      <c r="C12" s="249"/>
      <c r="D12" s="260"/>
      <c r="E12" s="249"/>
      <c r="F12" s="331"/>
      <c r="G12" s="331"/>
      <c r="H12" s="331"/>
      <c r="I12" s="331"/>
      <c r="J12" s="249"/>
      <c r="K12" s="250"/>
      <c r="L12" s="250"/>
      <c r="M12" s="250"/>
      <c r="N12" s="250"/>
      <c r="O12" s="250"/>
      <c r="P12" s="250"/>
      <c r="Q12" s="250"/>
      <c r="R12" s="250"/>
      <c r="S12" s="250"/>
      <c r="T12" s="250"/>
      <c r="U12" s="250"/>
      <c r="V12" s="250"/>
      <c r="W12" s="250"/>
      <c r="X12" s="250"/>
      <c r="Y12" s="250"/>
      <c r="Z12" s="250"/>
      <c r="AA12" s="250"/>
      <c r="AB12" s="250"/>
      <c r="AC12" s="250"/>
      <c r="AD12" s="250"/>
      <c r="AE12" s="250"/>
      <c r="AF12" s="250"/>
      <c r="AG12" s="250"/>
      <c r="AH12" s="250"/>
      <c r="AI12" s="250"/>
      <c r="AJ12" s="250"/>
      <c r="AK12" s="250"/>
      <c r="AL12" s="250"/>
      <c r="AM12" s="250"/>
      <c r="AN12" s="250"/>
      <c r="AO12" s="250"/>
      <c r="AP12" s="250"/>
      <c r="AQ12" s="250"/>
      <c r="AR12" s="250"/>
      <c r="AS12" s="250"/>
      <c r="AT12" s="250"/>
      <c r="AU12" s="250"/>
      <c r="AV12" s="250"/>
      <c r="AW12" s="250"/>
      <c r="AX12" s="250"/>
      <c r="AY12" s="250"/>
      <c r="AZ12" s="250"/>
      <c r="BA12" s="250"/>
      <c r="BB12" s="250"/>
      <c r="BC12" s="250"/>
      <c r="BD12" s="250"/>
      <c r="BE12" s="250"/>
      <c r="BF12" s="250"/>
      <c r="BG12" s="250"/>
      <c r="BH12" s="250"/>
      <c r="BI12" s="250"/>
      <c r="BJ12" s="250"/>
      <c r="BK12" s="250"/>
      <c r="BL12" s="250"/>
      <c r="BM12" s="250"/>
      <c r="BN12" s="250"/>
      <c r="BO12" s="250"/>
    </row>
    <row r="13" spans="1:67">
      <c r="B13" s="320" t="s">
        <v>143</v>
      </c>
      <c r="C13" s="320" t="s">
        <v>551</v>
      </c>
      <c r="D13" s="353"/>
      <c r="E13" s="321"/>
      <c r="F13" s="332"/>
      <c r="G13" s="332"/>
      <c r="H13" s="332"/>
      <c r="I13" s="332"/>
      <c r="J13" s="251"/>
      <c r="K13" s="323"/>
      <c r="L13" s="324"/>
      <c r="M13" s="323"/>
      <c r="N13" s="325"/>
      <c r="O13" s="325"/>
      <c r="P13" s="325"/>
      <c r="Q13" s="326"/>
      <c r="R13" s="323"/>
      <c r="S13" s="325"/>
      <c r="T13" s="325"/>
      <c r="U13" s="325"/>
      <c r="V13" s="326"/>
      <c r="W13" s="323"/>
      <c r="X13" s="325"/>
      <c r="Y13" s="325"/>
      <c r="Z13" s="325"/>
      <c r="AA13" s="326"/>
      <c r="AB13" s="323"/>
      <c r="AC13" s="327"/>
      <c r="AD13" s="327"/>
      <c r="AE13" s="325"/>
      <c r="AF13" s="326"/>
      <c r="AG13" s="323"/>
      <c r="AH13" s="325"/>
      <c r="AI13" s="325"/>
      <c r="AJ13" s="325"/>
      <c r="AK13" s="326"/>
      <c r="AL13" s="323"/>
      <c r="AM13" s="325"/>
      <c r="AN13" s="325"/>
      <c r="AO13" s="325"/>
      <c r="AP13" s="326"/>
      <c r="AQ13" s="323"/>
      <c r="AR13" s="325"/>
      <c r="AS13" s="325"/>
      <c r="AT13" s="325"/>
      <c r="AU13" s="328"/>
      <c r="AV13" s="323"/>
      <c r="AW13" s="325"/>
      <c r="AX13" s="325"/>
      <c r="AY13" s="325"/>
      <c r="AZ13" s="328"/>
      <c r="BA13" s="323"/>
      <c r="BB13" s="265"/>
      <c r="BC13" s="325"/>
      <c r="BD13" s="325"/>
      <c r="BE13" s="328"/>
      <c r="BF13" s="323"/>
      <c r="BG13" s="325"/>
      <c r="BH13" s="325"/>
      <c r="BI13" s="325"/>
      <c r="BJ13" s="328"/>
      <c r="BK13" s="323"/>
      <c r="BL13" s="325"/>
      <c r="BM13" s="325"/>
      <c r="BN13" s="325"/>
      <c r="BO13" s="328"/>
    </row>
    <row r="14" spans="1:67">
      <c r="B14" s="261" t="s">
        <v>308</v>
      </c>
      <c r="C14" s="261" t="s">
        <v>485</v>
      </c>
      <c r="D14" s="308" t="s">
        <v>121</v>
      </c>
      <c r="E14" s="309" t="s">
        <v>309</v>
      </c>
      <c r="F14" s="333">
        <v>45663</v>
      </c>
      <c r="G14" s="333">
        <v>45678</v>
      </c>
      <c r="H14" s="333"/>
      <c r="I14" s="333">
        <v>45678</v>
      </c>
      <c r="J14" s="251"/>
      <c r="K14" s="258"/>
      <c r="L14" s="254"/>
      <c r="M14" s="253"/>
      <c r="N14" s="310"/>
      <c r="O14" s="310"/>
      <c r="P14" s="310"/>
      <c r="Q14" s="311"/>
      <c r="R14" s="268"/>
      <c r="S14" s="216"/>
      <c r="T14" s="216"/>
      <c r="U14" s="216"/>
      <c r="V14" s="252"/>
      <c r="W14" s="268"/>
      <c r="X14" s="336" t="s">
        <v>314</v>
      </c>
      <c r="Y14" s="216"/>
      <c r="Z14" s="216"/>
      <c r="AA14" s="252"/>
      <c r="AB14" s="268"/>
      <c r="AC14" s="253"/>
      <c r="AD14" s="253"/>
      <c r="AE14" s="216"/>
      <c r="AF14" s="252"/>
      <c r="AG14" s="268"/>
      <c r="AH14" s="216"/>
      <c r="AI14" s="216"/>
      <c r="AJ14" s="216"/>
      <c r="AK14" s="252"/>
      <c r="AL14" s="268"/>
      <c r="AM14" s="216"/>
      <c r="AN14" s="216"/>
      <c r="AO14" s="216"/>
      <c r="AP14" s="252"/>
      <c r="AQ14" s="268"/>
      <c r="AR14" s="216"/>
      <c r="AS14" s="216"/>
      <c r="AT14" s="216"/>
      <c r="AU14" s="254"/>
      <c r="AV14" s="268"/>
      <c r="AW14" s="216"/>
      <c r="AX14" s="216"/>
      <c r="AY14" s="216"/>
      <c r="AZ14" s="254"/>
      <c r="BA14" s="268"/>
      <c r="BB14" s="265"/>
      <c r="BC14" s="216"/>
      <c r="BD14" s="216"/>
      <c r="BE14" s="254"/>
      <c r="BF14" s="268"/>
      <c r="BG14" s="216"/>
      <c r="BH14" s="216"/>
      <c r="BI14" s="216"/>
      <c r="BJ14" s="254"/>
      <c r="BK14" s="268"/>
      <c r="BL14" s="216"/>
      <c r="BM14" s="216"/>
      <c r="BN14" s="216"/>
      <c r="BO14" s="254"/>
    </row>
    <row r="15" spans="1:67" hidden="1" outlineLevel="1">
      <c r="B15" s="90" t="s">
        <v>486</v>
      </c>
      <c r="C15" s="314" t="s">
        <v>82</v>
      </c>
      <c r="D15" s="257"/>
      <c r="E15" s="309" t="s">
        <v>309</v>
      </c>
      <c r="F15" s="344"/>
      <c r="G15" s="344"/>
      <c r="H15" s="334"/>
      <c r="I15" s="334"/>
      <c r="J15" s="251"/>
      <c r="K15" s="258"/>
      <c r="L15" s="254"/>
      <c r="M15" s="253"/>
      <c r="N15" s="310"/>
      <c r="O15" s="310"/>
      <c r="P15" s="310"/>
      <c r="Q15" s="311"/>
      <c r="R15" s="268"/>
      <c r="S15" s="216"/>
      <c r="T15" s="216"/>
      <c r="U15" s="216"/>
      <c r="V15" s="252"/>
      <c r="W15" s="268"/>
      <c r="X15" s="216"/>
      <c r="Y15" s="216"/>
      <c r="Z15" s="216"/>
      <c r="AA15" s="252"/>
      <c r="AB15" s="268"/>
      <c r="AC15" s="253"/>
      <c r="AD15" s="253"/>
      <c r="AE15" s="216"/>
      <c r="AF15" s="252"/>
      <c r="AG15" s="268"/>
      <c r="AH15" s="216"/>
      <c r="AI15" s="216"/>
      <c r="AJ15" s="216"/>
      <c r="AK15" s="252"/>
      <c r="AL15" s="268"/>
      <c r="AM15" s="216"/>
      <c r="AN15" s="216"/>
      <c r="AO15" s="216"/>
      <c r="AP15" s="252"/>
      <c r="AQ15" s="268"/>
      <c r="AR15" s="216"/>
      <c r="AS15" s="216"/>
      <c r="AT15" s="216"/>
      <c r="AU15" s="254"/>
      <c r="AV15" s="268"/>
      <c r="AW15" s="216"/>
      <c r="AX15" s="216"/>
      <c r="AY15" s="216"/>
      <c r="AZ15" s="254"/>
      <c r="BA15" s="268"/>
      <c r="BB15" s="265"/>
      <c r="BC15" s="216"/>
      <c r="BD15" s="216"/>
      <c r="BE15" s="254"/>
      <c r="BF15" s="268"/>
      <c r="BG15" s="216"/>
      <c r="BH15" s="216"/>
      <c r="BI15" s="216"/>
      <c r="BJ15" s="254"/>
      <c r="BK15" s="268"/>
      <c r="BL15" s="216"/>
      <c r="BM15" s="216"/>
      <c r="BN15" s="216"/>
      <c r="BO15" s="254"/>
    </row>
    <row r="16" spans="1:67" hidden="1" outlineLevel="1">
      <c r="B16" s="90" t="s">
        <v>487</v>
      </c>
      <c r="C16" s="314" t="s">
        <v>84</v>
      </c>
      <c r="D16" s="257"/>
      <c r="E16" s="309" t="s">
        <v>309</v>
      </c>
      <c r="F16" s="344"/>
      <c r="G16" s="344"/>
      <c r="H16" s="334"/>
      <c r="I16" s="334"/>
      <c r="J16" s="251"/>
      <c r="K16" s="258"/>
      <c r="L16" s="254"/>
      <c r="M16" s="253"/>
      <c r="N16" s="310"/>
      <c r="O16" s="310"/>
      <c r="P16" s="310"/>
      <c r="Q16" s="311"/>
      <c r="R16" s="268"/>
      <c r="S16" s="216"/>
      <c r="T16" s="216"/>
      <c r="U16" s="216"/>
      <c r="V16" s="252"/>
      <c r="W16" s="268"/>
      <c r="X16" s="216"/>
      <c r="Y16" s="216"/>
      <c r="Z16" s="216"/>
      <c r="AA16" s="252"/>
      <c r="AB16" s="268"/>
      <c r="AC16" s="253"/>
      <c r="AD16" s="253"/>
      <c r="AE16" s="216"/>
      <c r="AF16" s="252"/>
      <c r="AG16" s="268"/>
      <c r="AH16" s="216"/>
      <c r="AI16" s="216"/>
      <c r="AJ16" s="216"/>
      <c r="AK16" s="252"/>
      <c r="AL16" s="268"/>
      <c r="AM16" s="216"/>
      <c r="AN16" s="216"/>
      <c r="AO16" s="216"/>
      <c r="AP16" s="252"/>
      <c r="AQ16" s="268"/>
      <c r="AR16" s="216"/>
      <c r="AS16" s="216"/>
      <c r="AT16" s="216"/>
      <c r="AU16" s="254"/>
      <c r="AV16" s="268"/>
      <c r="AW16" s="216"/>
      <c r="AX16" s="216"/>
      <c r="AY16" s="216"/>
      <c r="AZ16" s="254"/>
      <c r="BA16" s="268"/>
      <c r="BB16" s="265"/>
      <c r="BC16" s="216"/>
      <c r="BD16" s="216"/>
      <c r="BE16" s="254"/>
      <c r="BF16" s="268"/>
      <c r="BG16" s="216"/>
      <c r="BH16" s="216"/>
      <c r="BI16" s="216"/>
      <c r="BJ16" s="254"/>
      <c r="BK16" s="268"/>
      <c r="BL16" s="216"/>
      <c r="BM16" s="216"/>
      <c r="BN16" s="216"/>
      <c r="BO16" s="254"/>
    </row>
    <row r="17" spans="2:67" hidden="1" outlineLevel="1">
      <c r="B17" s="90" t="s">
        <v>488</v>
      </c>
      <c r="C17" s="314" t="s">
        <v>62</v>
      </c>
      <c r="D17" s="257"/>
      <c r="E17" s="309" t="s">
        <v>309</v>
      </c>
      <c r="F17" s="344"/>
      <c r="G17" s="344"/>
      <c r="H17" s="334"/>
      <c r="I17" s="334"/>
      <c r="J17" s="251"/>
      <c r="K17" s="258"/>
      <c r="L17" s="254"/>
      <c r="M17" s="253"/>
      <c r="N17" s="310"/>
      <c r="O17" s="310"/>
      <c r="P17" s="310"/>
      <c r="Q17" s="311"/>
      <c r="R17" s="268"/>
      <c r="S17" s="216"/>
      <c r="T17" s="216"/>
      <c r="U17" s="216"/>
      <c r="V17" s="252"/>
      <c r="W17" s="268"/>
      <c r="X17" s="216"/>
      <c r="Y17" s="216"/>
      <c r="Z17" s="216"/>
      <c r="AA17" s="252"/>
      <c r="AB17" s="268"/>
      <c r="AC17" s="253"/>
      <c r="AD17" s="253"/>
      <c r="AE17" s="216"/>
      <c r="AF17" s="252"/>
      <c r="AG17" s="268"/>
      <c r="AH17" s="216"/>
      <c r="AI17" s="216"/>
      <c r="AJ17" s="216"/>
      <c r="AK17" s="252"/>
      <c r="AL17" s="268"/>
      <c r="AM17" s="216"/>
      <c r="AN17" s="216"/>
      <c r="AO17" s="216"/>
      <c r="AP17" s="252"/>
      <c r="AQ17" s="268"/>
      <c r="AR17" s="216"/>
      <c r="AS17" s="216"/>
      <c r="AT17" s="216"/>
      <c r="AU17" s="254"/>
      <c r="AV17" s="268"/>
      <c r="AW17" s="216"/>
      <c r="AX17" s="216"/>
      <c r="AY17" s="216"/>
      <c r="AZ17" s="254"/>
      <c r="BA17" s="268"/>
      <c r="BB17" s="265"/>
      <c r="BC17" s="216"/>
      <c r="BD17" s="216"/>
      <c r="BE17" s="254"/>
      <c r="BF17" s="268"/>
      <c r="BG17" s="216"/>
      <c r="BH17" s="216"/>
      <c r="BI17" s="216"/>
      <c r="BJ17" s="254"/>
      <c r="BK17" s="268"/>
      <c r="BL17" s="216"/>
      <c r="BM17" s="216"/>
      <c r="BN17" s="216"/>
      <c r="BO17" s="254"/>
    </row>
    <row r="18" spans="2:67" hidden="1" outlineLevel="1">
      <c r="B18" s="90" t="s">
        <v>489</v>
      </c>
      <c r="C18" s="314" t="s">
        <v>87</v>
      </c>
      <c r="D18" s="257"/>
      <c r="E18" s="309" t="s">
        <v>309</v>
      </c>
      <c r="F18" s="344"/>
      <c r="G18" s="344"/>
      <c r="H18" s="334"/>
      <c r="I18" s="334"/>
      <c r="J18" s="251"/>
      <c r="K18" s="258"/>
      <c r="L18" s="254"/>
      <c r="M18" s="253"/>
      <c r="N18" s="310"/>
      <c r="O18" s="310"/>
      <c r="P18" s="310"/>
      <c r="Q18" s="311"/>
      <c r="R18" s="268"/>
      <c r="S18" s="216"/>
      <c r="T18" s="216"/>
      <c r="U18" s="216"/>
      <c r="V18" s="252"/>
      <c r="W18" s="268"/>
      <c r="X18" s="216"/>
      <c r="Y18" s="216"/>
      <c r="Z18" s="216"/>
      <c r="AA18" s="252"/>
      <c r="AB18" s="268"/>
      <c r="AC18" s="253"/>
      <c r="AD18" s="253"/>
      <c r="AE18" s="216"/>
      <c r="AF18" s="252"/>
      <c r="AG18" s="268"/>
      <c r="AH18" s="216"/>
      <c r="AI18" s="216"/>
      <c r="AJ18" s="216"/>
      <c r="AK18" s="252"/>
      <c r="AL18" s="268"/>
      <c r="AM18" s="216"/>
      <c r="AN18" s="216"/>
      <c r="AO18" s="216"/>
      <c r="AP18" s="252"/>
      <c r="AQ18" s="268"/>
      <c r="AR18" s="216"/>
      <c r="AS18" s="216"/>
      <c r="AT18" s="216"/>
      <c r="AU18" s="254"/>
      <c r="AV18" s="268"/>
      <c r="AW18" s="216"/>
      <c r="AX18" s="216"/>
      <c r="AY18" s="216"/>
      <c r="AZ18" s="254"/>
      <c r="BA18" s="268"/>
      <c r="BB18" s="265"/>
      <c r="BC18" s="216"/>
      <c r="BD18" s="216"/>
      <c r="BE18" s="254"/>
      <c r="BF18" s="268"/>
      <c r="BG18" s="216"/>
      <c r="BH18" s="216"/>
      <c r="BI18" s="216"/>
      <c r="BJ18" s="254"/>
      <c r="BK18" s="268"/>
      <c r="BL18" s="216"/>
      <c r="BM18" s="216"/>
      <c r="BN18" s="216"/>
      <c r="BO18" s="254"/>
    </row>
    <row r="19" spans="2:67" hidden="1" outlineLevel="1">
      <c r="B19" s="90" t="s">
        <v>490</v>
      </c>
      <c r="C19" s="314" t="s">
        <v>88</v>
      </c>
      <c r="D19" s="257"/>
      <c r="E19" s="309" t="s">
        <v>309</v>
      </c>
      <c r="F19" s="344"/>
      <c r="G19" s="344"/>
      <c r="H19" s="334"/>
      <c r="I19" s="334"/>
      <c r="J19" s="251"/>
      <c r="K19" s="258"/>
      <c r="L19" s="254"/>
      <c r="M19" s="253"/>
      <c r="N19" s="310"/>
      <c r="O19" s="310"/>
      <c r="P19" s="310"/>
      <c r="Q19" s="311"/>
      <c r="R19" s="268"/>
      <c r="S19" s="216"/>
      <c r="T19" s="216"/>
      <c r="U19" s="216"/>
      <c r="V19" s="252"/>
      <c r="W19" s="268"/>
      <c r="X19" s="216"/>
      <c r="Y19" s="216"/>
      <c r="Z19" s="216"/>
      <c r="AA19" s="252"/>
      <c r="AB19" s="268"/>
      <c r="AC19" s="253"/>
      <c r="AD19" s="253"/>
      <c r="AE19" s="216"/>
      <c r="AF19" s="252"/>
      <c r="AG19" s="268"/>
      <c r="AH19" s="216"/>
      <c r="AI19" s="216"/>
      <c r="AJ19" s="216"/>
      <c r="AK19" s="252"/>
      <c r="AL19" s="268"/>
      <c r="AM19" s="216"/>
      <c r="AN19" s="216"/>
      <c r="AO19" s="216"/>
      <c r="AP19" s="252"/>
      <c r="AQ19" s="268"/>
      <c r="AR19" s="216"/>
      <c r="AS19" s="216"/>
      <c r="AT19" s="216"/>
      <c r="AU19" s="254"/>
      <c r="AV19" s="268"/>
      <c r="AW19" s="216"/>
      <c r="AX19" s="216"/>
      <c r="AY19" s="216"/>
      <c r="AZ19" s="254"/>
      <c r="BA19" s="268"/>
      <c r="BB19" s="265"/>
      <c r="BC19" s="216"/>
      <c r="BD19" s="216"/>
      <c r="BE19" s="254"/>
      <c r="BF19" s="268"/>
      <c r="BG19" s="216"/>
      <c r="BH19" s="216"/>
      <c r="BI19" s="216"/>
      <c r="BJ19" s="254"/>
      <c r="BK19" s="268"/>
      <c r="BL19" s="216"/>
      <c r="BM19" s="216"/>
      <c r="BN19" s="216"/>
      <c r="BO19" s="254"/>
    </row>
    <row r="20" spans="2:67" hidden="1" outlineLevel="1">
      <c r="B20" s="90" t="s">
        <v>491</v>
      </c>
      <c r="C20" s="314" t="s">
        <v>89</v>
      </c>
      <c r="D20" s="257"/>
      <c r="E20" s="309" t="s">
        <v>309</v>
      </c>
      <c r="F20" s="344"/>
      <c r="G20" s="344"/>
      <c r="H20" s="334"/>
      <c r="I20" s="334"/>
      <c r="J20" s="251"/>
      <c r="K20" s="258"/>
      <c r="L20" s="254"/>
      <c r="M20" s="253"/>
      <c r="N20" s="310"/>
      <c r="O20" s="310"/>
      <c r="P20" s="310"/>
      <c r="Q20" s="311"/>
      <c r="R20" s="268"/>
      <c r="S20" s="216"/>
      <c r="T20" s="216"/>
      <c r="U20" s="216"/>
      <c r="V20" s="252"/>
      <c r="W20" s="268"/>
      <c r="X20" s="216"/>
      <c r="Y20" s="216"/>
      <c r="Z20" s="216"/>
      <c r="AA20" s="252"/>
      <c r="AB20" s="268"/>
      <c r="AC20" s="253"/>
      <c r="AD20" s="253"/>
      <c r="AE20" s="216"/>
      <c r="AF20" s="252"/>
      <c r="AG20" s="268"/>
      <c r="AH20" s="216"/>
      <c r="AI20" s="216"/>
      <c r="AJ20" s="216"/>
      <c r="AK20" s="252"/>
      <c r="AL20" s="268"/>
      <c r="AM20" s="216"/>
      <c r="AN20" s="216"/>
      <c r="AO20" s="216"/>
      <c r="AP20" s="252"/>
      <c r="AQ20" s="268"/>
      <c r="AR20" s="216"/>
      <c r="AS20" s="216"/>
      <c r="AT20" s="216"/>
      <c r="AU20" s="254"/>
      <c r="AV20" s="268"/>
      <c r="AW20" s="216"/>
      <c r="AX20" s="216"/>
      <c r="AY20" s="216"/>
      <c r="AZ20" s="254"/>
      <c r="BA20" s="268"/>
      <c r="BB20" s="265"/>
      <c r="BC20" s="216"/>
      <c r="BD20" s="216"/>
      <c r="BE20" s="254"/>
      <c r="BF20" s="268"/>
      <c r="BG20" s="216"/>
      <c r="BH20" s="216"/>
      <c r="BI20" s="216"/>
      <c r="BJ20" s="254"/>
      <c r="BK20" s="268"/>
      <c r="BL20" s="216"/>
      <c r="BM20" s="216"/>
      <c r="BN20" s="216"/>
      <c r="BO20" s="254"/>
    </row>
    <row r="21" spans="2:67" hidden="1" outlineLevel="1">
      <c r="B21" s="90" t="s">
        <v>492</v>
      </c>
      <c r="C21" s="314" t="s">
        <v>91</v>
      </c>
      <c r="D21" s="257"/>
      <c r="E21" s="309" t="s">
        <v>309</v>
      </c>
      <c r="F21" s="344"/>
      <c r="G21" s="344"/>
      <c r="H21" s="334"/>
      <c r="I21" s="334"/>
      <c r="J21" s="251"/>
      <c r="K21" s="258"/>
      <c r="L21" s="254"/>
      <c r="M21" s="253"/>
      <c r="N21" s="310"/>
      <c r="O21" s="310"/>
      <c r="P21" s="310"/>
      <c r="Q21" s="311"/>
      <c r="R21" s="268"/>
      <c r="S21" s="216"/>
      <c r="T21" s="216"/>
      <c r="U21" s="216"/>
      <c r="V21" s="252"/>
      <c r="W21" s="268"/>
      <c r="X21" s="216"/>
      <c r="Y21" s="216"/>
      <c r="Z21" s="216"/>
      <c r="AA21" s="252"/>
      <c r="AB21" s="268"/>
      <c r="AC21" s="253"/>
      <c r="AD21" s="253"/>
      <c r="AE21" s="216"/>
      <c r="AF21" s="252"/>
      <c r="AG21" s="268"/>
      <c r="AH21" s="216"/>
      <c r="AI21" s="216"/>
      <c r="AJ21" s="216"/>
      <c r="AK21" s="252"/>
      <c r="AL21" s="268"/>
      <c r="AM21" s="216"/>
      <c r="AN21" s="216"/>
      <c r="AO21" s="216"/>
      <c r="AP21" s="252"/>
      <c r="AQ21" s="268"/>
      <c r="AR21" s="216"/>
      <c r="AS21" s="216"/>
      <c r="AT21" s="216"/>
      <c r="AU21" s="254"/>
      <c r="AV21" s="268"/>
      <c r="AW21" s="216"/>
      <c r="AX21" s="216"/>
      <c r="AY21" s="216"/>
      <c r="AZ21" s="254"/>
      <c r="BA21" s="268"/>
      <c r="BB21" s="265"/>
      <c r="BC21" s="216"/>
      <c r="BD21" s="216"/>
      <c r="BE21" s="254"/>
      <c r="BF21" s="268"/>
      <c r="BG21" s="216"/>
      <c r="BH21" s="216"/>
      <c r="BI21" s="216"/>
      <c r="BJ21" s="254"/>
      <c r="BK21" s="268"/>
      <c r="BL21" s="216"/>
      <c r="BM21" s="216"/>
      <c r="BN21" s="216"/>
      <c r="BO21" s="254"/>
    </row>
    <row r="22" spans="2:67" hidden="1" outlineLevel="1">
      <c r="B22" s="90" t="s">
        <v>493</v>
      </c>
      <c r="C22" s="314" t="s">
        <v>94</v>
      </c>
      <c r="D22" s="257"/>
      <c r="E22" s="309" t="s">
        <v>309</v>
      </c>
      <c r="F22" s="344"/>
      <c r="G22" s="344"/>
      <c r="H22" s="334"/>
      <c r="I22" s="334"/>
      <c r="J22" s="251"/>
      <c r="K22" s="318"/>
      <c r="L22" s="317"/>
      <c r="M22" s="253"/>
      <c r="N22" s="310"/>
      <c r="O22" s="310"/>
      <c r="P22" s="310"/>
      <c r="Q22" s="311"/>
      <c r="R22" s="268"/>
      <c r="S22" s="216"/>
      <c r="T22" s="216"/>
      <c r="U22" s="216"/>
      <c r="V22" s="252"/>
      <c r="W22" s="268"/>
      <c r="X22" s="216"/>
      <c r="Y22" s="216"/>
      <c r="Z22" s="216"/>
      <c r="AA22" s="252"/>
      <c r="AB22" s="268"/>
      <c r="AC22" s="253"/>
      <c r="AD22" s="253"/>
      <c r="AE22" s="216"/>
      <c r="AF22" s="252"/>
      <c r="AG22" s="268"/>
      <c r="AH22" s="216"/>
      <c r="AI22" s="216"/>
      <c r="AJ22" s="216"/>
      <c r="AK22" s="252"/>
      <c r="AL22" s="268"/>
      <c r="AM22" s="216"/>
      <c r="AN22" s="216"/>
      <c r="AO22" s="216"/>
      <c r="AP22" s="252"/>
      <c r="AQ22" s="268"/>
      <c r="AR22" s="216"/>
      <c r="AS22" s="216"/>
      <c r="AT22" s="216"/>
      <c r="AU22" s="254"/>
      <c r="AV22" s="268"/>
      <c r="AW22" s="216"/>
      <c r="AX22" s="216"/>
      <c r="AY22" s="216"/>
      <c r="AZ22" s="254"/>
      <c r="BA22" s="268"/>
      <c r="BB22" s="265"/>
      <c r="BC22" s="216"/>
      <c r="BD22" s="216"/>
      <c r="BE22" s="254"/>
      <c r="BF22" s="268"/>
      <c r="BG22" s="216"/>
      <c r="BH22" s="216"/>
      <c r="BI22" s="216"/>
      <c r="BJ22" s="254"/>
      <c r="BK22" s="268"/>
      <c r="BL22" s="216"/>
      <c r="BM22" s="216"/>
      <c r="BN22" s="216"/>
      <c r="BO22" s="254"/>
    </row>
    <row r="23" spans="2:67" ht="18.5" collapsed="1" thickBot="1">
      <c r="B23" s="90" t="s">
        <v>484</v>
      </c>
      <c r="C23" s="261" t="s">
        <v>601</v>
      </c>
      <c r="D23" s="308" t="s">
        <v>121</v>
      </c>
      <c r="E23" s="309" t="s">
        <v>309</v>
      </c>
      <c r="F23" s="333">
        <v>45663</v>
      </c>
      <c r="G23" s="333">
        <v>45737</v>
      </c>
      <c r="H23" s="344"/>
      <c r="I23" s="344"/>
      <c r="J23" s="251"/>
      <c r="K23" s="318"/>
      <c r="L23" s="317"/>
      <c r="M23" s="253"/>
      <c r="N23" s="310"/>
      <c r="O23" s="310"/>
      <c r="P23" s="310"/>
      <c r="Q23" s="311"/>
      <c r="R23" s="268"/>
      <c r="S23" s="216"/>
      <c r="T23" s="216"/>
      <c r="U23" s="216"/>
      <c r="V23" s="252"/>
      <c r="W23" s="268"/>
      <c r="X23" s="216"/>
      <c r="Y23" s="216"/>
      <c r="Z23" s="216"/>
      <c r="AA23" s="252"/>
      <c r="AB23" s="268"/>
      <c r="AC23" s="253"/>
      <c r="AD23" s="253"/>
      <c r="AE23" s="216"/>
      <c r="AF23" s="252"/>
      <c r="AG23" s="268"/>
      <c r="AH23" s="216"/>
      <c r="AI23" s="216"/>
      <c r="AJ23" s="216"/>
      <c r="AK23" s="252"/>
      <c r="AL23" s="268"/>
      <c r="AM23" s="216"/>
      <c r="AN23" s="216"/>
      <c r="AO23" s="216"/>
      <c r="AP23" s="252"/>
      <c r="AQ23" s="268"/>
      <c r="AR23" s="216"/>
      <c r="AS23" s="216"/>
      <c r="AT23" s="216"/>
      <c r="AU23" s="254"/>
      <c r="AV23" s="268"/>
      <c r="AW23" s="216"/>
      <c r="AX23" s="216"/>
      <c r="AY23" s="216"/>
      <c r="AZ23" s="254"/>
      <c r="BA23" s="268"/>
      <c r="BB23" s="265"/>
      <c r="BC23" s="216"/>
      <c r="BD23" s="216"/>
      <c r="BE23" s="254"/>
      <c r="BF23" s="268"/>
      <c r="BG23" s="216"/>
      <c r="BH23" s="216"/>
      <c r="BI23" s="216"/>
      <c r="BJ23" s="254"/>
      <c r="BK23" s="268"/>
      <c r="BL23" s="216"/>
      <c r="BM23" s="216"/>
      <c r="BN23" s="216"/>
      <c r="BO23" s="254"/>
    </row>
    <row r="24" spans="2:67" hidden="1" outlineLevel="1">
      <c r="B24" s="90" t="s">
        <v>593</v>
      </c>
      <c r="C24" s="314" t="s">
        <v>82</v>
      </c>
      <c r="D24" s="257"/>
      <c r="E24" s="309" t="s">
        <v>309</v>
      </c>
      <c r="F24" s="344"/>
      <c r="G24" s="344"/>
      <c r="H24" s="344"/>
      <c r="I24" s="344"/>
      <c r="J24" s="251"/>
      <c r="K24" s="318"/>
      <c r="L24" s="317"/>
      <c r="M24" s="253"/>
      <c r="N24" s="310"/>
      <c r="O24" s="310"/>
      <c r="P24" s="310"/>
      <c r="Q24" s="311"/>
      <c r="R24" s="268"/>
      <c r="S24" s="216"/>
      <c r="T24" s="216"/>
      <c r="U24" s="216"/>
      <c r="V24" s="252"/>
      <c r="W24" s="268"/>
      <c r="X24" s="216"/>
      <c r="Y24" s="216"/>
      <c r="Z24" s="216"/>
      <c r="AA24" s="252"/>
      <c r="AB24" s="268"/>
      <c r="AC24" s="253"/>
      <c r="AD24" s="253"/>
      <c r="AE24" s="216"/>
      <c r="AF24" s="252"/>
      <c r="AG24" s="268"/>
      <c r="AH24" s="216"/>
      <c r="AI24" s="216"/>
      <c r="AJ24" s="216"/>
      <c r="AK24" s="252"/>
      <c r="AL24" s="268"/>
      <c r="AM24" s="216"/>
      <c r="AN24" s="216"/>
      <c r="AO24" s="216"/>
      <c r="AP24" s="252"/>
      <c r="AQ24" s="268"/>
      <c r="AR24" s="216"/>
      <c r="AS24" s="216"/>
      <c r="AT24" s="216"/>
      <c r="AU24" s="254"/>
      <c r="AV24" s="268"/>
      <c r="AW24" s="216"/>
      <c r="AX24" s="216"/>
      <c r="AY24" s="216"/>
      <c r="AZ24" s="254"/>
      <c r="BA24" s="268"/>
      <c r="BB24" s="265"/>
      <c r="BC24" s="216"/>
      <c r="BD24" s="216"/>
      <c r="BE24" s="254"/>
      <c r="BF24" s="268"/>
      <c r="BG24" s="216"/>
      <c r="BH24" s="216"/>
      <c r="BI24" s="216"/>
      <c r="BJ24" s="254"/>
      <c r="BK24" s="268"/>
      <c r="BL24" s="216"/>
      <c r="BM24" s="216"/>
      <c r="BN24" s="216"/>
      <c r="BO24" s="254"/>
    </row>
    <row r="25" spans="2:67" hidden="1" outlineLevel="1">
      <c r="B25" s="90" t="s">
        <v>594</v>
      </c>
      <c r="C25" s="314" t="s">
        <v>84</v>
      </c>
      <c r="D25" s="257"/>
      <c r="E25" s="309" t="s">
        <v>309</v>
      </c>
      <c r="F25" s="344"/>
      <c r="G25" s="344"/>
      <c r="J25" s="251"/>
      <c r="K25" s="258"/>
      <c r="L25" s="317"/>
      <c r="M25" s="253"/>
      <c r="N25" s="310"/>
      <c r="O25" s="310"/>
      <c r="P25" s="310"/>
      <c r="Q25" s="311"/>
      <c r="R25" s="268"/>
      <c r="S25" s="216"/>
      <c r="T25" s="216"/>
      <c r="U25" s="216"/>
      <c r="V25" s="252"/>
      <c r="W25" s="268"/>
      <c r="X25" s="216"/>
      <c r="Y25" s="216"/>
      <c r="Z25" s="216"/>
      <c r="AA25" s="252"/>
      <c r="AB25" s="268"/>
      <c r="AC25" s="253"/>
      <c r="AD25" s="253"/>
      <c r="AE25" s="216"/>
      <c r="AF25" s="252"/>
      <c r="AG25" s="268"/>
      <c r="AH25" s="216"/>
      <c r="AI25" s="216"/>
      <c r="AJ25" s="216"/>
      <c r="AK25" s="252"/>
      <c r="AL25" s="268"/>
      <c r="AM25" s="216"/>
      <c r="AN25" s="216"/>
      <c r="AO25" s="216"/>
      <c r="AP25" s="252"/>
      <c r="AQ25" s="268"/>
      <c r="AR25" s="216"/>
      <c r="AS25" s="216"/>
      <c r="AT25" s="216"/>
      <c r="AU25" s="254"/>
      <c r="AV25" s="268"/>
      <c r="AW25" s="216"/>
      <c r="AX25" s="216"/>
      <c r="AY25" s="216"/>
      <c r="AZ25" s="254"/>
      <c r="BA25" s="268"/>
      <c r="BB25" s="265"/>
      <c r="BC25" s="216"/>
      <c r="BD25" s="216"/>
      <c r="BE25" s="254"/>
      <c r="BF25" s="268"/>
      <c r="BG25" s="216"/>
      <c r="BH25" s="216"/>
      <c r="BI25" s="216"/>
      <c r="BJ25" s="254"/>
      <c r="BK25" s="268"/>
      <c r="BL25" s="216"/>
      <c r="BM25" s="216"/>
      <c r="BN25" s="216"/>
      <c r="BO25" s="254"/>
    </row>
    <row r="26" spans="2:67" hidden="1" outlineLevel="1">
      <c r="B26" s="90" t="s">
        <v>595</v>
      </c>
      <c r="C26" s="314" t="s">
        <v>62</v>
      </c>
      <c r="D26" s="257"/>
      <c r="E26" s="309" t="s">
        <v>309</v>
      </c>
      <c r="F26" s="344"/>
      <c r="G26" s="344"/>
      <c r="H26" s="344"/>
      <c r="I26" s="344"/>
      <c r="J26" s="251"/>
      <c r="K26" s="258"/>
      <c r="L26" s="317"/>
      <c r="M26" s="253"/>
      <c r="N26" s="310"/>
      <c r="O26" s="310"/>
      <c r="P26" s="310"/>
      <c r="Q26" s="311"/>
      <c r="R26" s="268"/>
      <c r="S26" s="216"/>
      <c r="T26" s="216"/>
      <c r="U26" s="216"/>
      <c r="V26" s="252"/>
      <c r="W26" s="268"/>
      <c r="X26" s="216"/>
      <c r="Y26" s="216"/>
      <c r="Z26" s="216"/>
      <c r="AA26" s="252"/>
      <c r="AB26" s="268"/>
      <c r="AC26" s="253"/>
      <c r="AD26" s="253"/>
      <c r="AE26" s="216"/>
      <c r="AF26" s="252"/>
      <c r="AG26" s="268"/>
      <c r="AH26" s="216"/>
      <c r="AI26" s="216"/>
      <c r="AJ26" s="216"/>
      <c r="AK26" s="252"/>
      <c r="AL26" s="268"/>
      <c r="AM26" s="216"/>
      <c r="AN26" s="216"/>
      <c r="AO26" s="216"/>
      <c r="AP26" s="252"/>
      <c r="AQ26" s="268"/>
      <c r="AR26" s="216"/>
      <c r="AS26" s="216"/>
      <c r="AT26" s="216"/>
      <c r="AU26" s="254"/>
      <c r="AV26" s="268"/>
      <c r="AW26" s="216"/>
      <c r="AX26" s="216"/>
      <c r="AY26" s="216"/>
      <c r="AZ26" s="254"/>
      <c r="BA26" s="268"/>
      <c r="BB26" s="265"/>
      <c r="BC26" s="216"/>
      <c r="BD26" s="216"/>
      <c r="BE26" s="254"/>
      <c r="BF26" s="268"/>
      <c r="BG26" s="216"/>
      <c r="BH26" s="216"/>
      <c r="BI26" s="216"/>
      <c r="BJ26" s="254"/>
      <c r="BK26" s="268"/>
      <c r="BL26" s="216"/>
      <c r="BM26" s="216"/>
      <c r="BN26" s="216"/>
      <c r="BO26" s="254"/>
    </row>
    <row r="27" spans="2:67" hidden="1" outlineLevel="1">
      <c r="B27" s="90" t="s">
        <v>596</v>
      </c>
      <c r="C27" s="314" t="s">
        <v>87</v>
      </c>
      <c r="D27" s="257"/>
      <c r="E27" s="309" t="s">
        <v>309</v>
      </c>
      <c r="F27" s="344"/>
      <c r="G27" s="344"/>
      <c r="H27" s="344"/>
      <c r="I27" s="344"/>
      <c r="J27" s="251"/>
      <c r="K27" s="258"/>
      <c r="L27" s="317"/>
      <c r="M27" s="253"/>
      <c r="N27" s="310"/>
      <c r="O27" s="310"/>
      <c r="P27" s="310"/>
      <c r="Q27" s="311"/>
      <c r="R27" s="268"/>
      <c r="S27" s="216"/>
      <c r="T27" s="216"/>
      <c r="U27" s="216"/>
      <c r="V27" s="252"/>
      <c r="W27" s="268"/>
      <c r="X27" s="216"/>
      <c r="Y27" s="216"/>
      <c r="Z27" s="216"/>
      <c r="AA27" s="252"/>
      <c r="AB27" s="268"/>
      <c r="AC27" s="253"/>
      <c r="AD27" s="253"/>
      <c r="AE27" s="216"/>
      <c r="AF27" s="252"/>
      <c r="AG27" s="268"/>
      <c r="AH27" s="216"/>
      <c r="AI27" s="216"/>
      <c r="AJ27" s="216"/>
      <c r="AK27" s="252"/>
      <c r="AL27" s="268"/>
      <c r="AM27" s="216"/>
      <c r="AN27" s="216"/>
      <c r="AO27" s="216"/>
      <c r="AP27" s="252"/>
      <c r="AQ27" s="268"/>
      <c r="AR27" s="216"/>
      <c r="AS27" s="216"/>
      <c r="AT27" s="216"/>
      <c r="AU27" s="254"/>
      <c r="AV27" s="268"/>
      <c r="AW27" s="216"/>
      <c r="AX27" s="216"/>
      <c r="AY27" s="216"/>
      <c r="AZ27" s="254"/>
      <c r="BA27" s="268"/>
      <c r="BB27" s="265"/>
      <c r="BC27" s="216"/>
      <c r="BD27" s="216"/>
      <c r="BE27" s="254"/>
      <c r="BF27" s="268"/>
      <c r="BG27" s="216"/>
      <c r="BH27" s="216"/>
      <c r="BI27" s="216"/>
      <c r="BJ27" s="254"/>
      <c r="BK27" s="268"/>
      <c r="BL27" s="216"/>
      <c r="BM27" s="216"/>
      <c r="BN27" s="216"/>
      <c r="BO27" s="254"/>
    </row>
    <row r="28" spans="2:67" hidden="1" outlineLevel="1">
      <c r="B28" s="90" t="s">
        <v>597</v>
      </c>
      <c r="C28" s="314" t="s">
        <v>88</v>
      </c>
      <c r="D28" s="257"/>
      <c r="E28" s="309" t="s">
        <v>309</v>
      </c>
      <c r="F28" s="344"/>
      <c r="G28" s="344"/>
      <c r="H28" s="344"/>
      <c r="I28" s="344"/>
      <c r="J28" s="251"/>
      <c r="K28" s="258"/>
      <c r="L28" s="317"/>
      <c r="M28" s="253"/>
      <c r="N28" s="310"/>
      <c r="O28" s="310"/>
      <c r="P28" s="310"/>
      <c r="Q28" s="311"/>
      <c r="R28" s="268"/>
      <c r="S28" s="216"/>
      <c r="T28" s="216"/>
      <c r="U28" s="216"/>
      <c r="V28" s="252"/>
      <c r="W28" s="268"/>
      <c r="X28" s="216"/>
      <c r="Y28" s="216"/>
      <c r="Z28" s="216"/>
      <c r="AA28" s="252"/>
      <c r="AB28" s="268"/>
      <c r="AC28" s="253"/>
      <c r="AD28" s="253"/>
      <c r="AE28" s="216"/>
      <c r="AF28" s="252"/>
      <c r="AG28" s="268"/>
      <c r="AH28" s="216"/>
      <c r="AI28" s="216"/>
      <c r="AJ28" s="216"/>
      <c r="AK28" s="252"/>
      <c r="AL28" s="268"/>
      <c r="AM28" s="216"/>
      <c r="AN28" s="216"/>
      <c r="AO28" s="216"/>
      <c r="AP28" s="252"/>
      <c r="AQ28" s="268"/>
      <c r="AR28" s="216"/>
      <c r="AS28" s="216"/>
      <c r="AT28" s="216"/>
      <c r="AU28" s="254"/>
      <c r="AV28" s="268"/>
      <c r="AW28" s="216"/>
      <c r="AX28" s="216"/>
      <c r="AY28" s="216"/>
      <c r="AZ28" s="254"/>
      <c r="BA28" s="268"/>
      <c r="BB28" s="265"/>
      <c r="BC28" s="216"/>
      <c r="BD28" s="216"/>
      <c r="BE28" s="254"/>
      <c r="BF28" s="268"/>
      <c r="BG28" s="216"/>
      <c r="BH28" s="216"/>
      <c r="BI28" s="216"/>
      <c r="BJ28" s="254"/>
      <c r="BK28" s="268"/>
      <c r="BL28" s="216"/>
      <c r="BM28" s="216"/>
      <c r="BN28" s="216"/>
      <c r="BO28" s="254"/>
    </row>
    <row r="29" spans="2:67" hidden="1" outlineLevel="1">
      <c r="B29" s="90" t="s">
        <v>598</v>
      </c>
      <c r="C29" s="314" t="s">
        <v>89</v>
      </c>
      <c r="D29" s="257"/>
      <c r="E29" s="309" t="s">
        <v>309</v>
      </c>
      <c r="F29" s="344"/>
      <c r="G29" s="344"/>
      <c r="H29" s="344"/>
      <c r="I29" s="344"/>
      <c r="J29" s="251"/>
      <c r="K29" s="258"/>
      <c r="L29" s="317"/>
      <c r="M29" s="253"/>
      <c r="N29" s="310"/>
      <c r="O29" s="310"/>
      <c r="P29" s="310"/>
      <c r="Q29" s="311"/>
      <c r="R29" s="268"/>
      <c r="S29" s="216"/>
      <c r="T29" s="216"/>
      <c r="U29" s="216"/>
      <c r="V29" s="252"/>
      <c r="W29" s="268"/>
      <c r="X29" s="216"/>
      <c r="Y29" s="216"/>
      <c r="Z29" s="216"/>
      <c r="AA29" s="252"/>
      <c r="AB29" s="268"/>
      <c r="AC29" s="253"/>
      <c r="AD29" s="253"/>
      <c r="AE29" s="216"/>
      <c r="AF29" s="252"/>
      <c r="AG29" s="268"/>
      <c r="AH29" s="216"/>
      <c r="AI29" s="216"/>
      <c r="AJ29" s="216"/>
      <c r="AK29" s="252"/>
      <c r="AL29" s="268"/>
      <c r="AM29" s="216"/>
      <c r="AN29" s="216"/>
      <c r="AO29" s="216"/>
      <c r="AP29" s="252"/>
      <c r="AQ29" s="268"/>
      <c r="AR29" s="216"/>
      <c r="AS29" s="216"/>
      <c r="AT29" s="216"/>
      <c r="AU29" s="254"/>
      <c r="AV29" s="268"/>
      <c r="AW29" s="216"/>
      <c r="AX29" s="216"/>
      <c r="AY29" s="216"/>
      <c r="AZ29" s="254"/>
      <c r="BA29" s="268"/>
      <c r="BB29" s="265"/>
      <c r="BC29" s="216"/>
      <c r="BD29" s="216"/>
      <c r="BE29" s="254"/>
      <c r="BF29" s="268"/>
      <c r="BG29" s="216"/>
      <c r="BH29" s="216"/>
      <c r="BI29" s="216"/>
      <c r="BJ29" s="254"/>
      <c r="BK29" s="268"/>
      <c r="BL29" s="216"/>
      <c r="BM29" s="216"/>
      <c r="BN29" s="216"/>
      <c r="BO29" s="254"/>
    </row>
    <row r="30" spans="2:67" hidden="1" outlineLevel="1">
      <c r="B30" s="90" t="s">
        <v>599</v>
      </c>
      <c r="C30" s="314" t="s">
        <v>91</v>
      </c>
      <c r="D30" s="257"/>
      <c r="E30" s="309" t="s">
        <v>309</v>
      </c>
      <c r="F30" s="344"/>
      <c r="G30" s="344"/>
      <c r="H30" s="344"/>
      <c r="I30" s="344"/>
      <c r="J30" s="251"/>
      <c r="K30" s="258"/>
      <c r="L30" s="317"/>
      <c r="M30" s="253"/>
      <c r="N30" s="310"/>
      <c r="O30" s="310"/>
      <c r="P30" s="310"/>
      <c r="Q30" s="311"/>
      <c r="R30" s="268"/>
      <c r="S30" s="216"/>
      <c r="T30" s="216"/>
      <c r="U30" s="216"/>
      <c r="V30" s="252"/>
      <c r="W30" s="268"/>
      <c r="X30" s="216"/>
      <c r="Y30" s="216"/>
      <c r="Z30" s="216"/>
      <c r="AA30" s="252"/>
      <c r="AB30" s="268"/>
      <c r="AC30" s="253"/>
      <c r="AD30" s="253"/>
      <c r="AE30" s="216"/>
      <c r="AF30" s="252"/>
      <c r="AG30" s="268"/>
      <c r="AH30" s="216"/>
      <c r="AI30" s="216"/>
      <c r="AJ30" s="216"/>
      <c r="AK30" s="252"/>
      <c r="AL30" s="268"/>
      <c r="AM30" s="216"/>
      <c r="AN30" s="216"/>
      <c r="AO30" s="216"/>
      <c r="AP30" s="252"/>
      <c r="AQ30" s="268"/>
      <c r="AR30" s="216"/>
      <c r="AS30" s="216"/>
      <c r="AT30" s="216"/>
      <c r="AU30" s="254"/>
      <c r="AV30" s="268"/>
      <c r="AW30" s="216"/>
      <c r="AX30" s="216"/>
      <c r="AY30" s="216"/>
      <c r="AZ30" s="254"/>
      <c r="BA30" s="268"/>
      <c r="BB30" s="265"/>
      <c r="BC30" s="216"/>
      <c r="BD30" s="216"/>
      <c r="BE30" s="254"/>
      <c r="BF30" s="268"/>
      <c r="BG30" s="216"/>
      <c r="BH30" s="216"/>
      <c r="BI30" s="216"/>
      <c r="BJ30" s="254"/>
      <c r="BK30" s="268"/>
      <c r="BL30" s="216"/>
      <c r="BM30" s="216"/>
      <c r="BN30" s="216"/>
      <c r="BO30" s="254"/>
    </row>
    <row r="31" spans="2:67" ht="18.5" hidden="1" outlineLevel="1" thickBot="1">
      <c r="B31" s="90" t="s">
        <v>600</v>
      </c>
      <c r="C31" s="314" t="s">
        <v>94</v>
      </c>
      <c r="D31" s="257"/>
      <c r="E31" s="309" t="s">
        <v>309</v>
      </c>
      <c r="F31" s="344"/>
      <c r="G31" s="344"/>
      <c r="H31" s="344"/>
      <c r="I31" s="344"/>
      <c r="J31" s="251"/>
      <c r="K31" s="356"/>
      <c r="L31" s="317"/>
      <c r="M31" s="253"/>
      <c r="N31" s="310"/>
      <c r="O31" s="310"/>
      <c r="P31" s="310"/>
      <c r="Q31" s="311"/>
      <c r="R31" s="268"/>
      <c r="S31" s="216"/>
      <c r="T31" s="216"/>
      <c r="U31" s="216"/>
      <c r="V31" s="252"/>
      <c r="W31" s="268"/>
      <c r="X31" s="216"/>
      <c r="Y31" s="216"/>
      <c r="Z31" s="216"/>
      <c r="AA31" s="252"/>
      <c r="AB31" s="268"/>
      <c r="AC31" s="253"/>
      <c r="AD31" s="253"/>
      <c r="AE31" s="216"/>
      <c r="AF31" s="252"/>
      <c r="AG31" s="268"/>
      <c r="AH31" s="216"/>
      <c r="AI31" s="216"/>
      <c r="AJ31" s="216"/>
      <c r="AK31" s="252"/>
      <c r="AL31" s="268"/>
      <c r="AM31" s="216"/>
      <c r="AN31" s="216"/>
      <c r="AO31" s="216"/>
      <c r="AP31" s="252"/>
      <c r="AQ31" s="268"/>
      <c r="AR31" s="216"/>
      <c r="AS31" s="216"/>
      <c r="AT31" s="216"/>
      <c r="AU31" s="254"/>
      <c r="AV31" s="268"/>
      <c r="AW31" s="216"/>
      <c r="AX31" s="216"/>
      <c r="AY31" s="216"/>
      <c r="AZ31" s="254"/>
      <c r="BA31" s="268"/>
      <c r="BB31" s="265"/>
      <c r="BC31" s="216"/>
      <c r="BD31" s="216"/>
      <c r="BE31" s="254"/>
      <c r="BF31" s="268"/>
      <c r="BG31" s="216"/>
      <c r="BH31" s="216"/>
      <c r="BI31" s="216"/>
      <c r="BJ31" s="254"/>
      <c r="BK31" s="268"/>
      <c r="BL31" s="216"/>
      <c r="BM31" s="216"/>
      <c r="BN31" s="216"/>
      <c r="BO31" s="254"/>
    </row>
    <row r="32" spans="2:67" ht="3.75" customHeight="1" collapsed="1" thickBot="1">
      <c r="B32" s="248"/>
      <c r="C32" s="249"/>
      <c r="D32" s="260"/>
      <c r="E32" s="240"/>
      <c r="F32" s="335"/>
      <c r="G32" s="335"/>
      <c r="H32" s="335"/>
      <c r="I32" s="335"/>
      <c r="J32" s="249"/>
      <c r="K32" s="250"/>
      <c r="L32" s="250"/>
      <c r="M32" s="250"/>
      <c r="N32" s="250"/>
      <c r="O32" s="250"/>
      <c r="P32" s="250"/>
      <c r="Q32" s="250"/>
      <c r="R32" s="250"/>
      <c r="S32" s="250"/>
      <c r="T32" s="250"/>
      <c r="U32" s="250"/>
      <c r="V32" s="250"/>
      <c r="W32" s="250"/>
      <c r="X32" s="250"/>
      <c r="Y32" s="250"/>
      <c r="Z32" s="250"/>
      <c r="AA32" s="250"/>
      <c r="AB32" s="250"/>
      <c r="AC32" s="250"/>
      <c r="AD32" s="250"/>
      <c r="AE32" s="250"/>
      <c r="AF32" s="250"/>
      <c r="AG32" s="250"/>
      <c r="AH32" s="250"/>
      <c r="AI32" s="250"/>
      <c r="AJ32" s="250"/>
      <c r="AK32" s="250"/>
      <c r="AL32" s="250"/>
      <c r="AM32" s="250"/>
      <c r="AN32" s="250"/>
      <c r="AO32" s="250"/>
      <c r="AP32" s="250"/>
      <c r="AQ32" s="250"/>
      <c r="AR32" s="250"/>
      <c r="AS32" s="250"/>
      <c r="AT32" s="250"/>
      <c r="AU32" s="250"/>
      <c r="AV32" s="250"/>
      <c r="AW32" s="250"/>
      <c r="AX32" s="250"/>
      <c r="AY32" s="250"/>
      <c r="AZ32" s="250"/>
      <c r="BA32" s="250"/>
      <c r="BB32" s="250"/>
      <c r="BC32" s="250"/>
      <c r="BD32" s="250"/>
      <c r="BE32" s="250"/>
      <c r="BF32" s="250"/>
      <c r="BG32" s="250"/>
      <c r="BH32" s="250"/>
      <c r="BI32" s="250"/>
      <c r="BJ32" s="250"/>
      <c r="BK32" s="250"/>
      <c r="BL32" s="250"/>
      <c r="BM32" s="250"/>
      <c r="BN32" s="250"/>
      <c r="BO32" s="250"/>
    </row>
    <row r="33" spans="2:67">
      <c r="B33" s="320" t="s">
        <v>145</v>
      </c>
      <c r="C33" s="320" t="s">
        <v>557</v>
      </c>
      <c r="D33" s="353"/>
      <c r="E33" s="329"/>
      <c r="F33" s="332"/>
      <c r="G33" s="332"/>
      <c r="H33" s="332"/>
      <c r="I33" s="332"/>
      <c r="J33" s="251"/>
      <c r="K33" s="323"/>
      <c r="L33" s="324"/>
      <c r="M33" s="323"/>
      <c r="N33" s="325"/>
      <c r="O33" s="325"/>
      <c r="P33" s="325"/>
      <c r="Q33" s="326"/>
      <c r="R33" s="323"/>
      <c r="S33" s="325"/>
      <c r="T33" s="325"/>
      <c r="U33" s="325"/>
      <c r="V33" s="326"/>
      <c r="W33" s="323"/>
      <c r="X33" s="325"/>
      <c r="Y33" s="325"/>
      <c r="Z33" s="325"/>
      <c r="AA33" s="326"/>
      <c r="AB33" s="323"/>
      <c r="AC33" s="327"/>
      <c r="AD33" s="327"/>
      <c r="AE33" s="325"/>
      <c r="AF33" s="326"/>
      <c r="AG33" s="323"/>
      <c r="AH33" s="325"/>
      <c r="AI33" s="325"/>
      <c r="AJ33" s="325"/>
      <c r="AK33" s="326"/>
      <c r="AL33" s="323"/>
      <c r="AM33" s="325"/>
      <c r="AN33" s="325"/>
      <c r="AO33" s="325"/>
      <c r="AP33" s="326"/>
      <c r="AQ33" s="323"/>
      <c r="AR33" s="325"/>
      <c r="AS33" s="325"/>
      <c r="AT33" s="325"/>
      <c r="AU33" s="328"/>
      <c r="AV33" s="323"/>
      <c r="AW33" s="325"/>
      <c r="AX33" s="325"/>
      <c r="AY33" s="325"/>
      <c r="AZ33" s="328"/>
      <c r="BA33" s="323"/>
      <c r="BB33" s="265"/>
      <c r="BC33" s="325"/>
      <c r="BD33" s="325"/>
      <c r="BE33" s="328"/>
      <c r="BF33" s="323"/>
      <c r="BG33" s="325"/>
      <c r="BH33" s="325"/>
      <c r="BI33" s="325"/>
      <c r="BJ33" s="328"/>
      <c r="BK33" s="323"/>
      <c r="BL33" s="325"/>
      <c r="BM33" s="325"/>
      <c r="BN33" s="325"/>
      <c r="BO33" s="328"/>
    </row>
    <row r="34" spans="2:67">
      <c r="B34" s="259" t="s">
        <v>310</v>
      </c>
      <c r="C34" s="259" t="s">
        <v>574</v>
      </c>
      <c r="D34" s="308" t="s">
        <v>121</v>
      </c>
      <c r="E34" s="309" t="s">
        <v>309</v>
      </c>
      <c r="F34" s="334">
        <v>45698</v>
      </c>
      <c r="G34" s="334">
        <v>45705</v>
      </c>
      <c r="H34" s="334"/>
      <c r="I34" s="334">
        <v>45705</v>
      </c>
      <c r="J34" s="251"/>
      <c r="K34" s="268"/>
      <c r="L34" s="312"/>
      <c r="M34" s="268"/>
      <c r="N34" s="224"/>
      <c r="O34" s="224"/>
      <c r="P34" s="224"/>
      <c r="Q34" s="312"/>
      <c r="R34" s="258"/>
      <c r="S34" s="216"/>
      <c r="T34" s="216"/>
      <c r="U34" s="216"/>
      <c r="V34" s="252"/>
      <c r="W34" s="258"/>
      <c r="X34" s="216"/>
      <c r="Y34" s="216"/>
      <c r="Z34" s="216"/>
      <c r="AA34" s="252"/>
      <c r="AB34" s="258"/>
      <c r="AC34" s="253"/>
      <c r="AD34" s="253"/>
      <c r="AE34" s="216"/>
      <c r="AF34" s="252"/>
      <c r="AG34" s="258"/>
      <c r="AH34" s="216"/>
      <c r="AI34" s="216"/>
      <c r="AJ34" s="216"/>
      <c r="AK34" s="252"/>
      <c r="AL34" s="258"/>
      <c r="AM34" s="216"/>
      <c r="AN34" s="216"/>
      <c r="AO34" s="216"/>
      <c r="AP34" s="252"/>
      <c r="AQ34" s="339" t="s">
        <v>314</v>
      </c>
      <c r="AR34" s="216"/>
      <c r="AS34" s="216"/>
      <c r="AT34" s="216"/>
      <c r="AU34" s="254"/>
      <c r="AV34" s="258"/>
      <c r="AW34" s="216"/>
      <c r="AX34" s="216"/>
      <c r="AY34" s="216"/>
      <c r="AZ34" s="254"/>
      <c r="BA34" s="258"/>
      <c r="BB34" s="265"/>
      <c r="BC34" s="216"/>
      <c r="BD34" s="216"/>
      <c r="BE34" s="254"/>
      <c r="BF34" s="258"/>
      <c r="BG34" s="216"/>
      <c r="BH34" s="216"/>
      <c r="BI34" s="216"/>
      <c r="BJ34" s="254"/>
      <c r="BK34" s="258"/>
      <c r="BL34" s="216"/>
      <c r="BM34" s="216"/>
      <c r="BN34" s="216"/>
      <c r="BO34" s="254"/>
    </row>
    <row r="35" spans="2:67" hidden="1" outlineLevel="1">
      <c r="B35" s="90" t="s">
        <v>495</v>
      </c>
      <c r="C35" s="314" t="s">
        <v>110</v>
      </c>
      <c r="D35" s="91"/>
      <c r="E35" s="309" t="s">
        <v>309</v>
      </c>
      <c r="F35" s="344"/>
      <c r="G35" s="344"/>
      <c r="H35" s="334"/>
      <c r="I35" s="334"/>
      <c r="J35" s="251"/>
      <c r="K35" s="268"/>
      <c r="L35" s="312"/>
      <c r="M35" s="268"/>
      <c r="N35" s="224"/>
      <c r="O35" s="224"/>
      <c r="P35" s="224"/>
      <c r="Q35" s="312"/>
      <c r="R35" s="258"/>
      <c r="S35" s="216"/>
      <c r="T35" s="216"/>
      <c r="U35" s="216"/>
      <c r="V35" s="252"/>
      <c r="W35" s="258"/>
      <c r="X35" s="216"/>
      <c r="Y35" s="216"/>
      <c r="Z35" s="216"/>
      <c r="AA35" s="252"/>
      <c r="AB35" s="258"/>
      <c r="AC35" s="253"/>
      <c r="AD35" s="253"/>
      <c r="AE35" s="216"/>
      <c r="AF35" s="252"/>
      <c r="AG35" s="258"/>
      <c r="AH35" s="216"/>
      <c r="AI35" s="216"/>
      <c r="AJ35" s="216"/>
      <c r="AK35" s="252"/>
      <c r="AL35" s="258"/>
      <c r="AM35" s="216"/>
      <c r="AN35" s="216"/>
      <c r="AO35" s="216"/>
      <c r="AP35" s="252"/>
      <c r="AQ35" s="258"/>
      <c r="AR35" s="216"/>
      <c r="AS35" s="216"/>
      <c r="AT35" s="216"/>
      <c r="AU35" s="254"/>
      <c r="AV35" s="258"/>
      <c r="AW35" s="216"/>
      <c r="AX35" s="216"/>
      <c r="AY35" s="216"/>
      <c r="AZ35" s="254"/>
      <c r="BA35" s="258"/>
      <c r="BB35" s="265"/>
      <c r="BC35" s="216"/>
      <c r="BD35" s="216"/>
      <c r="BE35" s="254"/>
      <c r="BF35" s="258"/>
      <c r="BG35" s="216"/>
      <c r="BH35" s="216"/>
      <c r="BI35" s="216"/>
      <c r="BJ35" s="254"/>
      <c r="BK35" s="258"/>
      <c r="BL35" s="216"/>
      <c r="BM35" s="216"/>
      <c r="BN35" s="216"/>
      <c r="BO35" s="254"/>
    </row>
    <row r="36" spans="2:67" hidden="1" outlineLevel="1">
      <c r="B36" s="90" t="s">
        <v>496</v>
      </c>
      <c r="C36" s="314" t="s">
        <v>111</v>
      </c>
      <c r="D36" s="91"/>
      <c r="E36" s="309" t="s">
        <v>309</v>
      </c>
      <c r="F36" s="344"/>
      <c r="G36" s="344"/>
      <c r="H36" s="334"/>
      <c r="I36" s="334"/>
      <c r="J36" s="251"/>
      <c r="K36" s="268"/>
      <c r="L36" s="312"/>
      <c r="M36" s="268"/>
      <c r="N36" s="224"/>
      <c r="O36" s="224"/>
      <c r="P36" s="224"/>
      <c r="Q36" s="312"/>
      <c r="R36" s="258"/>
      <c r="S36" s="216"/>
      <c r="T36" s="216"/>
      <c r="U36" s="216"/>
      <c r="V36" s="252"/>
      <c r="W36" s="258"/>
      <c r="X36" s="216"/>
      <c r="Y36" s="216"/>
      <c r="Z36" s="216"/>
      <c r="AA36" s="252"/>
      <c r="AB36" s="258"/>
      <c r="AC36" s="253"/>
      <c r="AD36" s="253"/>
      <c r="AE36" s="216"/>
      <c r="AF36" s="252"/>
      <c r="AG36" s="258"/>
      <c r="AH36" s="216"/>
      <c r="AI36" s="216"/>
      <c r="AJ36" s="216"/>
      <c r="AK36" s="252"/>
      <c r="AL36" s="258"/>
      <c r="AM36" s="216"/>
      <c r="AN36" s="216"/>
      <c r="AO36" s="216"/>
      <c r="AP36" s="252"/>
      <c r="AQ36" s="258"/>
      <c r="AR36" s="216"/>
      <c r="AS36" s="216"/>
      <c r="AT36" s="216"/>
      <c r="AU36" s="254"/>
      <c r="AV36" s="258"/>
      <c r="AW36" s="216"/>
      <c r="AX36" s="216"/>
      <c r="AY36" s="216"/>
      <c r="AZ36" s="254"/>
      <c r="BA36" s="258"/>
      <c r="BB36" s="265"/>
      <c r="BC36" s="216"/>
      <c r="BD36" s="216"/>
      <c r="BE36" s="254"/>
      <c r="BF36" s="258"/>
      <c r="BG36" s="216"/>
      <c r="BH36" s="216"/>
      <c r="BI36" s="216"/>
      <c r="BJ36" s="254"/>
      <c r="BK36" s="258"/>
      <c r="BL36" s="216"/>
      <c r="BM36" s="216"/>
      <c r="BN36" s="216"/>
      <c r="BO36" s="254"/>
    </row>
    <row r="37" spans="2:67" hidden="1" outlineLevel="1">
      <c r="B37" s="90" t="s">
        <v>497</v>
      </c>
      <c r="C37" s="314" t="s">
        <v>112</v>
      </c>
      <c r="D37" s="91"/>
      <c r="E37" s="309" t="s">
        <v>309</v>
      </c>
      <c r="F37" s="344"/>
      <c r="G37" s="344"/>
      <c r="H37" s="334"/>
      <c r="I37" s="334"/>
      <c r="J37" s="251"/>
      <c r="K37" s="268"/>
      <c r="L37" s="312"/>
      <c r="M37" s="268"/>
      <c r="N37" s="224"/>
      <c r="O37" s="224"/>
      <c r="P37" s="224"/>
      <c r="Q37" s="312"/>
      <c r="R37" s="258"/>
      <c r="S37" s="216"/>
      <c r="T37" s="216"/>
      <c r="U37" s="216"/>
      <c r="V37" s="252"/>
      <c r="W37" s="258"/>
      <c r="X37" s="216"/>
      <c r="Y37" s="216"/>
      <c r="Z37" s="216"/>
      <c r="AA37" s="252"/>
      <c r="AB37" s="258"/>
      <c r="AC37" s="253"/>
      <c r="AD37" s="253"/>
      <c r="AE37" s="216"/>
      <c r="AF37" s="252"/>
      <c r="AG37" s="258"/>
      <c r="AH37" s="216"/>
      <c r="AI37" s="216"/>
      <c r="AJ37" s="216"/>
      <c r="AK37" s="252"/>
      <c r="AL37" s="258"/>
      <c r="AM37" s="216"/>
      <c r="AN37" s="216"/>
      <c r="AO37" s="216"/>
      <c r="AP37" s="252"/>
      <c r="AQ37" s="258"/>
      <c r="AR37" s="216"/>
      <c r="AS37" s="216"/>
      <c r="AT37" s="216"/>
      <c r="AU37" s="254"/>
      <c r="AV37" s="258"/>
      <c r="AW37" s="216"/>
      <c r="AX37" s="216"/>
      <c r="AY37" s="216"/>
      <c r="AZ37" s="254"/>
      <c r="BA37" s="258"/>
      <c r="BB37" s="265"/>
      <c r="BC37" s="216"/>
      <c r="BD37" s="216"/>
      <c r="BE37" s="254"/>
      <c r="BF37" s="258"/>
      <c r="BG37" s="216"/>
      <c r="BH37" s="216"/>
      <c r="BI37" s="216"/>
      <c r="BJ37" s="254"/>
      <c r="BK37" s="258"/>
      <c r="BL37" s="216"/>
      <c r="BM37" s="216"/>
      <c r="BN37" s="216"/>
      <c r="BO37" s="254"/>
    </row>
    <row r="38" spans="2:67" hidden="1" outlineLevel="1">
      <c r="B38" s="90" t="s">
        <v>498</v>
      </c>
      <c r="C38" s="314" t="s">
        <v>51</v>
      </c>
      <c r="D38" s="91"/>
      <c r="E38" s="309" t="s">
        <v>309</v>
      </c>
      <c r="F38" s="344"/>
      <c r="G38" s="344"/>
      <c r="H38" s="334"/>
      <c r="I38" s="334"/>
      <c r="J38" s="251"/>
      <c r="K38" s="268"/>
      <c r="L38" s="312"/>
      <c r="M38" s="268"/>
      <c r="N38" s="224"/>
      <c r="O38" s="224"/>
      <c r="P38" s="224"/>
      <c r="Q38" s="312"/>
      <c r="R38" s="258"/>
      <c r="S38" s="216"/>
      <c r="T38" s="216"/>
      <c r="U38" s="216"/>
      <c r="V38" s="252"/>
      <c r="W38" s="258"/>
      <c r="X38" s="216"/>
      <c r="Y38" s="216"/>
      <c r="Z38" s="216"/>
      <c r="AA38" s="252"/>
      <c r="AB38" s="258"/>
      <c r="AC38" s="253"/>
      <c r="AD38" s="253"/>
      <c r="AE38" s="216"/>
      <c r="AF38" s="252"/>
      <c r="AG38" s="258"/>
      <c r="AH38" s="216"/>
      <c r="AI38" s="216"/>
      <c r="AJ38" s="216"/>
      <c r="AK38" s="252"/>
      <c r="AL38" s="258"/>
      <c r="AM38" s="216"/>
      <c r="AN38" s="216"/>
      <c r="AO38" s="216"/>
      <c r="AP38" s="252"/>
      <c r="AQ38" s="258"/>
      <c r="AR38" s="216"/>
      <c r="AS38" s="216"/>
      <c r="AT38" s="216"/>
      <c r="AU38" s="254"/>
      <c r="AV38" s="258"/>
      <c r="AW38" s="216"/>
      <c r="AX38" s="216"/>
      <c r="AY38" s="216"/>
      <c r="AZ38" s="254"/>
      <c r="BA38" s="258"/>
      <c r="BB38" s="265"/>
      <c r="BC38" s="216"/>
      <c r="BD38" s="216"/>
      <c r="BE38" s="254"/>
      <c r="BF38" s="258"/>
      <c r="BG38" s="216"/>
      <c r="BH38" s="216"/>
      <c r="BI38" s="216"/>
      <c r="BJ38" s="254"/>
      <c r="BK38" s="258"/>
      <c r="BL38" s="216"/>
      <c r="BM38" s="216"/>
      <c r="BN38" s="216"/>
      <c r="BO38" s="254"/>
    </row>
    <row r="39" spans="2:67" hidden="1" outlineLevel="1">
      <c r="B39" s="90" t="s">
        <v>499</v>
      </c>
      <c r="C39" s="314" t="s">
        <v>68</v>
      </c>
      <c r="D39" s="91"/>
      <c r="E39" s="309" t="s">
        <v>309</v>
      </c>
      <c r="F39" s="344"/>
      <c r="G39" s="344"/>
      <c r="H39" s="334"/>
      <c r="I39" s="334"/>
      <c r="J39" s="251"/>
      <c r="K39" s="268"/>
      <c r="L39" s="312"/>
      <c r="M39" s="268"/>
      <c r="N39" s="224"/>
      <c r="O39" s="224"/>
      <c r="P39" s="224"/>
      <c r="Q39" s="312"/>
      <c r="R39" s="258"/>
      <c r="S39" s="216"/>
      <c r="T39" s="216"/>
      <c r="U39" s="216"/>
      <c r="V39" s="252"/>
      <c r="W39" s="258"/>
      <c r="X39" s="216"/>
      <c r="Y39" s="216"/>
      <c r="Z39" s="216"/>
      <c r="AA39" s="252"/>
      <c r="AB39" s="258"/>
      <c r="AC39" s="253"/>
      <c r="AD39" s="253"/>
      <c r="AE39" s="216"/>
      <c r="AF39" s="252"/>
      <c r="AG39" s="258"/>
      <c r="AH39" s="216"/>
      <c r="AI39" s="216"/>
      <c r="AJ39" s="216"/>
      <c r="AK39" s="252"/>
      <c r="AL39" s="258"/>
      <c r="AM39" s="216"/>
      <c r="AN39" s="216"/>
      <c r="AO39" s="216"/>
      <c r="AP39" s="252"/>
      <c r="AQ39" s="258"/>
      <c r="AR39" s="216"/>
      <c r="AS39" s="216"/>
      <c r="AT39" s="216"/>
      <c r="AU39" s="254"/>
      <c r="AV39" s="258"/>
      <c r="AW39" s="216"/>
      <c r="AX39" s="216"/>
      <c r="AY39" s="216"/>
      <c r="AZ39" s="254"/>
      <c r="BA39" s="258"/>
      <c r="BB39" s="265"/>
      <c r="BC39" s="216"/>
      <c r="BD39" s="216"/>
      <c r="BE39" s="254"/>
      <c r="BF39" s="258"/>
      <c r="BG39" s="216"/>
      <c r="BH39" s="216"/>
      <c r="BI39" s="216"/>
      <c r="BJ39" s="254"/>
      <c r="BK39" s="258"/>
      <c r="BL39" s="216"/>
      <c r="BM39" s="216"/>
      <c r="BN39" s="216"/>
      <c r="BO39" s="254"/>
    </row>
    <row r="40" spans="2:67" hidden="1" outlineLevel="1">
      <c r="B40" s="90" t="s">
        <v>500</v>
      </c>
      <c r="C40" s="314" t="s">
        <v>52</v>
      </c>
      <c r="D40" s="91"/>
      <c r="E40" s="309" t="s">
        <v>309</v>
      </c>
      <c r="F40" s="344"/>
      <c r="G40" s="344"/>
      <c r="H40" s="334"/>
      <c r="I40" s="334"/>
      <c r="J40" s="251"/>
      <c r="K40" s="268"/>
      <c r="L40" s="312"/>
      <c r="M40" s="268"/>
      <c r="N40" s="224"/>
      <c r="O40" s="224"/>
      <c r="P40" s="224"/>
      <c r="Q40" s="312"/>
      <c r="R40" s="258"/>
      <c r="S40" s="216"/>
      <c r="T40" s="216"/>
      <c r="U40" s="216"/>
      <c r="V40" s="252"/>
      <c r="W40" s="258"/>
      <c r="X40" s="216"/>
      <c r="Y40" s="216"/>
      <c r="Z40" s="216"/>
      <c r="AA40" s="252"/>
      <c r="AB40" s="258"/>
      <c r="AC40" s="253"/>
      <c r="AD40" s="253"/>
      <c r="AE40" s="216"/>
      <c r="AF40" s="252"/>
      <c r="AG40" s="258"/>
      <c r="AH40" s="216"/>
      <c r="AI40" s="216"/>
      <c r="AJ40" s="216"/>
      <c r="AK40" s="252"/>
      <c r="AL40" s="258"/>
      <c r="AM40" s="216"/>
      <c r="AN40" s="216"/>
      <c r="AO40" s="216"/>
      <c r="AP40" s="252"/>
      <c r="AQ40" s="258"/>
      <c r="AR40" s="216"/>
      <c r="AS40" s="216"/>
      <c r="AT40" s="216"/>
      <c r="AU40" s="254"/>
      <c r="AV40" s="258"/>
      <c r="AW40" s="216"/>
      <c r="AX40" s="216"/>
      <c r="AY40" s="216"/>
      <c r="AZ40" s="254"/>
      <c r="BA40" s="258"/>
      <c r="BB40" s="265"/>
      <c r="BC40" s="216"/>
      <c r="BD40" s="216"/>
      <c r="BE40" s="254"/>
      <c r="BF40" s="258"/>
      <c r="BG40" s="216"/>
      <c r="BH40" s="216"/>
      <c r="BI40" s="216"/>
      <c r="BJ40" s="254"/>
      <c r="BK40" s="258"/>
      <c r="BL40" s="216"/>
      <c r="BM40" s="216"/>
      <c r="BN40" s="216"/>
      <c r="BO40" s="254"/>
    </row>
    <row r="41" spans="2:67" hidden="1" outlineLevel="1">
      <c r="B41" s="90" t="s">
        <v>501</v>
      </c>
      <c r="C41" s="314" t="s">
        <v>55</v>
      </c>
      <c r="D41" s="91"/>
      <c r="E41" s="309" t="s">
        <v>309</v>
      </c>
      <c r="F41" s="344"/>
      <c r="G41" s="344"/>
      <c r="H41" s="334"/>
      <c r="I41" s="334"/>
      <c r="J41" s="251"/>
      <c r="K41" s="268"/>
      <c r="L41" s="312"/>
      <c r="M41" s="268"/>
      <c r="N41" s="224"/>
      <c r="O41" s="224"/>
      <c r="P41" s="224"/>
      <c r="Q41" s="312"/>
      <c r="R41" s="258"/>
      <c r="S41" s="216"/>
      <c r="T41" s="216"/>
      <c r="U41" s="216"/>
      <c r="V41" s="252"/>
      <c r="W41" s="258"/>
      <c r="X41" s="216"/>
      <c r="Y41" s="216"/>
      <c r="Z41" s="216"/>
      <c r="AA41" s="252"/>
      <c r="AB41" s="258"/>
      <c r="AC41" s="253"/>
      <c r="AD41" s="253"/>
      <c r="AE41" s="216"/>
      <c r="AF41" s="252"/>
      <c r="AG41" s="258"/>
      <c r="AH41" s="216"/>
      <c r="AI41" s="216"/>
      <c r="AJ41" s="216"/>
      <c r="AK41" s="252"/>
      <c r="AL41" s="258"/>
      <c r="AM41" s="216"/>
      <c r="AN41" s="216"/>
      <c r="AO41" s="216"/>
      <c r="AP41" s="252"/>
      <c r="AQ41" s="258"/>
      <c r="AR41" s="216"/>
      <c r="AS41" s="216"/>
      <c r="AT41" s="216"/>
      <c r="AU41" s="254"/>
      <c r="AV41" s="258"/>
      <c r="AW41" s="216"/>
      <c r="AX41" s="216"/>
      <c r="AY41" s="216"/>
      <c r="AZ41" s="254"/>
      <c r="BA41" s="258"/>
      <c r="BB41" s="265"/>
      <c r="BC41" s="216"/>
      <c r="BD41" s="216"/>
      <c r="BE41" s="254"/>
      <c r="BF41" s="258"/>
      <c r="BG41" s="216"/>
      <c r="BH41" s="216"/>
      <c r="BI41" s="216"/>
      <c r="BJ41" s="254"/>
      <c r="BK41" s="258"/>
      <c r="BL41" s="216"/>
      <c r="BM41" s="216"/>
      <c r="BN41" s="216"/>
      <c r="BO41" s="254"/>
    </row>
    <row r="42" spans="2:67" hidden="1" outlineLevel="1">
      <c r="B42" s="90" t="s">
        <v>502</v>
      </c>
      <c r="C42" s="314" t="s">
        <v>69</v>
      </c>
      <c r="D42" s="91"/>
      <c r="E42" s="309" t="s">
        <v>309</v>
      </c>
      <c r="F42" s="344"/>
      <c r="G42" s="344"/>
      <c r="H42" s="334"/>
      <c r="I42" s="334"/>
      <c r="J42" s="251"/>
      <c r="K42" s="268"/>
      <c r="L42" s="312"/>
      <c r="M42" s="268"/>
      <c r="N42" s="224"/>
      <c r="O42" s="224"/>
      <c r="P42" s="224"/>
      <c r="Q42" s="312"/>
      <c r="R42" s="258"/>
      <c r="S42" s="216"/>
      <c r="T42" s="216"/>
      <c r="U42" s="216"/>
      <c r="V42" s="252"/>
      <c r="W42" s="258"/>
      <c r="X42" s="216"/>
      <c r="Y42" s="216"/>
      <c r="Z42" s="216"/>
      <c r="AA42" s="252"/>
      <c r="AB42" s="258"/>
      <c r="AC42" s="253"/>
      <c r="AD42" s="253"/>
      <c r="AE42" s="216"/>
      <c r="AF42" s="252"/>
      <c r="AG42" s="258"/>
      <c r="AH42" s="216"/>
      <c r="AI42" s="216"/>
      <c r="AJ42" s="216"/>
      <c r="AK42" s="252"/>
      <c r="AL42" s="258"/>
      <c r="AM42" s="216"/>
      <c r="AN42" s="216"/>
      <c r="AO42" s="216"/>
      <c r="AP42" s="252"/>
      <c r="AQ42" s="258"/>
      <c r="AR42" s="216"/>
      <c r="AS42" s="216"/>
      <c r="AT42" s="216"/>
      <c r="AU42" s="254"/>
      <c r="AV42" s="258"/>
      <c r="AW42" s="216"/>
      <c r="AX42" s="216"/>
      <c r="AY42" s="216"/>
      <c r="AZ42" s="254"/>
      <c r="BA42" s="258"/>
      <c r="BB42" s="265"/>
      <c r="BC42" s="216"/>
      <c r="BD42" s="216"/>
      <c r="BE42" s="254"/>
      <c r="BF42" s="258"/>
      <c r="BG42" s="216"/>
      <c r="BH42" s="216"/>
      <c r="BI42" s="216"/>
      <c r="BJ42" s="254"/>
      <c r="BK42" s="258"/>
      <c r="BL42" s="216"/>
      <c r="BM42" s="216"/>
      <c r="BN42" s="216"/>
      <c r="BO42" s="254"/>
    </row>
    <row r="43" spans="2:67" hidden="1" outlineLevel="1">
      <c r="B43" s="90" t="s">
        <v>503</v>
      </c>
      <c r="C43" s="314" t="s">
        <v>56</v>
      </c>
      <c r="D43" s="91"/>
      <c r="E43" s="309" t="s">
        <v>309</v>
      </c>
      <c r="F43" s="344"/>
      <c r="G43" s="344"/>
      <c r="H43" s="334"/>
      <c r="I43" s="334"/>
      <c r="J43" s="251"/>
      <c r="K43" s="268"/>
      <c r="L43" s="312"/>
      <c r="M43" s="268"/>
      <c r="N43" s="224"/>
      <c r="O43" s="224"/>
      <c r="P43" s="224"/>
      <c r="Q43" s="312"/>
      <c r="R43" s="258"/>
      <c r="S43" s="216"/>
      <c r="T43" s="216"/>
      <c r="U43" s="216"/>
      <c r="V43" s="252"/>
      <c r="W43" s="258"/>
      <c r="X43" s="216"/>
      <c r="Y43" s="216"/>
      <c r="Z43" s="216"/>
      <c r="AA43" s="252"/>
      <c r="AB43" s="258"/>
      <c r="AC43" s="253"/>
      <c r="AD43" s="253"/>
      <c r="AE43" s="216"/>
      <c r="AF43" s="252"/>
      <c r="AG43" s="258"/>
      <c r="AH43" s="216"/>
      <c r="AI43" s="216"/>
      <c r="AJ43" s="216"/>
      <c r="AK43" s="252"/>
      <c r="AL43" s="258"/>
      <c r="AM43" s="216"/>
      <c r="AN43" s="216"/>
      <c r="AO43" s="216"/>
      <c r="AP43" s="252"/>
      <c r="AQ43" s="258"/>
      <c r="AR43" s="216"/>
      <c r="AS43" s="216"/>
      <c r="AT43" s="216"/>
      <c r="AU43" s="254"/>
      <c r="AV43" s="258"/>
      <c r="AW43" s="216"/>
      <c r="AX43" s="216"/>
      <c r="AY43" s="216"/>
      <c r="AZ43" s="254"/>
      <c r="BA43" s="258"/>
      <c r="BB43" s="265"/>
      <c r="BC43" s="216"/>
      <c r="BD43" s="216"/>
      <c r="BE43" s="254"/>
      <c r="BF43" s="258"/>
      <c r="BG43" s="216"/>
      <c r="BH43" s="216"/>
      <c r="BI43" s="216"/>
      <c r="BJ43" s="254"/>
      <c r="BK43" s="258"/>
      <c r="BL43" s="216"/>
      <c r="BM43" s="216"/>
      <c r="BN43" s="216"/>
      <c r="BO43" s="254"/>
    </row>
    <row r="44" spans="2:67" hidden="1" outlineLevel="1">
      <c r="B44" s="90" t="s">
        <v>504</v>
      </c>
      <c r="C44" s="314" t="s">
        <v>70</v>
      </c>
      <c r="D44" s="91"/>
      <c r="E44" s="309" t="s">
        <v>309</v>
      </c>
      <c r="F44" s="344"/>
      <c r="G44" s="344"/>
      <c r="H44" s="334"/>
      <c r="I44" s="334"/>
      <c r="J44" s="251"/>
      <c r="K44" s="268"/>
      <c r="L44" s="312"/>
      <c r="M44" s="268"/>
      <c r="N44" s="224"/>
      <c r="O44" s="224"/>
      <c r="P44" s="224"/>
      <c r="Q44" s="312"/>
      <c r="R44" s="258"/>
      <c r="S44" s="216"/>
      <c r="T44" s="216"/>
      <c r="U44" s="216"/>
      <c r="V44" s="252"/>
      <c r="W44" s="258"/>
      <c r="X44" s="216"/>
      <c r="Y44" s="216"/>
      <c r="Z44" s="216"/>
      <c r="AA44" s="252"/>
      <c r="AB44" s="258"/>
      <c r="AC44" s="253"/>
      <c r="AD44" s="253"/>
      <c r="AE44" s="216"/>
      <c r="AF44" s="252"/>
      <c r="AG44" s="258"/>
      <c r="AH44" s="216"/>
      <c r="AI44" s="216"/>
      <c r="AJ44" s="216"/>
      <c r="AK44" s="252"/>
      <c r="AL44" s="258"/>
      <c r="AM44" s="216"/>
      <c r="AN44" s="216"/>
      <c r="AO44" s="216"/>
      <c r="AP44" s="252"/>
      <c r="AQ44" s="258"/>
      <c r="AR44" s="216"/>
      <c r="AS44" s="216"/>
      <c r="AT44" s="216"/>
      <c r="AU44" s="254"/>
      <c r="AV44" s="258"/>
      <c r="AW44" s="216"/>
      <c r="AX44" s="216"/>
      <c r="AY44" s="216"/>
      <c r="AZ44" s="254"/>
      <c r="BA44" s="258"/>
      <c r="BB44" s="265"/>
      <c r="BC44" s="216"/>
      <c r="BD44" s="216"/>
      <c r="BE44" s="254"/>
      <c r="BF44" s="258"/>
      <c r="BG44" s="216"/>
      <c r="BH44" s="216"/>
      <c r="BI44" s="216"/>
      <c r="BJ44" s="254"/>
      <c r="BK44" s="258"/>
      <c r="BL44" s="216"/>
      <c r="BM44" s="216"/>
      <c r="BN44" s="216"/>
      <c r="BO44" s="254"/>
    </row>
    <row r="45" spans="2:67" hidden="1" outlineLevel="1">
      <c r="B45" s="90" t="s">
        <v>505</v>
      </c>
      <c r="C45" s="314" t="s">
        <v>71</v>
      </c>
      <c r="D45" s="91"/>
      <c r="E45" s="309" t="s">
        <v>309</v>
      </c>
      <c r="F45" s="344"/>
      <c r="G45" s="344"/>
      <c r="H45" s="334"/>
      <c r="I45" s="334"/>
      <c r="J45" s="251"/>
      <c r="K45" s="268"/>
      <c r="L45" s="312"/>
      <c r="M45" s="268"/>
      <c r="N45" s="224"/>
      <c r="O45" s="224"/>
      <c r="P45" s="224"/>
      <c r="Q45" s="312"/>
      <c r="R45" s="258"/>
      <c r="S45" s="216"/>
      <c r="T45" s="216"/>
      <c r="U45" s="216"/>
      <c r="V45" s="252"/>
      <c r="W45" s="258"/>
      <c r="X45" s="216"/>
      <c r="Y45" s="216"/>
      <c r="Z45" s="216"/>
      <c r="AA45" s="252"/>
      <c r="AB45" s="258"/>
      <c r="AC45" s="253"/>
      <c r="AD45" s="253"/>
      <c r="AE45" s="216"/>
      <c r="AF45" s="252"/>
      <c r="AG45" s="258"/>
      <c r="AH45" s="216"/>
      <c r="AI45" s="216"/>
      <c r="AJ45" s="216"/>
      <c r="AK45" s="252"/>
      <c r="AL45" s="258"/>
      <c r="AM45" s="216"/>
      <c r="AN45" s="216"/>
      <c r="AO45" s="216"/>
      <c r="AP45" s="252"/>
      <c r="AQ45" s="258"/>
      <c r="AR45" s="216"/>
      <c r="AS45" s="216"/>
      <c r="AT45" s="216"/>
      <c r="AU45" s="254"/>
      <c r="AV45" s="258"/>
      <c r="AW45" s="216"/>
      <c r="AX45" s="216"/>
      <c r="AY45" s="216"/>
      <c r="AZ45" s="254"/>
      <c r="BA45" s="258"/>
      <c r="BB45" s="265"/>
      <c r="BC45" s="216"/>
      <c r="BD45" s="216"/>
      <c r="BE45" s="254"/>
      <c r="BF45" s="258"/>
      <c r="BG45" s="216"/>
      <c r="BH45" s="216"/>
      <c r="BI45" s="216"/>
      <c r="BJ45" s="254"/>
      <c r="BK45" s="258"/>
      <c r="BL45" s="216"/>
      <c r="BM45" s="216"/>
      <c r="BN45" s="216"/>
      <c r="BO45" s="254"/>
    </row>
    <row r="46" spans="2:67" hidden="1" outlineLevel="1">
      <c r="B46" s="90" t="s">
        <v>506</v>
      </c>
      <c r="C46" s="314" t="s">
        <v>72</v>
      </c>
      <c r="D46" s="91"/>
      <c r="E46" s="309" t="s">
        <v>309</v>
      </c>
      <c r="F46" s="344"/>
      <c r="G46" s="344"/>
      <c r="H46" s="334"/>
      <c r="I46" s="334"/>
      <c r="J46" s="251"/>
      <c r="K46" s="268"/>
      <c r="L46" s="312"/>
      <c r="M46" s="268"/>
      <c r="N46" s="224"/>
      <c r="O46" s="224"/>
      <c r="P46" s="224"/>
      <c r="Q46" s="312"/>
      <c r="R46" s="258"/>
      <c r="S46" s="216"/>
      <c r="T46" s="216"/>
      <c r="U46" s="216"/>
      <c r="V46" s="252"/>
      <c r="W46" s="258"/>
      <c r="X46" s="216"/>
      <c r="Y46" s="216"/>
      <c r="Z46" s="216"/>
      <c r="AA46" s="252"/>
      <c r="AB46" s="258"/>
      <c r="AC46" s="253"/>
      <c r="AD46" s="253"/>
      <c r="AE46" s="216"/>
      <c r="AF46" s="252"/>
      <c r="AG46" s="258"/>
      <c r="AH46" s="216"/>
      <c r="AI46" s="216"/>
      <c r="AJ46" s="216"/>
      <c r="AK46" s="252"/>
      <c r="AL46" s="258"/>
      <c r="AM46" s="216"/>
      <c r="AN46" s="216"/>
      <c r="AO46" s="216"/>
      <c r="AP46" s="252"/>
      <c r="AQ46" s="258"/>
      <c r="AR46" s="216"/>
      <c r="AS46" s="216"/>
      <c r="AT46" s="216"/>
      <c r="AU46" s="254"/>
      <c r="AV46" s="258"/>
      <c r="AW46" s="216"/>
      <c r="AX46" s="216"/>
      <c r="AY46" s="216"/>
      <c r="AZ46" s="254"/>
      <c r="BA46" s="258"/>
      <c r="BB46" s="265"/>
      <c r="BC46" s="216"/>
      <c r="BD46" s="216"/>
      <c r="BE46" s="254"/>
      <c r="BF46" s="258"/>
      <c r="BG46" s="216"/>
      <c r="BH46" s="216"/>
      <c r="BI46" s="216"/>
      <c r="BJ46" s="254"/>
      <c r="BK46" s="258"/>
      <c r="BL46" s="216"/>
      <c r="BM46" s="216"/>
      <c r="BN46" s="216"/>
      <c r="BO46" s="254"/>
    </row>
    <row r="47" spans="2:67" hidden="1" outlineLevel="1">
      <c r="B47" s="90" t="s">
        <v>507</v>
      </c>
      <c r="C47" s="314" t="s">
        <v>73</v>
      </c>
      <c r="D47" s="91"/>
      <c r="E47" s="309" t="s">
        <v>309</v>
      </c>
      <c r="F47" s="344"/>
      <c r="G47" s="344"/>
      <c r="H47" s="334"/>
      <c r="I47" s="334"/>
      <c r="J47" s="251"/>
      <c r="K47" s="268"/>
      <c r="L47" s="312"/>
      <c r="M47" s="268"/>
      <c r="N47" s="224"/>
      <c r="O47" s="224"/>
      <c r="P47" s="224"/>
      <c r="Q47" s="312"/>
      <c r="R47" s="258"/>
      <c r="S47" s="216"/>
      <c r="T47" s="216"/>
      <c r="U47" s="216"/>
      <c r="V47" s="252"/>
      <c r="W47" s="258"/>
      <c r="X47" s="216"/>
      <c r="Y47" s="216"/>
      <c r="Z47" s="216"/>
      <c r="AA47" s="252"/>
      <c r="AB47" s="258"/>
      <c r="AC47" s="253"/>
      <c r="AD47" s="253"/>
      <c r="AE47" s="216"/>
      <c r="AF47" s="252"/>
      <c r="AG47" s="258"/>
      <c r="AH47" s="216"/>
      <c r="AI47" s="216"/>
      <c r="AJ47" s="216"/>
      <c r="AK47" s="252"/>
      <c r="AL47" s="258"/>
      <c r="AM47" s="216"/>
      <c r="AN47" s="216"/>
      <c r="AO47" s="216"/>
      <c r="AP47" s="252"/>
      <c r="AQ47" s="258"/>
      <c r="AR47" s="216"/>
      <c r="AS47" s="216"/>
      <c r="AT47" s="216"/>
      <c r="AU47" s="254"/>
      <c r="AV47" s="258"/>
      <c r="AW47" s="216"/>
      <c r="AX47" s="216"/>
      <c r="AY47" s="216"/>
      <c r="AZ47" s="254"/>
      <c r="BA47" s="258"/>
      <c r="BB47" s="265"/>
      <c r="BC47" s="216"/>
      <c r="BD47" s="216"/>
      <c r="BE47" s="254"/>
      <c r="BF47" s="258"/>
      <c r="BG47" s="216"/>
      <c r="BH47" s="216"/>
      <c r="BI47" s="216"/>
      <c r="BJ47" s="254"/>
      <c r="BK47" s="258"/>
      <c r="BL47" s="216"/>
      <c r="BM47" s="216"/>
      <c r="BN47" s="216"/>
      <c r="BO47" s="254"/>
    </row>
    <row r="48" spans="2:67" hidden="1" outlineLevel="1">
      <c r="B48" s="90" t="s">
        <v>508</v>
      </c>
      <c r="C48" s="314" t="s">
        <v>74</v>
      </c>
      <c r="D48" s="91"/>
      <c r="E48" s="309" t="s">
        <v>309</v>
      </c>
      <c r="F48" s="344"/>
      <c r="G48" s="344"/>
      <c r="H48" s="334"/>
      <c r="I48" s="334"/>
      <c r="J48" s="251"/>
      <c r="K48" s="268"/>
      <c r="L48" s="312"/>
      <c r="M48" s="268"/>
      <c r="N48" s="224"/>
      <c r="O48" s="224"/>
      <c r="P48" s="224"/>
      <c r="Q48" s="312"/>
      <c r="R48" s="258"/>
      <c r="S48" s="216"/>
      <c r="T48" s="216"/>
      <c r="U48" s="216"/>
      <c r="V48" s="252"/>
      <c r="W48" s="258"/>
      <c r="X48" s="216"/>
      <c r="Y48" s="216"/>
      <c r="Z48" s="216"/>
      <c r="AA48" s="252"/>
      <c r="AB48" s="258"/>
      <c r="AC48" s="253"/>
      <c r="AD48" s="253"/>
      <c r="AE48" s="216"/>
      <c r="AF48" s="252"/>
      <c r="AG48" s="258"/>
      <c r="AH48" s="216"/>
      <c r="AI48" s="216"/>
      <c r="AJ48" s="216"/>
      <c r="AK48" s="252"/>
      <c r="AL48" s="258"/>
      <c r="AM48" s="216"/>
      <c r="AN48" s="216"/>
      <c r="AO48" s="216"/>
      <c r="AP48" s="252"/>
      <c r="AQ48" s="258"/>
      <c r="AR48" s="216"/>
      <c r="AS48" s="216"/>
      <c r="AT48" s="216"/>
      <c r="AU48" s="254"/>
      <c r="AV48" s="258"/>
      <c r="AW48" s="216"/>
      <c r="AX48" s="216"/>
      <c r="AY48" s="216"/>
      <c r="AZ48" s="254"/>
      <c r="BA48" s="258"/>
      <c r="BB48" s="265"/>
      <c r="BC48" s="216"/>
      <c r="BD48" s="216"/>
      <c r="BE48" s="254"/>
      <c r="BF48" s="258"/>
      <c r="BG48" s="216"/>
      <c r="BH48" s="216"/>
      <c r="BI48" s="216"/>
      <c r="BJ48" s="254"/>
      <c r="BK48" s="258"/>
      <c r="BL48" s="216"/>
      <c r="BM48" s="216"/>
      <c r="BN48" s="216"/>
      <c r="BO48" s="254"/>
    </row>
    <row r="49" spans="2:67" hidden="1" outlineLevel="1">
      <c r="B49" s="90" t="s">
        <v>509</v>
      </c>
      <c r="C49" s="314" t="s">
        <v>75</v>
      </c>
      <c r="D49" s="91"/>
      <c r="E49" s="309" t="s">
        <v>309</v>
      </c>
      <c r="F49" s="344"/>
      <c r="G49" s="344"/>
      <c r="H49" s="334"/>
      <c r="I49" s="334"/>
      <c r="J49" s="251"/>
      <c r="K49" s="268"/>
      <c r="L49" s="312"/>
      <c r="M49" s="268"/>
      <c r="N49" s="224"/>
      <c r="O49" s="224"/>
      <c r="P49" s="224"/>
      <c r="Q49" s="312"/>
      <c r="R49" s="258"/>
      <c r="S49" s="216"/>
      <c r="T49" s="216"/>
      <c r="U49" s="216"/>
      <c r="V49" s="252"/>
      <c r="W49" s="258"/>
      <c r="X49" s="216"/>
      <c r="Y49" s="216"/>
      <c r="Z49" s="216"/>
      <c r="AA49" s="252"/>
      <c r="AB49" s="258"/>
      <c r="AC49" s="253"/>
      <c r="AD49" s="253"/>
      <c r="AE49" s="216"/>
      <c r="AF49" s="252"/>
      <c r="AG49" s="258"/>
      <c r="AH49" s="216"/>
      <c r="AI49" s="216"/>
      <c r="AJ49" s="216"/>
      <c r="AK49" s="252"/>
      <c r="AL49" s="258"/>
      <c r="AM49" s="216"/>
      <c r="AN49" s="216"/>
      <c r="AO49" s="216"/>
      <c r="AP49" s="252"/>
      <c r="AQ49" s="258"/>
      <c r="AR49" s="216"/>
      <c r="AS49" s="216"/>
      <c r="AT49" s="216"/>
      <c r="AU49" s="254"/>
      <c r="AV49" s="258"/>
      <c r="AW49" s="216"/>
      <c r="AX49" s="216"/>
      <c r="AY49" s="216"/>
      <c r="AZ49" s="254"/>
      <c r="BA49" s="258"/>
      <c r="BB49" s="265"/>
      <c r="BC49" s="216"/>
      <c r="BD49" s="216"/>
      <c r="BE49" s="254"/>
      <c r="BF49" s="258"/>
      <c r="BG49" s="216"/>
      <c r="BH49" s="216"/>
      <c r="BI49" s="216"/>
      <c r="BJ49" s="254"/>
      <c r="BK49" s="258"/>
      <c r="BL49" s="216"/>
      <c r="BM49" s="216"/>
      <c r="BN49" s="216"/>
      <c r="BO49" s="254"/>
    </row>
    <row r="50" spans="2:67" hidden="1" outlineLevel="1">
      <c r="B50" s="90" t="s">
        <v>510</v>
      </c>
      <c r="C50" s="314" t="s">
        <v>76</v>
      </c>
      <c r="D50" s="91"/>
      <c r="E50" s="309" t="s">
        <v>309</v>
      </c>
      <c r="F50" s="344"/>
      <c r="G50" s="344"/>
      <c r="H50" s="334"/>
      <c r="I50" s="334"/>
      <c r="J50" s="251"/>
      <c r="K50" s="268"/>
      <c r="L50" s="312"/>
      <c r="M50" s="268"/>
      <c r="N50" s="224"/>
      <c r="O50" s="224"/>
      <c r="P50" s="224"/>
      <c r="Q50" s="312"/>
      <c r="R50" s="258"/>
      <c r="S50" s="216"/>
      <c r="T50" s="216"/>
      <c r="U50" s="216"/>
      <c r="V50" s="252"/>
      <c r="W50" s="258"/>
      <c r="X50" s="216"/>
      <c r="Y50" s="216"/>
      <c r="Z50" s="216"/>
      <c r="AA50" s="252"/>
      <c r="AB50" s="258"/>
      <c r="AC50" s="253"/>
      <c r="AD50" s="253"/>
      <c r="AE50" s="216"/>
      <c r="AF50" s="252"/>
      <c r="AG50" s="258"/>
      <c r="AH50" s="216"/>
      <c r="AI50" s="216"/>
      <c r="AJ50" s="216"/>
      <c r="AK50" s="252"/>
      <c r="AL50" s="258"/>
      <c r="AM50" s="216"/>
      <c r="AN50" s="216"/>
      <c r="AO50" s="216"/>
      <c r="AP50" s="252"/>
      <c r="AQ50" s="258"/>
      <c r="AR50" s="216"/>
      <c r="AS50" s="216"/>
      <c r="AT50" s="216"/>
      <c r="AU50" s="254"/>
      <c r="AV50" s="258"/>
      <c r="AW50" s="216"/>
      <c r="AX50" s="216"/>
      <c r="AY50" s="216"/>
      <c r="AZ50" s="254"/>
      <c r="BA50" s="258"/>
      <c r="BB50" s="265"/>
      <c r="BC50" s="216"/>
      <c r="BD50" s="216"/>
      <c r="BE50" s="254"/>
      <c r="BF50" s="258"/>
      <c r="BG50" s="216"/>
      <c r="BH50" s="216"/>
      <c r="BI50" s="216"/>
      <c r="BJ50" s="254"/>
      <c r="BK50" s="258"/>
      <c r="BL50" s="216"/>
      <c r="BM50" s="216"/>
      <c r="BN50" s="216"/>
      <c r="BO50" s="254"/>
    </row>
    <row r="51" spans="2:67" hidden="1" outlineLevel="1">
      <c r="B51" s="90" t="s">
        <v>511</v>
      </c>
      <c r="C51" s="314" t="s">
        <v>77</v>
      </c>
      <c r="D51" s="91"/>
      <c r="E51" s="309" t="s">
        <v>309</v>
      </c>
      <c r="F51" s="344"/>
      <c r="G51" s="344"/>
      <c r="H51" s="334"/>
      <c r="I51" s="334"/>
      <c r="J51" s="251"/>
      <c r="K51" s="268"/>
      <c r="L51" s="312"/>
      <c r="M51" s="268"/>
      <c r="N51" s="224"/>
      <c r="O51" s="224"/>
      <c r="P51" s="224"/>
      <c r="Q51" s="312"/>
      <c r="R51" s="258"/>
      <c r="S51" s="216"/>
      <c r="T51" s="216"/>
      <c r="U51" s="216"/>
      <c r="V51" s="252"/>
      <c r="W51" s="258"/>
      <c r="X51" s="216"/>
      <c r="Y51" s="216"/>
      <c r="Z51" s="216"/>
      <c r="AA51" s="252"/>
      <c r="AB51" s="258"/>
      <c r="AC51" s="253"/>
      <c r="AD51" s="253"/>
      <c r="AE51" s="216"/>
      <c r="AF51" s="252"/>
      <c r="AG51" s="258"/>
      <c r="AH51" s="216"/>
      <c r="AI51" s="216"/>
      <c r="AJ51" s="216"/>
      <c r="AK51" s="252"/>
      <c r="AL51" s="258"/>
      <c r="AM51" s="216"/>
      <c r="AN51" s="216"/>
      <c r="AO51" s="216"/>
      <c r="AP51" s="252"/>
      <c r="AQ51" s="258"/>
      <c r="AR51" s="216"/>
      <c r="AS51" s="216"/>
      <c r="AT51" s="216"/>
      <c r="AU51" s="254"/>
      <c r="AV51" s="258"/>
      <c r="AW51" s="216"/>
      <c r="AX51" s="216"/>
      <c r="AY51" s="216"/>
      <c r="AZ51" s="254"/>
      <c r="BA51" s="258"/>
      <c r="BB51" s="265"/>
      <c r="BC51" s="216"/>
      <c r="BD51" s="216"/>
      <c r="BE51" s="254"/>
      <c r="BF51" s="258"/>
      <c r="BG51" s="216"/>
      <c r="BH51" s="216"/>
      <c r="BI51" s="216"/>
      <c r="BJ51" s="254"/>
      <c r="BK51" s="258"/>
      <c r="BL51" s="216"/>
      <c r="BM51" s="216"/>
      <c r="BN51" s="216"/>
      <c r="BO51" s="254"/>
    </row>
    <row r="52" spans="2:67" hidden="1" outlineLevel="1">
      <c r="B52" s="90" t="s">
        <v>512</v>
      </c>
      <c r="C52" s="314" t="s">
        <v>78</v>
      </c>
      <c r="D52" s="91"/>
      <c r="E52" s="309" t="s">
        <v>309</v>
      </c>
      <c r="F52" s="344"/>
      <c r="G52" s="344"/>
      <c r="H52" s="334"/>
      <c r="I52" s="334"/>
      <c r="J52" s="251"/>
      <c r="K52" s="268"/>
      <c r="L52" s="312"/>
      <c r="M52" s="268"/>
      <c r="N52" s="224"/>
      <c r="O52" s="224"/>
      <c r="P52" s="224"/>
      <c r="Q52" s="312"/>
      <c r="R52" s="258"/>
      <c r="S52" s="216"/>
      <c r="T52" s="216"/>
      <c r="U52" s="216"/>
      <c r="V52" s="252"/>
      <c r="W52" s="258"/>
      <c r="X52" s="216"/>
      <c r="Y52" s="216"/>
      <c r="Z52" s="216"/>
      <c r="AA52" s="252"/>
      <c r="AB52" s="258"/>
      <c r="AC52" s="253"/>
      <c r="AD52" s="253"/>
      <c r="AE52" s="216"/>
      <c r="AF52" s="252"/>
      <c r="AG52" s="258"/>
      <c r="AH52" s="216"/>
      <c r="AI52" s="216"/>
      <c r="AJ52" s="216"/>
      <c r="AK52" s="252"/>
      <c r="AL52" s="258"/>
      <c r="AM52" s="216"/>
      <c r="AN52" s="216"/>
      <c r="AO52" s="216"/>
      <c r="AP52" s="252"/>
      <c r="AQ52" s="258"/>
      <c r="AR52" s="216"/>
      <c r="AS52" s="216"/>
      <c r="AT52" s="216"/>
      <c r="AU52" s="254"/>
      <c r="AV52" s="258"/>
      <c r="AW52" s="216"/>
      <c r="AX52" s="216"/>
      <c r="AY52" s="216"/>
      <c r="AZ52" s="254"/>
      <c r="BA52" s="258"/>
      <c r="BB52" s="265"/>
      <c r="BC52" s="216"/>
      <c r="BD52" s="216"/>
      <c r="BE52" s="254"/>
      <c r="BF52" s="258"/>
      <c r="BG52" s="216"/>
      <c r="BH52" s="216"/>
      <c r="BI52" s="216"/>
      <c r="BJ52" s="254"/>
      <c r="BK52" s="258"/>
      <c r="BL52" s="216"/>
      <c r="BM52" s="216"/>
      <c r="BN52" s="216"/>
      <c r="BO52" s="254"/>
    </row>
    <row r="53" spans="2:67" ht="18.5" collapsed="1" thickBot="1">
      <c r="B53" s="259" t="s">
        <v>513</v>
      </c>
      <c r="C53" s="261" t="s">
        <v>602</v>
      </c>
      <c r="D53" s="308" t="s">
        <v>121</v>
      </c>
      <c r="E53" s="308" t="s">
        <v>668</v>
      </c>
      <c r="F53" s="308" t="s">
        <v>591</v>
      </c>
      <c r="G53" s="308" t="s">
        <v>591</v>
      </c>
      <c r="H53" s="334"/>
      <c r="I53" s="334"/>
      <c r="J53" s="251"/>
      <c r="K53" s="268"/>
      <c r="L53" s="312"/>
      <c r="M53" s="268"/>
      <c r="N53" s="224"/>
      <c r="O53" s="224"/>
      <c r="P53" s="224"/>
      <c r="Q53" s="312"/>
      <c r="R53" s="258"/>
      <c r="S53" s="216"/>
      <c r="T53" s="216"/>
      <c r="U53" s="216"/>
      <c r="V53" s="252"/>
      <c r="W53" s="258"/>
      <c r="X53" s="216"/>
      <c r="Y53" s="216"/>
      <c r="Z53" s="216"/>
      <c r="AA53" s="252"/>
      <c r="AB53" s="258"/>
      <c r="AC53" s="253"/>
      <c r="AD53" s="253"/>
      <c r="AE53" s="216"/>
      <c r="AF53" s="252"/>
      <c r="AG53" s="258"/>
      <c r="AH53" s="216"/>
      <c r="AI53" s="216"/>
      <c r="AJ53" s="216"/>
      <c r="AK53" s="252"/>
      <c r="AL53" s="258"/>
      <c r="AM53" s="216"/>
      <c r="AN53" s="216"/>
      <c r="AO53" s="216"/>
      <c r="AP53" s="252"/>
      <c r="AQ53" s="258"/>
      <c r="AR53" s="216"/>
      <c r="AS53" s="216"/>
      <c r="AT53" s="216"/>
      <c r="AU53" s="254"/>
      <c r="AV53" s="258"/>
      <c r="AW53" s="216"/>
      <c r="AX53" s="216"/>
      <c r="AY53" s="216"/>
      <c r="AZ53" s="254"/>
      <c r="BA53" s="258"/>
      <c r="BB53" s="265"/>
      <c r="BC53" s="216"/>
      <c r="BD53" s="216"/>
      <c r="BE53" s="254"/>
      <c r="BF53" s="258"/>
      <c r="BG53" s="216"/>
      <c r="BH53" s="216"/>
      <c r="BI53" s="216"/>
      <c r="BJ53" s="254"/>
      <c r="BK53" s="258"/>
      <c r="BL53" s="216"/>
      <c r="BM53" s="216"/>
      <c r="BN53" s="216"/>
      <c r="BO53" s="254"/>
    </row>
    <row r="54" spans="2:67" hidden="1" outlineLevel="1">
      <c r="B54" s="90" t="s">
        <v>603</v>
      </c>
      <c r="C54" s="314" t="s">
        <v>110</v>
      </c>
      <c r="D54" s="257"/>
      <c r="E54" s="308" t="s">
        <v>15</v>
      </c>
      <c r="F54" s="344"/>
      <c r="G54" s="344"/>
      <c r="H54" s="330"/>
      <c r="I54" s="330"/>
      <c r="J54" s="251"/>
      <c r="K54" s="268"/>
      <c r="L54" s="312"/>
      <c r="M54" s="268"/>
      <c r="N54" s="224"/>
      <c r="O54" s="224"/>
      <c r="P54" s="224"/>
      <c r="Q54" s="312"/>
      <c r="R54" s="258"/>
      <c r="S54" s="216"/>
      <c r="T54" s="216"/>
      <c r="U54" s="216"/>
      <c r="V54" s="252"/>
      <c r="W54" s="258"/>
      <c r="X54" s="216"/>
      <c r="Y54" s="216"/>
      <c r="Z54" s="216"/>
      <c r="AA54" s="252"/>
      <c r="AB54" s="258"/>
      <c r="AC54" s="253"/>
      <c r="AD54" s="253"/>
      <c r="AE54" s="216"/>
      <c r="AF54" s="252"/>
      <c r="AG54" s="258"/>
      <c r="AH54" s="216"/>
      <c r="AI54" s="216"/>
      <c r="AJ54" s="216"/>
      <c r="AK54" s="252"/>
      <c r="AL54" s="258"/>
      <c r="AM54" s="216"/>
      <c r="AN54" s="216"/>
      <c r="AO54" s="216"/>
      <c r="AP54" s="252"/>
      <c r="AQ54" s="258"/>
      <c r="AR54" s="216"/>
      <c r="AS54" s="216"/>
      <c r="AT54" s="216"/>
      <c r="AU54" s="254"/>
      <c r="AV54" s="258"/>
      <c r="AW54" s="216"/>
      <c r="AX54" s="216"/>
      <c r="AY54" s="216"/>
      <c r="AZ54" s="254"/>
      <c r="BA54" s="258"/>
      <c r="BB54" s="265"/>
      <c r="BC54" s="216"/>
      <c r="BD54" s="216"/>
      <c r="BE54" s="254"/>
      <c r="BF54" s="258"/>
      <c r="BG54" s="216"/>
      <c r="BH54" s="216"/>
      <c r="BI54" s="216"/>
      <c r="BJ54" s="254"/>
      <c r="BK54" s="258"/>
      <c r="BL54" s="216"/>
      <c r="BM54" s="216"/>
      <c r="BN54" s="216"/>
      <c r="BO54" s="254"/>
    </row>
    <row r="55" spans="2:67" hidden="1" outlineLevel="1">
      <c r="B55" s="90" t="s">
        <v>604</v>
      </c>
      <c r="C55" s="314" t="s">
        <v>111</v>
      </c>
      <c r="D55" s="257"/>
      <c r="E55" s="308" t="s">
        <v>15</v>
      </c>
      <c r="F55" s="344"/>
      <c r="G55" s="344"/>
      <c r="H55" s="330"/>
      <c r="I55" s="330"/>
      <c r="J55" s="251"/>
      <c r="K55" s="268"/>
      <c r="L55" s="312"/>
      <c r="M55" s="268"/>
      <c r="N55" s="224"/>
      <c r="O55" s="224"/>
      <c r="P55" s="224"/>
      <c r="Q55" s="312"/>
      <c r="R55" s="258"/>
      <c r="S55" s="216"/>
      <c r="T55" s="216"/>
      <c r="U55" s="216"/>
      <c r="V55" s="252"/>
      <c r="W55" s="258"/>
      <c r="X55" s="216"/>
      <c r="Y55" s="216"/>
      <c r="Z55" s="216"/>
      <c r="AA55" s="252"/>
      <c r="AB55" s="258"/>
      <c r="AC55" s="253"/>
      <c r="AD55" s="253"/>
      <c r="AE55" s="216"/>
      <c r="AF55" s="252"/>
      <c r="AG55" s="258"/>
      <c r="AH55" s="216"/>
      <c r="AI55" s="216"/>
      <c r="AJ55" s="216"/>
      <c r="AK55" s="252"/>
      <c r="AL55" s="258"/>
      <c r="AM55" s="216"/>
      <c r="AN55" s="216"/>
      <c r="AO55" s="216"/>
      <c r="AP55" s="252"/>
      <c r="AQ55" s="258"/>
      <c r="AR55" s="216"/>
      <c r="AS55" s="216"/>
      <c r="AT55" s="216"/>
      <c r="AU55" s="254"/>
      <c r="AV55" s="258"/>
      <c r="AW55" s="216"/>
      <c r="AX55" s="216"/>
      <c r="AY55" s="216"/>
      <c r="AZ55" s="254"/>
      <c r="BA55" s="258"/>
      <c r="BB55" s="265"/>
      <c r="BC55" s="216"/>
      <c r="BD55" s="216"/>
      <c r="BE55" s="254"/>
      <c r="BF55" s="258"/>
      <c r="BG55" s="216"/>
      <c r="BH55" s="216"/>
      <c r="BI55" s="216"/>
      <c r="BJ55" s="254"/>
      <c r="BK55" s="258"/>
      <c r="BL55" s="216"/>
      <c r="BM55" s="216"/>
      <c r="BN55" s="216"/>
      <c r="BO55" s="254"/>
    </row>
    <row r="56" spans="2:67" hidden="1" outlineLevel="1">
      <c r="B56" s="90" t="s">
        <v>605</v>
      </c>
      <c r="C56" s="314" t="s">
        <v>112</v>
      </c>
      <c r="D56" s="257"/>
      <c r="E56" s="308" t="s">
        <v>591</v>
      </c>
      <c r="F56" s="344"/>
      <c r="G56" s="344"/>
      <c r="H56" s="330"/>
      <c r="I56" s="330"/>
      <c r="J56" s="251"/>
      <c r="K56" s="268"/>
      <c r="L56" s="312"/>
      <c r="M56" s="268"/>
      <c r="N56" s="224"/>
      <c r="O56" s="224"/>
      <c r="P56" s="224"/>
      <c r="Q56" s="312"/>
      <c r="R56" s="258"/>
      <c r="S56" s="216"/>
      <c r="T56" s="216"/>
      <c r="U56" s="216"/>
      <c r="V56" s="252"/>
      <c r="W56" s="258"/>
      <c r="X56" s="216"/>
      <c r="Y56" s="216"/>
      <c r="Z56" s="216"/>
      <c r="AA56" s="252"/>
      <c r="AB56" s="258"/>
      <c r="AC56" s="253"/>
      <c r="AD56" s="253"/>
      <c r="AE56" s="216"/>
      <c r="AF56" s="252"/>
      <c r="AG56" s="258"/>
      <c r="AH56" s="216"/>
      <c r="AI56" s="216"/>
      <c r="AJ56" s="216"/>
      <c r="AK56" s="252"/>
      <c r="AL56" s="258"/>
      <c r="AM56" s="216"/>
      <c r="AN56" s="216"/>
      <c r="AO56" s="216"/>
      <c r="AP56" s="252"/>
      <c r="AQ56" s="258"/>
      <c r="AR56" s="216"/>
      <c r="AS56" s="216"/>
      <c r="AT56" s="216"/>
      <c r="AU56" s="254"/>
      <c r="AV56" s="258"/>
      <c r="AW56" s="216"/>
      <c r="AX56" s="216"/>
      <c r="AY56" s="216"/>
      <c r="AZ56" s="254"/>
      <c r="BA56" s="258"/>
      <c r="BB56" s="265"/>
      <c r="BC56" s="216"/>
      <c r="BD56" s="216"/>
      <c r="BE56" s="254"/>
      <c r="BF56" s="258"/>
      <c r="BG56" s="216"/>
      <c r="BH56" s="216"/>
      <c r="BI56" s="216"/>
      <c r="BJ56" s="254"/>
      <c r="BK56" s="258"/>
      <c r="BL56" s="216"/>
      <c r="BM56" s="216"/>
      <c r="BN56" s="216"/>
      <c r="BO56" s="254"/>
    </row>
    <row r="57" spans="2:67" hidden="1" outlineLevel="1">
      <c r="B57" s="90" t="s">
        <v>606</v>
      </c>
      <c r="C57" s="314" t="s">
        <v>51</v>
      </c>
      <c r="D57" s="257"/>
      <c r="E57" s="308" t="s">
        <v>591</v>
      </c>
      <c r="F57" s="344"/>
      <c r="G57" s="344"/>
      <c r="H57" s="330"/>
      <c r="I57" s="330"/>
      <c r="J57" s="251"/>
      <c r="K57" s="268"/>
      <c r="L57" s="312"/>
      <c r="M57" s="268"/>
      <c r="N57" s="224"/>
      <c r="O57" s="224"/>
      <c r="P57" s="224"/>
      <c r="Q57" s="312"/>
      <c r="R57" s="258"/>
      <c r="S57" s="216"/>
      <c r="T57" s="216"/>
      <c r="U57" s="216"/>
      <c r="V57" s="252"/>
      <c r="W57" s="258"/>
      <c r="X57" s="216"/>
      <c r="Y57" s="216"/>
      <c r="Z57" s="216"/>
      <c r="AA57" s="252"/>
      <c r="AB57" s="258"/>
      <c r="AC57" s="253"/>
      <c r="AD57" s="253"/>
      <c r="AE57" s="216"/>
      <c r="AF57" s="252"/>
      <c r="AG57" s="258"/>
      <c r="AH57" s="216"/>
      <c r="AI57" s="216"/>
      <c r="AJ57" s="216"/>
      <c r="AK57" s="252"/>
      <c r="AL57" s="258"/>
      <c r="AM57" s="216"/>
      <c r="AN57" s="216"/>
      <c r="AO57" s="216"/>
      <c r="AP57" s="252"/>
      <c r="AQ57" s="258"/>
      <c r="AR57" s="216"/>
      <c r="AS57" s="216"/>
      <c r="AT57" s="216"/>
      <c r="AU57" s="254"/>
      <c r="AV57" s="258"/>
      <c r="AW57" s="216"/>
      <c r="AX57" s="216"/>
      <c r="AY57" s="216"/>
      <c r="AZ57" s="254"/>
      <c r="BA57" s="258"/>
      <c r="BB57" s="265"/>
      <c r="BC57" s="216"/>
      <c r="BD57" s="216"/>
      <c r="BE57" s="254"/>
      <c r="BF57" s="258"/>
      <c r="BG57" s="216"/>
      <c r="BH57" s="216"/>
      <c r="BI57" s="216"/>
      <c r="BJ57" s="254"/>
      <c r="BK57" s="258"/>
      <c r="BL57" s="216"/>
      <c r="BM57" s="216"/>
      <c r="BN57" s="216"/>
      <c r="BO57" s="254"/>
    </row>
    <row r="58" spans="2:67" hidden="1" outlineLevel="1">
      <c r="B58" s="90" t="s">
        <v>607</v>
      </c>
      <c r="C58" s="314" t="s">
        <v>68</v>
      </c>
      <c r="D58" s="257"/>
      <c r="E58" s="308" t="s">
        <v>591</v>
      </c>
      <c r="F58" s="344"/>
      <c r="G58" s="344"/>
      <c r="H58" s="330"/>
      <c r="I58" s="330"/>
      <c r="J58" s="251"/>
      <c r="K58" s="268"/>
      <c r="L58" s="312"/>
      <c r="M58" s="268"/>
      <c r="N58" s="224"/>
      <c r="O58" s="224"/>
      <c r="P58" s="224"/>
      <c r="Q58" s="312"/>
      <c r="R58" s="258"/>
      <c r="S58" s="216"/>
      <c r="T58" s="216"/>
      <c r="U58" s="216"/>
      <c r="V58" s="252"/>
      <c r="W58" s="258"/>
      <c r="X58" s="216"/>
      <c r="Y58" s="216"/>
      <c r="Z58" s="216"/>
      <c r="AA58" s="252"/>
      <c r="AB58" s="258"/>
      <c r="AC58" s="253"/>
      <c r="AD58" s="253"/>
      <c r="AE58" s="216"/>
      <c r="AF58" s="252"/>
      <c r="AG58" s="258"/>
      <c r="AH58" s="216"/>
      <c r="AI58" s="216"/>
      <c r="AJ58" s="216"/>
      <c r="AK58" s="252"/>
      <c r="AL58" s="258"/>
      <c r="AM58" s="216"/>
      <c r="AN58" s="216"/>
      <c r="AO58" s="216"/>
      <c r="AP58" s="252"/>
      <c r="AQ58" s="258"/>
      <c r="AR58" s="216"/>
      <c r="AS58" s="216"/>
      <c r="AT58" s="216"/>
      <c r="AU58" s="254"/>
      <c r="AV58" s="258"/>
      <c r="AW58" s="216"/>
      <c r="AX58" s="216"/>
      <c r="AY58" s="216"/>
      <c r="AZ58" s="254"/>
      <c r="BA58" s="258"/>
      <c r="BB58" s="265"/>
      <c r="BC58" s="216"/>
      <c r="BD58" s="216"/>
      <c r="BE58" s="254"/>
      <c r="BF58" s="258"/>
      <c r="BG58" s="216"/>
      <c r="BH58" s="216"/>
      <c r="BI58" s="216"/>
      <c r="BJ58" s="254"/>
      <c r="BK58" s="258"/>
      <c r="BL58" s="216"/>
      <c r="BM58" s="216"/>
      <c r="BN58" s="216"/>
      <c r="BO58" s="254"/>
    </row>
    <row r="59" spans="2:67" hidden="1" outlineLevel="1">
      <c r="B59" s="90" t="s">
        <v>608</v>
      </c>
      <c r="C59" s="314" t="s">
        <v>52</v>
      </c>
      <c r="D59" s="257"/>
      <c r="E59" s="308" t="s">
        <v>591</v>
      </c>
      <c r="F59" s="344"/>
      <c r="G59" s="344"/>
      <c r="H59" s="330"/>
      <c r="I59" s="330"/>
      <c r="J59" s="251"/>
      <c r="K59" s="268"/>
      <c r="L59" s="312"/>
      <c r="M59" s="268"/>
      <c r="N59" s="224"/>
      <c r="O59" s="224"/>
      <c r="P59" s="224"/>
      <c r="Q59" s="312"/>
      <c r="R59" s="258"/>
      <c r="S59" s="216"/>
      <c r="T59" s="216"/>
      <c r="U59" s="216"/>
      <c r="V59" s="252"/>
      <c r="W59" s="258"/>
      <c r="X59" s="216"/>
      <c r="Y59" s="216"/>
      <c r="Z59" s="216"/>
      <c r="AA59" s="252"/>
      <c r="AB59" s="258"/>
      <c r="AC59" s="253"/>
      <c r="AD59" s="253"/>
      <c r="AE59" s="216"/>
      <c r="AF59" s="252"/>
      <c r="AG59" s="258"/>
      <c r="AH59" s="216"/>
      <c r="AI59" s="216"/>
      <c r="AJ59" s="216"/>
      <c r="AK59" s="252"/>
      <c r="AL59" s="258"/>
      <c r="AM59" s="216"/>
      <c r="AN59" s="216"/>
      <c r="AO59" s="216"/>
      <c r="AP59" s="252"/>
      <c r="AQ59" s="258"/>
      <c r="AR59" s="216"/>
      <c r="AS59" s="216"/>
      <c r="AT59" s="216"/>
      <c r="AU59" s="254"/>
      <c r="AV59" s="258"/>
      <c r="AW59" s="216"/>
      <c r="AX59" s="216"/>
      <c r="AY59" s="216"/>
      <c r="AZ59" s="254"/>
      <c r="BA59" s="258"/>
      <c r="BB59" s="265"/>
      <c r="BC59" s="216"/>
      <c r="BD59" s="216"/>
      <c r="BE59" s="254"/>
      <c r="BF59" s="258"/>
      <c r="BG59" s="216"/>
      <c r="BH59" s="216"/>
      <c r="BI59" s="216"/>
      <c r="BJ59" s="254"/>
      <c r="BK59" s="258"/>
      <c r="BL59" s="216"/>
      <c r="BM59" s="216"/>
      <c r="BN59" s="216"/>
      <c r="BO59" s="254"/>
    </row>
    <row r="60" spans="2:67" hidden="1" outlineLevel="1">
      <c r="B60" s="90" t="s">
        <v>609</v>
      </c>
      <c r="C60" s="314" t="s">
        <v>55</v>
      </c>
      <c r="D60" s="257"/>
      <c r="E60" s="308" t="s">
        <v>591</v>
      </c>
      <c r="F60" s="344"/>
      <c r="G60" s="344"/>
      <c r="H60" s="330"/>
      <c r="I60" s="330"/>
      <c r="J60" s="251"/>
      <c r="K60" s="268"/>
      <c r="L60" s="312"/>
      <c r="M60" s="268"/>
      <c r="N60" s="224"/>
      <c r="O60" s="224"/>
      <c r="P60" s="224"/>
      <c r="Q60" s="312"/>
      <c r="R60" s="258"/>
      <c r="S60" s="216"/>
      <c r="T60" s="216"/>
      <c r="U60" s="216"/>
      <c r="V60" s="252"/>
      <c r="W60" s="258"/>
      <c r="X60" s="216"/>
      <c r="Y60" s="216"/>
      <c r="Z60" s="216"/>
      <c r="AA60" s="252"/>
      <c r="AB60" s="258"/>
      <c r="AC60" s="253"/>
      <c r="AD60" s="253"/>
      <c r="AE60" s="216"/>
      <c r="AF60" s="252"/>
      <c r="AG60" s="258"/>
      <c r="AH60" s="216"/>
      <c r="AI60" s="216"/>
      <c r="AJ60" s="216"/>
      <c r="AK60" s="252"/>
      <c r="AL60" s="258"/>
      <c r="AM60" s="216"/>
      <c r="AN60" s="216"/>
      <c r="AO60" s="216"/>
      <c r="AP60" s="252"/>
      <c r="AQ60" s="258"/>
      <c r="AR60" s="216"/>
      <c r="AS60" s="216"/>
      <c r="AT60" s="216"/>
      <c r="AU60" s="254"/>
      <c r="AV60" s="258"/>
      <c r="AW60" s="216"/>
      <c r="AX60" s="216"/>
      <c r="AY60" s="216"/>
      <c r="AZ60" s="254"/>
      <c r="BA60" s="258"/>
      <c r="BB60" s="265"/>
      <c r="BC60" s="216"/>
      <c r="BD60" s="216"/>
      <c r="BE60" s="254"/>
      <c r="BF60" s="258"/>
      <c r="BG60" s="216"/>
      <c r="BH60" s="216"/>
      <c r="BI60" s="216"/>
      <c r="BJ60" s="254"/>
      <c r="BK60" s="258"/>
      <c r="BL60" s="216"/>
      <c r="BM60" s="216"/>
      <c r="BN60" s="216"/>
      <c r="BO60" s="254"/>
    </row>
    <row r="61" spans="2:67" hidden="1" outlineLevel="1">
      <c r="B61" s="90" t="s">
        <v>610</v>
      </c>
      <c r="C61" s="314" t="s">
        <v>69</v>
      </c>
      <c r="D61" s="257"/>
      <c r="E61" s="308" t="s">
        <v>591</v>
      </c>
      <c r="F61" s="344"/>
      <c r="G61" s="344"/>
      <c r="H61" s="330"/>
      <c r="I61" s="330"/>
      <c r="J61" s="251"/>
      <c r="K61" s="268"/>
      <c r="L61" s="312"/>
      <c r="M61" s="268"/>
      <c r="N61" s="224"/>
      <c r="O61" s="224"/>
      <c r="P61" s="224"/>
      <c r="Q61" s="312"/>
      <c r="R61" s="258"/>
      <c r="S61" s="216"/>
      <c r="T61" s="216"/>
      <c r="U61" s="216"/>
      <c r="V61" s="252"/>
      <c r="W61" s="258"/>
      <c r="X61" s="216"/>
      <c r="Y61" s="216"/>
      <c r="Z61" s="216"/>
      <c r="AA61" s="252"/>
      <c r="AB61" s="258"/>
      <c r="AC61" s="253"/>
      <c r="AD61" s="253"/>
      <c r="AE61" s="216"/>
      <c r="AF61" s="252"/>
      <c r="AG61" s="258"/>
      <c r="AH61" s="216"/>
      <c r="AI61" s="216"/>
      <c r="AJ61" s="216"/>
      <c r="AK61" s="252"/>
      <c r="AL61" s="258"/>
      <c r="AM61" s="216"/>
      <c r="AN61" s="216"/>
      <c r="AO61" s="216"/>
      <c r="AP61" s="252"/>
      <c r="AQ61" s="258"/>
      <c r="AR61" s="216"/>
      <c r="AS61" s="216"/>
      <c r="AT61" s="216"/>
      <c r="AU61" s="254"/>
      <c r="AV61" s="258"/>
      <c r="AW61" s="216"/>
      <c r="AX61" s="216"/>
      <c r="AY61" s="216"/>
      <c r="AZ61" s="254"/>
      <c r="BA61" s="258"/>
      <c r="BB61" s="265"/>
      <c r="BC61" s="216"/>
      <c r="BD61" s="216"/>
      <c r="BE61" s="254"/>
      <c r="BF61" s="258"/>
      <c r="BG61" s="216"/>
      <c r="BH61" s="216"/>
      <c r="BI61" s="216"/>
      <c r="BJ61" s="254"/>
      <c r="BK61" s="258"/>
      <c r="BL61" s="216"/>
      <c r="BM61" s="216"/>
      <c r="BN61" s="216"/>
      <c r="BO61" s="254"/>
    </row>
    <row r="62" spans="2:67" hidden="1" outlineLevel="1">
      <c r="B62" s="90" t="s">
        <v>611</v>
      </c>
      <c r="C62" s="314" t="s">
        <v>56</v>
      </c>
      <c r="D62" s="257"/>
      <c r="E62" s="308" t="s">
        <v>591</v>
      </c>
      <c r="F62" s="344"/>
      <c r="G62" s="344"/>
      <c r="H62" s="330"/>
      <c r="I62" s="330"/>
      <c r="J62" s="251"/>
      <c r="K62" s="268"/>
      <c r="L62" s="312"/>
      <c r="M62" s="268"/>
      <c r="N62" s="224"/>
      <c r="O62" s="224"/>
      <c r="P62" s="224"/>
      <c r="Q62" s="312"/>
      <c r="R62" s="258"/>
      <c r="S62" s="216"/>
      <c r="T62" s="216"/>
      <c r="U62" s="216"/>
      <c r="V62" s="252"/>
      <c r="W62" s="258"/>
      <c r="X62" s="216"/>
      <c r="Y62" s="216"/>
      <c r="Z62" s="216"/>
      <c r="AA62" s="252"/>
      <c r="AB62" s="258"/>
      <c r="AC62" s="253"/>
      <c r="AD62" s="253"/>
      <c r="AE62" s="216"/>
      <c r="AF62" s="252"/>
      <c r="AG62" s="258"/>
      <c r="AH62" s="216"/>
      <c r="AI62" s="216"/>
      <c r="AJ62" s="216"/>
      <c r="AK62" s="252"/>
      <c r="AL62" s="258"/>
      <c r="AM62" s="216"/>
      <c r="AN62" s="216"/>
      <c r="AO62" s="216"/>
      <c r="AP62" s="252"/>
      <c r="AQ62" s="258"/>
      <c r="AR62" s="216"/>
      <c r="AS62" s="216"/>
      <c r="AT62" s="216"/>
      <c r="AU62" s="254"/>
      <c r="AV62" s="258"/>
      <c r="AW62" s="216"/>
      <c r="AX62" s="216"/>
      <c r="AY62" s="216"/>
      <c r="AZ62" s="254"/>
      <c r="BA62" s="258"/>
      <c r="BB62" s="265"/>
      <c r="BC62" s="216"/>
      <c r="BD62" s="216"/>
      <c r="BE62" s="254"/>
      <c r="BF62" s="258"/>
      <c r="BG62" s="216"/>
      <c r="BH62" s="216"/>
      <c r="BI62" s="216"/>
      <c r="BJ62" s="254"/>
      <c r="BK62" s="258"/>
      <c r="BL62" s="216"/>
      <c r="BM62" s="216"/>
      <c r="BN62" s="216"/>
      <c r="BO62" s="254"/>
    </row>
    <row r="63" spans="2:67" hidden="1" outlineLevel="1">
      <c r="B63" s="90" t="s">
        <v>612</v>
      </c>
      <c r="C63" s="314" t="s">
        <v>70</v>
      </c>
      <c r="D63" s="257"/>
      <c r="E63" s="308" t="s">
        <v>591</v>
      </c>
      <c r="F63" s="344"/>
      <c r="G63" s="344"/>
      <c r="H63" s="330"/>
      <c r="I63" s="330"/>
      <c r="J63" s="251"/>
      <c r="K63" s="268"/>
      <c r="L63" s="312"/>
      <c r="M63" s="268"/>
      <c r="N63" s="224"/>
      <c r="O63" s="224"/>
      <c r="P63" s="224"/>
      <c r="Q63" s="312"/>
      <c r="R63" s="258"/>
      <c r="S63" s="216"/>
      <c r="T63" s="216"/>
      <c r="U63" s="216"/>
      <c r="V63" s="252"/>
      <c r="W63" s="258"/>
      <c r="X63" s="216"/>
      <c r="Y63" s="216"/>
      <c r="Z63" s="216"/>
      <c r="AA63" s="252"/>
      <c r="AB63" s="258"/>
      <c r="AC63" s="253"/>
      <c r="AD63" s="253"/>
      <c r="AE63" s="216"/>
      <c r="AF63" s="252"/>
      <c r="AG63" s="258"/>
      <c r="AH63" s="216"/>
      <c r="AI63" s="216"/>
      <c r="AJ63" s="216"/>
      <c r="AK63" s="252"/>
      <c r="AL63" s="258"/>
      <c r="AM63" s="216"/>
      <c r="AN63" s="216"/>
      <c r="AO63" s="216"/>
      <c r="AP63" s="252"/>
      <c r="AQ63" s="258"/>
      <c r="AR63" s="216"/>
      <c r="AS63" s="216"/>
      <c r="AT63" s="216"/>
      <c r="AU63" s="254"/>
      <c r="AV63" s="258"/>
      <c r="AW63" s="216"/>
      <c r="AX63" s="216"/>
      <c r="AY63" s="216"/>
      <c r="AZ63" s="254"/>
      <c r="BA63" s="258"/>
      <c r="BB63" s="265"/>
      <c r="BC63" s="216"/>
      <c r="BD63" s="216"/>
      <c r="BE63" s="254"/>
      <c r="BF63" s="258"/>
      <c r="BG63" s="216"/>
      <c r="BH63" s="216"/>
      <c r="BI63" s="216"/>
      <c r="BJ63" s="254"/>
      <c r="BK63" s="258"/>
      <c r="BL63" s="216"/>
      <c r="BM63" s="216"/>
      <c r="BN63" s="216"/>
      <c r="BO63" s="254"/>
    </row>
    <row r="64" spans="2:67" hidden="1" outlineLevel="1">
      <c r="B64" s="90" t="s">
        <v>613</v>
      </c>
      <c r="C64" s="314" t="s">
        <v>71</v>
      </c>
      <c r="D64" s="257"/>
      <c r="E64" s="308" t="s">
        <v>591</v>
      </c>
      <c r="F64" s="344"/>
      <c r="G64" s="344"/>
      <c r="H64" s="330"/>
      <c r="I64" s="330"/>
      <c r="J64" s="251"/>
      <c r="K64" s="268"/>
      <c r="L64" s="312"/>
      <c r="M64" s="268"/>
      <c r="N64" s="224"/>
      <c r="O64" s="224"/>
      <c r="P64" s="224"/>
      <c r="Q64" s="312"/>
      <c r="R64" s="258"/>
      <c r="S64" s="216"/>
      <c r="T64" s="216"/>
      <c r="U64" s="216"/>
      <c r="V64" s="252"/>
      <c r="W64" s="258"/>
      <c r="X64" s="216"/>
      <c r="Y64" s="216"/>
      <c r="Z64" s="216"/>
      <c r="AA64" s="252"/>
      <c r="AB64" s="258"/>
      <c r="AC64" s="253"/>
      <c r="AD64" s="253"/>
      <c r="AE64" s="216"/>
      <c r="AF64" s="252"/>
      <c r="AG64" s="258"/>
      <c r="AH64" s="216"/>
      <c r="AI64" s="216"/>
      <c r="AJ64" s="216"/>
      <c r="AK64" s="252"/>
      <c r="AL64" s="258"/>
      <c r="AM64" s="216"/>
      <c r="AN64" s="216"/>
      <c r="AO64" s="216"/>
      <c r="AP64" s="252"/>
      <c r="AQ64" s="258"/>
      <c r="AR64" s="216"/>
      <c r="AS64" s="216"/>
      <c r="AT64" s="216"/>
      <c r="AU64" s="254"/>
      <c r="AV64" s="258"/>
      <c r="AW64" s="216"/>
      <c r="AX64" s="216"/>
      <c r="AY64" s="216"/>
      <c r="AZ64" s="254"/>
      <c r="BA64" s="258"/>
      <c r="BB64" s="265"/>
      <c r="BC64" s="216"/>
      <c r="BD64" s="216"/>
      <c r="BE64" s="254"/>
      <c r="BF64" s="258"/>
      <c r="BG64" s="216"/>
      <c r="BH64" s="216"/>
      <c r="BI64" s="216"/>
      <c r="BJ64" s="254"/>
      <c r="BK64" s="258"/>
      <c r="BL64" s="216"/>
      <c r="BM64" s="216"/>
      <c r="BN64" s="216"/>
      <c r="BO64" s="254"/>
    </row>
    <row r="65" spans="2:67" hidden="1" outlineLevel="1">
      <c r="B65" s="90" t="s">
        <v>614</v>
      </c>
      <c r="C65" s="314" t="s">
        <v>72</v>
      </c>
      <c r="D65" s="257"/>
      <c r="E65" s="308" t="s">
        <v>591</v>
      </c>
      <c r="F65" s="344"/>
      <c r="G65" s="344"/>
      <c r="H65" s="330"/>
      <c r="I65" s="330"/>
      <c r="J65" s="251"/>
      <c r="K65" s="268"/>
      <c r="L65" s="312"/>
      <c r="M65" s="268"/>
      <c r="N65" s="224"/>
      <c r="O65" s="224"/>
      <c r="P65" s="224"/>
      <c r="Q65" s="312"/>
      <c r="R65" s="258"/>
      <c r="S65" s="216"/>
      <c r="T65" s="216"/>
      <c r="U65" s="216"/>
      <c r="V65" s="252"/>
      <c r="W65" s="258"/>
      <c r="X65" s="216"/>
      <c r="Y65" s="216"/>
      <c r="Z65" s="216"/>
      <c r="AA65" s="252"/>
      <c r="AB65" s="258"/>
      <c r="AC65" s="253"/>
      <c r="AD65" s="253"/>
      <c r="AE65" s="216"/>
      <c r="AF65" s="252"/>
      <c r="AG65" s="258"/>
      <c r="AH65" s="216"/>
      <c r="AI65" s="216"/>
      <c r="AJ65" s="216"/>
      <c r="AK65" s="252"/>
      <c r="AL65" s="258"/>
      <c r="AM65" s="216"/>
      <c r="AN65" s="216"/>
      <c r="AO65" s="216"/>
      <c r="AP65" s="252"/>
      <c r="AQ65" s="258"/>
      <c r="AR65" s="216"/>
      <c r="AS65" s="216"/>
      <c r="AT65" s="216"/>
      <c r="AU65" s="254"/>
      <c r="AV65" s="258"/>
      <c r="AW65" s="216"/>
      <c r="AX65" s="216"/>
      <c r="AY65" s="216"/>
      <c r="AZ65" s="254"/>
      <c r="BA65" s="258"/>
      <c r="BB65" s="265"/>
      <c r="BC65" s="216"/>
      <c r="BD65" s="216"/>
      <c r="BE65" s="254"/>
      <c r="BF65" s="258"/>
      <c r="BG65" s="216"/>
      <c r="BH65" s="216"/>
      <c r="BI65" s="216"/>
      <c r="BJ65" s="254"/>
      <c r="BK65" s="258"/>
      <c r="BL65" s="216"/>
      <c r="BM65" s="216"/>
      <c r="BN65" s="216"/>
      <c r="BO65" s="254"/>
    </row>
    <row r="66" spans="2:67" hidden="1" outlineLevel="1">
      <c r="B66" s="90" t="s">
        <v>615</v>
      </c>
      <c r="C66" s="314" t="s">
        <v>73</v>
      </c>
      <c r="D66" s="257"/>
      <c r="E66" s="308" t="s">
        <v>591</v>
      </c>
      <c r="F66" s="344"/>
      <c r="G66" s="344"/>
      <c r="H66" s="330"/>
      <c r="I66" s="330"/>
      <c r="J66" s="251"/>
      <c r="K66" s="268"/>
      <c r="L66" s="312"/>
      <c r="M66" s="268"/>
      <c r="N66" s="224"/>
      <c r="O66" s="224"/>
      <c r="P66" s="224"/>
      <c r="Q66" s="312"/>
      <c r="R66" s="258"/>
      <c r="S66" s="216"/>
      <c r="T66" s="216"/>
      <c r="U66" s="216"/>
      <c r="V66" s="252"/>
      <c r="W66" s="258"/>
      <c r="X66" s="216"/>
      <c r="Y66" s="216"/>
      <c r="Z66" s="216"/>
      <c r="AA66" s="252"/>
      <c r="AB66" s="258"/>
      <c r="AC66" s="253"/>
      <c r="AD66" s="253"/>
      <c r="AE66" s="216"/>
      <c r="AF66" s="252"/>
      <c r="AG66" s="258"/>
      <c r="AH66" s="216"/>
      <c r="AI66" s="216"/>
      <c r="AJ66" s="216"/>
      <c r="AK66" s="252"/>
      <c r="AL66" s="258"/>
      <c r="AM66" s="216"/>
      <c r="AN66" s="216"/>
      <c r="AO66" s="216"/>
      <c r="AP66" s="252"/>
      <c r="AQ66" s="258"/>
      <c r="AR66" s="216"/>
      <c r="AS66" s="216"/>
      <c r="AT66" s="216"/>
      <c r="AU66" s="254"/>
      <c r="AV66" s="258"/>
      <c r="AW66" s="216"/>
      <c r="AX66" s="216"/>
      <c r="AY66" s="216"/>
      <c r="AZ66" s="254"/>
      <c r="BA66" s="258"/>
      <c r="BB66" s="265"/>
      <c r="BC66" s="216"/>
      <c r="BD66" s="216"/>
      <c r="BE66" s="254"/>
      <c r="BF66" s="258"/>
      <c r="BG66" s="216"/>
      <c r="BH66" s="216"/>
      <c r="BI66" s="216"/>
      <c r="BJ66" s="254"/>
      <c r="BK66" s="258"/>
      <c r="BL66" s="216"/>
      <c r="BM66" s="216"/>
      <c r="BN66" s="216"/>
      <c r="BO66" s="254"/>
    </row>
    <row r="67" spans="2:67" hidden="1" outlineLevel="1">
      <c r="B67" s="90" t="s">
        <v>616</v>
      </c>
      <c r="C67" s="314" t="s">
        <v>74</v>
      </c>
      <c r="D67" s="257"/>
      <c r="E67" s="308" t="s">
        <v>591</v>
      </c>
      <c r="F67" s="344"/>
      <c r="G67" s="344"/>
      <c r="H67" s="330"/>
      <c r="I67" s="330"/>
      <c r="J67" s="251"/>
      <c r="K67" s="268"/>
      <c r="L67" s="312"/>
      <c r="M67" s="268"/>
      <c r="N67" s="224"/>
      <c r="O67" s="224"/>
      <c r="P67" s="224"/>
      <c r="Q67" s="312"/>
      <c r="R67" s="258"/>
      <c r="S67" s="216"/>
      <c r="T67" s="216"/>
      <c r="U67" s="216"/>
      <c r="V67" s="252"/>
      <c r="W67" s="258"/>
      <c r="X67" s="216"/>
      <c r="Y67" s="216"/>
      <c r="Z67" s="216"/>
      <c r="AA67" s="252"/>
      <c r="AB67" s="258"/>
      <c r="AC67" s="253"/>
      <c r="AD67" s="253"/>
      <c r="AE67" s="216"/>
      <c r="AF67" s="252"/>
      <c r="AG67" s="258"/>
      <c r="AH67" s="216"/>
      <c r="AI67" s="216"/>
      <c r="AJ67" s="216"/>
      <c r="AK67" s="252"/>
      <c r="AL67" s="258"/>
      <c r="AM67" s="216"/>
      <c r="AN67" s="216"/>
      <c r="AO67" s="216"/>
      <c r="AP67" s="252"/>
      <c r="AQ67" s="258"/>
      <c r="AR67" s="216"/>
      <c r="AS67" s="216"/>
      <c r="AT67" s="216"/>
      <c r="AU67" s="254"/>
      <c r="AV67" s="258"/>
      <c r="AW67" s="216"/>
      <c r="AX67" s="216"/>
      <c r="AY67" s="216"/>
      <c r="AZ67" s="254"/>
      <c r="BA67" s="258"/>
      <c r="BB67" s="265"/>
      <c r="BC67" s="216"/>
      <c r="BD67" s="216"/>
      <c r="BE67" s="254"/>
      <c r="BF67" s="258"/>
      <c r="BG67" s="216"/>
      <c r="BH67" s="216"/>
      <c r="BI67" s="216"/>
      <c r="BJ67" s="254"/>
      <c r="BK67" s="258"/>
      <c r="BL67" s="216"/>
      <c r="BM67" s="216"/>
      <c r="BN67" s="216"/>
      <c r="BO67" s="254"/>
    </row>
    <row r="68" spans="2:67" hidden="1" outlineLevel="1">
      <c r="B68" s="90" t="s">
        <v>617</v>
      </c>
      <c r="C68" s="314" t="s">
        <v>75</v>
      </c>
      <c r="D68" s="257"/>
      <c r="E68" s="308" t="s">
        <v>591</v>
      </c>
      <c r="F68" s="344"/>
      <c r="G68" s="344"/>
      <c r="H68" s="330"/>
      <c r="I68" s="330"/>
      <c r="J68" s="251"/>
      <c r="K68" s="268"/>
      <c r="L68" s="312"/>
      <c r="M68" s="268"/>
      <c r="N68" s="224"/>
      <c r="O68" s="224"/>
      <c r="P68" s="224"/>
      <c r="Q68" s="312"/>
      <c r="R68" s="258"/>
      <c r="S68" s="216"/>
      <c r="T68" s="216"/>
      <c r="U68" s="216"/>
      <c r="V68" s="252"/>
      <c r="W68" s="258"/>
      <c r="X68" s="216"/>
      <c r="Y68" s="216"/>
      <c r="Z68" s="216"/>
      <c r="AA68" s="252"/>
      <c r="AB68" s="258"/>
      <c r="AC68" s="253"/>
      <c r="AD68" s="253"/>
      <c r="AE68" s="216"/>
      <c r="AF68" s="252"/>
      <c r="AG68" s="258"/>
      <c r="AH68" s="216"/>
      <c r="AI68" s="216"/>
      <c r="AJ68" s="216"/>
      <c r="AK68" s="252"/>
      <c r="AL68" s="258"/>
      <c r="AM68" s="216"/>
      <c r="AN68" s="216"/>
      <c r="AO68" s="216"/>
      <c r="AP68" s="252"/>
      <c r="AQ68" s="258"/>
      <c r="AR68" s="216"/>
      <c r="AS68" s="216"/>
      <c r="AT68" s="216"/>
      <c r="AU68" s="254"/>
      <c r="AV68" s="258"/>
      <c r="AW68" s="216"/>
      <c r="AX68" s="216"/>
      <c r="AY68" s="216"/>
      <c r="AZ68" s="254"/>
      <c r="BA68" s="258"/>
      <c r="BB68" s="265"/>
      <c r="BC68" s="216"/>
      <c r="BD68" s="216"/>
      <c r="BE68" s="254"/>
      <c r="BF68" s="258"/>
      <c r="BG68" s="216"/>
      <c r="BH68" s="216"/>
      <c r="BI68" s="216"/>
      <c r="BJ68" s="254"/>
      <c r="BK68" s="258"/>
      <c r="BL68" s="216"/>
      <c r="BM68" s="216"/>
      <c r="BN68" s="216"/>
      <c r="BO68" s="254"/>
    </row>
    <row r="69" spans="2:67" hidden="1" outlineLevel="1">
      <c r="B69" s="90" t="s">
        <v>618</v>
      </c>
      <c r="C69" s="314" t="s">
        <v>76</v>
      </c>
      <c r="D69" s="257"/>
      <c r="E69" s="308" t="s">
        <v>591</v>
      </c>
      <c r="F69" s="344"/>
      <c r="G69" s="344"/>
      <c r="H69" s="330"/>
      <c r="I69" s="330"/>
      <c r="J69" s="251"/>
      <c r="K69" s="268"/>
      <c r="L69" s="312"/>
      <c r="M69" s="268"/>
      <c r="N69" s="224"/>
      <c r="O69" s="224"/>
      <c r="P69" s="224"/>
      <c r="Q69" s="312"/>
      <c r="R69" s="258"/>
      <c r="S69" s="216"/>
      <c r="T69" s="216"/>
      <c r="U69" s="216"/>
      <c r="V69" s="252"/>
      <c r="W69" s="258"/>
      <c r="X69" s="216"/>
      <c r="Y69" s="216"/>
      <c r="Z69" s="216"/>
      <c r="AA69" s="252"/>
      <c r="AB69" s="258"/>
      <c r="AC69" s="253"/>
      <c r="AD69" s="253"/>
      <c r="AE69" s="216"/>
      <c r="AF69" s="252"/>
      <c r="AG69" s="258"/>
      <c r="AH69" s="216"/>
      <c r="AI69" s="216"/>
      <c r="AJ69" s="216"/>
      <c r="AK69" s="252"/>
      <c r="AL69" s="258"/>
      <c r="AM69" s="216"/>
      <c r="AN69" s="216"/>
      <c r="AO69" s="216"/>
      <c r="AP69" s="252"/>
      <c r="AQ69" s="258"/>
      <c r="AR69" s="216"/>
      <c r="AS69" s="216"/>
      <c r="AT69" s="216"/>
      <c r="AU69" s="254"/>
      <c r="AV69" s="258"/>
      <c r="AW69" s="216"/>
      <c r="AX69" s="216"/>
      <c r="AY69" s="216"/>
      <c r="AZ69" s="254"/>
      <c r="BA69" s="258"/>
      <c r="BB69" s="265"/>
      <c r="BC69" s="216"/>
      <c r="BD69" s="216"/>
      <c r="BE69" s="254"/>
      <c r="BF69" s="258"/>
      <c r="BG69" s="216"/>
      <c r="BH69" s="216"/>
      <c r="BI69" s="216"/>
      <c r="BJ69" s="254"/>
      <c r="BK69" s="258"/>
      <c r="BL69" s="216"/>
      <c r="BM69" s="216"/>
      <c r="BN69" s="216"/>
      <c r="BO69" s="254"/>
    </row>
    <row r="70" spans="2:67" hidden="1" outlineLevel="1">
      <c r="B70" s="90" t="s">
        <v>619</v>
      </c>
      <c r="C70" s="314" t="s">
        <v>77</v>
      </c>
      <c r="D70" s="257"/>
      <c r="E70" s="308" t="s">
        <v>591</v>
      </c>
      <c r="F70" s="344"/>
      <c r="G70" s="344"/>
      <c r="H70" s="330"/>
      <c r="I70" s="330"/>
      <c r="J70" s="251"/>
      <c r="K70" s="268"/>
      <c r="L70" s="312"/>
      <c r="M70" s="268"/>
      <c r="N70" s="224"/>
      <c r="O70" s="224"/>
      <c r="P70" s="224"/>
      <c r="Q70" s="312"/>
      <c r="R70" s="258"/>
      <c r="S70" s="216"/>
      <c r="T70" s="216"/>
      <c r="U70" s="216"/>
      <c r="V70" s="252"/>
      <c r="W70" s="258"/>
      <c r="X70" s="216"/>
      <c r="Y70" s="216"/>
      <c r="Z70" s="216"/>
      <c r="AA70" s="252"/>
      <c r="AB70" s="258"/>
      <c r="AC70" s="253"/>
      <c r="AD70" s="253"/>
      <c r="AE70" s="216"/>
      <c r="AF70" s="252"/>
      <c r="AG70" s="258"/>
      <c r="AH70" s="216"/>
      <c r="AI70" s="216"/>
      <c r="AJ70" s="216"/>
      <c r="AK70" s="252"/>
      <c r="AL70" s="258"/>
      <c r="AM70" s="216"/>
      <c r="AN70" s="216"/>
      <c r="AO70" s="216"/>
      <c r="AP70" s="252"/>
      <c r="AQ70" s="258"/>
      <c r="AR70" s="216"/>
      <c r="AS70" s="216"/>
      <c r="AT70" s="216"/>
      <c r="AU70" s="254"/>
      <c r="AV70" s="258"/>
      <c r="AW70" s="216"/>
      <c r="AX70" s="216"/>
      <c r="AY70" s="216"/>
      <c r="AZ70" s="254"/>
      <c r="BA70" s="258"/>
      <c r="BB70" s="265"/>
      <c r="BC70" s="216"/>
      <c r="BD70" s="216"/>
      <c r="BE70" s="254"/>
      <c r="BF70" s="258"/>
      <c r="BG70" s="216"/>
      <c r="BH70" s="216"/>
      <c r="BI70" s="216"/>
      <c r="BJ70" s="254"/>
      <c r="BK70" s="258"/>
      <c r="BL70" s="216"/>
      <c r="BM70" s="216"/>
      <c r="BN70" s="216"/>
      <c r="BO70" s="254"/>
    </row>
    <row r="71" spans="2:67" ht="18.5" hidden="1" outlineLevel="1" thickBot="1">
      <c r="B71" s="90" t="s">
        <v>620</v>
      </c>
      <c r="C71" s="314" t="s">
        <v>78</v>
      </c>
      <c r="D71" s="257"/>
      <c r="E71" s="308" t="s">
        <v>591</v>
      </c>
      <c r="F71" s="344"/>
      <c r="G71" s="344"/>
      <c r="H71" s="330"/>
      <c r="I71" s="330"/>
      <c r="J71" s="251"/>
      <c r="K71" s="268"/>
      <c r="L71" s="312"/>
      <c r="M71" s="268"/>
      <c r="N71" s="224"/>
      <c r="O71" s="224"/>
      <c r="P71" s="224"/>
      <c r="Q71" s="312"/>
      <c r="R71" s="258"/>
      <c r="S71" s="216"/>
      <c r="T71" s="216"/>
      <c r="U71" s="216"/>
      <c r="V71" s="252"/>
      <c r="W71" s="258"/>
      <c r="X71" s="216"/>
      <c r="Y71" s="216"/>
      <c r="Z71" s="216"/>
      <c r="AA71" s="252"/>
      <c r="AB71" s="258"/>
      <c r="AC71" s="253"/>
      <c r="AD71" s="253"/>
      <c r="AE71" s="216"/>
      <c r="AF71" s="252"/>
      <c r="AG71" s="258"/>
      <c r="AH71" s="216"/>
      <c r="AI71" s="216"/>
      <c r="AJ71" s="216"/>
      <c r="AK71" s="252"/>
      <c r="AL71" s="258"/>
      <c r="AM71" s="216"/>
      <c r="AN71" s="216"/>
      <c r="AO71" s="216"/>
      <c r="AP71" s="252"/>
      <c r="AQ71" s="258"/>
      <c r="AR71" s="216"/>
      <c r="AS71" s="216"/>
      <c r="AT71" s="216"/>
      <c r="AU71" s="254"/>
      <c r="AV71" s="258"/>
      <c r="AW71" s="216"/>
      <c r="AX71" s="216"/>
      <c r="AY71" s="216"/>
      <c r="AZ71" s="254"/>
      <c r="BA71" s="258"/>
      <c r="BB71" s="265"/>
      <c r="BC71" s="216"/>
      <c r="BD71" s="216"/>
      <c r="BE71" s="254"/>
      <c r="BF71" s="258"/>
      <c r="BG71" s="216"/>
      <c r="BH71" s="216"/>
      <c r="BI71" s="216"/>
      <c r="BJ71" s="254"/>
      <c r="BK71" s="258"/>
      <c r="BL71" s="216"/>
      <c r="BM71" s="216"/>
      <c r="BN71" s="216"/>
      <c r="BO71" s="254"/>
    </row>
    <row r="72" spans="2:67" ht="3.75" customHeight="1" collapsed="1" thickBot="1">
      <c r="B72" s="248"/>
      <c r="C72" s="249"/>
      <c r="D72" s="260"/>
      <c r="E72" s="240"/>
      <c r="F72" s="335"/>
      <c r="G72" s="335"/>
      <c r="H72" s="335"/>
      <c r="I72" s="335"/>
      <c r="J72" s="249"/>
      <c r="K72" s="250"/>
      <c r="L72" s="250"/>
      <c r="M72" s="250"/>
      <c r="N72" s="250"/>
      <c r="O72" s="250"/>
      <c r="P72" s="250"/>
      <c r="Q72" s="250"/>
      <c r="R72" s="250"/>
      <c r="S72" s="250"/>
      <c r="T72" s="250"/>
      <c r="U72" s="250"/>
      <c r="V72" s="250"/>
      <c r="W72" s="250"/>
      <c r="X72" s="250"/>
      <c r="Y72" s="250"/>
      <c r="Z72" s="250"/>
      <c r="AA72" s="250"/>
      <c r="AB72" s="250"/>
      <c r="AC72" s="250"/>
      <c r="AD72" s="250"/>
      <c r="AE72" s="250"/>
      <c r="AF72" s="250"/>
      <c r="AG72" s="250"/>
      <c r="AH72" s="250"/>
      <c r="AI72" s="250"/>
      <c r="AJ72" s="250"/>
      <c r="AK72" s="250"/>
      <c r="AL72" s="250"/>
      <c r="AM72" s="250"/>
      <c r="AN72" s="250"/>
      <c r="AO72" s="250"/>
      <c r="AP72" s="250"/>
      <c r="AQ72" s="250"/>
      <c r="AR72" s="250"/>
      <c r="AS72" s="250"/>
      <c r="AT72" s="250"/>
      <c r="AU72" s="250"/>
      <c r="AV72" s="250"/>
      <c r="AW72" s="250"/>
      <c r="AX72" s="250"/>
      <c r="AY72" s="250"/>
      <c r="AZ72" s="250"/>
      <c r="BA72" s="250"/>
      <c r="BB72" s="250"/>
      <c r="BC72" s="250"/>
      <c r="BD72" s="250"/>
      <c r="BE72" s="250"/>
      <c r="BF72" s="250"/>
      <c r="BG72" s="250"/>
      <c r="BH72" s="250"/>
      <c r="BI72" s="250"/>
      <c r="BJ72" s="250"/>
      <c r="BK72" s="250"/>
      <c r="BL72" s="250"/>
      <c r="BM72" s="250"/>
      <c r="BN72" s="250"/>
      <c r="BO72" s="250"/>
    </row>
    <row r="73" spans="2:67">
      <c r="B73" s="320" t="s">
        <v>147</v>
      </c>
      <c r="C73" s="320" t="s">
        <v>556</v>
      </c>
      <c r="D73" s="353"/>
      <c r="E73" s="329"/>
      <c r="F73" s="332"/>
      <c r="G73" s="332"/>
      <c r="H73" s="332"/>
      <c r="I73" s="332"/>
      <c r="J73" s="251"/>
      <c r="K73" s="323"/>
      <c r="L73" s="324"/>
      <c r="M73" s="323"/>
      <c r="N73" s="325"/>
      <c r="O73" s="325"/>
      <c r="P73" s="325"/>
      <c r="Q73" s="326"/>
      <c r="R73" s="323"/>
      <c r="S73" s="325"/>
      <c r="T73" s="325"/>
      <c r="U73" s="325"/>
      <c r="V73" s="326"/>
      <c r="W73" s="323"/>
      <c r="X73" s="325"/>
      <c r="Y73" s="325"/>
      <c r="Z73" s="325"/>
      <c r="AA73" s="326"/>
      <c r="AB73" s="323"/>
      <c r="AC73" s="327"/>
      <c r="AD73" s="327"/>
      <c r="AE73" s="325"/>
      <c r="AF73" s="326"/>
      <c r="AG73" s="323"/>
      <c r="AH73" s="325"/>
      <c r="AI73" s="325"/>
      <c r="AJ73" s="325"/>
      <c r="AK73" s="326"/>
      <c r="AL73" s="323"/>
      <c r="AM73" s="325"/>
      <c r="AN73" s="325"/>
      <c r="AO73" s="325"/>
      <c r="AP73" s="326"/>
      <c r="AQ73" s="323"/>
      <c r="AR73" s="325"/>
      <c r="AS73" s="340"/>
      <c r="AT73" s="325"/>
      <c r="AU73" s="328"/>
      <c r="AV73" s="323"/>
      <c r="AW73" s="325"/>
      <c r="AX73" s="325"/>
      <c r="AY73" s="325"/>
      <c r="AZ73" s="328"/>
      <c r="BA73" s="323"/>
      <c r="BB73" s="265"/>
      <c r="BC73" s="325"/>
      <c r="BD73" s="325"/>
      <c r="BE73" s="328"/>
      <c r="BF73" s="323"/>
      <c r="BG73" s="325"/>
      <c r="BH73" s="325"/>
      <c r="BI73" s="325"/>
      <c r="BJ73" s="328"/>
      <c r="BK73" s="323"/>
      <c r="BL73" s="325"/>
      <c r="BM73" s="325"/>
      <c r="BN73" s="325"/>
      <c r="BO73" s="328"/>
    </row>
    <row r="74" spans="2:67">
      <c r="B74" s="255" t="s">
        <v>311</v>
      </c>
      <c r="C74" s="261" t="s">
        <v>575</v>
      </c>
      <c r="D74" s="308" t="s">
        <v>121</v>
      </c>
      <c r="E74" s="309" t="s">
        <v>309</v>
      </c>
      <c r="F74" s="333">
        <v>45702</v>
      </c>
      <c r="G74" s="333">
        <v>45707</v>
      </c>
      <c r="H74" s="333"/>
      <c r="I74" s="333">
        <v>45707</v>
      </c>
      <c r="J74" s="251"/>
      <c r="K74" s="268"/>
      <c r="L74" s="312"/>
      <c r="M74" s="268"/>
      <c r="N74" s="224"/>
      <c r="O74" s="224"/>
      <c r="P74" s="224"/>
      <c r="Q74" s="312"/>
      <c r="R74" s="258"/>
      <c r="S74" s="216"/>
      <c r="T74" s="216"/>
      <c r="U74" s="216"/>
      <c r="V74" s="252"/>
      <c r="W74" s="258"/>
      <c r="X74" s="216"/>
      <c r="Y74" s="216"/>
      <c r="Z74" s="216"/>
      <c r="AA74" s="252"/>
      <c r="AB74" s="258"/>
      <c r="AC74" s="253"/>
      <c r="AD74" s="253"/>
      <c r="AE74" s="216"/>
      <c r="AF74" s="252"/>
      <c r="AG74" s="258"/>
      <c r="AH74" s="216"/>
      <c r="AI74" s="216"/>
      <c r="AJ74" s="216"/>
      <c r="AK74" s="252"/>
      <c r="AL74" s="258"/>
      <c r="AM74" s="216"/>
      <c r="AN74" s="216"/>
      <c r="AO74" s="216"/>
      <c r="AP74" s="252"/>
      <c r="AQ74" s="258"/>
      <c r="AR74" s="336"/>
      <c r="AS74" s="343" t="s">
        <v>314</v>
      </c>
      <c r="AT74" s="336"/>
      <c r="AU74" s="254"/>
      <c r="AV74" s="258"/>
      <c r="AW74" s="216"/>
      <c r="AX74" s="216"/>
      <c r="AY74" s="216"/>
      <c r="AZ74" s="254"/>
      <c r="BA74" s="258"/>
      <c r="BB74" s="265"/>
      <c r="BC74" s="216"/>
      <c r="BD74" s="216"/>
      <c r="BE74" s="254"/>
      <c r="BF74" s="258"/>
      <c r="BG74" s="216"/>
      <c r="BH74" s="216"/>
      <c r="BI74" s="216"/>
      <c r="BJ74" s="254"/>
      <c r="BK74" s="258"/>
      <c r="BL74" s="216"/>
      <c r="BM74" s="216"/>
      <c r="BN74" s="216"/>
      <c r="BO74" s="254"/>
    </row>
    <row r="75" spans="2:67" hidden="1" outlineLevel="1">
      <c r="B75" s="90" t="s">
        <v>514</v>
      </c>
      <c r="C75" s="314" t="s">
        <v>51</v>
      </c>
      <c r="D75" s="91"/>
      <c r="E75" s="309" t="s">
        <v>309</v>
      </c>
      <c r="F75" s="344"/>
      <c r="G75" s="344"/>
      <c r="H75" s="334"/>
      <c r="I75" s="334"/>
      <c r="J75" s="251"/>
      <c r="K75" s="268"/>
      <c r="L75" s="312"/>
      <c r="M75" s="268"/>
      <c r="N75" s="224"/>
      <c r="O75" s="224"/>
      <c r="P75" s="224"/>
      <c r="Q75" s="312"/>
      <c r="R75" s="258"/>
      <c r="S75" s="216"/>
      <c r="T75" s="216"/>
      <c r="U75" s="216"/>
      <c r="V75" s="252"/>
      <c r="W75" s="258"/>
      <c r="X75" s="216"/>
      <c r="Y75" s="216"/>
      <c r="Z75" s="216"/>
      <c r="AA75" s="252"/>
      <c r="AB75" s="258"/>
      <c r="AC75" s="253"/>
      <c r="AD75" s="253"/>
      <c r="AE75" s="216"/>
      <c r="AF75" s="252"/>
      <c r="AG75" s="258"/>
      <c r="AH75" s="216"/>
      <c r="AI75" s="216"/>
      <c r="AJ75" s="216"/>
      <c r="AK75" s="252"/>
      <c r="AL75" s="258"/>
      <c r="AM75" s="216"/>
      <c r="AN75" s="216"/>
      <c r="AO75" s="216"/>
      <c r="AP75" s="252"/>
      <c r="AQ75" s="258"/>
      <c r="AR75" s="216"/>
      <c r="AS75" s="224"/>
      <c r="AT75" s="216"/>
      <c r="AU75" s="254"/>
      <c r="AV75" s="258"/>
      <c r="AW75" s="216"/>
      <c r="AX75" s="216"/>
      <c r="AY75" s="216"/>
      <c r="AZ75" s="254"/>
      <c r="BA75" s="258"/>
      <c r="BB75" s="265"/>
      <c r="BC75" s="216"/>
      <c r="BD75" s="216"/>
      <c r="BE75" s="254"/>
      <c r="BF75" s="258"/>
      <c r="BG75" s="216"/>
      <c r="BH75" s="216"/>
      <c r="BI75" s="216"/>
      <c r="BJ75" s="254"/>
      <c r="BK75" s="258"/>
      <c r="BL75" s="216"/>
      <c r="BM75" s="216"/>
      <c r="BN75" s="216"/>
      <c r="BO75" s="254"/>
    </row>
    <row r="76" spans="2:67" hidden="1" outlineLevel="1">
      <c r="B76" s="90" t="s">
        <v>515</v>
      </c>
      <c r="C76" s="314" t="s">
        <v>52</v>
      </c>
      <c r="D76" s="91"/>
      <c r="E76" s="309" t="s">
        <v>309</v>
      </c>
      <c r="F76" s="344"/>
      <c r="G76" s="344"/>
      <c r="H76" s="334"/>
      <c r="I76" s="334"/>
      <c r="J76" s="251"/>
      <c r="K76" s="268"/>
      <c r="L76" s="312"/>
      <c r="M76" s="268"/>
      <c r="N76" s="224"/>
      <c r="O76" s="224"/>
      <c r="P76" s="224"/>
      <c r="Q76" s="312"/>
      <c r="R76" s="258"/>
      <c r="S76" s="216"/>
      <c r="T76" s="216"/>
      <c r="U76" s="216"/>
      <c r="V76" s="252"/>
      <c r="W76" s="258"/>
      <c r="X76" s="216"/>
      <c r="Y76" s="216"/>
      <c r="Z76" s="216"/>
      <c r="AA76" s="252"/>
      <c r="AB76" s="258"/>
      <c r="AC76" s="253"/>
      <c r="AD76" s="253"/>
      <c r="AE76" s="216"/>
      <c r="AF76" s="252"/>
      <c r="AG76" s="258"/>
      <c r="AH76" s="216"/>
      <c r="AI76" s="216"/>
      <c r="AJ76" s="216"/>
      <c r="AK76" s="252"/>
      <c r="AL76" s="258"/>
      <c r="AM76" s="216"/>
      <c r="AN76" s="216"/>
      <c r="AO76" s="216"/>
      <c r="AP76" s="252"/>
      <c r="AQ76" s="258"/>
      <c r="AR76" s="216"/>
      <c r="AS76" s="216"/>
      <c r="AT76" s="216"/>
      <c r="AU76" s="254"/>
      <c r="AV76" s="258"/>
      <c r="AW76" s="216"/>
      <c r="AX76" s="216"/>
      <c r="AY76" s="216"/>
      <c r="AZ76" s="254"/>
      <c r="BA76" s="258"/>
      <c r="BB76" s="265"/>
      <c r="BC76" s="216"/>
      <c r="BD76" s="216"/>
      <c r="BE76" s="254"/>
      <c r="BF76" s="258"/>
      <c r="BG76" s="216"/>
      <c r="BH76" s="216"/>
      <c r="BI76" s="216"/>
      <c r="BJ76" s="254"/>
      <c r="BK76" s="258"/>
      <c r="BL76" s="216"/>
      <c r="BM76" s="216"/>
      <c r="BN76" s="216"/>
      <c r="BO76" s="254"/>
    </row>
    <row r="77" spans="2:67" hidden="1" outlineLevel="1">
      <c r="B77" s="90" t="s">
        <v>516</v>
      </c>
      <c r="C77" s="314" t="s">
        <v>113</v>
      </c>
      <c r="D77" s="91"/>
      <c r="E77" s="309" t="s">
        <v>309</v>
      </c>
      <c r="F77" s="344"/>
      <c r="G77" s="344"/>
      <c r="H77" s="334"/>
      <c r="I77" s="334"/>
      <c r="J77" s="251"/>
      <c r="K77" s="268"/>
      <c r="L77" s="312"/>
      <c r="M77" s="268"/>
      <c r="N77" s="224"/>
      <c r="O77" s="224"/>
      <c r="P77" s="224"/>
      <c r="Q77" s="312"/>
      <c r="R77" s="258"/>
      <c r="S77" s="216"/>
      <c r="T77" s="216"/>
      <c r="U77" s="216"/>
      <c r="V77" s="252"/>
      <c r="W77" s="258"/>
      <c r="X77" s="216"/>
      <c r="Y77" s="216"/>
      <c r="Z77" s="216"/>
      <c r="AA77" s="252"/>
      <c r="AB77" s="258"/>
      <c r="AC77" s="253"/>
      <c r="AD77" s="253"/>
      <c r="AE77" s="216"/>
      <c r="AF77" s="252"/>
      <c r="AG77" s="258"/>
      <c r="AH77" s="216"/>
      <c r="AI77" s="216"/>
      <c r="AJ77" s="216"/>
      <c r="AK77" s="252"/>
      <c r="AL77" s="258"/>
      <c r="AM77" s="216"/>
      <c r="AN77" s="216"/>
      <c r="AO77" s="216"/>
      <c r="AP77" s="252"/>
      <c r="AQ77" s="258"/>
      <c r="AR77" s="216"/>
      <c r="AS77" s="216"/>
      <c r="AT77" s="216"/>
      <c r="AU77" s="254"/>
      <c r="AV77" s="258"/>
      <c r="AW77" s="216"/>
      <c r="AX77" s="216"/>
      <c r="AY77" s="216"/>
      <c r="AZ77" s="254"/>
      <c r="BA77" s="258"/>
      <c r="BB77" s="265"/>
      <c r="BC77" s="216"/>
      <c r="BD77" s="216"/>
      <c r="BE77" s="254"/>
      <c r="BF77" s="258"/>
      <c r="BG77" s="216"/>
      <c r="BH77" s="216"/>
      <c r="BI77" s="216"/>
      <c r="BJ77" s="254"/>
      <c r="BK77" s="258"/>
      <c r="BL77" s="216"/>
      <c r="BM77" s="216"/>
      <c r="BN77" s="216"/>
      <c r="BO77" s="254"/>
    </row>
    <row r="78" spans="2:67" hidden="1" outlineLevel="1">
      <c r="B78" s="90" t="s">
        <v>517</v>
      </c>
      <c r="C78" s="314" t="s">
        <v>114</v>
      </c>
      <c r="D78" s="91"/>
      <c r="E78" s="309" t="s">
        <v>309</v>
      </c>
      <c r="F78" s="344"/>
      <c r="G78" s="344"/>
      <c r="H78" s="334"/>
      <c r="I78" s="334"/>
      <c r="J78" s="251"/>
      <c r="K78" s="268"/>
      <c r="L78" s="312"/>
      <c r="M78" s="268"/>
      <c r="N78" s="224"/>
      <c r="O78" s="224"/>
      <c r="P78" s="224"/>
      <c r="Q78" s="312"/>
      <c r="R78" s="258"/>
      <c r="S78" s="216"/>
      <c r="T78" s="216"/>
      <c r="U78" s="216"/>
      <c r="V78" s="252"/>
      <c r="W78" s="258"/>
      <c r="X78" s="216"/>
      <c r="Y78" s="216"/>
      <c r="Z78" s="216"/>
      <c r="AA78" s="252"/>
      <c r="AB78" s="258"/>
      <c r="AC78" s="253"/>
      <c r="AD78" s="253"/>
      <c r="AE78" s="216"/>
      <c r="AF78" s="252"/>
      <c r="AG78" s="258"/>
      <c r="AH78" s="216"/>
      <c r="AI78" s="216"/>
      <c r="AJ78" s="216"/>
      <c r="AK78" s="252"/>
      <c r="AL78" s="258"/>
      <c r="AM78" s="216"/>
      <c r="AN78" s="216"/>
      <c r="AO78" s="216"/>
      <c r="AP78" s="252"/>
      <c r="AQ78" s="258"/>
      <c r="AR78" s="216"/>
      <c r="AS78" s="216"/>
      <c r="AT78" s="216"/>
      <c r="AU78" s="254"/>
      <c r="AV78" s="258"/>
      <c r="AW78" s="216"/>
      <c r="AX78" s="216"/>
      <c r="AY78" s="216"/>
      <c r="AZ78" s="254"/>
      <c r="BA78" s="258"/>
      <c r="BB78" s="265"/>
      <c r="BC78" s="216"/>
      <c r="BD78" s="216"/>
      <c r="BE78" s="254"/>
      <c r="BF78" s="258"/>
      <c r="BG78" s="216"/>
      <c r="BH78" s="216"/>
      <c r="BI78" s="216"/>
      <c r="BJ78" s="254"/>
      <c r="BK78" s="258"/>
      <c r="BL78" s="216"/>
      <c r="BM78" s="216"/>
      <c r="BN78" s="216"/>
      <c r="BO78" s="254"/>
    </row>
    <row r="79" spans="2:67" hidden="1" outlineLevel="1">
      <c r="B79" s="90" t="s">
        <v>518</v>
      </c>
      <c r="C79" s="314" t="s">
        <v>115</v>
      </c>
      <c r="D79" s="91"/>
      <c r="E79" s="309" t="s">
        <v>309</v>
      </c>
      <c r="F79" s="344"/>
      <c r="G79" s="344"/>
      <c r="H79" s="334"/>
      <c r="I79" s="334"/>
      <c r="J79" s="251"/>
      <c r="K79" s="268"/>
      <c r="L79" s="312"/>
      <c r="M79" s="268"/>
      <c r="N79" s="224"/>
      <c r="O79" s="224"/>
      <c r="P79" s="224"/>
      <c r="Q79" s="312"/>
      <c r="R79" s="258"/>
      <c r="S79" s="216"/>
      <c r="T79" s="216"/>
      <c r="U79" s="216"/>
      <c r="V79" s="252"/>
      <c r="W79" s="258"/>
      <c r="X79" s="216"/>
      <c r="Y79" s="216"/>
      <c r="Z79" s="216"/>
      <c r="AA79" s="252"/>
      <c r="AB79" s="258"/>
      <c r="AC79" s="253"/>
      <c r="AD79" s="253"/>
      <c r="AE79" s="216"/>
      <c r="AF79" s="252"/>
      <c r="AG79" s="258"/>
      <c r="AH79" s="216"/>
      <c r="AI79" s="216"/>
      <c r="AJ79" s="216"/>
      <c r="AK79" s="252"/>
      <c r="AL79" s="258"/>
      <c r="AM79" s="216"/>
      <c r="AN79" s="216"/>
      <c r="AO79" s="216"/>
      <c r="AP79" s="252"/>
      <c r="AQ79" s="258"/>
      <c r="AR79" s="216"/>
      <c r="AS79" s="216"/>
      <c r="AT79" s="216"/>
      <c r="AU79" s="254"/>
      <c r="AV79" s="258"/>
      <c r="AW79" s="216"/>
      <c r="AX79" s="216"/>
      <c r="AY79" s="216"/>
      <c r="AZ79" s="254"/>
      <c r="BA79" s="258"/>
      <c r="BB79" s="265"/>
      <c r="BC79" s="216"/>
      <c r="BD79" s="216"/>
      <c r="BE79" s="254"/>
      <c r="BF79" s="258"/>
      <c r="BG79" s="216"/>
      <c r="BH79" s="216"/>
      <c r="BI79" s="216"/>
      <c r="BJ79" s="254"/>
      <c r="BK79" s="258"/>
      <c r="BL79" s="216"/>
      <c r="BM79" s="216"/>
      <c r="BN79" s="216"/>
      <c r="BO79" s="254"/>
    </row>
    <row r="80" spans="2:67" hidden="1" outlineLevel="1">
      <c r="B80" s="90" t="s">
        <v>519</v>
      </c>
      <c r="C80" s="314" t="s">
        <v>51</v>
      </c>
      <c r="D80" s="91"/>
      <c r="E80" s="309" t="s">
        <v>309</v>
      </c>
      <c r="F80" s="344"/>
      <c r="G80" s="344"/>
      <c r="H80" s="334"/>
      <c r="I80" s="334"/>
      <c r="J80" s="251"/>
      <c r="K80" s="268"/>
      <c r="L80" s="312"/>
      <c r="M80" s="268"/>
      <c r="N80" s="224"/>
      <c r="O80" s="224"/>
      <c r="P80" s="224"/>
      <c r="Q80" s="312"/>
      <c r="R80" s="258"/>
      <c r="S80" s="216"/>
      <c r="T80" s="216"/>
      <c r="U80" s="216"/>
      <c r="V80" s="252"/>
      <c r="W80" s="258"/>
      <c r="X80" s="216"/>
      <c r="Y80" s="216"/>
      <c r="Z80" s="216"/>
      <c r="AA80" s="252"/>
      <c r="AB80" s="258"/>
      <c r="AC80" s="253"/>
      <c r="AD80" s="253"/>
      <c r="AE80" s="216"/>
      <c r="AF80" s="252"/>
      <c r="AG80" s="258"/>
      <c r="AH80" s="216"/>
      <c r="AI80" s="216"/>
      <c r="AJ80" s="216"/>
      <c r="AK80" s="252"/>
      <c r="AL80" s="258"/>
      <c r="AM80" s="216"/>
      <c r="AN80" s="216"/>
      <c r="AO80" s="216"/>
      <c r="AP80" s="252"/>
      <c r="AQ80" s="258"/>
      <c r="AR80" s="216"/>
      <c r="AS80" s="216"/>
      <c r="AT80" s="216"/>
      <c r="AU80" s="254"/>
      <c r="AV80" s="258"/>
      <c r="AW80" s="216"/>
      <c r="AX80" s="216"/>
      <c r="AY80" s="216"/>
      <c r="AZ80" s="254"/>
      <c r="BA80" s="258"/>
      <c r="BB80" s="265"/>
      <c r="BC80" s="216"/>
      <c r="BD80" s="216"/>
      <c r="BE80" s="254"/>
      <c r="BF80" s="258"/>
      <c r="BG80" s="216"/>
      <c r="BH80" s="216"/>
      <c r="BI80" s="216"/>
      <c r="BJ80" s="254"/>
      <c r="BK80" s="258"/>
      <c r="BL80" s="216"/>
      <c r="BM80" s="216"/>
      <c r="BN80" s="216"/>
      <c r="BO80" s="254"/>
    </row>
    <row r="81" spans="2:67" hidden="1" outlineLevel="1">
      <c r="B81" s="90" t="s">
        <v>520</v>
      </c>
      <c r="C81" s="314" t="s">
        <v>52</v>
      </c>
      <c r="D81" s="91"/>
      <c r="E81" s="309" t="s">
        <v>309</v>
      </c>
      <c r="F81" s="344"/>
      <c r="G81" s="344"/>
      <c r="H81" s="334"/>
      <c r="I81" s="334"/>
      <c r="J81" s="251"/>
      <c r="K81" s="268"/>
      <c r="L81" s="312"/>
      <c r="M81" s="268"/>
      <c r="N81" s="224"/>
      <c r="O81" s="224"/>
      <c r="P81" s="224"/>
      <c r="Q81" s="312"/>
      <c r="R81" s="258"/>
      <c r="S81" s="216"/>
      <c r="T81" s="216"/>
      <c r="U81" s="216"/>
      <c r="V81" s="252"/>
      <c r="W81" s="258"/>
      <c r="X81" s="216"/>
      <c r="Y81" s="216"/>
      <c r="Z81" s="216"/>
      <c r="AA81" s="252"/>
      <c r="AB81" s="258"/>
      <c r="AC81" s="253"/>
      <c r="AD81" s="253"/>
      <c r="AE81" s="216"/>
      <c r="AF81" s="252"/>
      <c r="AG81" s="258"/>
      <c r="AH81" s="216"/>
      <c r="AI81" s="216"/>
      <c r="AJ81" s="216"/>
      <c r="AK81" s="252"/>
      <c r="AL81" s="258"/>
      <c r="AM81" s="216"/>
      <c r="AN81" s="216"/>
      <c r="AO81" s="216"/>
      <c r="AP81" s="252"/>
      <c r="AQ81" s="258"/>
      <c r="AR81" s="216"/>
      <c r="AS81" s="216"/>
      <c r="AT81" s="216"/>
      <c r="AU81" s="254"/>
      <c r="AV81" s="258"/>
      <c r="AW81" s="216"/>
      <c r="AX81" s="216"/>
      <c r="AY81" s="216"/>
      <c r="AZ81" s="254"/>
      <c r="BA81" s="258"/>
      <c r="BB81" s="265"/>
      <c r="BC81" s="216"/>
      <c r="BD81" s="216"/>
      <c r="BE81" s="254"/>
      <c r="BF81" s="258"/>
      <c r="BG81" s="216"/>
      <c r="BH81" s="216"/>
      <c r="BI81" s="216"/>
      <c r="BJ81" s="254"/>
      <c r="BK81" s="258"/>
      <c r="BL81" s="216"/>
      <c r="BM81" s="216"/>
      <c r="BN81" s="216"/>
      <c r="BO81" s="254"/>
    </row>
    <row r="82" spans="2:67" hidden="1" outlineLevel="1">
      <c r="B82" s="90" t="s">
        <v>521</v>
      </c>
      <c r="C82" s="314" t="s">
        <v>53</v>
      </c>
      <c r="D82" s="91"/>
      <c r="E82" s="309" t="s">
        <v>309</v>
      </c>
      <c r="F82" s="344"/>
      <c r="G82" s="344"/>
      <c r="H82" s="334"/>
      <c r="I82" s="334"/>
      <c r="J82" s="251"/>
      <c r="K82" s="268"/>
      <c r="L82" s="312"/>
      <c r="M82" s="268"/>
      <c r="N82" s="224"/>
      <c r="O82" s="224"/>
      <c r="P82" s="224"/>
      <c r="Q82" s="312"/>
      <c r="R82" s="258"/>
      <c r="S82" s="216"/>
      <c r="T82" s="216"/>
      <c r="U82" s="216"/>
      <c r="V82" s="252"/>
      <c r="W82" s="258"/>
      <c r="X82" s="216"/>
      <c r="Y82" s="216"/>
      <c r="Z82" s="216"/>
      <c r="AA82" s="252"/>
      <c r="AB82" s="258"/>
      <c r="AC82" s="253"/>
      <c r="AD82" s="253"/>
      <c r="AE82" s="216"/>
      <c r="AF82" s="252"/>
      <c r="AG82" s="258"/>
      <c r="AH82" s="216"/>
      <c r="AI82" s="216"/>
      <c r="AJ82" s="216"/>
      <c r="AK82" s="252"/>
      <c r="AL82" s="258"/>
      <c r="AM82" s="216"/>
      <c r="AN82" s="216"/>
      <c r="AO82" s="216"/>
      <c r="AP82" s="252"/>
      <c r="AQ82" s="258"/>
      <c r="AR82" s="216"/>
      <c r="AS82" s="216"/>
      <c r="AT82" s="216"/>
      <c r="AU82" s="254"/>
      <c r="AV82" s="258"/>
      <c r="AW82" s="216"/>
      <c r="AX82" s="216"/>
      <c r="AY82" s="216"/>
      <c r="AZ82" s="254"/>
      <c r="BA82" s="258"/>
      <c r="BB82" s="265"/>
      <c r="BC82" s="216"/>
      <c r="BD82" s="216"/>
      <c r="BE82" s="254"/>
      <c r="BF82" s="258"/>
      <c r="BG82" s="216"/>
      <c r="BH82" s="216"/>
      <c r="BI82" s="216"/>
      <c r="BJ82" s="254"/>
      <c r="BK82" s="258"/>
      <c r="BL82" s="216"/>
      <c r="BM82" s="216"/>
      <c r="BN82" s="216"/>
      <c r="BO82" s="254"/>
    </row>
    <row r="83" spans="2:67" hidden="1" outlineLevel="1">
      <c r="B83" s="90" t="s">
        <v>522</v>
      </c>
      <c r="C83" s="314" t="s">
        <v>113</v>
      </c>
      <c r="D83" s="91"/>
      <c r="E83" s="309" t="s">
        <v>309</v>
      </c>
      <c r="F83" s="344"/>
      <c r="G83" s="344"/>
      <c r="H83" s="334"/>
      <c r="I83" s="334"/>
      <c r="J83" s="251"/>
      <c r="K83" s="268"/>
      <c r="L83" s="312"/>
      <c r="M83" s="268"/>
      <c r="N83" s="224"/>
      <c r="O83" s="224"/>
      <c r="P83" s="224"/>
      <c r="Q83" s="312"/>
      <c r="R83" s="258"/>
      <c r="S83" s="216"/>
      <c r="T83" s="216"/>
      <c r="U83" s="216"/>
      <c r="V83" s="252"/>
      <c r="W83" s="258"/>
      <c r="X83" s="216"/>
      <c r="Y83" s="216"/>
      <c r="Z83" s="216"/>
      <c r="AA83" s="252"/>
      <c r="AB83" s="258"/>
      <c r="AC83" s="253"/>
      <c r="AD83" s="253"/>
      <c r="AE83" s="216"/>
      <c r="AF83" s="252"/>
      <c r="AG83" s="258"/>
      <c r="AH83" s="216"/>
      <c r="AI83" s="216"/>
      <c r="AJ83" s="216"/>
      <c r="AK83" s="252"/>
      <c r="AL83" s="258"/>
      <c r="AM83" s="216"/>
      <c r="AN83" s="216"/>
      <c r="AO83" s="216"/>
      <c r="AP83" s="252"/>
      <c r="AQ83" s="258"/>
      <c r="AR83" s="216"/>
      <c r="AS83" s="216"/>
      <c r="AT83" s="216"/>
      <c r="AU83" s="254"/>
      <c r="AV83" s="258"/>
      <c r="AW83" s="216"/>
      <c r="AX83" s="216"/>
      <c r="AY83" s="216"/>
      <c r="AZ83" s="254"/>
      <c r="BA83" s="258"/>
      <c r="BB83" s="265"/>
      <c r="BC83" s="216"/>
      <c r="BD83" s="216"/>
      <c r="BE83" s="254"/>
      <c r="BF83" s="258"/>
      <c r="BG83" s="216"/>
      <c r="BH83" s="216"/>
      <c r="BI83" s="216"/>
      <c r="BJ83" s="254"/>
      <c r="BK83" s="258"/>
      <c r="BL83" s="216"/>
      <c r="BM83" s="216"/>
      <c r="BN83" s="216"/>
      <c r="BO83" s="254"/>
    </row>
    <row r="84" spans="2:67" ht="18.5" collapsed="1" thickBot="1">
      <c r="B84" s="259" t="s">
        <v>312</v>
      </c>
      <c r="C84" s="261" t="s">
        <v>621</v>
      </c>
      <c r="D84" s="308" t="s">
        <v>121</v>
      </c>
      <c r="E84" s="308" t="s">
        <v>15</v>
      </c>
      <c r="F84" s="308" t="s">
        <v>15</v>
      </c>
      <c r="G84" s="308" t="s">
        <v>15</v>
      </c>
      <c r="H84" s="334"/>
      <c r="I84" s="334"/>
      <c r="J84" s="251"/>
      <c r="K84" s="268"/>
      <c r="L84" s="312"/>
      <c r="M84" s="268"/>
      <c r="N84" s="224"/>
      <c r="O84" s="224"/>
      <c r="P84" s="224"/>
      <c r="Q84" s="312"/>
      <c r="R84" s="258"/>
      <c r="S84" s="216"/>
      <c r="T84" s="216"/>
      <c r="U84" s="216"/>
      <c r="V84" s="252"/>
      <c r="W84" s="258"/>
      <c r="X84" s="216"/>
      <c r="Y84" s="216"/>
      <c r="Z84" s="216"/>
      <c r="AA84" s="252"/>
      <c r="AB84" s="258"/>
      <c r="AC84" s="253"/>
      <c r="AD84" s="253"/>
      <c r="AE84" s="216"/>
      <c r="AF84" s="252"/>
      <c r="AG84" s="258"/>
      <c r="AH84" s="216"/>
      <c r="AI84" s="216"/>
      <c r="AJ84" s="216"/>
      <c r="AK84" s="252"/>
      <c r="AL84" s="258"/>
      <c r="AM84" s="216"/>
      <c r="AN84" s="216"/>
      <c r="AO84" s="216"/>
      <c r="AP84" s="252"/>
      <c r="AQ84" s="258"/>
      <c r="AR84" s="216"/>
      <c r="AS84" s="216"/>
      <c r="AT84" s="216"/>
      <c r="AU84" s="254"/>
      <c r="AV84" s="258"/>
      <c r="AW84" s="216"/>
      <c r="AX84" s="216"/>
      <c r="AY84" s="216"/>
      <c r="AZ84" s="254"/>
      <c r="BA84" s="258"/>
      <c r="BB84" s="265"/>
      <c r="BC84" s="216"/>
      <c r="BD84" s="216"/>
      <c r="BE84" s="254"/>
      <c r="BF84" s="258"/>
      <c r="BG84" s="216"/>
      <c r="BH84" s="216"/>
      <c r="BI84" s="216"/>
      <c r="BJ84" s="254"/>
      <c r="BK84" s="258"/>
      <c r="BL84" s="216"/>
      <c r="BM84" s="216"/>
      <c r="BN84" s="216"/>
      <c r="BO84" s="254"/>
    </row>
    <row r="85" spans="2:67" hidden="1" outlineLevel="1">
      <c r="B85" s="90" t="s">
        <v>622</v>
      </c>
      <c r="C85" s="314" t="s">
        <v>51</v>
      </c>
      <c r="D85" s="257"/>
      <c r="E85" s="308" t="s">
        <v>15</v>
      </c>
      <c r="F85" s="344"/>
      <c r="G85" s="344"/>
      <c r="H85" s="330"/>
      <c r="I85" s="330"/>
      <c r="J85" s="251"/>
      <c r="K85" s="268"/>
      <c r="L85" s="312"/>
      <c r="M85" s="268"/>
      <c r="N85" s="224"/>
      <c r="O85" s="224"/>
      <c r="P85" s="224"/>
      <c r="Q85" s="312"/>
      <c r="R85" s="258"/>
      <c r="S85" s="216"/>
      <c r="T85" s="216"/>
      <c r="U85" s="216"/>
      <c r="V85" s="252"/>
      <c r="W85" s="258"/>
      <c r="X85" s="216"/>
      <c r="Y85" s="216"/>
      <c r="Z85" s="216"/>
      <c r="AA85" s="252"/>
      <c r="AB85" s="258"/>
      <c r="AC85" s="253"/>
      <c r="AD85" s="253"/>
      <c r="AE85" s="216"/>
      <c r="AF85" s="252"/>
      <c r="AG85" s="258"/>
      <c r="AH85" s="216"/>
      <c r="AI85" s="216"/>
      <c r="AJ85" s="216"/>
      <c r="AK85" s="252"/>
      <c r="AL85" s="258"/>
      <c r="AM85" s="216"/>
      <c r="AN85" s="216"/>
      <c r="AO85" s="216"/>
      <c r="AP85" s="252"/>
      <c r="AQ85" s="258"/>
      <c r="AR85" s="216"/>
      <c r="AS85" s="216"/>
      <c r="AT85" s="216"/>
      <c r="AU85" s="254"/>
      <c r="AV85" s="258"/>
      <c r="AW85" s="216"/>
      <c r="AX85" s="216"/>
      <c r="AY85" s="216"/>
      <c r="AZ85" s="254"/>
      <c r="BA85" s="258"/>
      <c r="BB85" s="265"/>
      <c r="BC85" s="216"/>
      <c r="BD85" s="216"/>
      <c r="BE85" s="254"/>
      <c r="BF85" s="258"/>
      <c r="BG85" s="216"/>
      <c r="BH85" s="216"/>
      <c r="BI85" s="216"/>
      <c r="BJ85" s="254"/>
      <c r="BK85" s="258"/>
      <c r="BL85" s="216"/>
      <c r="BM85" s="216"/>
      <c r="BN85" s="216"/>
      <c r="BO85" s="254"/>
    </row>
    <row r="86" spans="2:67" hidden="1" outlineLevel="1">
      <c r="B86" s="90" t="s">
        <v>623</v>
      </c>
      <c r="C86" s="314" t="s">
        <v>52</v>
      </c>
      <c r="D86" s="257"/>
      <c r="E86" s="308" t="s">
        <v>15</v>
      </c>
      <c r="F86" s="344"/>
      <c r="G86" s="344"/>
      <c r="H86" s="330"/>
      <c r="I86" s="330"/>
      <c r="J86" s="251"/>
      <c r="K86" s="268"/>
      <c r="L86" s="312"/>
      <c r="M86" s="268"/>
      <c r="N86" s="224"/>
      <c r="O86" s="224"/>
      <c r="P86" s="224"/>
      <c r="Q86" s="312"/>
      <c r="R86" s="258"/>
      <c r="S86" s="216"/>
      <c r="T86" s="216"/>
      <c r="U86" s="216"/>
      <c r="V86" s="252"/>
      <c r="W86" s="258"/>
      <c r="X86" s="216"/>
      <c r="Y86" s="216"/>
      <c r="Z86" s="216"/>
      <c r="AA86" s="252"/>
      <c r="AB86" s="258"/>
      <c r="AC86" s="253"/>
      <c r="AD86" s="253"/>
      <c r="AE86" s="216"/>
      <c r="AF86" s="252"/>
      <c r="AG86" s="258"/>
      <c r="AH86" s="216"/>
      <c r="AI86" s="216"/>
      <c r="AJ86" s="216"/>
      <c r="AK86" s="252"/>
      <c r="AL86" s="258"/>
      <c r="AM86" s="216"/>
      <c r="AN86" s="216"/>
      <c r="AO86" s="216"/>
      <c r="AP86" s="252"/>
      <c r="AQ86" s="258"/>
      <c r="AR86" s="216"/>
      <c r="AS86" s="216"/>
      <c r="AT86" s="216"/>
      <c r="AU86" s="254"/>
      <c r="AV86" s="258"/>
      <c r="AW86" s="216"/>
      <c r="AX86" s="216"/>
      <c r="AY86" s="216"/>
      <c r="AZ86" s="254"/>
      <c r="BA86" s="258"/>
      <c r="BB86" s="265"/>
      <c r="BC86" s="216"/>
      <c r="BD86" s="216"/>
      <c r="BE86" s="254"/>
      <c r="BF86" s="258"/>
      <c r="BG86" s="216"/>
      <c r="BH86" s="216"/>
      <c r="BI86" s="216"/>
      <c r="BJ86" s="254"/>
      <c r="BK86" s="258"/>
      <c r="BL86" s="216"/>
      <c r="BM86" s="216"/>
      <c r="BN86" s="216"/>
      <c r="BO86" s="254"/>
    </row>
    <row r="87" spans="2:67" hidden="1" outlineLevel="1">
      <c r="B87" s="90" t="s">
        <v>624</v>
      </c>
      <c r="C87" s="314" t="s">
        <v>113</v>
      </c>
      <c r="D87" s="257"/>
      <c r="E87" s="308" t="s">
        <v>15</v>
      </c>
      <c r="F87" s="344"/>
      <c r="G87" s="344"/>
      <c r="H87" s="330"/>
      <c r="I87" s="330"/>
      <c r="J87" s="251"/>
      <c r="K87" s="268"/>
      <c r="L87" s="312"/>
      <c r="M87" s="268"/>
      <c r="N87" s="224"/>
      <c r="O87" s="224"/>
      <c r="P87" s="224"/>
      <c r="Q87" s="312"/>
      <c r="R87" s="258"/>
      <c r="S87" s="216"/>
      <c r="T87" s="216"/>
      <c r="U87" s="216"/>
      <c r="V87" s="252"/>
      <c r="W87" s="258"/>
      <c r="X87" s="216"/>
      <c r="Y87" s="216"/>
      <c r="Z87" s="216"/>
      <c r="AA87" s="252"/>
      <c r="AB87" s="258"/>
      <c r="AC87" s="253"/>
      <c r="AD87" s="253"/>
      <c r="AE87" s="216"/>
      <c r="AF87" s="252"/>
      <c r="AG87" s="258"/>
      <c r="AH87" s="216"/>
      <c r="AI87" s="216"/>
      <c r="AJ87" s="216"/>
      <c r="AK87" s="252"/>
      <c r="AL87" s="258"/>
      <c r="AM87" s="216"/>
      <c r="AN87" s="216"/>
      <c r="AO87" s="216"/>
      <c r="AP87" s="252"/>
      <c r="AQ87" s="258"/>
      <c r="AR87" s="216"/>
      <c r="AS87" s="216"/>
      <c r="AT87" s="216"/>
      <c r="AU87" s="254"/>
      <c r="AV87" s="258"/>
      <c r="AW87" s="216"/>
      <c r="AX87" s="216"/>
      <c r="AY87" s="216"/>
      <c r="AZ87" s="254"/>
      <c r="BA87" s="258"/>
      <c r="BB87" s="265"/>
      <c r="BC87" s="216"/>
      <c r="BD87" s="216"/>
      <c r="BE87" s="254"/>
      <c r="BF87" s="258"/>
      <c r="BG87" s="216"/>
      <c r="BH87" s="216"/>
      <c r="BI87" s="216"/>
      <c r="BJ87" s="254"/>
      <c r="BK87" s="258"/>
      <c r="BL87" s="216"/>
      <c r="BM87" s="216"/>
      <c r="BN87" s="216"/>
      <c r="BO87" s="254"/>
    </row>
    <row r="88" spans="2:67" hidden="1" outlineLevel="1">
      <c r="B88" s="90" t="s">
        <v>625</v>
      </c>
      <c r="C88" s="314" t="s">
        <v>114</v>
      </c>
      <c r="D88" s="257"/>
      <c r="E88" s="308" t="s">
        <v>15</v>
      </c>
      <c r="F88" s="344"/>
      <c r="G88" s="344"/>
      <c r="H88" s="330"/>
      <c r="I88" s="330"/>
      <c r="J88" s="251"/>
      <c r="K88" s="268"/>
      <c r="L88" s="312"/>
      <c r="M88" s="268"/>
      <c r="N88" s="224"/>
      <c r="O88" s="224"/>
      <c r="P88" s="224"/>
      <c r="Q88" s="312"/>
      <c r="R88" s="258"/>
      <c r="S88" s="216"/>
      <c r="T88" s="216"/>
      <c r="U88" s="216"/>
      <c r="V88" s="252"/>
      <c r="W88" s="258"/>
      <c r="X88" s="216"/>
      <c r="Y88" s="216"/>
      <c r="Z88" s="216"/>
      <c r="AA88" s="252"/>
      <c r="AB88" s="258"/>
      <c r="AC88" s="253"/>
      <c r="AD88" s="253"/>
      <c r="AE88" s="216"/>
      <c r="AF88" s="252"/>
      <c r="AG88" s="258"/>
      <c r="AH88" s="216"/>
      <c r="AI88" s="216"/>
      <c r="AJ88" s="216"/>
      <c r="AK88" s="252"/>
      <c r="AL88" s="258"/>
      <c r="AM88" s="216"/>
      <c r="AN88" s="216"/>
      <c r="AO88" s="216"/>
      <c r="AP88" s="252"/>
      <c r="AQ88" s="258"/>
      <c r="AR88" s="216"/>
      <c r="AS88" s="216"/>
      <c r="AT88" s="216"/>
      <c r="AU88" s="254"/>
      <c r="AV88" s="258"/>
      <c r="AW88" s="216"/>
      <c r="AX88" s="216"/>
      <c r="AY88" s="216"/>
      <c r="AZ88" s="254"/>
      <c r="BA88" s="258"/>
      <c r="BB88" s="265"/>
      <c r="BC88" s="216"/>
      <c r="BD88" s="216"/>
      <c r="BE88" s="254"/>
      <c r="BF88" s="258"/>
      <c r="BG88" s="216"/>
      <c r="BH88" s="216"/>
      <c r="BI88" s="216"/>
      <c r="BJ88" s="254"/>
      <c r="BK88" s="258"/>
      <c r="BL88" s="216"/>
      <c r="BM88" s="216"/>
      <c r="BN88" s="216"/>
      <c r="BO88" s="254"/>
    </row>
    <row r="89" spans="2:67" hidden="1" outlineLevel="1">
      <c r="B89" s="90" t="s">
        <v>626</v>
      </c>
      <c r="C89" s="314" t="s">
        <v>115</v>
      </c>
      <c r="D89" s="257"/>
      <c r="E89" s="308" t="s">
        <v>15</v>
      </c>
      <c r="F89" s="344"/>
      <c r="G89" s="344"/>
      <c r="H89" s="330"/>
      <c r="I89" s="330"/>
      <c r="J89" s="251"/>
      <c r="K89" s="268"/>
      <c r="L89" s="312"/>
      <c r="M89" s="268"/>
      <c r="N89" s="224"/>
      <c r="O89" s="224"/>
      <c r="P89" s="224"/>
      <c r="Q89" s="312"/>
      <c r="R89" s="258"/>
      <c r="S89" s="216"/>
      <c r="T89" s="216"/>
      <c r="U89" s="216"/>
      <c r="V89" s="252"/>
      <c r="W89" s="258"/>
      <c r="X89" s="216"/>
      <c r="Y89" s="216"/>
      <c r="Z89" s="216"/>
      <c r="AA89" s="252"/>
      <c r="AB89" s="258"/>
      <c r="AC89" s="253"/>
      <c r="AD89" s="253"/>
      <c r="AE89" s="216"/>
      <c r="AF89" s="252"/>
      <c r="AG89" s="258"/>
      <c r="AH89" s="216"/>
      <c r="AI89" s="216"/>
      <c r="AJ89" s="216"/>
      <c r="AK89" s="252"/>
      <c r="AL89" s="258"/>
      <c r="AM89" s="216"/>
      <c r="AN89" s="216"/>
      <c r="AO89" s="216"/>
      <c r="AP89" s="252"/>
      <c r="AQ89" s="258"/>
      <c r="AR89" s="216"/>
      <c r="AS89" s="216"/>
      <c r="AT89" s="216"/>
      <c r="AU89" s="254"/>
      <c r="AV89" s="258"/>
      <c r="AW89" s="216"/>
      <c r="AX89" s="216"/>
      <c r="AY89" s="216"/>
      <c r="AZ89" s="254"/>
      <c r="BA89" s="258"/>
      <c r="BB89" s="265"/>
      <c r="BC89" s="216"/>
      <c r="BD89" s="216"/>
      <c r="BE89" s="254"/>
      <c r="BF89" s="258"/>
      <c r="BG89" s="216"/>
      <c r="BH89" s="216"/>
      <c r="BI89" s="216"/>
      <c r="BJ89" s="254"/>
      <c r="BK89" s="258"/>
      <c r="BL89" s="216"/>
      <c r="BM89" s="216"/>
      <c r="BN89" s="216"/>
      <c r="BO89" s="254"/>
    </row>
    <row r="90" spans="2:67" hidden="1" outlineLevel="1">
      <c r="B90" s="90" t="s">
        <v>627</v>
      </c>
      <c r="C90" s="314" t="s">
        <v>51</v>
      </c>
      <c r="D90" s="257"/>
      <c r="E90" s="308" t="s">
        <v>15</v>
      </c>
      <c r="F90" s="344"/>
      <c r="G90" s="344"/>
      <c r="H90" s="330"/>
      <c r="I90" s="330"/>
      <c r="J90" s="251"/>
      <c r="K90" s="268"/>
      <c r="L90" s="312"/>
      <c r="M90" s="268"/>
      <c r="N90" s="224"/>
      <c r="O90" s="224"/>
      <c r="P90" s="224"/>
      <c r="Q90" s="312"/>
      <c r="R90" s="258"/>
      <c r="S90" s="216"/>
      <c r="T90" s="216"/>
      <c r="U90" s="216"/>
      <c r="V90" s="252"/>
      <c r="W90" s="258"/>
      <c r="X90" s="216"/>
      <c r="Y90" s="216"/>
      <c r="Z90" s="216"/>
      <c r="AA90" s="252"/>
      <c r="AB90" s="258"/>
      <c r="AC90" s="253"/>
      <c r="AD90" s="253"/>
      <c r="AE90" s="216"/>
      <c r="AF90" s="252"/>
      <c r="AG90" s="258"/>
      <c r="AH90" s="216"/>
      <c r="AI90" s="216"/>
      <c r="AJ90" s="216"/>
      <c r="AK90" s="252"/>
      <c r="AL90" s="258"/>
      <c r="AM90" s="216"/>
      <c r="AN90" s="216"/>
      <c r="AO90" s="216"/>
      <c r="AP90" s="252"/>
      <c r="AQ90" s="258"/>
      <c r="AR90" s="216"/>
      <c r="AS90" s="216"/>
      <c r="AT90" s="216"/>
      <c r="AU90" s="254"/>
      <c r="AV90" s="258"/>
      <c r="AW90" s="216"/>
      <c r="AX90" s="216"/>
      <c r="AY90" s="216"/>
      <c r="AZ90" s="254"/>
      <c r="BA90" s="258"/>
      <c r="BB90" s="265"/>
      <c r="BC90" s="216"/>
      <c r="BD90" s="216"/>
      <c r="BE90" s="254"/>
      <c r="BF90" s="258"/>
      <c r="BG90" s="216"/>
      <c r="BH90" s="216"/>
      <c r="BI90" s="216"/>
      <c r="BJ90" s="254"/>
      <c r="BK90" s="258"/>
      <c r="BL90" s="216"/>
      <c r="BM90" s="216"/>
      <c r="BN90" s="216"/>
      <c r="BO90" s="254"/>
    </row>
    <row r="91" spans="2:67" hidden="1" outlineLevel="1">
      <c r="B91" s="90" t="s">
        <v>628</v>
      </c>
      <c r="C91" s="314" t="s">
        <v>52</v>
      </c>
      <c r="D91" s="257"/>
      <c r="E91" s="308" t="s">
        <v>15</v>
      </c>
      <c r="F91" s="344"/>
      <c r="G91" s="344"/>
      <c r="H91" s="330"/>
      <c r="I91" s="330"/>
      <c r="J91" s="251"/>
      <c r="K91" s="268"/>
      <c r="L91" s="312"/>
      <c r="M91" s="268"/>
      <c r="N91" s="224"/>
      <c r="O91" s="224"/>
      <c r="P91" s="224"/>
      <c r="Q91" s="312"/>
      <c r="R91" s="258"/>
      <c r="S91" s="216"/>
      <c r="T91" s="216"/>
      <c r="U91" s="216"/>
      <c r="V91" s="252"/>
      <c r="W91" s="258"/>
      <c r="X91" s="216"/>
      <c r="Y91" s="216"/>
      <c r="Z91" s="216"/>
      <c r="AA91" s="252"/>
      <c r="AB91" s="258"/>
      <c r="AC91" s="253"/>
      <c r="AD91" s="253"/>
      <c r="AE91" s="216"/>
      <c r="AF91" s="252"/>
      <c r="AG91" s="258"/>
      <c r="AH91" s="216"/>
      <c r="AI91" s="216"/>
      <c r="AJ91" s="216"/>
      <c r="AK91" s="252"/>
      <c r="AL91" s="258"/>
      <c r="AM91" s="216"/>
      <c r="AN91" s="216"/>
      <c r="AO91" s="216"/>
      <c r="AP91" s="252"/>
      <c r="AQ91" s="258"/>
      <c r="AR91" s="216"/>
      <c r="AS91" s="216"/>
      <c r="AT91" s="216"/>
      <c r="AU91" s="254"/>
      <c r="AV91" s="258"/>
      <c r="AW91" s="216"/>
      <c r="AX91" s="216"/>
      <c r="AY91" s="216"/>
      <c r="AZ91" s="254"/>
      <c r="BA91" s="258"/>
      <c r="BB91" s="265"/>
      <c r="BC91" s="216"/>
      <c r="BD91" s="216"/>
      <c r="BE91" s="254"/>
      <c r="BF91" s="258"/>
      <c r="BG91" s="216"/>
      <c r="BH91" s="216"/>
      <c r="BI91" s="216"/>
      <c r="BJ91" s="254"/>
      <c r="BK91" s="258"/>
      <c r="BL91" s="216"/>
      <c r="BM91" s="216"/>
      <c r="BN91" s="216"/>
      <c r="BO91" s="254"/>
    </row>
    <row r="92" spans="2:67" hidden="1" outlineLevel="1">
      <c r="B92" s="90" t="s">
        <v>629</v>
      </c>
      <c r="C92" s="314" t="s">
        <v>53</v>
      </c>
      <c r="D92" s="257"/>
      <c r="E92" s="308" t="s">
        <v>15</v>
      </c>
      <c r="F92" s="344"/>
      <c r="G92" s="344"/>
      <c r="H92" s="330"/>
      <c r="I92" s="330"/>
      <c r="J92" s="251"/>
      <c r="K92" s="268"/>
      <c r="L92" s="312"/>
      <c r="M92" s="268"/>
      <c r="N92" s="224"/>
      <c r="O92" s="224"/>
      <c r="P92" s="224"/>
      <c r="Q92" s="312"/>
      <c r="R92" s="258"/>
      <c r="S92" s="216"/>
      <c r="T92" s="216"/>
      <c r="U92" s="216"/>
      <c r="V92" s="252"/>
      <c r="W92" s="258"/>
      <c r="X92" s="216"/>
      <c r="Y92" s="216"/>
      <c r="Z92" s="216"/>
      <c r="AA92" s="252"/>
      <c r="AB92" s="258"/>
      <c r="AC92" s="253"/>
      <c r="AD92" s="253"/>
      <c r="AE92" s="216"/>
      <c r="AF92" s="252"/>
      <c r="AG92" s="258"/>
      <c r="AH92" s="216"/>
      <c r="AI92" s="216"/>
      <c r="AJ92" s="216"/>
      <c r="AK92" s="252"/>
      <c r="AL92" s="258"/>
      <c r="AM92" s="216"/>
      <c r="AN92" s="216"/>
      <c r="AO92" s="216"/>
      <c r="AP92" s="252"/>
      <c r="AQ92" s="258"/>
      <c r="AR92" s="216"/>
      <c r="AS92" s="216"/>
      <c r="AT92" s="216"/>
      <c r="AU92" s="254"/>
      <c r="AV92" s="258"/>
      <c r="AW92" s="216"/>
      <c r="AX92" s="216"/>
      <c r="AY92" s="216"/>
      <c r="AZ92" s="254"/>
      <c r="BA92" s="258"/>
      <c r="BB92" s="265"/>
      <c r="BC92" s="216"/>
      <c r="BD92" s="216"/>
      <c r="BE92" s="254"/>
      <c r="BF92" s="258"/>
      <c r="BG92" s="216"/>
      <c r="BH92" s="216"/>
      <c r="BI92" s="216"/>
      <c r="BJ92" s="254"/>
      <c r="BK92" s="258"/>
      <c r="BL92" s="216"/>
      <c r="BM92" s="216"/>
      <c r="BN92" s="216"/>
      <c r="BO92" s="254"/>
    </row>
    <row r="93" spans="2:67" ht="18.5" hidden="1" outlineLevel="1" thickBot="1">
      <c r="B93" s="90" t="s">
        <v>630</v>
      </c>
      <c r="C93" s="314" t="s">
        <v>113</v>
      </c>
      <c r="D93" s="257"/>
      <c r="E93" s="308" t="s">
        <v>15</v>
      </c>
      <c r="F93" s="344"/>
      <c r="G93" s="344"/>
      <c r="H93" s="330"/>
      <c r="I93" s="330"/>
      <c r="J93" s="251"/>
      <c r="K93" s="268"/>
      <c r="L93" s="312"/>
      <c r="M93" s="268"/>
      <c r="N93" s="224"/>
      <c r="O93" s="224"/>
      <c r="P93" s="224"/>
      <c r="Q93" s="312"/>
      <c r="R93" s="258"/>
      <c r="S93" s="216"/>
      <c r="T93" s="216"/>
      <c r="U93" s="216"/>
      <c r="V93" s="252"/>
      <c r="W93" s="258"/>
      <c r="X93" s="216"/>
      <c r="Y93" s="216"/>
      <c r="Z93" s="216"/>
      <c r="AA93" s="252"/>
      <c r="AB93" s="258"/>
      <c r="AC93" s="253"/>
      <c r="AD93" s="253"/>
      <c r="AE93" s="216"/>
      <c r="AF93" s="252"/>
      <c r="AG93" s="258"/>
      <c r="AH93" s="216"/>
      <c r="AI93" s="216"/>
      <c r="AJ93" s="216"/>
      <c r="AK93" s="252"/>
      <c r="AL93" s="258"/>
      <c r="AM93" s="216"/>
      <c r="AN93" s="216"/>
      <c r="AO93" s="216"/>
      <c r="AP93" s="252"/>
      <c r="AQ93" s="258"/>
      <c r="AR93" s="216"/>
      <c r="AS93" s="216"/>
      <c r="AT93" s="216"/>
      <c r="AU93" s="254"/>
      <c r="AV93" s="258"/>
      <c r="AW93" s="216"/>
      <c r="AX93" s="216"/>
      <c r="AY93" s="216"/>
      <c r="AZ93" s="254"/>
      <c r="BA93" s="258"/>
      <c r="BB93" s="265"/>
      <c r="BC93" s="216"/>
      <c r="BD93" s="216"/>
      <c r="BE93" s="254"/>
      <c r="BF93" s="258"/>
      <c r="BG93" s="216"/>
      <c r="BH93" s="216"/>
      <c r="BI93" s="216"/>
      <c r="BJ93" s="254"/>
      <c r="BK93" s="258"/>
      <c r="BL93" s="216"/>
      <c r="BM93" s="216"/>
      <c r="BN93" s="216"/>
      <c r="BO93" s="254"/>
    </row>
    <row r="94" spans="2:67" ht="3.75" customHeight="1" collapsed="1" thickBot="1">
      <c r="B94" s="248"/>
      <c r="C94" s="249"/>
      <c r="D94" s="249"/>
      <c r="E94" s="240"/>
      <c r="F94" s="335"/>
      <c r="G94" s="335"/>
      <c r="H94" s="335"/>
      <c r="I94" s="335"/>
      <c r="J94" s="249"/>
      <c r="K94" s="250"/>
      <c r="L94" s="250"/>
      <c r="M94" s="250"/>
      <c r="N94" s="250"/>
      <c r="O94" s="250"/>
      <c r="P94" s="250"/>
      <c r="Q94" s="250"/>
      <c r="R94" s="250"/>
      <c r="S94" s="250"/>
      <c r="T94" s="250"/>
      <c r="U94" s="250"/>
      <c r="V94" s="250"/>
      <c r="W94" s="250"/>
      <c r="X94" s="250"/>
      <c r="Y94" s="250"/>
      <c r="Z94" s="250"/>
      <c r="AA94" s="250"/>
      <c r="AB94" s="250"/>
      <c r="AC94" s="250"/>
      <c r="AD94" s="250"/>
      <c r="AE94" s="250"/>
      <c r="AF94" s="250"/>
      <c r="AG94" s="250"/>
      <c r="AH94" s="250"/>
      <c r="AI94" s="250"/>
      <c r="AJ94" s="250"/>
      <c r="AK94" s="250"/>
      <c r="AL94" s="250"/>
      <c r="AM94" s="250"/>
      <c r="AN94" s="250"/>
      <c r="AO94" s="250"/>
      <c r="AP94" s="250"/>
      <c r="AQ94" s="250"/>
      <c r="AR94" s="250"/>
      <c r="AS94" s="250"/>
      <c r="AT94" s="250"/>
      <c r="AU94" s="250"/>
      <c r="AV94" s="250"/>
      <c r="AW94" s="250"/>
      <c r="AX94" s="250"/>
      <c r="AY94" s="250"/>
      <c r="AZ94" s="250"/>
      <c r="BA94" s="250"/>
      <c r="BB94" s="250"/>
      <c r="BC94" s="250"/>
      <c r="BD94" s="250"/>
      <c r="BE94" s="250"/>
      <c r="BF94" s="250"/>
      <c r="BG94" s="250"/>
      <c r="BH94" s="250"/>
      <c r="BI94" s="250"/>
      <c r="BJ94" s="250"/>
      <c r="BK94" s="250"/>
      <c r="BL94" s="250"/>
      <c r="BM94" s="250"/>
      <c r="BN94" s="250"/>
      <c r="BO94" s="250"/>
    </row>
    <row r="95" spans="2:67">
      <c r="B95" s="320" t="s">
        <v>172</v>
      </c>
      <c r="C95" s="320" t="s">
        <v>555</v>
      </c>
      <c r="D95" s="320"/>
      <c r="E95" s="329"/>
      <c r="F95" s="332"/>
      <c r="G95" s="332"/>
      <c r="H95" s="332"/>
      <c r="I95" s="332"/>
      <c r="J95" s="251"/>
      <c r="K95" s="323"/>
      <c r="L95" s="324"/>
      <c r="M95" s="323"/>
      <c r="N95" s="325"/>
      <c r="O95" s="325"/>
      <c r="P95" s="325"/>
      <c r="Q95" s="326"/>
      <c r="R95" s="323"/>
      <c r="S95" s="325"/>
      <c r="T95" s="325"/>
      <c r="U95" s="325"/>
      <c r="V95" s="326"/>
      <c r="W95" s="323"/>
      <c r="X95" s="325"/>
      <c r="Y95" s="325"/>
      <c r="Z95" s="325"/>
      <c r="AA95" s="326"/>
      <c r="AB95" s="323"/>
      <c r="AC95" s="327"/>
      <c r="AD95" s="327"/>
      <c r="AE95" s="325"/>
      <c r="AF95" s="326"/>
      <c r="AG95" s="323"/>
      <c r="AH95" s="325"/>
      <c r="AI95" s="325"/>
      <c r="AJ95" s="325"/>
      <c r="AK95" s="326"/>
      <c r="AL95" s="323"/>
      <c r="AM95" s="325"/>
      <c r="AN95" s="325"/>
      <c r="AO95" s="325"/>
      <c r="AP95" s="326"/>
      <c r="AQ95" s="323"/>
      <c r="AR95" s="325"/>
      <c r="AS95" s="325"/>
      <c r="AT95" s="325"/>
      <c r="AU95" s="328"/>
      <c r="AV95" s="341"/>
      <c r="AW95" s="340"/>
      <c r="AX95" s="325"/>
      <c r="AY95" s="325"/>
      <c r="AZ95" s="328"/>
      <c r="BA95" s="323"/>
      <c r="BB95" s="265"/>
      <c r="BC95" s="325"/>
      <c r="BD95" s="325"/>
      <c r="BE95" s="328"/>
      <c r="BF95" s="323"/>
      <c r="BG95" s="325"/>
      <c r="BH95" s="325"/>
      <c r="BI95" s="325"/>
      <c r="BJ95" s="328"/>
      <c r="BK95" s="323"/>
      <c r="BL95" s="325"/>
      <c r="BM95" s="325"/>
      <c r="BN95" s="325"/>
      <c r="BO95" s="328"/>
    </row>
    <row r="96" spans="2:67">
      <c r="B96" s="259" t="s">
        <v>313</v>
      </c>
      <c r="C96" s="259" t="s">
        <v>485</v>
      </c>
      <c r="D96" s="308" t="s">
        <v>121</v>
      </c>
      <c r="E96" s="309" t="s">
        <v>309</v>
      </c>
      <c r="F96" s="334">
        <v>45691</v>
      </c>
      <c r="G96" s="334">
        <v>45712</v>
      </c>
      <c r="H96" s="334"/>
      <c r="I96" s="334"/>
      <c r="J96" s="251"/>
      <c r="K96" s="268"/>
      <c r="L96" s="319"/>
      <c r="M96" s="313"/>
      <c r="N96" s="224"/>
      <c r="O96" s="224"/>
      <c r="P96" s="224"/>
      <c r="Q96" s="312"/>
      <c r="R96" s="258"/>
      <c r="S96" s="216"/>
      <c r="T96" s="216"/>
      <c r="U96" s="216"/>
      <c r="V96" s="254"/>
      <c r="W96" s="258"/>
      <c r="X96" s="216"/>
      <c r="Y96" s="216"/>
      <c r="Z96" s="216"/>
      <c r="AA96" s="252"/>
      <c r="AB96" s="258"/>
      <c r="AC96" s="253"/>
      <c r="AD96" s="253"/>
      <c r="AE96" s="216"/>
      <c r="AF96" s="252"/>
      <c r="AG96" s="258"/>
      <c r="AH96" s="216"/>
      <c r="AI96" s="216"/>
      <c r="AJ96" s="216"/>
      <c r="AK96" s="252"/>
      <c r="AL96" s="258"/>
      <c r="AM96" s="216"/>
      <c r="AN96" s="216"/>
      <c r="AO96" s="216"/>
      <c r="AP96" s="252"/>
      <c r="AQ96" s="258"/>
      <c r="AR96" s="216"/>
      <c r="AS96" s="216"/>
      <c r="AT96" s="216"/>
      <c r="AU96" s="254"/>
      <c r="AV96" s="339" t="s">
        <v>314</v>
      </c>
      <c r="AW96" s="343"/>
      <c r="AX96" s="253"/>
      <c r="AY96" s="216"/>
      <c r="AZ96" s="254"/>
      <c r="BA96" s="258"/>
      <c r="BB96" s="265"/>
      <c r="BC96" s="216"/>
      <c r="BD96" s="216"/>
      <c r="BE96" s="254"/>
      <c r="BF96" s="258"/>
      <c r="BG96" s="216"/>
      <c r="BH96" s="216"/>
      <c r="BI96" s="216"/>
      <c r="BJ96" s="254"/>
      <c r="BK96" s="258"/>
      <c r="BL96" s="216"/>
      <c r="BM96" s="216"/>
      <c r="BN96" s="216"/>
      <c r="BO96" s="254"/>
    </row>
    <row r="97" spans="2:67" hidden="1" outlineLevel="1">
      <c r="B97" s="90" t="s">
        <v>523</v>
      </c>
      <c r="C97" s="314" t="s">
        <v>79</v>
      </c>
      <c r="D97" s="257"/>
      <c r="E97" s="309" t="s">
        <v>309</v>
      </c>
      <c r="F97" s="344"/>
      <c r="G97" s="344"/>
      <c r="H97" s="334"/>
      <c r="I97" s="334"/>
      <c r="J97" s="251"/>
      <c r="K97" s="268"/>
      <c r="L97" s="319"/>
      <c r="M97" s="313"/>
      <c r="N97" s="224"/>
      <c r="O97" s="224"/>
      <c r="P97" s="224"/>
      <c r="Q97" s="312"/>
      <c r="R97" s="258"/>
      <c r="S97" s="216"/>
      <c r="T97" s="216"/>
      <c r="U97" s="216"/>
      <c r="V97" s="254"/>
      <c r="W97" s="258"/>
      <c r="X97" s="216"/>
      <c r="Y97" s="216"/>
      <c r="Z97" s="216"/>
      <c r="AA97" s="252"/>
      <c r="AB97" s="258"/>
      <c r="AC97" s="253"/>
      <c r="AD97" s="253"/>
      <c r="AE97" s="216"/>
      <c r="AF97" s="252"/>
      <c r="AG97" s="258"/>
      <c r="AH97" s="216"/>
      <c r="AI97" s="216"/>
      <c r="AJ97" s="216"/>
      <c r="AK97" s="252"/>
      <c r="AL97" s="258"/>
      <c r="AM97" s="216"/>
      <c r="AN97" s="216"/>
      <c r="AO97" s="216"/>
      <c r="AP97" s="252"/>
      <c r="AQ97" s="258"/>
      <c r="AR97" s="216"/>
      <c r="AS97" s="216"/>
      <c r="AT97" s="216"/>
      <c r="AU97" s="254"/>
      <c r="AV97" s="258"/>
      <c r="AW97" s="224"/>
      <c r="AX97" s="216"/>
      <c r="AY97" s="216"/>
      <c r="AZ97" s="254"/>
      <c r="BA97" s="258"/>
      <c r="BB97" s="265"/>
      <c r="BC97" s="216"/>
      <c r="BD97" s="216"/>
      <c r="BE97" s="254"/>
      <c r="BF97" s="258"/>
      <c r="BG97" s="216"/>
      <c r="BH97" s="216"/>
      <c r="BI97" s="216"/>
      <c r="BJ97" s="254"/>
      <c r="BK97" s="258"/>
      <c r="BL97" s="216"/>
      <c r="BM97" s="216"/>
      <c r="BN97" s="216"/>
      <c r="BO97" s="254"/>
    </row>
    <row r="98" spans="2:67" hidden="1" outlineLevel="1">
      <c r="B98" s="90" t="s">
        <v>524</v>
      </c>
      <c r="C98" s="314" t="s">
        <v>80</v>
      </c>
      <c r="D98" s="257"/>
      <c r="E98" s="309" t="s">
        <v>309</v>
      </c>
      <c r="F98" s="344"/>
      <c r="G98" s="344"/>
      <c r="H98" s="334"/>
      <c r="I98" s="334"/>
      <c r="J98" s="251"/>
      <c r="K98" s="268"/>
      <c r="L98" s="319"/>
      <c r="M98" s="313"/>
      <c r="N98" s="224"/>
      <c r="O98" s="224"/>
      <c r="P98" s="224"/>
      <c r="Q98" s="312"/>
      <c r="R98" s="268"/>
      <c r="S98" s="216"/>
      <c r="T98" s="216"/>
      <c r="U98" s="216"/>
      <c r="V98" s="254"/>
      <c r="W98" s="268"/>
      <c r="X98" s="216"/>
      <c r="Y98" s="216"/>
      <c r="Z98" s="216"/>
      <c r="AA98" s="252"/>
      <c r="AB98" s="268"/>
      <c r="AC98" s="253"/>
      <c r="AD98" s="253"/>
      <c r="AE98" s="216"/>
      <c r="AF98" s="252"/>
      <c r="AG98" s="268"/>
      <c r="AH98" s="216"/>
      <c r="AI98" s="216"/>
      <c r="AJ98" s="216"/>
      <c r="AK98" s="252"/>
      <c r="AL98" s="268"/>
      <c r="AM98" s="216"/>
      <c r="AN98" s="216"/>
      <c r="AO98" s="216"/>
      <c r="AP98" s="252"/>
      <c r="AQ98" s="268"/>
      <c r="AR98" s="216"/>
      <c r="AS98" s="216"/>
      <c r="AT98" s="216"/>
      <c r="AU98" s="254"/>
      <c r="AV98" s="268"/>
      <c r="AW98" s="224"/>
      <c r="AX98" s="216"/>
      <c r="AY98" s="216"/>
      <c r="AZ98" s="254"/>
      <c r="BA98" s="268"/>
      <c r="BB98" s="265"/>
      <c r="BC98" s="216"/>
      <c r="BD98" s="216"/>
      <c r="BE98" s="254"/>
      <c r="BF98" s="268"/>
      <c r="BG98" s="216"/>
      <c r="BH98" s="216"/>
      <c r="BI98" s="216"/>
      <c r="BJ98" s="254"/>
      <c r="BK98" s="268"/>
      <c r="BL98" s="216"/>
      <c r="BM98" s="216"/>
      <c r="BN98" s="216"/>
      <c r="BO98" s="254"/>
    </row>
    <row r="99" spans="2:67" hidden="1" outlineLevel="1">
      <c r="B99" s="90" t="s">
        <v>525</v>
      </c>
      <c r="C99" s="314" t="s">
        <v>81</v>
      </c>
      <c r="D99" s="257"/>
      <c r="E99" s="309" t="s">
        <v>309</v>
      </c>
      <c r="F99" s="344"/>
      <c r="G99" s="344"/>
      <c r="H99" s="334"/>
      <c r="I99" s="334"/>
      <c r="J99" s="251"/>
      <c r="K99" s="268"/>
      <c r="L99" s="319"/>
      <c r="M99" s="313"/>
      <c r="N99" s="224"/>
      <c r="O99" s="224"/>
      <c r="P99" s="224"/>
      <c r="Q99" s="312"/>
      <c r="R99" s="268"/>
      <c r="S99" s="216"/>
      <c r="T99" s="216"/>
      <c r="U99" s="216"/>
      <c r="V99" s="254"/>
      <c r="W99" s="268"/>
      <c r="X99" s="216"/>
      <c r="Y99" s="216"/>
      <c r="Z99" s="216"/>
      <c r="AA99" s="252"/>
      <c r="AB99" s="268"/>
      <c r="AC99" s="253"/>
      <c r="AD99" s="253"/>
      <c r="AE99" s="216"/>
      <c r="AF99" s="252"/>
      <c r="AG99" s="268"/>
      <c r="AH99" s="216"/>
      <c r="AI99" s="216"/>
      <c r="AJ99" s="216"/>
      <c r="AK99" s="252"/>
      <c r="AL99" s="268"/>
      <c r="AM99" s="216"/>
      <c r="AN99" s="216"/>
      <c r="AO99" s="216"/>
      <c r="AP99" s="252"/>
      <c r="AQ99" s="268"/>
      <c r="AR99" s="216"/>
      <c r="AS99" s="216"/>
      <c r="AT99" s="216"/>
      <c r="AU99" s="254"/>
      <c r="AV99" s="268"/>
      <c r="AW99" s="224"/>
      <c r="AX99" s="216"/>
      <c r="AY99" s="216"/>
      <c r="AZ99" s="254"/>
      <c r="BA99" s="268"/>
      <c r="BB99" s="265"/>
      <c r="BC99" s="216"/>
      <c r="BD99" s="216"/>
      <c r="BE99" s="254"/>
      <c r="BF99" s="268"/>
      <c r="BG99" s="216"/>
      <c r="BH99" s="216"/>
      <c r="BI99" s="216"/>
      <c r="BJ99" s="254"/>
      <c r="BK99" s="268"/>
      <c r="BL99" s="216"/>
      <c r="BM99" s="216"/>
      <c r="BN99" s="216"/>
      <c r="BO99" s="254"/>
    </row>
    <row r="100" spans="2:67" hidden="1" outlineLevel="1">
      <c r="B100" s="90" t="s">
        <v>526</v>
      </c>
      <c r="C100" s="314" t="s">
        <v>83</v>
      </c>
      <c r="D100" s="257"/>
      <c r="E100" s="309" t="s">
        <v>309</v>
      </c>
      <c r="F100" s="344"/>
      <c r="G100" s="344"/>
      <c r="H100" s="334"/>
      <c r="I100" s="334"/>
      <c r="J100" s="251"/>
      <c r="K100" s="268"/>
      <c r="L100" s="319"/>
      <c r="M100" s="313"/>
      <c r="N100" s="224"/>
      <c r="O100" s="224"/>
      <c r="P100" s="224"/>
      <c r="Q100" s="312"/>
      <c r="R100" s="268"/>
      <c r="S100" s="216"/>
      <c r="T100" s="216"/>
      <c r="U100" s="216"/>
      <c r="V100" s="254"/>
      <c r="W100" s="268"/>
      <c r="X100" s="216"/>
      <c r="Y100" s="216"/>
      <c r="Z100" s="216"/>
      <c r="AA100" s="252"/>
      <c r="AB100" s="268"/>
      <c r="AC100" s="253"/>
      <c r="AD100" s="253"/>
      <c r="AE100" s="216"/>
      <c r="AF100" s="252"/>
      <c r="AG100" s="268"/>
      <c r="AH100" s="216"/>
      <c r="AI100" s="216"/>
      <c r="AJ100" s="216"/>
      <c r="AK100" s="252"/>
      <c r="AL100" s="268"/>
      <c r="AM100" s="216"/>
      <c r="AN100" s="216"/>
      <c r="AO100" s="216"/>
      <c r="AP100" s="252"/>
      <c r="AQ100" s="268"/>
      <c r="AR100" s="216"/>
      <c r="AS100" s="216"/>
      <c r="AT100" s="216"/>
      <c r="AU100" s="254"/>
      <c r="AV100" s="268"/>
      <c r="AW100" s="224"/>
      <c r="AX100" s="216"/>
      <c r="AY100" s="216"/>
      <c r="AZ100" s="254"/>
      <c r="BA100" s="268"/>
      <c r="BB100" s="265"/>
      <c r="BC100" s="216"/>
      <c r="BD100" s="216"/>
      <c r="BE100" s="254"/>
      <c r="BF100" s="268"/>
      <c r="BG100" s="216"/>
      <c r="BH100" s="216"/>
      <c r="BI100" s="216"/>
      <c r="BJ100" s="254"/>
      <c r="BK100" s="268"/>
      <c r="BL100" s="216"/>
      <c r="BM100" s="216"/>
      <c r="BN100" s="216"/>
      <c r="BO100" s="254"/>
    </row>
    <row r="101" spans="2:67" hidden="1" outlineLevel="1">
      <c r="B101" s="90" t="s">
        <v>527</v>
      </c>
      <c r="C101" s="314" t="s">
        <v>85</v>
      </c>
      <c r="D101" s="257"/>
      <c r="E101" s="309" t="s">
        <v>309</v>
      </c>
      <c r="F101" s="344"/>
      <c r="G101" s="344"/>
      <c r="H101" s="334"/>
      <c r="I101" s="334"/>
      <c r="J101" s="251"/>
      <c r="K101" s="268"/>
      <c r="L101" s="319"/>
      <c r="M101" s="313"/>
      <c r="N101" s="224"/>
      <c r="O101" s="224"/>
      <c r="P101" s="224"/>
      <c r="Q101" s="312"/>
      <c r="R101" s="268"/>
      <c r="S101" s="216"/>
      <c r="T101" s="216"/>
      <c r="U101" s="216"/>
      <c r="V101" s="254"/>
      <c r="W101" s="268"/>
      <c r="X101" s="216"/>
      <c r="Y101" s="216"/>
      <c r="Z101" s="216"/>
      <c r="AA101" s="252"/>
      <c r="AB101" s="268"/>
      <c r="AC101" s="253"/>
      <c r="AD101" s="253"/>
      <c r="AE101" s="216"/>
      <c r="AF101" s="252"/>
      <c r="AG101" s="268"/>
      <c r="AH101" s="216"/>
      <c r="AI101" s="216"/>
      <c r="AJ101" s="216"/>
      <c r="AK101" s="252"/>
      <c r="AL101" s="268"/>
      <c r="AM101" s="216"/>
      <c r="AN101" s="216"/>
      <c r="AO101" s="216"/>
      <c r="AP101" s="252"/>
      <c r="AQ101" s="268"/>
      <c r="AR101" s="216"/>
      <c r="AS101" s="216"/>
      <c r="AT101" s="216"/>
      <c r="AU101" s="254"/>
      <c r="AV101" s="268"/>
      <c r="AW101" s="224"/>
      <c r="AX101" s="216"/>
      <c r="AY101" s="216"/>
      <c r="AZ101" s="254"/>
      <c r="BA101" s="268"/>
      <c r="BB101" s="265"/>
      <c r="BC101" s="216"/>
      <c r="BD101" s="216"/>
      <c r="BE101" s="254"/>
      <c r="BF101" s="268"/>
      <c r="BG101" s="216"/>
      <c r="BH101" s="216"/>
      <c r="BI101" s="216"/>
      <c r="BJ101" s="254"/>
      <c r="BK101" s="268"/>
      <c r="BL101" s="216"/>
      <c r="BM101" s="216"/>
      <c r="BN101" s="216"/>
      <c r="BO101" s="254"/>
    </row>
    <row r="102" spans="2:67" hidden="1" outlineLevel="1">
      <c r="B102" s="90" t="s">
        <v>528</v>
      </c>
      <c r="C102" s="314" t="s">
        <v>86</v>
      </c>
      <c r="D102" s="257"/>
      <c r="E102" s="309" t="s">
        <v>309</v>
      </c>
      <c r="F102" s="344"/>
      <c r="G102" s="344"/>
      <c r="H102" s="334"/>
      <c r="I102" s="334"/>
      <c r="J102" s="251"/>
      <c r="K102" s="268"/>
      <c r="L102" s="319"/>
      <c r="M102" s="313"/>
      <c r="N102" s="224"/>
      <c r="O102" s="224"/>
      <c r="P102" s="224"/>
      <c r="Q102" s="312"/>
      <c r="R102" s="268"/>
      <c r="S102" s="216"/>
      <c r="T102" s="216"/>
      <c r="U102" s="216"/>
      <c r="V102" s="254"/>
      <c r="W102" s="268"/>
      <c r="X102" s="216"/>
      <c r="Y102" s="216"/>
      <c r="Z102" s="216"/>
      <c r="AA102" s="252"/>
      <c r="AB102" s="268"/>
      <c r="AC102" s="253"/>
      <c r="AD102" s="253"/>
      <c r="AE102" s="216"/>
      <c r="AF102" s="252"/>
      <c r="AG102" s="268"/>
      <c r="AH102" s="216"/>
      <c r="AI102" s="216"/>
      <c r="AJ102" s="216"/>
      <c r="AK102" s="252"/>
      <c r="AL102" s="268"/>
      <c r="AM102" s="216"/>
      <c r="AN102" s="216"/>
      <c r="AO102" s="216"/>
      <c r="AP102" s="252"/>
      <c r="AQ102" s="268"/>
      <c r="AR102" s="216"/>
      <c r="AS102" s="216"/>
      <c r="AT102" s="216"/>
      <c r="AU102" s="254"/>
      <c r="AV102" s="268"/>
      <c r="AW102" s="224"/>
      <c r="AX102" s="216"/>
      <c r="AY102" s="216"/>
      <c r="AZ102" s="254"/>
      <c r="BA102" s="268"/>
      <c r="BB102" s="265"/>
      <c r="BC102" s="216"/>
      <c r="BD102" s="216"/>
      <c r="BE102" s="254"/>
      <c r="BF102" s="268"/>
      <c r="BG102" s="216"/>
      <c r="BH102" s="216"/>
      <c r="BI102" s="216"/>
      <c r="BJ102" s="254"/>
      <c r="BK102" s="268"/>
      <c r="BL102" s="216"/>
      <c r="BM102" s="216"/>
      <c r="BN102" s="216"/>
      <c r="BO102" s="254"/>
    </row>
    <row r="103" spans="2:67" hidden="1" outlineLevel="1">
      <c r="B103" s="90" t="s">
        <v>529</v>
      </c>
      <c r="C103" s="314" t="s">
        <v>90</v>
      </c>
      <c r="D103" s="257"/>
      <c r="E103" s="309" t="s">
        <v>309</v>
      </c>
      <c r="F103" s="344"/>
      <c r="G103" s="344"/>
      <c r="H103" s="334"/>
      <c r="I103" s="334"/>
      <c r="J103" s="251"/>
      <c r="K103" s="268"/>
      <c r="L103" s="319"/>
      <c r="M103" s="313"/>
      <c r="N103" s="224"/>
      <c r="O103" s="224"/>
      <c r="P103" s="224"/>
      <c r="Q103" s="312"/>
      <c r="R103" s="268"/>
      <c r="S103" s="216"/>
      <c r="T103" s="216"/>
      <c r="U103" s="216"/>
      <c r="V103" s="254"/>
      <c r="W103" s="268"/>
      <c r="X103" s="216"/>
      <c r="Y103" s="216"/>
      <c r="Z103" s="216"/>
      <c r="AA103" s="252"/>
      <c r="AB103" s="268"/>
      <c r="AC103" s="253"/>
      <c r="AD103" s="253"/>
      <c r="AE103" s="216"/>
      <c r="AF103" s="252"/>
      <c r="AG103" s="268"/>
      <c r="AH103" s="216"/>
      <c r="AI103" s="216"/>
      <c r="AJ103" s="216"/>
      <c r="AK103" s="252"/>
      <c r="AL103" s="268"/>
      <c r="AM103" s="216"/>
      <c r="AN103" s="216"/>
      <c r="AO103" s="216"/>
      <c r="AP103" s="252"/>
      <c r="AQ103" s="268"/>
      <c r="AR103" s="216"/>
      <c r="AS103" s="216"/>
      <c r="AT103" s="216"/>
      <c r="AU103" s="254"/>
      <c r="AV103" s="268"/>
      <c r="AW103" s="224"/>
      <c r="AX103" s="216"/>
      <c r="AY103" s="216"/>
      <c r="AZ103" s="254"/>
      <c r="BA103" s="268"/>
      <c r="BB103" s="265"/>
      <c r="BC103" s="216"/>
      <c r="BD103" s="216"/>
      <c r="BE103" s="254"/>
      <c r="BF103" s="268"/>
      <c r="BG103" s="216"/>
      <c r="BH103" s="216"/>
      <c r="BI103" s="216"/>
      <c r="BJ103" s="254"/>
      <c r="BK103" s="268"/>
      <c r="BL103" s="216"/>
      <c r="BM103" s="216"/>
      <c r="BN103" s="216"/>
      <c r="BO103" s="254"/>
    </row>
    <row r="104" spans="2:67" hidden="1" outlineLevel="1">
      <c r="B104" s="90" t="s">
        <v>576</v>
      </c>
      <c r="C104" s="314" t="s">
        <v>92</v>
      </c>
      <c r="D104" s="257"/>
      <c r="E104" s="309" t="s">
        <v>309</v>
      </c>
      <c r="F104" s="344"/>
      <c r="G104" s="344"/>
      <c r="H104" s="334"/>
      <c r="I104" s="334"/>
      <c r="J104" s="251"/>
      <c r="K104" s="268"/>
      <c r="L104" s="319"/>
      <c r="M104" s="313"/>
      <c r="N104" s="224"/>
      <c r="O104" s="224"/>
      <c r="P104" s="224"/>
      <c r="Q104" s="312"/>
      <c r="R104" s="268"/>
      <c r="S104" s="216"/>
      <c r="T104" s="216"/>
      <c r="U104" s="216"/>
      <c r="V104" s="254"/>
      <c r="W104" s="268"/>
      <c r="X104" s="216"/>
      <c r="Y104" s="216"/>
      <c r="Z104" s="216"/>
      <c r="AA104" s="252"/>
      <c r="AB104" s="268"/>
      <c r="AC104" s="253"/>
      <c r="AD104" s="253"/>
      <c r="AE104" s="216"/>
      <c r="AF104" s="252"/>
      <c r="AG104" s="268"/>
      <c r="AH104" s="216"/>
      <c r="AI104" s="216"/>
      <c r="AJ104" s="216"/>
      <c r="AK104" s="252"/>
      <c r="AL104" s="268"/>
      <c r="AM104" s="216"/>
      <c r="AN104" s="216"/>
      <c r="AO104" s="216"/>
      <c r="AP104" s="252"/>
      <c r="AQ104" s="268"/>
      <c r="AR104" s="216"/>
      <c r="AS104" s="216"/>
      <c r="AT104" s="216"/>
      <c r="AU104" s="254"/>
      <c r="AV104" s="268"/>
      <c r="AW104" s="224"/>
      <c r="AX104" s="216"/>
      <c r="AY104" s="216"/>
      <c r="AZ104" s="254"/>
      <c r="BA104" s="268"/>
      <c r="BB104" s="265"/>
      <c r="BC104" s="216"/>
      <c r="BD104" s="216"/>
      <c r="BE104" s="254"/>
      <c r="BF104" s="268"/>
      <c r="BG104" s="216"/>
      <c r="BH104" s="216"/>
      <c r="BI104" s="216"/>
      <c r="BJ104" s="254"/>
      <c r="BK104" s="268"/>
      <c r="BL104" s="216"/>
      <c r="BM104" s="216"/>
      <c r="BN104" s="216"/>
      <c r="BO104" s="254"/>
    </row>
    <row r="105" spans="2:67" hidden="1" outlineLevel="1">
      <c r="B105" s="90" t="s">
        <v>577</v>
      </c>
      <c r="C105" s="314" t="s">
        <v>93</v>
      </c>
      <c r="D105" s="257"/>
      <c r="E105" s="309" t="s">
        <v>309</v>
      </c>
      <c r="F105" s="344"/>
      <c r="G105" s="344"/>
      <c r="H105" s="334"/>
      <c r="I105" s="334"/>
      <c r="J105" s="251"/>
      <c r="K105" s="268"/>
      <c r="L105" s="319"/>
      <c r="M105" s="313"/>
      <c r="N105" s="224"/>
      <c r="O105" s="224"/>
      <c r="P105" s="224"/>
      <c r="Q105" s="312"/>
      <c r="R105" s="268"/>
      <c r="S105" s="216"/>
      <c r="T105" s="216"/>
      <c r="U105" s="216"/>
      <c r="V105" s="254"/>
      <c r="W105" s="268"/>
      <c r="X105" s="216"/>
      <c r="Y105" s="216"/>
      <c r="Z105" s="216"/>
      <c r="AA105" s="252"/>
      <c r="AB105" s="268"/>
      <c r="AC105" s="253"/>
      <c r="AD105" s="253"/>
      <c r="AE105" s="216"/>
      <c r="AF105" s="252"/>
      <c r="AG105" s="268"/>
      <c r="AH105" s="216"/>
      <c r="AI105" s="216"/>
      <c r="AJ105" s="216"/>
      <c r="AK105" s="252"/>
      <c r="AL105" s="268"/>
      <c r="AM105" s="216"/>
      <c r="AN105" s="216"/>
      <c r="AO105" s="216"/>
      <c r="AP105" s="252"/>
      <c r="AQ105" s="268"/>
      <c r="AR105" s="216"/>
      <c r="AS105" s="216"/>
      <c r="AT105" s="216"/>
      <c r="AU105" s="254"/>
      <c r="AV105" s="268"/>
      <c r="AW105" s="224"/>
      <c r="AX105" s="216"/>
      <c r="AY105" s="216"/>
      <c r="AZ105" s="254"/>
      <c r="BA105" s="268"/>
      <c r="BB105" s="265"/>
      <c r="BC105" s="216"/>
      <c r="BD105" s="216"/>
      <c r="BE105" s="254"/>
      <c r="BF105" s="268"/>
      <c r="BG105" s="216"/>
      <c r="BH105" s="216"/>
      <c r="BI105" s="216"/>
      <c r="BJ105" s="254"/>
      <c r="BK105" s="268"/>
      <c r="BL105" s="216"/>
      <c r="BM105" s="216"/>
      <c r="BN105" s="216"/>
      <c r="BO105" s="254"/>
    </row>
    <row r="106" spans="2:67" hidden="1" outlineLevel="1">
      <c r="B106" s="90" t="s">
        <v>578</v>
      </c>
      <c r="C106" s="314" t="s">
        <v>95</v>
      </c>
      <c r="D106" s="257"/>
      <c r="E106" s="309" t="s">
        <v>309</v>
      </c>
      <c r="F106" s="344"/>
      <c r="G106" s="344"/>
      <c r="H106" s="334"/>
      <c r="I106" s="334"/>
      <c r="J106" s="251"/>
      <c r="K106" s="268"/>
      <c r="L106" s="319"/>
      <c r="M106" s="313"/>
      <c r="N106" s="224"/>
      <c r="O106" s="224"/>
      <c r="P106" s="224"/>
      <c r="Q106" s="312"/>
      <c r="R106" s="268"/>
      <c r="S106" s="216"/>
      <c r="T106" s="216"/>
      <c r="U106" s="216"/>
      <c r="V106" s="254"/>
      <c r="W106" s="268"/>
      <c r="X106" s="216"/>
      <c r="Y106" s="216"/>
      <c r="Z106" s="216"/>
      <c r="AA106" s="252"/>
      <c r="AB106" s="268"/>
      <c r="AC106" s="253"/>
      <c r="AD106" s="253"/>
      <c r="AE106" s="216"/>
      <c r="AF106" s="252"/>
      <c r="AG106" s="268"/>
      <c r="AH106" s="216"/>
      <c r="AI106" s="216"/>
      <c r="AJ106" s="216"/>
      <c r="AK106" s="252"/>
      <c r="AL106" s="268"/>
      <c r="AM106" s="216"/>
      <c r="AN106" s="216"/>
      <c r="AO106" s="216"/>
      <c r="AP106" s="252"/>
      <c r="AQ106" s="268"/>
      <c r="AR106" s="216"/>
      <c r="AS106" s="216"/>
      <c r="AT106" s="216"/>
      <c r="AU106" s="254"/>
      <c r="AV106" s="268"/>
      <c r="AW106" s="224"/>
      <c r="AX106" s="216"/>
      <c r="AY106" s="216"/>
      <c r="AZ106" s="254"/>
      <c r="BA106" s="268"/>
      <c r="BB106" s="265"/>
      <c r="BC106" s="216"/>
      <c r="BD106" s="216"/>
      <c r="BE106" s="254"/>
      <c r="BF106" s="268"/>
      <c r="BG106" s="216"/>
      <c r="BH106" s="216"/>
      <c r="BI106" s="216"/>
      <c r="BJ106" s="254"/>
      <c r="BK106" s="268"/>
      <c r="BL106" s="216"/>
      <c r="BM106" s="216"/>
      <c r="BN106" s="216"/>
      <c r="BO106" s="254"/>
    </row>
    <row r="107" spans="2:67" hidden="1" outlineLevel="1">
      <c r="B107" s="90" t="s">
        <v>579</v>
      </c>
      <c r="C107" s="314" t="s">
        <v>96</v>
      </c>
      <c r="D107" s="257"/>
      <c r="E107" s="309" t="s">
        <v>309</v>
      </c>
      <c r="F107" s="344"/>
      <c r="G107" s="344"/>
      <c r="H107" s="334"/>
      <c r="I107" s="334"/>
      <c r="J107" s="251"/>
      <c r="K107" s="268"/>
      <c r="L107" s="319"/>
      <c r="M107" s="313"/>
      <c r="N107" s="224"/>
      <c r="O107" s="224"/>
      <c r="P107" s="224"/>
      <c r="Q107" s="312"/>
      <c r="R107" s="268"/>
      <c r="S107" s="216"/>
      <c r="T107" s="216"/>
      <c r="U107" s="216"/>
      <c r="V107" s="254"/>
      <c r="W107" s="268"/>
      <c r="X107" s="216"/>
      <c r="Y107" s="216"/>
      <c r="Z107" s="216"/>
      <c r="AA107" s="252"/>
      <c r="AB107" s="268"/>
      <c r="AC107" s="253"/>
      <c r="AD107" s="253"/>
      <c r="AE107" s="216"/>
      <c r="AF107" s="252"/>
      <c r="AG107" s="268"/>
      <c r="AH107" s="216"/>
      <c r="AI107" s="216"/>
      <c r="AJ107" s="216"/>
      <c r="AK107" s="252"/>
      <c r="AL107" s="268"/>
      <c r="AM107" s="216"/>
      <c r="AN107" s="216"/>
      <c r="AO107" s="216"/>
      <c r="AP107" s="252"/>
      <c r="AQ107" s="268"/>
      <c r="AR107" s="216"/>
      <c r="AS107" s="216"/>
      <c r="AT107" s="216"/>
      <c r="AU107" s="254"/>
      <c r="AV107" s="268"/>
      <c r="AW107" s="224"/>
      <c r="AX107" s="216"/>
      <c r="AY107" s="216"/>
      <c r="AZ107" s="254"/>
      <c r="BA107" s="268"/>
      <c r="BB107" s="265"/>
      <c r="BC107" s="216"/>
      <c r="BD107" s="216"/>
      <c r="BE107" s="254"/>
      <c r="BF107" s="268"/>
      <c r="BG107" s="216"/>
      <c r="BH107" s="216"/>
      <c r="BI107" s="216"/>
      <c r="BJ107" s="254"/>
      <c r="BK107" s="268"/>
      <c r="BL107" s="216"/>
      <c r="BM107" s="216"/>
      <c r="BN107" s="216"/>
      <c r="BO107" s="254"/>
    </row>
    <row r="108" spans="2:67" hidden="1" outlineLevel="1">
      <c r="B108" s="90" t="s">
        <v>580</v>
      </c>
      <c r="C108" s="314" t="s">
        <v>97</v>
      </c>
      <c r="D108" s="257"/>
      <c r="E108" s="309" t="s">
        <v>309</v>
      </c>
      <c r="F108" s="344"/>
      <c r="G108" s="344"/>
      <c r="H108" s="334"/>
      <c r="I108" s="334"/>
      <c r="J108" s="251"/>
      <c r="K108" s="268"/>
      <c r="L108" s="319"/>
      <c r="M108" s="313"/>
      <c r="N108" s="224"/>
      <c r="O108" s="224"/>
      <c r="P108" s="224"/>
      <c r="Q108" s="312"/>
      <c r="R108" s="268"/>
      <c r="S108" s="216"/>
      <c r="T108" s="216"/>
      <c r="U108" s="216"/>
      <c r="V108" s="254"/>
      <c r="W108" s="268"/>
      <c r="X108" s="216"/>
      <c r="Y108" s="216"/>
      <c r="Z108" s="216"/>
      <c r="AA108" s="252"/>
      <c r="AB108" s="268"/>
      <c r="AC108" s="253"/>
      <c r="AD108" s="253"/>
      <c r="AE108" s="216"/>
      <c r="AF108" s="252"/>
      <c r="AG108" s="268"/>
      <c r="AH108" s="216"/>
      <c r="AI108" s="216"/>
      <c r="AJ108" s="216"/>
      <c r="AK108" s="252"/>
      <c r="AL108" s="268"/>
      <c r="AM108" s="216"/>
      <c r="AN108" s="216"/>
      <c r="AO108" s="216"/>
      <c r="AP108" s="252"/>
      <c r="AQ108" s="268"/>
      <c r="AR108" s="216"/>
      <c r="AS108" s="216"/>
      <c r="AT108" s="216"/>
      <c r="AU108" s="254"/>
      <c r="AV108" s="268"/>
      <c r="AW108" s="224"/>
      <c r="AX108" s="216"/>
      <c r="AY108" s="216"/>
      <c r="AZ108" s="254"/>
      <c r="BA108" s="268"/>
      <c r="BB108" s="265"/>
      <c r="BC108" s="216"/>
      <c r="BD108" s="216"/>
      <c r="BE108" s="254"/>
      <c r="BF108" s="268"/>
      <c r="BG108" s="216"/>
      <c r="BH108" s="216"/>
      <c r="BI108" s="216"/>
      <c r="BJ108" s="254"/>
      <c r="BK108" s="268"/>
      <c r="BL108" s="216"/>
      <c r="BM108" s="216"/>
      <c r="BN108" s="216"/>
      <c r="BO108" s="254"/>
    </row>
    <row r="109" spans="2:67" hidden="1" outlineLevel="1">
      <c r="B109" s="90" t="s">
        <v>581</v>
      </c>
      <c r="C109" s="314" t="s">
        <v>98</v>
      </c>
      <c r="D109" s="257"/>
      <c r="E109" s="309" t="s">
        <v>309</v>
      </c>
      <c r="F109" s="344"/>
      <c r="G109" s="344"/>
      <c r="H109" s="334"/>
      <c r="I109" s="334"/>
      <c r="J109" s="251"/>
      <c r="K109" s="268"/>
      <c r="L109" s="319"/>
      <c r="M109" s="313"/>
      <c r="N109" s="224"/>
      <c r="O109" s="224"/>
      <c r="P109" s="224"/>
      <c r="Q109" s="312"/>
      <c r="R109" s="268"/>
      <c r="S109" s="216"/>
      <c r="T109" s="216"/>
      <c r="U109" s="216"/>
      <c r="V109" s="254"/>
      <c r="W109" s="268"/>
      <c r="X109" s="216"/>
      <c r="Y109" s="216"/>
      <c r="Z109" s="216"/>
      <c r="AA109" s="252"/>
      <c r="AB109" s="268"/>
      <c r="AC109" s="253"/>
      <c r="AD109" s="253"/>
      <c r="AE109" s="216"/>
      <c r="AF109" s="252"/>
      <c r="AG109" s="268"/>
      <c r="AH109" s="216"/>
      <c r="AI109" s="216"/>
      <c r="AJ109" s="216"/>
      <c r="AK109" s="252"/>
      <c r="AL109" s="268"/>
      <c r="AM109" s="216"/>
      <c r="AN109" s="216"/>
      <c r="AO109" s="216"/>
      <c r="AP109" s="252"/>
      <c r="AQ109" s="268"/>
      <c r="AR109" s="216"/>
      <c r="AS109" s="216"/>
      <c r="AT109" s="216"/>
      <c r="AU109" s="254"/>
      <c r="AV109" s="268"/>
      <c r="AW109" s="224"/>
      <c r="AX109" s="216"/>
      <c r="AY109" s="216"/>
      <c r="AZ109" s="254"/>
      <c r="BA109" s="268"/>
      <c r="BB109" s="265"/>
      <c r="BC109" s="216"/>
      <c r="BD109" s="216"/>
      <c r="BE109" s="254"/>
      <c r="BF109" s="268"/>
      <c r="BG109" s="216"/>
      <c r="BH109" s="216"/>
      <c r="BI109" s="216"/>
      <c r="BJ109" s="254"/>
      <c r="BK109" s="268"/>
      <c r="BL109" s="216"/>
      <c r="BM109" s="216"/>
      <c r="BN109" s="216"/>
      <c r="BO109" s="254"/>
    </row>
    <row r="110" spans="2:67" hidden="1" outlineLevel="1">
      <c r="B110" s="90" t="s">
        <v>582</v>
      </c>
      <c r="C110" s="314" t="s">
        <v>99</v>
      </c>
      <c r="D110" s="257"/>
      <c r="E110" s="309" t="s">
        <v>309</v>
      </c>
      <c r="F110" s="344"/>
      <c r="G110" s="344"/>
      <c r="H110" s="334"/>
      <c r="I110" s="334"/>
      <c r="J110" s="251"/>
      <c r="K110" s="268"/>
      <c r="L110" s="319"/>
      <c r="M110" s="313"/>
      <c r="N110" s="224"/>
      <c r="O110" s="224"/>
      <c r="P110" s="224"/>
      <c r="Q110" s="312"/>
      <c r="R110" s="268"/>
      <c r="S110" s="216"/>
      <c r="T110" s="216"/>
      <c r="U110" s="216"/>
      <c r="V110" s="254"/>
      <c r="W110" s="268"/>
      <c r="X110" s="216"/>
      <c r="Y110" s="216"/>
      <c r="Z110" s="216"/>
      <c r="AA110" s="252"/>
      <c r="AB110" s="268"/>
      <c r="AC110" s="253"/>
      <c r="AD110" s="253"/>
      <c r="AE110" s="216"/>
      <c r="AF110" s="252"/>
      <c r="AG110" s="268"/>
      <c r="AH110" s="216"/>
      <c r="AI110" s="216"/>
      <c r="AJ110" s="216"/>
      <c r="AK110" s="252"/>
      <c r="AL110" s="268"/>
      <c r="AM110" s="216"/>
      <c r="AN110" s="216"/>
      <c r="AO110" s="216"/>
      <c r="AP110" s="252"/>
      <c r="AQ110" s="268"/>
      <c r="AR110" s="216"/>
      <c r="AS110" s="216"/>
      <c r="AT110" s="216"/>
      <c r="AU110" s="254"/>
      <c r="AV110" s="268"/>
      <c r="AW110" s="224"/>
      <c r="AX110" s="216"/>
      <c r="AY110" s="216"/>
      <c r="AZ110" s="254"/>
      <c r="BA110" s="268"/>
      <c r="BB110" s="265"/>
      <c r="BC110" s="216"/>
      <c r="BD110" s="216"/>
      <c r="BE110" s="254"/>
      <c r="BF110" s="268"/>
      <c r="BG110" s="216"/>
      <c r="BH110" s="216"/>
      <c r="BI110" s="216"/>
      <c r="BJ110" s="254"/>
      <c r="BK110" s="268"/>
      <c r="BL110" s="216"/>
      <c r="BM110" s="216"/>
      <c r="BN110" s="216"/>
      <c r="BO110" s="254"/>
    </row>
    <row r="111" spans="2:67" hidden="1" outlineLevel="1">
      <c r="B111" s="90" t="s">
        <v>583</v>
      </c>
      <c r="C111" s="314" t="s">
        <v>100</v>
      </c>
      <c r="D111" s="257"/>
      <c r="E111" s="309" t="s">
        <v>309</v>
      </c>
      <c r="F111" s="344"/>
      <c r="G111" s="344"/>
      <c r="H111" s="334"/>
      <c r="I111" s="334"/>
      <c r="J111" s="251"/>
      <c r="K111" s="258"/>
      <c r="L111" s="254"/>
      <c r="M111" s="253"/>
      <c r="N111" s="216"/>
      <c r="O111" s="216"/>
      <c r="P111" s="216"/>
      <c r="Q111" s="252"/>
      <c r="R111" s="268"/>
      <c r="S111" s="216"/>
      <c r="T111" s="216"/>
      <c r="U111" s="216"/>
      <c r="V111" s="254"/>
      <c r="W111" s="268"/>
      <c r="X111" s="216"/>
      <c r="Y111" s="216"/>
      <c r="Z111" s="216"/>
      <c r="AA111" s="252"/>
      <c r="AB111" s="268"/>
      <c r="AC111" s="253"/>
      <c r="AD111" s="253"/>
      <c r="AE111" s="216"/>
      <c r="AF111" s="252"/>
      <c r="AG111" s="268"/>
      <c r="AH111" s="216"/>
      <c r="AI111" s="216"/>
      <c r="AJ111" s="216"/>
      <c r="AK111" s="252"/>
      <c r="AL111" s="268"/>
      <c r="AM111" s="216"/>
      <c r="AN111" s="216"/>
      <c r="AO111" s="216"/>
      <c r="AP111" s="252"/>
      <c r="AQ111" s="268"/>
      <c r="AR111" s="216"/>
      <c r="AS111" s="216"/>
      <c r="AT111" s="216"/>
      <c r="AU111" s="254"/>
      <c r="AV111" s="268"/>
      <c r="AW111" s="216"/>
      <c r="AX111" s="216"/>
      <c r="AY111" s="216"/>
      <c r="AZ111" s="254"/>
      <c r="BA111" s="268"/>
      <c r="BB111" s="265"/>
      <c r="BC111" s="216"/>
      <c r="BD111" s="216"/>
      <c r="BE111" s="254"/>
      <c r="BF111" s="268"/>
      <c r="BG111" s="216"/>
      <c r="BH111" s="216"/>
      <c r="BI111" s="216"/>
      <c r="BJ111" s="254"/>
      <c r="BK111" s="268"/>
      <c r="BL111" s="216"/>
      <c r="BM111" s="216"/>
      <c r="BN111" s="216"/>
      <c r="BO111" s="254"/>
    </row>
    <row r="112" spans="2:67" hidden="1" outlineLevel="1">
      <c r="B112" s="90" t="s">
        <v>584</v>
      </c>
      <c r="C112" s="314" t="s">
        <v>101</v>
      </c>
      <c r="D112" s="257"/>
      <c r="E112" s="309" t="s">
        <v>309</v>
      </c>
      <c r="F112" s="344"/>
      <c r="G112" s="344"/>
      <c r="H112" s="334"/>
      <c r="I112" s="334"/>
      <c r="J112" s="251"/>
      <c r="K112" s="258"/>
      <c r="L112" s="254"/>
      <c r="M112" s="253"/>
      <c r="N112" s="216"/>
      <c r="O112" s="216"/>
      <c r="P112" s="216"/>
      <c r="Q112" s="252"/>
      <c r="R112" s="268"/>
      <c r="S112" s="216"/>
      <c r="T112" s="216"/>
      <c r="U112" s="216"/>
      <c r="V112" s="254"/>
      <c r="W112" s="268"/>
      <c r="X112" s="216"/>
      <c r="Y112" s="216"/>
      <c r="Z112" s="216"/>
      <c r="AA112" s="252"/>
      <c r="AB112" s="268"/>
      <c r="AC112" s="253"/>
      <c r="AD112" s="253"/>
      <c r="AE112" s="216"/>
      <c r="AF112" s="252"/>
      <c r="AG112" s="268"/>
      <c r="AH112" s="216"/>
      <c r="AI112" s="216"/>
      <c r="AJ112" s="216"/>
      <c r="AK112" s="252"/>
      <c r="AL112" s="268"/>
      <c r="AM112" s="216"/>
      <c r="AN112" s="216"/>
      <c r="AO112" s="216"/>
      <c r="AP112" s="252"/>
      <c r="AQ112" s="268"/>
      <c r="AR112" s="216"/>
      <c r="AS112" s="216"/>
      <c r="AT112" s="216"/>
      <c r="AU112" s="254"/>
      <c r="AV112" s="268"/>
      <c r="AW112" s="216"/>
      <c r="AX112" s="216"/>
      <c r="AY112" s="216"/>
      <c r="AZ112" s="254"/>
      <c r="BA112" s="268"/>
      <c r="BB112" s="265"/>
      <c r="BC112" s="216"/>
      <c r="BD112" s="216"/>
      <c r="BE112" s="254"/>
      <c r="BF112" s="268"/>
      <c r="BG112" s="216"/>
      <c r="BH112" s="216"/>
      <c r="BI112" s="216"/>
      <c r="BJ112" s="254"/>
      <c r="BK112" s="268"/>
      <c r="BL112" s="216"/>
      <c r="BM112" s="216"/>
      <c r="BN112" s="216"/>
      <c r="BO112" s="254"/>
    </row>
    <row r="113" spans="2:67" hidden="1" outlineLevel="1">
      <c r="B113" s="90" t="s">
        <v>585</v>
      </c>
      <c r="C113" s="314" t="s">
        <v>63</v>
      </c>
      <c r="D113" s="257"/>
      <c r="E113" s="309" t="s">
        <v>309</v>
      </c>
      <c r="F113" s="344"/>
      <c r="G113" s="344"/>
      <c r="H113" s="334"/>
      <c r="I113" s="334"/>
      <c r="J113" s="251"/>
      <c r="K113" s="258"/>
      <c r="L113" s="254"/>
      <c r="M113" s="253"/>
      <c r="N113" s="216"/>
      <c r="O113" s="216"/>
      <c r="P113" s="216"/>
      <c r="Q113" s="252"/>
      <c r="R113" s="268"/>
      <c r="S113" s="216"/>
      <c r="T113" s="216"/>
      <c r="U113" s="216"/>
      <c r="V113" s="254"/>
      <c r="W113" s="268"/>
      <c r="X113" s="216"/>
      <c r="Y113" s="216"/>
      <c r="Z113" s="216"/>
      <c r="AA113" s="252"/>
      <c r="AB113" s="268"/>
      <c r="AC113" s="253"/>
      <c r="AD113" s="253"/>
      <c r="AE113" s="216"/>
      <c r="AF113" s="252"/>
      <c r="AG113" s="268"/>
      <c r="AH113" s="216"/>
      <c r="AI113" s="216"/>
      <c r="AJ113" s="216"/>
      <c r="AK113" s="252"/>
      <c r="AL113" s="268"/>
      <c r="AM113" s="216"/>
      <c r="AN113" s="216"/>
      <c r="AO113" s="216"/>
      <c r="AP113" s="252"/>
      <c r="AQ113" s="268"/>
      <c r="AR113" s="216"/>
      <c r="AS113" s="216"/>
      <c r="AT113" s="216"/>
      <c r="AU113" s="254"/>
      <c r="AV113" s="268"/>
      <c r="AW113" s="216"/>
      <c r="AX113" s="216"/>
      <c r="AY113" s="216"/>
      <c r="AZ113" s="254"/>
      <c r="BA113" s="268"/>
      <c r="BB113" s="265"/>
      <c r="BC113" s="216"/>
      <c r="BD113" s="216"/>
      <c r="BE113" s="254"/>
      <c r="BF113" s="268"/>
      <c r="BG113" s="216"/>
      <c r="BH113" s="216"/>
      <c r="BI113" s="216"/>
      <c r="BJ113" s="254"/>
      <c r="BK113" s="268"/>
      <c r="BL113" s="216"/>
      <c r="BM113" s="216"/>
      <c r="BN113" s="216"/>
      <c r="BO113" s="254"/>
    </row>
    <row r="114" spans="2:67" hidden="1" outlineLevel="1">
      <c r="B114" s="90" t="s">
        <v>586</v>
      </c>
      <c r="C114" s="314" t="s">
        <v>102</v>
      </c>
      <c r="D114" s="257"/>
      <c r="E114" s="309" t="s">
        <v>309</v>
      </c>
      <c r="F114" s="344"/>
      <c r="G114" s="344"/>
      <c r="H114" s="334"/>
      <c r="I114" s="334"/>
      <c r="J114" s="251"/>
      <c r="K114" s="258"/>
      <c r="L114" s="254"/>
      <c r="M114" s="253"/>
      <c r="N114" s="216"/>
      <c r="O114" s="216"/>
      <c r="P114" s="216"/>
      <c r="Q114" s="252"/>
      <c r="R114" s="268"/>
      <c r="S114" s="216"/>
      <c r="T114" s="216"/>
      <c r="U114" s="216"/>
      <c r="V114" s="254"/>
      <c r="W114" s="268"/>
      <c r="X114" s="216"/>
      <c r="Y114" s="216"/>
      <c r="Z114" s="216"/>
      <c r="AA114" s="252"/>
      <c r="AB114" s="268"/>
      <c r="AC114" s="253"/>
      <c r="AD114" s="253"/>
      <c r="AE114" s="216"/>
      <c r="AF114" s="252"/>
      <c r="AG114" s="268"/>
      <c r="AH114" s="216"/>
      <c r="AI114" s="216"/>
      <c r="AJ114" s="216"/>
      <c r="AK114" s="252"/>
      <c r="AL114" s="268"/>
      <c r="AM114" s="216"/>
      <c r="AN114" s="216"/>
      <c r="AO114" s="216"/>
      <c r="AP114" s="252"/>
      <c r="AQ114" s="268"/>
      <c r="AR114" s="216"/>
      <c r="AS114" s="216"/>
      <c r="AT114" s="216"/>
      <c r="AU114" s="254"/>
      <c r="AV114" s="268"/>
      <c r="AW114" s="216"/>
      <c r="AX114" s="216"/>
      <c r="AY114" s="216"/>
      <c r="AZ114" s="254"/>
      <c r="BA114" s="268"/>
      <c r="BB114" s="265"/>
      <c r="BC114" s="216"/>
      <c r="BD114" s="216"/>
      <c r="BE114" s="254"/>
      <c r="BF114" s="268"/>
      <c r="BG114" s="216"/>
      <c r="BH114" s="216"/>
      <c r="BI114" s="216"/>
      <c r="BJ114" s="254"/>
      <c r="BK114" s="268"/>
      <c r="BL114" s="216"/>
      <c r="BM114" s="216"/>
      <c r="BN114" s="216"/>
      <c r="BO114" s="254"/>
    </row>
    <row r="115" spans="2:67" hidden="1" outlineLevel="1">
      <c r="B115" s="90" t="s">
        <v>587</v>
      </c>
      <c r="C115" s="314" t="s">
        <v>103</v>
      </c>
      <c r="D115" s="257"/>
      <c r="E115" s="309" t="s">
        <v>309</v>
      </c>
      <c r="F115" s="344"/>
      <c r="G115" s="344"/>
      <c r="H115" s="334"/>
      <c r="I115" s="334"/>
      <c r="J115" s="251"/>
      <c r="K115" s="258"/>
      <c r="L115" s="254"/>
      <c r="M115" s="253"/>
      <c r="N115" s="216"/>
      <c r="O115" s="216"/>
      <c r="P115" s="216"/>
      <c r="Q115" s="252"/>
      <c r="R115" s="268"/>
      <c r="S115" s="216"/>
      <c r="T115" s="216"/>
      <c r="U115" s="216"/>
      <c r="V115" s="254"/>
      <c r="W115" s="268"/>
      <c r="X115" s="216"/>
      <c r="Y115" s="216"/>
      <c r="Z115" s="216"/>
      <c r="AA115" s="252"/>
      <c r="AB115" s="268"/>
      <c r="AC115" s="253"/>
      <c r="AD115" s="253"/>
      <c r="AE115" s="216"/>
      <c r="AF115" s="252"/>
      <c r="AG115" s="268"/>
      <c r="AH115" s="216"/>
      <c r="AI115" s="216"/>
      <c r="AJ115" s="216"/>
      <c r="AK115" s="252"/>
      <c r="AL115" s="268"/>
      <c r="AM115" s="216"/>
      <c r="AN115" s="216"/>
      <c r="AO115" s="216"/>
      <c r="AP115" s="252"/>
      <c r="AQ115" s="268"/>
      <c r="AR115" s="216"/>
      <c r="AS115" s="216"/>
      <c r="AT115" s="216"/>
      <c r="AU115" s="254"/>
      <c r="AV115" s="268"/>
      <c r="AW115" s="216"/>
      <c r="AX115" s="216"/>
      <c r="AY115" s="216"/>
      <c r="AZ115" s="254"/>
      <c r="BA115" s="268"/>
      <c r="BB115" s="265"/>
      <c r="BC115" s="216"/>
      <c r="BD115" s="216"/>
      <c r="BE115" s="254"/>
      <c r="BF115" s="268"/>
      <c r="BG115" s="216"/>
      <c r="BH115" s="216"/>
      <c r="BI115" s="216"/>
      <c r="BJ115" s="254"/>
      <c r="BK115" s="268"/>
      <c r="BL115" s="216"/>
      <c r="BM115" s="216"/>
      <c r="BN115" s="216"/>
      <c r="BO115" s="254"/>
    </row>
    <row r="116" spans="2:67" ht="18.5" collapsed="1" thickBot="1">
      <c r="B116" s="259" t="s">
        <v>315</v>
      </c>
      <c r="C116" s="261" t="s">
        <v>631</v>
      </c>
      <c r="D116" s="308" t="s">
        <v>121</v>
      </c>
      <c r="E116" s="337" t="s">
        <v>309</v>
      </c>
      <c r="F116" s="334">
        <v>45691</v>
      </c>
      <c r="G116" s="334">
        <v>45737</v>
      </c>
      <c r="H116" s="334"/>
      <c r="I116" s="334"/>
      <c r="J116" s="251"/>
      <c r="K116" s="268"/>
      <c r="L116" s="312"/>
      <c r="M116" s="268"/>
      <c r="N116" s="224"/>
      <c r="O116" s="224"/>
      <c r="P116" s="224"/>
      <c r="Q116" s="312"/>
      <c r="R116" s="258"/>
      <c r="S116" s="216"/>
      <c r="T116" s="216"/>
      <c r="U116" s="216"/>
      <c r="V116" s="252"/>
      <c r="W116" s="258"/>
      <c r="X116" s="216"/>
      <c r="Y116" s="216"/>
      <c r="Z116" s="216"/>
      <c r="AA116" s="252"/>
      <c r="AB116" s="258"/>
      <c r="AC116" s="253"/>
      <c r="AD116" s="253"/>
      <c r="AE116" s="216"/>
      <c r="AF116" s="252"/>
      <c r="AG116" s="258"/>
      <c r="AH116" s="216"/>
      <c r="AI116" s="216"/>
      <c r="AJ116" s="216"/>
      <c r="AK116" s="252"/>
      <c r="AL116" s="258"/>
      <c r="AM116" s="216"/>
      <c r="AN116" s="216"/>
      <c r="AO116" s="216"/>
      <c r="AP116" s="252"/>
      <c r="AQ116" s="258"/>
      <c r="AR116" s="216"/>
      <c r="AS116" s="216"/>
      <c r="AT116" s="216"/>
      <c r="AU116" s="254"/>
      <c r="AV116" s="258"/>
      <c r="AW116" s="216"/>
      <c r="AX116" s="216"/>
      <c r="AY116" s="216"/>
      <c r="AZ116" s="254"/>
      <c r="BA116" s="258"/>
      <c r="BB116" s="265"/>
      <c r="BC116" s="216"/>
      <c r="BD116" s="216"/>
      <c r="BE116" s="254"/>
      <c r="BF116" s="258"/>
      <c r="BG116" s="216"/>
      <c r="BH116" s="216"/>
      <c r="BI116" s="216"/>
      <c r="BJ116" s="254"/>
      <c r="BK116" s="258"/>
      <c r="BL116" s="216"/>
      <c r="BM116" s="216"/>
      <c r="BN116" s="216"/>
      <c r="BO116" s="254"/>
    </row>
    <row r="117" spans="2:67" hidden="1" outlineLevel="1">
      <c r="B117" s="90" t="s">
        <v>632</v>
      </c>
      <c r="C117" s="314" t="s">
        <v>79</v>
      </c>
      <c r="D117" s="257"/>
      <c r="E117" s="337" t="s">
        <v>309</v>
      </c>
      <c r="F117" s="344"/>
      <c r="G117" s="344"/>
      <c r="H117" s="330"/>
      <c r="I117" s="330"/>
      <c r="J117" s="251"/>
      <c r="K117" s="268"/>
      <c r="L117" s="312"/>
      <c r="M117" s="268"/>
      <c r="N117" s="224"/>
      <c r="O117" s="224"/>
      <c r="P117" s="224"/>
      <c r="Q117" s="312"/>
      <c r="R117" s="258"/>
      <c r="S117" s="216"/>
      <c r="T117" s="216"/>
      <c r="U117" s="216"/>
      <c r="V117" s="252"/>
      <c r="W117" s="258"/>
      <c r="X117" s="216"/>
      <c r="Y117" s="216"/>
      <c r="Z117" s="216"/>
      <c r="AA117" s="252"/>
      <c r="AB117" s="258"/>
      <c r="AC117" s="253"/>
      <c r="AD117" s="253"/>
      <c r="AE117" s="216"/>
      <c r="AF117" s="252"/>
      <c r="AG117" s="258"/>
      <c r="AH117" s="216"/>
      <c r="AI117" s="216"/>
      <c r="AJ117" s="216"/>
      <c r="AK117" s="252"/>
      <c r="AL117" s="258"/>
      <c r="AM117" s="216"/>
      <c r="AN117" s="216"/>
      <c r="AO117" s="216"/>
      <c r="AP117" s="252"/>
      <c r="AQ117" s="258"/>
      <c r="AR117" s="216"/>
      <c r="AS117" s="216"/>
      <c r="AT117" s="216"/>
      <c r="AU117" s="254"/>
      <c r="AV117" s="258"/>
      <c r="AW117" s="216"/>
      <c r="AX117" s="216"/>
      <c r="AY117" s="216"/>
      <c r="AZ117" s="254"/>
      <c r="BA117" s="258"/>
      <c r="BB117" s="265"/>
      <c r="BC117" s="216"/>
      <c r="BD117" s="216"/>
      <c r="BE117" s="254"/>
      <c r="BF117" s="258"/>
      <c r="BG117" s="216"/>
      <c r="BH117" s="216"/>
      <c r="BI117" s="216"/>
      <c r="BJ117" s="254"/>
      <c r="BK117" s="258"/>
      <c r="BL117" s="216"/>
      <c r="BM117" s="216"/>
      <c r="BN117" s="216"/>
      <c r="BO117" s="254"/>
    </row>
    <row r="118" spans="2:67" hidden="1" outlineLevel="1">
      <c r="B118" s="90" t="s">
        <v>633</v>
      </c>
      <c r="C118" s="314" t="s">
        <v>80</v>
      </c>
      <c r="D118" s="257"/>
      <c r="E118" s="309" t="s">
        <v>309</v>
      </c>
      <c r="F118" s="344"/>
      <c r="G118" s="344"/>
      <c r="H118" s="330"/>
      <c r="I118" s="330"/>
      <c r="J118" s="251"/>
      <c r="K118" s="268"/>
      <c r="L118" s="312"/>
      <c r="M118" s="268"/>
      <c r="N118" s="224"/>
      <c r="O118" s="224"/>
      <c r="P118" s="224"/>
      <c r="Q118" s="312"/>
      <c r="R118" s="258"/>
      <c r="S118" s="216"/>
      <c r="T118" s="216"/>
      <c r="U118" s="216"/>
      <c r="V118" s="252"/>
      <c r="W118" s="258"/>
      <c r="X118" s="216"/>
      <c r="Y118" s="216"/>
      <c r="Z118" s="216"/>
      <c r="AA118" s="252"/>
      <c r="AB118" s="258"/>
      <c r="AC118" s="253"/>
      <c r="AD118" s="253"/>
      <c r="AE118" s="216"/>
      <c r="AF118" s="252"/>
      <c r="AG118" s="258"/>
      <c r="AH118" s="216"/>
      <c r="AI118" s="216"/>
      <c r="AJ118" s="216"/>
      <c r="AK118" s="252"/>
      <c r="AL118" s="258"/>
      <c r="AM118" s="216"/>
      <c r="AN118" s="216"/>
      <c r="AO118" s="216"/>
      <c r="AP118" s="252"/>
      <c r="AQ118" s="258"/>
      <c r="AR118" s="216"/>
      <c r="AS118" s="216"/>
      <c r="AT118" s="216"/>
      <c r="AU118" s="254"/>
      <c r="AV118" s="258"/>
      <c r="AW118" s="216"/>
      <c r="AX118" s="216"/>
      <c r="AY118" s="216"/>
      <c r="AZ118" s="254"/>
      <c r="BA118" s="258"/>
      <c r="BB118" s="265"/>
      <c r="BC118" s="216"/>
      <c r="BD118" s="216"/>
      <c r="BE118" s="254"/>
      <c r="BF118" s="258"/>
      <c r="BG118" s="216"/>
      <c r="BH118" s="216"/>
      <c r="BI118" s="216"/>
      <c r="BJ118" s="254"/>
      <c r="BK118" s="258"/>
      <c r="BL118" s="216"/>
      <c r="BM118" s="216"/>
      <c r="BN118" s="216"/>
      <c r="BO118" s="254"/>
    </row>
    <row r="119" spans="2:67" hidden="1" outlineLevel="1">
      <c r="B119" s="90" t="s">
        <v>634</v>
      </c>
      <c r="C119" s="314" t="s">
        <v>81</v>
      </c>
      <c r="D119" s="257"/>
      <c r="E119" s="309" t="s">
        <v>309</v>
      </c>
      <c r="F119" s="344"/>
      <c r="G119" s="344"/>
      <c r="H119" s="330"/>
      <c r="I119" s="330"/>
      <c r="J119" s="251"/>
      <c r="K119" s="268"/>
      <c r="L119" s="312"/>
      <c r="M119" s="268"/>
      <c r="N119" s="224"/>
      <c r="O119" s="224"/>
      <c r="P119" s="224"/>
      <c r="Q119" s="312"/>
      <c r="R119" s="258"/>
      <c r="S119" s="216"/>
      <c r="T119" s="216"/>
      <c r="U119" s="216"/>
      <c r="V119" s="252"/>
      <c r="W119" s="258"/>
      <c r="X119" s="216"/>
      <c r="Y119" s="216"/>
      <c r="Z119" s="216"/>
      <c r="AA119" s="252"/>
      <c r="AB119" s="258"/>
      <c r="AC119" s="253"/>
      <c r="AD119" s="253"/>
      <c r="AE119" s="216"/>
      <c r="AF119" s="252"/>
      <c r="AG119" s="258"/>
      <c r="AH119" s="216"/>
      <c r="AI119" s="216"/>
      <c r="AJ119" s="216"/>
      <c r="AK119" s="252"/>
      <c r="AL119" s="258"/>
      <c r="AM119" s="216"/>
      <c r="AN119" s="216"/>
      <c r="AO119" s="216"/>
      <c r="AP119" s="252"/>
      <c r="AQ119" s="258"/>
      <c r="AR119" s="216"/>
      <c r="AS119" s="216"/>
      <c r="AT119" s="216"/>
      <c r="AU119" s="254"/>
      <c r="AV119" s="258"/>
      <c r="AW119" s="216"/>
      <c r="AX119" s="216"/>
      <c r="AY119" s="216"/>
      <c r="AZ119" s="254"/>
      <c r="BA119" s="258"/>
      <c r="BB119" s="265"/>
      <c r="BC119" s="216"/>
      <c r="BD119" s="216"/>
      <c r="BE119" s="254"/>
      <c r="BF119" s="258"/>
      <c r="BG119" s="216"/>
      <c r="BH119" s="216"/>
      <c r="BI119" s="216"/>
      <c r="BJ119" s="254"/>
      <c r="BK119" s="258"/>
      <c r="BL119" s="216"/>
      <c r="BM119" s="216"/>
      <c r="BN119" s="216"/>
      <c r="BO119" s="254"/>
    </row>
    <row r="120" spans="2:67" hidden="1" outlineLevel="1">
      <c r="B120" s="90" t="s">
        <v>635</v>
      </c>
      <c r="C120" s="314" t="s">
        <v>83</v>
      </c>
      <c r="D120" s="257"/>
      <c r="E120" s="337" t="s">
        <v>309</v>
      </c>
      <c r="F120" s="344"/>
      <c r="G120" s="344"/>
      <c r="H120" s="330"/>
      <c r="I120" s="330"/>
      <c r="J120" s="251"/>
      <c r="K120" s="268"/>
      <c r="L120" s="312"/>
      <c r="M120" s="268"/>
      <c r="N120" s="224"/>
      <c r="O120" s="224"/>
      <c r="P120" s="224"/>
      <c r="Q120" s="312"/>
      <c r="R120" s="258"/>
      <c r="S120" s="216"/>
      <c r="T120" s="216"/>
      <c r="U120" s="216"/>
      <c r="V120" s="252"/>
      <c r="W120" s="258"/>
      <c r="X120" s="216"/>
      <c r="Y120" s="216"/>
      <c r="Z120" s="216"/>
      <c r="AA120" s="252"/>
      <c r="AB120" s="258"/>
      <c r="AC120" s="253"/>
      <c r="AD120" s="253"/>
      <c r="AE120" s="216"/>
      <c r="AF120" s="252"/>
      <c r="AG120" s="258"/>
      <c r="AH120" s="216"/>
      <c r="AI120" s="216"/>
      <c r="AJ120" s="216"/>
      <c r="AK120" s="252"/>
      <c r="AL120" s="258"/>
      <c r="AM120" s="216"/>
      <c r="AN120" s="216"/>
      <c r="AO120" s="216"/>
      <c r="AP120" s="252"/>
      <c r="AQ120" s="258"/>
      <c r="AR120" s="216"/>
      <c r="AS120" s="216"/>
      <c r="AT120" s="216"/>
      <c r="AU120" s="254"/>
      <c r="AV120" s="258"/>
      <c r="AW120" s="216"/>
      <c r="AX120" s="216"/>
      <c r="AY120" s="216"/>
      <c r="AZ120" s="254"/>
      <c r="BA120" s="258"/>
      <c r="BB120" s="265"/>
      <c r="BC120" s="216"/>
      <c r="BD120" s="216"/>
      <c r="BE120" s="254"/>
      <c r="BF120" s="258"/>
      <c r="BG120" s="216"/>
      <c r="BH120" s="216"/>
      <c r="BI120" s="216"/>
      <c r="BJ120" s="254"/>
      <c r="BK120" s="258"/>
      <c r="BL120" s="216"/>
      <c r="BM120" s="216"/>
      <c r="BN120" s="216"/>
      <c r="BO120" s="254"/>
    </row>
    <row r="121" spans="2:67" hidden="1" outlineLevel="1">
      <c r="B121" s="90" t="s">
        <v>636</v>
      </c>
      <c r="C121" s="314" t="s">
        <v>85</v>
      </c>
      <c r="D121" s="257"/>
      <c r="E121" s="309" t="s">
        <v>309</v>
      </c>
      <c r="F121" s="344"/>
      <c r="G121" s="344"/>
      <c r="H121" s="330"/>
      <c r="I121" s="330"/>
      <c r="J121" s="251"/>
      <c r="K121" s="268"/>
      <c r="L121" s="312"/>
      <c r="M121" s="268"/>
      <c r="N121" s="224"/>
      <c r="O121" s="224"/>
      <c r="P121" s="224"/>
      <c r="Q121" s="312"/>
      <c r="R121" s="258"/>
      <c r="S121" s="216"/>
      <c r="T121" s="216"/>
      <c r="U121" s="216"/>
      <c r="V121" s="252"/>
      <c r="W121" s="258"/>
      <c r="X121" s="216"/>
      <c r="Y121" s="216"/>
      <c r="Z121" s="216"/>
      <c r="AA121" s="252"/>
      <c r="AB121" s="258"/>
      <c r="AC121" s="253"/>
      <c r="AD121" s="253"/>
      <c r="AE121" s="216"/>
      <c r="AF121" s="252"/>
      <c r="AG121" s="258"/>
      <c r="AH121" s="216"/>
      <c r="AI121" s="216"/>
      <c r="AJ121" s="216"/>
      <c r="AK121" s="252"/>
      <c r="AL121" s="258"/>
      <c r="AM121" s="216"/>
      <c r="AN121" s="216"/>
      <c r="AO121" s="216"/>
      <c r="AP121" s="252"/>
      <c r="AQ121" s="258"/>
      <c r="AR121" s="216"/>
      <c r="AS121" s="216"/>
      <c r="AT121" s="216"/>
      <c r="AU121" s="254"/>
      <c r="AV121" s="258"/>
      <c r="AW121" s="216"/>
      <c r="AX121" s="216"/>
      <c r="AY121" s="216"/>
      <c r="AZ121" s="254"/>
      <c r="BA121" s="258"/>
      <c r="BB121" s="265"/>
      <c r="BC121" s="216"/>
      <c r="BD121" s="216"/>
      <c r="BE121" s="254"/>
      <c r="BF121" s="258"/>
      <c r="BG121" s="216"/>
      <c r="BH121" s="216"/>
      <c r="BI121" s="216"/>
      <c r="BJ121" s="254"/>
      <c r="BK121" s="258"/>
      <c r="BL121" s="216"/>
      <c r="BM121" s="216"/>
      <c r="BN121" s="216"/>
      <c r="BO121" s="254"/>
    </row>
    <row r="122" spans="2:67" hidden="1" outlineLevel="1">
      <c r="B122" s="90" t="s">
        <v>637</v>
      </c>
      <c r="C122" s="314" t="s">
        <v>86</v>
      </c>
      <c r="D122" s="257"/>
      <c r="E122" s="309" t="s">
        <v>309</v>
      </c>
      <c r="F122" s="344"/>
      <c r="G122" s="344"/>
      <c r="H122" s="330"/>
      <c r="I122" s="330"/>
      <c r="J122" s="251"/>
      <c r="K122" s="268"/>
      <c r="L122" s="312"/>
      <c r="M122" s="268"/>
      <c r="N122" s="224"/>
      <c r="O122" s="224"/>
      <c r="P122" s="224"/>
      <c r="Q122" s="312"/>
      <c r="R122" s="258"/>
      <c r="S122" s="216"/>
      <c r="T122" s="216"/>
      <c r="U122" s="216"/>
      <c r="V122" s="252"/>
      <c r="W122" s="258"/>
      <c r="X122" s="216"/>
      <c r="Y122" s="216"/>
      <c r="Z122" s="216"/>
      <c r="AA122" s="252"/>
      <c r="AB122" s="258"/>
      <c r="AC122" s="253"/>
      <c r="AD122" s="253"/>
      <c r="AE122" s="216"/>
      <c r="AF122" s="252"/>
      <c r="AG122" s="258"/>
      <c r="AH122" s="216"/>
      <c r="AI122" s="216"/>
      <c r="AJ122" s="216"/>
      <c r="AK122" s="252"/>
      <c r="AL122" s="258"/>
      <c r="AM122" s="216"/>
      <c r="AN122" s="216"/>
      <c r="AO122" s="216"/>
      <c r="AP122" s="252"/>
      <c r="AQ122" s="258"/>
      <c r="AR122" s="216"/>
      <c r="AS122" s="216"/>
      <c r="AT122" s="216"/>
      <c r="AU122" s="254"/>
      <c r="AV122" s="258"/>
      <c r="AW122" s="216"/>
      <c r="AX122" s="216"/>
      <c r="AY122" s="216"/>
      <c r="AZ122" s="254"/>
      <c r="BA122" s="258"/>
      <c r="BB122" s="265"/>
      <c r="BC122" s="216"/>
      <c r="BD122" s="216"/>
      <c r="BE122" s="254"/>
      <c r="BF122" s="258"/>
      <c r="BG122" s="216"/>
      <c r="BH122" s="216"/>
      <c r="BI122" s="216"/>
      <c r="BJ122" s="254"/>
      <c r="BK122" s="258"/>
      <c r="BL122" s="216"/>
      <c r="BM122" s="216"/>
      <c r="BN122" s="216"/>
      <c r="BO122" s="254"/>
    </row>
    <row r="123" spans="2:67" hidden="1" outlineLevel="1">
      <c r="B123" s="90" t="s">
        <v>638</v>
      </c>
      <c r="C123" s="314" t="s">
        <v>90</v>
      </c>
      <c r="D123" s="257"/>
      <c r="E123" s="337" t="s">
        <v>309</v>
      </c>
      <c r="F123" s="344"/>
      <c r="G123" s="344"/>
      <c r="H123" s="330"/>
      <c r="I123" s="330"/>
      <c r="J123" s="251"/>
      <c r="K123" s="268"/>
      <c r="L123" s="312"/>
      <c r="M123" s="268"/>
      <c r="N123" s="224"/>
      <c r="O123" s="224"/>
      <c r="P123" s="224"/>
      <c r="Q123" s="312"/>
      <c r="R123" s="258"/>
      <c r="S123" s="216"/>
      <c r="T123" s="216"/>
      <c r="U123" s="216"/>
      <c r="V123" s="252"/>
      <c r="W123" s="258"/>
      <c r="X123" s="216"/>
      <c r="Y123" s="216"/>
      <c r="Z123" s="216"/>
      <c r="AA123" s="252"/>
      <c r="AB123" s="258"/>
      <c r="AC123" s="253"/>
      <c r="AD123" s="253"/>
      <c r="AE123" s="216"/>
      <c r="AF123" s="252"/>
      <c r="AG123" s="258"/>
      <c r="AH123" s="216"/>
      <c r="AI123" s="216"/>
      <c r="AJ123" s="216"/>
      <c r="AK123" s="252"/>
      <c r="AL123" s="258"/>
      <c r="AM123" s="216"/>
      <c r="AN123" s="216"/>
      <c r="AO123" s="216"/>
      <c r="AP123" s="252"/>
      <c r="AQ123" s="258"/>
      <c r="AR123" s="216"/>
      <c r="AS123" s="216"/>
      <c r="AT123" s="216"/>
      <c r="AU123" s="254"/>
      <c r="AV123" s="258"/>
      <c r="AW123" s="216"/>
      <c r="AX123" s="216"/>
      <c r="AY123" s="216"/>
      <c r="AZ123" s="254"/>
      <c r="BA123" s="258"/>
      <c r="BB123" s="265"/>
      <c r="BC123" s="216"/>
      <c r="BD123" s="216"/>
      <c r="BE123" s="254"/>
      <c r="BF123" s="258"/>
      <c r="BG123" s="216"/>
      <c r="BH123" s="216"/>
      <c r="BI123" s="216"/>
      <c r="BJ123" s="254"/>
      <c r="BK123" s="258"/>
      <c r="BL123" s="216"/>
      <c r="BM123" s="216"/>
      <c r="BN123" s="216"/>
      <c r="BO123" s="254"/>
    </row>
    <row r="124" spans="2:67" hidden="1" outlineLevel="1">
      <c r="B124" s="90" t="s">
        <v>639</v>
      </c>
      <c r="C124" s="314" t="s">
        <v>92</v>
      </c>
      <c r="D124" s="257"/>
      <c r="E124" s="309" t="s">
        <v>309</v>
      </c>
      <c r="F124" s="344"/>
      <c r="G124" s="344"/>
      <c r="H124" s="330"/>
      <c r="I124" s="330"/>
      <c r="J124" s="251"/>
      <c r="K124" s="268"/>
      <c r="L124" s="312"/>
      <c r="M124" s="268"/>
      <c r="N124" s="224"/>
      <c r="O124" s="224"/>
      <c r="P124" s="224"/>
      <c r="Q124" s="312"/>
      <c r="R124" s="258"/>
      <c r="S124" s="216"/>
      <c r="T124" s="216"/>
      <c r="U124" s="216"/>
      <c r="V124" s="252"/>
      <c r="W124" s="258"/>
      <c r="X124" s="216"/>
      <c r="Y124" s="216"/>
      <c r="Z124" s="216"/>
      <c r="AA124" s="252"/>
      <c r="AB124" s="258"/>
      <c r="AC124" s="253"/>
      <c r="AD124" s="253"/>
      <c r="AE124" s="216"/>
      <c r="AF124" s="252"/>
      <c r="AG124" s="258"/>
      <c r="AH124" s="216"/>
      <c r="AI124" s="216"/>
      <c r="AJ124" s="216"/>
      <c r="AK124" s="252"/>
      <c r="AL124" s="258"/>
      <c r="AM124" s="216"/>
      <c r="AN124" s="216"/>
      <c r="AO124" s="216"/>
      <c r="AP124" s="252"/>
      <c r="AQ124" s="258"/>
      <c r="AR124" s="216"/>
      <c r="AS124" s="216"/>
      <c r="AT124" s="216"/>
      <c r="AU124" s="254"/>
      <c r="AV124" s="258"/>
      <c r="AW124" s="216"/>
      <c r="AX124" s="216"/>
      <c r="AY124" s="216"/>
      <c r="AZ124" s="254"/>
      <c r="BA124" s="258"/>
      <c r="BB124" s="265"/>
      <c r="BC124" s="216"/>
      <c r="BD124" s="216"/>
      <c r="BE124" s="254"/>
      <c r="BF124" s="258"/>
      <c r="BG124" s="216"/>
      <c r="BH124" s="216"/>
      <c r="BI124" s="216"/>
      <c r="BJ124" s="254"/>
      <c r="BK124" s="258"/>
      <c r="BL124" s="216"/>
      <c r="BM124" s="216"/>
      <c r="BN124" s="216"/>
      <c r="BO124" s="254"/>
    </row>
    <row r="125" spans="2:67" hidden="1" outlineLevel="1">
      <c r="B125" s="90" t="s">
        <v>640</v>
      </c>
      <c r="C125" s="314" t="s">
        <v>93</v>
      </c>
      <c r="D125" s="257"/>
      <c r="E125" s="309" t="s">
        <v>309</v>
      </c>
      <c r="F125" s="344"/>
      <c r="G125" s="344"/>
      <c r="H125" s="330"/>
      <c r="I125" s="330"/>
      <c r="J125" s="251"/>
      <c r="K125" s="268"/>
      <c r="L125" s="312"/>
      <c r="M125" s="268"/>
      <c r="N125" s="224"/>
      <c r="O125" s="224"/>
      <c r="P125" s="224"/>
      <c r="Q125" s="312"/>
      <c r="R125" s="258"/>
      <c r="S125" s="216"/>
      <c r="T125" s="216"/>
      <c r="U125" s="216"/>
      <c r="V125" s="252"/>
      <c r="W125" s="258"/>
      <c r="X125" s="216"/>
      <c r="Y125" s="216"/>
      <c r="Z125" s="216"/>
      <c r="AA125" s="252"/>
      <c r="AB125" s="258"/>
      <c r="AC125" s="253"/>
      <c r="AD125" s="253"/>
      <c r="AE125" s="216"/>
      <c r="AF125" s="252"/>
      <c r="AG125" s="258"/>
      <c r="AH125" s="216"/>
      <c r="AI125" s="216"/>
      <c r="AJ125" s="216"/>
      <c r="AK125" s="252"/>
      <c r="AL125" s="258"/>
      <c r="AM125" s="216"/>
      <c r="AN125" s="216"/>
      <c r="AO125" s="216"/>
      <c r="AP125" s="252"/>
      <c r="AQ125" s="258"/>
      <c r="AR125" s="216"/>
      <c r="AS125" s="216"/>
      <c r="AT125" s="216"/>
      <c r="AU125" s="254"/>
      <c r="AV125" s="258"/>
      <c r="AW125" s="216"/>
      <c r="AX125" s="216"/>
      <c r="AY125" s="216"/>
      <c r="AZ125" s="254"/>
      <c r="BA125" s="258"/>
      <c r="BB125" s="265"/>
      <c r="BC125" s="216"/>
      <c r="BD125" s="216"/>
      <c r="BE125" s="254"/>
      <c r="BF125" s="258"/>
      <c r="BG125" s="216"/>
      <c r="BH125" s="216"/>
      <c r="BI125" s="216"/>
      <c r="BJ125" s="254"/>
      <c r="BK125" s="258"/>
      <c r="BL125" s="216"/>
      <c r="BM125" s="216"/>
      <c r="BN125" s="216"/>
      <c r="BO125" s="254"/>
    </row>
    <row r="126" spans="2:67" hidden="1" outlineLevel="1">
      <c r="B126" s="90" t="s">
        <v>641</v>
      </c>
      <c r="C126" s="314" t="s">
        <v>95</v>
      </c>
      <c r="D126" s="257"/>
      <c r="E126" s="309" t="s">
        <v>309</v>
      </c>
      <c r="F126" s="344"/>
      <c r="G126" s="344"/>
      <c r="H126" s="330"/>
      <c r="I126" s="330"/>
      <c r="J126" s="251"/>
      <c r="K126" s="268"/>
      <c r="L126" s="312"/>
      <c r="M126" s="268"/>
      <c r="N126" s="224"/>
      <c r="O126" s="224"/>
      <c r="P126" s="224"/>
      <c r="Q126" s="312"/>
      <c r="R126" s="258"/>
      <c r="S126" s="216"/>
      <c r="T126" s="216"/>
      <c r="U126" s="216"/>
      <c r="V126" s="252"/>
      <c r="W126" s="258"/>
      <c r="X126" s="216"/>
      <c r="Y126" s="216"/>
      <c r="Z126" s="216"/>
      <c r="AA126" s="252"/>
      <c r="AB126" s="258"/>
      <c r="AC126" s="253"/>
      <c r="AD126" s="253"/>
      <c r="AE126" s="216"/>
      <c r="AF126" s="252"/>
      <c r="AG126" s="258"/>
      <c r="AH126" s="216"/>
      <c r="AI126" s="216"/>
      <c r="AJ126" s="216"/>
      <c r="AK126" s="252"/>
      <c r="AL126" s="258"/>
      <c r="AM126" s="216"/>
      <c r="AN126" s="216"/>
      <c r="AO126" s="216"/>
      <c r="AP126" s="252"/>
      <c r="AQ126" s="258"/>
      <c r="AR126" s="216"/>
      <c r="AS126" s="216"/>
      <c r="AT126" s="216"/>
      <c r="AU126" s="254"/>
      <c r="AV126" s="258"/>
      <c r="AW126" s="216"/>
      <c r="AX126" s="216"/>
      <c r="AY126" s="216"/>
      <c r="AZ126" s="254"/>
      <c r="BA126" s="258"/>
      <c r="BB126" s="265"/>
      <c r="BC126" s="216"/>
      <c r="BD126" s="216"/>
      <c r="BE126" s="254"/>
      <c r="BF126" s="258"/>
      <c r="BG126" s="216"/>
      <c r="BH126" s="216"/>
      <c r="BI126" s="216"/>
      <c r="BJ126" s="254"/>
      <c r="BK126" s="258"/>
      <c r="BL126" s="216"/>
      <c r="BM126" s="216"/>
      <c r="BN126" s="216"/>
      <c r="BO126" s="254"/>
    </row>
    <row r="127" spans="2:67" hidden="1" outlineLevel="1">
      <c r="B127" s="90" t="s">
        <v>642</v>
      </c>
      <c r="C127" s="314" t="s">
        <v>96</v>
      </c>
      <c r="D127" s="257"/>
      <c r="E127" s="337" t="s">
        <v>309</v>
      </c>
      <c r="F127" s="344"/>
      <c r="G127" s="344"/>
      <c r="H127" s="330"/>
      <c r="I127" s="330"/>
      <c r="J127" s="251"/>
      <c r="K127" s="268"/>
      <c r="L127" s="312"/>
      <c r="M127" s="268"/>
      <c r="N127" s="224"/>
      <c r="O127" s="224"/>
      <c r="P127" s="224"/>
      <c r="Q127" s="312"/>
      <c r="R127" s="258"/>
      <c r="S127" s="216"/>
      <c r="T127" s="216"/>
      <c r="U127" s="216"/>
      <c r="V127" s="252"/>
      <c r="W127" s="258"/>
      <c r="X127" s="216"/>
      <c r="Y127" s="216"/>
      <c r="Z127" s="216"/>
      <c r="AA127" s="252"/>
      <c r="AB127" s="258"/>
      <c r="AC127" s="253"/>
      <c r="AD127" s="253"/>
      <c r="AE127" s="216"/>
      <c r="AF127" s="252"/>
      <c r="AG127" s="258"/>
      <c r="AH127" s="216"/>
      <c r="AI127" s="216"/>
      <c r="AJ127" s="216"/>
      <c r="AK127" s="252"/>
      <c r="AL127" s="258"/>
      <c r="AM127" s="216"/>
      <c r="AN127" s="216"/>
      <c r="AO127" s="216"/>
      <c r="AP127" s="252"/>
      <c r="AQ127" s="258"/>
      <c r="AR127" s="216"/>
      <c r="AS127" s="216"/>
      <c r="AT127" s="216"/>
      <c r="AU127" s="254"/>
      <c r="AV127" s="258"/>
      <c r="AW127" s="216"/>
      <c r="AX127" s="216"/>
      <c r="AY127" s="216"/>
      <c r="AZ127" s="254"/>
      <c r="BA127" s="258"/>
      <c r="BB127" s="265"/>
      <c r="BC127" s="216"/>
      <c r="BD127" s="216"/>
      <c r="BE127" s="254"/>
      <c r="BF127" s="258"/>
      <c r="BG127" s="216"/>
      <c r="BH127" s="216"/>
      <c r="BI127" s="216"/>
      <c r="BJ127" s="254"/>
      <c r="BK127" s="258"/>
      <c r="BL127" s="216"/>
      <c r="BM127" s="216"/>
      <c r="BN127" s="216"/>
      <c r="BO127" s="254"/>
    </row>
    <row r="128" spans="2:67" hidden="1" outlineLevel="1">
      <c r="B128" s="90" t="s">
        <v>643</v>
      </c>
      <c r="C128" s="314" t="s">
        <v>97</v>
      </c>
      <c r="D128" s="257"/>
      <c r="E128" s="309" t="s">
        <v>309</v>
      </c>
      <c r="F128" s="344"/>
      <c r="G128" s="344"/>
      <c r="H128" s="330"/>
      <c r="I128" s="330"/>
      <c r="J128" s="251"/>
      <c r="K128" s="268"/>
      <c r="L128" s="312"/>
      <c r="M128" s="268"/>
      <c r="N128" s="224"/>
      <c r="O128" s="224"/>
      <c r="P128" s="224"/>
      <c r="Q128" s="312"/>
      <c r="R128" s="258"/>
      <c r="S128" s="216"/>
      <c r="T128" s="216"/>
      <c r="U128" s="216"/>
      <c r="V128" s="252"/>
      <c r="W128" s="258"/>
      <c r="X128" s="216"/>
      <c r="Y128" s="216"/>
      <c r="Z128" s="216"/>
      <c r="AA128" s="252"/>
      <c r="AB128" s="258"/>
      <c r="AC128" s="253"/>
      <c r="AD128" s="253"/>
      <c r="AE128" s="216"/>
      <c r="AF128" s="252"/>
      <c r="AG128" s="258"/>
      <c r="AH128" s="216"/>
      <c r="AI128" s="216"/>
      <c r="AJ128" s="216"/>
      <c r="AK128" s="252"/>
      <c r="AL128" s="258"/>
      <c r="AM128" s="216"/>
      <c r="AN128" s="216"/>
      <c r="AO128" s="216"/>
      <c r="AP128" s="252"/>
      <c r="AQ128" s="258"/>
      <c r="AR128" s="216"/>
      <c r="AS128" s="216"/>
      <c r="AT128" s="216"/>
      <c r="AU128" s="254"/>
      <c r="AV128" s="258"/>
      <c r="AW128" s="216"/>
      <c r="AX128" s="216"/>
      <c r="AY128" s="216"/>
      <c r="AZ128" s="254"/>
      <c r="BA128" s="258"/>
      <c r="BB128" s="265"/>
      <c r="BC128" s="216"/>
      <c r="BD128" s="216"/>
      <c r="BE128" s="254"/>
      <c r="BF128" s="258"/>
      <c r="BG128" s="216"/>
      <c r="BH128" s="216"/>
      <c r="BI128" s="216"/>
      <c r="BJ128" s="254"/>
      <c r="BK128" s="258"/>
      <c r="BL128" s="216"/>
      <c r="BM128" s="216"/>
      <c r="BN128" s="216"/>
      <c r="BO128" s="254"/>
    </row>
    <row r="129" spans="2:67" hidden="1" outlineLevel="1">
      <c r="B129" s="90" t="s">
        <v>644</v>
      </c>
      <c r="C129" s="314" t="s">
        <v>98</v>
      </c>
      <c r="D129" s="257"/>
      <c r="E129" s="309" t="s">
        <v>309</v>
      </c>
      <c r="F129" s="344"/>
      <c r="G129" s="344"/>
      <c r="H129" s="330"/>
      <c r="I129" s="330"/>
      <c r="J129" s="251"/>
      <c r="K129" s="268"/>
      <c r="L129" s="312"/>
      <c r="M129" s="268"/>
      <c r="N129" s="224"/>
      <c r="O129" s="224"/>
      <c r="P129" s="224"/>
      <c r="Q129" s="312"/>
      <c r="R129" s="258"/>
      <c r="S129" s="216"/>
      <c r="T129" s="216"/>
      <c r="U129" s="216"/>
      <c r="V129" s="252"/>
      <c r="W129" s="258"/>
      <c r="X129" s="216"/>
      <c r="Y129" s="216"/>
      <c r="Z129" s="216"/>
      <c r="AA129" s="252"/>
      <c r="AB129" s="258"/>
      <c r="AC129" s="253"/>
      <c r="AD129" s="253"/>
      <c r="AE129" s="216"/>
      <c r="AF129" s="252"/>
      <c r="AG129" s="258"/>
      <c r="AH129" s="216"/>
      <c r="AI129" s="216"/>
      <c r="AJ129" s="216"/>
      <c r="AK129" s="252"/>
      <c r="AL129" s="258"/>
      <c r="AM129" s="216"/>
      <c r="AN129" s="216"/>
      <c r="AO129" s="216"/>
      <c r="AP129" s="252"/>
      <c r="AQ129" s="258"/>
      <c r="AR129" s="216"/>
      <c r="AS129" s="216"/>
      <c r="AT129" s="216"/>
      <c r="AU129" s="254"/>
      <c r="AV129" s="258"/>
      <c r="AW129" s="216"/>
      <c r="AX129" s="216"/>
      <c r="AY129" s="216"/>
      <c r="AZ129" s="254"/>
      <c r="BA129" s="258"/>
      <c r="BB129" s="265"/>
      <c r="BC129" s="216"/>
      <c r="BD129" s="216"/>
      <c r="BE129" s="254"/>
      <c r="BF129" s="258"/>
      <c r="BG129" s="216"/>
      <c r="BH129" s="216"/>
      <c r="BI129" s="216"/>
      <c r="BJ129" s="254"/>
      <c r="BK129" s="258"/>
      <c r="BL129" s="216"/>
      <c r="BM129" s="216"/>
      <c r="BN129" s="216"/>
      <c r="BO129" s="254"/>
    </row>
    <row r="130" spans="2:67" hidden="1" outlineLevel="1">
      <c r="B130" s="90" t="s">
        <v>645</v>
      </c>
      <c r="C130" s="314" t="s">
        <v>99</v>
      </c>
      <c r="D130" s="257"/>
      <c r="E130" s="309" t="s">
        <v>309</v>
      </c>
      <c r="F130" s="344"/>
      <c r="G130" s="344"/>
      <c r="H130" s="330"/>
      <c r="I130" s="330"/>
      <c r="J130" s="251"/>
      <c r="K130" s="268"/>
      <c r="L130" s="312"/>
      <c r="M130" s="268"/>
      <c r="N130" s="224"/>
      <c r="O130" s="224"/>
      <c r="P130" s="224"/>
      <c r="Q130" s="312"/>
      <c r="R130" s="258"/>
      <c r="S130" s="216"/>
      <c r="T130" s="216"/>
      <c r="U130" s="216"/>
      <c r="V130" s="252"/>
      <c r="W130" s="258"/>
      <c r="X130" s="216"/>
      <c r="Y130" s="216"/>
      <c r="Z130" s="216"/>
      <c r="AA130" s="252"/>
      <c r="AB130" s="258"/>
      <c r="AC130" s="253"/>
      <c r="AD130" s="253"/>
      <c r="AE130" s="216"/>
      <c r="AF130" s="252"/>
      <c r="AG130" s="258"/>
      <c r="AH130" s="216"/>
      <c r="AI130" s="216"/>
      <c r="AJ130" s="216"/>
      <c r="AK130" s="252"/>
      <c r="AL130" s="258"/>
      <c r="AM130" s="216"/>
      <c r="AN130" s="216"/>
      <c r="AO130" s="216"/>
      <c r="AP130" s="252"/>
      <c r="AQ130" s="258"/>
      <c r="AR130" s="216"/>
      <c r="AS130" s="216"/>
      <c r="AT130" s="216"/>
      <c r="AU130" s="254"/>
      <c r="AV130" s="258"/>
      <c r="AW130" s="216"/>
      <c r="AX130" s="216"/>
      <c r="AY130" s="216"/>
      <c r="AZ130" s="254"/>
      <c r="BA130" s="258"/>
      <c r="BB130" s="265"/>
      <c r="BC130" s="216"/>
      <c r="BD130" s="216"/>
      <c r="BE130" s="254"/>
      <c r="BF130" s="258"/>
      <c r="BG130" s="216"/>
      <c r="BH130" s="216"/>
      <c r="BI130" s="216"/>
      <c r="BJ130" s="254"/>
      <c r="BK130" s="258"/>
      <c r="BL130" s="216"/>
      <c r="BM130" s="216"/>
      <c r="BN130" s="216"/>
      <c r="BO130" s="254"/>
    </row>
    <row r="131" spans="2:67" hidden="1" outlineLevel="1">
      <c r="B131" s="90" t="s">
        <v>646</v>
      </c>
      <c r="C131" s="314" t="s">
        <v>100</v>
      </c>
      <c r="D131" s="257"/>
      <c r="E131" s="309" t="s">
        <v>309</v>
      </c>
      <c r="F131" s="344"/>
      <c r="G131" s="344"/>
      <c r="H131" s="330"/>
      <c r="I131" s="330"/>
      <c r="J131" s="251"/>
      <c r="K131" s="268"/>
      <c r="L131" s="312"/>
      <c r="M131" s="268"/>
      <c r="N131" s="224"/>
      <c r="O131" s="224"/>
      <c r="P131" s="224"/>
      <c r="Q131" s="312"/>
      <c r="R131" s="258"/>
      <c r="S131" s="216"/>
      <c r="T131" s="216"/>
      <c r="U131" s="216"/>
      <c r="V131" s="252"/>
      <c r="W131" s="258"/>
      <c r="X131" s="216"/>
      <c r="Y131" s="216"/>
      <c r="Z131" s="216"/>
      <c r="AA131" s="252"/>
      <c r="AB131" s="258"/>
      <c r="AC131" s="253"/>
      <c r="AD131" s="253"/>
      <c r="AE131" s="216"/>
      <c r="AF131" s="252"/>
      <c r="AG131" s="258"/>
      <c r="AH131" s="216"/>
      <c r="AI131" s="216"/>
      <c r="AJ131" s="216"/>
      <c r="AK131" s="252"/>
      <c r="AL131" s="258"/>
      <c r="AM131" s="216"/>
      <c r="AN131" s="216"/>
      <c r="AO131" s="216"/>
      <c r="AP131" s="252"/>
      <c r="AQ131" s="258"/>
      <c r="AR131" s="216"/>
      <c r="AS131" s="216"/>
      <c r="AT131" s="216"/>
      <c r="AU131" s="254"/>
      <c r="AV131" s="258"/>
      <c r="AW131" s="216"/>
      <c r="AX131" s="216"/>
      <c r="AY131" s="216"/>
      <c r="AZ131" s="254"/>
      <c r="BA131" s="258"/>
      <c r="BB131" s="265"/>
      <c r="BC131" s="216"/>
      <c r="BD131" s="216"/>
      <c r="BE131" s="254"/>
      <c r="BF131" s="258"/>
      <c r="BG131" s="216"/>
      <c r="BH131" s="216"/>
      <c r="BI131" s="216"/>
      <c r="BJ131" s="254"/>
      <c r="BK131" s="258"/>
      <c r="BL131" s="216"/>
      <c r="BM131" s="216"/>
      <c r="BN131" s="216"/>
      <c r="BO131" s="254"/>
    </row>
    <row r="132" spans="2:67" hidden="1" outlineLevel="1">
      <c r="B132" s="90" t="s">
        <v>647</v>
      </c>
      <c r="C132" s="314" t="s">
        <v>101</v>
      </c>
      <c r="D132" s="257"/>
      <c r="E132" s="309" t="s">
        <v>309</v>
      </c>
      <c r="F132" s="344"/>
      <c r="G132" s="344"/>
      <c r="H132" s="330"/>
      <c r="I132" s="330"/>
      <c r="J132" s="251"/>
      <c r="K132" s="268"/>
      <c r="L132" s="312"/>
      <c r="M132" s="268"/>
      <c r="N132" s="224"/>
      <c r="O132" s="224"/>
      <c r="P132" s="224"/>
      <c r="Q132" s="312"/>
      <c r="R132" s="258"/>
      <c r="S132" s="216"/>
      <c r="T132" s="216"/>
      <c r="U132" s="216"/>
      <c r="V132" s="252"/>
      <c r="W132" s="258"/>
      <c r="X132" s="216"/>
      <c r="Y132" s="216"/>
      <c r="Z132" s="216"/>
      <c r="AA132" s="252"/>
      <c r="AB132" s="258"/>
      <c r="AC132" s="253"/>
      <c r="AD132" s="253"/>
      <c r="AE132" s="216"/>
      <c r="AF132" s="252"/>
      <c r="AG132" s="258"/>
      <c r="AH132" s="216"/>
      <c r="AI132" s="216"/>
      <c r="AJ132" s="216"/>
      <c r="AK132" s="252"/>
      <c r="AL132" s="258"/>
      <c r="AM132" s="216"/>
      <c r="AN132" s="216"/>
      <c r="AO132" s="216"/>
      <c r="AP132" s="252"/>
      <c r="AQ132" s="258"/>
      <c r="AR132" s="216"/>
      <c r="AS132" s="216"/>
      <c r="AT132" s="216"/>
      <c r="AU132" s="254"/>
      <c r="AV132" s="258"/>
      <c r="AW132" s="216"/>
      <c r="AX132" s="216"/>
      <c r="AY132" s="216"/>
      <c r="AZ132" s="254"/>
      <c r="BA132" s="258"/>
      <c r="BB132" s="265"/>
      <c r="BC132" s="216"/>
      <c r="BD132" s="216"/>
      <c r="BE132" s="254"/>
      <c r="BF132" s="258"/>
      <c r="BG132" s="216"/>
      <c r="BH132" s="216"/>
      <c r="BI132" s="216"/>
      <c r="BJ132" s="254"/>
      <c r="BK132" s="258"/>
      <c r="BL132" s="216"/>
      <c r="BM132" s="216"/>
      <c r="BN132" s="216"/>
      <c r="BO132" s="254"/>
    </row>
    <row r="133" spans="2:67" hidden="1" outlineLevel="1">
      <c r="B133" s="90" t="s">
        <v>648</v>
      </c>
      <c r="C133" s="314" t="s">
        <v>63</v>
      </c>
      <c r="D133" s="257"/>
      <c r="E133" s="309" t="s">
        <v>309</v>
      </c>
      <c r="F133" s="344"/>
      <c r="G133" s="344"/>
      <c r="H133" s="330"/>
      <c r="I133" s="330"/>
      <c r="J133" s="251"/>
      <c r="K133" s="268"/>
      <c r="L133" s="312"/>
      <c r="M133" s="268"/>
      <c r="N133" s="224"/>
      <c r="O133" s="224"/>
      <c r="P133" s="224"/>
      <c r="Q133" s="312"/>
      <c r="R133" s="258"/>
      <c r="S133" s="216"/>
      <c r="T133" s="216"/>
      <c r="U133" s="216"/>
      <c r="V133" s="252"/>
      <c r="W133" s="258"/>
      <c r="X133" s="216"/>
      <c r="Y133" s="216"/>
      <c r="Z133" s="216"/>
      <c r="AA133" s="252"/>
      <c r="AB133" s="258"/>
      <c r="AC133" s="253"/>
      <c r="AD133" s="253"/>
      <c r="AE133" s="216"/>
      <c r="AF133" s="252"/>
      <c r="AG133" s="258"/>
      <c r="AH133" s="216"/>
      <c r="AI133" s="216"/>
      <c r="AJ133" s="216"/>
      <c r="AK133" s="252"/>
      <c r="AL133" s="258"/>
      <c r="AM133" s="216"/>
      <c r="AN133" s="216"/>
      <c r="AO133" s="216"/>
      <c r="AP133" s="252"/>
      <c r="AQ133" s="258"/>
      <c r="AR133" s="216"/>
      <c r="AS133" s="216"/>
      <c r="AT133" s="216"/>
      <c r="AU133" s="254"/>
      <c r="AV133" s="258"/>
      <c r="AW133" s="216"/>
      <c r="AX133" s="216"/>
      <c r="AY133" s="216"/>
      <c r="AZ133" s="254"/>
      <c r="BA133" s="258"/>
      <c r="BB133" s="265"/>
      <c r="BC133" s="216"/>
      <c r="BD133" s="216"/>
      <c r="BE133" s="254"/>
      <c r="BF133" s="258"/>
      <c r="BG133" s="216"/>
      <c r="BH133" s="216"/>
      <c r="BI133" s="216"/>
      <c r="BJ133" s="254"/>
      <c r="BK133" s="258"/>
      <c r="BL133" s="216"/>
      <c r="BM133" s="216"/>
      <c r="BN133" s="216"/>
      <c r="BO133" s="254"/>
    </row>
    <row r="134" spans="2:67" hidden="1" outlineLevel="1">
      <c r="B134" s="90" t="s">
        <v>649</v>
      </c>
      <c r="C134" s="314" t="s">
        <v>102</v>
      </c>
      <c r="D134" s="257"/>
      <c r="E134" s="309" t="s">
        <v>309</v>
      </c>
      <c r="F134" s="344"/>
      <c r="G134" s="344"/>
      <c r="H134" s="330"/>
      <c r="I134" s="330"/>
      <c r="J134" s="251"/>
      <c r="K134" s="268"/>
      <c r="L134" s="312"/>
      <c r="M134" s="268"/>
      <c r="N134" s="224"/>
      <c r="O134" s="224"/>
      <c r="P134" s="224"/>
      <c r="Q134" s="312"/>
      <c r="R134" s="258"/>
      <c r="S134" s="216"/>
      <c r="T134" s="216"/>
      <c r="U134" s="216"/>
      <c r="V134" s="252"/>
      <c r="W134" s="258"/>
      <c r="X134" s="216"/>
      <c r="Y134" s="216"/>
      <c r="Z134" s="216"/>
      <c r="AA134" s="252"/>
      <c r="AB134" s="258"/>
      <c r="AC134" s="253"/>
      <c r="AD134" s="253"/>
      <c r="AE134" s="216"/>
      <c r="AF134" s="252"/>
      <c r="AG134" s="258"/>
      <c r="AH134" s="216"/>
      <c r="AI134" s="216"/>
      <c r="AJ134" s="216"/>
      <c r="AK134" s="252"/>
      <c r="AL134" s="258"/>
      <c r="AM134" s="216"/>
      <c r="AN134" s="216"/>
      <c r="AO134" s="216"/>
      <c r="AP134" s="252"/>
      <c r="AQ134" s="258"/>
      <c r="AR134" s="216"/>
      <c r="AS134" s="216"/>
      <c r="AT134" s="216"/>
      <c r="AU134" s="254"/>
      <c r="AV134" s="258"/>
      <c r="AW134" s="216"/>
      <c r="AX134" s="216"/>
      <c r="AY134" s="216"/>
      <c r="AZ134" s="254"/>
      <c r="BA134" s="258"/>
      <c r="BB134" s="265"/>
      <c r="BC134" s="216"/>
      <c r="BD134" s="216"/>
      <c r="BE134" s="254"/>
      <c r="BF134" s="258"/>
      <c r="BG134" s="216"/>
      <c r="BH134" s="216"/>
      <c r="BI134" s="216"/>
      <c r="BJ134" s="254"/>
      <c r="BK134" s="258"/>
      <c r="BL134" s="216"/>
      <c r="BM134" s="216"/>
      <c r="BN134" s="216"/>
      <c r="BO134" s="254"/>
    </row>
    <row r="135" spans="2:67" ht="18.5" hidden="1" outlineLevel="1" thickBot="1">
      <c r="B135" s="90" t="s">
        <v>650</v>
      </c>
      <c r="C135" s="314" t="s">
        <v>103</v>
      </c>
      <c r="D135" s="257"/>
      <c r="E135" s="309" t="s">
        <v>309</v>
      </c>
      <c r="F135" s="344"/>
      <c r="G135" s="344"/>
      <c r="H135" s="330"/>
      <c r="I135" s="330"/>
      <c r="J135" s="251"/>
      <c r="K135" s="268"/>
      <c r="L135" s="312"/>
      <c r="M135" s="268"/>
      <c r="N135" s="224"/>
      <c r="O135" s="224"/>
      <c r="P135" s="224"/>
      <c r="Q135" s="312"/>
      <c r="R135" s="258"/>
      <c r="S135" s="216"/>
      <c r="T135" s="216"/>
      <c r="U135" s="216"/>
      <c r="V135" s="252"/>
      <c r="W135" s="258"/>
      <c r="X135" s="216"/>
      <c r="Y135" s="216"/>
      <c r="Z135" s="216"/>
      <c r="AA135" s="252"/>
      <c r="AB135" s="258"/>
      <c r="AC135" s="253"/>
      <c r="AD135" s="253"/>
      <c r="AE135" s="216"/>
      <c r="AF135" s="252"/>
      <c r="AG135" s="258"/>
      <c r="AH135" s="216"/>
      <c r="AI135" s="216"/>
      <c r="AJ135" s="216"/>
      <c r="AK135" s="252"/>
      <c r="AL135" s="258"/>
      <c r="AM135" s="216"/>
      <c r="AN135" s="216"/>
      <c r="AO135" s="216"/>
      <c r="AP135" s="252"/>
      <c r="AQ135" s="258"/>
      <c r="AR135" s="216"/>
      <c r="AS135" s="216"/>
      <c r="AT135" s="216"/>
      <c r="AU135" s="254"/>
      <c r="AV135" s="258"/>
      <c r="AW135" s="216"/>
      <c r="AX135" s="216"/>
      <c r="AY135" s="216"/>
      <c r="AZ135" s="254"/>
      <c r="BA135" s="258"/>
      <c r="BB135" s="265"/>
      <c r="BC135" s="216"/>
      <c r="BD135" s="216"/>
      <c r="BE135" s="254"/>
      <c r="BF135" s="258"/>
      <c r="BG135" s="216"/>
      <c r="BH135" s="216"/>
      <c r="BI135" s="216"/>
      <c r="BJ135" s="254"/>
      <c r="BK135" s="258"/>
      <c r="BL135" s="216"/>
      <c r="BM135" s="216"/>
      <c r="BN135" s="216"/>
      <c r="BO135" s="254"/>
    </row>
    <row r="136" spans="2:67" ht="3.75" customHeight="1" collapsed="1" thickBot="1">
      <c r="B136" s="248"/>
      <c r="C136" s="249"/>
      <c r="D136" s="260"/>
      <c r="E136" s="240"/>
      <c r="F136" s="335"/>
      <c r="G136" s="335"/>
      <c r="H136" s="335"/>
      <c r="I136" s="335"/>
      <c r="J136" s="249"/>
      <c r="K136" s="250"/>
      <c r="L136" s="250"/>
      <c r="M136" s="250"/>
      <c r="N136" s="250"/>
      <c r="O136" s="250"/>
      <c r="P136" s="250"/>
      <c r="Q136" s="250"/>
      <c r="R136" s="250"/>
      <c r="S136" s="250"/>
      <c r="T136" s="250"/>
      <c r="U136" s="250"/>
      <c r="V136" s="250"/>
      <c r="W136" s="250"/>
      <c r="X136" s="250"/>
      <c r="Y136" s="250"/>
      <c r="Z136" s="250"/>
      <c r="AA136" s="250"/>
      <c r="AB136" s="250"/>
      <c r="AC136" s="250"/>
      <c r="AD136" s="250"/>
      <c r="AE136" s="250"/>
      <c r="AF136" s="250"/>
      <c r="AG136" s="250"/>
      <c r="AH136" s="250"/>
      <c r="AI136" s="250"/>
      <c r="AJ136" s="250"/>
      <c r="AK136" s="250"/>
      <c r="AL136" s="250"/>
      <c r="AM136" s="250"/>
      <c r="AN136" s="250"/>
      <c r="AO136" s="250"/>
      <c r="AP136" s="250"/>
      <c r="AQ136" s="250"/>
      <c r="AR136" s="250"/>
      <c r="AS136" s="250"/>
      <c r="AT136" s="250"/>
      <c r="AU136" s="250"/>
      <c r="AV136" s="250"/>
      <c r="AW136" s="250"/>
      <c r="AX136" s="250"/>
      <c r="AY136" s="250"/>
      <c r="AZ136" s="250"/>
      <c r="BA136" s="250"/>
      <c r="BB136" s="250"/>
      <c r="BC136" s="250"/>
      <c r="BD136" s="250"/>
      <c r="BE136" s="250"/>
      <c r="BF136" s="250"/>
      <c r="BG136" s="250"/>
      <c r="BH136" s="250"/>
      <c r="BI136" s="250"/>
      <c r="BJ136" s="250"/>
      <c r="BK136" s="250"/>
      <c r="BL136" s="250"/>
      <c r="BM136" s="250"/>
      <c r="BN136" s="250"/>
      <c r="BO136" s="250"/>
    </row>
    <row r="137" spans="2:67">
      <c r="B137" s="320" t="s">
        <v>189</v>
      </c>
      <c r="C137" s="320" t="s">
        <v>554</v>
      </c>
      <c r="D137" s="322"/>
      <c r="E137" s="329"/>
      <c r="F137" s="332"/>
      <c r="G137" s="332"/>
      <c r="H137" s="332"/>
      <c r="I137" s="332"/>
      <c r="J137" s="251"/>
      <c r="K137" s="323"/>
      <c r="L137" s="324"/>
      <c r="M137" s="323"/>
      <c r="N137" s="325"/>
      <c r="O137" s="325"/>
      <c r="P137" s="325"/>
      <c r="Q137" s="326"/>
      <c r="R137" s="323"/>
      <c r="S137" s="325"/>
      <c r="T137" s="325"/>
      <c r="U137" s="325"/>
      <c r="V137" s="326"/>
      <c r="W137" s="323"/>
      <c r="X137" s="325"/>
      <c r="Y137" s="325"/>
      <c r="Z137" s="325"/>
      <c r="AA137" s="326"/>
      <c r="AB137" s="323"/>
      <c r="AC137" s="327"/>
      <c r="AD137" s="327"/>
      <c r="AE137" s="325"/>
      <c r="AF137" s="326"/>
      <c r="AG137" s="323"/>
      <c r="AH137" s="325"/>
      <c r="AI137" s="325"/>
      <c r="AJ137" s="325"/>
      <c r="AK137" s="326"/>
      <c r="AL137" s="323"/>
      <c r="AM137" s="325"/>
      <c r="AN137" s="325"/>
      <c r="AO137" s="325"/>
      <c r="AP137" s="326"/>
      <c r="AQ137" s="323"/>
      <c r="AR137" s="325"/>
      <c r="AS137" s="325"/>
      <c r="AT137" s="325"/>
      <c r="AU137" s="328"/>
      <c r="AV137" s="323"/>
      <c r="AW137" s="325"/>
      <c r="AX137" s="325"/>
      <c r="AY137" s="325"/>
      <c r="AZ137" s="328"/>
      <c r="BA137" s="341"/>
      <c r="BB137" s="265"/>
      <c r="BC137" s="325"/>
      <c r="BD137" s="325"/>
      <c r="BE137" s="328"/>
      <c r="BF137" s="323"/>
      <c r="BG137" s="325"/>
      <c r="BH137" s="325"/>
      <c r="BI137" s="325"/>
      <c r="BJ137" s="328"/>
      <c r="BK137" s="323"/>
      <c r="BL137" s="325"/>
      <c r="BM137" s="325"/>
      <c r="BN137" s="325"/>
      <c r="BO137" s="328"/>
    </row>
    <row r="138" spans="2:67">
      <c r="B138" s="259" t="s">
        <v>316</v>
      </c>
      <c r="C138" s="259" t="s">
        <v>485</v>
      </c>
      <c r="D138" s="308" t="s">
        <v>121</v>
      </c>
      <c r="E138" s="309" t="s">
        <v>309</v>
      </c>
      <c r="F138" s="334">
        <v>45694</v>
      </c>
      <c r="G138" s="333">
        <v>45719</v>
      </c>
      <c r="H138" s="333"/>
      <c r="I138" s="333"/>
      <c r="J138" s="251"/>
      <c r="K138" s="268"/>
      <c r="L138" s="312"/>
      <c r="M138" s="268"/>
      <c r="N138" s="224"/>
      <c r="O138" s="224"/>
      <c r="P138" s="224"/>
      <c r="Q138" s="312"/>
      <c r="R138" s="258"/>
      <c r="S138" s="216"/>
      <c r="T138" s="216"/>
      <c r="U138" s="216"/>
      <c r="V138" s="252"/>
      <c r="W138" s="258"/>
      <c r="X138" s="216"/>
      <c r="Y138" s="216"/>
      <c r="Z138" s="216"/>
      <c r="AA138" s="252"/>
      <c r="AB138" s="258"/>
      <c r="AC138" s="253"/>
      <c r="AD138" s="253"/>
      <c r="AE138" s="216"/>
      <c r="AF138" s="252"/>
      <c r="AG138" s="258"/>
      <c r="AH138" s="216"/>
      <c r="AI138" s="216"/>
      <c r="AJ138" s="216"/>
      <c r="AK138" s="252"/>
      <c r="AL138" s="258"/>
      <c r="AM138" s="216"/>
      <c r="AN138" s="216"/>
      <c r="AO138" s="216"/>
      <c r="AP138" s="252"/>
      <c r="AQ138" s="258"/>
      <c r="AR138" s="216"/>
      <c r="AS138" s="216"/>
      <c r="AT138" s="216"/>
      <c r="AU138" s="254"/>
      <c r="AV138" s="258"/>
      <c r="AW138" s="216"/>
      <c r="AX138" s="336"/>
      <c r="AY138" s="216"/>
      <c r="AZ138" s="254"/>
      <c r="BA138" s="339" t="s">
        <v>314</v>
      </c>
      <c r="BB138" s="265"/>
      <c r="BC138" s="336"/>
      <c r="BD138" s="216"/>
      <c r="BE138" s="254"/>
      <c r="BF138" s="258"/>
      <c r="BG138" s="216"/>
      <c r="BH138" s="216"/>
      <c r="BI138" s="216"/>
      <c r="BJ138" s="254"/>
      <c r="BK138" s="258"/>
      <c r="BL138" s="216"/>
      <c r="BM138" s="216"/>
      <c r="BN138" s="216"/>
      <c r="BO138" s="254"/>
    </row>
    <row r="139" spans="2:67" hidden="1" outlineLevel="1">
      <c r="B139" s="90" t="s">
        <v>531</v>
      </c>
      <c r="C139" s="314" t="s">
        <v>60</v>
      </c>
      <c r="D139" s="257"/>
      <c r="E139" s="309" t="s">
        <v>309</v>
      </c>
      <c r="F139" s="344"/>
      <c r="G139" s="344"/>
      <c r="H139" s="334"/>
      <c r="I139" s="334"/>
      <c r="J139" s="251"/>
      <c r="K139" s="268"/>
      <c r="L139" s="312"/>
      <c r="M139" s="268"/>
      <c r="N139" s="224"/>
      <c r="O139" s="224"/>
      <c r="P139" s="224"/>
      <c r="Q139" s="312"/>
      <c r="R139" s="258"/>
      <c r="S139" s="216"/>
      <c r="T139" s="216"/>
      <c r="U139" s="216"/>
      <c r="V139" s="252"/>
      <c r="W139" s="258"/>
      <c r="X139" s="216"/>
      <c r="Y139" s="216"/>
      <c r="Z139" s="216"/>
      <c r="AA139" s="252"/>
      <c r="AB139" s="258"/>
      <c r="AC139" s="253"/>
      <c r="AD139" s="253"/>
      <c r="AE139" s="216"/>
      <c r="AF139" s="252"/>
      <c r="AG139" s="258"/>
      <c r="AH139" s="216"/>
      <c r="AI139" s="216"/>
      <c r="AJ139" s="216"/>
      <c r="AK139" s="252"/>
      <c r="AL139" s="258"/>
      <c r="AM139" s="216"/>
      <c r="AN139" s="216"/>
      <c r="AO139" s="216"/>
      <c r="AP139" s="252"/>
      <c r="AQ139" s="258"/>
      <c r="AR139" s="216"/>
      <c r="AS139" s="216"/>
      <c r="AT139" s="216"/>
      <c r="AU139" s="254"/>
      <c r="AV139" s="258"/>
      <c r="AW139" s="216"/>
      <c r="AX139" s="216"/>
      <c r="AY139" s="216"/>
      <c r="AZ139" s="254"/>
      <c r="BA139" s="258"/>
      <c r="BB139" s="265"/>
      <c r="BC139" s="216"/>
      <c r="BD139" s="216"/>
      <c r="BE139" s="254"/>
      <c r="BF139" s="258"/>
      <c r="BG139" s="216"/>
      <c r="BH139" s="216"/>
      <c r="BI139" s="216"/>
      <c r="BJ139" s="254"/>
      <c r="BK139" s="258"/>
      <c r="BL139" s="216"/>
      <c r="BM139" s="216"/>
      <c r="BN139" s="216"/>
      <c r="BO139" s="254"/>
    </row>
    <row r="140" spans="2:67" hidden="1" outlineLevel="1">
      <c r="B140" s="124" t="s">
        <v>532</v>
      </c>
      <c r="C140" s="307" t="s">
        <v>61</v>
      </c>
      <c r="D140" s="306"/>
      <c r="E140" s="309" t="s">
        <v>309</v>
      </c>
      <c r="F140" s="345"/>
      <c r="G140" s="345"/>
      <c r="H140" s="330"/>
      <c r="I140" s="330"/>
      <c r="J140" s="251"/>
      <c r="K140" s="268"/>
      <c r="L140" s="312"/>
      <c r="M140" s="268"/>
      <c r="N140" s="224"/>
      <c r="O140" s="224"/>
      <c r="P140" s="224"/>
      <c r="Q140" s="312"/>
      <c r="R140" s="258"/>
      <c r="S140" s="216"/>
      <c r="T140" s="216"/>
      <c r="U140" s="216"/>
      <c r="V140" s="252"/>
      <c r="W140" s="258"/>
      <c r="X140" s="216"/>
      <c r="Y140" s="216"/>
      <c r="Z140" s="216"/>
      <c r="AA140" s="252"/>
      <c r="AB140" s="258"/>
      <c r="AC140" s="253"/>
      <c r="AD140" s="253"/>
      <c r="AE140" s="216"/>
      <c r="AF140" s="252"/>
      <c r="AG140" s="258"/>
      <c r="AH140" s="216"/>
      <c r="AI140" s="216"/>
      <c r="AJ140" s="216"/>
      <c r="AK140" s="252"/>
      <c r="AL140" s="258"/>
      <c r="AM140" s="216"/>
      <c r="AN140" s="216"/>
      <c r="AO140" s="216"/>
      <c r="AP140" s="252"/>
      <c r="AQ140" s="258"/>
      <c r="AR140" s="216"/>
      <c r="AS140" s="216"/>
      <c r="AT140" s="216"/>
      <c r="AU140" s="254"/>
      <c r="AV140" s="258"/>
      <c r="AW140" s="216"/>
      <c r="AX140" s="216"/>
      <c r="AY140" s="216"/>
      <c r="AZ140" s="254"/>
      <c r="BA140" s="258"/>
      <c r="BB140" s="265"/>
      <c r="BC140" s="216"/>
      <c r="BD140" s="216"/>
      <c r="BE140" s="254"/>
      <c r="BF140" s="258"/>
      <c r="BG140" s="216"/>
      <c r="BH140" s="216"/>
      <c r="BI140" s="216"/>
      <c r="BJ140" s="254"/>
      <c r="BK140" s="258"/>
      <c r="BL140" s="216"/>
      <c r="BM140" s="216"/>
      <c r="BN140" s="216"/>
      <c r="BO140" s="254"/>
    </row>
    <row r="141" spans="2:67" hidden="1" outlineLevel="1">
      <c r="B141" s="90" t="s">
        <v>533</v>
      </c>
      <c r="C141" s="314" t="s">
        <v>57</v>
      </c>
      <c r="D141" s="257"/>
      <c r="E141" s="309" t="s">
        <v>309</v>
      </c>
      <c r="F141" s="344"/>
      <c r="G141" s="344"/>
      <c r="H141" s="334"/>
      <c r="I141" s="334"/>
      <c r="J141" s="251"/>
      <c r="K141" s="268"/>
      <c r="L141" s="312"/>
      <c r="M141" s="268"/>
      <c r="N141" s="224"/>
      <c r="O141" s="224"/>
      <c r="P141" s="224"/>
      <c r="Q141" s="312"/>
      <c r="R141" s="258"/>
      <c r="S141" s="216"/>
      <c r="T141" s="216"/>
      <c r="U141" s="216"/>
      <c r="V141" s="252"/>
      <c r="W141" s="258"/>
      <c r="X141" s="216"/>
      <c r="Y141" s="216"/>
      <c r="Z141" s="216"/>
      <c r="AA141" s="252"/>
      <c r="AB141" s="258"/>
      <c r="AC141" s="253"/>
      <c r="AD141" s="253"/>
      <c r="AE141" s="216"/>
      <c r="AF141" s="252"/>
      <c r="AG141" s="258"/>
      <c r="AH141" s="216"/>
      <c r="AI141" s="216"/>
      <c r="AJ141" s="216"/>
      <c r="AK141" s="252"/>
      <c r="AL141" s="258"/>
      <c r="AM141" s="216"/>
      <c r="AN141" s="216"/>
      <c r="AO141" s="216"/>
      <c r="AP141" s="252"/>
      <c r="AQ141" s="258"/>
      <c r="AR141" s="216"/>
      <c r="AS141" s="216"/>
      <c r="AT141" s="216"/>
      <c r="AU141" s="254"/>
      <c r="AV141" s="258"/>
      <c r="AW141" s="216"/>
      <c r="AX141" s="216"/>
      <c r="AY141" s="216"/>
      <c r="AZ141" s="254"/>
      <c r="BA141" s="258"/>
      <c r="BB141" s="265"/>
      <c r="BC141" s="216"/>
      <c r="BD141" s="216"/>
      <c r="BE141" s="254"/>
      <c r="BF141" s="258"/>
      <c r="BG141" s="216"/>
      <c r="BH141" s="216"/>
      <c r="BI141" s="216"/>
      <c r="BJ141" s="254"/>
      <c r="BK141" s="258"/>
      <c r="BL141" s="216"/>
      <c r="BM141" s="216"/>
      <c r="BN141" s="216"/>
      <c r="BO141" s="254"/>
    </row>
    <row r="142" spans="2:67" hidden="1" outlineLevel="1">
      <c r="B142" s="90" t="s">
        <v>534</v>
      </c>
      <c r="C142" s="314" t="s">
        <v>64</v>
      </c>
      <c r="D142" s="257"/>
      <c r="E142" s="309" t="s">
        <v>309</v>
      </c>
      <c r="F142" s="344"/>
      <c r="G142" s="344"/>
      <c r="H142" s="334"/>
      <c r="I142" s="334"/>
      <c r="J142" s="251"/>
      <c r="K142" s="268"/>
      <c r="L142" s="312"/>
      <c r="M142" s="268"/>
      <c r="N142" s="224"/>
      <c r="O142" s="224"/>
      <c r="P142" s="224"/>
      <c r="Q142" s="312"/>
      <c r="R142" s="258"/>
      <c r="S142" s="216"/>
      <c r="T142" s="216"/>
      <c r="U142" s="216"/>
      <c r="V142" s="252"/>
      <c r="W142" s="258"/>
      <c r="X142" s="216"/>
      <c r="Y142" s="216"/>
      <c r="Z142" s="216"/>
      <c r="AA142" s="252"/>
      <c r="AB142" s="258"/>
      <c r="AC142" s="253"/>
      <c r="AD142" s="253"/>
      <c r="AE142" s="216"/>
      <c r="AF142" s="252"/>
      <c r="AG142" s="258"/>
      <c r="AH142" s="216"/>
      <c r="AI142" s="216"/>
      <c r="AJ142" s="216"/>
      <c r="AK142" s="252"/>
      <c r="AL142" s="258"/>
      <c r="AM142" s="216"/>
      <c r="AN142" s="216"/>
      <c r="AO142" s="216"/>
      <c r="AP142" s="252"/>
      <c r="AQ142" s="258"/>
      <c r="AR142" s="216"/>
      <c r="AS142" s="216"/>
      <c r="AT142" s="216"/>
      <c r="AU142" s="254"/>
      <c r="AV142" s="258"/>
      <c r="AW142" s="216"/>
      <c r="AX142" s="216"/>
      <c r="AY142" s="216"/>
      <c r="AZ142" s="254"/>
      <c r="BA142" s="258"/>
      <c r="BB142" s="265"/>
      <c r="BC142" s="216"/>
      <c r="BD142" s="216"/>
      <c r="BE142" s="254"/>
      <c r="BF142" s="258"/>
      <c r="BG142" s="216"/>
      <c r="BH142" s="216"/>
      <c r="BI142" s="216"/>
      <c r="BJ142" s="254"/>
      <c r="BK142" s="258"/>
      <c r="BL142" s="216"/>
      <c r="BM142" s="216"/>
      <c r="BN142" s="216"/>
      <c r="BO142" s="254"/>
    </row>
    <row r="143" spans="2:67" hidden="1" outlineLevel="1">
      <c r="B143" s="90" t="s">
        <v>535</v>
      </c>
      <c r="C143" s="314" t="s">
        <v>53</v>
      </c>
      <c r="D143" s="257"/>
      <c r="E143" s="309" t="s">
        <v>309</v>
      </c>
      <c r="F143" s="344"/>
      <c r="G143" s="344"/>
      <c r="H143" s="334"/>
      <c r="I143" s="334"/>
      <c r="J143" s="251"/>
      <c r="K143" s="268"/>
      <c r="L143" s="312"/>
      <c r="M143" s="268"/>
      <c r="N143" s="224"/>
      <c r="O143" s="224"/>
      <c r="P143" s="224"/>
      <c r="Q143" s="312"/>
      <c r="R143" s="258"/>
      <c r="S143" s="216"/>
      <c r="T143" s="216"/>
      <c r="U143" s="216"/>
      <c r="V143" s="252"/>
      <c r="W143" s="258"/>
      <c r="X143" s="216"/>
      <c r="Y143" s="216"/>
      <c r="Z143" s="216"/>
      <c r="AA143" s="252"/>
      <c r="AB143" s="258"/>
      <c r="AC143" s="253"/>
      <c r="AD143" s="253"/>
      <c r="AE143" s="216"/>
      <c r="AF143" s="252"/>
      <c r="AG143" s="258"/>
      <c r="AH143" s="216"/>
      <c r="AI143" s="216"/>
      <c r="AJ143" s="216"/>
      <c r="AK143" s="252"/>
      <c r="AL143" s="258"/>
      <c r="AM143" s="216"/>
      <c r="AN143" s="216"/>
      <c r="AO143" s="216"/>
      <c r="AP143" s="252"/>
      <c r="AQ143" s="258"/>
      <c r="AR143" s="216"/>
      <c r="AS143" s="216"/>
      <c r="AT143" s="216"/>
      <c r="AU143" s="254"/>
      <c r="AV143" s="258"/>
      <c r="AW143" s="216"/>
      <c r="AX143" s="216"/>
      <c r="AY143" s="216"/>
      <c r="AZ143" s="254"/>
      <c r="BA143" s="258"/>
      <c r="BB143" s="265"/>
      <c r="BC143" s="216"/>
      <c r="BD143" s="216"/>
      <c r="BE143" s="254"/>
      <c r="BF143" s="258"/>
      <c r="BG143" s="216"/>
      <c r="BH143" s="216"/>
      <c r="BI143" s="216"/>
      <c r="BJ143" s="254"/>
      <c r="BK143" s="258"/>
      <c r="BL143" s="216"/>
      <c r="BM143" s="216"/>
      <c r="BN143" s="216"/>
      <c r="BO143" s="254"/>
    </row>
    <row r="144" spans="2:67" ht="18.5" collapsed="1" thickBot="1">
      <c r="B144" s="259" t="s">
        <v>323</v>
      </c>
      <c r="C144" s="261" t="s">
        <v>651</v>
      </c>
      <c r="D144" s="308" t="s">
        <v>121</v>
      </c>
      <c r="E144" s="337" t="s">
        <v>309</v>
      </c>
      <c r="F144" s="334">
        <v>45694</v>
      </c>
      <c r="G144" s="333">
        <v>45737</v>
      </c>
      <c r="H144" s="334"/>
      <c r="I144" s="334"/>
      <c r="J144" s="251"/>
      <c r="K144" s="268"/>
      <c r="L144" s="312"/>
      <c r="M144" s="268"/>
      <c r="N144" s="224"/>
      <c r="O144" s="224"/>
      <c r="P144" s="224"/>
      <c r="Q144" s="312"/>
      <c r="R144" s="258"/>
      <c r="S144" s="216"/>
      <c r="T144" s="216"/>
      <c r="U144" s="216"/>
      <c r="V144" s="252"/>
      <c r="W144" s="258"/>
      <c r="X144" s="216"/>
      <c r="Y144" s="216"/>
      <c r="Z144" s="216"/>
      <c r="AA144" s="252"/>
      <c r="AB144" s="258"/>
      <c r="AC144" s="253"/>
      <c r="AD144" s="253"/>
      <c r="AE144" s="216"/>
      <c r="AF144" s="252"/>
      <c r="AG144" s="258"/>
      <c r="AH144" s="216"/>
      <c r="AI144" s="216"/>
      <c r="AJ144" s="216"/>
      <c r="AK144" s="252"/>
      <c r="AL144" s="258"/>
      <c r="AM144" s="216"/>
      <c r="AN144" s="216"/>
      <c r="AO144" s="216"/>
      <c r="AP144" s="252"/>
      <c r="AQ144" s="258"/>
      <c r="AR144" s="216"/>
      <c r="AS144" s="216"/>
      <c r="AT144" s="216"/>
      <c r="AU144" s="254"/>
      <c r="AV144" s="258"/>
      <c r="AW144" s="216"/>
      <c r="AX144" s="216"/>
      <c r="AY144" s="216"/>
      <c r="AZ144" s="254"/>
      <c r="BA144" s="258"/>
      <c r="BB144" s="265"/>
      <c r="BC144" s="216"/>
      <c r="BD144" s="216"/>
      <c r="BE144" s="254"/>
      <c r="BF144" s="258"/>
      <c r="BG144" s="216"/>
      <c r="BH144" s="216"/>
      <c r="BI144" s="216"/>
      <c r="BJ144" s="254"/>
      <c r="BK144" s="258"/>
      <c r="BL144" s="216"/>
      <c r="BM144" s="216"/>
      <c r="BN144" s="216"/>
      <c r="BO144" s="254"/>
    </row>
    <row r="145" spans="2:67" hidden="1" outlineLevel="1">
      <c r="B145" s="90" t="s">
        <v>195</v>
      </c>
      <c r="C145" s="314" t="s">
        <v>60</v>
      </c>
      <c r="D145" s="257"/>
      <c r="E145" s="309" t="s">
        <v>309</v>
      </c>
      <c r="F145" s="344"/>
      <c r="G145" s="344"/>
      <c r="H145" s="330"/>
      <c r="I145" s="330"/>
      <c r="J145" s="251"/>
      <c r="K145" s="268"/>
      <c r="L145" s="312"/>
      <c r="M145" s="268"/>
      <c r="N145" s="224"/>
      <c r="O145" s="224"/>
      <c r="P145" s="224"/>
      <c r="Q145" s="312"/>
      <c r="R145" s="258"/>
      <c r="S145" s="216"/>
      <c r="T145" s="216"/>
      <c r="U145" s="216"/>
      <c r="V145" s="252"/>
      <c r="W145" s="258"/>
      <c r="X145" s="216"/>
      <c r="Y145" s="216"/>
      <c r="Z145" s="216"/>
      <c r="AA145" s="252"/>
      <c r="AB145" s="258"/>
      <c r="AC145" s="253"/>
      <c r="AD145" s="253"/>
      <c r="AE145" s="216"/>
      <c r="AF145" s="252"/>
      <c r="AG145" s="258"/>
      <c r="AH145" s="216"/>
      <c r="AI145" s="216"/>
      <c r="AJ145" s="216"/>
      <c r="AK145" s="252"/>
      <c r="AL145" s="258"/>
      <c r="AM145" s="216"/>
      <c r="AN145" s="216"/>
      <c r="AO145" s="216"/>
      <c r="AP145" s="252"/>
      <c r="AQ145" s="258"/>
      <c r="AR145" s="216"/>
      <c r="AS145" s="216"/>
      <c r="AT145" s="216"/>
      <c r="AU145" s="254"/>
      <c r="AV145" s="258"/>
      <c r="AW145" s="216"/>
      <c r="AX145" s="216"/>
      <c r="AY145" s="216"/>
      <c r="AZ145" s="254"/>
      <c r="BA145" s="258"/>
      <c r="BB145" s="265"/>
      <c r="BC145" s="216"/>
      <c r="BD145" s="216"/>
      <c r="BE145" s="254"/>
      <c r="BF145" s="258"/>
      <c r="BG145" s="216"/>
      <c r="BH145" s="216"/>
      <c r="BI145" s="216"/>
      <c r="BJ145" s="254"/>
      <c r="BK145" s="258"/>
      <c r="BL145" s="216"/>
      <c r="BM145" s="216"/>
      <c r="BN145" s="216"/>
      <c r="BO145" s="254"/>
    </row>
    <row r="146" spans="2:67" hidden="1" outlineLevel="1">
      <c r="B146" s="124" t="s">
        <v>652</v>
      </c>
      <c r="C146" s="307" t="s">
        <v>61</v>
      </c>
      <c r="D146" s="306"/>
      <c r="E146" s="309" t="s">
        <v>309</v>
      </c>
      <c r="F146" s="345"/>
      <c r="G146" s="345"/>
      <c r="H146" s="330"/>
      <c r="I146" s="330"/>
      <c r="J146" s="251"/>
      <c r="K146" s="268"/>
      <c r="L146" s="312"/>
      <c r="M146" s="268"/>
      <c r="N146" s="224"/>
      <c r="O146" s="224"/>
      <c r="P146" s="224"/>
      <c r="Q146" s="312"/>
      <c r="R146" s="258"/>
      <c r="S146" s="216"/>
      <c r="T146" s="216"/>
      <c r="U146" s="216"/>
      <c r="V146" s="252"/>
      <c r="W146" s="258"/>
      <c r="X146" s="216"/>
      <c r="Y146" s="216"/>
      <c r="Z146" s="216"/>
      <c r="AA146" s="252"/>
      <c r="AB146" s="258"/>
      <c r="AC146" s="253"/>
      <c r="AD146" s="253"/>
      <c r="AE146" s="216"/>
      <c r="AF146" s="252"/>
      <c r="AG146" s="258"/>
      <c r="AH146" s="216"/>
      <c r="AI146" s="216"/>
      <c r="AJ146" s="216"/>
      <c r="AK146" s="252"/>
      <c r="AL146" s="258"/>
      <c r="AM146" s="216"/>
      <c r="AN146" s="216"/>
      <c r="AO146" s="216"/>
      <c r="AP146" s="252"/>
      <c r="AQ146" s="258"/>
      <c r="AR146" s="216"/>
      <c r="AS146" s="216"/>
      <c r="AT146" s="216"/>
      <c r="AU146" s="254"/>
      <c r="AV146" s="258"/>
      <c r="AW146" s="216"/>
      <c r="AX146" s="216"/>
      <c r="AY146" s="216"/>
      <c r="AZ146" s="254"/>
      <c r="BA146" s="258"/>
      <c r="BB146" s="265"/>
      <c r="BC146" s="216"/>
      <c r="BD146" s="216"/>
      <c r="BE146" s="254"/>
      <c r="BF146" s="258"/>
      <c r="BG146" s="216"/>
      <c r="BH146" s="216"/>
      <c r="BI146" s="216"/>
      <c r="BJ146" s="254"/>
      <c r="BK146" s="258"/>
      <c r="BL146" s="216"/>
      <c r="BM146" s="216"/>
      <c r="BN146" s="216"/>
      <c r="BO146" s="254"/>
    </row>
    <row r="147" spans="2:67" hidden="1" outlineLevel="1">
      <c r="B147" s="90" t="s">
        <v>653</v>
      </c>
      <c r="C147" s="314" t="s">
        <v>57</v>
      </c>
      <c r="D147" s="257"/>
      <c r="E147" s="309" t="s">
        <v>309</v>
      </c>
      <c r="F147" s="344"/>
      <c r="G147" s="344"/>
      <c r="H147" s="330"/>
      <c r="I147" s="330"/>
      <c r="J147" s="251"/>
      <c r="K147" s="268"/>
      <c r="L147" s="312"/>
      <c r="M147" s="268"/>
      <c r="N147" s="224"/>
      <c r="O147" s="224"/>
      <c r="P147" s="224"/>
      <c r="Q147" s="312"/>
      <c r="R147" s="258"/>
      <c r="S147" s="216"/>
      <c r="T147" s="216"/>
      <c r="U147" s="216"/>
      <c r="V147" s="252"/>
      <c r="W147" s="258"/>
      <c r="X147" s="216"/>
      <c r="Y147" s="216"/>
      <c r="Z147" s="216"/>
      <c r="AA147" s="252"/>
      <c r="AB147" s="258"/>
      <c r="AC147" s="253"/>
      <c r="AD147" s="253"/>
      <c r="AE147" s="216"/>
      <c r="AF147" s="252"/>
      <c r="AG147" s="258"/>
      <c r="AH147" s="216"/>
      <c r="AI147" s="216"/>
      <c r="AJ147" s="216"/>
      <c r="AK147" s="252"/>
      <c r="AL147" s="258"/>
      <c r="AM147" s="216"/>
      <c r="AN147" s="216"/>
      <c r="AO147" s="216"/>
      <c r="AP147" s="252"/>
      <c r="AQ147" s="258"/>
      <c r="AR147" s="216"/>
      <c r="AS147" s="216"/>
      <c r="AT147" s="216"/>
      <c r="AU147" s="254"/>
      <c r="AV147" s="258"/>
      <c r="AW147" s="216"/>
      <c r="AX147" s="216"/>
      <c r="AY147" s="216"/>
      <c r="AZ147" s="254"/>
      <c r="BA147" s="258"/>
      <c r="BB147" s="265"/>
      <c r="BC147" s="216"/>
      <c r="BD147" s="216"/>
      <c r="BE147" s="254"/>
      <c r="BF147" s="258"/>
      <c r="BG147" s="216"/>
      <c r="BH147" s="216"/>
      <c r="BI147" s="216"/>
      <c r="BJ147" s="254"/>
      <c r="BK147" s="258"/>
      <c r="BL147" s="216"/>
      <c r="BM147" s="216"/>
      <c r="BN147" s="216"/>
      <c r="BO147" s="254"/>
    </row>
    <row r="148" spans="2:67" hidden="1" outlineLevel="1">
      <c r="B148" s="90" t="s">
        <v>654</v>
      </c>
      <c r="C148" s="314" t="s">
        <v>64</v>
      </c>
      <c r="D148" s="257"/>
      <c r="E148" s="337" t="s">
        <v>309</v>
      </c>
      <c r="F148" s="344"/>
      <c r="G148" s="344"/>
      <c r="H148" s="330"/>
      <c r="I148" s="330"/>
      <c r="J148" s="251"/>
      <c r="K148" s="268"/>
      <c r="L148" s="312"/>
      <c r="M148" s="268"/>
      <c r="N148" s="224"/>
      <c r="O148" s="224"/>
      <c r="P148" s="224"/>
      <c r="Q148" s="312"/>
      <c r="R148" s="258"/>
      <c r="S148" s="216"/>
      <c r="T148" s="216"/>
      <c r="U148" s="216"/>
      <c r="V148" s="252"/>
      <c r="W148" s="258"/>
      <c r="X148" s="216"/>
      <c r="Y148" s="216"/>
      <c r="Z148" s="216"/>
      <c r="AA148" s="252"/>
      <c r="AB148" s="258"/>
      <c r="AC148" s="253"/>
      <c r="AD148" s="253"/>
      <c r="AE148" s="216"/>
      <c r="AF148" s="252"/>
      <c r="AG148" s="258"/>
      <c r="AH148" s="216"/>
      <c r="AI148" s="216"/>
      <c r="AJ148" s="216"/>
      <c r="AK148" s="252"/>
      <c r="AL148" s="258"/>
      <c r="AM148" s="216"/>
      <c r="AN148" s="216"/>
      <c r="AO148" s="216"/>
      <c r="AP148" s="252"/>
      <c r="AQ148" s="258"/>
      <c r="AR148" s="216"/>
      <c r="AS148" s="216"/>
      <c r="AT148" s="216"/>
      <c r="AU148" s="254"/>
      <c r="AV148" s="258"/>
      <c r="AW148" s="216"/>
      <c r="AX148" s="216"/>
      <c r="AY148" s="216"/>
      <c r="AZ148" s="254"/>
      <c r="BA148" s="258"/>
      <c r="BB148" s="265"/>
      <c r="BC148" s="216"/>
      <c r="BD148" s="216"/>
      <c r="BE148" s="254"/>
      <c r="BF148" s="258"/>
      <c r="BG148" s="216"/>
      <c r="BH148" s="216"/>
      <c r="BI148" s="216"/>
      <c r="BJ148" s="254"/>
      <c r="BK148" s="258"/>
      <c r="BL148" s="216"/>
      <c r="BM148" s="216"/>
      <c r="BN148" s="216"/>
      <c r="BO148" s="254"/>
    </row>
    <row r="149" spans="2:67" ht="18.5" hidden="1" outlineLevel="1" thickBot="1">
      <c r="B149" s="90" t="s">
        <v>655</v>
      </c>
      <c r="C149" s="314" t="s">
        <v>53</v>
      </c>
      <c r="D149" s="257"/>
      <c r="E149" s="309" t="s">
        <v>309</v>
      </c>
      <c r="F149" s="344"/>
      <c r="G149" s="344"/>
      <c r="H149" s="330"/>
      <c r="I149" s="330"/>
      <c r="J149" s="251"/>
      <c r="K149" s="268"/>
      <c r="L149" s="312"/>
      <c r="M149" s="268"/>
      <c r="N149" s="224"/>
      <c r="O149" s="224"/>
      <c r="P149" s="224"/>
      <c r="Q149" s="312"/>
      <c r="R149" s="258"/>
      <c r="S149" s="216"/>
      <c r="T149" s="216"/>
      <c r="U149" s="216"/>
      <c r="V149" s="252"/>
      <c r="W149" s="258"/>
      <c r="X149" s="216"/>
      <c r="Y149" s="216"/>
      <c r="Z149" s="216"/>
      <c r="AA149" s="252"/>
      <c r="AB149" s="258"/>
      <c r="AC149" s="253"/>
      <c r="AD149" s="253"/>
      <c r="AE149" s="216"/>
      <c r="AF149" s="252"/>
      <c r="AG149" s="258"/>
      <c r="AH149" s="216"/>
      <c r="AI149" s="216"/>
      <c r="AJ149" s="216"/>
      <c r="AK149" s="252"/>
      <c r="AL149" s="258"/>
      <c r="AM149" s="216"/>
      <c r="AN149" s="216"/>
      <c r="AO149" s="216"/>
      <c r="AP149" s="252"/>
      <c r="AQ149" s="258"/>
      <c r="AR149" s="216"/>
      <c r="AS149" s="216"/>
      <c r="AT149" s="216"/>
      <c r="AU149" s="254"/>
      <c r="AV149" s="258"/>
      <c r="AW149" s="216"/>
      <c r="AX149" s="216"/>
      <c r="AY149" s="216"/>
      <c r="AZ149" s="254"/>
      <c r="BA149" s="258"/>
      <c r="BB149" s="265"/>
      <c r="BC149" s="216"/>
      <c r="BD149" s="216"/>
      <c r="BE149" s="254"/>
      <c r="BF149" s="258"/>
      <c r="BG149" s="216"/>
      <c r="BH149" s="216"/>
      <c r="BI149" s="216"/>
      <c r="BJ149" s="254"/>
      <c r="BK149" s="258"/>
      <c r="BL149" s="216"/>
      <c r="BM149" s="216"/>
      <c r="BN149" s="216"/>
      <c r="BO149" s="254"/>
    </row>
    <row r="150" spans="2:67" ht="3.75" customHeight="1" collapsed="1" thickBot="1">
      <c r="B150" s="248"/>
      <c r="C150" s="249"/>
      <c r="D150" s="260"/>
      <c r="E150" s="260"/>
      <c r="F150" s="335"/>
      <c r="G150" s="335"/>
      <c r="H150" s="335"/>
      <c r="I150" s="335"/>
      <c r="J150" s="249"/>
      <c r="K150" s="250"/>
      <c r="L150" s="250"/>
      <c r="M150" s="250"/>
      <c r="N150" s="250"/>
      <c r="O150" s="250"/>
      <c r="P150" s="250"/>
      <c r="Q150" s="250"/>
      <c r="R150" s="250"/>
      <c r="S150" s="250"/>
      <c r="T150" s="250"/>
      <c r="U150" s="250"/>
      <c r="V150" s="250"/>
      <c r="W150" s="250"/>
      <c r="X150" s="250"/>
      <c r="Y150" s="250"/>
      <c r="Z150" s="250"/>
      <c r="AA150" s="250"/>
      <c r="AB150" s="250"/>
      <c r="AC150" s="250"/>
      <c r="AD150" s="250"/>
      <c r="AE150" s="250"/>
      <c r="AF150" s="250"/>
      <c r="AG150" s="250"/>
      <c r="AH150" s="250"/>
      <c r="AI150" s="250"/>
      <c r="AJ150" s="250"/>
      <c r="AK150" s="250"/>
      <c r="AL150" s="250"/>
      <c r="AM150" s="250"/>
      <c r="AN150" s="250"/>
      <c r="AO150" s="250"/>
      <c r="AP150" s="250"/>
      <c r="AQ150" s="250"/>
      <c r="AR150" s="250"/>
      <c r="AS150" s="250"/>
      <c r="AT150" s="250"/>
      <c r="AU150" s="250"/>
      <c r="AV150" s="250"/>
      <c r="AW150" s="250"/>
      <c r="AX150" s="250"/>
      <c r="AY150" s="250"/>
      <c r="AZ150" s="250"/>
      <c r="BA150" s="250"/>
      <c r="BB150" s="250"/>
      <c r="BC150" s="250"/>
      <c r="BD150" s="250"/>
      <c r="BE150" s="250"/>
      <c r="BF150" s="250"/>
      <c r="BG150" s="250"/>
      <c r="BH150" s="250"/>
      <c r="BI150" s="250"/>
      <c r="BJ150" s="250"/>
      <c r="BK150" s="250"/>
      <c r="BL150" s="250"/>
      <c r="BM150" s="250"/>
      <c r="BN150" s="250"/>
      <c r="BO150" s="250"/>
    </row>
    <row r="151" spans="2:67">
      <c r="B151" s="320" t="s">
        <v>241</v>
      </c>
      <c r="C151" s="320" t="s">
        <v>553</v>
      </c>
      <c r="D151" s="322"/>
      <c r="E151" s="329"/>
      <c r="F151" s="332"/>
      <c r="G151" s="332"/>
      <c r="H151" s="332"/>
      <c r="I151" s="332"/>
      <c r="J151" s="251"/>
      <c r="K151" s="323"/>
      <c r="L151" s="324"/>
      <c r="M151" s="323"/>
      <c r="N151" s="325"/>
      <c r="O151" s="325"/>
      <c r="P151" s="325"/>
      <c r="Q151" s="326"/>
      <c r="R151" s="323"/>
      <c r="S151" s="325"/>
      <c r="T151" s="325"/>
      <c r="U151" s="325"/>
      <c r="V151" s="326"/>
      <c r="W151" s="323"/>
      <c r="X151" s="325"/>
      <c r="Y151" s="325"/>
      <c r="Z151" s="325"/>
      <c r="AA151" s="326"/>
      <c r="AB151" s="323"/>
      <c r="AC151" s="327"/>
      <c r="AD151" s="327"/>
      <c r="AE151" s="325"/>
      <c r="AF151" s="326"/>
      <c r="AG151" s="323"/>
      <c r="AH151" s="325"/>
      <c r="AI151" s="325"/>
      <c r="AJ151" s="325"/>
      <c r="AK151" s="326"/>
      <c r="AL151" s="323"/>
      <c r="AM151" s="325"/>
      <c r="AN151" s="325"/>
      <c r="AO151" s="325"/>
      <c r="AP151" s="326"/>
      <c r="AQ151" s="323"/>
      <c r="AR151" s="325"/>
      <c r="AS151" s="325"/>
      <c r="AT151" s="325"/>
      <c r="AU151" s="328"/>
      <c r="AV151" s="323"/>
      <c r="AW151" s="325"/>
      <c r="AX151" s="325"/>
      <c r="AY151" s="325"/>
      <c r="AZ151" s="328"/>
      <c r="BA151" s="323"/>
      <c r="BB151" s="265"/>
      <c r="BC151" s="325"/>
      <c r="BD151" s="325"/>
      <c r="BE151" s="328"/>
      <c r="BF151" s="323"/>
      <c r="BG151" s="325"/>
      <c r="BH151" s="325"/>
      <c r="BI151" s="325"/>
      <c r="BJ151" s="328"/>
      <c r="BK151" s="323"/>
      <c r="BL151" s="325"/>
      <c r="BM151" s="325"/>
      <c r="BN151" s="325"/>
      <c r="BO151" s="328"/>
    </row>
    <row r="152" spans="2:67">
      <c r="B152" s="259" t="s">
        <v>536</v>
      </c>
      <c r="C152" s="259" t="s">
        <v>530</v>
      </c>
      <c r="D152" s="308" t="s">
        <v>121</v>
      </c>
      <c r="E152" s="309" t="s">
        <v>309</v>
      </c>
      <c r="F152" s="334">
        <v>45694</v>
      </c>
      <c r="G152" s="334">
        <v>45730</v>
      </c>
      <c r="H152" s="334"/>
      <c r="I152" s="333"/>
      <c r="J152" s="251"/>
      <c r="K152" s="268"/>
      <c r="L152" s="319"/>
      <c r="M152" s="313"/>
      <c r="N152" s="224"/>
      <c r="O152" s="224"/>
      <c r="P152" s="224"/>
      <c r="Q152" s="312"/>
      <c r="R152" s="258"/>
      <c r="S152" s="216"/>
      <c r="T152" s="216"/>
      <c r="U152" s="216"/>
      <c r="V152" s="252"/>
      <c r="W152" s="258"/>
      <c r="X152" s="216"/>
      <c r="Y152" s="216"/>
      <c r="Z152" s="216"/>
      <c r="AA152" s="252"/>
      <c r="AB152" s="258"/>
      <c r="AC152" s="253"/>
      <c r="AD152" s="253"/>
      <c r="AE152" s="216"/>
      <c r="AF152" s="252"/>
      <c r="AG152" s="258"/>
      <c r="AH152" s="216"/>
      <c r="AI152" s="216"/>
      <c r="AJ152" s="216"/>
      <c r="AK152" s="252"/>
      <c r="AL152" s="258"/>
      <c r="AM152" s="216"/>
      <c r="AN152" s="216"/>
      <c r="AO152" s="216"/>
      <c r="AP152" s="252"/>
      <c r="AQ152" s="258"/>
      <c r="AR152" s="216"/>
      <c r="AS152" s="216"/>
      <c r="AT152" s="216"/>
      <c r="AU152" s="254"/>
      <c r="AV152" s="258"/>
      <c r="AW152" s="216"/>
      <c r="AX152" s="216"/>
      <c r="AY152" s="216"/>
      <c r="AZ152" s="254"/>
      <c r="BA152" s="258"/>
      <c r="BB152" s="265"/>
      <c r="BC152" s="216"/>
      <c r="BD152" s="216"/>
      <c r="BE152" s="254"/>
      <c r="BF152" s="258"/>
      <c r="BG152" s="216"/>
      <c r="BH152" s="216"/>
      <c r="BI152" s="216"/>
      <c r="BJ152" s="336" t="s">
        <v>314</v>
      </c>
      <c r="BK152" s="258"/>
      <c r="BL152" s="216"/>
      <c r="BM152" s="216"/>
      <c r="BN152" s="216"/>
      <c r="BO152" s="254"/>
    </row>
    <row r="153" spans="2:67" hidden="1" outlineLevel="1">
      <c r="B153" s="90" t="s">
        <v>537</v>
      </c>
      <c r="C153" s="314" t="s">
        <v>116</v>
      </c>
      <c r="D153" s="257"/>
      <c r="E153" s="309" t="s">
        <v>309</v>
      </c>
      <c r="F153" s="344"/>
      <c r="G153" s="344"/>
      <c r="H153" s="334"/>
      <c r="I153" s="334"/>
      <c r="J153" s="251"/>
      <c r="K153" s="268"/>
      <c r="L153" s="319"/>
      <c r="M153" s="313"/>
      <c r="N153" s="224"/>
      <c r="O153" s="224"/>
      <c r="P153" s="224"/>
      <c r="Q153" s="312"/>
      <c r="R153" s="258"/>
      <c r="S153" s="216"/>
      <c r="T153" s="216"/>
      <c r="U153" s="216"/>
      <c r="V153" s="252"/>
      <c r="W153" s="258"/>
      <c r="X153" s="216"/>
      <c r="Y153" s="216"/>
      <c r="Z153" s="216"/>
      <c r="AA153" s="252"/>
      <c r="AB153" s="258"/>
      <c r="AC153" s="253"/>
      <c r="AD153" s="253"/>
      <c r="AE153" s="216"/>
      <c r="AF153" s="252"/>
      <c r="AG153" s="258"/>
      <c r="AH153" s="216"/>
      <c r="AI153" s="216"/>
      <c r="AJ153" s="216"/>
      <c r="AK153" s="252"/>
      <c r="AL153" s="258"/>
      <c r="AM153" s="216"/>
      <c r="AN153" s="216"/>
      <c r="AO153" s="216"/>
      <c r="AP153" s="252"/>
      <c r="AQ153" s="258"/>
      <c r="AR153" s="216"/>
      <c r="AS153" s="216"/>
      <c r="AT153" s="216"/>
      <c r="AU153" s="254"/>
      <c r="AV153" s="258"/>
      <c r="AW153" s="216"/>
      <c r="AX153" s="216"/>
      <c r="AY153" s="216"/>
      <c r="AZ153" s="254"/>
      <c r="BA153" s="258"/>
      <c r="BB153" s="265"/>
      <c r="BC153" s="216"/>
      <c r="BD153" s="216"/>
      <c r="BE153" s="254"/>
      <c r="BF153" s="258"/>
      <c r="BG153" s="216"/>
      <c r="BH153" s="216"/>
      <c r="BI153" s="216"/>
      <c r="BJ153" s="254"/>
      <c r="BK153" s="258"/>
      <c r="BL153" s="216"/>
      <c r="BM153" s="216"/>
      <c r="BN153" s="216"/>
      <c r="BO153" s="254"/>
    </row>
    <row r="154" spans="2:67" hidden="1" outlineLevel="1">
      <c r="B154" s="90" t="s">
        <v>538</v>
      </c>
      <c r="C154" s="314" t="s">
        <v>59</v>
      </c>
      <c r="D154" s="257"/>
      <c r="E154" s="309" t="s">
        <v>309</v>
      </c>
      <c r="F154" s="344"/>
      <c r="G154" s="344"/>
      <c r="H154" s="334"/>
      <c r="I154" s="334"/>
      <c r="J154" s="251"/>
      <c r="K154" s="268"/>
      <c r="L154" s="319"/>
      <c r="M154" s="313"/>
      <c r="N154" s="224"/>
      <c r="O154" s="224"/>
      <c r="P154" s="224"/>
      <c r="Q154" s="312"/>
      <c r="R154" s="258"/>
      <c r="S154" s="216"/>
      <c r="T154" s="216"/>
      <c r="U154" s="216"/>
      <c r="V154" s="252"/>
      <c r="W154" s="258"/>
      <c r="X154" s="216"/>
      <c r="Y154" s="216"/>
      <c r="Z154" s="216"/>
      <c r="AA154" s="252"/>
      <c r="AB154" s="258"/>
      <c r="AC154" s="253"/>
      <c r="AD154" s="253"/>
      <c r="AE154" s="216"/>
      <c r="AF154" s="252"/>
      <c r="AG154" s="258"/>
      <c r="AH154" s="216"/>
      <c r="AI154" s="216"/>
      <c r="AJ154" s="216"/>
      <c r="AK154" s="252"/>
      <c r="AL154" s="258"/>
      <c r="AM154" s="216"/>
      <c r="AN154" s="216"/>
      <c r="AO154" s="216"/>
      <c r="AP154" s="252"/>
      <c r="AQ154" s="258"/>
      <c r="AR154" s="216"/>
      <c r="AS154" s="216"/>
      <c r="AT154" s="216"/>
      <c r="AU154" s="254"/>
      <c r="AV154" s="258"/>
      <c r="AW154" s="216"/>
      <c r="AX154" s="216"/>
      <c r="AY154" s="216"/>
      <c r="AZ154" s="254"/>
      <c r="BA154" s="258"/>
      <c r="BB154" s="265"/>
      <c r="BC154" s="216"/>
      <c r="BD154" s="216"/>
      <c r="BE154" s="254"/>
      <c r="BF154" s="258"/>
      <c r="BG154" s="216"/>
      <c r="BH154" s="216"/>
      <c r="BI154" s="216"/>
      <c r="BJ154" s="254"/>
      <c r="BK154" s="258"/>
      <c r="BL154" s="216"/>
      <c r="BM154" s="216"/>
      <c r="BN154" s="216"/>
      <c r="BO154" s="254"/>
    </row>
    <row r="155" spans="2:67" hidden="1" outlineLevel="1">
      <c r="B155" s="90" t="s">
        <v>539</v>
      </c>
      <c r="C155" s="314" t="s">
        <v>51</v>
      </c>
      <c r="D155" s="257"/>
      <c r="E155" s="309" t="s">
        <v>309</v>
      </c>
      <c r="F155" s="344"/>
      <c r="G155" s="344"/>
      <c r="H155" s="334"/>
      <c r="I155" s="334"/>
      <c r="J155" s="251"/>
      <c r="K155" s="268"/>
      <c r="L155" s="319"/>
      <c r="M155" s="313"/>
      <c r="N155" s="224"/>
      <c r="O155" s="224"/>
      <c r="P155" s="224"/>
      <c r="Q155" s="312"/>
      <c r="R155" s="258"/>
      <c r="S155" s="216"/>
      <c r="T155" s="216"/>
      <c r="U155" s="216"/>
      <c r="V155" s="252"/>
      <c r="W155" s="258"/>
      <c r="X155" s="216"/>
      <c r="Y155" s="216"/>
      <c r="Z155" s="216"/>
      <c r="AA155" s="252"/>
      <c r="AB155" s="258"/>
      <c r="AC155" s="253"/>
      <c r="AD155" s="253"/>
      <c r="AE155" s="216"/>
      <c r="AF155" s="252"/>
      <c r="AG155" s="258"/>
      <c r="AH155" s="216"/>
      <c r="AI155" s="216"/>
      <c r="AJ155" s="216"/>
      <c r="AK155" s="252"/>
      <c r="AL155" s="258"/>
      <c r="AM155" s="216"/>
      <c r="AN155" s="216"/>
      <c r="AO155" s="216"/>
      <c r="AP155" s="252"/>
      <c r="AQ155" s="258"/>
      <c r="AR155" s="216"/>
      <c r="AS155" s="216"/>
      <c r="AT155" s="216"/>
      <c r="AU155" s="254"/>
      <c r="AV155" s="258"/>
      <c r="AW155" s="216"/>
      <c r="AX155" s="216"/>
      <c r="AY155" s="216"/>
      <c r="AZ155" s="254"/>
      <c r="BA155" s="258"/>
      <c r="BB155" s="265"/>
      <c r="BC155" s="216"/>
      <c r="BD155" s="216"/>
      <c r="BE155" s="254"/>
      <c r="BF155" s="258"/>
      <c r="BG155" s="216"/>
      <c r="BH155" s="216"/>
      <c r="BI155" s="216"/>
      <c r="BJ155" s="254"/>
      <c r="BK155" s="258"/>
      <c r="BL155" s="216"/>
      <c r="BM155" s="216"/>
      <c r="BN155" s="216"/>
      <c r="BO155" s="254"/>
    </row>
    <row r="156" spans="2:67" hidden="1" outlineLevel="1">
      <c r="B156" s="90" t="s">
        <v>540</v>
      </c>
      <c r="C156" s="314" t="s">
        <v>52</v>
      </c>
      <c r="D156" s="342"/>
      <c r="E156" s="309" t="s">
        <v>309</v>
      </c>
      <c r="F156" s="344"/>
      <c r="G156" s="344"/>
      <c r="H156" s="334"/>
      <c r="I156" s="334"/>
      <c r="J156" s="251"/>
      <c r="K156" s="268"/>
      <c r="L156" s="312"/>
      <c r="M156" s="268"/>
      <c r="N156" s="224"/>
      <c r="O156" s="224"/>
      <c r="P156" s="224"/>
      <c r="Q156" s="312"/>
      <c r="R156" s="258"/>
      <c r="S156" s="216"/>
      <c r="T156" s="216"/>
      <c r="U156" s="216"/>
      <c r="V156" s="252"/>
      <c r="W156" s="268"/>
      <c r="X156" s="216"/>
      <c r="Y156" s="216"/>
      <c r="Z156" s="216"/>
      <c r="AA156" s="252"/>
      <c r="AB156" s="268"/>
      <c r="AC156" s="253"/>
      <c r="AD156" s="253"/>
      <c r="AE156" s="216"/>
      <c r="AF156" s="252"/>
      <c r="AG156" s="268"/>
      <c r="AH156" s="216"/>
      <c r="AI156" s="216"/>
      <c r="AJ156" s="216"/>
      <c r="AK156" s="252"/>
      <c r="AL156" s="268"/>
      <c r="AM156" s="216"/>
      <c r="AN156" s="216"/>
      <c r="AO156" s="216"/>
      <c r="AP156" s="252"/>
      <c r="AQ156" s="268"/>
      <c r="AR156" s="216"/>
      <c r="AS156" s="216"/>
      <c r="AT156" s="216"/>
      <c r="AU156" s="254"/>
      <c r="AV156" s="268"/>
      <c r="AW156" s="216"/>
      <c r="AX156" s="216"/>
      <c r="AY156" s="216"/>
      <c r="AZ156" s="254"/>
      <c r="BA156" s="268"/>
      <c r="BB156" s="265"/>
      <c r="BC156" s="216"/>
      <c r="BD156" s="216"/>
      <c r="BE156" s="254"/>
      <c r="BF156" s="268"/>
      <c r="BG156" s="216"/>
      <c r="BH156" s="216"/>
      <c r="BI156" s="216"/>
      <c r="BJ156" s="254"/>
      <c r="BK156" s="268"/>
      <c r="BL156" s="216"/>
      <c r="BM156" s="216"/>
      <c r="BN156" s="216"/>
      <c r="BO156" s="254"/>
    </row>
    <row r="157" spans="2:67" hidden="1" outlineLevel="1">
      <c r="B157" s="90" t="s">
        <v>541</v>
      </c>
      <c r="C157" s="314" t="s">
        <v>53</v>
      </c>
      <c r="D157" s="342"/>
      <c r="E157" s="309" t="s">
        <v>309</v>
      </c>
      <c r="F157" s="344"/>
      <c r="G157" s="344"/>
      <c r="H157" s="334"/>
      <c r="I157" s="334"/>
      <c r="J157" s="251"/>
      <c r="K157" s="268"/>
      <c r="L157" s="312"/>
      <c r="M157" s="268"/>
      <c r="N157" s="224"/>
      <c r="O157" s="224"/>
      <c r="P157" s="224"/>
      <c r="Q157" s="312"/>
      <c r="R157" s="258"/>
      <c r="S157" s="216"/>
      <c r="T157" s="216"/>
      <c r="U157" s="216"/>
      <c r="V157" s="252"/>
      <c r="W157" s="268"/>
      <c r="X157" s="216"/>
      <c r="Y157" s="216"/>
      <c r="Z157" s="216"/>
      <c r="AA157" s="252"/>
      <c r="AB157" s="268"/>
      <c r="AC157" s="253"/>
      <c r="AD157" s="253"/>
      <c r="AE157" s="216"/>
      <c r="AF157" s="252"/>
      <c r="AG157" s="268"/>
      <c r="AH157" s="216"/>
      <c r="AI157" s="216"/>
      <c r="AJ157" s="216"/>
      <c r="AK157" s="252"/>
      <c r="AL157" s="268"/>
      <c r="AM157" s="216"/>
      <c r="AN157" s="216"/>
      <c r="AO157" s="216"/>
      <c r="AP157" s="252"/>
      <c r="AQ157" s="268"/>
      <c r="AR157" s="216"/>
      <c r="AS157" s="216"/>
      <c r="AT157" s="216"/>
      <c r="AU157" s="254"/>
      <c r="AV157" s="268"/>
      <c r="AW157" s="216"/>
      <c r="AX157" s="216"/>
      <c r="AY157" s="216"/>
      <c r="AZ157" s="254"/>
      <c r="BA157" s="268"/>
      <c r="BB157" s="265"/>
      <c r="BC157" s="216"/>
      <c r="BD157" s="216"/>
      <c r="BE157" s="254"/>
      <c r="BF157" s="268"/>
      <c r="BG157" s="216"/>
      <c r="BH157" s="216"/>
      <c r="BI157" s="216"/>
      <c r="BJ157" s="254"/>
      <c r="BK157" s="268"/>
      <c r="BL157" s="216"/>
      <c r="BM157" s="216"/>
      <c r="BN157" s="216"/>
      <c r="BO157" s="254"/>
    </row>
    <row r="158" spans="2:67" collapsed="1">
      <c r="B158" s="259" t="s">
        <v>542</v>
      </c>
      <c r="C158" s="261" t="s">
        <v>656</v>
      </c>
      <c r="D158" s="342" t="s">
        <v>121</v>
      </c>
      <c r="E158" s="337" t="s">
        <v>309</v>
      </c>
      <c r="F158" s="334">
        <v>45694</v>
      </c>
      <c r="G158" s="333">
        <v>45737</v>
      </c>
      <c r="H158" s="334"/>
      <c r="I158" s="334"/>
      <c r="J158" s="251"/>
      <c r="K158" s="268"/>
      <c r="L158" s="312"/>
      <c r="M158" s="268"/>
      <c r="N158" s="224"/>
      <c r="O158" s="224"/>
      <c r="P158" s="224"/>
      <c r="Q158" s="312"/>
      <c r="R158" s="258"/>
      <c r="S158" s="216"/>
      <c r="T158" s="216"/>
      <c r="U158" s="216"/>
      <c r="V158" s="252"/>
      <c r="W158" s="268"/>
      <c r="X158" s="216"/>
      <c r="Y158" s="216"/>
      <c r="Z158" s="216"/>
      <c r="AA158" s="252"/>
      <c r="AB158" s="268"/>
      <c r="AC158" s="253"/>
      <c r="AD158" s="253"/>
      <c r="AE158" s="216"/>
      <c r="AF158" s="252"/>
      <c r="AG158" s="268"/>
      <c r="AH158" s="216"/>
      <c r="AI158" s="216"/>
      <c r="AJ158" s="216"/>
      <c r="AK158" s="252"/>
      <c r="AL158" s="268"/>
      <c r="AM158" s="216"/>
      <c r="AN158" s="216"/>
      <c r="AO158" s="216"/>
      <c r="AP158" s="252"/>
      <c r="AQ158" s="268"/>
      <c r="AR158" s="216"/>
      <c r="AS158" s="216"/>
      <c r="AT158" s="216"/>
      <c r="AU158" s="254"/>
      <c r="AV158" s="268"/>
      <c r="AW158" s="216"/>
      <c r="AX158" s="216"/>
      <c r="AY158" s="216"/>
      <c r="AZ158" s="254"/>
      <c r="BA158" s="268"/>
      <c r="BB158" s="265"/>
      <c r="BC158" s="216"/>
      <c r="BD158" s="216"/>
      <c r="BE158" s="254"/>
      <c r="BF158" s="268"/>
      <c r="BG158" s="216"/>
      <c r="BH158" s="216"/>
      <c r="BI158" s="216"/>
      <c r="BJ158" s="254"/>
      <c r="BK158" s="268"/>
      <c r="BL158" s="216"/>
      <c r="BM158" s="216"/>
      <c r="BN158" s="216"/>
      <c r="BO158" s="254"/>
    </row>
    <row r="159" spans="2:67" outlineLevel="1">
      <c r="B159" s="90" t="s">
        <v>657</v>
      </c>
      <c r="C159" s="314" t="s">
        <v>116</v>
      </c>
      <c r="D159" s="257"/>
      <c r="E159" s="337" t="s">
        <v>309</v>
      </c>
      <c r="F159" s="344"/>
      <c r="G159" s="344"/>
      <c r="H159" s="344"/>
      <c r="I159" s="344"/>
      <c r="J159" s="251"/>
      <c r="K159" s="268"/>
      <c r="L159" s="319"/>
      <c r="M159" s="313"/>
      <c r="N159" s="224"/>
      <c r="O159" s="224"/>
      <c r="P159" s="224"/>
      <c r="Q159" s="312"/>
      <c r="R159" s="258"/>
      <c r="S159" s="216"/>
      <c r="T159" s="216"/>
      <c r="U159" s="216"/>
      <c r="V159" s="252"/>
      <c r="W159" s="258"/>
      <c r="X159" s="216"/>
      <c r="Y159" s="216"/>
      <c r="Z159" s="216"/>
      <c r="AA159" s="252"/>
      <c r="AB159" s="258"/>
      <c r="AC159" s="253"/>
      <c r="AD159" s="253"/>
      <c r="AE159" s="216"/>
      <c r="AF159" s="252"/>
      <c r="AG159" s="258"/>
      <c r="AH159" s="216"/>
      <c r="AI159" s="216"/>
      <c r="AJ159" s="216"/>
      <c r="AK159" s="252"/>
      <c r="AL159" s="258"/>
      <c r="AM159" s="216"/>
      <c r="AN159" s="216"/>
      <c r="AO159" s="216"/>
      <c r="AP159" s="252"/>
      <c r="AQ159" s="258"/>
      <c r="AR159" s="216"/>
      <c r="AS159" s="216"/>
      <c r="AT159" s="216"/>
      <c r="AU159" s="254"/>
      <c r="AV159" s="258"/>
      <c r="AW159" s="216"/>
      <c r="AX159" s="216"/>
      <c r="AY159" s="216"/>
      <c r="AZ159" s="254"/>
      <c r="BA159" s="258"/>
      <c r="BB159" s="265"/>
      <c r="BC159" s="216"/>
      <c r="BD159" s="216"/>
      <c r="BE159" s="254"/>
      <c r="BF159" s="258"/>
      <c r="BG159" s="216"/>
      <c r="BH159" s="216"/>
      <c r="BI159" s="216"/>
      <c r="BJ159" s="254"/>
      <c r="BK159" s="258"/>
      <c r="BL159" s="216"/>
      <c r="BM159" s="216"/>
      <c r="BN159" s="216"/>
      <c r="BO159" s="254"/>
    </row>
    <row r="160" spans="2:67" outlineLevel="1">
      <c r="B160" s="90" t="s">
        <v>658</v>
      </c>
      <c r="C160" s="314" t="s">
        <v>59</v>
      </c>
      <c r="D160" s="257"/>
      <c r="E160" s="309" t="s">
        <v>309</v>
      </c>
      <c r="F160" s="344"/>
      <c r="G160" s="344"/>
      <c r="H160" s="344"/>
      <c r="I160" s="344"/>
      <c r="J160" s="251"/>
      <c r="K160" s="268"/>
      <c r="L160" s="319"/>
      <c r="M160" s="313"/>
      <c r="N160" s="224"/>
      <c r="O160" s="224"/>
      <c r="P160" s="224"/>
      <c r="Q160" s="312"/>
      <c r="R160" s="258"/>
      <c r="S160" s="216"/>
      <c r="T160" s="216"/>
      <c r="U160" s="216"/>
      <c r="V160" s="252"/>
      <c r="W160" s="258"/>
      <c r="X160" s="216"/>
      <c r="Y160" s="216"/>
      <c r="Z160" s="216"/>
      <c r="AA160" s="252"/>
      <c r="AB160" s="258"/>
      <c r="AC160" s="253"/>
      <c r="AD160" s="253"/>
      <c r="AE160" s="216"/>
      <c r="AF160" s="252"/>
      <c r="AG160" s="258"/>
      <c r="AH160" s="216"/>
      <c r="AI160" s="216"/>
      <c r="AJ160" s="216"/>
      <c r="AK160" s="252"/>
      <c r="AL160" s="258"/>
      <c r="AM160" s="216"/>
      <c r="AN160" s="216"/>
      <c r="AO160" s="216"/>
      <c r="AP160" s="252"/>
      <c r="AQ160" s="258"/>
      <c r="AR160" s="216"/>
      <c r="AS160" s="216"/>
      <c r="AT160" s="216"/>
      <c r="AU160" s="254"/>
      <c r="AV160" s="258"/>
      <c r="AW160" s="216"/>
      <c r="AX160" s="216"/>
      <c r="AY160" s="216"/>
      <c r="AZ160" s="254"/>
      <c r="BA160" s="258"/>
      <c r="BB160" s="265"/>
      <c r="BC160" s="216"/>
      <c r="BD160" s="216"/>
      <c r="BE160" s="254"/>
      <c r="BF160" s="258"/>
      <c r="BG160" s="216"/>
      <c r="BH160" s="216"/>
      <c r="BI160" s="216"/>
      <c r="BJ160" s="254"/>
      <c r="BK160" s="258"/>
      <c r="BL160" s="216"/>
      <c r="BM160" s="216"/>
      <c r="BN160" s="216"/>
      <c r="BO160" s="254"/>
    </row>
    <row r="161" spans="2:67" outlineLevel="1">
      <c r="B161" s="90" t="s">
        <v>659</v>
      </c>
      <c r="C161" s="314" t="s">
        <v>51</v>
      </c>
      <c r="D161" s="257"/>
      <c r="E161" s="337" t="s">
        <v>309</v>
      </c>
      <c r="F161" s="344"/>
      <c r="G161" s="344"/>
      <c r="H161" s="344"/>
      <c r="I161" s="344"/>
      <c r="J161" s="251"/>
      <c r="K161" s="268"/>
      <c r="L161" s="319"/>
      <c r="M161" s="313"/>
      <c r="N161" s="224"/>
      <c r="O161" s="224"/>
      <c r="P161" s="224"/>
      <c r="Q161" s="312"/>
      <c r="R161" s="258"/>
      <c r="S161" s="216"/>
      <c r="T161" s="216"/>
      <c r="U161" s="216"/>
      <c r="V161" s="252"/>
      <c r="W161" s="258"/>
      <c r="X161" s="216"/>
      <c r="Y161" s="216"/>
      <c r="Z161" s="216"/>
      <c r="AA161" s="252"/>
      <c r="AB161" s="258"/>
      <c r="AC161" s="253"/>
      <c r="AD161" s="253"/>
      <c r="AE161" s="216"/>
      <c r="AF161" s="252"/>
      <c r="AG161" s="258"/>
      <c r="AH161" s="216"/>
      <c r="AI161" s="216"/>
      <c r="AJ161" s="216"/>
      <c r="AK161" s="252"/>
      <c r="AL161" s="258"/>
      <c r="AM161" s="216"/>
      <c r="AN161" s="216"/>
      <c r="AO161" s="216"/>
      <c r="AP161" s="252"/>
      <c r="AQ161" s="258"/>
      <c r="AR161" s="216"/>
      <c r="AS161" s="216"/>
      <c r="AT161" s="216"/>
      <c r="AU161" s="254"/>
      <c r="AV161" s="258"/>
      <c r="AW161" s="216"/>
      <c r="AX161" s="216"/>
      <c r="AY161" s="216"/>
      <c r="AZ161" s="254"/>
      <c r="BA161" s="258"/>
      <c r="BB161" s="265"/>
      <c r="BC161" s="216"/>
      <c r="BD161" s="216"/>
      <c r="BE161" s="254"/>
      <c r="BF161" s="258"/>
      <c r="BG161" s="216"/>
      <c r="BH161" s="216"/>
      <c r="BI161" s="216"/>
      <c r="BJ161" s="254"/>
      <c r="BK161" s="258"/>
      <c r="BL161" s="216"/>
      <c r="BM161" s="216"/>
      <c r="BN161" s="216"/>
      <c r="BO161" s="254"/>
    </row>
    <row r="162" spans="2:67" outlineLevel="1">
      <c r="B162" s="90" t="s">
        <v>660</v>
      </c>
      <c r="C162" s="314" t="s">
        <v>52</v>
      </c>
      <c r="D162" s="342"/>
      <c r="E162" s="309" t="s">
        <v>309</v>
      </c>
      <c r="F162" s="344"/>
      <c r="G162" s="344"/>
      <c r="H162" s="344"/>
      <c r="I162" s="344"/>
      <c r="J162" s="251"/>
      <c r="K162" s="268"/>
      <c r="L162" s="312"/>
      <c r="M162" s="268"/>
      <c r="N162" s="224"/>
      <c r="O162" s="224"/>
      <c r="P162" s="224"/>
      <c r="Q162" s="312"/>
      <c r="R162" s="258"/>
      <c r="S162" s="216"/>
      <c r="T162" s="216"/>
      <c r="U162" s="216"/>
      <c r="V162" s="252"/>
      <c r="W162" s="268"/>
      <c r="X162" s="216"/>
      <c r="Y162" s="216"/>
      <c r="Z162" s="216"/>
      <c r="AA162" s="252"/>
      <c r="AB162" s="268"/>
      <c r="AC162" s="253"/>
      <c r="AD162" s="253"/>
      <c r="AE162" s="216"/>
      <c r="AF162" s="252"/>
      <c r="AG162" s="268"/>
      <c r="AH162" s="216"/>
      <c r="AI162" s="216"/>
      <c r="AJ162" s="216"/>
      <c r="AK162" s="252"/>
      <c r="AL162" s="268"/>
      <c r="AM162" s="216"/>
      <c r="AN162" s="216"/>
      <c r="AO162" s="216"/>
      <c r="AP162" s="252"/>
      <c r="AQ162" s="268"/>
      <c r="AR162" s="216"/>
      <c r="AS162" s="216"/>
      <c r="AT162" s="216"/>
      <c r="AU162" s="254"/>
      <c r="AV162" s="268"/>
      <c r="AW162" s="216"/>
      <c r="AX162" s="216"/>
      <c r="AY162" s="216"/>
      <c r="AZ162" s="254"/>
      <c r="BA162" s="268"/>
      <c r="BB162" s="265"/>
      <c r="BC162" s="216"/>
      <c r="BD162" s="216"/>
      <c r="BE162" s="254"/>
      <c r="BF162" s="268"/>
      <c r="BG162" s="216"/>
      <c r="BH162" s="216"/>
      <c r="BI162" s="216"/>
      <c r="BJ162" s="254"/>
      <c r="BK162" s="268"/>
      <c r="BL162" s="216"/>
      <c r="BM162" s="216"/>
      <c r="BN162" s="216"/>
      <c r="BO162" s="254"/>
    </row>
    <row r="163" spans="2:67" ht="18.5" outlineLevel="1" thickBot="1">
      <c r="B163" s="90" t="s">
        <v>661</v>
      </c>
      <c r="C163" s="314" t="s">
        <v>53</v>
      </c>
      <c r="D163" s="342"/>
      <c r="E163" s="309" t="s">
        <v>309</v>
      </c>
      <c r="F163" s="344"/>
      <c r="G163" s="344"/>
      <c r="H163" s="330"/>
      <c r="I163" s="330"/>
      <c r="J163" s="251"/>
      <c r="K163" s="268"/>
      <c r="L163" s="312"/>
      <c r="M163" s="268"/>
      <c r="N163" s="224"/>
      <c r="O163" s="224"/>
      <c r="P163" s="224"/>
      <c r="Q163" s="312"/>
      <c r="R163" s="258"/>
      <c r="S163" s="216"/>
      <c r="T163" s="216"/>
      <c r="U163" s="216"/>
      <c r="V163" s="252"/>
      <c r="W163" s="268"/>
      <c r="X163" s="216"/>
      <c r="Y163" s="216"/>
      <c r="Z163" s="216"/>
      <c r="AA163" s="252"/>
      <c r="AB163" s="268"/>
      <c r="AC163" s="253"/>
      <c r="AD163" s="253"/>
      <c r="AE163" s="216"/>
      <c r="AF163" s="252"/>
      <c r="AG163" s="268"/>
      <c r="AH163" s="216"/>
      <c r="AI163" s="216"/>
      <c r="AJ163" s="216"/>
      <c r="AK163" s="252"/>
      <c r="AL163" s="268"/>
      <c r="AM163" s="216"/>
      <c r="AN163" s="216"/>
      <c r="AO163" s="216"/>
      <c r="AP163" s="252"/>
      <c r="AQ163" s="268"/>
      <c r="AR163" s="216"/>
      <c r="AS163" s="216"/>
      <c r="AT163" s="216"/>
      <c r="AU163" s="254"/>
      <c r="AV163" s="268"/>
      <c r="AW163" s="216"/>
      <c r="AX163" s="216"/>
      <c r="AY163" s="216"/>
      <c r="AZ163" s="254"/>
      <c r="BA163" s="268"/>
      <c r="BB163" s="265"/>
      <c r="BC163" s="216"/>
      <c r="BD163" s="216"/>
      <c r="BE163" s="254"/>
      <c r="BF163" s="268"/>
      <c r="BG163" s="216"/>
      <c r="BH163" s="216"/>
      <c r="BI163" s="216"/>
      <c r="BJ163" s="254"/>
      <c r="BK163" s="268"/>
      <c r="BL163" s="216"/>
      <c r="BM163" s="216"/>
      <c r="BN163" s="216"/>
      <c r="BO163" s="254"/>
    </row>
    <row r="164" spans="2:67" ht="3.75" customHeight="1" thickBot="1">
      <c r="B164" s="248"/>
      <c r="C164" s="249"/>
      <c r="D164" s="260"/>
      <c r="E164" s="260"/>
      <c r="F164" s="335"/>
      <c r="G164" s="335"/>
      <c r="H164" s="335"/>
      <c r="I164" s="335"/>
      <c r="J164" s="249"/>
      <c r="K164" s="250"/>
      <c r="L164" s="250"/>
      <c r="M164" s="250"/>
      <c r="N164" s="250"/>
      <c r="O164" s="250"/>
      <c r="P164" s="250"/>
      <c r="Q164" s="250"/>
      <c r="R164" s="250"/>
      <c r="S164" s="250"/>
      <c r="T164" s="250"/>
      <c r="U164" s="250"/>
      <c r="V164" s="250"/>
      <c r="W164" s="250"/>
      <c r="X164" s="250"/>
      <c r="Y164" s="250"/>
      <c r="Z164" s="250"/>
      <c r="AA164" s="250"/>
      <c r="AB164" s="250"/>
      <c r="AC164" s="250"/>
      <c r="AD164" s="250"/>
      <c r="AE164" s="250"/>
      <c r="AF164" s="250"/>
      <c r="AG164" s="250"/>
      <c r="AH164" s="250"/>
      <c r="AI164" s="250"/>
      <c r="AJ164" s="250"/>
      <c r="AK164" s="250"/>
      <c r="AL164" s="250"/>
      <c r="AM164" s="250"/>
      <c r="AN164" s="250"/>
      <c r="AO164" s="250"/>
      <c r="AP164" s="250"/>
      <c r="AQ164" s="250"/>
      <c r="AR164" s="250"/>
      <c r="AS164" s="250"/>
      <c r="AT164" s="250"/>
      <c r="AU164" s="250"/>
      <c r="AV164" s="250"/>
      <c r="AW164" s="250"/>
      <c r="AX164" s="250"/>
      <c r="AY164" s="250"/>
      <c r="AZ164" s="250"/>
      <c r="BA164" s="250"/>
      <c r="BB164" s="250"/>
      <c r="BC164" s="250"/>
      <c r="BD164" s="250"/>
      <c r="BE164" s="250"/>
      <c r="BF164" s="250"/>
      <c r="BG164" s="250"/>
      <c r="BH164" s="250"/>
      <c r="BI164" s="250"/>
      <c r="BJ164" s="250"/>
      <c r="BK164" s="250"/>
      <c r="BL164" s="250"/>
      <c r="BM164" s="250"/>
      <c r="BN164" s="250"/>
      <c r="BO164" s="250"/>
    </row>
    <row r="165" spans="2:67">
      <c r="B165" s="320" t="s">
        <v>543</v>
      </c>
      <c r="C165" s="320" t="s">
        <v>552</v>
      </c>
      <c r="D165" s="322"/>
      <c r="E165" s="329"/>
      <c r="F165" s="332"/>
      <c r="G165" s="332"/>
      <c r="H165" s="332"/>
      <c r="I165" s="332"/>
      <c r="J165" s="251"/>
      <c r="K165" s="323"/>
      <c r="L165" s="324"/>
      <c r="M165" s="323"/>
      <c r="N165" s="325"/>
      <c r="O165" s="325"/>
      <c r="P165" s="325"/>
      <c r="Q165" s="326"/>
      <c r="R165" s="323"/>
      <c r="S165" s="325"/>
      <c r="T165" s="325"/>
      <c r="U165" s="325"/>
      <c r="V165" s="326"/>
      <c r="W165" s="323"/>
      <c r="X165" s="325"/>
      <c r="Y165" s="325"/>
      <c r="Z165" s="325"/>
      <c r="AA165" s="326"/>
      <c r="AB165" s="323"/>
      <c r="AC165" s="327"/>
      <c r="AD165" s="327"/>
      <c r="AE165" s="325"/>
      <c r="AF165" s="326"/>
      <c r="AG165" s="323"/>
      <c r="AH165" s="325"/>
      <c r="AI165" s="325"/>
      <c r="AJ165" s="325"/>
      <c r="AK165" s="326"/>
      <c r="AL165" s="323"/>
      <c r="AM165" s="325"/>
      <c r="AN165" s="325"/>
      <c r="AO165" s="325"/>
      <c r="AP165" s="326"/>
      <c r="AQ165" s="323"/>
      <c r="AR165" s="325"/>
      <c r="AS165" s="325"/>
      <c r="AT165" s="325"/>
      <c r="AU165" s="328"/>
      <c r="AV165" s="323"/>
      <c r="AW165" s="325"/>
      <c r="AX165" s="325"/>
      <c r="AY165" s="325"/>
      <c r="AZ165" s="328"/>
      <c r="BA165" s="323"/>
      <c r="BB165" s="265"/>
      <c r="BC165" s="325"/>
      <c r="BD165" s="325"/>
      <c r="BE165" s="328"/>
      <c r="BF165" s="323"/>
      <c r="BG165" s="325"/>
      <c r="BH165" s="325"/>
      <c r="BI165" s="325"/>
      <c r="BJ165" s="328"/>
      <c r="BK165" s="323"/>
      <c r="BL165" s="325"/>
      <c r="BM165" s="325"/>
      <c r="BN165" s="325"/>
      <c r="BO165" s="328"/>
    </row>
    <row r="166" spans="2:67">
      <c r="B166" s="255" t="s">
        <v>544</v>
      </c>
      <c r="C166" s="259" t="s">
        <v>588</v>
      </c>
      <c r="D166" s="308" t="s">
        <v>121</v>
      </c>
      <c r="E166" s="337" t="s">
        <v>309</v>
      </c>
      <c r="F166" s="333">
        <v>45699</v>
      </c>
      <c r="G166" s="333">
        <v>45737</v>
      </c>
      <c r="H166" s="333"/>
      <c r="I166" s="333"/>
      <c r="J166" s="251"/>
      <c r="K166" s="268"/>
      <c r="L166" s="312"/>
      <c r="M166" s="268"/>
      <c r="N166" s="224"/>
      <c r="O166" s="224"/>
      <c r="P166" s="224"/>
      <c r="Q166" s="312"/>
      <c r="R166" s="258"/>
      <c r="S166" s="216"/>
      <c r="T166" s="216"/>
      <c r="U166" s="216"/>
      <c r="V166" s="252"/>
      <c r="W166" s="258"/>
      <c r="X166" s="216"/>
      <c r="Y166" s="216"/>
      <c r="Z166" s="216"/>
      <c r="AA166" s="252"/>
      <c r="AB166" s="258"/>
      <c r="AC166" s="253"/>
      <c r="AD166" s="253"/>
      <c r="AE166" s="216"/>
      <c r="AF166" s="252"/>
      <c r="AG166" s="258"/>
      <c r="AH166" s="216"/>
      <c r="AI166" s="216"/>
      <c r="AJ166" s="216"/>
      <c r="AK166" s="252"/>
      <c r="AL166" s="258"/>
      <c r="AM166" s="216"/>
      <c r="AN166" s="216"/>
      <c r="AO166" s="216"/>
      <c r="AP166" s="252"/>
      <c r="AQ166" s="258"/>
      <c r="AR166" s="216"/>
      <c r="AS166" s="216"/>
      <c r="AT166" s="216"/>
      <c r="AU166" s="254"/>
      <c r="AV166" s="258"/>
      <c r="AW166" s="216"/>
      <c r="AX166" s="216"/>
      <c r="AY166" s="216"/>
      <c r="AZ166" s="254"/>
      <c r="BA166" s="258"/>
      <c r="BB166" s="265"/>
      <c r="BC166" s="216"/>
      <c r="BD166" s="216"/>
      <c r="BE166" s="254"/>
      <c r="BF166" s="258"/>
      <c r="BG166" s="216"/>
      <c r="BH166" s="216"/>
      <c r="BI166" s="216"/>
      <c r="BJ166" s="254"/>
      <c r="BK166" s="258"/>
      <c r="BL166" s="336"/>
      <c r="BM166" s="216"/>
      <c r="BN166" s="216"/>
      <c r="BO166" s="351" t="s">
        <v>314</v>
      </c>
    </row>
    <row r="167" spans="2:67" hidden="1" outlineLevel="1">
      <c r="B167" s="90" t="s">
        <v>545</v>
      </c>
      <c r="C167" s="314" t="s">
        <v>66</v>
      </c>
      <c r="D167" s="257"/>
      <c r="E167" s="338" t="s">
        <v>309</v>
      </c>
      <c r="F167" s="344"/>
      <c r="G167" s="344"/>
      <c r="H167" s="334"/>
      <c r="I167" s="334"/>
      <c r="J167" s="251"/>
      <c r="K167" s="268"/>
      <c r="L167" s="312"/>
      <c r="M167" s="268"/>
      <c r="N167" s="224"/>
      <c r="O167" s="224"/>
      <c r="P167" s="224"/>
      <c r="Q167" s="312"/>
      <c r="R167" s="258"/>
      <c r="S167" s="216"/>
      <c r="T167" s="216"/>
      <c r="U167" s="216"/>
      <c r="V167" s="252"/>
      <c r="W167" s="258"/>
      <c r="X167" s="216"/>
      <c r="Y167" s="216"/>
      <c r="Z167" s="216"/>
      <c r="AA167" s="252"/>
      <c r="AB167" s="258"/>
      <c r="AC167" s="253"/>
      <c r="AD167" s="253"/>
      <c r="AE167" s="216"/>
      <c r="AF167" s="252"/>
      <c r="AG167" s="258"/>
      <c r="AH167" s="216"/>
      <c r="AI167" s="216"/>
      <c r="AJ167" s="216"/>
      <c r="AK167" s="252"/>
      <c r="AL167" s="258"/>
      <c r="AM167" s="216"/>
      <c r="AN167" s="216"/>
      <c r="AO167" s="216"/>
      <c r="AP167" s="252"/>
      <c r="AQ167" s="258"/>
      <c r="AR167" s="216"/>
      <c r="AS167" s="216"/>
      <c r="AT167" s="216"/>
      <c r="AU167" s="254"/>
      <c r="AV167" s="258"/>
      <c r="AW167" s="216"/>
      <c r="AX167" s="216"/>
      <c r="AY167" s="216"/>
      <c r="AZ167" s="254"/>
      <c r="BA167" s="258"/>
      <c r="BB167" s="265"/>
      <c r="BC167" s="216"/>
      <c r="BD167" s="216"/>
      <c r="BE167" s="254"/>
      <c r="BF167" s="258"/>
      <c r="BG167" s="216"/>
      <c r="BH167" s="216"/>
      <c r="BI167" s="216"/>
      <c r="BJ167" s="254"/>
      <c r="BK167" s="258"/>
      <c r="BL167" s="216"/>
      <c r="BM167" s="216"/>
      <c r="BN167" s="216"/>
      <c r="BO167" s="254"/>
    </row>
    <row r="168" spans="2:67" hidden="1" outlineLevel="1">
      <c r="B168" s="90" t="s">
        <v>546</v>
      </c>
      <c r="C168" s="314" t="s">
        <v>400</v>
      </c>
      <c r="D168" s="257"/>
      <c r="E168" s="337" t="s">
        <v>309</v>
      </c>
      <c r="F168" s="344"/>
      <c r="G168" s="344"/>
      <c r="H168" s="334"/>
      <c r="I168" s="334"/>
      <c r="J168" s="251"/>
      <c r="K168" s="268"/>
      <c r="L168" s="312"/>
      <c r="M168" s="268"/>
      <c r="N168" s="224"/>
      <c r="O168" s="224"/>
      <c r="P168" s="224"/>
      <c r="Q168" s="312"/>
      <c r="R168" s="258"/>
      <c r="S168" s="216"/>
      <c r="T168" s="216"/>
      <c r="U168" s="216"/>
      <c r="V168" s="252"/>
      <c r="W168" s="258"/>
      <c r="X168" s="216"/>
      <c r="Y168" s="216"/>
      <c r="Z168" s="216"/>
      <c r="AA168" s="252"/>
      <c r="AB168" s="258"/>
      <c r="AC168" s="253"/>
      <c r="AD168" s="253"/>
      <c r="AE168" s="216"/>
      <c r="AF168" s="252"/>
      <c r="AG168" s="258"/>
      <c r="AH168" s="216"/>
      <c r="AI168" s="216"/>
      <c r="AJ168" s="216"/>
      <c r="AK168" s="252"/>
      <c r="AL168" s="258"/>
      <c r="AM168" s="216"/>
      <c r="AN168" s="216"/>
      <c r="AO168" s="216"/>
      <c r="AP168" s="252"/>
      <c r="AQ168" s="258"/>
      <c r="AR168" s="216"/>
      <c r="AS168" s="216"/>
      <c r="AT168" s="216"/>
      <c r="AU168" s="254"/>
      <c r="AV168" s="258"/>
      <c r="AW168" s="216"/>
      <c r="AX168" s="216"/>
      <c r="AY168" s="216"/>
      <c r="AZ168" s="254"/>
      <c r="BA168" s="258"/>
      <c r="BB168" s="265"/>
      <c r="BC168" s="216"/>
      <c r="BD168" s="216"/>
      <c r="BE168" s="254"/>
      <c r="BF168" s="258"/>
      <c r="BG168" s="216"/>
      <c r="BH168" s="216"/>
      <c r="BI168" s="216"/>
      <c r="BJ168" s="254"/>
      <c r="BK168" s="258"/>
      <c r="BL168" s="216"/>
      <c r="BM168" s="216"/>
      <c r="BN168" s="216"/>
      <c r="BO168" s="254"/>
    </row>
    <row r="169" spans="2:67" hidden="1" outlineLevel="1">
      <c r="B169" s="90" t="s">
        <v>547</v>
      </c>
      <c r="C169" s="314" t="s">
        <v>118</v>
      </c>
      <c r="D169" s="257"/>
      <c r="E169" s="337" t="s">
        <v>309</v>
      </c>
      <c r="F169" s="344"/>
      <c r="G169" s="344"/>
      <c r="H169" s="334"/>
      <c r="I169" s="334"/>
      <c r="J169" s="251"/>
      <c r="K169" s="268"/>
      <c r="L169" s="312"/>
      <c r="M169" s="268"/>
      <c r="N169" s="224"/>
      <c r="O169" s="224"/>
      <c r="P169" s="224"/>
      <c r="Q169" s="312"/>
      <c r="R169" s="258"/>
      <c r="S169" s="216"/>
      <c r="T169" s="216"/>
      <c r="U169" s="216"/>
      <c r="V169" s="252"/>
      <c r="W169" s="258"/>
      <c r="X169" s="216"/>
      <c r="Y169" s="216"/>
      <c r="Z169" s="216"/>
      <c r="AA169" s="252"/>
      <c r="AB169" s="258"/>
      <c r="AC169" s="253"/>
      <c r="AD169" s="253"/>
      <c r="AE169" s="216"/>
      <c r="AF169" s="252"/>
      <c r="AG169" s="258"/>
      <c r="AH169" s="216"/>
      <c r="AI169" s="216"/>
      <c r="AJ169" s="216"/>
      <c r="AK169" s="252"/>
      <c r="AL169" s="258"/>
      <c r="AM169" s="216"/>
      <c r="AN169" s="216"/>
      <c r="AO169" s="216"/>
      <c r="AP169" s="252"/>
      <c r="AQ169" s="258"/>
      <c r="AR169" s="216"/>
      <c r="AS169" s="216"/>
      <c r="AT169" s="216"/>
      <c r="AU169" s="254"/>
      <c r="AV169" s="258"/>
      <c r="AW169" s="216"/>
      <c r="AX169" s="216"/>
      <c r="AY169" s="216"/>
      <c r="AZ169" s="254"/>
      <c r="BA169" s="258"/>
      <c r="BB169" s="265"/>
      <c r="BC169" s="216"/>
      <c r="BD169" s="216"/>
      <c r="BE169" s="254"/>
      <c r="BF169" s="258"/>
      <c r="BG169" s="216"/>
      <c r="BH169" s="216"/>
      <c r="BI169" s="216"/>
      <c r="BJ169" s="254"/>
      <c r="BK169" s="258"/>
      <c r="BL169" s="216"/>
      <c r="BM169" s="216"/>
      <c r="BN169" s="216"/>
      <c r="BO169" s="254"/>
    </row>
    <row r="170" spans="2:67" hidden="1" outlineLevel="1">
      <c r="B170" s="90" t="s">
        <v>548</v>
      </c>
      <c r="C170" s="314" t="s">
        <v>117</v>
      </c>
      <c r="D170" s="257"/>
      <c r="E170" s="337" t="s">
        <v>309</v>
      </c>
      <c r="F170" s="344"/>
      <c r="G170" s="344"/>
      <c r="H170" s="334"/>
      <c r="I170" s="334"/>
      <c r="J170" s="251"/>
      <c r="K170" s="268"/>
      <c r="L170" s="312"/>
      <c r="M170" s="268"/>
      <c r="N170" s="224"/>
      <c r="O170" s="224"/>
      <c r="P170" s="224"/>
      <c r="Q170" s="312"/>
      <c r="R170" s="258"/>
      <c r="S170" s="216"/>
      <c r="T170" s="216"/>
      <c r="U170" s="216"/>
      <c r="V170" s="252"/>
      <c r="W170" s="258"/>
      <c r="X170" s="216"/>
      <c r="Y170" s="216"/>
      <c r="Z170" s="216"/>
      <c r="AA170" s="252"/>
      <c r="AB170" s="258"/>
      <c r="AC170" s="253"/>
      <c r="AD170" s="253"/>
      <c r="AE170" s="216"/>
      <c r="AF170" s="252"/>
      <c r="AG170" s="258"/>
      <c r="AH170" s="216"/>
      <c r="AI170" s="216"/>
      <c r="AJ170" s="216"/>
      <c r="AK170" s="252"/>
      <c r="AL170" s="258"/>
      <c r="AM170" s="216"/>
      <c r="AN170" s="216"/>
      <c r="AO170" s="216"/>
      <c r="AP170" s="252"/>
      <c r="AQ170" s="258"/>
      <c r="AR170" s="216"/>
      <c r="AS170" s="216"/>
      <c r="AT170" s="216"/>
      <c r="AU170" s="254"/>
      <c r="AV170" s="258"/>
      <c r="AW170" s="216"/>
      <c r="AX170" s="216"/>
      <c r="AY170" s="216"/>
      <c r="AZ170" s="254"/>
      <c r="BA170" s="258"/>
      <c r="BB170" s="265"/>
      <c r="BC170" s="216"/>
      <c r="BD170" s="216"/>
      <c r="BE170" s="254"/>
      <c r="BF170" s="258"/>
      <c r="BG170" s="216"/>
      <c r="BH170" s="216"/>
      <c r="BI170" s="216"/>
      <c r="BJ170" s="254"/>
      <c r="BK170" s="258"/>
      <c r="BL170" s="216"/>
      <c r="BM170" s="216"/>
      <c r="BN170" s="216"/>
      <c r="BO170" s="254"/>
    </row>
    <row r="171" spans="2:67" hidden="1" outlineLevel="1">
      <c r="B171" s="90" t="s">
        <v>669</v>
      </c>
      <c r="C171" s="314" t="s">
        <v>58</v>
      </c>
      <c r="D171" s="308"/>
      <c r="E171" s="337" t="s">
        <v>309</v>
      </c>
      <c r="F171" s="359"/>
      <c r="G171" s="359"/>
      <c r="H171" s="334"/>
      <c r="I171" s="334"/>
      <c r="J171" s="251"/>
      <c r="K171" s="268"/>
      <c r="L171" s="312"/>
      <c r="M171" s="268"/>
      <c r="N171" s="224"/>
      <c r="O171" s="224"/>
      <c r="P171" s="224"/>
      <c r="Q171" s="312"/>
      <c r="R171" s="258"/>
      <c r="S171" s="216"/>
      <c r="T171" s="216"/>
      <c r="U171" s="216"/>
      <c r="V171" s="252"/>
      <c r="W171" s="258"/>
      <c r="X171" s="216"/>
      <c r="Y171" s="216"/>
      <c r="Z171" s="216"/>
      <c r="AA171" s="252"/>
      <c r="AB171" s="258"/>
      <c r="AC171" s="253"/>
      <c r="AD171" s="253"/>
      <c r="AE171" s="216"/>
      <c r="AF171" s="252"/>
      <c r="AG171" s="258"/>
      <c r="AH171" s="216"/>
      <c r="AI171" s="216"/>
      <c r="AJ171" s="216"/>
      <c r="AK171" s="252"/>
      <c r="AL171" s="258"/>
      <c r="AM171" s="216"/>
      <c r="AN171" s="216"/>
      <c r="AO171" s="216"/>
      <c r="AP171" s="252"/>
      <c r="AQ171" s="258"/>
      <c r="AR171" s="216"/>
      <c r="AS171" s="216"/>
      <c r="AT171" s="216"/>
      <c r="AU171" s="254"/>
      <c r="AV171" s="258"/>
      <c r="AW171" s="216"/>
      <c r="AX171" s="216"/>
      <c r="AY171" s="216"/>
      <c r="AZ171" s="254"/>
      <c r="BA171" s="258"/>
      <c r="BB171" s="265"/>
      <c r="BC171" s="216"/>
      <c r="BD171" s="216"/>
      <c r="BE171" s="254"/>
      <c r="BF171" s="258"/>
      <c r="BG171" s="216"/>
      <c r="BH171" s="216"/>
      <c r="BI171" s="216"/>
      <c r="BJ171" s="254"/>
      <c r="BK171" s="258"/>
      <c r="BL171" s="216"/>
      <c r="BM171" s="216"/>
      <c r="BN171" s="216"/>
      <c r="BO171" s="254"/>
    </row>
    <row r="172" spans="2:67" ht="18.5" collapsed="1" thickBot="1">
      <c r="B172" s="255" t="s">
        <v>549</v>
      </c>
      <c r="C172" s="261" t="s">
        <v>662</v>
      </c>
      <c r="D172" s="308" t="s">
        <v>121</v>
      </c>
      <c r="E172" s="338" t="s">
        <v>309</v>
      </c>
      <c r="F172" s="333">
        <v>45699</v>
      </c>
      <c r="G172" s="333">
        <v>45737</v>
      </c>
      <c r="H172" s="334"/>
      <c r="I172" s="334"/>
      <c r="J172" s="251"/>
      <c r="K172" s="268"/>
      <c r="L172" s="312"/>
      <c r="M172" s="268"/>
      <c r="N172" s="224"/>
      <c r="O172" s="224"/>
      <c r="P172" s="224"/>
      <c r="Q172" s="312"/>
      <c r="R172" s="258"/>
      <c r="S172" s="216"/>
      <c r="T172" s="216"/>
      <c r="U172" s="216"/>
      <c r="V172" s="252"/>
      <c r="W172" s="258"/>
      <c r="X172" s="216"/>
      <c r="Y172" s="216"/>
      <c r="Z172" s="216"/>
      <c r="AA172" s="252"/>
      <c r="AB172" s="258"/>
      <c r="AC172" s="253"/>
      <c r="AD172" s="253"/>
      <c r="AE172" s="216"/>
      <c r="AF172" s="252"/>
      <c r="AG172" s="258"/>
      <c r="AH172" s="216"/>
      <c r="AI172" s="216"/>
      <c r="AJ172" s="216"/>
      <c r="AK172" s="252"/>
      <c r="AL172" s="258"/>
      <c r="AM172" s="216"/>
      <c r="AN172" s="216"/>
      <c r="AO172" s="216"/>
      <c r="AP172" s="252"/>
      <c r="AQ172" s="258"/>
      <c r="AR172" s="216"/>
      <c r="AS172" s="216"/>
      <c r="AT172" s="216"/>
      <c r="AU172" s="254"/>
      <c r="AV172" s="258"/>
      <c r="AW172" s="216"/>
      <c r="AX172" s="216"/>
      <c r="AY172" s="216"/>
      <c r="AZ172" s="254"/>
      <c r="BA172" s="258"/>
      <c r="BB172" s="265"/>
      <c r="BC172" s="216"/>
      <c r="BD172" s="216"/>
      <c r="BE172" s="254"/>
      <c r="BF172" s="258"/>
      <c r="BG172" s="216"/>
      <c r="BH172" s="216"/>
      <c r="BI172" s="216"/>
      <c r="BJ172" s="254"/>
      <c r="BK172" s="258"/>
      <c r="BL172" s="216"/>
      <c r="BM172" s="216"/>
      <c r="BN172" s="216"/>
      <c r="BO172" s="254"/>
    </row>
    <row r="173" spans="2:67" hidden="1" outlineLevel="1">
      <c r="B173" s="90" t="s">
        <v>663</v>
      </c>
      <c r="C173" s="314" t="s">
        <v>66</v>
      </c>
      <c r="D173" s="257"/>
      <c r="E173" s="338" t="s">
        <v>309</v>
      </c>
      <c r="F173" s="344"/>
      <c r="G173" s="344"/>
      <c r="H173" s="330"/>
      <c r="I173" s="330"/>
      <c r="J173" s="251"/>
      <c r="K173" s="268"/>
      <c r="L173" s="312"/>
      <c r="M173" s="268"/>
      <c r="N173" s="224"/>
      <c r="O173" s="224"/>
      <c r="P173" s="224"/>
      <c r="Q173" s="312"/>
      <c r="R173" s="258"/>
      <c r="S173" s="216"/>
      <c r="T173" s="216"/>
      <c r="U173" s="216"/>
      <c r="V173" s="252"/>
      <c r="W173" s="258"/>
      <c r="X173" s="216"/>
      <c r="Y173" s="216"/>
      <c r="Z173" s="216"/>
      <c r="AA173" s="252"/>
      <c r="AB173" s="258"/>
      <c r="AC173" s="253"/>
      <c r="AD173" s="253"/>
      <c r="AE173" s="216"/>
      <c r="AF173" s="252"/>
      <c r="AG173" s="258"/>
      <c r="AH173" s="216"/>
      <c r="AI173" s="216"/>
      <c r="AJ173" s="216"/>
      <c r="AK173" s="252"/>
      <c r="AL173" s="258"/>
      <c r="AM173" s="216"/>
      <c r="AN173" s="216"/>
      <c r="AO173" s="216"/>
      <c r="AP173" s="252"/>
      <c r="AQ173" s="258"/>
      <c r="AR173" s="216"/>
      <c r="AS173" s="216"/>
      <c r="AT173" s="216"/>
      <c r="AU173" s="254"/>
      <c r="AV173" s="258"/>
      <c r="AW173" s="216"/>
      <c r="AX173" s="216"/>
      <c r="AY173" s="216"/>
      <c r="AZ173" s="254"/>
      <c r="BA173" s="258"/>
      <c r="BB173" s="265"/>
      <c r="BC173" s="216"/>
      <c r="BD173" s="216"/>
      <c r="BE173" s="254"/>
      <c r="BF173" s="258"/>
      <c r="BG173" s="216"/>
      <c r="BH173" s="216"/>
      <c r="BI173" s="216"/>
      <c r="BJ173" s="254"/>
      <c r="BK173" s="258"/>
      <c r="BL173" s="216"/>
      <c r="BM173" s="216"/>
      <c r="BN173" s="216"/>
      <c r="BO173" s="254"/>
    </row>
    <row r="174" spans="2:67" hidden="1" outlineLevel="1">
      <c r="B174" s="90" t="s">
        <v>664</v>
      </c>
      <c r="C174" s="314" t="s">
        <v>400</v>
      </c>
      <c r="D174" s="257"/>
      <c r="E174" s="338" t="s">
        <v>309</v>
      </c>
      <c r="F174" s="344"/>
      <c r="G174" s="344"/>
      <c r="H174" s="330"/>
      <c r="I174" s="330"/>
      <c r="J174" s="251"/>
      <c r="K174" s="268"/>
      <c r="L174" s="312"/>
      <c r="M174" s="268"/>
      <c r="N174" s="224"/>
      <c r="O174" s="224"/>
      <c r="P174" s="224"/>
      <c r="Q174" s="312"/>
      <c r="R174" s="258"/>
      <c r="S174" s="216"/>
      <c r="T174" s="216"/>
      <c r="U174" s="216"/>
      <c r="V174" s="252"/>
      <c r="W174" s="258"/>
      <c r="X174" s="216"/>
      <c r="Y174" s="216"/>
      <c r="Z174" s="216"/>
      <c r="AA174" s="252"/>
      <c r="AB174" s="258"/>
      <c r="AC174" s="253"/>
      <c r="AD174" s="253"/>
      <c r="AE174" s="216"/>
      <c r="AF174" s="252"/>
      <c r="AG174" s="258"/>
      <c r="AH174" s="216"/>
      <c r="AI174" s="216"/>
      <c r="AJ174" s="216"/>
      <c r="AK174" s="252"/>
      <c r="AL174" s="258"/>
      <c r="AM174" s="216"/>
      <c r="AN174" s="216"/>
      <c r="AO174" s="216"/>
      <c r="AP174" s="252"/>
      <c r="AQ174" s="258"/>
      <c r="AR174" s="216"/>
      <c r="AS174" s="216"/>
      <c r="AT174" s="216"/>
      <c r="AU174" s="254"/>
      <c r="AV174" s="258"/>
      <c r="AW174" s="216"/>
      <c r="AX174" s="216"/>
      <c r="AY174" s="216"/>
      <c r="AZ174" s="254"/>
      <c r="BA174" s="258"/>
      <c r="BB174" s="265"/>
      <c r="BC174" s="216"/>
      <c r="BD174" s="216"/>
      <c r="BE174" s="254"/>
      <c r="BF174" s="258"/>
      <c r="BG174" s="216"/>
      <c r="BH174" s="216"/>
      <c r="BI174" s="216"/>
      <c r="BJ174" s="254"/>
      <c r="BK174" s="258"/>
      <c r="BL174" s="216"/>
      <c r="BM174" s="216"/>
      <c r="BN174" s="216"/>
      <c r="BO174" s="254"/>
    </row>
    <row r="175" spans="2:67" hidden="1" outlineLevel="1">
      <c r="B175" s="90" t="s">
        <v>665</v>
      </c>
      <c r="C175" s="314" t="s">
        <v>118</v>
      </c>
      <c r="D175" s="257"/>
      <c r="E175" s="338" t="s">
        <v>309</v>
      </c>
      <c r="F175" s="344"/>
      <c r="G175" s="344"/>
      <c r="H175" s="330"/>
      <c r="I175" s="330"/>
      <c r="J175" s="251"/>
      <c r="K175" s="268"/>
      <c r="L175" s="312"/>
      <c r="M175" s="268"/>
      <c r="N175" s="224"/>
      <c r="O175" s="224"/>
      <c r="P175" s="224"/>
      <c r="Q175" s="312"/>
      <c r="R175" s="258"/>
      <c r="S175" s="216"/>
      <c r="T175" s="216"/>
      <c r="U175" s="216"/>
      <c r="V175" s="252"/>
      <c r="W175" s="258"/>
      <c r="X175" s="216"/>
      <c r="Y175" s="216"/>
      <c r="Z175" s="216"/>
      <c r="AA175" s="252"/>
      <c r="AB175" s="258"/>
      <c r="AC175" s="253"/>
      <c r="AD175" s="253"/>
      <c r="AE175" s="216"/>
      <c r="AF175" s="252"/>
      <c r="AG175" s="258"/>
      <c r="AH175" s="216"/>
      <c r="AI175" s="216"/>
      <c r="AJ175" s="216"/>
      <c r="AK175" s="252"/>
      <c r="AL175" s="258"/>
      <c r="AM175" s="216"/>
      <c r="AN175" s="216"/>
      <c r="AO175" s="216"/>
      <c r="AP175" s="252"/>
      <c r="AQ175" s="258"/>
      <c r="AR175" s="216"/>
      <c r="AS175" s="216"/>
      <c r="AT175" s="216"/>
      <c r="AU175" s="254"/>
      <c r="AV175" s="258"/>
      <c r="AW175" s="216"/>
      <c r="AX175" s="216"/>
      <c r="AY175" s="216"/>
      <c r="AZ175" s="254"/>
      <c r="BA175" s="258"/>
      <c r="BB175" s="265"/>
      <c r="BC175" s="216"/>
      <c r="BD175" s="216"/>
      <c r="BE175" s="254"/>
      <c r="BF175" s="258"/>
      <c r="BG175" s="216"/>
      <c r="BH175" s="216"/>
      <c r="BI175" s="216"/>
      <c r="BJ175" s="254"/>
      <c r="BK175" s="258"/>
      <c r="BL175" s="216"/>
      <c r="BM175" s="216"/>
      <c r="BN175" s="216"/>
      <c r="BO175" s="254"/>
    </row>
    <row r="176" spans="2:67" hidden="1" outlineLevel="1">
      <c r="B176" s="90" t="s">
        <v>666</v>
      </c>
      <c r="C176" s="314" t="s">
        <v>117</v>
      </c>
      <c r="D176" s="257"/>
      <c r="E176" s="338" t="s">
        <v>309</v>
      </c>
      <c r="F176" s="344"/>
      <c r="G176" s="344"/>
      <c r="H176" s="330"/>
      <c r="I176" s="330"/>
      <c r="J176" s="251"/>
      <c r="K176" s="268"/>
      <c r="L176" s="312"/>
      <c r="M176" s="268"/>
      <c r="N176" s="224"/>
      <c r="O176" s="224"/>
      <c r="P176" s="224"/>
      <c r="Q176" s="312"/>
      <c r="R176" s="258"/>
      <c r="S176" s="216"/>
      <c r="T176" s="216"/>
      <c r="U176" s="216"/>
      <c r="V176" s="252"/>
      <c r="W176" s="258"/>
      <c r="X176" s="216"/>
      <c r="Y176" s="216"/>
      <c r="Z176" s="216"/>
      <c r="AA176" s="252"/>
      <c r="AB176" s="258"/>
      <c r="AC176" s="253"/>
      <c r="AD176" s="253"/>
      <c r="AE176" s="216"/>
      <c r="AF176" s="252"/>
      <c r="AG176" s="258"/>
      <c r="AH176" s="216"/>
      <c r="AI176" s="216"/>
      <c r="AJ176" s="216"/>
      <c r="AK176" s="252"/>
      <c r="AL176" s="258"/>
      <c r="AM176" s="216"/>
      <c r="AN176" s="216"/>
      <c r="AO176" s="216"/>
      <c r="AP176" s="252"/>
      <c r="AQ176" s="258"/>
      <c r="AR176" s="216"/>
      <c r="AS176" s="216"/>
      <c r="AT176" s="216"/>
      <c r="AU176" s="254"/>
      <c r="AV176" s="258"/>
      <c r="AW176" s="216"/>
      <c r="AX176" s="216"/>
      <c r="AY176" s="216"/>
      <c r="AZ176" s="254"/>
      <c r="BA176" s="258"/>
      <c r="BB176" s="265"/>
      <c r="BC176" s="216"/>
      <c r="BD176" s="216"/>
      <c r="BE176" s="254"/>
      <c r="BF176" s="258"/>
      <c r="BG176" s="216"/>
      <c r="BH176" s="216"/>
      <c r="BI176" s="216"/>
      <c r="BJ176" s="254"/>
      <c r="BK176" s="258"/>
      <c r="BL176" s="216"/>
      <c r="BM176" s="216"/>
      <c r="BN176" s="216"/>
      <c r="BO176" s="254"/>
    </row>
    <row r="177" spans="2:67" ht="18.5" hidden="1" outlineLevel="1" thickBot="1">
      <c r="B177" s="90" t="s">
        <v>670</v>
      </c>
      <c r="C177" s="314" t="s">
        <v>58</v>
      </c>
      <c r="D177" s="306"/>
      <c r="E177" s="338" t="s">
        <v>309</v>
      </c>
      <c r="F177" s="345"/>
      <c r="G177" s="345"/>
      <c r="H177" s="330"/>
      <c r="I177" s="330"/>
      <c r="J177" s="251"/>
      <c r="BB177" s="360"/>
    </row>
    <row r="178" spans="2:67" ht="3.75" customHeight="1" collapsed="1" thickBot="1">
      <c r="B178" s="248"/>
      <c r="C178" s="249"/>
      <c r="D178" s="260"/>
      <c r="E178" s="260"/>
      <c r="F178" s="335"/>
      <c r="G178" s="335"/>
      <c r="H178" s="335"/>
      <c r="I178" s="335"/>
      <c r="J178" s="249"/>
      <c r="K178" s="250"/>
      <c r="L178" s="250"/>
      <c r="M178" s="250"/>
      <c r="N178" s="250"/>
      <c r="O178" s="250"/>
      <c r="P178" s="250"/>
      <c r="Q178" s="250"/>
      <c r="R178" s="250"/>
      <c r="S178" s="250"/>
      <c r="T178" s="250"/>
      <c r="U178" s="250"/>
      <c r="V178" s="250"/>
      <c r="W178" s="250"/>
      <c r="X178" s="250"/>
      <c r="Y178" s="250"/>
      <c r="Z178" s="250"/>
      <c r="AA178" s="250"/>
      <c r="AB178" s="250"/>
      <c r="AC178" s="250"/>
      <c r="AD178" s="250"/>
      <c r="AE178" s="250"/>
      <c r="AF178" s="250"/>
      <c r="AG178" s="250"/>
      <c r="AH178" s="250"/>
      <c r="AI178" s="250"/>
      <c r="AJ178" s="250"/>
      <c r="AK178" s="250"/>
      <c r="AL178" s="250"/>
      <c r="AM178" s="250"/>
      <c r="AN178" s="250"/>
      <c r="AO178" s="250"/>
      <c r="AP178" s="250"/>
      <c r="AQ178" s="250"/>
      <c r="AR178" s="250"/>
      <c r="AS178" s="250"/>
      <c r="AT178" s="250"/>
      <c r="AU178" s="250"/>
      <c r="AV178" s="250"/>
      <c r="AW178" s="250"/>
      <c r="AX178" s="250"/>
      <c r="AY178" s="250"/>
      <c r="AZ178" s="250"/>
      <c r="BA178" s="250"/>
      <c r="BB178" s="250"/>
      <c r="BC178" s="250"/>
      <c r="BD178" s="250"/>
      <c r="BE178" s="250"/>
      <c r="BF178" s="250"/>
      <c r="BG178" s="250"/>
      <c r="BH178" s="250"/>
      <c r="BI178" s="250"/>
      <c r="BJ178" s="250"/>
      <c r="BK178" s="250"/>
      <c r="BL178" s="250"/>
      <c r="BM178" s="250"/>
      <c r="BN178" s="250"/>
      <c r="BO178" s="250"/>
    </row>
    <row r="180" spans="2:67">
      <c r="B180" s="262" t="s">
        <v>317</v>
      </c>
    </row>
    <row r="181" spans="2:67" ht="6.9" customHeight="1">
      <c r="B181" s="264"/>
    </row>
    <row r="182" spans="2:67">
      <c r="B182" s="265"/>
      <c r="C182" s="266" t="s">
        <v>318</v>
      </c>
    </row>
    <row r="183" spans="2:67" ht="6.9" customHeight="1"/>
    <row r="184" spans="2:67">
      <c r="B184" s="173" t="s">
        <v>309</v>
      </c>
      <c r="C184" s="38" t="s">
        <v>109</v>
      </c>
    </row>
    <row r="185" spans="2:67">
      <c r="B185" s="174" t="s">
        <v>309</v>
      </c>
      <c r="C185" s="38" t="s">
        <v>319</v>
      </c>
    </row>
    <row r="186" spans="2:67">
      <c r="B186" s="175" t="s">
        <v>309</v>
      </c>
      <c r="C186" s="38" t="s">
        <v>320</v>
      </c>
    </row>
    <row r="187" spans="2:67">
      <c r="B187" s="336" t="s">
        <v>314</v>
      </c>
      <c r="C187" s="38" t="s">
        <v>321</v>
      </c>
    </row>
    <row r="188" spans="2:67">
      <c r="B188" s="267"/>
    </row>
  </sheetData>
  <mergeCells count="26">
    <mergeCell ref="BK9:BO9"/>
    <mergeCell ref="K8:L8"/>
    <mergeCell ref="K9:L9"/>
    <mergeCell ref="F8:G8"/>
    <mergeCell ref="M8:Q8"/>
    <mergeCell ref="R8:V8"/>
    <mergeCell ref="W8:AA8"/>
    <mergeCell ref="AQ8:AU8"/>
    <mergeCell ref="AB8:AF8"/>
    <mergeCell ref="H8:I8"/>
    <mergeCell ref="M9:Q9"/>
    <mergeCell ref="R9:V9"/>
    <mergeCell ref="W9:AA9"/>
    <mergeCell ref="AB9:AF9"/>
    <mergeCell ref="BK8:BO8"/>
    <mergeCell ref="AG8:AK8"/>
    <mergeCell ref="AL8:AP8"/>
    <mergeCell ref="AG9:AK9"/>
    <mergeCell ref="AL9:AP9"/>
    <mergeCell ref="AQ9:AU9"/>
    <mergeCell ref="AV9:AZ9"/>
    <mergeCell ref="BA9:BE9"/>
    <mergeCell ref="AV8:AZ8"/>
    <mergeCell ref="BA8:BE8"/>
    <mergeCell ref="BF8:BJ8"/>
    <mergeCell ref="BF9:BJ9"/>
  </mergeCells>
  <conditionalFormatting sqref="E12">
    <cfRule type="iconSet" priority="53">
      <iconSet>
        <cfvo type="percent" val="0"/>
        <cfvo type="percent" val="0" gte="0"/>
        <cfvo type="percent" val="100"/>
      </iconSet>
    </cfRule>
  </conditionalFormatting>
  <conditionalFormatting sqref="F12:J12">
    <cfRule type="iconSet" priority="52">
      <iconSet>
        <cfvo type="percent" val="0"/>
        <cfvo type="percent" val="0" gte="0"/>
        <cfvo type="percent" val="100"/>
      </iconSet>
    </cfRule>
  </conditionalFormatting>
  <conditionalFormatting sqref="F32:J32">
    <cfRule type="iconSet" priority="25">
      <iconSet>
        <cfvo type="percent" val="0"/>
        <cfvo type="percent" val="0" gte="0"/>
        <cfvo type="percent" val="100"/>
      </iconSet>
    </cfRule>
  </conditionalFormatting>
  <conditionalFormatting sqref="F72:J72">
    <cfRule type="iconSet" priority="44">
      <iconSet>
        <cfvo type="percent" val="0"/>
        <cfvo type="percent" val="0" gte="0"/>
        <cfvo type="percent" val="100"/>
      </iconSet>
    </cfRule>
  </conditionalFormatting>
  <conditionalFormatting sqref="F94:J94">
    <cfRule type="iconSet" priority="40">
      <iconSet>
        <cfvo type="percent" val="0"/>
        <cfvo type="percent" val="0" gte="0"/>
        <cfvo type="percent" val="100"/>
      </iconSet>
    </cfRule>
  </conditionalFormatting>
  <conditionalFormatting sqref="F136:J136">
    <cfRule type="iconSet" priority="42">
      <iconSet>
        <cfvo type="percent" val="0"/>
        <cfvo type="percent" val="0" gte="0"/>
        <cfvo type="percent" val="100"/>
      </iconSet>
    </cfRule>
  </conditionalFormatting>
  <conditionalFormatting sqref="F178:J178 F164:J164 F150:J150">
    <cfRule type="iconSet" priority="194">
      <iconSet>
        <cfvo type="percent" val="0"/>
        <cfvo type="percent" val="0" gte="0"/>
        <cfvo type="percent" val="100"/>
      </iconSet>
    </cfRule>
  </conditionalFormatting>
  <conditionalFormatting sqref="J4">
    <cfRule type="cellIs" dxfId="27" priority="48" operator="equal">
      <formula>"Em Análise"</formula>
    </cfRule>
    <cfRule type="cellIs" dxfId="26" priority="49" operator="equal">
      <formula>"OK"</formula>
    </cfRule>
    <cfRule type="cellIs" dxfId="25" priority="50" operator="equal">
      <formula>"NOK"</formula>
    </cfRule>
  </conditionalFormatting>
  <conditionalFormatting sqref="J10">
    <cfRule type="iconSet" priority="27">
      <iconSet>
        <cfvo type="percent" val="0"/>
        <cfvo type="percent" val="0" gte="0"/>
        <cfvo type="percent" val="100"/>
      </iconSet>
    </cfRule>
  </conditionalFormatting>
  <conditionalFormatting sqref="J11">
    <cfRule type="iconSet" priority="28">
      <iconSet>
        <cfvo type="percent" val="0"/>
        <cfvo type="percent" val="0" gte="0"/>
        <cfvo type="percent" val="100"/>
      </iconSet>
    </cfRule>
  </conditionalFormatting>
  <conditionalFormatting sqref="J13">
    <cfRule type="iconSet" priority="9">
      <iconSet>
        <cfvo type="percent" val="0"/>
        <cfvo type="percent" val="0" gte="0"/>
        <cfvo type="percent" val="100"/>
      </iconSet>
    </cfRule>
  </conditionalFormatting>
  <conditionalFormatting sqref="J14">
    <cfRule type="iconSet" priority="51">
      <iconSet>
        <cfvo type="percent" val="0"/>
        <cfvo type="percent" val="0" gte="0"/>
        <cfvo type="percent" val="100"/>
      </iconSet>
    </cfRule>
  </conditionalFormatting>
  <conditionalFormatting sqref="J33">
    <cfRule type="iconSet" priority="8">
      <iconSet>
        <cfvo type="percent" val="0"/>
        <cfvo type="percent" val="0" gte="0"/>
        <cfvo type="percent" val="100"/>
      </iconSet>
    </cfRule>
  </conditionalFormatting>
  <conditionalFormatting sqref="J34:J52">
    <cfRule type="iconSet" priority="181">
      <iconSet>
        <cfvo type="percent" val="0"/>
        <cfvo type="percent" val="0" gte="0"/>
        <cfvo type="percent" val="100"/>
      </iconSet>
    </cfRule>
  </conditionalFormatting>
  <conditionalFormatting sqref="J53:J71 J15:J31">
    <cfRule type="iconSet" priority="154">
      <iconSet>
        <cfvo type="percent" val="0"/>
        <cfvo type="percent" val="0" gte="0"/>
        <cfvo type="percent" val="100"/>
      </iconSet>
    </cfRule>
  </conditionalFormatting>
  <conditionalFormatting sqref="J73">
    <cfRule type="iconSet" priority="7">
      <iconSet>
        <cfvo type="percent" val="0"/>
        <cfvo type="percent" val="0" gte="0"/>
        <cfvo type="percent" val="100"/>
      </iconSet>
    </cfRule>
  </conditionalFormatting>
  <conditionalFormatting sqref="J74:J83">
    <cfRule type="iconSet" priority="169">
      <iconSet>
        <cfvo type="percent" val="0"/>
        <cfvo type="percent" val="0" gte="0"/>
        <cfvo type="percent" val="100"/>
      </iconSet>
    </cfRule>
  </conditionalFormatting>
  <conditionalFormatting sqref="J84:J93">
    <cfRule type="iconSet" priority="23">
      <iconSet>
        <cfvo type="percent" val="0"/>
        <cfvo type="percent" val="0" gte="0"/>
        <cfvo type="percent" val="100"/>
      </iconSet>
    </cfRule>
  </conditionalFormatting>
  <conditionalFormatting sqref="J95">
    <cfRule type="iconSet" priority="6">
      <iconSet>
        <cfvo type="percent" val="0"/>
        <cfvo type="percent" val="0" gte="0"/>
        <cfvo type="percent" val="100"/>
      </iconSet>
    </cfRule>
  </conditionalFormatting>
  <conditionalFormatting sqref="J96:J115">
    <cfRule type="iconSet" priority="185">
      <iconSet>
        <cfvo type="percent" val="0"/>
        <cfvo type="percent" val="0" gte="0"/>
        <cfvo type="percent" val="100"/>
      </iconSet>
    </cfRule>
  </conditionalFormatting>
  <conditionalFormatting sqref="J116:J135">
    <cfRule type="iconSet" priority="21">
      <iconSet>
        <cfvo type="percent" val="0"/>
        <cfvo type="percent" val="0" gte="0"/>
        <cfvo type="percent" val="100"/>
      </iconSet>
    </cfRule>
  </conditionalFormatting>
  <conditionalFormatting sqref="J137">
    <cfRule type="iconSet" priority="5">
      <iconSet>
        <cfvo type="percent" val="0"/>
        <cfvo type="percent" val="0" gte="0"/>
        <cfvo type="percent" val="100"/>
      </iconSet>
    </cfRule>
  </conditionalFormatting>
  <conditionalFormatting sqref="J138:J143">
    <cfRule type="iconSet" priority="189">
      <iconSet>
        <cfvo type="percent" val="0"/>
        <cfvo type="percent" val="0" gte="0"/>
        <cfvo type="percent" val="100"/>
      </iconSet>
    </cfRule>
  </conditionalFormatting>
  <conditionalFormatting sqref="J144:J149">
    <cfRule type="iconSet" priority="19">
      <iconSet>
        <cfvo type="percent" val="0"/>
        <cfvo type="percent" val="0" gte="0"/>
        <cfvo type="percent" val="100"/>
      </iconSet>
    </cfRule>
  </conditionalFormatting>
  <conditionalFormatting sqref="J151">
    <cfRule type="iconSet" priority="4">
      <iconSet>
        <cfvo type="percent" val="0"/>
        <cfvo type="percent" val="0" gte="0"/>
        <cfvo type="percent" val="100"/>
      </iconSet>
    </cfRule>
  </conditionalFormatting>
  <conditionalFormatting sqref="J152:J157">
    <cfRule type="iconSet" priority="198">
      <iconSet>
        <cfvo type="percent" val="0"/>
        <cfvo type="percent" val="0" gte="0"/>
        <cfvo type="percent" val="100"/>
      </iconSet>
    </cfRule>
  </conditionalFormatting>
  <conditionalFormatting sqref="J158:J163">
    <cfRule type="iconSet" priority="201">
      <iconSet>
        <cfvo type="percent" val="0"/>
        <cfvo type="percent" val="0" gte="0"/>
        <cfvo type="percent" val="100"/>
      </iconSet>
    </cfRule>
  </conditionalFormatting>
  <conditionalFormatting sqref="J165">
    <cfRule type="iconSet" priority="3">
      <iconSet>
        <cfvo type="percent" val="0"/>
        <cfvo type="percent" val="0" gte="0"/>
        <cfvo type="percent" val="100"/>
      </iconSet>
    </cfRule>
  </conditionalFormatting>
  <conditionalFormatting sqref="J166:J171">
    <cfRule type="iconSet" priority="195">
      <iconSet>
        <cfvo type="percent" val="0"/>
        <cfvo type="percent" val="0" gte="0"/>
        <cfvo type="percent" val="100"/>
      </iconSet>
    </cfRule>
  </conditionalFormatting>
  <conditionalFormatting sqref="J172:J177">
    <cfRule type="iconSet" priority="13">
      <iconSet>
        <cfvo type="percent" val="0"/>
        <cfvo type="percent" val="0" gte="0"/>
        <cfvo type="percent" val="100"/>
      </iconSet>
    </cfRule>
  </conditionalFormatting>
  <conditionalFormatting sqref="K179:BO183">
    <cfRule type="cellIs" dxfId="24" priority="1" operator="equal">
      <formula>1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A5772-9038-4477-984F-8378D4AC0587}">
  <dimension ref="A2:L71"/>
  <sheetViews>
    <sheetView showGridLines="0" workbookViewId="0">
      <pane xSplit="4" ySplit="2" topLeftCell="E16" activePane="bottomRight" state="frozen"/>
      <selection activeCell="C2" sqref="C2"/>
      <selection pane="topRight" activeCell="C2" sqref="C2"/>
      <selection pane="bottomLeft" activeCell="C2" sqref="C2"/>
      <selection pane="bottomRight" activeCell="D33" sqref="D33"/>
    </sheetView>
  </sheetViews>
  <sheetFormatPr defaultColWidth="8.83203125" defaultRowHeight="12.5"/>
  <cols>
    <col min="1" max="1" width="3.6640625" style="305" customWidth="1"/>
    <col min="2" max="2" width="29" style="305" bestFit="1" customWidth="1"/>
    <col min="3" max="3" width="16.5" style="305" bestFit="1" customWidth="1"/>
    <col min="4" max="4" width="35.6640625" style="305" bestFit="1" customWidth="1"/>
    <col min="5" max="5" width="17.83203125" style="305" bestFit="1" customWidth="1"/>
    <col min="6" max="6" width="16" style="305" bestFit="1" customWidth="1"/>
    <col min="7" max="7" width="73.1640625" style="305" bestFit="1" customWidth="1"/>
    <col min="8" max="8" width="28.08203125" style="305" customWidth="1"/>
    <col min="9" max="9" width="56.33203125" style="305" customWidth="1"/>
    <col min="10" max="10" width="29.9140625" style="305" customWidth="1"/>
    <col min="11" max="11" width="19.83203125" style="305" customWidth="1"/>
    <col min="12" max="12" width="134.4140625" style="305" customWidth="1"/>
    <col min="13" max="13" width="8.83203125" style="305" customWidth="1"/>
    <col min="14" max="16384" width="8.83203125" style="305"/>
  </cols>
  <sheetData>
    <row r="2" spans="2:12" ht="13">
      <c r="B2" s="346" t="s">
        <v>1</v>
      </c>
      <c r="C2" s="346" t="s">
        <v>3</v>
      </c>
      <c r="D2" s="346" t="s">
        <v>4</v>
      </c>
      <c r="E2" s="346" t="s">
        <v>558</v>
      </c>
      <c r="F2" s="346" t="s">
        <v>480</v>
      </c>
      <c r="G2" s="346" t="s">
        <v>568</v>
      </c>
      <c r="H2" s="346" t="s">
        <v>13</v>
      </c>
      <c r="I2" s="346" t="s">
        <v>284</v>
      </c>
      <c r="J2" s="346" t="s">
        <v>589</v>
      </c>
      <c r="K2" s="346" t="s">
        <v>559</v>
      </c>
      <c r="L2" s="346" t="s">
        <v>49</v>
      </c>
    </row>
    <row r="3" spans="2:12">
      <c r="B3" s="350" t="s">
        <v>251</v>
      </c>
      <c r="C3" s="349" t="s">
        <v>29</v>
      </c>
      <c r="D3" s="347" t="s">
        <v>79</v>
      </c>
      <c r="E3" s="347" t="s">
        <v>477</v>
      </c>
      <c r="F3" s="348">
        <v>45712</v>
      </c>
      <c r="G3" s="347" t="s">
        <v>571</v>
      </c>
      <c r="H3" s="347" t="s">
        <v>472</v>
      </c>
      <c r="I3" s="347" t="s">
        <v>561</v>
      </c>
      <c r="J3" s="347" t="s">
        <v>268</v>
      </c>
      <c r="K3" s="347" t="s">
        <v>438</v>
      </c>
      <c r="L3" s="347" t="s">
        <v>457</v>
      </c>
    </row>
    <row r="4" spans="2:12">
      <c r="B4" s="350" t="s">
        <v>251</v>
      </c>
      <c r="C4" s="349" t="s">
        <v>29</v>
      </c>
      <c r="D4" s="347" t="s">
        <v>60</v>
      </c>
      <c r="E4" s="347" t="s">
        <v>483</v>
      </c>
      <c r="F4" s="348">
        <v>45719</v>
      </c>
      <c r="G4" s="347" t="s">
        <v>571</v>
      </c>
      <c r="H4" s="347" t="s">
        <v>494</v>
      </c>
      <c r="I4" s="347" t="s">
        <v>564</v>
      </c>
      <c r="J4" s="347" t="s">
        <v>268</v>
      </c>
      <c r="K4" s="347" t="s">
        <v>439</v>
      </c>
      <c r="L4" s="347" t="s">
        <v>457</v>
      </c>
    </row>
    <row r="5" spans="2:12">
      <c r="B5" s="350" t="s">
        <v>251</v>
      </c>
      <c r="C5" s="349" t="s">
        <v>29</v>
      </c>
      <c r="D5" s="347" t="s">
        <v>80</v>
      </c>
      <c r="E5" s="347" t="s">
        <v>477</v>
      </c>
      <c r="F5" s="348">
        <v>45712</v>
      </c>
      <c r="G5" s="347" t="s">
        <v>571</v>
      </c>
      <c r="H5" s="347" t="s">
        <v>472</v>
      </c>
      <c r="I5" s="347" t="s">
        <v>561</v>
      </c>
      <c r="J5" s="347" t="s">
        <v>268</v>
      </c>
      <c r="K5" s="347" t="s">
        <v>438</v>
      </c>
      <c r="L5" s="347" t="s">
        <v>457</v>
      </c>
    </row>
    <row r="6" spans="2:12">
      <c r="B6" s="350" t="s">
        <v>251</v>
      </c>
      <c r="C6" s="349" t="s">
        <v>29</v>
      </c>
      <c r="D6" s="347" t="s">
        <v>81</v>
      </c>
      <c r="E6" s="347" t="s">
        <v>477</v>
      </c>
      <c r="F6" s="348">
        <v>45712</v>
      </c>
      <c r="G6" s="347" t="s">
        <v>571</v>
      </c>
      <c r="H6" s="347" t="s">
        <v>472</v>
      </c>
      <c r="I6" s="347" t="s">
        <v>561</v>
      </c>
      <c r="J6" s="347" t="s">
        <v>268</v>
      </c>
      <c r="K6" s="347" t="s">
        <v>438</v>
      </c>
      <c r="L6" s="347" t="s">
        <v>457</v>
      </c>
    </row>
    <row r="7" spans="2:12">
      <c r="B7" s="350" t="s">
        <v>251</v>
      </c>
      <c r="C7" s="349" t="s">
        <v>29</v>
      </c>
      <c r="D7" s="347" t="s">
        <v>82</v>
      </c>
      <c r="E7" s="347" t="s">
        <v>470</v>
      </c>
      <c r="F7" s="348">
        <v>45678</v>
      </c>
      <c r="G7" s="347" t="s">
        <v>571</v>
      </c>
      <c r="H7" s="347" t="s">
        <v>471</v>
      </c>
      <c r="I7" s="347" t="s">
        <v>560</v>
      </c>
      <c r="J7" s="347" t="s">
        <v>40</v>
      </c>
      <c r="K7" s="347" t="s">
        <v>439</v>
      </c>
      <c r="L7" s="347" t="s">
        <v>479</v>
      </c>
    </row>
    <row r="8" spans="2:12">
      <c r="B8" s="350" t="s">
        <v>251</v>
      </c>
      <c r="C8" s="349" t="s">
        <v>29</v>
      </c>
      <c r="D8" s="347" t="s">
        <v>83</v>
      </c>
      <c r="E8" s="347" t="s">
        <v>477</v>
      </c>
      <c r="F8" s="348">
        <v>45712</v>
      </c>
      <c r="G8" s="347" t="s">
        <v>571</v>
      </c>
      <c r="H8" s="347" t="s">
        <v>472</v>
      </c>
      <c r="I8" s="347" t="s">
        <v>561</v>
      </c>
      <c r="J8" s="347" t="s">
        <v>268</v>
      </c>
      <c r="K8" s="347" t="s">
        <v>438</v>
      </c>
      <c r="L8" s="347" t="s">
        <v>457</v>
      </c>
    </row>
    <row r="9" spans="2:12">
      <c r="B9" s="350" t="s">
        <v>251</v>
      </c>
      <c r="C9" s="349" t="s">
        <v>29</v>
      </c>
      <c r="D9" s="347" t="s">
        <v>61</v>
      </c>
      <c r="E9" s="347" t="s">
        <v>483</v>
      </c>
      <c r="F9" s="348">
        <v>45719</v>
      </c>
      <c r="G9" s="347" t="s">
        <v>571</v>
      </c>
      <c r="H9" s="347" t="s">
        <v>472</v>
      </c>
      <c r="I9" s="347" t="s">
        <v>562</v>
      </c>
      <c r="J9" s="347" t="s">
        <v>274</v>
      </c>
      <c r="K9" s="347" t="s">
        <v>438</v>
      </c>
      <c r="L9" s="347" t="s">
        <v>458</v>
      </c>
    </row>
    <row r="10" spans="2:12">
      <c r="B10" s="350" t="s">
        <v>251</v>
      </c>
      <c r="C10" s="349" t="s">
        <v>29</v>
      </c>
      <c r="D10" s="347" t="s">
        <v>84</v>
      </c>
      <c r="E10" s="347" t="s">
        <v>470</v>
      </c>
      <c r="F10" s="348">
        <v>45678</v>
      </c>
      <c r="G10" s="347" t="s">
        <v>571</v>
      </c>
      <c r="H10" s="347" t="s">
        <v>471</v>
      </c>
      <c r="I10" s="347" t="s">
        <v>560</v>
      </c>
      <c r="J10" s="347" t="s">
        <v>40</v>
      </c>
      <c r="K10" s="347" t="s">
        <v>439</v>
      </c>
      <c r="L10" s="347"/>
    </row>
    <row r="11" spans="2:12">
      <c r="B11" s="350" t="s">
        <v>251</v>
      </c>
      <c r="C11" s="349" t="s">
        <v>29</v>
      </c>
      <c r="D11" s="347" t="s">
        <v>85</v>
      </c>
      <c r="E11" s="347" t="s">
        <v>477</v>
      </c>
      <c r="F11" s="348">
        <v>45712</v>
      </c>
      <c r="G11" s="347" t="s">
        <v>571</v>
      </c>
      <c r="H11" s="347" t="s">
        <v>472</v>
      </c>
      <c r="I11" s="347" t="s">
        <v>561</v>
      </c>
      <c r="J11" s="347" t="s">
        <v>268</v>
      </c>
      <c r="K11" s="347" t="s">
        <v>438</v>
      </c>
      <c r="L11" s="347" t="s">
        <v>457</v>
      </c>
    </row>
    <row r="12" spans="2:12">
      <c r="B12" s="350" t="s">
        <v>251</v>
      </c>
      <c r="C12" s="349" t="s">
        <v>29</v>
      </c>
      <c r="D12" s="347" t="s">
        <v>86</v>
      </c>
      <c r="E12" s="347" t="s">
        <v>477</v>
      </c>
      <c r="F12" s="348">
        <v>45712</v>
      </c>
      <c r="G12" s="347" t="s">
        <v>571</v>
      </c>
      <c r="H12" s="347" t="s">
        <v>472</v>
      </c>
      <c r="I12" s="347" t="s">
        <v>561</v>
      </c>
      <c r="J12" s="347" t="s">
        <v>268</v>
      </c>
      <c r="K12" s="347" t="s">
        <v>438</v>
      </c>
      <c r="L12" s="347" t="s">
        <v>457</v>
      </c>
    </row>
    <row r="13" spans="2:12">
      <c r="B13" s="350" t="s">
        <v>371</v>
      </c>
      <c r="C13" s="349" t="s">
        <v>29</v>
      </c>
      <c r="D13" s="347" t="s">
        <v>62</v>
      </c>
      <c r="E13" s="347" t="s">
        <v>470</v>
      </c>
      <c r="F13" s="348">
        <v>45678</v>
      </c>
      <c r="G13" s="347" t="s">
        <v>571</v>
      </c>
      <c r="H13" s="347" t="s">
        <v>471</v>
      </c>
      <c r="I13" s="347" t="s">
        <v>560</v>
      </c>
      <c r="J13" s="347" t="s">
        <v>40</v>
      </c>
      <c r="K13" s="347" t="s">
        <v>439</v>
      </c>
      <c r="L13" s="347" t="s">
        <v>383</v>
      </c>
    </row>
    <row r="14" spans="2:12">
      <c r="B14" s="350" t="s">
        <v>371</v>
      </c>
      <c r="C14" s="349" t="s">
        <v>29</v>
      </c>
      <c r="D14" s="347" t="s">
        <v>87</v>
      </c>
      <c r="E14" s="347" t="s">
        <v>470</v>
      </c>
      <c r="F14" s="348">
        <v>45678</v>
      </c>
      <c r="G14" s="347" t="s">
        <v>571</v>
      </c>
      <c r="H14" s="347" t="s">
        <v>471</v>
      </c>
      <c r="I14" s="347" t="s">
        <v>560</v>
      </c>
      <c r="J14" s="347" t="s">
        <v>40</v>
      </c>
      <c r="K14" s="347" t="s">
        <v>439</v>
      </c>
      <c r="L14" s="347" t="s">
        <v>383</v>
      </c>
    </row>
    <row r="15" spans="2:12">
      <c r="B15" s="350" t="s">
        <v>371</v>
      </c>
      <c r="C15" s="349" t="s">
        <v>29</v>
      </c>
      <c r="D15" s="347" t="s">
        <v>88</v>
      </c>
      <c r="E15" s="347" t="s">
        <v>470</v>
      </c>
      <c r="F15" s="348">
        <v>45678</v>
      </c>
      <c r="G15" s="347" t="s">
        <v>571</v>
      </c>
      <c r="H15" s="347" t="s">
        <v>471</v>
      </c>
      <c r="I15" s="347" t="s">
        <v>560</v>
      </c>
      <c r="J15" s="347" t="s">
        <v>40</v>
      </c>
      <c r="K15" s="347" t="s">
        <v>439</v>
      </c>
      <c r="L15" s="347" t="s">
        <v>383</v>
      </c>
    </row>
    <row r="16" spans="2:12">
      <c r="B16" s="350" t="s">
        <v>371</v>
      </c>
      <c r="C16" s="349" t="s">
        <v>29</v>
      </c>
      <c r="D16" s="347" t="s">
        <v>89</v>
      </c>
      <c r="E16" s="347" t="s">
        <v>470</v>
      </c>
      <c r="F16" s="348">
        <v>45678</v>
      </c>
      <c r="G16" s="347" t="s">
        <v>571</v>
      </c>
      <c r="H16" s="347" t="s">
        <v>471</v>
      </c>
      <c r="I16" s="347" t="s">
        <v>560</v>
      </c>
      <c r="J16" s="347" t="s">
        <v>40</v>
      </c>
      <c r="K16" s="347" t="s">
        <v>439</v>
      </c>
      <c r="L16" s="347" t="s">
        <v>383</v>
      </c>
    </row>
    <row r="17" spans="2:12">
      <c r="B17" s="350" t="s">
        <v>251</v>
      </c>
      <c r="C17" s="349" t="s">
        <v>29</v>
      </c>
      <c r="D17" s="347" t="s">
        <v>90</v>
      </c>
      <c r="E17" s="347" t="s">
        <v>477</v>
      </c>
      <c r="F17" s="348">
        <v>45712</v>
      </c>
      <c r="G17" s="347" t="s">
        <v>571</v>
      </c>
      <c r="H17" s="347" t="s">
        <v>472</v>
      </c>
      <c r="I17" s="347" t="s">
        <v>561</v>
      </c>
      <c r="J17" s="347" t="s">
        <v>268</v>
      </c>
      <c r="K17" s="347" t="s">
        <v>438</v>
      </c>
      <c r="L17" s="347" t="s">
        <v>457</v>
      </c>
    </row>
    <row r="18" spans="2:12">
      <c r="B18" s="350" t="s">
        <v>251</v>
      </c>
      <c r="C18" s="349" t="s">
        <v>29</v>
      </c>
      <c r="D18" s="347" t="s">
        <v>91</v>
      </c>
      <c r="E18" s="347" t="s">
        <v>470</v>
      </c>
      <c r="F18" s="348">
        <v>45678</v>
      </c>
      <c r="G18" s="347" t="s">
        <v>571</v>
      </c>
      <c r="H18" s="347" t="s">
        <v>471</v>
      </c>
      <c r="I18" s="347" t="s">
        <v>560</v>
      </c>
      <c r="J18" s="347" t="s">
        <v>40</v>
      </c>
      <c r="K18" s="347" t="s">
        <v>439</v>
      </c>
      <c r="L18" s="347"/>
    </row>
    <row r="19" spans="2:12">
      <c r="B19" s="350" t="s">
        <v>251</v>
      </c>
      <c r="C19" s="349" t="s">
        <v>29</v>
      </c>
      <c r="D19" s="347" t="s">
        <v>92</v>
      </c>
      <c r="E19" s="347" t="s">
        <v>477</v>
      </c>
      <c r="F19" s="348">
        <v>45712</v>
      </c>
      <c r="G19" s="347" t="s">
        <v>571</v>
      </c>
      <c r="H19" s="347" t="s">
        <v>472</v>
      </c>
      <c r="I19" s="347" t="s">
        <v>561</v>
      </c>
      <c r="J19" s="347" t="s">
        <v>268</v>
      </c>
      <c r="K19" s="347" t="s">
        <v>438</v>
      </c>
      <c r="L19" s="347" t="s">
        <v>457</v>
      </c>
    </row>
    <row r="20" spans="2:12">
      <c r="B20" s="350" t="s">
        <v>251</v>
      </c>
      <c r="C20" s="349" t="s">
        <v>29</v>
      </c>
      <c r="D20" s="347" t="s">
        <v>93</v>
      </c>
      <c r="E20" s="347" t="s">
        <v>477</v>
      </c>
      <c r="F20" s="348">
        <v>45712</v>
      </c>
      <c r="G20" s="347" t="s">
        <v>571</v>
      </c>
      <c r="H20" s="347" t="s">
        <v>472</v>
      </c>
      <c r="I20" s="347" t="s">
        <v>561</v>
      </c>
      <c r="J20" s="347" t="s">
        <v>268</v>
      </c>
      <c r="K20" s="347" t="s">
        <v>438</v>
      </c>
      <c r="L20" s="347" t="s">
        <v>457</v>
      </c>
    </row>
    <row r="21" spans="2:12">
      <c r="B21" s="350" t="s">
        <v>251</v>
      </c>
      <c r="C21" s="349" t="s">
        <v>29</v>
      </c>
      <c r="D21" s="347" t="s">
        <v>94</v>
      </c>
      <c r="E21" s="347" t="s">
        <v>470</v>
      </c>
      <c r="F21" s="348">
        <v>45678</v>
      </c>
      <c r="G21" s="347" t="s">
        <v>571</v>
      </c>
      <c r="H21" s="347" t="s">
        <v>471</v>
      </c>
      <c r="I21" s="347" t="s">
        <v>560</v>
      </c>
      <c r="J21" s="347" t="s">
        <v>40</v>
      </c>
      <c r="K21" s="347" t="s">
        <v>439</v>
      </c>
      <c r="L21" s="347"/>
    </row>
    <row r="22" spans="2:12">
      <c r="B22" s="350" t="s">
        <v>251</v>
      </c>
      <c r="C22" s="349" t="s">
        <v>29</v>
      </c>
      <c r="D22" s="347" t="s">
        <v>95</v>
      </c>
      <c r="E22" s="347" t="s">
        <v>477</v>
      </c>
      <c r="F22" s="348">
        <v>45712</v>
      </c>
      <c r="G22" s="347" t="s">
        <v>571</v>
      </c>
      <c r="H22" s="347" t="s">
        <v>472</v>
      </c>
      <c r="I22" s="347" t="s">
        <v>561</v>
      </c>
      <c r="J22" s="347" t="s">
        <v>268</v>
      </c>
      <c r="K22" s="347" t="s">
        <v>438</v>
      </c>
      <c r="L22" s="347" t="s">
        <v>457</v>
      </c>
    </row>
    <row r="23" spans="2:12">
      <c r="B23" s="350" t="s">
        <v>251</v>
      </c>
      <c r="C23" s="349" t="s">
        <v>29</v>
      </c>
      <c r="D23" s="347" t="s">
        <v>96</v>
      </c>
      <c r="E23" s="347" t="s">
        <v>477</v>
      </c>
      <c r="F23" s="348">
        <v>45712</v>
      </c>
      <c r="G23" s="347" t="s">
        <v>571</v>
      </c>
      <c r="H23" s="347" t="s">
        <v>472</v>
      </c>
      <c r="I23" s="347" t="s">
        <v>561</v>
      </c>
      <c r="J23" s="347" t="s">
        <v>268</v>
      </c>
      <c r="K23" s="347" t="s">
        <v>438</v>
      </c>
      <c r="L23" s="347" t="s">
        <v>457</v>
      </c>
    </row>
    <row r="24" spans="2:12">
      <c r="B24" s="350" t="s">
        <v>251</v>
      </c>
      <c r="C24" s="349" t="s">
        <v>29</v>
      </c>
      <c r="D24" s="347" t="s">
        <v>97</v>
      </c>
      <c r="E24" s="347" t="s">
        <v>477</v>
      </c>
      <c r="F24" s="348">
        <v>45712</v>
      </c>
      <c r="G24" s="347" t="s">
        <v>572</v>
      </c>
      <c r="H24" s="347" t="s">
        <v>473</v>
      </c>
      <c r="I24" s="347" t="s">
        <v>560</v>
      </c>
      <c r="J24" s="347" t="s">
        <v>40</v>
      </c>
      <c r="K24" s="347" t="s">
        <v>438</v>
      </c>
      <c r="L24" s="347" t="s">
        <v>458</v>
      </c>
    </row>
    <row r="25" spans="2:12">
      <c r="B25" s="350" t="s">
        <v>251</v>
      </c>
      <c r="C25" s="349" t="s">
        <v>29</v>
      </c>
      <c r="D25" s="347" t="s">
        <v>98</v>
      </c>
      <c r="E25" s="347" t="s">
        <v>477</v>
      </c>
      <c r="F25" s="348">
        <v>45712</v>
      </c>
      <c r="G25" s="347" t="s">
        <v>572</v>
      </c>
      <c r="H25" s="347" t="s">
        <v>473</v>
      </c>
      <c r="I25" s="347" t="s">
        <v>560</v>
      </c>
      <c r="J25" s="347" t="s">
        <v>40</v>
      </c>
      <c r="K25" s="347" t="s">
        <v>438</v>
      </c>
      <c r="L25" s="347" t="s">
        <v>458</v>
      </c>
    </row>
    <row r="26" spans="2:12">
      <c r="B26" s="350" t="s">
        <v>251</v>
      </c>
      <c r="C26" s="349" t="s">
        <v>29</v>
      </c>
      <c r="D26" s="347" t="s">
        <v>99</v>
      </c>
      <c r="E26" s="347" t="s">
        <v>477</v>
      </c>
      <c r="F26" s="348">
        <v>45712</v>
      </c>
      <c r="G26" s="347" t="s">
        <v>572</v>
      </c>
      <c r="H26" s="347" t="s">
        <v>473</v>
      </c>
      <c r="I26" s="347" t="s">
        <v>560</v>
      </c>
      <c r="J26" s="347" t="s">
        <v>40</v>
      </c>
      <c r="K26" s="347" t="s">
        <v>438</v>
      </c>
      <c r="L26" s="347" t="s">
        <v>458</v>
      </c>
    </row>
    <row r="27" spans="2:12">
      <c r="B27" s="350" t="s">
        <v>251</v>
      </c>
      <c r="C27" s="349" t="s">
        <v>29</v>
      </c>
      <c r="D27" s="347" t="s">
        <v>100</v>
      </c>
      <c r="E27" s="347" t="s">
        <v>477</v>
      </c>
      <c r="F27" s="348">
        <v>45712</v>
      </c>
      <c r="G27" s="347" t="s">
        <v>572</v>
      </c>
      <c r="H27" s="347" t="s">
        <v>473</v>
      </c>
      <c r="I27" s="347" t="s">
        <v>560</v>
      </c>
      <c r="J27" s="347" t="s">
        <v>40</v>
      </c>
      <c r="K27" s="347" t="s">
        <v>438</v>
      </c>
      <c r="L27" s="347" t="s">
        <v>458</v>
      </c>
    </row>
    <row r="28" spans="2:12">
      <c r="B28" s="350" t="s">
        <v>251</v>
      </c>
      <c r="C28" s="349" t="s">
        <v>29</v>
      </c>
      <c r="D28" s="347" t="s">
        <v>101</v>
      </c>
      <c r="E28" s="347" t="s">
        <v>477</v>
      </c>
      <c r="F28" s="348">
        <v>45712</v>
      </c>
      <c r="G28" s="347" t="s">
        <v>572</v>
      </c>
      <c r="H28" s="347" t="s">
        <v>473</v>
      </c>
      <c r="I28" s="347" t="s">
        <v>560</v>
      </c>
      <c r="J28" s="347" t="s">
        <v>40</v>
      </c>
      <c r="K28" s="347" t="s">
        <v>438</v>
      </c>
      <c r="L28" s="347" t="s">
        <v>458</v>
      </c>
    </row>
    <row r="29" spans="2:12">
      <c r="B29" s="350" t="s">
        <v>251</v>
      </c>
      <c r="C29" s="349" t="s">
        <v>29</v>
      </c>
      <c r="D29" s="347" t="s">
        <v>63</v>
      </c>
      <c r="E29" s="347" t="s">
        <v>477</v>
      </c>
      <c r="F29" s="348">
        <v>45712</v>
      </c>
      <c r="G29" s="347" t="s">
        <v>572</v>
      </c>
      <c r="H29" s="347" t="s">
        <v>473</v>
      </c>
      <c r="I29" s="347" t="s">
        <v>560</v>
      </c>
      <c r="J29" s="347" t="s">
        <v>40</v>
      </c>
      <c r="K29" s="347" t="s">
        <v>438</v>
      </c>
      <c r="L29" s="347" t="s">
        <v>458</v>
      </c>
    </row>
    <row r="30" spans="2:12">
      <c r="B30" s="350" t="s">
        <v>251</v>
      </c>
      <c r="C30" s="349" t="s">
        <v>29</v>
      </c>
      <c r="D30" s="347" t="s">
        <v>102</v>
      </c>
      <c r="E30" s="347" t="s">
        <v>477</v>
      </c>
      <c r="F30" s="348">
        <v>45712</v>
      </c>
      <c r="G30" s="347" t="s">
        <v>572</v>
      </c>
      <c r="H30" s="347" t="s">
        <v>473</v>
      </c>
      <c r="I30" s="347" t="s">
        <v>560</v>
      </c>
      <c r="J30" s="347" t="s">
        <v>40</v>
      </c>
      <c r="K30" s="347" t="s">
        <v>438</v>
      </c>
      <c r="L30" s="347" t="s">
        <v>458</v>
      </c>
    </row>
    <row r="31" spans="2:12">
      <c r="B31" s="350" t="s">
        <v>251</v>
      </c>
      <c r="C31" s="349" t="s">
        <v>29</v>
      </c>
      <c r="D31" s="347" t="s">
        <v>103</v>
      </c>
      <c r="E31" s="347" t="s">
        <v>477</v>
      </c>
      <c r="F31" s="348">
        <v>45712</v>
      </c>
      <c r="G31" s="347" t="s">
        <v>572</v>
      </c>
      <c r="H31" s="347" t="s">
        <v>473</v>
      </c>
      <c r="I31" s="347" t="s">
        <v>560</v>
      </c>
      <c r="J31" s="347" t="s">
        <v>40</v>
      </c>
      <c r="K31" s="347" t="s">
        <v>438</v>
      </c>
      <c r="L31" s="347" t="s">
        <v>458</v>
      </c>
    </row>
    <row r="32" spans="2:12" ht="13">
      <c r="B32" s="350" t="s">
        <v>372</v>
      </c>
      <c r="C32" s="349" t="s">
        <v>29</v>
      </c>
      <c r="D32" s="352" t="s">
        <v>110</v>
      </c>
      <c r="E32" s="348" t="s">
        <v>476</v>
      </c>
      <c r="F32" s="348">
        <v>45705</v>
      </c>
      <c r="G32" s="347" t="s">
        <v>569</v>
      </c>
      <c r="H32" s="347" t="s">
        <v>473</v>
      </c>
      <c r="I32" s="347" t="s">
        <v>590</v>
      </c>
      <c r="J32" s="347" t="s">
        <v>40</v>
      </c>
      <c r="K32" s="347" t="s">
        <v>439</v>
      </c>
      <c r="L32" s="347"/>
    </row>
    <row r="33" spans="1:12" ht="13">
      <c r="B33" s="350" t="s">
        <v>419</v>
      </c>
      <c r="C33" s="349" t="s">
        <v>29</v>
      </c>
      <c r="D33" s="352" t="s">
        <v>111</v>
      </c>
      <c r="E33" s="348" t="s">
        <v>476</v>
      </c>
      <c r="F33" s="348">
        <v>45705</v>
      </c>
      <c r="G33" s="347" t="s">
        <v>570</v>
      </c>
      <c r="H33" s="347" t="s">
        <v>473</v>
      </c>
      <c r="I33" s="347" t="s">
        <v>590</v>
      </c>
      <c r="J33" s="347" t="s">
        <v>274</v>
      </c>
      <c r="K33" s="347" t="s">
        <v>439</v>
      </c>
      <c r="L33" s="347" t="s">
        <v>446</v>
      </c>
    </row>
    <row r="34" spans="1:12">
      <c r="A34" s="355" t="s">
        <v>592</v>
      </c>
      <c r="B34" s="350" t="s">
        <v>419</v>
      </c>
      <c r="C34" s="349" t="s">
        <v>29</v>
      </c>
      <c r="D34" s="354" t="s">
        <v>112</v>
      </c>
      <c r="E34" s="348" t="s">
        <v>476</v>
      </c>
      <c r="F34" s="348">
        <v>45705</v>
      </c>
      <c r="G34" s="347" t="s">
        <v>570</v>
      </c>
      <c r="H34" s="347" t="s">
        <v>473</v>
      </c>
      <c r="I34" s="347" t="s">
        <v>590</v>
      </c>
      <c r="J34" s="347" t="s">
        <v>274</v>
      </c>
      <c r="K34" s="347" t="s">
        <v>439</v>
      </c>
      <c r="L34" s="347" t="s">
        <v>447</v>
      </c>
    </row>
    <row r="35" spans="1:12">
      <c r="A35" s="358" t="s">
        <v>667</v>
      </c>
      <c r="B35" s="350" t="s">
        <v>372</v>
      </c>
      <c r="C35" s="349" t="s">
        <v>29</v>
      </c>
      <c r="D35" s="357" t="s">
        <v>51</v>
      </c>
      <c r="E35" s="348" t="s">
        <v>476</v>
      </c>
      <c r="F35" s="348">
        <v>45705</v>
      </c>
      <c r="G35" s="347" t="s">
        <v>569</v>
      </c>
      <c r="H35" s="347" t="s">
        <v>473</v>
      </c>
      <c r="I35" s="347" t="s">
        <v>590</v>
      </c>
      <c r="J35" s="347" t="s">
        <v>40</v>
      </c>
      <c r="K35" s="347" t="s">
        <v>439</v>
      </c>
      <c r="L35" s="347"/>
    </row>
    <row r="36" spans="1:12">
      <c r="A36" s="358" t="s">
        <v>667</v>
      </c>
      <c r="B36" s="350" t="s">
        <v>372</v>
      </c>
      <c r="C36" s="349" t="s">
        <v>29</v>
      </c>
      <c r="D36" s="357" t="s">
        <v>68</v>
      </c>
      <c r="E36" s="348" t="s">
        <v>476</v>
      </c>
      <c r="F36" s="348">
        <v>45705</v>
      </c>
      <c r="G36" s="347" t="s">
        <v>569</v>
      </c>
      <c r="H36" s="347" t="s">
        <v>473</v>
      </c>
      <c r="I36" s="347" t="s">
        <v>590</v>
      </c>
      <c r="J36" s="347" t="s">
        <v>40</v>
      </c>
      <c r="K36" s="347" t="s">
        <v>439</v>
      </c>
      <c r="L36" s="347"/>
    </row>
    <row r="37" spans="1:12">
      <c r="A37" s="358" t="s">
        <v>667</v>
      </c>
      <c r="B37" s="350" t="s">
        <v>372</v>
      </c>
      <c r="C37" s="349" t="s">
        <v>29</v>
      </c>
      <c r="D37" s="357" t="s">
        <v>52</v>
      </c>
      <c r="E37" s="348" t="s">
        <v>476</v>
      </c>
      <c r="F37" s="348">
        <v>45705</v>
      </c>
      <c r="G37" s="347" t="s">
        <v>569</v>
      </c>
      <c r="H37" s="347" t="s">
        <v>473</v>
      </c>
      <c r="I37" s="347" t="s">
        <v>590</v>
      </c>
      <c r="J37" s="347" t="s">
        <v>40</v>
      </c>
      <c r="K37" s="347" t="s">
        <v>439</v>
      </c>
      <c r="L37" s="347"/>
    </row>
    <row r="38" spans="1:12">
      <c r="A38" s="358" t="s">
        <v>667</v>
      </c>
      <c r="B38" s="350" t="s">
        <v>419</v>
      </c>
      <c r="C38" s="349" t="s">
        <v>29</v>
      </c>
      <c r="D38" s="357" t="s">
        <v>55</v>
      </c>
      <c r="E38" s="348" t="s">
        <v>476</v>
      </c>
      <c r="F38" s="348">
        <v>45705</v>
      </c>
      <c r="G38" s="347" t="s">
        <v>570</v>
      </c>
      <c r="H38" s="347" t="s">
        <v>473</v>
      </c>
      <c r="I38" s="347" t="s">
        <v>590</v>
      </c>
      <c r="J38" s="347" t="s">
        <v>274</v>
      </c>
      <c r="K38" s="347" t="s">
        <v>439</v>
      </c>
      <c r="L38" s="347" t="s">
        <v>448</v>
      </c>
    </row>
    <row r="39" spans="1:12">
      <c r="A39" s="358" t="s">
        <v>667</v>
      </c>
      <c r="B39" s="350" t="s">
        <v>372</v>
      </c>
      <c r="C39" s="349" t="s">
        <v>29</v>
      </c>
      <c r="D39" s="357" t="s">
        <v>69</v>
      </c>
      <c r="E39" s="348" t="s">
        <v>476</v>
      </c>
      <c r="F39" s="348">
        <v>45705</v>
      </c>
      <c r="G39" s="347" t="s">
        <v>569</v>
      </c>
      <c r="H39" s="347" t="s">
        <v>473</v>
      </c>
      <c r="I39" s="347" t="s">
        <v>590</v>
      </c>
      <c r="J39" s="347" t="s">
        <v>274</v>
      </c>
      <c r="K39" s="347" t="s">
        <v>439</v>
      </c>
      <c r="L39" s="347" t="s">
        <v>459</v>
      </c>
    </row>
    <row r="40" spans="1:12">
      <c r="A40" s="358" t="s">
        <v>667</v>
      </c>
      <c r="B40" s="350" t="s">
        <v>372</v>
      </c>
      <c r="C40" s="349" t="s">
        <v>29</v>
      </c>
      <c r="D40" s="357" t="s">
        <v>56</v>
      </c>
      <c r="E40" s="348" t="s">
        <v>476</v>
      </c>
      <c r="F40" s="348">
        <v>45705</v>
      </c>
      <c r="G40" s="347" t="s">
        <v>569</v>
      </c>
      <c r="H40" s="347" t="s">
        <v>473</v>
      </c>
      <c r="I40" s="347" t="s">
        <v>590</v>
      </c>
      <c r="J40" s="347" t="s">
        <v>274</v>
      </c>
      <c r="K40" s="347" t="s">
        <v>439</v>
      </c>
      <c r="L40" s="347" t="s">
        <v>459</v>
      </c>
    </row>
    <row r="41" spans="1:12">
      <c r="A41" s="358" t="s">
        <v>667</v>
      </c>
      <c r="B41" s="350" t="s">
        <v>372</v>
      </c>
      <c r="C41" s="349" t="s">
        <v>29</v>
      </c>
      <c r="D41" s="357" t="s">
        <v>70</v>
      </c>
      <c r="E41" s="348" t="s">
        <v>476</v>
      </c>
      <c r="F41" s="348">
        <v>45705</v>
      </c>
      <c r="G41" s="347" t="s">
        <v>569</v>
      </c>
      <c r="H41" s="347" t="s">
        <v>473</v>
      </c>
      <c r="I41" s="347" t="s">
        <v>590</v>
      </c>
      <c r="J41" s="347" t="s">
        <v>40</v>
      </c>
      <c r="K41" s="347" t="s">
        <v>438</v>
      </c>
      <c r="L41" s="347" t="s">
        <v>463</v>
      </c>
    </row>
    <row r="42" spans="1:12">
      <c r="A42" s="358" t="s">
        <v>667</v>
      </c>
      <c r="B42" s="350" t="s">
        <v>372</v>
      </c>
      <c r="C42" s="349" t="s">
        <v>29</v>
      </c>
      <c r="D42" s="357" t="s">
        <v>71</v>
      </c>
      <c r="E42" s="348" t="s">
        <v>476</v>
      </c>
      <c r="F42" s="348">
        <v>45705</v>
      </c>
      <c r="G42" s="347" t="s">
        <v>569</v>
      </c>
      <c r="H42" s="347" t="s">
        <v>473</v>
      </c>
      <c r="I42" s="347" t="s">
        <v>590</v>
      </c>
      <c r="J42" s="347" t="s">
        <v>40</v>
      </c>
      <c r="K42" s="347" t="s">
        <v>439</v>
      </c>
      <c r="L42" s="347"/>
    </row>
    <row r="43" spans="1:12">
      <c r="A43" s="358" t="s">
        <v>667</v>
      </c>
      <c r="B43" s="350" t="s">
        <v>372</v>
      </c>
      <c r="C43" s="349" t="s">
        <v>29</v>
      </c>
      <c r="D43" s="357" t="s">
        <v>72</v>
      </c>
      <c r="E43" s="348" t="s">
        <v>476</v>
      </c>
      <c r="F43" s="348">
        <v>45705</v>
      </c>
      <c r="G43" s="347" t="s">
        <v>569</v>
      </c>
      <c r="H43" s="347" t="s">
        <v>473</v>
      </c>
      <c r="I43" s="347" t="s">
        <v>590</v>
      </c>
      <c r="J43" s="347" t="s">
        <v>40</v>
      </c>
      <c r="K43" s="347" t="s">
        <v>439</v>
      </c>
      <c r="L43" s="347"/>
    </row>
    <row r="44" spans="1:12">
      <c r="A44" s="358" t="s">
        <v>667</v>
      </c>
      <c r="B44" s="350" t="s">
        <v>372</v>
      </c>
      <c r="C44" s="349" t="s">
        <v>29</v>
      </c>
      <c r="D44" s="357" t="s">
        <v>73</v>
      </c>
      <c r="E44" s="348" t="s">
        <v>476</v>
      </c>
      <c r="F44" s="348">
        <v>45705</v>
      </c>
      <c r="G44" s="347" t="s">
        <v>569</v>
      </c>
      <c r="H44" s="347" t="s">
        <v>473</v>
      </c>
      <c r="I44" s="347" t="s">
        <v>590</v>
      </c>
      <c r="J44" s="347" t="s">
        <v>40</v>
      </c>
      <c r="K44" s="347" t="s">
        <v>438</v>
      </c>
      <c r="L44" s="347" t="s">
        <v>463</v>
      </c>
    </row>
    <row r="45" spans="1:12">
      <c r="A45" s="358" t="s">
        <v>667</v>
      </c>
      <c r="B45" s="350" t="s">
        <v>419</v>
      </c>
      <c r="C45" s="349" t="s">
        <v>29</v>
      </c>
      <c r="D45" s="357" t="s">
        <v>74</v>
      </c>
      <c r="E45" s="348" t="s">
        <v>476</v>
      </c>
      <c r="F45" s="348">
        <v>45705</v>
      </c>
      <c r="G45" s="347" t="s">
        <v>570</v>
      </c>
      <c r="H45" s="347" t="s">
        <v>473</v>
      </c>
      <c r="I45" s="347" t="s">
        <v>590</v>
      </c>
      <c r="J45" s="347" t="s">
        <v>274</v>
      </c>
      <c r="K45" s="347" t="s">
        <v>439</v>
      </c>
      <c r="L45" s="347" t="s">
        <v>449</v>
      </c>
    </row>
    <row r="46" spans="1:12">
      <c r="A46" s="358" t="s">
        <v>667</v>
      </c>
      <c r="B46" s="350" t="s">
        <v>372</v>
      </c>
      <c r="C46" s="349" t="s">
        <v>29</v>
      </c>
      <c r="D46" s="357" t="s">
        <v>75</v>
      </c>
      <c r="E46" s="348" t="s">
        <v>476</v>
      </c>
      <c r="F46" s="348">
        <v>45705</v>
      </c>
      <c r="G46" s="347" t="s">
        <v>569</v>
      </c>
      <c r="H46" s="347" t="s">
        <v>473</v>
      </c>
      <c r="I46" s="347" t="s">
        <v>590</v>
      </c>
      <c r="J46" s="347" t="s">
        <v>40</v>
      </c>
      <c r="K46" s="347" t="s">
        <v>439</v>
      </c>
      <c r="L46" s="347"/>
    </row>
    <row r="47" spans="1:12">
      <c r="A47" s="358" t="s">
        <v>667</v>
      </c>
      <c r="B47" s="350" t="s">
        <v>419</v>
      </c>
      <c r="C47" s="349" t="s">
        <v>29</v>
      </c>
      <c r="D47" s="357" t="s">
        <v>76</v>
      </c>
      <c r="E47" s="348" t="s">
        <v>476</v>
      </c>
      <c r="F47" s="348">
        <v>45705</v>
      </c>
      <c r="G47" s="347" t="s">
        <v>570</v>
      </c>
      <c r="H47" s="347" t="s">
        <v>473</v>
      </c>
      <c r="I47" s="347" t="s">
        <v>590</v>
      </c>
      <c r="J47" s="347" t="s">
        <v>274</v>
      </c>
      <c r="K47" s="347" t="s">
        <v>439</v>
      </c>
      <c r="L47" s="347" t="s">
        <v>446</v>
      </c>
    </row>
    <row r="48" spans="1:12">
      <c r="A48" s="358" t="s">
        <v>667</v>
      </c>
      <c r="B48" s="350" t="s">
        <v>372</v>
      </c>
      <c r="C48" s="349" t="s">
        <v>29</v>
      </c>
      <c r="D48" s="357" t="s">
        <v>77</v>
      </c>
      <c r="E48" s="348" t="s">
        <v>476</v>
      </c>
      <c r="F48" s="348">
        <v>45705</v>
      </c>
      <c r="G48" s="347" t="s">
        <v>569</v>
      </c>
      <c r="H48" s="347" t="s">
        <v>473</v>
      </c>
      <c r="I48" s="347" t="s">
        <v>590</v>
      </c>
      <c r="J48" s="347" t="s">
        <v>40</v>
      </c>
      <c r="K48" s="347" t="s">
        <v>439</v>
      </c>
      <c r="L48" s="347"/>
    </row>
    <row r="49" spans="1:12">
      <c r="A49" s="358" t="s">
        <v>667</v>
      </c>
      <c r="B49" s="350" t="s">
        <v>372</v>
      </c>
      <c r="C49" s="349" t="s">
        <v>29</v>
      </c>
      <c r="D49" s="357" t="s">
        <v>78</v>
      </c>
      <c r="E49" s="348" t="s">
        <v>476</v>
      </c>
      <c r="F49" s="348">
        <v>45705</v>
      </c>
      <c r="G49" s="347" t="s">
        <v>569</v>
      </c>
      <c r="H49" s="347" t="s">
        <v>473</v>
      </c>
      <c r="I49" s="347" t="s">
        <v>590</v>
      </c>
      <c r="J49" s="347" t="s">
        <v>40</v>
      </c>
      <c r="K49" s="347" t="s">
        <v>439</v>
      </c>
      <c r="L49" s="347" t="s">
        <v>462</v>
      </c>
    </row>
    <row r="50" spans="1:12">
      <c r="B50" s="350" t="s">
        <v>372</v>
      </c>
      <c r="C50" s="349" t="s">
        <v>29</v>
      </c>
      <c r="D50" s="347" t="s">
        <v>57</v>
      </c>
      <c r="E50" s="347" t="s">
        <v>483</v>
      </c>
      <c r="F50" s="348">
        <v>45719</v>
      </c>
      <c r="G50" s="347" t="s">
        <v>573</v>
      </c>
      <c r="H50" s="347" t="s">
        <v>473</v>
      </c>
      <c r="I50" s="347" t="s">
        <v>560</v>
      </c>
      <c r="J50" s="347" t="s">
        <v>40</v>
      </c>
      <c r="K50" s="347" t="s">
        <v>439</v>
      </c>
      <c r="L50" s="347" t="s">
        <v>460</v>
      </c>
    </row>
    <row r="51" spans="1:12">
      <c r="B51" s="350" t="s">
        <v>17</v>
      </c>
      <c r="C51" s="349" t="s">
        <v>29</v>
      </c>
      <c r="D51" s="347" t="s">
        <v>66</v>
      </c>
      <c r="E51" s="347" t="s">
        <v>482</v>
      </c>
      <c r="F51" s="348">
        <v>45737</v>
      </c>
      <c r="G51" s="347" t="s">
        <v>571</v>
      </c>
      <c r="H51" s="347" t="s">
        <v>474</v>
      </c>
      <c r="I51" s="347" t="s">
        <v>566</v>
      </c>
      <c r="J51" s="347" t="s">
        <v>274</v>
      </c>
      <c r="K51" s="347" t="s">
        <v>438</v>
      </c>
      <c r="L51" s="347" t="s">
        <v>446</v>
      </c>
    </row>
    <row r="52" spans="1:12">
      <c r="B52" s="350" t="s">
        <v>411</v>
      </c>
      <c r="C52" s="349" t="s">
        <v>29</v>
      </c>
      <c r="D52" s="347" t="s">
        <v>64</v>
      </c>
      <c r="E52" s="347" t="s">
        <v>483</v>
      </c>
      <c r="F52" s="348">
        <v>45719</v>
      </c>
      <c r="G52" s="347" t="s">
        <v>571</v>
      </c>
      <c r="H52" s="347" t="s">
        <v>474</v>
      </c>
      <c r="I52" s="347" t="s">
        <v>563</v>
      </c>
      <c r="J52" s="347" t="s">
        <v>341</v>
      </c>
      <c r="K52" s="347" t="s">
        <v>438</v>
      </c>
      <c r="L52" s="347"/>
    </row>
    <row r="53" spans="1:12">
      <c r="B53" s="350" t="s">
        <v>372</v>
      </c>
      <c r="C53" s="349" t="s">
        <v>29</v>
      </c>
      <c r="D53" s="347" t="s">
        <v>53</v>
      </c>
      <c r="E53" s="347" t="s">
        <v>483</v>
      </c>
      <c r="F53" s="348">
        <v>45719</v>
      </c>
      <c r="G53" s="347" t="s">
        <v>573</v>
      </c>
      <c r="H53" s="347" t="s">
        <v>473</v>
      </c>
      <c r="I53" s="347" t="s">
        <v>560</v>
      </c>
      <c r="J53" s="347" t="s">
        <v>40</v>
      </c>
      <c r="K53" s="347" t="s">
        <v>439</v>
      </c>
      <c r="L53" s="347"/>
    </row>
    <row r="54" spans="1:12">
      <c r="B54" s="350" t="s">
        <v>372</v>
      </c>
      <c r="C54" s="349" t="s">
        <v>28</v>
      </c>
      <c r="D54" s="347" t="s">
        <v>51</v>
      </c>
      <c r="E54" s="348" t="s">
        <v>478</v>
      </c>
      <c r="F54" s="348">
        <v>45707</v>
      </c>
      <c r="G54" s="347" t="s">
        <v>569</v>
      </c>
      <c r="H54" s="347" t="s">
        <v>473</v>
      </c>
      <c r="I54" s="347" t="s">
        <v>590</v>
      </c>
      <c r="J54" s="347" t="s">
        <v>40</v>
      </c>
      <c r="K54" s="347" t="s">
        <v>439</v>
      </c>
      <c r="L54" s="347"/>
    </row>
    <row r="55" spans="1:12">
      <c r="B55" s="350" t="s">
        <v>372</v>
      </c>
      <c r="C55" s="349" t="s">
        <v>28</v>
      </c>
      <c r="D55" s="347" t="s">
        <v>52</v>
      </c>
      <c r="E55" s="348" t="s">
        <v>478</v>
      </c>
      <c r="F55" s="348">
        <v>45707</v>
      </c>
      <c r="G55" s="347" t="s">
        <v>569</v>
      </c>
      <c r="H55" s="347" t="s">
        <v>473</v>
      </c>
      <c r="I55" s="347" t="s">
        <v>590</v>
      </c>
      <c r="J55" s="347" t="s">
        <v>40</v>
      </c>
      <c r="K55" s="347" t="s">
        <v>439</v>
      </c>
      <c r="L55" s="347"/>
    </row>
    <row r="56" spans="1:12">
      <c r="B56" s="350" t="s">
        <v>372</v>
      </c>
      <c r="C56" s="349" t="s">
        <v>28</v>
      </c>
      <c r="D56" s="347" t="s">
        <v>113</v>
      </c>
      <c r="E56" s="348" t="s">
        <v>478</v>
      </c>
      <c r="F56" s="348">
        <v>45707</v>
      </c>
      <c r="G56" s="347" t="s">
        <v>569</v>
      </c>
      <c r="H56" s="347" t="s">
        <v>473</v>
      </c>
      <c r="I56" s="347" t="s">
        <v>590</v>
      </c>
      <c r="J56" s="347" t="s">
        <v>40</v>
      </c>
      <c r="K56" s="347" t="s">
        <v>439</v>
      </c>
      <c r="L56" s="347"/>
    </row>
    <row r="57" spans="1:12">
      <c r="B57" s="350" t="s">
        <v>372</v>
      </c>
      <c r="C57" s="349" t="s">
        <v>28</v>
      </c>
      <c r="D57" s="347" t="s">
        <v>114</v>
      </c>
      <c r="E57" s="348" t="s">
        <v>478</v>
      </c>
      <c r="F57" s="348">
        <v>45707</v>
      </c>
      <c r="G57" s="347" t="s">
        <v>569</v>
      </c>
      <c r="H57" s="347" t="s">
        <v>473</v>
      </c>
      <c r="I57" s="347" t="s">
        <v>590</v>
      </c>
      <c r="J57" s="347" t="s">
        <v>40</v>
      </c>
      <c r="K57" s="347" t="s">
        <v>439</v>
      </c>
      <c r="L57" s="347"/>
    </row>
    <row r="58" spans="1:12">
      <c r="B58" s="350" t="s">
        <v>372</v>
      </c>
      <c r="C58" s="349" t="s">
        <v>28</v>
      </c>
      <c r="D58" s="347" t="s">
        <v>115</v>
      </c>
      <c r="E58" s="348" t="s">
        <v>478</v>
      </c>
      <c r="F58" s="348">
        <v>45707</v>
      </c>
      <c r="G58" s="347" t="s">
        <v>569</v>
      </c>
      <c r="H58" s="347" t="s">
        <v>473</v>
      </c>
      <c r="I58" s="347" t="s">
        <v>590</v>
      </c>
      <c r="J58" s="347" t="s">
        <v>40</v>
      </c>
      <c r="K58" s="347" t="s">
        <v>439</v>
      </c>
      <c r="L58" s="347" t="s">
        <v>461</v>
      </c>
    </row>
    <row r="59" spans="1:12">
      <c r="B59" s="350" t="s">
        <v>399</v>
      </c>
      <c r="C59" s="349" t="s">
        <v>28</v>
      </c>
      <c r="D59" s="347" t="s">
        <v>400</v>
      </c>
      <c r="E59" s="347" t="s">
        <v>482</v>
      </c>
      <c r="F59" s="348">
        <v>45737</v>
      </c>
      <c r="G59" s="347" t="s">
        <v>571</v>
      </c>
      <c r="H59" s="347" t="s">
        <v>475</v>
      </c>
      <c r="I59" s="347" t="s">
        <v>565</v>
      </c>
      <c r="J59" s="347" t="s">
        <v>274</v>
      </c>
      <c r="K59" s="347" t="s">
        <v>439</v>
      </c>
      <c r="L59" s="347" t="s">
        <v>467</v>
      </c>
    </row>
    <row r="60" spans="1:12">
      <c r="B60" s="350" t="s">
        <v>373</v>
      </c>
      <c r="C60" s="349" t="s">
        <v>28</v>
      </c>
      <c r="D60" s="347" t="s">
        <v>118</v>
      </c>
      <c r="E60" s="347" t="s">
        <v>482</v>
      </c>
      <c r="F60" s="348">
        <v>45737</v>
      </c>
      <c r="G60" s="347" t="s">
        <v>571</v>
      </c>
      <c r="H60" s="347" t="s">
        <v>474</v>
      </c>
      <c r="I60" s="347" t="s">
        <v>566</v>
      </c>
      <c r="J60" s="347" t="s">
        <v>274</v>
      </c>
      <c r="K60" s="347" t="s">
        <v>15</v>
      </c>
      <c r="L60" s="347" t="s">
        <v>412</v>
      </c>
    </row>
    <row r="61" spans="1:12">
      <c r="B61" s="350" t="s">
        <v>372</v>
      </c>
      <c r="C61" s="349" t="s">
        <v>275</v>
      </c>
      <c r="D61" s="347" t="s">
        <v>51</v>
      </c>
      <c r="E61" s="348" t="s">
        <v>478</v>
      </c>
      <c r="F61" s="348">
        <v>45707</v>
      </c>
      <c r="G61" s="347" t="s">
        <v>569</v>
      </c>
      <c r="H61" s="347" t="s">
        <v>473</v>
      </c>
      <c r="I61" s="347" t="s">
        <v>590</v>
      </c>
      <c r="J61" s="347" t="s">
        <v>40</v>
      </c>
      <c r="K61" s="347" t="s">
        <v>439</v>
      </c>
      <c r="L61" s="347"/>
    </row>
    <row r="62" spans="1:12">
      <c r="B62" s="350" t="s">
        <v>372</v>
      </c>
      <c r="C62" s="349" t="s">
        <v>275</v>
      </c>
      <c r="D62" s="347" t="s">
        <v>52</v>
      </c>
      <c r="E62" s="348" t="s">
        <v>478</v>
      </c>
      <c r="F62" s="348">
        <v>45707</v>
      </c>
      <c r="G62" s="347" t="s">
        <v>569</v>
      </c>
      <c r="H62" s="347" t="s">
        <v>473</v>
      </c>
      <c r="I62" s="347" t="s">
        <v>590</v>
      </c>
      <c r="J62" s="347" t="s">
        <v>40</v>
      </c>
      <c r="K62" s="347" t="s">
        <v>439</v>
      </c>
      <c r="L62" s="347"/>
    </row>
    <row r="63" spans="1:12">
      <c r="B63" s="350" t="s">
        <v>372</v>
      </c>
      <c r="C63" s="349" t="s">
        <v>275</v>
      </c>
      <c r="D63" s="347" t="s">
        <v>53</v>
      </c>
      <c r="E63" s="348" t="s">
        <v>478</v>
      </c>
      <c r="F63" s="348">
        <v>45707</v>
      </c>
      <c r="G63" s="347" t="s">
        <v>569</v>
      </c>
      <c r="H63" s="347" t="s">
        <v>473</v>
      </c>
      <c r="I63" s="347" t="s">
        <v>590</v>
      </c>
      <c r="J63" s="347" t="s">
        <v>40</v>
      </c>
      <c r="K63" s="347" t="s">
        <v>439</v>
      </c>
      <c r="L63" s="347"/>
    </row>
    <row r="64" spans="1:12">
      <c r="B64" s="350" t="s">
        <v>372</v>
      </c>
      <c r="C64" s="349" t="s">
        <v>275</v>
      </c>
      <c r="D64" s="347" t="s">
        <v>113</v>
      </c>
      <c r="E64" s="348" t="s">
        <v>478</v>
      </c>
      <c r="F64" s="348">
        <v>45707</v>
      </c>
      <c r="G64" s="347" t="s">
        <v>569</v>
      </c>
      <c r="H64" s="347" t="s">
        <v>473</v>
      </c>
      <c r="I64" s="347" t="s">
        <v>590</v>
      </c>
      <c r="J64" s="347" t="s">
        <v>40</v>
      </c>
      <c r="K64" s="347" t="s">
        <v>439</v>
      </c>
      <c r="L64" s="347"/>
    </row>
    <row r="65" spans="2:12">
      <c r="B65" s="350" t="s">
        <v>399</v>
      </c>
      <c r="C65" s="349" t="s">
        <v>275</v>
      </c>
      <c r="D65" s="347" t="s">
        <v>117</v>
      </c>
      <c r="E65" s="347" t="s">
        <v>482</v>
      </c>
      <c r="F65" s="348">
        <v>45737</v>
      </c>
      <c r="G65" s="347" t="s">
        <v>571</v>
      </c>
      <c r="H65" s="347" t="s">
        <v>475</v>
      </c>
      <c r="I65" s="347" t="s">
        <v>567</v>
      </c>
      <c r="J65" s="347" t="s">
        <v>341</v>
      </c>
      <c r="K65" s="347" t="s">
        <v>439</v>
      </c>
      <c r="L65" s="347" t="s">
        <v>467</v>
      </c>
    </row>
    <row r="66" spans="2:12">
      <c r="B66" s="350" t="s">
        <v>411</v>
      </c>
      <c r="C66" s="349" t="s">
        <v>108</v>
      </c>
      <c r="D66" s="347" t="s">
        <v>116</v>
      </c>
      <c r="E66" s="347" t="s">
        <v>481</v>
      </c>
      <c r="F66" s="348">
        <v>45730</v>
      </c>
      <c r="G66" s="347" t="s">
        <v>571</v>
      </c>
      <c r="H66" s="347" t="s">
        <v>475</v>
      </c>
      <c r="I66" s="347" t="s">
        <v>564</v>
      </c>
      <c r="J66" s="347" t="s">
        <v>341</v>
      </c>
      <c r="K66" s="347" t="s">
        <v>439</v>
      </c>
      <c r="L66" s="347" t="s">
        <v>468</v>
      </c>
    </row>
    <row r="67" spans="2:12">
      <c r="B67" s="350" t="s">
        <v>374</v>
      </c>
      <c r="C67" s="349" t="s">
        <v>108</v>
      </c>
      <c r="D67" s="347" t="s">
        <v>58</v>
      </c>
      <c r="E67" s="347" t="s">
        <v>482</v>
      </c>
      <c r="F67" s="348">
        <v>45737</v>
      </c>
      <c r="G67" s="347" t="s">
        <v>571</v>
      </c>
      <c r="H67" s="347" t="s">
        <v>475</v>
      </c>
      <c r="I67" s="347" t="s">
        <v>564</v>
      </c>
      <c r="J67" s="347" t="s">
        <v>341</v>
      </c>
      <c r="K67" s="347" t="s">
        <v>439</v>
      </c>
      <c r="L67" s="347" t="s">
        <v>469</v>
      </c>
    </row>
    <row r="68" spans="2:12">
      <c r="B68" s="350" t="s">
        <v>374</v>
      </c>
      <c r="C68" s="349" t="s">
        <v>108</v>
      </c>
      <c r="D68" s="347" t="s">
        <v>59</v>
      </c>
      <c r="E68" s="347" t="s">
        <v>481</v>
      </c>
      <c r="F68" s="348">
        <v>45730</v>
      </c>
      <c r="G68" s="347" t="s">
        <v>571</v>
      </c>
      <c r="H68" s="347" t="s">
        <v>475</v>
      </c>
      <c r="I68" s="347" t="s">
        <v>564</v>
      </c>
      <c r="J68" s="347" t="s">
        <v>341</v>
      </c>
      <c r="K68" s="347" t="s">
        <v>439</v>
      </c>
      <c r="L68" s="347" t="s">
        <v>469</v>
      </c>
    </row>
    <row r="69" spans="2:12">
      <c r="B69" s="350" t="s">
        <v>374</v>
      </c>
      <c r="C69" s="349" t="s">
        <v>108</v>
      </c>
      <c r="D69" s="347" t="s">
        <v>51</v>
      </c>
      <c r="E69" s="347" t="s">
        <v>481</v>
      </c>
      <c r="F69" s="348">
        <v>45730</v>
      </c>
      <c r="G69" s="347" t="s">
        <v>571</v>
      </c>
      <c r="H69" s="347" t="s">
        <v>475</v>
      </c>
      <c r="I69" s="347" t="s">
        <v>564</v>
      </c>
      <c r="J69" s="347" t="s">
        <v>341</v>
      </c>
      <c r="K69" s="347" t="s">
        <v>439</v>
      </c>
      <c r="L69" s="347" t="s">
        <v>468</v>
      </c>
    </row>
    <row r="70" spans="2:12">
      <c r="B70" s="350" t="s">
        <v>374</v>
      </c>
      <c r="C70" s="349" t="s">
        <v>108</v>
      </c>
      <c r="D70" s="347" t="s">
        <v>52</v>
      </c>
      <c r="E70" s="347" t="s">
        <v>481</v>
      </c>
      <c r="F70" s="348">
        <v>45730</v>
      </c>
      <c r="G70" s="347" t="s">
        <v>571</v>
      </c>
      <c r="H70" s="347" t="s">
        <v>475</v>
      </c>
      <c r="I70" s="347" t="s">
        <v>564</v>
      </c>
      <c r="J70" s="347" t="s">
        <v>341</v>
      </c>
      <c r="K70" s="347" t="s">
        <v>439</v>
      </c>
      <c r="L70" s="347" t="s">
        <v>468</v>
      </c>
    </row>
    <row r="71" spans="2:12">
      <c r="B71" s="350" t="s">
        <v>374</v>
      </c>
      <c r="C71" s="349" t="s">
        <v>108</v>
      </c>
      <c r="D71" s="347" t="s">
        <v>53</v>
      </c>
      <c r="E71" s="347" t="s">
        <v>481</v>
      </c>
      <c r="F71" s="348">
        <v>45730</v>
      </c>
      <c r="G71" s="347" t="s">
        <v>571</v>
      </c>
      <c r="H71" s="347" t="s">
        <v>475</v>
      </c>
      <c r="I71" s="347" t="s">
        <v>564</v>
      </c>
      <c r="J71" s="347" t="s">
        <v>341</v>
      </c>
      <c r="K71" s="347" t="s">
        <v>439</v>
      </c>
      <c r="L71" s="347" t="s">
        <v>468</v>
      </c>
    </row>
  </sheetData>
  <autoFilter ref="B2:L71" xr:uid="{8D9A5772-9038-4477-984F-8378D4AC0587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F601A-33FB-44EF-B845-7F08A05F1D8E}">
  <sheetPr filterMode="1">
    <tabColor theme="0" tint="-0.499984740745262"/>
  </sheetPr>
  <dimension ref="A1:J768"/>
  <sheetViews>
    <sheetView showGridLines="0" zoomScale="90" zoomScaleNormal="90" workbookViewId="0">
      <selection activeCell="D61" sqref="D61"/>
    </sheetView>
  </sheetViews>
  <sheetFormatPr defaultColWidth="8.58203125" defaultRowHeight="17.399999999999999" customHeight="1" zeroHeight="1"/>
  <cols>
    <col min="1" max="1" width="3.58203125" style="1" customWidth="1"/>
    <col min="2" max="2" width="8.58203125" style="1" bestFit="1" customWidth="1"/>
    <col min="3" max="3" width="33" style="1" bestFit="1" customWidth="1"/>
    <col min="4" max="4" width="19.08203125" style="1" bestFit="1" customWidth="1"/>
    <col min="5" max="5" width="39.58203125" style="1" bestFit="1" customWidth="1"/>
    <col min="6" max="6" width="31.6640625" style="1" customWidth="1"/>
    <col min="7" max="7" width="32.4140625" style="1" bestFit="1" customWidth="1"/>
    <col min="8" max="8" width="149.6640625" style="273" customWidth="1"/>
    <col min="9" max="9" width="20.58203125" style="1" customWidth="1"/>
    <col min="10" max="10" width="3.6640625" customWidth="1"/>
    <col min="11" max="104" width="8.58203125" customWidth="1"/>
  </cols>
  <sheetData>
    <row r="1" spans="1:10" ht="17" customHeight="1">
      <c r="J1" s="1"/>
    </row>
    <row r="2" spans="1:10" ht="17" customHeight="1">
      <c r="J2" s="1"/>
    </row>
    <row r="3" spans="1:10" ht="17" customHeight="1">
      <c r="J3" s="1"/>
    </row>
    <row r="4" spans="1:10" ht="5" customHeight="1">
      <c r="A4" s="10"/>
      <c r="B4" s="10"/>
      <c r="C4" s="10"/>
      <c r="D4" s="10"/>
      <c r="E4" s="10"/>
      <c r="F4" s="10"/>
      <c r="G4" s="10"/>
      <c r="H4" s="274"/>
      <c r="I4" s="10"/>
      <c r="J4" s="10"/>
    </row>
    <row r="5" spans="1:10" ht="17" customHeight="1">
      <c r="J5" s="1"/>
    </row>
    <row r="6" spans="1:10" ht="17" customHeight="1">
      <c r="B6" s="23" t="s">
        <v>410</v>
      </c>
      <c r="C6" s="24"/>
      <c r="D6" s="24"/>
      <c r="E6" s="24"/>
      <c r="F6" s="24"/>
      <c r="G6" s="24"/>
      <c r="H6" s="288"/>
      <c r="I6" s="24"/>
    </row>
    <row r="7" spans="1:10" ht="17" customHeight="1"/>
    <row r="8" spans="1:10" ht="17" customHeight="1">
      <c r="B8" s="284" t="s">
        <v>0</v>
      </c>
      <c r="C8" s="284" t="s">
        <v>1</v>
      </c>
      <c r="D8" s="284" t="s">
        <v>3</v>
      </c>
      <c r="E8" s="284" t="s">
        <v>4</v>
      </c>
      <c r="F8" s="285" t="s">
        <v>441</v>
      </c>
      <c r="G8" s="284" t="s">
        <v>442</v>
      </c>
      <c r="H8" s="284" t="s">
        <v>13</v>
      </c>
      <c r="I8" s="284" t="s">
        <v>406</v>
      </c>
    </row>
    <row r="9" spans="1:10" ht="17" hidden="1" customHeight="1">
      <c r="A9" s="212"/>
      <c r="B9" s="292" t="s">
        <v>17</v>
      </c>
      <c r="C9" s="292" t="s">
        <v>405</v>
      </c>
      <c r="D9" s="286" t="s">
        <v>29</v>
      </c>
      <c r="E9" s="286" t="s">
        <v>79</v>
      </c>
      <c r="F9" s="286" t="s">
        <v>40</v>
      </c>
      <c r="G9" s="293" t="str">
        <f t="array" ref="G9">IF(INDEX('3. Plano_Detalhado'!$E$50:$I$124,MATCH(1,('Reunião 30jan'!D9='3. Plano_Detalhado'!$E$50:$E$124)*('3. Plano_Detalhado'!$F$50:$F$124='Reunião 30jan'!E9),0),5)="Alterar especificação","Y",IF(INDEX('3. Plano_Detalhado'!$E$50:$I$124,MATCH(1,('Reunião 30jan'!D9='3. Plano_Detalhado'!$E$50:$E$124)*('3. Plano_Detalhado'!$F$50:$F$124='Reunião 30jan'!E9),0),5)="Não alterar especificação","N",INDEX('3. Plano_Detalhado'!$E$50:$I$124,MATCH(1,('Reunião 30jan'!D9='3. Plano_Detalhado'!$E$50:$E$124)*('3. Plano_Detalhado'!$F$50:$F$124='Reunião 30jan'!E9),0),5)))</f>
        <v>Y</v>
      </c>
      <c r="H9" s="287" t="s">
        <v>443</v>
      </c>
      <c r="I9" s="201"/>
    </row>
    <row r="10" spans="1:10" ht="17" hidden="1" customHeight="1">
      <c r="A10" s="212"/>
      <c r="B10" s="292" t="s">
        <v>17</v>
      </c>
      <c r="C10" s="292" t="s">
        <v>405</v>
      </c>
      <c r="D10" s="286" t="s">
        <v>29</v>
      </c>
      <c r="E10" s="286" t="s">
        <v>60</v>
      </c>
      <c r="F10" s="286" t="s">
        <v>341</v>
      </c>
      <c r="G10" s="293" t="str">
        <f t="array" ref="G10">IF(INDEX('3. Plano_Detalhado'!$E$50:$I$124,MATCH(1,('Reunião 30jan'!D10='3. Plano_Detalhado'!$E$50:$E$124)*('3. Plano_Detalhado'!$F$50:$F$124='Reunião 30jan'!E10),0),5)="Alterar especificação","Y",IF(INDEX('3. Plano_Detalhado'!$E$50:$I$124,MATCH(1,('Reunião 30jan'!D10='3. Plano_Detalhado'!$E$50:$E$124)*('3. Plano_Detalhado'!$F$50:$F$124='Reunião 30jan'!E10),0),5)="Não alterar especificação","N",INDEX('3. Plano_Detalhado'!$E$50:$I$124,MATCH(1,('Reunião 30jan'!D10='3. Plano_Detalhado'!$E$50:$E$124)*('3. Plano_Detalhado'!$F$50:$F$124='Reunião 30jan'!E10),0),5)))</f>
        <v>N</v>
      </c>
      <c r="H10" s="287" t="s">
        <v>422</v>
      </c>
      <c r="I10" s="201"/>
    </row>
    <row r="11" spans="1:10" ht="17" hidden="1" customHeight="1">
      <c r="A11" s="212"/>
      <c r="B11" s="292" t="s">
        <v>17</v>
      </c>
      <c r="C11" s="292" t="s">
        <v>405</v>
      </c>
      <c r="D11" s="286" t="s">
        <v>29</v>
      </c>
      <c r="E11" s="286" t="s">
        <v>80</v>
      </c>
      <c r="F11" s="286" t="s">
        <v>40</v>
      </c>
      <c r="G11" s="293" t="str">
        <f t="array" ref="G11">IF(INDEX('3. Plano_Detalhado'!$E$50:$I$124,MATCH(1,('Reunião 30jan'!D11='3. Plano_Detalhado'!$E$50:$E$124)*('3. Plano_Detalhado'!$F$50:$F$124='Reunião 30jan'!E11),0),5)="Alterar especificação","Y",IF(INDEX('3. Plano_Detalhado'!$E$50:$I$124,MATCH(1,('Reunião 30jan'!D11='3. Plano_Detalhado'!$E$50:$E$124)*('3. Plano_Detalhado'!$F$50:$F$124='Reunião 30jan'!E11),0),5)="Não alterar especificação","N",INDEX('3. Plano_Detalhado'!$E$50:$I$124,MATCH(1,('Reunião 30jan'!D11='3. Plano_Detalhado'!$E$50:$E$124)*('3. Plano_Detalhado'!$F$50:$F$124='Reunião 30jan'!E11),0),5)))</f>
        <v>Y</v>
      </c>
      <c r="H11" s="287" t="s">
        <v>443</v>
      </c>
      <c r="I11" s="201"/>
    </row>
    <row r="12" spans="1:10" ht="17" hidden="1" customHeight="1">
      <c r="A12" s="212"/>
      <c r="B12" s="292" t="s">
        <v>17</v>
      </c>
      <c r="C12" s="292" t="s">
        <v>405</v>
      </c>
      <c r="D12" s="286" t="s">
        <v>29</v>
      </c>
      <c r="E12" s="286" t="s">
        <v>81</v>
      </c>
      <c r="F12" s="286" t="s">
        <v>40</v>
      </c>
      <c r="G12" s="293" t="str">
        <f t="array" ref="G12">IF(INDEX('3. Plano_Detalhado'!$E$50:$I$124,MATCH(1,('Reunião 30jan'!D12='3. Plano_Detalhado'!$E$50:$E$124)*('3. Plano_Detalhado'!$F$50:$F$124='Reunião 30jan'!E12),0),5)="Alterar especificação","Y",IF(INDEX('3. Plano_Detalhado'!$E$50:$I$124,MATCH(1,('Reunião 30jan'!D12='3. Plano_Detalhado'!$E$50:$E$124)*('3. Plano_Detalhado'!$F$50:$F$124='Reunião 30jan'!E12),0),5)="Não alterar especificação","N",INDEX('3. Plano_Detalhado'!$E$50:$I$124,MATCH(1,('Reunião 30jan'!D12='3. Plano_Detalhado'!$E$50:$E$124)*('3. Plano_Detalhado'!$F$50:$F$124='Reunião 30jan'!E12),0),5)))</f>
        <v>Y</v>
      </c>
      <c r="H12" s="287" t="s">
        <v>443</v>
      </c>
      <c r="I12" s="201"/>
    </row>
    <row r="13" spans="1:10" ht="17" hidden="1" customHeight="1">
      <c r="A13" s="212"/>
      <c r="B13" s="292" t="s">
        <v>17</v>
      </c>
      <c r="C13" s="292" t="s">
        <v>405</v>
      </c>
      <c r="D13" s="286" t="s">
        <v>29</v>
      </c>
      <c r="E13" s="286" t="s">
        <v>82</v>
      </c>
      <c r="F13" s="286" t="s">
        <v>40</v>
      </c>
      <c r="G13" s="293" t="str">
        <f t="array" ref="G13">IF(INDEX('3. Plano_Detalhado'!$E$50:$I$124,MATCH(1,('Reunião 30jan'!D13='3. Plano_Detalhado'!$E$50:$E$124)*('3. Plano_Detalhado'!$F$50:$F$124='Reunião 30jan'!E13),0),5)="Alterar especificação","Y",IF(INDEX('3. Plano_Detalhado'!$E$50:$I$124,MATCH(1,('Reunião 30jan'!D13='3. Plano_Detalhado'!$E$50:$E$124)*('3. Plano_Detalhado'!$F$50:$F$124='Reunião 30jan'!E13),0),5)="Não alterar especificação","N",INDEX('3. Plano_Detalhado'!$E$50:$I$124,MATCH(1,('Reunião 30jan'!D13='3. Plano_Detalhado'!$E$50:$E$124)*('3. Plano_Detalhado'!$F$50:$F$124='Reunião 30jan'!E13),0),5)))</f>
        <v>N</v>
      </c>
      <c r="H13" s="287"/>
      <c r="I13" s="201"/>
    </row>
    <row r="14" spans="1:10" ht="17" hidden="1" customHeight="1">
      <c r="A14" s="212"/>
      <c r="B14" s="292" t="s">
        <v>17</v>
      </c>
      <c r="C14" s="292" t="s">
        <v>405</v>
      </c>
      <c r="D14" s="286" t="s">
        <v>29</v>
      </c>
      <c r="E14" s="286" t="s">
        <v>83</v>
      </c>
      <c r="F14" s="286" t="s">
        <v>40</v>
      </c>
      <c r="G14" s="293" t="str">
        <f t="array" ref="G14">IF(INDEX('3. Plano_Detalhado'!$E$50:$I$124,MATCH(1,('Reunião 30jan'!D14='3. Plano_Detalhado'!$E$50:$E$124)*('3. Plano_Detalhado'!$F$50:$F$124='Reunião 30jan'!E14),0),5)="Alterar especificação","Y",IF(INDEX('3. Plano_Detalhado'!$E$50:$I$124,MATCH(1,('Reunião 30jan'!D14='3. Plano_Detalhado'!$E$50:$E$124)*('3. Plano_Detalhado'!$F$50:$F$124='Reunião 30jan'!E14),0),5)="Não alterar especificação","N",INDEX('3. Plano_Detalhado'!$E$50:$I$124,MATCH(1,('Reunião 30jan'!D14='3. Plano_Detalhado'!$E$50:$E$124)*('3. Plano_Detalhado'!$F$50:$F$124='Reunião 30jan'!E14),0),5)))</f>
        <v>Y</v>
      </c>
      <c r="H14" s="287" t="s">
        <v>443</v>
      </c>
      <c r="I14" s="201"/>
    </row>
    <row r="15" spans="1:10" ht="17" hidden="1" customHeight="1">
      <c r="A15" s="212"/>
      <c r="B15" s="292" t="s">
        <v>17</v>
      </c>
      <c r="C15" s="292" t="s">
        <v>405</v>
      </c>
      <c r="D15" s="286" t="s">
        <v>29</v>
      </c>
      <c r="E15" s="286" t="s">
        <v>61</v>
      </c>
      <c r="F15" s="286" t="s">
        <v>341</v>
      </c>
      <c r="G15" s="293" t="str">
        <f t="array" ref="G15">IF(INDEX('3. Plano_Detalhado'!$E$50:$I$124,MATCH(1,('Reunião 30jan'!D15='3. Plano_Detalhado'!$E$50:$E$124)*('3. Plano_Detalhado'!$F$50:$F$124='Reunião 30jan'!E15),0),5)="Alterar especificação","Y",IF(INDEX('3. Plano_Detalhado'!$E$50:$I$124,MATCH(1,('Reunião 30jan'!D15='3. Plano_Detalhado'!$E$50:$E$124)*('3. Plano_Detalhado'!$F$50:$F$124='Reunião 30jan'!E15),0),5)="Não alterar especificação","N",INDEX('3. Plano_Detalhado'!$E$50:$I$124,MATCH(1,('Reunião 30jan'!D15='3. Plano_Detalhado'!$E$50:$E$124)*('3. Plano_Detalhado'!$F$50:$F$124='Reunião 30jan'!E15),0),5)))</f>
        <v>Y</v>
      </c>
      <c r="H15" s="287" t="s">
        <v>382</v>
      </c>
      <c r="I15" s="201"/>
    </row>
    <row r="16" spans="1:10" ht="17" hidden="1" customHeight="1">
      <c r="A16" s="212"/>
      <c r="B16" s="292" t="s">
        <v>17</v>
      </c>
      <c r="C16" s="292" t="s">
        <v>405</v>
      </c>
      <c r="D16" s="286" t="s">
        <v>29</v>
      </c>
      <c r="E16" s="286" t="s">
        <v>84</v>
      </c>
      <c r="F16" s="286" t="s">
        <v>40</v>
      </c>
      <c r="G16" s="293" t="str">
        <f t="array" ref="G16">IF(INDEX('3. Plano_Detalhado'!$E$50:$I$124,MATCH(1,('Reunião 30jan'!D16='3. Plano_Detalhado'!$E$50:$E$124)*('3. Plano_Detalhado'!$F$50:$F$124='Reunião 30jan'!E16),0),5)="Alterar especificação","Y",IF(INDEX('3. Plano_Detalhado'!$E$50:$I$124,MATCH(1,('Reunião 30jan'!D16='3. Plano_Detalhado'!$E$50:$E$124)*('3. Plano_Detalhado'!$F$50:$F$124='Reunião 30jan'!E16),0),5)="Não alterar especificação","N",INDEX('3. Plano_Detalhado'!$E$50:$I$124,MATCH(1,('Reunião 30jan'!D16='3. Plano_Detalhado'!$E$50:$E$124)*('3. Plano_Detalhado'!$F$50:$F$124='Reunião 30jan'!E16),0),5)))</f>
        <v>N</v>
      </c>
      <c r="H16" s="287"/>
      <c r="I16" s="201"/>
    </row>
    <row r="17" spans="1:9" ht="17" hidden="1" customHeight="1">
      <c r="A17" s="212"/>
      <c r="B17" s="292" t="s">
        <v>17</v>
      </c>
      <c r="C17" s="292" t="s">
        <v>405</v>
      </c>
      <c r="D17" s="286" t="s">
        <v>29</v>
      </c>
      <c r="E17" s="286" t="s">
        <v>85</v>
      </c>
      <c r="F17" s="286" t="s">
        <v>40</v>
      </c>
      <c r="G17" s="293" t="str">
        <f t="array" ref="G17">IF(INDEX('3. Plano_Detalhado'!$E$50:$I$124,MATCH(1,('Reunião 30jan'!D17='3. Plano_Detalhado'!$E$50:$E$124)*('3. Plano_Detalhado'!$F$50:$F$124='Reunião 30jan'!E17),0),5)="Alterar especificação","Y",IF(INDEX('3. Plano_Detalhado'!$E$50:$I$124,MATCH(1,('Reunião 30jan'!D17='3. Plano_Detalhado'!$E$50:$E$124)*('3. Plano_Detalhado'!$F$50:$F$124='Reunião 30jan'!E17),0),5)="Não alterar especificação","N",INDEX('3. Plano_Detalhado'!$E$50:$I$124,MATCH(1,('Reunião 30jan'!D17='3. Plano_Detalhado'!$E$50:$E$124)*('3. Plano_Detalhado'!$F$50:$F$124='Reunião 30jan'!E17),0),5)))</f>
        <v>Y</v>
      </c>
      <c r="H17" s="287" t="s">
        <v>443</v>
      </c>
      <c r="I17" s="201"/>
    </row>
    <row r="18" spans="1:9" ht="17" hidden="1" customHeight="1">
      <c r="A18" s="212"/>
      <c r="B18" s="292" t="s">
        <v>17</v>
      </c>
      <c r="C18" s="292" t="s">
        <v>405</v>
      </c>
      <c r="D18" s="286" t="s">
        <v>29</v>
      </c>
      <c r="E18" s="286" t="s">
        <v>86</v>
      </c>
      <c r="F18" s="286" t="s">
        <v>40</v>
      </c>
      <c r="G18" s="293" t="str">
        <f t="array" ref="G18">IF(INDEX('3. Plano_Detalhado'!$E$50:$I$124,MATCH(1,('Reunião 30jan'!D18='3. Plano_Detalhado'!$E$50:$E$124)*('3. Plano_Detalhado'!$F$50:$F$124='Reunião 30jan'!E18),0),5)="Alterar especificação","Y",IF(INDEX('3. Plano_Detalhado'!$E$50:$I$124,MATCH(1,('Reunião 30jan'!D18='3. Plano_Detalhado'!$E$50:$E$124)*('3. Plano_Detalhado'!$F$50:$F$124='Reunião 30jan'!E18),0),5)="Não alterar especificação","N",INDEX('3. Plano_Detalhado'!$E$50:$I$124,MATCH(1,('Reunião 30jan'!D18='3. Plano_Detalhado'!$E$50:$E$124)*('3. Plano_Detalhado'!$F$50:$F$124='Reunião 30jan'!E18),0),5)))</f>
        <v>Y</v>
      </c>
      <c r="H18" s="287" t="s">
        <v>443</v>
      </c>
      <c r="I18" s="201"/>
    </row>
    <row r="19" spans="1:9" ht="17" hidden="1" customHeight="1">
      <c r="A19" s="212"/>
      <c r="B19" s="292" t="s">
        <v>17</v>
      </c>
      <c r="C19" s="292" t="s">
        <v>371</v>
      </c>
      <c r="D19" s="286" t="s">
        <v>29</v>
      </c>
      <c r="E19" s="286" t="s">
        <v>62</v>
      </c>
      <c r="F19" s="286" t="s">
        <v>40</v>
      </c>
      <c r="G19" s="293" t="str">
        <f t="array" ref="G19">IF(INDEX('3. Plano_Detalhado'!$E$50:$I$124,MATCH(1,('Reunião 30jan'!D19='3. Plano_Detalhado'!$E$50:$E$124)*('3. Plano_Detalhado'!$F$50:$F$124='Reunião 30jan'!E19),0),5)="Alterar especificação","Y",IF(INDEX('3. Plano_Detalhado'!$E$50:$I$124,MATCH(1,('Reunião 30jan'!D19='3. Plano_Detalhado'!$E$50:$E$124)*('3. Plano_Detalhado'!$F$50:$F$124='Reunião 30jan'!E19),0),5)="Não alterar especificação","N",INDEX('3. Plano_Detalhado'!$E$50:$I$124,MATCH(1,('Reunião 30jan'!D19='3. Plano_Detalhado'!$E$50:$E$124)*('3. Plano_Detalhado'!$F$50:$F$124='Reunião 30jan'!E19),0),5)))</f>
        <v>N</v>
      </c>
      <c r="H19" s="287" t="s">
        <v>416</v>
      </c>
      <c r="I19" s="201"/>
    </row>
    <row r="20" spans="1:9" ht="17" hidden="1" customHeight="1">
      <c r="A20" s="212"/>
      <c r="B20" s="292" t="s">
        <v>17</v>
      </c>
      <c r="C20" s="292" t="s">
        <v>371</v>
      </c>
      <c r="D20" s="286" t="s">
        <v>29</v>
      </c>
      <c r="E20" s="286" t="s">
        <v>87</v>
      </c>
      <c r="F20" s="286" t="s">
        <v>40</v>
      </c>
      <c r="G20" s="293" t="str">
        <f t="array" ref="G20">IF(INDEX('3. Plano_Detalhado'!$E$50:$I$124,MATCH(1,('Reunião 30jan'!D20='3. Plano_Detalhado'!$E$50:$E$124)*('3. Plano_Detalhado'!$F$50:$F$124='Reunião 30jan'!E20),0),5)="Alterar especificação","Y",IF(INDEX('3. Plano_Detalhado'!$E$50:$I$124,MATCH(1,('Reunião 30jan'!D20='3. Plano_Detalhado'!$E$50:$E$124)*('3. Plano_Detalhado'!$F$50:$F$124='Reunião 30jan'!E20),0),5)="Não alterar especificação","N",INDEX('3. Plano_Detalhado'!$E$50:$I$124,MATCH(1,('Reunião 30jan'!D20='3. Plano_Detalhado'!$E$50:$E$124)*('3. Plano_Detalhado'!$F$50:$F$124='Reunião 30jan'!E20),0),5)))</f>
        <v>N</v>
      </c>
      <c r="H20" s="287" t="s">
        <v>413</v>
      </c>
      <c r="I20" s="201"/>
    </row>
    <row r="21" spans="1:9" ht="17" hidden="1" customHeight="1">
      <c r="A21" s="212"/>
      <c r="B21" s="292" t="s">
        <v>17</v>
      </c>
      <c r="C21" s="292" t="s">
        <v>371</v>
      </c>
      <c r="D21" s="286" t="s">
        <v>29</v>
      </c>
      <c r="E21" s="286" t="s">
        <v>88</v>
      </c>
      <c r="F21" s="286" t="s">
        <v>40</v>
      </c>
      <c r="G21" s="293" t="str">
        <f t="array" ref="G21">IF(INDEX('3. Plano_Detalhado'!$E$50:$I$124,MATCH(1,('Reunião 30jan'!D21='3. Plano_Detalhado'!$E$50:$E$124)*('3. Plano_Detalhado'!$F$50:$F$124='Reunião 30jan'!E21),0),5)="Alterar especificação","Y",IF(INDEX('3. Plano_Detalhado'!$E$50:$I$124,MATCH(1,('Reunião 30jan'!D21='3. Plano_Detalhado'!$E$50:$E$124)*('3. Plano_Detalhado'!$F$50:$F$124='Reunião 30jan'!E21),0),5)="Não alterar especificação","N",INDEX('3. Plano_Detalhado'!$E$50:$I$124,MATCH(1,('Reunião 30jan'!D21='3. Plano_Detalhado'!$E$50:$E$124)*('3. Plano_Detalhado'!$F$50:$F$124='Reunião 30jan'!E21),0),5)))</f>
        <v>N</v>
      </c>
      <c r="H21" s="287" t="s">
        <v>414</v>
      </c>
      <c r="I21" s="201"/>
    </row>
    <row r="22" spans="1:9" ht="17" hidden="1" customHeight="1">
      <c r="A22" s="212"/>
      <c r="B22" s="292" t="s">
        <v>17</v>
      </c>
      <c r="C22" s="292" t="s">
        <v>371</v>
      </c>
      <c r="D22" s="286" t="s">
        <v>29</v>
      </c>
      <c r="E22" s="286" t="s">
        <v>89</v>
      </c>
      <c r="F22" s="286" t="s">
        <v>40</v>
      </c>
      <c r="G22" s="293" t="str">
        <f t="array" ref="G22">IF(INDEX('3. Plano_Detalhado'!$E$50:$I$124,MATCH(1,('Reunião 30jan'!D22='3. Plano_Detalhado'!$E$50:$E$124)*('3. Plano_Detalhado'!$F$50:$F$124='Reunião 30jan'!E22),0),5)="Alterar especificação","Y",IF(INDEX('3. Plano_Detalhado'!$E$50:$I$124,MATCH(1,('Reunião 30jan'!D22='3. Plano_Detalhado'!$E$50:$E$124)*('3. Plano_Detalhado'!$F$50:$F$124='Reunião 30jan'!E22),0),5)="Não alterar especificação","N",INDEX('3. Plano_Detalhado'!$E$50:$I$124,MATCH(1,('Reunião 30jan'!D22='3. Plano_Detalhado'!$E$50:$E$124)*('3. Plano_Detalhado'!$F$50:$F$124='Reunião 30jan'!E22),0),5)))</f>
        <v>N</v>
      </c>
      <c r="H22" s="287" t="s">
        <v>415</v>
      </c>
      <c r="I22" s="201"/>
    </row>
    <row r="23" spans="1:9" ht="17" hidden="1" customHeight="1">
      <c r="A23" s="212"/>
      <c r="B23" s="292" t="s">
        <v>17</v>
      </c>
      <c r="C23" s="292" t="s">
        <v>405</v>
      </c>
      <c r="D23" s="286" t="s">
        <v>29</v>
      </c>
      <c r="E23" s="286" t="s">
        <v>90</v>
      </c>
      <c r="F23" s="286" t="s">
        <v>40</v>
      </c>
      <c r="G23" s="293" t="str">
        <f t="array" ref="G23">IF(INDEX('3. Plano_Detalhado'!$E$50:$I$124,MATCH(1,('Reunião 30jan'!D23='3. Plano_Detalhado'!$E$50:$E$124)*('3. Plano_Detalhado'!$F$50:$F$124='Reunião 30jan'!E23),0),5)="Alterar especificação","Y",IF(INDEX('3. Plano_Detalhado'!$E$50:$I$124,MATCH(1,('Reunião 30jan'!D23='3. Plano_Detalhado'!$E$50:$E$124)*('3. Plano_Detalhado'!$F$50:$F$124='Reunião 30jan'!E23),0),5)="Não alterar especificação","N",INDEX('3. Plano_Detalhado'!$E$50:$I$124,MATCH(1,('Reunião 30jan'!D23='3. Plano_Detalhado'!$E$50:$E$124)*('3. Plano_Detalhado'!$F$50:$F$124='Reunião 30jan'!E23),0),5)))</f>
        <v>Y</v>
      </c>
      <c r="H23" s="287" t="s">
        <v>443</v>
      </c>
      <c r="I23" s="201"/>
    </row>
    <row r="24" spans="1:9" ht="17" hidden="1" customHeight="1">
      <c r="A24" s="212"/>
      <c r="B24" s="292" t="s">
        <v>17</v>
      </c>
      <c r="C24" s="292" t="s">
        <v>405</v>
      </c>
      <c r="D24" s="286" t="s">
        <v>29</v>
      </c>
      <c r="E24" s="286" t="s">
        <v>91</v>
      </c>
      <c r="F24" s="286" t="s">
        <v>40</v>
      </c>
      <c r="G24" s="293" t="str">
        <f t="array" ref="G24">IF(INDEX('3. Plano_Detalhado'!$E$50:$I$124,MATCH(1,('Reunião 30jan'!D24='3. Plano_Detalhado'!$E$50:$E$124)*('3. Plano_Detalhado'!$F$50:$F$124='Reunião 30jan'!E24),0),5)="Alterar especificação","Y",IF(INDEX('3. Plano_Detalhado'!$E$50:$I$124,MATCH(1,('Reunião 30jan'!D24='3. Plano_Detalhado'!$E$50:$E$124)*('3. Plano_Detalhado'!$F$50:$F$124='Reunião 30jan'!E24),0),5)="Não alterar especificação","N",INDEX('3. Plano_Detalhado'!$E$50:$I$124,MATCH(1,('Reunião 30jan'!D24='3. Plano_Detalhado'!$E$50:$E$124)*('3. Plano_Detalhado'!$F$50:$F$124='Reunião 30jan'!E24),0),5)))</f>
        <v>N</v>
      </c>
      <c r="H24" s="287"/>
      <c r="I24" s="201"/>
    </row>
    <row r="25" spans="1:9" ht="17" hidden="1" customHeight="1">
      <c r="A25" s="212"/>
      <c r="B25" s="292" t="s">
        <v>17</v>
      </c>
      <c r="C25" s="292" t="s">
        <v>405</v>
      </c>
      <c r="D25" s="286" t="s">
        <v>29</v>
      </c>
      <c r="E25" s="286" t="s">
        <v>92</v>
      </c>
      <c r="F25" s="286" t="s">
        <v>40</v>
      </c>
      <c r="G25" s="293" t="str">
        <f t="array" ref="G25">IF(INDEX('3. Plano_Detalhado'!$E$50:$I$124,MATCH(1,('Reunião 30jan'!D25='3. Plano_Detalhado'!$E$50:$E$124)*('3. Plano_Detalhado'!$F$50:$F$124='Reunião 30jan'!E25),0),5)="Alterar especificação","Y",IF(INDEX('3. Plano_Detalhado'!$E$50:$I$124,MATCH(1,('Reunião 30jan'!D25='3. Plano_Detalhado'!$E$50:$E$124)*('3. Plano_Detalhado'!$F$50:$F$124='Reunião 30jan'!E25),0),5)="Não alterar especificação","N",INDEX('3. Plano_Detalhado'!$E$50:$I$124,MATCH(1,('Reunião 30jan'!D25='3. Plano_Detalhado'!$E$50:$E$124)*('3. Plano_Detalhado'!$F$50:$F$124='Reunião 30jan'!E25),0),5)))</f>
        <v>Y</v>
      </c>
      <c r="H25" s="287" t="s">
        <v>443</v>
      </c>
      <c r="I25" s="201"/>
    </row>
    <row r="26" spans="1:9" ht="17" hidden="1" customHeight="1">
      <c r="A26" s="212"/>
      <c r="B26" s="292" t="s">
        <v>17</v>
      </c>
      <c r="C26" s="292" t="s">
        <v>405</v>
      </c>
      <c r="D26" s="286" t="s">
        <v>29</v>
      </c>
      <c r="E26" s="286" t="s">
        <v>93</v>
      </c>
      <c r="F26" s="286" t="s">
        <v>40</v>
      </c>
      <c r="G26" s="293" t="str">
        <f t="array" ref="G26">IF(INDEX('3. Plano_Detalhado'!$E$50:$I$124,MATCH(1,('Reunião 30jan'!D26='3. Plano_Detalhado'!$E$50:$E$124)*('3. Plano_Detalhado'!$F$50:$F$124='Reunião 30jan'!E26),0),5)="Alterar especificação","Y",IF(INDEX('3. Plano_Detalhado'!$E$50:$I$124,MATCH(1,('Reunião 30jan'!D26='3. Plano_Detalhado'!$E$50:$E$124)*('3. Plano_Detalhado'!$F$50:$F$124='Reunião 30jan'!E26),0),5)="Não alterar especificação","N",INDEX('3. Plano_Detalhado'!$E$50:$I$124,MATCH(1,('Reunião 30jan'!D26='3. Plano_Detalhado'!$E$50:$E$124)*('3. Plano_Detalhado'!$F$50:$F$124='Reunião 30jan'!E26),0),5)))</f>
        <v>Y</v>
      </c>
      <c r="H26" s="287" t="s">
        <v>443</v>
      </c>
      <c r="I26" s="201"/>
    </row>
    <row r="27" spans="1:9" ht="17" hidden="1" customHeight="1">
      <c r="A27" s="212"/>
      <c r="B27" s="292" t="s">
        <v>17</v>
      </c>
      <c r="C27" s="292" t="s">
        <v>405</v>
      </c>
      <c r="D27" s="286" t="s">
        <v>29</v>
      </c>
      <c r="E27" s="286" t="s">
        <v>94</v>
      </c>
      <c r="F27" s="286" t="s">
        <v>40</v>
      </c>
      <c r="G27" s="293" t="str">
        <f t="array" ref="G27">IF(INDEX('3. Plano_Detalhado'!$E$50:$I$124,MATCH(1,('Reunião 30jan'!D27='3. Plano_Detalhado'!$E$50:$E$124)*('3. Plano_Detalhado'!$F$50:$F$124='Reunião 30jan'!E27),0),5)="Alterar especificação","Y",IF(INDEX('3. Plano_Detalhado'!$E$50:$I$124,MATCH(1,('Reunião 30jan'!D27='3. Plano_Detalhado'!$E$50:$E$124)*('3. Plano_Detalhado'!$F$50:$F$124='Reunião 30jan'!E27),0),5)="Não alterar especificação","N",INDEX('3. Plano_Detalhado'!$E$50:$I$124,MATCH(1,('Reunião 30jan'!D27='3. Plano_Detalhado'!$E$50:$E$124)*('3. Plano_Detalhado'!$F$50:$F$124='Reunião 30jan'!E27),0),5)))</f>
        <v>N</v>
      </c>
      <c r="H27" s="287"/>
      <c r="I27" s="201"/>
    </row>
    <row r="28" spans="1:9" ht="17" hidden="1" customHeight="1">
      <c r="A28" s="212"/>
      <c r="B28" s="292" t="s">
        <v>17</v>
      </c>
      <c r="C28" s="292" t="s">
        <v>405</v>
      </c>
      <c r="D28" s="286" t="s">
        <v>29</v>
      </c>
      <c r="E28" s="286" t="s">
        <v>95</v>
      </c>
      <c r="F28" s="286" t="s">
        <v>40</v>
      </c>
      <c r="G28" s="293" t="str">
        <f t="array" ref="G28">IF(INDEX('3. Plano_Detalhado'!$E$50:$I$124,MATCH(1,('Reunião 30jan'!D28='3. Plano_Detalhado'!$E$50:$E$124)*('3. Plano_Detalhado'!$F$50:$F$124='Reunião 30jan'!E28),0),5)="Alterar especificação","Y",IF(INDEX('3. Plano_Detalhado'!$E$50:$I$124,MATCH(1,('Reunião 30jan'!D28='3. Plano_Detalhado'!$E$50:$E$124)*('3. Plano_Detalhado'!$F$50:$F$124='Reunião 30jan'!E28),0),5)="Não alterar especificação","N",INDEX('3. Plano_Detalhado'!$E$50:$I$124,MATCH(1,('Reunião 30jan'!D28='3. Plano_Detalhado'!$E$50:$E$124)*('3. Plano_Detalhado'!$F$50:$F$124='Reunião 30jan'!E28),0),5)))</f>
        <v>Y</v>
      </c>
      <c r="H28" s="287" t="s">
        <v>443</v>
      </c>
      <c r="I28" s="201"/>
    </row>
    <row r="29" spans="1:9" ht="17" hidden="1" customHeight="1">
      <c r="A29" s="212"/>
      <c r="B29" s="292" t="s">
        <v>17</v>
      </c>
      <c r="C29" s="292" t="s">
        <v>405</v>
      </c>
      <c r="D29" s="286" t="s">
        <v>29</v>
      </c>
      <c r="E29" s="286" t="s">
        <v>96</v>
      </c>
      <c r="F29" s="286" t="s">
        <v>40</v>
      </c>
      <c r="G29" s="293" t="str">
        <f t="array" ref="G29">IF(INDEX('3. Plano_Detalhado'!$E$50:$I$124,MATCH(1,('Reunião 30jan'!D29='3. Plano_Detalhado'!$E$50:$E$124)*('3. Plano_Detalhado'!$F$50:$F$124='Reunião 30jan'!E29),0),5)="Alterar especificação","Y",IF(INDEX('3. Plano_Detalhado'!$E$50:$I$124,MATCH(1,('Reunião 30jan'!D29='3. Plano_Detalhado'!$E$50:$E$124)*('3. Plano_Detalhado'!$F$50:$F$124='Reunião 30jan'!E29),0),5)="Não alterar especificação","N",INDEX('3. Plano_Detalhado'!$E$50:$I$124,MATCH(1,('Reunião 30jan'!D29='3. Plano_Detalhado'!$E$50:$E$124)*('3. Plano_Detalhado'!$F$50:$F$124='Reunião 30jan'!E29),0),5)))</f>
        <v>Y</v>
      </c>
      <c r="H29" s="287" t="s">
        <v>443</v>
      </c>
      <c r="I29" s="201"/>
    </row>
    <row r="30" spans="1:9" ht="17" hidden="1" customHeight="1">
      <c r="A30" s="212"/>
      <c r="B30" s="292" t="s">
        <v>17</v>
      </c>
      <c r="C30" s="292" t="s">
        <v>405</v>
      </c>
      <c r="D30" s="286" t="s">
        <v>29</v>
      </c>
      <c r="E30" s="286" t="s">
        <v>97</v>
      </c>
      <c r="F30" s="286" t="s">
        <v>341</v>
      </c>
      <c r="G30" s="293" t="str">
        <f t="array" ref="G30">IF(INDEX('3. Plano_Detalhado'!$E$50:$I$124,MATCH(1,('Reunião 30jan'!D30='3. Plano_Detalhado'!$E$50:$E$124)*('3. Plano_Detalhado'!$F$50:$F$124='Reunião 30jan'!E30),0),5)="Alterar especificação","Y",IF(INDEX('3. Plano_Detalhado'!$E$50:$I$124,MATCH(1,('Reunião 30jan'!D30='3. Plano_Detalhado'!$E$50:$E$124)*('3. Plano_Detalhado'!$F$50:$F$124='Reunião 30jan'!E30),0),5)="Não alterar especificação","N",INDEX('3. Plano_Detalhado'!$E$50:$I$124,MATCH(1,('Reunião 30jan'!D30='3. Plano_Detalhado'!$E$50:$E$124)*('3. Plano_Detalhado'!$F$50:$F$124='Reunião 30jan'!E30),0),5)))</f>
        <v>Y</v>
      </c>
      <c r="H30" s="287" t="s">
        <v>444</v>
      </c>
      <c r="I30" s="201"/>
    </row>
    <row r="31" spans="1:9" ht="17" hidden="1" customHeight="1">
      <c r="A31" s="212"/>
      <c r="B31" s="292" t="s">
        <v>17</v>
      </c>
      <c r="C31" s="292" t="s">
        <v>405</v>
      </c>
      <c r="D31" s="286" t="s">
        <v>29</v>
      </c>
      <c r="E31" s="286" t="s">
        <v>98</v>
      </c>
      <c r="F31" s="286" t="s">
        <v>341</v>
      </c>
      <c r="G31" s="293" t="str">
        <f t="array" ref="G31">IF(INDEX('3. Plano_Detalhado'!$E$50:$I$124,MATCH(1,('Reunião 30jan'!D31='3. Plano_Detalhado'!$E$50:$E$124)*('3. Plano_Detalhado'!$F$50:$F$124='Reunião 30jan'!E31),0),5)="Alterar especificação","Y",IF(INDEX('3. Plano_Detalhado'!$E$50:$I$124,MATCH(1,('Reunião 30jan'!D31='3. Plano_Detalhado'!$E$50:$E$124)*('3. Plano_Detalhado'!$F$50:$F$124='Reunião 30jan'!E31),0),5)="Não alterar especificação","N",INDEX('3. Plano_Detalhado'!$E$50:$I$124,MATCH(1,('Reunião 30jan'!D31='3. Plano_Detalhado'!$E$50:$E$124)*('3. Plano_Detalhado'!$F$50:$F$124='Reunião 30jan'!E31),0),5)))</f>
        <v>Y</v>
      </c>
      <c r="H31" s="287" t="s">
        <v>444</v>
      </c>
      <c r="I31" s="201"/>
    </row>
    <row r="32" spans="1:9" ht="17" hidden="1" customHeight="1">
      <c r="A32" s="212"/>
      <c r="B32" s="292" t="s">
        <v>17</v>
      </c>
      <c r="C32" s="292" t="s">
        <v>405</v>
      </c>
      <c r="D32" s="286" t="s">
        <v>29</v>
      </c>
      <c r="E32" s="286" t="s">
        <v>99</v>
      </c>
      <c r="F32" s="286" t="s">
        <v>341</v>
      </c>
      <c r="G32" s="293" t="str">
        <f t="array" ref="G32">IF(INDEX('3. Plano_Detalhado'!$E$50:$I$124,MATCH(1,('Reunião 30jan'!D32='3. Plano_Detalhado'!$E$50:$E$124)*('3. Plano_Detalhado'!$F$50:$F$124='Reunião 30jan'!E32),0),5)="Alterar especificação","Y",IF(INDEX('3. Plano_Detalhado'!$E$50:$I$124,MATCH(1,('Reunião 30jan'!D32='3. Plano_Detalhado'!$E$50:$E$124)*('3. Plano_Detalhado'!$F$50:$F$124='Reunião 30jan'!E32),0),5)="Não alterar especificação","N",INDEX('3. Plano_Detalhado'!$E$50:$I$124,MATCH(1,('Reunião 30jan'!D32='3. Plano_Detalhado'!$E$50:$E$124)*('3. Plano_Detalhado'!$F$50:$F$124='Reunião 30jan'!E32),0),5)))</f>
        <v>Y</v>
      </c>
      <c r="H32" s="287" t="s">
        <v>444</v>
      </c>
      <c r="I32" s="201"/>
    </row>
    <row r="33" spans="1:9" ht="17" hidden="1" customHeight="1">
      <c r="A33" s="212"/>
      <c r="B33" s="292" t="s">
        <v>17</v>
      </c>
      <c r="C33" s="292" t="s">
        <v>405</v>
      </c>
      <c r="D33" s="286" t="s">
        <v>29</v>
      </c>
      <c r="E33" s="286" t="s">
        <v>100</v>
      </c>
      <c r="F33" s="286" t="s">
        <v>341</v>
      </c>
      <c r="G33" s="293" t="str">
        <f t="array" ref="G33">IF(INDEX('3. Plano_Detalhado'!$E$50:$I$124,MATCH(1,('Reunião 30jan'!D33='3. Plano_Detalhado'!$E$50:$E$124)*('3. Plano_Detalhado'!$F$50:$F$124='Reunião 30jan'!E33),0),5)="Alterar especificação","Y",IF(INDEX('3. Plano_Detalhado'!$E$50:$I$124,MATCH(1,('Reunião 30jan'!D33='3. Plano_Detalhado'!$E$50:$E$124)*('3. Plano_Detalhado'!$F$50:$F$124='Reunião 30jan'!E33),0),5)="Não alterar especificação","N",INDEX('3. Plano_Detalhado'!$E$50:$I$124,MATCH(1,('Reunião 30jan'!D33='3. Plano_Detalhado'!$E$50:$E$124)*('3. Plano_Detalhado'!$F$50:$F$124='Reunião 30jan'!E33),0),5)))</f>
        <v>Y</v>
      </c>
      <c r="H33" s="287" t="s">
        <v>444</v>
      </c>
      <c r="I33" s="201"/>
    </row>
    <row r="34" spans="1:9" ht="17" hidden="1" customHeight="1">
      <c r="A34" s="212"/>
      <c r="B34" s="292" t="s">
        <v>17</v>
      </c>
      <c r="C34" s="292" t="s">
        <v>405</v>
      </c>
      <c r="D34" s="286" t="s">
        <v>29</v>
      </c>
      <c r="E34" s="286" t="s">
        <v>101</v>
      </c>
      <c r="F34" s="286" t="s">
        <v>341</v>
      </c>
      <c r="G34" s="293" t="str">
        <f t="array" ref="G34">IF(INDEX('3. Plano_Detalhado'!$E$50:$I$124,MATCH(1,('Reunião 30jan'!D34='3. Plano_Detalhado'!$E$50:$E$124)*('3. Plano_Detalhado'!$F$50:$F$124='Reunião 30jan'!E34),0),5)="Alterar especificação","Y",IF(INDEX('3. Plano_Detalhado'!$E$50:$I$124,MATCH(1,('Reunião 30jan'!D34='3. Plano_Detalhado'!$E$50:$E$124)*('3. Plano_Detalhado'!$F$50:$F$124='Reunião 30jan'!E34),0),5)="Não alterar especificação","N",INDEX('3. Plano_Detalhado'!$E$50:$I$124,MATCH(1,('Reunião 30jan'!D34='3. Plano_Detalhado'!$E$50:$E$124)*('3. Plano_Detalhado'!$F$50:$F$124='Reunião 30jan'!E34),0),5)))</f>
        <v>Y</v>
      </c>
      <c r="H34" s="287" t="s">
        <v>444</v>
      </c>
      <c r="I34" s="201"/>
    </row>
    <row r="35" spans="1:9" ht="17" hidden="1" customHeight="1">
      <c r="A35" s="212"/>
      <c r="B35" s="292" t="s">
        <v>17</v>
      </c>
      <c r="C35" s="292" t="s">
        <v>405</v>
      </c>
      <c r="D35" s="286" t="s">
        <v>29</v>
      </c>
      <c r="E35" s="286" t="s">
        <v>63</v>
      </c>
      <c r="F35" s="286" t="s">
        <v>341</v>
      </c>
      <c r="G35" s="293" t="str">
        <f t="array" ref="G35">IF(INDEX('3. Plano_Detalhado'!$E$50:$I$124,MATCH(1,('Reunião 30jan'!D35='3. Plano_Detalhado'!$E$50:$E$124)*('3. Plano_Detalhado'!$F$50:$F$124='Reunião 30jan'!E35),0),5)="Alterar especificação","Y",IF(INDEX('3. Plano_Detalhado'!$E$50:$I$124,MATCH(1,('Reunião 30jan'!D35='3. Plano_Detalhado'!$E$50:$E$124)*('3. Plano_Detalhado'!$F$50:$F$124='Reunião 30jan'!E35),0),5)="Não alterar especificação","N",INDEX('3. Plano_Detalhado'!$E$50:$I$124,MATCH(1,('Reunião 30jan'!D35='3. Plano_Detalhado'!$E$50:$E$124)*('3. Plano_Detalhado'!$F$50:$F$124='Reunião 30jan'!E35),0),5)))</f>
        <v>Y</v>
      </c>
      <c r="H35" s="287" t="s">
        <v>382</v>
      </c>
      <c r="I35" s="201"/>
    </row>
    <row r="36" spans="1:9" ht="17" hidden="1" customHeight="1">
      <c r="A36" s="212"/>
      <c r="B36" s="292" t="s">
        <v>17</v>
      </c>
      <c r="C36" s="292" t="s">
        <v>405</v>
      </c>
      <c r="D36" s="286" t="s">
        <v>29</v>
      </c>
      <c r="E36" s="286" t="s">
        <v>102</v>
      </c>
      <c r="F36" s="286" t="s">
        <v>341</v>
      </c>
      <c r="G36" s="293" t="str">
        <f t="array" ref="G36">IF(INDEX('3. Plano_Detalhado'!$E$50:$I$124,MATCH(1,('Reunião 30jan'!D36='3. Plano_Detalhado'!$E$50:$E$124)*('3. Plano_Detalhado'!$F$50:$F$124='Reunião 30jan'!E36),0),5)="Alterar especificação","Y",IF(INDEX('3. Plano_Detalhado'!$E$50:$I$124,MATCH(1,('Reunião 30jan'!D36='3. Plano_Detalhado'!$E$50:$E$124)*('3. Plano_Detalhado'!$F$50:$F$124='Reunião 30jan'!E36),0),5)="Não alterar especificação","N",INDEX('3. Plano_Detalhado'!$E$50:$I$124,MATCH(1,('Reunião 30jan'!D36='3. Plano_Detalhado'!$E$50:$E$124)*('3. Plano_Detalhado'!$F$50:$F$124='Reunião 30jan'!E36),0),5)))</f>
        <v>Y</v>
      </c>
      <c r="H36" s="287" t="s">
        <v>444</v>
      </c>
      <c r="I36" s="201"/>
    </row>
    <row r="37" spans="1:9" ht="17" hidden="1" customHeight="1">
      <c r="A37" s="212"/>
      <c r="B37" s="292" t="s">
        <v>17</v>
      </c>
      <c r="C37" s="292" t="s">
        <v>405</v>
      </c>
      <c r="D37" s="286" t="s">
        <v>29</v>
      </c>
      <c r="E37" s="286" t="s">
        <v>103</v>
      </c>
      <c r="F37" s="286" t="s">
        <v>341</v>
      </c>
      <c r="G37" s="293" t="str">
        <f t="array" ref="G37">IF(INDEX('3. Plano_Detalhado'!$E$50:$I$124,MATCH(1,('Reunião 30jan'!D37='3. Plano_Detalhado'!$E$50:$E$124)*('3. Plano_Detalhado'!$F$50:$F$124='Reunião 30jan'!E37),0),5)="Alterar especificação","Y",IF(INDEX('3. Plano_Detalhado'!$E$50:$I$124,MATCH(1,('Reunião 30jan'!D37='3. Plano_Detalhado'!$E$50:$E$124)*('3. Plano_Detalhado'!$F$50:$F$124='Reunião 30jan'!E37),0),5)="Não alterar especificação","N",INDEX('3. Plano_Detalhado'!$E$50:$I$124,MATCH(1,('Reunião 30jan'!D37='3. Plano_Detalhado'!$E$50:$E$124)*('3. Plano_Detalhado'!$F$50:$F$124='Reunião 30jan'!E37),0),5)))</f>
        <v>Y</v>
      </c>
      <c r="H37" s="287" t="s">
        <v>444</v>
      </c>
      <c r="I37" s="201"/>
    </row>
    <row r="38" spans="1:9" ht="17" hidden="1" customHeight="1">
      <c r="A38" s="212"/>
      <c r="B38" s="292" t="s">
        <v>17</v>
      </c>
      <c r="C38" s="292" t="s">
        <v>372</v>
      </c>
      <c r="D38" s="286" t="s">
        <v>29</v>
      </c>
      <c r="E38" s="286" t="s">
        <v>110</v>
      </c>
      <c r="F38" s="286" t="s">
        <v>40</v>
      </c>
      <c r="G38" s="293" t="str">
        <f t="array" ref="G38">IF(INDEX('3. Plano_Detalhado'!$E$50:$I$124,MATCH(1,('Reunião 30jan'!D38='3. Plano_Detalhado'!$E$50:$E$124)*('3. Plano_Detalhado'!$F$50:$F$124='Reunião 30jan'!E38),0),5)="Alterar especificação","Y",IF(INDEX('3. Plano_Detalhado'!$E$50:$I$124,MATCH(1,('Reunião 30jan'!D38='3. Plano_Detalhado'!$E$50:$E$124)*('3. Plano_Detalhado'!$F$50:$F$124='Reunião 30jan'!E38),0),5)="Não alterar especificação","N",INDEX('3. Plano_Detalhado'!$E$50:$I$124,MATCH(1,('Reunião 30jan'!D38='3. Plano_Detalhado'!$E$50:$E$124)*('3. Plano_Detalhado'!$F$50:$F$124='Reunião 30jan'!E38),0),5)))</f>
        <v>N</v>
      </c>
      <c r="H38" s="287"/>
      <c r="I38" s="201"/>
    </row>
    <row r="39" spans="1:9" ht="17" hidden="1" customHeight="1">
      <c r="A39" s="212"/>
      <c r="B39" s="292" t="s">
        <v>17</v>
      </c>
      <c r="C39" s="292" t="s">
        <v>419</v>
      </c>
      <c r="D39" s="286" t="s">
        <v>29</v>
      </c>
      <c r="E39" s="286" t="s">
        <v>111</v>
      </c>
      <c r="F39" s="286"/>
      <c r="G39" s="293" t="str">
        <f t="array" ref="G39">IF(INDEX('3. Plano_Detalhado'!$E$50:$I$124,MATCH(1,('Reunião 30jan'!D39='3. Plano_Detalhado'!$E$50:$E$124)*('3. Plano_Detalhado'!$F$50:$F$124='Reunião 30jan'!E39),0),5)="Alterar especificação","Y",IF(INDEX('3. Plano_Detalhado'!$E$50:$I$124,MATCH(1,('Reunião 30jan'!D39='3. Plano_Detalhado'!$E$50:$E$124)*('3. Plano_Detalhado'!$F$50:$F$124='Reunião 30jan'!E39),0),5)="Não alterar especificação","N",INDEX('3. Plano_Detalhado'!$E$50:$I$124,MATCH(1,('Reunião 30jan'!D39='3. Plano_Detalhado'!$E$50:$E$124)*('3. Plano_Detalhado'!$F$50:$F$124='Reunião 30jan'!E39),0),5)))</f>
        <v>N</v>
      </c>
      <c r="H39" s="287" t="s">
        <v>403</v>
      </c>
      <c r="I39" s="201" t="s">
        <v>451</v>
      </c>
    </row>
    <row r="40" spans="1:9" ht="17" hidden="1" customHeight="1">
      <c r="A40" s="212"/>
      <c r="B40" s="292" t="s">
        <v>17</v>
      </c>
      <c r="C40" s="292" t="s">
        <v>419</v>
      </c>
      <c r="D40" s="286" t="s">
        <v>29</v>
      </c>
      <c r="E40" s="286" t="s">
        <v>112</v>
      </c>
      <c r="F40" s="286"/>
      <c r="G40" s="293" t="str">
        <f t="array" ref="G40">IF(INDEX('3. Plano_Detalhado'!$E$50:$I$124,MATCH(1,('Reunião 30jan'!D40='3. Plano_Detalhado'!$E$50:$E$124)*('3. Plano_Detalhado'!$F$50:$F$124='Reunião 30jan'!E40),0),5)="Alterar especificação","Y",IF(INDEX('3. Plano_Detalhado'!$E$50:$I$124,MATCH(1,('Reunião 30jan'!D40='3. Plano_Detalhado'!$E$50:$E$124)*('3. Plano_Detalhado'!$F$50:$F$124='Reunião 30jan'!E40),0),5)="Não alterar especificação","N",INDEX('3. Plano_Detalhado'!$E$50:$I$124,MATCH(1,('Reunião 30jan'!D40='3. Plano_Detalhado'!$E$50:$E$124)*('3. Plano_Detalhado'!$F$50:$F$124='Reunião 30jan'!E40),0),5)))</f>
        <v>N</v>
      </c>
      <c r="H40" s="287" t="s">
        <v>407</v>
      </c>
      <c r="I40" s="201" t="s">
        <v>452</v>
      </c>
    </row>
    <row r="41" spans="1:9" ht="17" hidden="1" customHeight="1">
      <c r="A41" s="212"/>
      <c r="B41" s="292" t="s">
        <v>17</v>
      </c>
      <c r="C41" s="292" t="s">
        <v>372</v>
      </c>
      <c r="D41" s="286" t="s">
        <v>29</v>
      </c>
      <c r="E41" s="286" t="s">
        <v>51</v>
      </c>
      <c r="F41" s="286" t="s">
        <v>40</v>
      </c>
      <c r="G41" s="293" t="str">
        <f t="array" ref="G41">IF(INDEX('3. Plano_Detalhado'!$E$50:$I$124,MATCH(1,('Reunião 30jan'!D41='3. Plano_Detalhado'!$E$50:$E$124)*('3. Plano_Detalhado'!$F$50:$F$124='Reunião 30jan'!E41),0),5)="Alterar especificação","Y",IF(INDEX('3. Plano_Detalhado'!$E$50:$I$124,MATCH(1,('Reunião 30jan'!D41='3. Plano_Detalhado'!$E$50:$E$124)*('3. Plano_Detalhado'!$F$50:$F$124='Reunião 30jan'!E41),0),5)="Não alterar especificação","N",INDEX('3. Plano_Detalhado'!$E$50:$I$124,MATCH(1,('Reunião 30jan'!D41='3. Plano_Detalhado'!$E$50:$E$124)*('3. Plano_Detalhado'!$F$50:$F$124='Reunião 30jan'!E41),0),5)))</f>
        <v>N</v>
      </c>
      <c r="H41" s="287"/>
      <c r="I41" s="201"/>
    </row>
    <row r="42" spans="1:9" ht="17" hidden="1" customHeight="1">
      <c r="A42" s="212"/>
      <c r="B42" s="292" t="s">
        <v>17</v>
      </c>
      <c r="C42" s="292" t="s">
        <v>372</v>
      </c>
      <c r="D42" s="286" t="s">
        <v>29</v>
      </c>
      <c r="E42" s="286" t="s">
        <v>68</v>
      </c>
      <c r="F42" s="286" t="s">
        <v>40</v>
      </c>
      <c r="G42" s="293" t="str">
        <f t="array" ref="G42">IF(INDEX('3. Plano_Detalhado'!$E$50:$I$124,MATCH(1,('Reunião 30jan'!D42='3. Plano_Detalhado'!$E$50:$E$124)*('3. Plano_Detalhado'!$F$50:$F$124='Reunião 30jan'!E42),0),5)="Alterar especificação","Y",IF(INDEX('3. Plano_Detalhado'!$E$50:$I$124,MATCH(1,('Reunião 30jan'!D42='3. Plano_Detalhado'!$E$50:$E$124)*('3. Plano_Detalhado'!$F$50:$F$124='Reunião 30jan'!E42),0),5)="Não alterar especificação","N",INDEX('3. Plano_Detalhado'!$E$50:$I$124,MATCH(1,('Reunião 30jan'!D42='3. Plano_Detalhado'!$E$50:$E$124)*('3. Plano_Detalhado'!$F$50:$F$124='Reunião 30jan'!E42),0),5)))</f>
        <v>N</v>
      </c>
      <c r="H42" s="287"/>
      <c r="I42" s="201"/>
    </row>
    <row r="43" spans="1:9" ht="17" hidden="1" customHeight="1">
      <c r="A43" s="212"/>
      <c r="B43" s="292" t="s">
        <v>17</v>
      </c>
      <c r="C43" s="292" t="s">
        <v>372</v>
      </c>
      <c r="D43" s="286" t="s">
        <v>29</v>
      </c>
      <c r="E43" s="286" t="s">
        <v>52</v>
      </c>
      <c r="F43" s="286" t="s">
        <v>40</v>
      </c>
      <c r="G43" s="293" t="str">
        <f t="array" ref="G43">IF(INDEX('3. Plano_Detalhado'!$E$50:$I$124,MATCH(1,('Reunião 30jan'!D43='3. Plano_Detalhado'!$E$50:$E$124)*('3. Plano_Detalhado'!$F$50:$F$124='Reunião 30jan'!E43),0),5)="Alterar especificação","Y",IF(INDEX('3. Plano_Detalhado'!$E$50:$I$124,MATCH(1,('Reunião 30jan'!D43='3. Plano_Detalhado'!$E$50:$E$124)*('3. Plano_Detalhado'!$F$50:$F$124='Reunião 30jan'!E43),0),5)="Não alterar especificação","N",INDEX('3. Plano_Detalhado'!$E$50:$I$124,MATCH(1,('Reunião 30jan'!D43='3. Plano_Detalhado'!$E$50:$E$124)*('3. Plano_Detalhado'!$F$50:$F$124='Reunião 30jan'!E43),0),5)))</f>
        <v>N</v>
      </c>
      <c r="H43" s="287"/>
      <c r="I43" s="201"/>
    </row>
    <row r="44" spans="1:9" ht="17" hidden="1" customHeight="1">
      <c r="A44" s="212"/>
      <c r="B44" s="292" t="s">
        <v>17</v>
      </c>
      <c r="C44" s="292" t="s">
        <v>419</v>
      </c>
      <c r="D44" s="286" t="s">
        <v>29</v>
      </c>
      <c r="E44" s="286" t="s">
        <v>55</v>
      </c>
      <c r="F44" s="286"/>
      <c r="G44" s="293" t="str">
        <f t="array" ref="G44">IF(INDEX('3. Plano_Detalhado'!$E$50:$I$124,MATCH(1,('Reunião 30jan'!D44='3. Plano_Detalhado'!$E$50:$E$124)*('3. Plano_Detalhado'!$F$50:$F$124='Reunião 30jan'!E44),0),5)="Alterar especificação","Y",IF(INDEX('3. Plano_Detalhado'!$E$50:$I$124,MATCH(1,('Reunião 30jan'!D44='3. Plano_Detalhado'!$E$50:$E$124)*('3. Plano_Detalhado'!$F$50:$F$124='Reunião 30jan'!E44),0),5)="Não alterar especificação","N",INDEX('3. Plano_Detalhado'!$E$50:$I$124,MATCH(1,('Reunião 30jan'!D44='3. Plano_Detalhado'!$E$50:$E$124)*('3. Plano_Detalhado'!$F$50:$F$124='Reunião 30jan'!E44),0),5)))</f>
        <v>N</v>
      </c>
      <c r="H44" s="287" t="s">
        <v>401</v>
      </c>
      <c r="I44" s="201" t="s">
        <v>453</v>
      </c>
    </row>
    <row r="45" spans="1:9" ht="16.75" hidden="1" customHeight="1">
      <c r="A45" s="212"/>
      <c r="B45" s="292" t="s">
        <v>17</v>
      </c>
      <c r="C45" s="292" t="s">
        <v>372</v>
      </c>
      <c r="D45" s="286" t="s">
        <v>29</v>
      </c>
      <c r="E45" s="286" t="s">
        <v>69</v>
      </c>
      <c r="F45" s="286"/>
      <c r="G45" s="293" t="str">
        <f t="array" ref="G45">IF(INDEX('3. Plano_Detalhado'!$E$50:$I$124,MATCH(1,('Reunião 30jan'!D45='3. Plano_Detalhado'!$E$50:$E$124)*('3. Plano_Detalhado'!$F$50:$F$124='Reunião 30jan'!E45),0),5)="Alterar especificação","Y",IF(INDEX('3. Plano_Detalhado'!$E$50:$I$124,MATCH(1,('Reunião 30jan'!D45='3. Plano_Detalhado'!$E$50:$E$124)*('3. Plano_Detalhado'!$F$50:$F$124='Reunião 30jan'!E45),0),5)="Não alterar especificação","N",INDEX('3. Plano_Detalhado'!$E$50:$I$124,MATCH(1,('Reunião 30jan'!D45='3. Plano_Detalhado'!$E$50:$E$124)*('3. Plano_Detalhado'!$F$50:$F$124='Reunião 30jan'!E45),0),5)))</f>
        <v>N</v>
      </c>
      <c r="H45" s="287" t="s">
        <v>404</v>
      </c>
      <c r="I45" s="201"/>
    </row>
    <row r="46" spans="1:9" ht="17" hidden="1" customHeight="1">
      <c r="A46" s="212"/>
      <c r="B46" s="292" t="s">
        <v>17</v>
      </c>
      <c r="C46" s="292" t="s">
        <v>372</v>
      </c>
      <c r="D46" s="286" t="s">
        <v>29</v>
      </c>
      <c r="E46" s="286" t="s">
        <v>56</v>
      </c>
      <c r="F46" s="286"/>
      <c r="G46" s="293" t="str">
        <f t="array" ref="G46">IF(INDEX('3. Plano_Detalhado'!$E$50:$I$124,MATCH(1,('Reunião 30jan'!D46='3. Plano_Detalhado'!$E$50:$E$124)*('3. Plano_Detalhado'!$F$50:$F$124='Reunião 30jan'!E46),0),5)="Alterar especificação","Y",IF(INDEX('3. Plano_Detalhado'!$E$50:$I$124,MATCH(1,('Reunião 30jan'!D46='3. Plano_Detalhado'!$E$50:$E$124)*('3. Plano_Detalhado'!$F$50:$F$124='Reunião 30jan'!E46),0),5)="Não alterar especificação","N",INDEX('3. Plano_Detalhado'!$E$50:$I$124,MATCH(1,('Reunião 30jan'!D46='3. Plano_Detalhado'!$E$50:$E$124)*('3. Plano_Detalhado'!$F$50:$F$124='Reunião 30jan'!E46),0),5)))</f>
        <v>N</v>
      </c>
      <c r="H46" s="287" t="s">
        <v>404</v>
      </c>
      <c r="I46" s="201"/>
    </row>
    <row r="47" spans="1:9" ht="17" hidden="1" customHeight="1">
      <c r="A47" s="212"/>
      <c r="B47" s="292" t="s">
        <v>17</v>
      </c>
      <c r="C47" s="292" t="s">
        <v>372</v>
      </c>
      <c r="D47" s="286" t="s">
        <v>29</v>
      </c>
      <c r="E47" s="286" t="s">
        <v>70</v>
      </c>
      <c r="F47" s="286" t="s">
        <v>40</v>
      </c>
      <c r="G47" s="293" t="str">
        <f t="array" ref="G47">IF(INDEX('3. Plano_Detalhado'!$E$50:$I$124,MATCH(1,('Reunião 30jan'!D47='3. Plano_Detalhado'!$E$50:$E$124)*('3. Plano_Detalhado'!$F$50:$F$124='Reunião 30jan'!E47),0),5)="Alterar especificação","Y",IF(INDEX('3. Plano_Detalhado'!$E$50:$I$124,MATCH(1,('Reunião 30jan'!D47='3. Plano_Detalhado'!$E$50:$E$124)*('3. Plano_Detalhado'!$F$50:$F$124='Reunião 30jan'!E47),0),5)="Não alterar especificação","N",INDEX('3. Plano_Detalhado'!$E$50:$I$124,MATCH(1,('Reunião 30jan'!D47='3. Plano_Detalhado'!$E$50:$E$124)*('3. Plano_Detalhado'!$F$50:$F$124='Reunião 30jan'!E47),0),5)))</f>
        <v>Y</v>
      </c>
      <c r="H47" s="287"/>
      <c r="I47" s="201"/>
    </row>
    <row r="48" spans="1:9" ht="17" hidden="1" customHeight="1">
      <c r="A48" s="212"/>
      <c r="B48" s="292" t="s">
        <v>17</v>
      </c>
      <c r="C48" s="292" t="s">
        <v>372</v>
      </c>
      <c r="D48" s="286" t="s">
        <v>29</v>
      </c>
      <c r="E48" s="286" t="s">
        <v>71</v>
      </c>
      <c r="F48" s="286" t="s">
        <v>40</v>
      </c>
      <c r="G48" s="293" t="str">
        <f t="array" ref="G48">IF(INDEX('3. Plano_Detalhado'!$E$50:$I$124,MATCH(1,('Reunião 30jan'!D48='3. Plano_Detalhado'!$E$50:$E$124)*('3. Plano_Detalhado'!$F$50:$F$124='Reunião 30jan'!E48),0),5)="Alterar especificação","Y",IF(INDEX('3. Plano_Detalhado'!$E$50:$I$124,MATCH(1,('Reunião 30jan'!D48='3. Plano_Detalhado'!$E$50:$E$124)*('3. Plano_Detalhado'!$F$50:$F$124='Reunião 30jan'!E48),0),5)="Não alterar especificação","N",INDEX('3. Plano_Detalhado'!$E$50:$I$124,MATCH(1,('Reunião 30jan'!D48='3. Plano_Detalhado'!$E$50:$E$124)*('3. Plano_Detalhado'!$F$50:$F$124='Reunião 30jan'!E48),0),5)))</f>
        <v>N</v>
      </c>
      <c r="H48" s="287"/>
      <c r="I48" s="201"/>
    </row>
    <row r="49" spans="1:9" ht="17" hidden="1" customHeight="1">
      <c r="A49" s="212"/>
      <c r="B49" s="292" t="s">
        <v>17</v>
      </c>
      <c r="C49" s="292" t="s">
        <v>372</v>
      </c>
      <c r="D49" s="286" t="s">
        <v>29</v>
      </c>
      <c r="E49" s="286" t="s">
        <v>72</v>
      </c>
      <c r="F49" s="286" t="s">
        <v>40</v>
      </c>
      <c r="G49" s="293" t="str">
        <f t="array" ref="G49">IF(INDEX('3. Plano_Detalhado'!$E$50:$I$124,MATCH(1,('Reunião 30jan'!D49='3. Plano_Detalhado'!$E$50:$E$124)*('3. Plano_Detalhado'!$F$50:$F$124='Reunião 30jan'!E49),0),5)="Alterar especificação","Y",IF(INDEX('3. Plano_Detalhado'!$E$50:$I$124,MATCH(1,('Reunião 30jan'!D49='3. Plano_Detalhado'!$E$50:$E$124)*('3. Plano_Detalhado'!$F$50:$F$124='Reunião 30jan'!E49),0),5)="Não alterar especificação","N",INDEX('3. Plano_Detalhado'!$E$50:$I$124,MATCH(1,('Reunião 30jan'!D49='3. Plano_Detalhado'!$E$50:$E$124)*('3. Plano_Detalhado'!$F$50:$F$124='Reunião 30jan'!E49),0),5)))</f>
        <v>N</v>
      </c>
      <c r="H49" s="287"/>
      <c r="I49" s="201"/>
    </row>
    <row r="50" spans="1:9" ht="17" hidden="1" customHeight="1">
      <c r="A50" s="212"/>
      <c r="B50" s="292" t="s">
        <v>17</v>
      </c>
      <c r="C50" s="292" t="s">
        <v>372</v>
      </c>
      <c r="D50" s="286" t="s">
        <v>29</v>
      </c>
      <c r="E50" s="286" t="s">
        <v>73</v>
      </c>
      <c r="F50" s="286" t="s">
        <v>40</v>
      </c>
      <c r="G50" s="293" t="str">
        <f t="array" ref="G50">IF(INDEX('3. Plano_Detalhado'!$E$50:$I$124,MATCH(1,('Reunião 30jan'!D50='3. Plano_Detalhado'!$E$50:$E$124)*('3. Plano_Detalhado'!$F$50:$F$124='Reunião 30jan'!E50),0),5)="Alterar especificação","Y",IF(INDEX('3. Plano_Detalhado'!$E$50:$I$124,MATCH(1,('Reunião 30jan'!D50='3. Plano_Detalhado'!$E$50:$E$124)*('3. Plano_Detalhado'!$F$50:$F$124='Reunião 30jan'!E50),0),5)="Não alterar especificação","N",INDEX('3. Plano_Detalhado'!$E$50:$I$124,MATCH(1,('Reunião 30jan'!D50='3. Plano_Detalhado'!$E$50:$E$124)*('3. Plano_Detalhado'!$F$50:$F$124='Reunião 30jan'!E50),0),5)))</f>
        <v>Y</v>
      </c>
      <c r="H50" s="287"/>
      <c r="I50" s="201"/>
    </row>
    <row r="51" spans="1:9" ht="17" hidden="1" customHeight="1">
      <c r="A51" s="212"/>
      <c r="B51" s="292" t="s">
        <v>17</v>
      </c>
      <c r="C51" s="292" t="s">
        <v>419</v>
      </c>
      <c r="D51" s="286" t="s">
        <v>29</v>
      </c>
      <c r="E51" s="286" t="s">
        <v>74</v>
      </c>
      <c r="F51" s="286"/>
      <c r="G51" s="293" t="str">
        <f t="array" ref="G51">IF(INDEX('3. Plano_Detalhado'!$E$50:$I$124,MATCH(1,('Reunião 30jan'!D51='3. Plano_Detalhado'!$E$50:$E$124)*('3. Plano_Detalhado'!$F$50:$F$124='Reunião 30jan'!E51),0),5)="Alterar especificação","Y",IF(INDEX('3. Plano_Detalhado'!$E$50:$I$124,MATCH(1,('Reunião 30jan'!D51='3. Plano_Detalhado'!$E$50:$E$124)*('3. Plano_Detalhado'!$F$50:$F$124='Reunião 30jan'!E51),0),5)="Não alterar especificação","N",INDEX('3. Plano_Detalhado'!$E$50:$I$124,MATCH(1,('Reunião 30jan'!D51='3. Plano_Detalhado'!$E$50:$E$124)*('3. Plano_Detalhado'!$F$50:$F$124='Reunião 30jan'!E51),0),5)))</f>
        <v>N</v>
      </c>
      <c r="H51" s="287" t="s">
        <v>402</v>
      </c>
      <c r="I51" s="201" t="s">
        <v>454</v>
      </c>
    </row>
    <row r="52" spans="1:9" ht="17" hidden="1" customHeight="1">
      <c r="A52" s="212"/>
      <c r="B52" s="292" t="s">
        <v>17</v>
      </c>
      <c r="C52" s="292" t="s">
        <v>372</v>
      </c>
      <c r="D52" s="286" t="s">
        <v>29</v>
      </c>
      <c r="E52" s="286" t="s">
        <v>75</v>
      </c>
      <c r="F52" s="286" t="s">
        <v>40</v>
      </c>
      <c r="G52" s="293" t="str">
        <f t="array" ref="G52">IF(INDEX('3. Plano_Detalhado'!$E$50:$I$124,MATCH(1,('Reunião 30jan'!D52='3. Plano_Detalhado'!$E$50:$E$124)*('3. Plano_Detalhado'!$F$50:$F$124='Reunião 30jan'!E52),0),5)="Alterar especificação","Y",IF(INDEX('3. Plano_Detalhado'!$E$50:$I$124,MATCH(1,('Reunião 30jan'!D52='3. Plano_Detalhado'!$E$50:$E$124)*('3. Plano_Detalhado'!$F$50:$F$124='Reunião 30jan'!E52),0),5)="Não alterar especificação","N",INDEX('3. Plano_Detalhado'!$E$50:$I$124,MATCH(1,('Reunião 30jan'!D52='3. Plano_Detalhado'!$E$50:$E$124)*('3. Plano_Detalhado'!$F$50:$F$124='Reunião 30jan'!E52),0),5)))</f>
        <v>N</v>
      </c>
      <c r="H52" s="287"/>
      <c r="I52" s="201"/>
    </row>
    <row r="53" spans="1:9" ht="17" hidden="1" customHeight="1">
      <c r="A53" s="212"/>
      <c r="B53" s="292" t="s">
        <v>17</v>
      </c>
      <c r="C53" s="292" t="s">
        <v>419</v>
      </c>
      <c r="D53" s="286" t="s">
        <v>29</v>
      </c>
      <c r="E53" s="286" t="s">
        <v>76</v>
      </c>
      <c r="F53" s="286"/>
      <c r="G53" s="293" t="str">
        <f t="array" ref="G53">IF(INDEX('3. Plano_Detalhado'!$E$50:$I$124,MATCH(1,('Reunião 30jan'!D53='3. Plano_Detalhado'!$E$50:$E$124)*('3. Plano_Detalhado'!$F$50:$F$124='Reunião 30jan'!E53),0),5)="Alterar especificação","Y",IF(INDEX('3. Plano_Detalhado'!$E$50:$I$124,MATCH(1,('Reunião 30jan'!D53='3. Plano_Detalhado'!$E$50:$E$124)*('3. Plano_Detalhado'!$F$50:$F$124='Reunião 30jan'!E53),0),5)="Não alterar especificação","N",INDEX('3. Plano_Detalhado'!$E$50:$I$124,MATCH(1,('Reunião 30jan'!D53='3. Plano_Detalhado'!$E$50:$E$124)*('3. Plano_Detalhado'!$F$50:$F$124='Reunião 30jan'!E53),0),5)))</f>
        <v>N</v>
      </c>
      <c r="H53" s="287" t="s">
        <v>403</v>
      </c>
      <c r="I53" s="201" t="s">
        <v>451</v>
      </c>
    </row>
    <row r="54" spans="1:9" ht="17" hidden="1" customHeight="1">
      <c r="A54" s="212"/>
      <c r="B54" s="292" t="s">
        <v>17</v>
      </c>
      <c r="C54" s="292" t="s">
        <v>372</v>
      </c>
      <c r="D54" s="286" t="s">
        <v>29</v>
      </c>
      <c r="E54" s="286" t="s">
        <v>77</v>
      </c>
      <c r="F54" s="286" t="s">
        <v>40</v>
      </c>
      <c r="G54" s="293" t="str">
        <f t="array" ref="G54">IF(INDEX('3. Plano_Detalhado'!$E$50:$I$124,MATCH(1,('Reunião 30jan'!D54='3. Plano_Detalhado'!$E$50:$E$124)*('3. Plano_Detalhado'!$F$50:$F$124='Reunião 30jan'!E54),0),5)="Alterar especificação","Y",IF(INDEX('3. Plano_Detalhado'!$E$50:$I$124,MATCH(1,('Reunião 30jan'!D54='3. Plano_Detalhado'!$E$50:$E$124)*('3. Plano_Detalhado'!$F$50:$F$124='Reunião 30jan'!E54),0),5)="Não alterar especificação","N",INDEX('3. Plano_Detalhado'!$E$50:$I$124,MATCH(1,('Reunião 30jan'!D54='3. Plano_Detalhado'!$E$50:$E$124)*('3. Plano_Detalhado'!$F$50:$F$124='Reunião 30jan'!E54),0),5)))</f>
        <v>N</v>
      </c>
      <c r="H54" s="287"/>
      <c r="I54" s="201"/>
    </row>
    <row r="55" spans="1:9" ht="46" hidden="1" customHeight="1">
      <c r="A55" s="212"/>
      <c r="B55" s="292" t="s">
        <v>17</v>
      </c>
      <c r="C55" s="292" t="s">
        <v>372</v>
      </c>
      <c r="D55" s="286" t="s">
        <v>29</v>
      </c>
      <c r="E55" s="286" t="s">
        <v>78</v>
      </c>
      <c r="F55" s="296" t="s">
        <v>40</v>
      </c>
      <c r="G55" s="293" t="str">
        <f t="array" ref="G55">IF(INDEX('3. Plano_Detalhado'!$E$50:$I$124,MATCH(1,('Reunião 30jan'!D55='3. Plano_Detalhado'!$E$50:$E$124)*('3. Plano_Detalhado'!$F$50:$F$124='Reunião 30jan'!E55),0),5)="Alterar especificação","Y",IF(INDEX('3. Plano_Detalhado'!$E$50:$I$124,MATCH(1,('Reunião 30jan'!D55='3. Plano_Detalhado'!$E$50:$E$124)*('3. Plano_Detalhado'!$F$50:$F$124='Reunião 30jan'!E55),0),5)="Não alterar especificação","N",INDEX('3. Plano_Detalhado'!$E$50:$I$124,MATCH(1,('Reunião 30jan'!D55='3. Plano_Detalhado'!$E$50:$E$124)*('3. Plano_Detalhado'!$F$50:$F$124='Reunião 30jan'!E55),0),5)))</f>
        <v>N</v>
      </c>
      <c r="H55" s="295" t="s">
        <v>455</v>
      </c>
      <c r="I55" s="201"/>
    </row>
    <row r="56" spans="1:9" ht="39.5" hidden="1" customHeight="1">
      <c r="A56" s="212"/>
      <c r="B56" s="292" t="s">
        <v>17</v>
      </c>
      <c r="C56" s="292" t="s">
        <v>372</v>
      </c>
      <c r="D56" s="286" t="s">
        <v>29</v>
      </c>
      <c r="E56" s="286" t="s">
        <v>57</v>
      </c>
      <c r="F56" s="296" t="s">
        <v>40</v>
      </c>
      <c r="G56" s="293" t="str">
        <f t="array" ref="G56">IF(INDEX('3. Plano_Detalhado'!$E$50:$I$124,MATCH(1,('Reunião 30jan'!D56='3. Plano_Detalhado'!$E$50:$E$124)*('3. Plano_Detalhado'!$F$50:$F$124='Reunião 30jan'!E56),0),5)="Alterar especificação","Y",IF(INDEX('3. Plano_Detalhado'!$E$50:$I$124,MATCH(1,('Reunião 30jan'!D56='3. Plano_Detalhado'!$E$50:$E$124)*('3. Plano_Detalhado'!$F$50:$F$124='Reunião 30jan'!E56),0),5)="Não alterar especificação","N",INDEX('3. Plano_Detalhado'!$E$50:$I$124,MATCH(1,('Reunião 30jan'!D56='3. Plano_Detalhado'!$E$50:$E$124)*('3. Plano_Detalhado'!$F$50:$F$124='Reunião 30jan'!E56),0),5)))</f>
        <v>N</v>
      </c>
      <c r="H56" s="295" t="s">
        <v>450</v>
      </c>
      <c r="I56" s="201"/>
    </row>
    <row r="57" spans="1:9" ht="17" hidden="1" customHeight="1">
      <c r="A57" s="212"/>
      <c r="B57" s="292" t="s">
        <v>17</v>
      </c>
      <c r="C57" s="292" t="s">
        <v>419</v>
      </c>
      <c r="D57" s="286" t="s">
        <v>29</v>
      </c>
      <c r="E57" s="286" t="s">
        <v>66</v>
      </c>
      <c r="F57" s="286"/>
      <c r="G57" s="293" t="str">
        <f t="array" ref="G57">IF(INDEX('3. Plano_Detalhado'!$E$50:$I$124,MATCH(1,('Reunião 30jan'!D57='3. Plano_Detalhado'!$E$50:$E$124)*('3. Plano_Detalhado'!$F$50:$F$124='Reunião 30jan'!E57),0),5)="Alterar especificação","Y",IF(INDEX('3. Plano_Detalhado'!$E$50:$I$124,MATCH(1,('Reunião 30jan'!D57='3. Plano_Detalhado'!$E$50:$E$124)*('3. Plano_Detalhado'!$F$50:$F$124='Reunião 30jan'!E57),0),5)="Não alterar especificação","N",INDEX('3. Plano_Detalhado'!$E$50:$I$124,MATCH(1,('Reunião 30jan'!D57='3. Plano_Detalhado'!$E$50:$E$124)*('3. Plano_Detalhado'!$F$50:$F$124='Reunião 30jan'!E57),0),5)))</f>
        <v>Y</v>
      </c>
      <c r="H57" s="287" t="s">
        <v>403</v>
      </c>
      <c r="I57" s="201" t="s">
        <v>451</v>
      </c>
    </row>
    <row r="58" spans="1:9" ht="17" hidden="1" customHeight="1">
      <c r="A58" s="212"/>
      <c r="B58" s="292" t="s">
        <v>17</v>
      </c>
      <c r="C58" s="292" t="s">
        <v>372</v>
      </c>
      <c r="D58" s="286" t="s">
        <v>275</v>
      </c>
      <c r="E58" s="286" t="s">
        <v>51</v>
      </c>
      <c r="F58" s="286" t="s">
        <v>40</v>
      </c>
      <c r="G58" s="293" t="str">
        <f t="array" ref="G58">IF(INDEX('3. Plano_Detalhado'!$E$50:$I$124,MATCH(1,('Reunião 30jan'!D58='3. Plano_Detalhado'!$E$50:$E$124)*('3. Plano_Detalhado'!$F$50:$F$124='Reunião 30jan'!E58),0),5)="Alterar especificação","Y",IF(INDEX('3. Plano_Detalhado'!$E$50:$I$124,MATCH(1,('Reunião 30jan'!D58='3. Plano_Detalhado'!$E$50:$E$124)*('3. Plano_Detalhado'!$F$50:$F$124='Reunião 30jan'!E58),0),5)="Não alterar especificação","N",INDEX('3. Plano_Detalhado'!$E$50:$I$124,MATCH(1,('Reunião 30jan'!D58='3. Plano_Detalhado'!$E$50:$E$124)*('3. Plano_Detalhado'!$F$50:$F$124='Reunião 30jan'!E58),0),5)))</f>
        <v>N</v>
      </c>
      <c r="H58" s="287"/>
      <c r="I58" s="201"/>
    </row>
    <row r="59" spans="1:9" ht="17" hidden="1" customHeight="1">
      <c r="A59" s="212"/>
      <c r="B59" s="292" t="s">
        <v>17</v>
      </c>
      <c r="C59" s="292" t="s">
        <v>372</v>
      </c>
      <c r="D59" s="286" t="s">
        <v>275</v>
      </c>
      <c r="E59" s="286" t="s">
        <v>52</v>
      </c>
      <c r="F59" s="286" t="s">
        <v>40</v>
      </c>
      <c r="G59" s="293" t="str">
        <f t="array" ref="G59">IF(INDEX('3. Plano_Detalhado'!$E$50:$I$124,MATCH(1,('Reunião 30jan'!D59='3. Plano_Detalhado'!$E$50:$E$124)*('3. Plano_Detalhado'!$F$50:$F$124='Reunião 30jan'!E59),0),5)="Alterar especificação","Y",IF(INDEX('3. Plano_Detalhado'!$E$50:$I$124,MATCH(1,('Reunião 30jan'!D59='3. Plano_Detalhado'!$E$50:$E$124)*('3. Plano_Detalhado'!$F$50:$F$124='Reunião 30jan'!E59),0),5)="Não alterar especificação","N",INDEX('3. Plano_Detalhado'!$E$50:$I$124,MATCH(1,('Reunião 30jan'!D59='3. Plano_Detalhado'!$E$50:$E$124)*('3. Plano_Detalhado'!$F$50:$F$124='Reunião 30jan'!E59),0),5)))</f>
        <v>N</v>
      </c>
      <c r="H59" s="287"/>
      <c r="I59" s="201"/>
    </row>
    <row r="60" spans="1:9" ht="17" hidden="1" customHeight="1">
      <c r="A60" s="212"/>
      <c r="B60" s="292" t="s">
        <v>17</v>
      </c>
      <c r="C60" s="292" t="s">
        <v>372</v>
      </c>
      <c r="D60" s="286" t="s">
        <v>275</v>
      </c>
      <c r="E60" s="286" t="s">
        <v>53</v>
      </c>
      <c r="F60" s="286" t="s">
        <v>40</v>
      </c>
      <c r="G60" s="293" t="str">
        <f t="array" ref="G60">IF(INDEX('3. Plano_Detalhado'!$E$50:$I$124,MATCH(1,('Reunião 30jan'!D60='3. Plano_Detalhado'!$E$50:$E$124)*('3. Plano_Detalhado'!$F$50:$F$124='Reunião 30jan'!E60),0),5)="Alterar especificação","Y",IF(INDEX('3. Plano_Detalhado'!$E$50:$I$124,MATCH(1,('Reunião 30jan'!D60='3. Plano_Detalhado'!$E$50:$E$124)*('3. Plano_Detalhado'!$F$50:$F$124='Reunião 30jan'!E60),0),5)="Não alterar especificação","N",INDEX('3. Plano_Detalhado'!$E$50:$I$124,MATCH(1,('Reunião 30jan'!D60='3. Plano_Detalhado'!$E$50:$E$124)*('3. Plano_Detalhado'!$F$50:$F$124='Reunião 30jan'!E60),0),5)))</f>
        <v>N</v>
      </c>
      <c r="H60" s="287"/>
      <c r="I60" s="201"/>
    </row>
    <row r="61" spans="1:9" ht="17" customHeight="1">
      <c r="A61" s="212"/>
      <c r="B61" s="292" t="s">
        <v>17</v>
      </c>
      <c r="C61" s="292" t="s">
        <v>372</v>
      </c>
      <c r="D61" s="286" t="s">
        <v>275</v>
      </c>
      <c r="E61" s="286" t="s">
        <v>113</v>
      </c>
      <c r="F61" s="286" t="s">
        <v>40</v>
      </c>
      <c r="G61" s="293" t="str">
        <f t="array" ref="G61">IF(INDEX('3. Plano_Detalhado'!$E$50:$I$124,MATCH(1,('Reunião 30jan'!D61='3. Plano_Detalhado'!$E$50:$E$124)*('3. Plano_Detalhado'!$F$50:$F$124='Reunião 30jan'!E61),0),5)="Alterar especificação","Y",IF(INDEX('3. Plano_Detalhado'!$E$50:$I$124,MATCH(1,('Reunião 30jan'!D61='3. Plano_Detalhado'!$E$50:$E$124)*('3. Plano_Detalhado'!$F$50:$F$124='Reunião 30jan'!E61),0),5)="Não alterar especificação","N",INDEX('3. Plano_Detalhado'!$E$50:$I$124,MATCH(1,('Reunião 30jan'!D61='3. Plano_Detalhado'!$E$50:$E$124)*('3. Plano_Detalhado'!$F$50:$F$124='Reunião 30jan'!E61),0),5)))</f>
        <v>N</v>
      </c>
      <c r="H61" s="287"/>
      <c r="I61" s="201"/>
    </row>
    <row r="62" spans="1:9" ht="17" hidden="1" customHeight="1">
      <c r="A62" s="212"/>
      <c r="B62" s="292" t="s">
        <v>17</v>
      </c>
      <c r="C62" s="292" t="s">
        <v>372</v>
      </c>
      <c r="D62" s="286" t="s">
        <v>28</v>
      </c>
      <c r="E62" s="286" t="s">
        <v>51</v>
      </c>
      <c r="F62" s="286" t="s">
        <v>40</v>
      </c>
      <c r="G62" s="293" t="str">
        <f t="array" ref="G62">IF(INDEX('3. Plano_Detalhado'!$E$50:$I$124,MATCH(1,('Reunião 30jan'!D62='3. Plano_Detalhado'!$E$50:$E$124)*('3. Plano_Detalhado'!$F$50:$F$124='Reunião 30jan'!E62),0),5)="Alterar especificação","Y",IF(INDEX('3. Plano_Detalhado'!$E$50:$I$124,MATCH(1,('Reunião 30jan'!D62='3. Plano_Detalhado'!$E$50:$E$124)*('3. Plano_Detalhado'!$F$50:$F$124='Reunião 30jan'!E62),0),5)="Não alterar especificação","N",INDEX('3. Plano_Detalhado'!$E$50:$I$124,MATCH(1,('Reunião 30jan'!D62='3. Plano_Detalhado'!$E$50:$E$124)*('3. Plano_Detalhado'!$F$50:$F$124='Reunião 30jan'!E62),0),5)))</f>
        <v>N</v>
      </c>
      <c r="H62" s="287"/>
      <c r="I62" s="201"/>
    </row>
    <row r="63" spans="1:9" ht="17" hidden="1" customHeight="1">
      <c r="A63" s="212"/>
      <c r="B63" s="292" t="s">
        <v>17</v>
      </c>
      <c r="C63" s="292" t="s">
        <v>372</v>
      </c>
      <c r="D63" s="286" t="s">
        <v>28</v>
      </c>
      <c r="E63" s="286" t="s">
        <v>52</v>
      </c>
      <c r="F63" s="286" t="s">
        <v>40</v>
      </c>
      <c r="G63" s="293" t="str">
        <f t="array" ref="G63">IF(INDEX('3. Plano_Detalhado'!$E$50:$I$124,MATCH(1,('Reunião 30jan'!D63='3. Plano_Detalhado'!$E$50:$E$124)*('3. Plano_Detalhado'!$F$50:$F$124='Reunião 30jan'!E63),0),5)="Alterar especificação","Y",IF(INDEX('3. Plano_Detalhado'!$E$50:$I$124,MATCH(1,('Reunião 30jan'!D63='3. Plano_Detalhado'!$E$50:$E$124)*('3. Plano_Detalhado'!$F$50:$F$124='Reunião 30jan'!E63),0),5)="Não alterar especificação","N",INDEX('3. Plano_Detalhado'!$E$50:$I$124,MATCH(1,('Reunião 30jan'!D63='3. Plano_Detalhado'!$E$50:$E$124)*('3. Plano_Detalhado'!$F$50:$F$124='Reunião 30jan'!E63),0),5)))</f>
        <v>N</v>
      </c>
      <c r="H63" s="287"/>
      <c r="I63" s="201"/>
    </row>
    <row r="64" spans="1:9" ht="17" customHeight="1">
      <c r="A64" s="212"/>
      <c r="B64" s="292" t="s">
        <v>17</v>
      </c>
      <c r="C64" s="292" t="s">
        <v>372</v>
      </c>
      <c r="D64" s="286" t="s">
        <v>28</v>
      </c>
      <c r="E64" s="286" t="s">
        <v>113</v>
      </c>
      <c r="F64" s="286" t="s">
        <v>40</v>
      </c>
      <c r="G64" s="293" t="str">
        <f t="array" ref="G64">IF(INDEX('3. Plano_Detalhado'!$E$50:$I$124,MATCH(1,('Reunião 30jan'!D64='3. Plano_Detalhado'!$E$50:$E$124)*('3. Plano_Detalhado'!$F$50:$F$124='Reunião 30jan'!E64),0),5)="Alterar especificação","Y",IF(INDEX('3. Plano_Detalhado'!$E$50:$I$124,MATCH(1,('Reunião 30jan'!D64='3. Plano_Detalhado'!$E$50:$E$124)*('3. Plano_Detalhado'!$F$50:$F$124='Reunião 30jan'!E64),0),5)="Não alterar especificação","N",INDEX('3. Plano_Detalhado'!$E$50:$I$124,MATCH(1,('Reunião 30jan'!D64='3. Plano_Detalhado'!$E$50:$E$124)*('3. Plano_Detalhado'!$F$50:$F$124='Reunião 30jan'!E64),0),5)))</f>
        <v>N</v>
      </c>
      <c r="H64" s="287"/>
      <c r="I64" s="201"/>
    </row>
    <row r="65" spans="1:9" ht="17" hidden="1" customHeight="1">
      <c r="A65" s="212"/>
      <c r="B65" s="292" t="s">
        <v>17</v>
      </c>
      <c r="C65" s="292" t="s">
        <v>372</v>
      </c>
      <c r="D65" s="286" t="s">
        <v>28</v>
      </c>
      <c r="E65" s="286" t="s">
        <v>114</v>
      </c>
      <c r="F65" s="286" t="s">
        <v>40</v>
      </c>
      <c r="G65" s="293" t="str">
        <f t="array" ref="G65">IF(INDEX('3. Plano_Detalhado'!$E$50:$I$124,MATCH(1,('Reunião 30jan'!D65='3. Plano_Detalhado'!$E$50:$E$124)*('3. Plano_Detalhado'!$F$50:$F$124='Reunião 30jan'!E65),0),5)="Alterar especificação","Y",IF(INDEX('3. Plano_Detalhado'!$E$50:$I$124,MATCH(1,('Reunião 30jan'!D65='3. Plano_Detalhado'!$E$50:$E$124)*('3. Plano_Detalhado'!$F$50:$F$124='Reunião 30jan'!E65),0),5)="Não alterar especificação","N",INDEX('3. Plano_Detalhado'!$E$50:$I$124,MATCH(1,('Reunião 30jan'!D65='3. Plano_Detalhado'!$E$50:$E$124)*('3. Plano_Detalhado'!$F$50:$F$124='Reunião 30jan'!E65),0),5)))</f>
        <v>N</v>
      </c>
      <c r="H65" s="287"/>
      <c r="I65" s="201"/>
    </row>
    <row r="66" spans="1:9" ht="44" hidden="1" customHeight="1">
      <c r="A66" s="212"/>
      <c r="B66" s="292" t="s">
        <v>17</v>
      </c>
      <c r="C66" s="292" t="s">
        <v>372</v>
      </c>
      <c r="D66" s="286" t="s">
        <v>28</v>
      </c>
      <c r="E66" s="286" t="s">
        <v>115</v>
      </c>
      <c r="F66" s="296" t="s">
        <v>40</v>
      </c>
      <c r="G66" s="293" t="str">
        <f t="array" ref="G66">IF(INDEX('3. Plano_Detalhado'!$E$50:$I$124,MATCH(1,('Reunião 30jan'!D66='3. Plano_Detalhado'!$E$50:$E$124)*('3. Plano_Detalhado'!$F$50:$F$124='Reunião 30jan'!E66),0),5)="Alterar especificação","Y",IF(INDEX('3. Plano_Detalhado'!$E$50:$I$124,MATCH(1,('Reunião 30jan'!D66='3. Plano_Detalhado'!$E$50:$E$124)*('3. Plano_Detalhado'!$F$50:$F$124='Reunião 30jan'!E66),0),5)="Não alterar especificação","N",INDEX('3. Plano_Detalhado'!$E$50:$I$124,MATCH(1,('Reunião 30jan'!D66='3. Plano_Detalhado'!$E$50:$E$124)*('3. Plano_Detalhado'!$F$50:$F$124='Reunião 30jan'!E66),0),5)))</f>
        <v>N</v>
      </c>
      <c r="H66" s="295" t="s">
        <v>456</v>
      </c>
      <c r="I66" s="201"/>
    </row>
    <row r="67" spans="1:9" ht="17" hidden="1" customHeight="1">
      <c r="A67" s="212"/>
      <c r="B67" s="292" t="s">
        <v>17</v>
      </c>
      <c r="C67" s="292" t="s">
        <v>399</v>
      </c>
      <c r="D67" s="286" t="s">
        <v>28</v>
      </c>
      <c r="E67" s="286" t="s">
        <v>400</v>
      </c>
      <c r="F67" s="286" t="s">
        <v>274</v>
      </c>
      <c r="G67" s="293" t="str">
        <f t="array" ref="G67">IF(INDEX('3. Plano_Detalhado'!$E$50:$I$124,MATCH(1,('Reunião 30jan'!D67='3. Plano_Detalhado'!$E$50:$E$124)*('3. Plano_Detalhado'!$F$50:$F$124='Reunião 30jan'!E67),0),5)="Alterar especificação","Y",IF(INDEX('3. Plano_Detalhado'!$E$50:$I$124,MATCH(1,('Reunião 30jan'!D67='3. Plano_Detalhado'!$E$50:$E$124)*('3. Plano_Detalhado'!$F$50:$F$124='Reunião 30jan'!E67),0),5)="Não alterar especificação","N",INDEX('3. Plano_Detalhado'!$E$50:$I$124,MATCH(1,('Reunião 30jan'!D67='3. Plano_Detalhado'!$E$50:$E$124)*('3. Plano_Detalhado'!$F$50:$F$124='Reunião 30jan'!E67),0),5)))</f>
        <v>N</v>
      </c>
      <c r="H67" s="287"/>
      <c r="I67" s="201"/>
    </row>
    <row r="68" spans="1:9" ht="17" hidden="1" customHeight="1">
      <c r="A68" s="212"/>
      <c r="B68" s="292" t="s">
        <v>17</v>
      </c>
      <c r="C68" s="292" t="s">
        <v>445</v>
      </c>
      <c r="D68" s="286" t="s">
        <v>28</v>
      </c>
      <c r="E68" s="286" t="s">
        <v>118</v>
      </c>
      <c r="F68" s="286" t="s">
        <v>274</v>
      </c>
      <c r="G68" s="293" t="str">
        <f t="array" ref="G68">IF(INDEX('3. Plano_Detalhado'!$E$50:$I$124,MATCH(1,('Reunião 30jan'!D68='3. Plano_Detalhado'!$E$50:$E$124)*('3. Plano_Detalhado'!$F$50:$F$124='Reunião 30jan'!E68),0),5)="Alterar especificação","Y",IF(INDEX('3. Plano_Detalhado'!$E$50:$I$124,MATCH(1,('Reunião 30jan'!D68='3. Plano_Detalhado'!$E$50:$E$124)*('3. Plano_Detalhado'!$F$50:$F$124='Reunião 30jan'!E68),0),5)="Não alterar especificação","N",INDEX('3. Plano_Detalhado'!$E$50:$I$124,MATCH(1,('Reunião 30jan'!D68='3. Plano_Detalhado'!$E$50:$E$124)*('3. Plano_Detalhado'!$F$50:$F$124='Reunião 30jan'!E68),0),5)))</f>
        <v>N/A</v>
      </c>
      <c r="H68" s="287" t="s">
        <v>408</v>
      </c>
      <c r="I68" s="201"/>
    </row>
    <row r="69" spans="1:9" ht="16.75" hidden="1" customHeight="1">
      <c r="A69" s="212"/>
      <c r="B69" s="292" t="s">
        <v>17</v>
      </c>
      <c r="C69" s="292" t="s">
        <v>374</v>
      </c>
      <c r="D69" s="286" t="s">
        <v>108</v>
      </c>
      <c r="E69" s="286" t="s">
        <v>116</v>
      </c>
      <c r="F69" s="286" t="s">
        <v>341</v>
      </c>
      <c r="G69" s="293" t="str">
        <f t="array" ref="G69">IF(INDEX('3. Plano_Detalhado'!$E$50:$I$124,MATCH(1,('Reunião 30jan'!D69='3. Plano_Detalhado'!$E$50:$E$124)*('3. Plano_Detalhado'!$F$50:$F$124='Reunião 30jan'!E69),0),5)="Alterar especificação","Y",IF(INDEX('3. Plano_Detalhado'!$E$50:$I$124,MATCH(1,('Reunião 30jan'!D69='3. Plano_Detalhado'!$E$50:$E$124)*('3. Plano_Detalhado'!$F$50:$F$124='Reunião 30jan'!E69),0),5)="Não alterar especificação","N",INDEX('3. Plano_Detalhado'!$E$50:$I$124,MATCH(1,('Reunião 30jan'!D69='3. Plano_Detalhado'!$E$50:$E$124)*('3. Plano_Detalhado'!$F$50:$F$124='Reunião 30jan'!E69),0),5)))</f>
        <v>N</v>
      </c>
      <c r="H69" s="287"/>
      <c r="I69" s="201"/>
    </row>
    <row r="70" spans="1:9" ht="17" hidden="1" customHeight="1">
      <c r="A70" s="212"/>
      <c r="B70" s="292" t="s">
        <v>17</v>
      </c>
      <c r="C70" s="292" t="s">
        <v>375</v>
      </c>
      <c r="D70" s="286" t="s">
        <v>29</v>
      </c>
      <c r="E70" s="286" t="s">
        <v>64</v>
      </c>
      <c r="F70" s="286" t="s">
        <v>341</v>
      </c>
      <c r="G70" s="293" t="str">
        <f t="array" ref="G70">IF(INDEX('3. Plano_Detalhado'!$E$50:$I$124,MATCH(1,('Reunião 30jan'!D70='3. Plano_Detalhado'!$E$50:$E$124)*('3. Plano_Detalhado'!$F$50:$F$124='Reunião 30jan'!E70),0),5)="Alterar especificação","Y",IF(INDEX('3. Plano_Detalhado'!$E$50:$I$124,MATCH(1,('Reunião 30jan'!D70='3. Plano_Detalhado'!$E$50:$E$124)*('3. Plano_Detalhado'!$F$50:$F$124='Reunião 30jan'!E70),0),5)="Não alterar especificação","N",INDEX('3. Plano_Detalhado'!$E$50:$I$124,MATCH(1,('Reunião 30jan'!D70='3. Plano_Detalhado'!$E$50:$E$124)*('3. Plano_Detalhado'!$F$50:$F$124='Reunião 30jan'!E70),0),5)))</f>
        <v>Y</v>
      </c>
      <c r="H70" s="287" t="s">
        <v>409</v>
      </c>
      <c r="I70" s="201"/>
    </row>
    <row r="71" spans="1:9" ht="17" hidden="1" customHeight="1">
      <c r="A71" s="212"/>
      <c r="B71" s="292" t="s">
        <v>17</v>
      </c>
      <c r="C71" s="292" t="s">
        <v>374</v>
      </c>
      <c r="D71" s="286" t="s">
        <v>108</v>
      </c>
      <c r="E71" s="286" t="s">
        <v>58</v>
      </c>
      <c r="F71" s="286" t="s">
        <v>341</v>
      </c>
      <c r="G71" s="293" t="str">
        <f t="array" ref="G71">IF(INDEX('3. Plano_Detalhado'!$E$50:$I$124,MATCH(1,('Reunião 30jan'!D71='3. Plano_Detalhado'!$E$50:$E$124)*('3. Plano_Detalhado'!$F$50:$F$124='Reunião 30jan'!E71),0),5)="Alterar especificação","Y",IF(INDEX('3. Plano_Detalhado'!$E$50:$I$124,MATCH(1,('Reunião 30jan'!D71='3. Plano_Detalhado'!$E$50:$E$124)*('3. Plano_Detalhado'!$F$50:$F$124='Reunião 30jan'!E71),0),5)="Não alterar especificação","N",INDEX('3. Plano_Detalhado'!$E$50:$I$124,MATCH(1,('Reunião 30jan'!D71='3. Plano_Detalhado'!$E$50:$E$124)*('3. Plano_Detalhado'!$F$50:$F$124='Reunião 30jan'!E71),0),5)))</f>
        <v>N</v>
      </c>
      <c r="H71" s="287"/>
      <c r="I71" s="201"/>
    </row>
    <row r="72" spans="1:9" ht="17" hidden="1" customHeight="1">
      <c r="A72" s="212"/>
      <c r="B72" s="292" t="s">
        <v>17</v>
      </c>
      <c r="C72" s="292" t="s">
        <v>374</v>
      </c>
      <c r="D72" s="286" t="s">
        <v>108</v>
      </c>
      <c r="E72" s="286" t="s">
        <v>59</v>
      </c>
      <c r="F72" s="286" t="s">
        <v>341</v>
      </c>
      <c r="G72" s="293" t="str">
        <f t="array" ref="G72">IF(INDEX('3. Plano_Detalhado'!$E$50:$I$124,MATCH(1,('Reunião 30jan'!D72='3. Plano_Detalhado'!$E$50:$E$124)*('3. Plano_Detalhado'!$F$50:$F$124='Reunião 30jan'!E72),0),5)="Alterar especificação","Y",IF(INDEX('3. Plano_Detalhado'!$E$50:$I$124,MATCH(1,('Reunião 30jan'!D72='3. Plano_Detalhado'!$E$50:$E$124)*('3. Plano_Detalhado'!$F$50:$F$124='Reunião 30jan'!E72),0),5)="Não alterar especificação","N",INDEX('3. Plano_Detalhado'!$E$50:$I$124,MATCH(1,('Reunião 30jan'!D72='3. Plano_Detalhado'!$E$50:$E$124)*('3. Plano_Detalhado'!$F$50:$F$124='Reunião 30jan'!E72),0),5)))</f>
        <v>N</v>
      </c>
      <c r="H72" s="287"/>
      <c r="I72" s="201"/>
    </row>
    <row r="73" spans="1:9" ht="17" hidden="1" customHeight="1">
      <c r="A73" s="212"/>
      <c r="B73" s="292" t="s">
        <v>17</v>
      </c>
      <c r="C73" s="292" t="s">
        <v>372</v>
      </c>
      <c r="D73" s="286" t="s">
        <v>29</v>
      </c>
      <c r="E73" s="286" t="s">
        <v>53</v>
      </c>
      <c r="F73" s="286" t="s">
        <v>40</v>
      </c>
      <c r="G73" s="293" t="str">
        <f t="array" ref="G73">IF(INDEX('3. Plano_Detalhado'!$E$50:$I$124,MATCH(1,('Reunião 30jan'!D73='3. Plano_Detalhado'!$E$50:$E$124)*('3. Plano_Detalhado'!$F$50:$F$124='Reunião 30jan'!E73),0),5)="Alterar especificação","Y",IF(INDEX('3. Plano_Detalhado'!$E$50:$I$124,MATCH(1,('Reunião 30jan'!D73='3. Plano_Detalhado'!$E$50:$E$124)*('3. Plano_Detalhado'!$F$50:$F$124='Reunião 30jan'!E73),0),5)="Não alterar especificação","N",INDEX('3. Plano_Detalhado'!$E$50:$I$124,MATCH(1,('Reunião 30jan'!D73='3. Plano_Detalhado'!$E$50:$E$124)*('3. Plano_Detalhado'!$F$50:$F$124='Reunião 30jan'!E73),0),5)))</f>
        <v>N</v>
      </c>
      <c r="H73" s="287"/>
      <c r="I73" s="201"/>
    </row>
    <row r="74" spans="1:9" ht="17" hidden="1" customHeight="1">
      <c r="A74" s="212"/>
      <c r="B74" s="292" t="s">
        <v>17</v>
      </c>
      <c r="C74" s="292" t="s">
        <v>399</v>
      </c>
      <c r="D74" s="286" t="s">
        <v>275</v>
      </c>
      <c r="E74" s="286" t="s">
        <v>117</v>
      </c>
      <c r="F74" s="286" t="s">
        <v>341</v>
      </c>
      <c r="G74" s="293" t="str">
        <f t="array" ref="G74">IF(INDEX('3. Plano_Detalhado'!$E$50:$I$124,MATCH(1,('Reunião 30jan'!D74='3. Plano_Detalhado'!$E$50:$E$124)*('3. Plano_Detalhado'!$F$50:$F$124='Reunião 30jan'!E74),0),5)="Alterar especificação","Y",IF(INDEX('3. Plano_Detalhado'!$E$50:$I$124,MATCH(1,('Reunião 30jan'!D74='3. Plano_Detalhado'!$E$50:$E$124)*('3. Plano_Detalhado'!$F$50:$F$124='Reunião 30jan'!E74),0),5)="Não alterar especificação","N",INDEX('3. Plano_Detalhado'!$E$50:$I$124,MATCH(1,('Reunião 30jan'!D74='3. Plano_Detalhado'!$E$50:$E$124)*('3. Plano_Detalhado'!$F$50:$F$124='Reunião 30jan'!E74),0),5)))</f>
        <v>N</v>
      </c>
      <c r="H74" s="287"/>
      <c r="I74" s="201"/>
    </row>
    <row r="75" spans="1:9" ht="17" hidden="1" customHeight="1">
      <c r="A75" s="294" t="s">
        <v>417</v>
      </c>
      <c r="B75" s="292" t="s">
        <v>17</v>
      </c>
      <c r="C75" s="292" t="s">
        <v>374</v>
      </c>
      <c r="D75" s="286" t="s">
        <v>108</v>
      </c>
      <c r="E75" s="286" t="s">
        <v>51</v>
      </c>
      <c r="F75" s="286" t="s">
        <v>341</v>
      </c>
      <c r="G75" s="293" t="str">
        <f t="array" ref="G75">IF(INDEX('3. Plano_Detalhado'!$E$50:$I$124,MATCH(1,('Reunião 30jan'!D75='3. Plano_Detalhado'!$E$50:$E$124)*('3. Plano_Detalhado'!$F$50:$F$124='Reunião 30jan'!E75),0),5)="Alterar especificação","Y",IF(INDEX('3. Plano_Detalhado'!$E$50:$I$124,MATCH(1,('Reunião 30jan'!D75='3. Plano_Detalhado'!$E$50:$E$124)*('3. Plano_Detalhado'!$F$50:$F$124='Reunião 30jan'!E75),0),5)="Não alterar especificação","N",INDEX('3. Plano_Detalhado'!$E$50:$I$124,MATCH(1,('Reunião 30jan'!D75='3. Plano_Detalhado'!$E$50:$E$124)*('3. Plano_Detalhado'!$F$50:$F$124='Reunião 30jan'!E75),0),5)))</f>
        <v>N</v>
      </c>
      <c r="H75" s="287"/>
      <c r="I75" s="201"/>
    </row>
    <row r="76" spans="1:9" ht="17" hidden="1" customHeight="1">
      <c r="A76" s="294" t="s">
        <v>417</v>
      </c>
      <c r="B76" s="292" t="s">
        <v>17</v>
      </c>
      <c r="C76" s="292" t="s">
        <v>374</v>
      </c>
      <c r="D76" s="286" t="s">
        <v>108</v>
      </c>
      <c r="E76" s="286" t="s">
        <v>52</v>
      </c>
      <c r="F76" s="286" t="s">
        <v>341</v>
      </c>
      <c r="G76" s="293" t="str">
        <f t="array" ref="G76">IF(INDEX('3. Plano_Detalhado'!$E$50:$I$124,MATCH(1,('Reunião 30jan'!D76='3. Plano_Detalhado'!$E$50:$E$124)*('3. Plano_Detalhado'!$F$50:$F$124='Reunião 30jan'!E76),0),5)="Alterar especificação","Y",IF(INDEX('3. Plano_Detalhado'!$E$50:$I$124,MATCH(1,('Reunião 30jan'!D76='3. Plano_Detalhado'!$E$50:$E$124)*('3. Plano_Detalhado'!$F$50:$F$124='Reunião 30jan'!E76),0),5)="Não alterar especificação","N",INDEX('3. Plano_Detalhado'!$E$50:$I$124,MATCH(1,('Reunião 30jan'!D76='3. Plano_Detalhado'!$E$50:$E$124)*('3. Plano_Detalhado'!$F$50:$F$124='Reunião 30jan'!E76),0),5)))</f>
        <v>N</v>
      </c>
      <c r="H76" s="287"/>
      <c r="I76" s="201"/>
    </row>
    <row r="77" spans="1:9" ht="17" hidden="1" customHeight="1">
      <c r="A77" s="294" t="s">
        <v>417</v>
      </c>
      <c r="B77" s="292" t="s">
        <v>17</v>
      </c>
      <c r="C77" s="292" t="s">
        <v>374</v>
      </c>
      <c r="D77" s="286" t="s">
        <v>108</v>
      </c>
      <c r="E77" s="286" t="s">
        <v>53</v>
      </c>
      <c r="F77" s="286" t="s">
        <v>341</v>
      </c>
      <c r="G77" s="293" t="str">
        <f t="array" ref="G77">IF(INDEX('3. Plano_Detalhado'!$E$50:$I$124,MATCH(1,('Reunião 30jan'!D77='3. Plano_Detalhado'!$E$50:$E$124)*('3. Plano_Detalhado'!$F$50:$F$124='Reunião 30jan'!E77),0),5)="Alterar especificação","Y",IF(INDEX('3. Plano_Detalhado'!$E$50:$I$124,MATCH(1,('Reunião 30jan'!D77='3. Plano_Detalhado'!$E$50:$E$124)*('3. Plano_Detalhado'!$F$50:$F$124='Reunião 30jan'!E77),0),5)="Não alterar especificação","N",INDEX('3. Plano_Detalhado'!$E$50:$I$124,MATCH(1,('Reunião 30jan'!D77='3. Plano_Detalhado'!$E$50:$E$124)*('3. Plano_Detalhado'!$F$50:$F$124='Reunião 30jan'!E77),0),5)))</f>
        <v>N</v>
      </c>
      <c r="H77" s="287"/>
      <c r="I77" s="201"/>
    </row>
    <row r="78" spans="1:9" ht="17.399999999999999" customHeight="1"/>
    <row r="79" spans="1:9" ht="17.399999999999999" customHeight="1"/>
    <row r="80" spans="1:9" ht="17.399999999999999" customHeight="1"/>
    <row r="81" ht="17.399999999999999" customHeight="1"/>
    <row r="82" ht="17.399999999999999" customHeight="1"/>
    <row r="83" ht="17.399999999999999" customHeight="1"/>
    <row r="84" ht="17.399999999999999" customHeight="1"/>
    <row r="85" ht="17.399999999999999" customHeight="1"/>
    <row r="86" ht="17.399999999999999" customHeight="1"/>
    <row r="87" ht="17.399999999999999" customHeight="1"/>
    <row r="88" ht="17.399999999999999" customHeight="1"/>
    <row r="89" ht="17.399999999999999" customHeight="1"/>
    <row r="90" ht="17.399999999999999" customHeight="1"/>
    <row r="91" ht="17.399999999999999" customHeight="1"/>
    <row r="92" ht="17.399999999999999" customHeight="1"/>
    <row r="93" ht="17.399999999999999" customHeight="1"/>
    <row r="94" ht="17.399999999999999" customHeight="1"/>
    <row r="95" ht="17.399999999999999" customHeight="1"/>
    <row r="96" ht="17.399999999999999" customHeight="1"/>
    <row r="97" ht="17.399999999999999" customHeight="1"/>
    <row r="98" ht="17.399999999999999" customHeight="1"/>
    <row r="99" ht="17.399999999999999" customHeight="1"/>
    <row r="100" ht="17.399999999999999" customHeight="1"/>
    <row r="101" ht="17.399999999999999" customHeight="1"/>
    <row r="102" ht="17.399999999999999" customHeight="1"/>
    <row r="103" ht="17.399999999999999" customHeight="1"/>
    <row r="104" ht="17.399999999999999" customHeight="1"/>
    <row r="105" ht="17.399999999999999" customHeight="1"/>
    <row r="106" ht="17.399999999999999" customHeight="1"/>
    <row r="107" ht="17.399999999999999" customHeight="1"/>
    <row r="108" ht="17.399999999999999" customHeight="1"/>
    <row r="109" ht="17.399999999999999" customHeight="1"/>
    <row r="110" ht="17.399999999999999" customHeight="1"/>
    <row r="111" ht="17.399999999999999" customHeight="1"/>
    <row r="112" ht="17.399999999999999" customHeight="1"/>
    <row r="113" ht="17.399999999999999" customHeight="1"/>
    <row r="114" ht="17.399999999999999" customHeight="1"/>
    <row r="115" ht="17.399999999999999" customHeight="1"/>
    <row r="116" ht="17.399999999999999" customHeight="1"/>
    <row r="117" ht="17.399999999999999" customHeight="1"/>
    <row r="118" ht="17.399999999999999" customHeight="1"/>
    <row r="119" ht="17.399999999999999" customHeight="1"/>
    <row r="120" ht="17.399999999999999" customHeight="1"/>
    <row r="121" ht="17.399999999999999" customHeight="1"/>
    <row r="122" ht="17.399999999999999" customHeight="1"/>
    <row r="123" ht="17.399999999999999" customHeight="1"/>
    <row r="124" ht="17.399999999999999" customHeight="1"/>
    <row r="125" ht="17.399999999999999" customHeight="1"/>
    <row r="126" ht="17.399999999999999" customHeight="1"/>
    <row r="127" ht="17.399999999999999" customHeight="1"/>
    <row r="128" ht="17.399999999999999" customHeight="1"/>
    <row r="129" ht="17.399999999999999" customHeight="1"/>
    <row r="130" ht="17.399999999999999" customHeight="1"/>
    <row r="131" ht="17.399999999999999" customHeight="1"/>
    <row r="132" ht="17.399999999999999" customHeight="1"/>
    <row r="133" ht="17.399999999999999" customHeight="1"/>
    <row r="134" ht="17.399999999999999" customHeight="1"/>
    <row r="135" ht="17.399999999999999" customHeight="1"/>
    <row r="136" ht="17.399999999999999" customHeight="1"/>
    <row r="137" ht="17.399999999999999" customHeight="1"/>
    <row r="138" ht="17.399999999999999" customHeight="1"/>
    <row r="139" ht="17.399999999999999" customHeight="1"/>
    <row r="140" ht="17.399999999999999" customHeight="1"/>
    <row r="141" ht="17.399999999999999" customHeight="1"/>
    <row r="142" ht="17.399999999999999" customHeight="1"/>
    <row r="143" ht="17.399999999999999" customHeight="1"/>
    <row r="144" ht="17.399999999999999" customHeight="1"/>
    <row r="145" ht="17.399999999999999" customHeight="1"/>
    <row r="146" ht="17.399999999999999" customHeight="1"/>
    <row r="147" ht="17.399999999999999" customHeight="1"/>
    <row r="148" ht="17.399999999999999" customHeight="1"/>
    <row r="149" ht="17.399999999999999" customHeight="1"/>
    <row r="150" ht="17.399999999999999" customHeight="1"/>
    <row r="151" ht="17.399999999999999" customHeight="1"/>
    <row r="152" ht="17.399999999999999" customHeight="1"/>
    <row r="153" ht="17.399999999999999" customHeight="1"/>
    <row r="154" ht="17.399999999999999" customHeight="1"/>
    <row r="155" ht="17.399999999999999" customHeight="1"/>
    <row r="156" ht="17.399999999999999" customHeight="1"/>
    <row r="157" ht="17.399999999999999" customHeight="1"/>
    <row r="158" ht="17.399999999999999" customHeight="1"/>
    <row r="159" ht="17.399999999999999" customHeight="1"/>
    <row r="160" ht="17.399999999999999" customHeight="1"/>
    <row r="161" ht="17.399999999999999" customHeight="1"/>
    <row r="162" ht="17.399999999999999" customHeight="1"/>
    <row r="163" ht="17.399999999999999" customHeight="1"/>
    <row r="164" ht="17.399999999999999" customHeight="1"/>
    <row r="165" ht="17.399999999999999" customHeight="1"/>
    <row r="166" ht="17.399999999999999" customHeight="1"/>
    <row r="167" ht="17.399999999999999" customHeight="1"/>
    <row r="168" ht="17.399999999999999" customHeight="1"/>
    <row r="169" ht="17.399999999999999" customHeight="1"/>
    <row r="170" ht="17.399999999999999" customHeight="1"/>
    <row r="171" ht="17.399999999999999" customHeight="1"/>
    <row r="172" ht="17.399999999999999" customHeight="1"/>
    <row r="173" ht="17.399999999999999" customHeight="1"/>
    <row r="174" ht="17.399999999999999" customHeight="1"/>
    <row r="175" ht="17.399999999999999" customHeight="1"/>
    <row r="176" ht="17.399999999999999" customHeight="1"/>
    <row r="177" ht="17.399999999999999" customHeight="1"/>
    <row r="178" ht="17.399999999999999" customHeight="1"/>
    <row r="179" ht="17.399999999999999" customHeight="1"/>
    <row r="180" ht="17.399999999999999" customHeight="1"/>
    <row r="181" ht="17.399999999999999" customHeight="1"/>
    <row r="182" ht="17.399999999999999" customHeight="1"/>
    <row r="183" ht="17.399999999999999" customHeight="1"/>
    <row r="184" ht="17.399999999999999" customHeight="1"/>
    <row r="185" ht="17.399999999999999" customHeight="1"/>
    <row r="186" ht="17.399999999999999" customHeight="1"/>
    <row r="187" ht="17.399999999999999" customHeight="1"/>
    <row r="188" ht="17.399999999999999" customHeight="1"/>
    <row r="189" ht="17.399999999999999" customHeight="1"/>
    <row r="190" ht="17.399999999999999" customHeight="1"/>
    <row r="191" ht="17.399999999999999" customHeight="1"/>
    <row r="192" ht="17.399999999999999" customHeight="1"/>
    <row r="193" ht="17.399999999999999" customHeight="1"/>
    <row r="194" ht="17.399999999999999" customHeight="1"/>
    <row r="195" ht="17.399999999999999" customHeight="1"/>
    <row r="196" ht="17.399999999999999" customHeight="1"/>
    <row r="197" ht="17.399999999999999" customHeight="1"/>
    <row r="198" ht="17.399999999999999" customHeight="1"/>
    <row r="199" ht="17.399999999999999" customHeight="1"/>
    <row r="200" ht="17.399999999999999" customHeight="1"/>
    <row r="201" ht="17.399999999999999" customHeight="1"/>
    <row r="202" ht="17.399999999999999" customHeight="1"/>
    <row r="203" ht="17.399999999999999" customHeight="1"/>
    <row r="204" ht="17.399999999999999" customHeight="1"/>
    <row r="205" ht="17.399999999999999" customHeight="1"/>
    <row r="206" ht="17.399999999999999" customHeight="1"/>
    <row r="207" ht="17.399999999999999" customHeight="1"/>
    <row r="208" ht="17.399999999999999" customHeight="1"/>
    <row r="209" ht="17.399999999999999" customHeight="1"/>
    <row r="210" ht="17.399999999999999" customHeight="1"/>
    <row r="211" ht="17.399999999999999" customHeight="1"/>
    <row r="212" ht="17.399999999999999" customHeight="1"/>
    <row r="213" ht="17.399999999999999" customHeight="1"/>
    <row r="214" ht="17.399999999999999" customHeight="1"/>
    <row r="215" ht="17.399999999999999" customHeight="1"/>
    <row r="216" ht="17.399999999999999" customHeight="1"/>
    <row r="217" ht="17.399999999999999" customHeight="1"/>
    <row r="218" ht="17.399999999999999" customHeight="1"/>
    <row r="219" ht="17.399999999999999" customHeight="1"/>
    <row r="220" ht="17.399999999999999" customHeight="1"/>
    <row r="221" ht="17.399999999999999" customHeight="1"/>
    <row r="222" ht="17.399999999999999" customHeight="1"/>
    <row r="223" ht="17.399999999999999" customHeight="1"/>
    <row r="224" ht="17.399999999999999" customHeight="1"/>
    <row r="225" ht="17.399999999999999" customHeight="1"/>
    <row r="226" ht="17.399999999999999" customHeight="1"/>
    <row r="227" ht="17.399999999999999" customHeight="1"/>
    <row r="228" ht="17.399999999999999" customHeight="1"/>
    <row r="229" ht="17.399999999999999" customHeight="1"/>
    <row r="230" ht="17.399999999999999" customHeight="1"/>
    <row r="231" ht="17.399999999999999" customHeight="1"/>
    <row r="232" ht="17.399999999999999" customHeight="1"/>
    <row r="233" ht="17.399999999999999" customHeight="1"/>
    <row r="234" ht="17.399999999999999" customHeight="1"/>
    <row r="235" ht="17.399999999999999" customHeight="1"/>
    <row r="236" ht="17.399999999999999" customHeight="1"/>
    <row r="237" ht="17.399999999999999" customHeight="1"/>
    <row r="238" ht="17.399999999999999" customHeight="1"/>
    <row r="239" ht="17.399999999999999" customHeight="1"/>
    <row r="240" ht="17.399999999999999" customHeight="1"/>
    <row r="241" ht="17.399999999999999" customHeight="1"/>
    <row r="242" ht="17.399999999999999" customHeight="1"/>
    <row r="243" ht="17.399999999999999" customHeight="1"/>
    <row r="244" ht="17.399999999999999" customHeight="1"/>
    <row r="245" ht="17.399999999999999" customHeight="1"/>
    <row r="246" ht="17.399999999999999" customHeight="1"/>
    <row r="247" ht="17.399999999999999" customHeight="1"/>
    <row r="248" ht="17.399999999999999" customHeight="1"/>
    <row r="249" ht="17.399999999999999" customHeight="1"/>
    <row r="250" ht="17.399999999999999" customHeight="1"/>
    <row r="251" ht="17.399999999999999" customHeight="1"/>
    <row r="252" ht="17.399999999999999" customHeight="1"/>
    <row r="253" ht="17.399999999999999" customHeight="1"/>
    <row r="254" ht="17.399999999999999" customHeight="1"/>
    <row r="255" ht="17.399999999999999" customHeight="1"/>
    <row r="256" ht="17.399999999999999" customHeight="1"/>
    <row r="257" ht="17.399999999999999" customHeight="1"/>
    <row r="258" ht="17.399999999999999" customHeight="1"/>
    <row r="259" ht="17.399999999999999" customHeight="1"/>
    <row r="260" ht="17.399999999999999" customHeight="1"/>
    <row r="261" ht="17.399999999999999" customHeight="1"/>
    <row r="262" ht="17.399999999999999" customHeight="1"/>
    <row r="263" ht="17.399999999999999" customHeight="1"/>
    <row r="264" ht="17.399999999999999" customHeight="1"/>
    <row r="265" ht="17.399999999999999" customHeight="1"/>
    <row r="266" ht="17.399999999999999" customHeight="1"/>
    <row r="267" ht="17.399999999999999" customHeight="1"/>
    <row r="268" ht="17.399999999999999" customHeight="1"/>
    <row r="269" ht="17.399999999999999" customHeight="1"/>
    <row r="270" ht="17.399999999999999" customHeight="1"/>
    <row r="271" ht="17.399999999999999" customHeight="1"/>
    <row r="272" ht="17.399999999999999" customHeight="1"/>
    <row r="273" ht="17.399999999999999" customHeight="1"/>
    <row r="274" ht="17.399999999999999" customHeight="1"/>
    <row r="275" ht="17.399999999999999" customHeight="1"/>
    <row r="276" ht="17.399999999999999" customHeight="1"/>
    <row r="277" ht="17.399999999999999" customHeight="1"/>
    <row r="278" ht="17.399999999999999" customHeight="1"/>
    <row r="279" ht="17.399999999999999" customHeight="1"/>
    <row r="280" ht="17.399999999999999" customHeight="1"/>
    <row r="281" ht="17.399999999999999" customHeight="1"/>
    <row r="282" ht="17.399999999999999" customHeight="1"/>
    <row r="283" ht="17.399999999999999" customHeight="1"/>
    <row r="284" ht="17.399999999999999" customHeight="1"/>
    <row r="285" ht="17.399999999999999" customHeight="1"/>
    <row r="286" ht="17.399999999999999" customHeight="1"/>
    <row r="287" ht="17.399999999999999" customHeight="1"/>
    <row r="288" ht="17.399999999999999" customHeight="1"/>
    <row r="289" ht="17.399999999999999" customHeight="1"/>
    <row r="290" ht="17.399999999999999" customHeight="1"/>
    <row r="291" ht="17.399999999999999" customHeight="1"/>
    <row r="292" ht="17.399999999999999" customHeight="1"/>
    <row r="293" ht="17.399999999999999" customHeight="1"/>
    <row r="294" ht="17.399999999999999" customHeight="1"/>
    <row r="295" ht="17.399999999999999" customHeight="1"/>
    <row r="296" ht="17.399999999999999" customHeight="1"/>
    <row r="297" ht="17.399999999999999" customHeight="1"/>
    <row r="298" ht="17.399999999999999" customHeight="1"/>
    <row r="299" ht="17.399999999999999" customHeight="1"/>
    <row r="300" ht="17.399999999999999" customHeight="1"/>
    <row r="301" ht="17.399999999999999" customHeight="1"/>
    <row r="302" ht="17.399999999999999" customHeight="1"/>
    <row r="303" ht="17.399999999999999" customHeight="1"/>
    <row r="304" ht="17.399999999999999" customHeight="1"/>
    <row r="305" ht="17.399999999999999" customHeight="1"/>
    <row r="306" ht="17.399999999999999" customHeight="1"/>
    <row r="307" ht="17.399999999999999" customHeight="1"/>
    <row r="308" ht="17.399999999999999" customHeight="1"/>
    <row r="309" ht="17.399999999999999" customHeight="1"/>
    <row r="310" ht="17.399999999999999" customHeight="1"/>
    <row r="311" ht="17.399999999999999" customHeight="1"/>
    <row r="312" ht="17.399999999999999" customHeight="1"/>
    <row r="313" ht="17.399999999999999" customHeight="1"/>
    <row r="314" ht="17.399999999999999" customHeight="1"/>
    <row r="315" ht="17.399999999999999" customHeight="1"/>
    <row r="316" ht="17.399999999999999" customHeight="1"/>
    <row r="317" ht="17.399999999999999" customHeight="1"/>
    <row r="318" ht="17.399999999999999" customHeight="1"/>
    <row r="319" ht="17.399999999999999" customHeight="1"/>
    <row r="320" ht="17.399999999999999" customHeight="1"/>
    <row r="321" ht="17.399999999999999" customHeight="1"/>
    <row r="322" ht="17.399999999999999" customHeight="1"/>
    <row r="323" ht="17.399999999999999" customHeight="1"/>
    <row r="324" ht="17.399999999999999" customHeight="1"/>
    <row r="325" ht="17.399999999999999" customHeight="1"/>
    <row r="326" ht="17.399999999999999" customHeight="1"/>
    <row r="327" ht="17.399999999999999" customHeight="1"/>
    <row r="328" ht="17.399999999999999" customHeight="1"/>
    <row r="329" ht="17.399999999999999" customHeight="1"/>
    <row r="330" ht="17.399999999999999" customHeight="1"/>
    <row r="331" ht="17.399999999999999" customHeight="1"/>
    <row r="332" ht="17.399999999999999" customHeight="1"/>
    <row r="333" ht="17.399999999999999" customHeight="1"/>
    <row r="334" ht="17.399999999999999" customHeight="1"/>
    <row r="335" ht="17.399999999999999" customHeight="1"/>
    <row r="336" ht="17.399999999999999" customHeight="1"/>
    <row r="337" ht="17.399999999999999" customHeight="1"/>
    <row r="338" ht="17.399999999999999" customHeight="1"/>
    <row r="339" ht="17.399999999999999" customHeight="1"/>
    <row r="340" ht="17.399999999999999" customHeight="1"/>
    <row r="341" ht="17.399999999999999" customHeight="1"/>
    <row r="342" ht="17.399999999999999" customHeight="1"/>
    <row r="343" ht="17.399999999999999" customHeight="1"/>
    <row r="344" ht="17.399999999999999" customHeight="1"/>
    <row r="345" ht="17.399999999999999" customHeight="1"/>
    <row r="346" ht="17.399999999999999" customHeight="1"/>
    <row r="347" ht="17.399999999999999" customHeight="1"/>
    <row r="348" ht="17.399999999999999" customHeight="1"/>
    <row r="349" ht="17.399999999999999" customHeight="1"/>
    <row r="350" ht="17.399999999999999" customHeight="1"/>
    <row r="351" ht="17.399999999999999" customHeight="1"/>
    <row r="352" ht="17.399999999999999" customHeight="1"/>
    <row r="353" ht="17.399999999999999" customHeight="1"/>
    <row r="354" ht="17.399999999999999" customHeight="1"/>
    <row r="355" ht="17.399999999999999" customHeight="1"/>
    <row r="356" ht="17.399999999999999" customHeight="1"/>
    <row r="357" ht="17.399999999999999" customHeight="1"/>
    <row r="358" ht="17.399999999999999" customHeight="1"/>
    <row r="359" ht="17.399999999999999" customHeight="1"/>
    <row r="360" ht="17.399999999999999" customHeight="1"/>
    <row r="361" ht="17.399999999999999" customHeight="1"/>
    <row r="362" ht="17.399999999999999" customHeight="1"/>
    <row r="363" ht="17.399999999999999" customHeight="1"/>
    <row r="364" ht="17.399999999999999" customHeight="1"/>
    <row r="365" ht="17.399999999999999" customHeight="1"/>
    <row r="366" ht="17.399999999999999" customHeight="1"/>
    <row r="367" ht="17.399999999999999" customHeight="1"/>
    <row r="368" ht="17.399999999999999" customHeight="1"/>
    <row r="369" ht="17.399999999999999" customHeight="1"/>
    <row r="370" ht="17.399999999999999" customHeight="1"/>
    <row r="371" ht="17.399999999999999" customHeight="1"/>
    <row r="372" ht="17.399999999999999" customHeight="1"/>
    <row r="373" ht="17.399999999999999" customHeight="1"/>
    <row r="374" ht="17.399999999999999" customHeight="1"/>
    <row r="375" ht="17.399999999999999" customHeight="1"/>
    <row r="376" ht="17.399999999999999" customHeight="1"/>
    <row r="377" ht="17.399999999999999" customHeight="1"/>
    <row r="378" ht="17.399999999999999" customHeight="1"/>
    <row r="379" ht="17.399999999999999" customHeight="1"/>
    <row r="380" ht="17.399999999999999" customHeight="1"/>
    <row r="381" ht="17.399999999999999" customHeight="1"/>
    <row r="382" ht="17.399999999999999" customHeight="1"/>
    <row r="383" ht="17.399999999999999" customHeight="1"/>
    <row r="384" ht="17.399999999999999" customHeight="1"/>
    <row r="385" ht="17.399999999999999" customHeight="1"/>
    <row r="386" ht="17.399999999999999" customHeight="1"/>
    <row r="387" ht="17.399999999999999" customHeight="1"/>
    <row r="388" ht="17.399999999999999" customHeight="1"/>
    <row r="389" ht="17.399999999999999" customHeight="1"/>
    <row r="390" ht="17.399999999999999" customHeight="1"/>
    <row r="391" ht="17.399999999999999" customHeight="1"/>
    <row r="392" ht="17.399999999999999" customHeight="1"/>
    <row r="393" ht="17.399999999999999" customHeight="1"/>
    <row r="394" ht="17.399999999999999" customHeight="1"/>
    <row r="395" ht="17.399999999999999" customHeight="1"/>
    <row r="396" ht="17.399999999999999" customHeight="1"/>
    <row r="397" ht="17.399999999999999" customHeight="1"/>
    <row r="398" ht="17.399999999999999" customHeight="1"/>
    <row r="399" ht="17.399999999999999" customHeight="1"/>
    <row r="400" ht="17.399999999999999" customHeight="1"/>
    <row r="401" ht="17.399999999999999" customHeight="1"/>
    <row r="402" ht="17.399999999999999" customHeight="1"/>
    <row r="403" ht="17.399999999999999" customHeight="1"/>
    <row r="404" ht="17.399999999999999" customHeight="1"/>
    <row r="405" ht="17.399999999999999" customHeight="1"/>
    <row r="406" ht="17.399999999999999" customHeight="1"/>
    <row r="407" ht="17.399999999999999" customHeight="1"/>
    <row r="408" ht="17.399999999999999" customHeight="1"/>
    <row r="409" ht="17.399999999999999" customHeight="1"/>
    <row r="410" ht="17.399999999999999" customHeight="1"/>
    <row r="411" ht="17.399999999999999" customHeight="1"/>
    <row r="412" ht="17.399999999999999" customHeight="1"/>
    <row r="413" ht="17.399999999999999" customHeight="1"/>
    <row r="414" ht="17.399999999999999" customHeight="1"/>
    <row r="415" ht="17.399999999999999" customHeight="1"/>
    <row r="416" ht="17.399999999999999" customHeight="1"/>
    <row r="417" ht="17.399999999999999" customHeight="1"/>
    <row r="418" ht="17.399999999999999" customHeight="1"/>
    <row r="419" ht="17.399999999999999" customHeight="1"/>
    <row r="420" ht="17.399999999999999" customHeight="1"/>
    <row r="421" ht="17.399999999999999" customHeight="1"/>
    <row r="422" ht="17.399999999999999" customHeight="1"/>
    <row r="423" ht="17.399999999999999" customHeight="1"/>
    <row r="424" ht="17.399999999999999" customHeight="1"/>
    <row r="425" ht="17.399999999999999" customHeight="1"/>
    <row r="426" ht="17.399999999999999" customHeight="1"/>
    <row r="427" ht="17.399999999999999" customHeight="1"/>
    <row r="428" ht="17.399999999999999" customHeight="1"/>
    <row r="429" ht="17.399999999999999" customHeight="1"/>
    <row r="430" ht="17.399999999999999" customHeight="1"/>
    <row r="431" ht="17.399999999999999" customHeight="1"/>
    <row r="432" ht="17.399999999999999" customHeight="1"/>
    <row r="433" ht="17.399999999999999" customHeight="1"/>
    <row r="434" ht="17.399999999999999" customHeight="1"/>
    <row r="435" ht="17.399999999999999" customHeight="1"/>
    <row r="436" ht="17.399999999999999" customHeight="1"/>
    <row r="437" ht="17.399999999999999" customHeight="1"/>
    <row r="438" ht="17.399999999999999" customHeight="1"/>
    <row r="439" ht="17.399999999999999" customHeight="1"/>
    <row r="440" ht="17.399999999999999" customHeight="1"/>
    <row r="441" ht="17.399999999999999" customHeight="1"/>
    <row r="442" ht="17.399999999999999" customHeight="1"/>
    <row r="443" ht="17.399999999999999" customHeight="1"/>
    <row r="444" ht="17.399999999999999" customHeight="1"/>
    <row r="445" ht="17.399999999999999" customHeight="1"/>
    <row r="446" ht="17.399999999999999" customHeight="1"/>
    <row r="447" ht="17.399999999999999" customHeight="1"/>
    <row r="448" ht="17.399999999999999" customHeight="1"/>
    <row r="449" ht="17.399999999999999" customHeight="1"/>
    <row r="450" ht="17.399999999999999" customHeight="1"/>
    <row r="451" ht="17.399999999999999" customHeight="1"/>
    <row r="452" ht="17.399999999999999" customHeight="1"/>
    <row r="453" ht="17.399999999999999" customHeight="1"/>
    <row r="454" ht="17.399999999999999" customHeight="1"/>
    <row r="455" ht="17.399999999999999" customHeight="1"/>
    <row r="456" ht="17.399999999999999" customHeight="1"/>
    <row r="457" ht="17.399999999999999" customHeight="1"/>
    <row r="458" ht="17.399999999999999" customHeight="1"/>
    <row r="459" ht="17.399999999999999" customHeight="1"/>
    <row r="460" ht="17.399999999999999" customHeight="1"/>
    <row r="461" ht="17.399999999999999" customHeight="1"/>
    <row r="462" ht="17.399999999999999" customHeight="1"/>
    <row r="463" ht="17.399999999999999" customHeight="1"/>
    <row r="464" ht="17.399999999999999" customHeight="1"/>
    <row r="465" ht="17.399999999999999" customHeight="1"/>
    <row r="466" ht="17.399999999999999" customHeight="1"/>
    <row r="467" ht="17.399999999999999" customHeight="1"/>
    <row r="468" ht="17.399999999999999" customHeight="1"/>
    <row r="469" ht="17.399999999999999" customHeight="1"/>
    <row r="470" ht="17.399999999999999" customHeight="1"/>
    <row r="471" ht="17.399999999999999" customHeight="1"/>
    <row r="472" ht="17.399999999999999" customHeight="1"/>
    <row r="473" ht="17.399999999999999" customHeight="1"/>
    <row r="474" ht="17.399999999999999" customHeight="1"/>
    <row r="475" ht="17.399999999999999" customHeight="1"/>
    <row r="476" ht="17.399999999999999" customHeight="1"/>
    <row r="477" ht="17.399999999999999" customHeight="1"/>
    <row r="478" ht="17.399999999999999" customHeight="1"/>
    <row r="479" ht="17.399999999999999" customHeight="1"/>
    <row r="480" ht="17.399999999999999" customHeight="1"/>
    <row r="481" ht="17.399999999999999" customHeight="1"/>
    <row r="482" ht="17.399999999999999" customHeight="1"/>
    <row r="483" ht="17.399999999999999" customHeight="1"/>
    <row r="484" ht="17.399999999999999" customHeight="1"/>
    <row r="485" ht="17.399999999999999" customHeight="1"/>
    <row r="486" ht="17.399999999999999" customHeight="1"/>
    <row r="487" ht="17.399999999999999" customHeight="1"/>
    <row r="488" ht="17.399999999999999" customHeight="1"/>
    <row r="489" ht="17.399999999999999" customHeight="1"/>
    <row r="490" ht="17.399999999999999" customHeight="1"/>
    <row r="491" ht="17.399999999999999" customHeight="1"/>
    <row r="492" ht="17.399999999999999" customHeight="1"/>
    <row r="493" ht="17.399999999999999" customHeight="1"/>
    <row r="494" ht="17.399999999999999" customHeight="1"/>
    <row r="495" ht="17.399999999999999" customHeight="1"/>
    <row r="496" ht="17.399999999999999" customHeight="1"/>
    <row r="497" ht="17.399999999999999" customHeight="1"/>
    <row r="498" ht="17.399999999999999" customHeight="1"/>
    <row r="499" ht="17.399999999999999" customHeight="1"/>
    <row r="500" ht="17.399999999999999" customHeight="1"/>
    <row r="501" ht="17.399999999999999" customHeight="1"/>
    <row r="502" ht="17.399999999999999" customHeight="1"/>
    <row r="503" ht="17.399999999999999" customHeight="1"/>
    <row r="504" ht="17.399999999999999" customHeight="1"/>
    <row r="505" ht="17.399999999999999" customHeight="1"/>
    <row r="506" ht="17.399999999999999" customHeight="1"/>
    <row r="507" ht="17.399999999999999" customHeight="1"/>
    <row r="508" ht="17.399999999999999" customHeight="1"/>
    <row r="509" ht="17.399999999999999" customHeight="1"/>
    <row r="510" ht="17.399999999999999" customHeight="1"/>
    <row r="511" ht="17.399999999999999" customHeight="1"/>
    <row r="512" ht="17.399999999999999" customHeight="1"/>
    <row r="513" ht="17.399999999999999" customHeight="1"/>
    <row r="514" ht="17.399999999999999" customHeight="1"/>
    <row r="515" ht="17.399999999999999" customHeight="1"/>
    <row r="516" ht="17.399999999999999" customHeight="1"/>
    <row r="517" ht="17.399999999999999" customHeight="1"/>
    <row r="518" ht="17.399999999999999" customHeight="1"/>
    <row r="519" ht="17.399999999999999" customHeight="1"/>
    <row r="520" ht="17.399999999999999" customHeight="1"/>
    <row r="521" ht="17.399999999999999" customHeight="1"/>
    <row r="522" ht="17.399999999999999" customHeight="1"/>
    <row r="523" ht="17.399999999999999" customHeight="1"/>
    <row r="524" ht="17.399999999999999" customHeight="1"/>
    <row r="525" ht="17.399999999999999" customHeight="1"/>
    <row r="526" ht="17.399999999999999" customHeight="1"/>
    <row r="527" ht="17.399999999999999" customHeight="1"/>
    <row r="528" ht="17.399999999999999" customHeight="1"/>
    <row r="529" ht="17.399999999999999" customHeight="1"/>
    <row r="530" ht="17.399999999999999" customHeight="1"/>
    <row r="531" ht="17.399999999999999" customHeight="1"/>
    <row r="532" ht="17.399999999999999" customHeight="1"/>
    <row r="533" ht="17.399999999999999" customHeight="1"/>
    <row r="534" ht="17.399999999999999" customHeight="1"/>
    <row r="535" ht="17.399999999999999" customHeight="1"/>
    <row r="536" ht="17.399999999999999" customHeight="1"/>
    <row r="537" ht="17.399999999999999" customHeight="1"/>
    <row r="538" ht="17.399999999999999" customHeight="1"/>
    <row r="539" ht="17.399999999999999" customHeight="1"/>
    <row r="540" ht="17.399999999999999" customHeight="1"/>
    <row r="541" ht="17.399999999999999" customHeight="1"/>
    <row r="542" ht="17.399999999999999" customHeight="1"/>
    <row r="543" ht="17.399999999999999" customHeight="1"/>
    <row r="544" ht="17.399999999999999" customHeight="1"/>
    <row r="545" ht="17.399999999999999" customHeight="1"/>
    <row r="546" ht="17.399999999999999" customHeight="1"/>
    <row r="547" ht="17.399999999999999" customHeight="1"/>
    <row r="548" ht="17.399999999999999" customHeight="1"/>
    <row r="549" ht="17.399999999999999" customHeight="1"/>
    <row r="550" ht="17.399999999999999" customHeight="1"/>
    <row r="551" ht="17.399999999999999" customHeight="1"/>
    <row r="552" ht="17.399999999999999" customHeight="1"/>
    <row r="553" ht="17.399999999999999" customHeight="1"/>
    <row r="554" ht="17.399999999999999" customHeight="1"/>
    <row r="555" ht="17.399999999999999" customHeight="1"/>
    <row r="556" ht="17.399999999999999" customHeight="1"/>
    <row r="557" ht="17.399999999999999" customHeight="1"/>
    <row r="558" ht="17.399999999999999" customHeight="1"/>
    <row r="559" ht="17.399999999999999" customHeight="1"/>
    <row r="560" ht="17.399999999999999" customHeight="1"/>
    <row r="561" ht="17.399999999999999" customHeight="1"/>
    <row r="562" ht="17.399999999999999" customHeight="1"/>
    <row r="563" ht="17.399999999999999" customHeight="1"/>
    <row r="564" ht="17.399999999999999" customHeight="1"/>
    <row r="565" ht="17.399999999999999" customHeight="1"/>
    <row r="566" ht="17.399999999999999" customHeight="1"/>
    <row r="567" ht="17.399999999999999" customHeight="1"/>
    <row r="568" ht="17.399999999999999" customHeight="1"/>
    <row r="569" ht="17.399999999999999" customHeight="1"/>
    <row r="570" ht="17.399999999999999" customHeight="1"/>
    <row r="571" ht="17.399999999999999" customHeight="1"/>
    <row r="572" ht="17.399999999999999" customHeight="1"/>
    <row r="573" ht="17.399999999999999" customHeight="1"/>
    <row r="574" ht="17.399999999999999" customHeight="1"/>
    <row r="575" ht="17.399999999999999" customHeight="1"/>
    <row r="576" ht="17.399999999999999" customHeight="1"/>
    <row r="577" ht="17.399999999999999" customHeight="1"/>
    <row r="578" ht="17.399999999999999" customHeight="1"/>
    <row r="579" ht="17.399999999999999" customHeight="1"/>
    <row r="580" ht="17.399999999999999" customHeight="1"/>
    <row r="581" ht="17.399999999999999" customHeight="1"/>
    <row r="582" ht="17.399999999999999" customHeight="1"/>
    <row r="583" ht="17.399999999999999" customHeight="1"/>
    <row r="584" ht="17.399999999999999" customHeight="1"/>
    <row r="585" ht="17.399999999999999" customHeight="1"/>
    <row r="586" ht="17.399999999999999" customHeight="1"/>
    <row r="587" ht="17.399999999999999" customHeight="1"/>
    <row r="588" ht="17.399999999999999" customHeight="1"/>
    <row r="589" ht="17.399999999999999" customHeight="1"/>
    <row r="590" ht="17.399999999999999" customHeight="1"/>
    <row r="591" ht="17.399999999999999" customHeight="1"/>
    <row r="592" ht="17.399999999999999" customHeight="1"/>
    <row r="593" ht="17.399999999999999" customHeight="1"/>
    <row r="594" ht="17.399999999999999" customHeight="1"/>
    <row r="595" ht="17.399999999999999" customHeight="1"/>
    <row r="596" ht="17.399999999999999" customHeight="1"/>
    <row r="597" ht="17.399999999999999" customHeight="1"/>
    <row r="598" ht="17.399999999999999" customHeight="1"/>
    <row r="599" ht="17.399999999999999" customHeight="1"/>
    <row r="600" ht="17.399999999999999" customHeight="1"/>
    <row r="601" ht="17.399999999999999" customHeight="1"/>
    <row r="602" ht="17.399999999999999" customHeight="1"/>
    <row r="603" ht="17.399999999999999" customHeight="1"/>
    <row r="604" ht="17.399999999999999" customHeight="1"/>
    <row r="605" ht="17.399999999999999" customHeight="1"/>
    <row r="606" ht="17.399999999999999" customHeight="1"/>
    <row r="607" ht="17.399999999999999" customHeight="1"/>
    <row r="608" ht="17.399999999999999" customHeight="1"/>
    <row r="609" ht="17.399999999999999" customHeight="1"/>
    <row r="610" ht="17.399999999999999" customHeight="1"/>
    <row r="611" ht="17.399999999999999" customHeight="1"/>
    <row r="612" ht="17.399999999999999" customHeight="1"/>
    <row r="613" ht="17.399999999999999" customHeight="1"/>
    <row r="614" ht="17.399999999999999" customHeight="1"/>
    <row r="615" ht="17.399999999999999" customHeight="1"/>
    <row r="616" ht="17.399999999999999" customHeight="1"/>
    <row r="617" ht="17.399999999999999" customHeight="1"/>
    <row r="618" ht="17.399999999999999" customHeight="1"/>
    <row r="619" ht="17.399999999999999" customHeight="1"/>
    <row r="620" ht="17.399999999999999" customHeight="1"/>
    <row r="621" ht="17.399999999999999" customHeight="1"/>
    <row r="622" ht="17.399999999999999" customHeight="1"/>
    <row r="623" ht="17.399999999999999" customHeight="1"/>
    <row r="624" ht="17.399999999999999" customHeight="1"/>
    <row r="625" ht="17.399999999999999" customHeight="1"/>
    <row r="626" ht="17.399999999999999" customHeight="1"/>
    <row r="627" ht="17.399999999999999" customHeight="1"/>
    <row r="628" ht="17.399999999999999" customHeight="1"/>
    <row r="629" ht="17.399999999999999" customHeight="1"/>
    <row r="630" ht="17.399999999999999" customHeight="1"/>
    <row r="631" ht="17.399999999999999" customHeight="1"/>
    <row r="632" ht="17.399999999999999" customHeight="1"/>
    <row r="633" ht="17.399999999999999" customHeight="1"/>
    <row r="634" ht="17.399999999999999" customHeight="1"/>
    <row r="635" ht="17.399999999999999" customHeight="1"/>
    <row r="636" ht="17.399999999999999" customHeight="1"/>
    <row r="637" ht="17.399999999999999" customHeight="1"/>
    <row r="638" ht="17.399999999999999" customHeight="1"/>
    <row r="639" ht="17.399999999999999" customHeight="1"/>
    <row r="640" ht="17.399999999999999" customHeight="1"/>
    <row r="641" ht="17.399999999999999" customHeight="1"/>
    <row r="642" ht="17.399999999999999" customHeight="1"/>
    <row r="643" ht="17.399999999999999" customHeight="1"/>
    <row r="644" ht="17.399999999999999" customHeight="1"/>
    <row r="645" ht="17.399999999999999" customHeight="1"/>
    <row r="646" ht="17.399999999999999" customHeight="1"/>
    <row r="647" ht="17.399999999999999" customHeight="1"/>
    <row r="648" ht="17.399999999999999" customHeight="1"/>
    <row r="649" ht="17.399999999999999" customHeight="1"/>
    <row r="650" ht="17.399999999999999" customHeight="1"/>
    <row r="651" ht="17.399999999999999" customHeight="1"/>
    <row r="652" ht="17.399999999999999" customHeight="1"/>
    <row r="653" ht="17.399999999999999" customHeight="1"/>
    <row r="654" ht="17.399999999999999" customHeight="1"/>
    <row r="655" ht="17.399999999999999" customHeight="1"/>
    <row r="656" ht="17.399999999999999" customHeight="1"/>
    <row r="657" ht="17.399999999999999" customHeight="1"/>
    <row r="658" ht="17.399999999999999" customHeight="1"/>
    <row r="659" ht="17.399999999999999" customHeight="1"/>
    <row r="660" ht="17.399999999999999" customHeight="1"/>
    <row r="661" ht="17.399999999999999" customHeight="1"/>
    <row r="662" ht="17.399999999999999" customHeight="1"/>
    <row r="663" ht="17.399999999999999" customHeight="1"/>
    <row r="664" ht="17.399999999999999" customHeight="1"/>
    <row r="665" ht="17.399999999999999" customHeight="1"/>
    <row r="666" ht="17.399999999999999" customHeight="1"/>
    <row r="667" ht="17.399999999999999" customHeight="1"/>
    <row r="668" ht="17.399999999999999" customHeight="1"/>
    <row r="669" ht="17.399999999999999" customHeight="1"/>
    <row r="670" ht="17.399999999999999" customHeight="1"/>
    <row r="671" ht="17.399999999999999" customHeight="1"/>
    <row r="672" ht="17.399999999999999" customHeight="1"/>
    <row r="673" ht="17.399999999999999" customHeight="1"/>
    <row r="674" ht="17.399999999999999" customHeight="1"/>
    <row r="675" ht="17.399999999999999" customHeight="1"/>
    <row r="676" ht="17.399999999999999" customHeight="1"/>
    <row r="677" ht="17.399999999999999" customHeight="1"/>
    <row r="678" ht="17.399999999999999" customHeight="1"/>
    <row r="679" ht="17.399999999999999" customHeight="1"/>
    <row r="680" ht="17.399999999999999" customHeight="1"/>
    <row r="681" ht="17.399999999999999" customHeight="1"/>
    <row r="682" ht="17.399999999999999" customHeight="1"/>
    <row r="683" ht="17.399999999999999" customHeight="1"/>
    <row r="684" ht="17.399999999999999" customHeight="1"/>
    <row r="685" ht="17.399999999999999" customHeight="1"/>
    <row r="686" ht="17.399999999999999" customHeight="1"/>
    <row r="687" ht="17.399999999999999" customHeight="1"/>
    <row r="688" ht="17.399999999999999" customHeight="1"/>
    <row r="689" ht="17.399999999999999" customHeight="1"/>
    <row r="690" ht="17.399999999999999" customHeight="1"/>
    <row r="691" ht="17.399999999999999" customHeight="1"/>
    <row r="692" ht="17.399999999999999" customHeight="1"/>
    <row r="693" ht="17.399999999999999" customHeight="1"/>
    <row r="694" ht="17.399999999999999" customHeight="1"/>
    <row r="695" ht="17.399999999999999" customHeight="1"/>
    <row r="696" ht="17.399999999999999" customHeight="1"/>
    <row r="697" ht="17.399999999999999" customHeight="1"/>
    <row r="698" ht="17.399999999999999" customHeight="1"/>
    <row r="699" ht="17.399999999999999" customHeight="1"/>
    <row r="700" ht="17.399999999999999" customHeight="1"/>
    <row r="701" ht="17.399999999999999" customHeight="1"/>
    <row r="702" ht="17.399999999999999" customHeight="1"/>
    <row r="703" ht="17.399999999999999" customHeight="1"/>
    <row r="704" ht="17.399999999999999" customHeight="1"/>
    <row r="705" ht="17.399999999999999" customHeight="1"/>
    <row r="706" ht="17.399999999999999" customHeight="1"/>
    <row r="707" ht="17.399999999999999" customHeight="1"/>
    <row r="708" ht="17.399999999999999" customHeight="1"/>
    <row r="709" ht="17.399999999999999" customHeight="1"/>
    <row r="710" ht="17.399999999999999" customHeight="1"/>
    <row r="711" ht="17.399999999999999" customHeight="1"/>
    <row r="712" ht="17.399999999999999" customHeight="1"/>
    <row r="713" ht="17.399999999999999" customHeight="1"/>
    <row r="714" ht="17.399999999999999" customHeight="1"/>
    <row r="715" ht="17.399999999999999" customHeight="1"/>
    <row r="716" ht="17.399999999999999" customHeight="1"/>
    <row r="717" ht="17.399999999999999" customHeight="1"/>
    <row r="718" ht="17.399999999999999" customHeight="1"/>
    <row r="719" ht="17.399999999999999" customHeight="1"/>
    <row r="720" ht="17.399999999999999" customHeight="1"/>
    <row r="721" ht="17.399999999999999" customHeight="1"/>
    <row r="722" ht="17.399999999999999" customHeight="1"/>
    <row r="723" ht="17.399999999999999" customHeight="1"/>
    <row r="724" ht="17.399999999999999" customHeight="1"/>
    <row r="725" ht="17.399999999999999" customHeight="1"/>
    <row r="726" ht="17.399999999999999" customHeight="1"/>
    <row r="727" ht="17.399999999999999" customHeight="1"/>
    <row r="728" ht="17.399999999999999" customHeight="1"/>
    <row r="729" ht="17.399999999999999" customHeight="1"/>
    <row r="730" ht="17.399999999999999" customHeight="1"/>
    <row r="731" ht="17.399999999999999" customHeight="1"/>
    <row r="732" ht="17.399999999999999" customHeight="1"/>
    <row r="733" ht="17.399999999999999" customHeight="1"/>
    <row r="734" ht="17.399999999999999" customHeight="1"/>
    <row r="735" ht="17.399999999999999" customHeight="1"/>
    <row r="736" ht="17.399999999999999" customHeight="1"/>
    <row r="737" ht="17.399999999999999" customHeight="1"/>
    <row r="738" ht="17.399999999999999" customHeight="1"/>
    <row r="739" ht="17.399999999999999" customHeight="1"/>
    <row r="740" ht="17.399999999999999" customHeight="1"/>
    <row r="741" ht="17.399999999999999" customHeight="1"/>
    <row r="742" ht="17.399999999999999" customHeight="1"/>
    <row r="743" ht="17.399999999999999" customHeight="1"/>
    <row r="744" ht="17.399999999999999" customHeight="1"/>
    <row r="745" ht="17.399999999999999" customHeight="1"/>
    <row r="746" ht="17.399999999999999" customHeight="1"/>
    <row r="747" ht="17.399999999999999" customHeight="1"/>
    <row r="748" ht="17.399999999999999" customHeight="1"/>
    <row r="749" ht="17.399999999999999" customHeight="1"/>
    <row r="750" ht="17.399999999999999" customHeight="1"/>
    <row r="751" ht="17.399999999999999" customHeight="1"/>
    <row r="752" ht="17.399999999999999" customHeight="1"/>
    <row r="753" ht="17.399999999999999" customHeight="1"/>
    <row r="754" ht="17.399999999999999" customHeight="1"/>
    <row r="755" ht="17.399999999999999" customHeight="1"/>
    <row r="756" ht="17.399999999999999" customHeight="1"/>
    <row r="757" ht="17.399999999999999" customHeight="1"/>
    <row r="758" ht="17.399999999999999" customHeight="1"/>
    <row r="759" ht="17.399999999999999" customHeight="1"/>
    <row r="760" ht="17.399999999999999" customHeight="1"/>
    <row r="761" ht="17.399999999999999" customHeight="1"/>
    <row r="762" ht="17.399999999999999" customHeight="1"/>
    <row r="763" ht="17.399999999999999" customHeight="1"/>
    <row r="764" ht="17.399999999999999" customHeight="1"/>
    <row r="765" ht="17.399999999999999" customHeight="1"/>
    <row r="766" ht="17.399999999999999" customHeight="1"/>
    <row r="767" ht="17.399999999999999" customHeight="1"/>
    <row r="768" ht="17.399999999999999" customHeight="1"/>
  </sheetData>
  <autoFilter ref="B8:I77" xr:uid="{643F601A-33FB-44EF-B845-7F08A05F1D8E}">
    <filterColumn colId="3">
      <filters>
        <filter val="PRTCTN_ID"/>
      </filters>
    </filterColumn>
  </autoFilter>
  <dataConsolidate/>
  <conditionalFormatting sqref="F9:F14 F16:F77">
    <cfRule type="cellIs" dxfId="19" priority="38" operator="equal">
      <formula>#REF!</formula>
    </cfRule>
  </conditionalFormatting>
  <conditionalFormatting sqref="F15">
    <cfRule type="cellIs" dxfId="13" priority="32" operator="equal">
      <formula>#REF!</formula>
    </cfRule>
  </conditionalFormatting>
  <conditionalFormatting sqref="G9:G77">
    <cfRule type="cellIs" dxfId="12" priority="1" operator="equal">
      <formula>"N"</formula>
    </cfRule>
    <cfRule type="cellIs" dxfId="11" priority="2" operator="equal">
      <formula>"Y"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4" operator="containsText" id="{D1004BCD-5F0F-48FB-8482-2EC2134441AF}">
            <xm:f>NOT(ISERROR(SEARCH(#REF!,F9)))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35" operator="containsText" id="{E41C0EF5-DC5B-492C-835C-CFDA75DA32E0}">
            <xm:f>NOT(ISERROR(SEARCH(#REF!,F9)))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36" operator="containsText" id="{5E750802-2D28-4CF4-B277-9E28C6CB5E6E}">
            <xm:f>NOT(ISERROR(SEARCH(#REF!,F9)))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37" operator="containsText" id="{09D270F0-613F-4344-869E-8AD56D7813B5}">
            <xm:f>NOT(ISERROR(SEARCH(#REF!,F9)))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F9:F14 F16:F77</xm:sqref>
        </x14:conditionalFormatting>
        <x14:conditionalFormatting xmlns:xm="http://schemas.microsoft.com/office/excel/2006/main">
          <x14:cfRule type="containsText" priority="33" operator="containsText" id="{8D8AA9F8-BE0A-49FF-93C4-2147E21761D1}">
            <xm:f>NOT(ISERROR(SEARCH(#REF!,F9)))</xm:f>
            <xm:f>#REF!</xm:f>
            <x14:dxf>
              <font>
                <b/>
                <i val="0"/>
                <color rgb="FFFFC000"/>
              </font>
              <fill>
                <patternFill>
                  <bgColor theme="9" tint="0.59996337778862885"/>
                </patternFill>
              </fill>
            </x14:dxf>
          </x14:cfRule>
          <xm:sqref>F9:F77</xm:sqref>
        </x14:conditionalFormatting>
        <x14:conditionalFormatting xmlns:xm="http://schemas.microsoft.com/office/excel/2006/main">
          <x14:cfRule type="containsText" priority="28" operator="containsText" id="{257ACCB9-9F3B-4586-B6D6-8AF4FC7A7991}">
            <xm:f>NOT(ISERROR(SEARCH(#REF!,F15)))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29" operator="containsText" id="{55DBE3D2-CF1B-42B8-864B-DCD0D6A513D3}">
            <xm:f>NOT(ISERROR(SEARCH(#REF!,F15)))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30" operator="containsText" id="{0CD0CFCB-1B2C-46F2-8223-C859A08F6422}">
            <xm:f>NOT(ISERROR(SEARCH(#REF!,F15)))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31" operator="containsText" id="{73172B81-09D6-429F-BBA3-74B3A3123164}">
            <xm:f>NOT(ISERROR(SEARCH(#REF!,F15)))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F15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702F216-864E-47D0-9DE3-BD798C526C02}">
          <x14:formula1>
            <xm:f>Auxiliar_GD!$B$30:$B$35</xm:f>
          </x14:formula1>
          <xm:sqref>F9:F77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C2253-0EF8-40C1-88E0-BF0A03647456}">
  <sheetPr filterMode="1"/>
  <dimension ref="B2:H72"/>
  <sheetViews>
    <sheetView showGridLines="0" workbookViewId="0">
      <selection activeCell="C42" sqref="C42:H52"/>
    </sheetView>
  </sheetViews>
  <sheetFormatPr defaultColWidth="8.6640625" defaultRowHeight="12.5"/>
  <cols>
    <col min="1" max="1" width="8.6640625" style="289"/>
    <col min="2" max="2" width="18.6640625" style="289" bestFit="1" customWidth="1"/>
    <col min="3" max="3" width="34.9140625" style="289" bestFit="1" customWidth="1"/>
    <col min="4" max="4" width="14.5" style="289" customWidth="1"/>
    <col min="5" max="5" width="12.58203125" style="289" customWidth="1"/>
    <col min="6" max="6" width="24.5" style="289" customWidth="1"/>
    <col min="7" max="7" width="8.6640625" style="289"/>
    <col min="8" max="8" width="41.4140625" style="289" bestFit="1" customWidth="1"/>
    <col min="9" max="16384" width="8.6640625" style="289"/>
  </cols>
  <sheetData>
    <row r="2" spans="2:8">
      <c r="D2" s="388" t="s">
        <v>434</v>
      </c>
      <c r="E2" s="388"/>
    </row>
    <row r="3" spans="2:8" ht="16.5">
      <c r="B3" s="290" t="s">
        <v>3</v>
      </c>
      <c r="C3" s="290" t="s">
        <v>4</v>
      </c>
      <c r="D3" s="290" t="s">
        <v>420</v>
      </c>
      <c r="E3" s="290" t="s">
        <v>421</v>
      </c>
      <c r="F3" s="290" t="s">
        <v>13</v>
      </c>
      <c r="G3" s="290" t="s">
        <v>5</v>
      </c>
      <c r="H3" s="290" t="s">
        <v>423</v>
      </c>
    </row>
    <row r="4" spans="2:8" ht="16.5">
      <c r="B4" s="291" t="s">
        <v>29</v>
      </c>
      <c r="C4" s="291" t="s">
        <v>79</v>
      </c>
      <c r="D4" s="291" t="s">
        <v>363</v>
      </c>
      <c r="E4" s="291" t="s">
        <v>418</v>
      </c>
      <c r="F4" s="291" t="s">
        <v>426</v>
      </c>
      <c r="G4" s="291" t="s">
        <v>433</v>
      </c>
      <c r="H4" s="291" t="s">
        <v>436</v>
      </c>
    </row>
    <row r="5" spans="2:8" ht="16.5" hidden="1">
      <c r="B5" s="291" t="s">
        <v>29</v>
      </c>
      <c r="C5" s="291" t="s">
        <v>60</v>
      </c>
      <c r="D5" s="291" t="s">
        <v>418</v>
      </c>
      <c r="E5" s="291" t="s">
        <v>418</v>
      </c>
      <c r="F5" s="291"/>
      <c r="G5" s="291"/>
      <c r="H5" s="291" t="s">
        <v>357</v>
      </c>
    </row>
    <row r="6" spans="2:8" ht="16.5">
      <c r="B6" s="291" t="s">
        <v>29</v>
      </c>
      <c r="C6" s="291" t="s">
        <v>80</v>
      </c>
      <c r="D6" s="291" t="s">
        <v>363</v>
      </c>
      <c r="E6" s="291" t="s">
        <v>418</v>
      </c>
      <c r="F6" s="291" t="s">
        <v>427</v>
      </c>
      <c r="G6" s="291" t="s">
        <v>433</v>
      </c>
      <c r="H6" s="291" t="s">
        <v>435</v>
      </c>
    </row>
    <row r="7" spans="2:8" ht="16.5">
      <c r="B7" s="291" t="s">
        <v>29</v>
      </c>
      <c r="C7" s="291" t="s">
        <v>81</v>
      </c>
      <c r="D7" s="291" t="s">
        <v>363</v>
      </c>
      <c r="E7" s="291" t="s">
        <v>418</v>
      </c>
      <c r="F7" s="291" t="s">
        <v>428</v>
      </c>
      <c r="G7" s="291" t="s">
        <v>433</v>
      </c>
      <c r="H7" s="291" t="s">
        <v>435</v>
      </c>
    </row>
    <row r="8" spans="2:8" ht="16.5" hidden="1">
      <c r="B8" s="291" t="s">
        <v>29</v>
      </c>
      <c r="C8" s="291" t="s">
        <v>82</v>
      </c>
      <c r="D8" s="291" t="s">
        <v>418</v>
      </c>
      <c r="E8" s="291" t="s">
        <v>418</v>
      </c>
      <c r="F8" s="291"/>
      <c r="G8" s="291" t="s">
        <v>433</v>
      </c>
      <c r="H8" s="291" t="s">
        <v>357</v>
      </c>
    </row>
    <row r="9" spans="2:8" ht="16.5">
      <c r="B9" s="291" t="s">
        <v>29</v>
      </c>
      <c r="C9" s="291" t="s">
        <v>83</v>
      </c>
      <c r="D9" s="291" t="s">
        <v>363</v>
      </c>
      <c r="E9" s="291" t="s">
        <v>418</v>
      </c>
      <c r="F9" s="291" t="s">
        <v>429</v>
      </c>
      <c r="G9" s="291" t="s">
        <v>433</v>
      </c>
      <c r="H9" s="291" t="s">
        <v>435</v>
      </c>
    </row>
    <row r="10" spans="2:8" ht="16.5">
      <c r="B10" s="291" t="s">
        <v>29</v>
      </c>
      <c r="C10" s="291" t="s">
        <v>61</v>
      </c>
      <c r="D10" s="291" t="s">
        <v>363</v>
      </c>
      <c r="E10" s="291" t="s">
        <v>363</v>
      </c>
      <c r="F10" s="291" t="s">
        <v>425</v>
      </c>
      <c r="G10" s="291"/>
      <c r="H10" s="291" t="s">
        <v>357</v>
      </c>
    </row>
    <row r="11" spans="2:8" ht="16.5" hidden="1">
      <c r="B11" s="291" t="s">
        <v>29</v>
      </c>
      <c r="C11" s="291" t="s">
        <v>84</v>
      </c>
      <c r="D11" s="291" t="s">
        <v>418</v>
      </c>
      <c r="E11" s="291" t="s">
        <v>418</v>
      </c>
      <c r="F11" s="291"/>
      <c r="G11" s="291" t="s">
        <v>433</v>
      </c>
      <c r="H11" s="291" t="s">
        <v>357</v>
      </c>
    </row>
    <row r="12" spans="2:8" ht="16.5">
      <c r="B12" s="291" t="s">
        <v>29</v>
      </c>
      <c r="C12" s="291" t="s">
        <v>85</v>
      </c>
      <c r="D12" s="291" t="s">
        <v>363</v>
      </c>
      <c r="E12" s="291" t="s">
        <v>418</v>
      </c>
      <c r="F12" s="291" t="s">
        <v>429</v>
      </c>
      <c r="G12" s="291" t="s">
        <v>433</v>
      </c>
      <c r="H12" s="291" t="s">
        <v>435</v>
      </c>
    </row>
    <row r="13" spans="2:8" ht="16.5">
      <c r="B13" s="291" t="s">
        <v>29</v>
      </c>
      <c r="C13" s="291" t="s">
        <v>86</v>
      </c>
      <c r="D13" s="291" t="s">
        <v>363</v>
      </c>
      <c r="E13" s="291" t="s">
        <v>418</v>
      </c>
      <c r="F13" s="291" t="s">
        <v>429</v>
      </c>
      <c r="G13" s="291" t="s">
        <v>433</v>
      </c>
      <c r="H13" s="291" t="s">
        <v>435</v>
      </c>
    </row>
    <row r="14" spans="2:8" ht="16.5" hidden="1">
      <c r="B14" s="291" t="s">
        <v>29</v>
      </c>
      <c r="C14" s="291" t="s">
        <v>62</v>
      </c>
      <c r="D14" s="291" t="s">
        <v>418</v>
      </c>
      <c r="E14" s="291" t="s">
        <v>418</v>
      </c>
      <c r="F14" s="291"/>
      <c r="G14" s="291" t="s">
        <v>433</v>
      </c>
      <c r="H14" s="291" t="s">
        <v>357</v>
      </c>
    </row>
    <row r="15" spans="2:8" ht="16.5" hidden="1">
      <c r="B15" s="291" t="s">
        <v>29</v>
      </c>
      <c r="C15" s="291" t="s">
        <v>87</v>
      </c>
      <c r="D15" s="291" t="s">
        <v>418</v>
      </c>
      <c r="E15" s="291" t="s">
        <v>418</v>
      </c>
      <c r="F15" s="291"/>
      <c r="G15" s="291" t="s">
        <v>433</v>
      </c>
      <c r="H15" s="291" t="s">
        <v>357</v>
      </c>
    </row>
    <row r="16" spans="2:8" ht="16.5" hidden="1">
      <c r="B16" s="291" t="s">
        <v>29</v>
      </c>
      <c r="C16" s="291" t="s">
        <v>88</v>
      </c>
      <c r="D16" s="291" t="s">
        <v>418</v>
      </c>
      <c r="E16" s="291" t="s">
        <v>418</v>
      </c>
      <c r="F16" s="291"/>
      <c r="G16" s="291" t="s">
        <v>433</v>
      </c>
      <c r="H16" s="291" t="s">
        <v>357</v>
      </c>
    </row>
    <row r="17" spans="2:8" ht="16.5">
      <c r="B17" s="291" t="s">
        <v>29</v>
      </c>
      <c r="C17" s="291" t="s">
        <v>89</v>
      </c>
      <c r="D17" s="291" t="s">
        <v>363</v>
      </c>
      <c r="E17" s="291" t="s">
        <v>363</v>
      </c>
      <c r="F17" s="291" t="s">
        <v>425</v>
      </c>
      <c r="G17" s="291" t="s">
        <v>433</v>
      </c>
      <c r="H17" s="291" t="s">
        <v>357</v>
      </c>
    </row>
    <row r="18" spans="2:8" ht="16.5">
      <c r="B18" s="291" t="s">
        <v>29</v>
      </c>
      <c r="C18" s="291" t="s">
        <v>90</v>
      </c>
      <c r="D18" s="291" t="s">
        <v>363</v>
      </c>
      <c r="E18" s="291" t="s">
        <v>418</v>
      </c>
      <c r="F18" s="291" t="s">
        <v>428</v>
      </c>
      <c r="G18" s="291" t="s">
        <v>433</v>
      </c>
      <c r="H18" s="291" t="s">
        <v>436</v>
      </c>
    </row>
    <row r="19" spans="2:8" ht="16.5" hidden="1">
      <c r="B19" s="291" t="s">
        <v>29</v>
      </c>
      <c r="C19" s="291" t="s">
        <v>91</v>
      </c>
      <c r="D19" s="291" t="s">
        <v>418</v>
      </c>
      <c r="E19" s="291" t="s">
        <v>418</v>
      </c>
      <c r="F19" s="291"/>
      <c r="G19" s="291" t="s">
        <v>433</v>
      </c>
      <c r="H19" s="291" t="s">
        <v>357</v>
      </c>
    </row>
    <row r="20" spans="2:8" ht="16.5">
      <c r="B20" s="291" t="s">
        <v>29</v>
      </c>
      <c r="C20" s="291" t="s">
        <v>92</v>
      </c>
      <c r="D20" s="291" t="s">
        <v>363</v>
      </c>
      <c r="E20" s="291" t="s">
        <v>418</v>
      </c>
      <c r="F20" s="291" t="s">
        <v>429</v>
      </c>
      <c r="G20" s="291" t="s">
        <v>433</v>
      </c>
      <c r="H20" s="291" t="s">
        <v>435</v>
      </c>
    </row>
    <row r="21" spans="2:8" ht="16.5">
      <c r="B21" s="291" t="s">
        <v>29</v>
      </c>
      <c r="C21" s="291" t="s">
        <v>93</v>
      </c>
      <c r="D21" s="291" t="s">
        <v>363</v>
      </c>
      <c r="E21" s="291" t="s">
        <v>418</v>
      </c>
      <c r="F21" s="291" t="s">
        <v>429</v>
      </c>
      <c r="G21" s="291" t="s">
        <v>433</v>
      </c>
      <c r="H21" s="291" t="s">
        <v>435</v>
      </c>
    </row>
    <row r="22" spans="2:8" ht="16.5" hidden="1">
      <c r="B22" s="291" t="s">
        <v>29</v>
      </c>
      <c r="C22" s="291" t="s">
        <v>94</v>
      </c>
      <c r="D22" s="291" t="s">
        <v>418</v>
      </c>
      <c r="E22" s="291" t="s">
        <v>418</v>
      </c>
      <c r="F22" s="291"/>
      <c r="G22" s="291" t="s">
        <v>433</v>
      </c>
      <c r="H22" s="291" t="s">
        <v>357</v>
      </c>
    </row>
    <row r="23" spans="2:8" ht="16.5">
      <c r="B23" s="291" t="s">
        <v>29</v>
      </c>
      <c r="C23" s="291" t="s">
        <v>95</v>
      </c>
      <c r="D23" s="291" t="s">
        <v>363</v>
      </c>
      <c r="E23" s="291" t="s">
        <v>418</v>
      </c>
      <c r="F23" s="291" t="s">
        <v>429</v>
      </c>
      <c r="G23" s="291" t="s">
        <v>433</v>
      </c>
      <c r="H23" s="291" t="s">
        <v>435</v>
      </c>
    </row>
    <row r="24" spans="2:8" ht="16.5">
      <c r="B24" s="291" t="s">
        <v>29</v>
      </c>
      <c r="C24" s="291" t="s">
        <v>96</v>
      </c>
      <c r="D24" s="291" t="s">
        <v>363</v>
      </c>
      <c r="E24" s="291" t="s">
        <v>418</v>
      </c>
      <c r="F24" s="291" t="s">
        <v>429</v>
      </c>
      <c r="G24" s="291" t="s">
        <v>433</v>
      </c>
      <c r="H24" s="291" t="s">
        <v>435</v>
      </c>
    </row>
    <row r="25" spans="2:8" ht="16.5">
      <c r="B25" s="291" t="s">
        <v>29</v>
      </c>
      <c r="C25" s="291" t="s">
        <v>97</v>
      </c>
      <c r="D25" s="291" t="s">
        <v>363</v>
      </c>
      <c r="E25" s="291" t="s">
        <v>418</v>
      </c>
      <c r="F25" s="291" t="s">
        <v>429</v>
      </c>
      <c r="G25" s="291"/>
      <c r="H25" s="291" t="s">
        <v>357</v>
      </c>
    </row>
    <row r="26" spans="2:8" ht="16.5">
      <c r="B26" s="291" t="s">
        <v>29</v>
      </c>
      <c r="C26" s="291" t="s">
        <v>98</v>
      </c>
      <c r="D26" s="291" t="s">
        <v>363</v>
      </c>
      <c r="E26" s="291" t="s">
        <v>418</v>
      </c>
      <c r="F26" s="291" t="s">
        <v>429</v>
      </c>
      <c r="G26" s="291"/>
      <c r="H26" s="291" t="s">
        <v>357</v>
      </c>
    </row>
    <row r="27" spans="2:8" ht="16.5">
      <c r="B27" s="291" t="s">
        <v>29</v>
      </c>
      <c r="C27" s="291" t="s">
        <v>99</v>
      </c>
      <c r="D27" s="291" t="s">
        <v>363</v>
      </c>
      <c r="E27" s="291" t="s">
        <v>418</v>
      </c>
      <c r="F27" s="291" t="s">
        <v>429</v>
      </c>
      <c r="G27" s="291"/>
      <c r="H27" s="291" t="s">
        <v>357</v>
      </c>
    </row>
    <row r="28" spans="2:8" ht="16.5">
      <c r="B28" s="291" t="s">
        <v>29</v>
      </c>
      <c r="C28" s="291" t="s">
        <v>100</v>
      </c>
      <c r="D28" s="291" t="s">
        <v>363</v>
      </c>
      <c r="E28" s="291" t="s">
        <v>418</v>
      </c>
      <c r="F28" s="291" t="s">
        <v>429</v>
      </c>
      <c r="G28" s="291"/>
      <c r="H28" s="291" t="s">
        <v>357</v>
      </c>
    </row>
    <row r="29" spans="2:8" ht="16.5">
      <c r="B29" s="291" t="s">
        <v>29</v>
      </c>
      <c r="C29" s="291" t="s">
        <v>101</v>
      </c>
      <c r="D29" s="291" t="s">
        <v>363</v>
      </c>
      <c r="E29" s="291" t="s">
        <v>418</v>
      </c>
      <c r="F29" s="291" t="s">
        <v>429</v>
      </c>
      <c r="G29" s="291"/>
      <c r="H29" s="291" t="s">
        <v>357</v>
      </c>
    </row>
    <row r="30" spans="2:8" ht="16.5">
      <c r="B30" s="291" t="s">
        <v>29</v>
      </c>
      <c r="C30" s="291" t="s">
        <v>63</v>
      </c>
      <c r="D30" s="291" t="s">
        <v>363</v>
      </c>
      <c r="E30" s="291" t="s">
        <v>363</v>
      </c>
      <c r="F30" s="291" t="s">
        <v>425</v>
      </c>
      <c r="G30" s="291"/>
      <c r="H30" s="291" t="s">
        <v>357</v>
      </c>
    </row>
    <row r="31" spans="2:8" ht="16.5">
      <c r="B31" s="291" t="s">
        <v>29</v>
      </c>
      <c r="C31" s="291" t="s">
        <v>102</v>
      </c>
      <c r="D31" s="291" t="s">
        <v>363</v>
      </c>
      <c r="E31" s="291" t="s">
        <v>418</v>
      </c>
      <c r="F31" s="291" t="s">
        <v>429</v>
      </c>
      <c r="G31" s="291"/>
      <c r="H31" s="291" t="s">
        <v>357</v>
      </c>
    </row>
    <row r="32" spans="2:8" ht="16.5">
      <c r="B32" s="291" t="s">
        <v>29</v>
      </c>
      <c r="C32" s="291" t="s">
        <v>103</v>
      </c>
      <c r="D32" s="291" t="s">
        <v>363</v>
      </c>
      <c r="E32" s="291" t="s">
        <v>418</v>
      </c>
      <c r="F32" s="291" t="s">
        <v>429</v>
      </c>
      <c r="G32" s="291"/>
      <c r="H32" s="291" t="s">
        <v>357</v>
      </c>
    </row>
    <row r="33" spans="2:8" ht="16.5" hidden="1">
      <c r="B33" s="291" t="s">
        <v>29</v>
      </c>
      <c r="C33" s="291" t="s">
        <v>110</v>
      </c>
      <c r="D33" s="291" t="s">
        <v>418</v>
      </c>
      <c r="E33" s="291" t="s">
        <v>418</v>
      </c>
      <c r="F33" s="291"/>
      <c r="G33" s="291" t="s">
        <v>433</v>
      </c>
      <c r="H33" s="291" t="s">
        <v>357</v>
      </c>
    </row>
    <row r="34" spans="2:8" ht="16.5" hidden="1">
      <c r="B34" s="291" t="s">
        <v>29</v>
      </c>
      <c r="C34" s="291" t="s">
        <v>111</v>
      </c>
      <c r="D34" s="291" t="s">
        <v>418</v>
      </c>
      <c r="E34" s="291" t="s">
        <v>418</v>
      </c>
      <c r="F34" s="291"/>
      <c r="G34" s="291" t="s">
        <v>433</v>
      </c>
      <c r="H34" s="291" t="s">
        <v>357</v>
      </c>
    </row>
    <row r="35" spans="2:8" ht="16.5" hidden="1">
      <c r="B35" s="291" t="s">
        <v>29</v>
      </c>
      <c r="C35" s="291" t="s">
        <v>112</v>
      </c>
      <c r="D35" s="291" t="s">
        <v>418</v>
      </c>
      <c r="E35" s="291" t="s">
        <v>418</v>
      </c>
      <c r="F35" s="291"/>
      <c r="G35" s="291" t="s">
        <v>433</v>
      </c>
      <c r="H35" s="291" t="s">
        <v>357</v>
      </c>
    </row>
    <row r="36" spans="2:8" ht="16.5" hidden="1">
      <c r="B36" s="291" t="s">
        <v>29</v>
      </c>
      <c r="C36" s="291" t="s">
        <v>51</v>
      </c>
      <c r="D36" s="291" t="s">
        <v>418</v>
      </c>
      <c r="E36" s="291" t="s">
        <v>418</v>
      </c>
      <c r="F36" s="291"/>
      <c r="G36" s="291" t="s">
        <v>433</v>
      </c>
      <c r="H36" s="291" t="s">
        <v>357</v>
      </c>
    </row>
    <row r="37" spans="2:8" ht="16.5" hidden="1">
      <c r="B37" s="291" t="s">
        <v>29</v>
      </c>
      <c r="C37" s="291" t="s">
        <v>68</v>
      </c>
      <c r="D37" s="291"/>
      <c r="E37" s="291" t="s">
        <v>418</v>
      </c>
      <c r="F37" s="291" t="s">
        <v>432</v>
      </c>
      <c r="G37" s="291" t="s">
        <v>433</v>
      </c>
      <c r="H37" s="291" t="s">
        <v>357</v>
      </c>
    </row>
    <row r="38" spans="2:8" ht="16.5" hidden="1">
      <c r="B38" s="291" t="s">
        <v>29</v>
      </c>
      <c r="C38" s="291" t="s">
        <v>52</v>
      </c>
      <c r="D38" s="291" t="s">
        <v>418</v>
      </c>
      <c r="E38" s="291" t="s">
        <v>418</v>
      </c>
      <c r="F38" s="291"/>
      <c r="G38" s="291" t="s">
        <v>433</v>
      </c>
      <c r="H38" s="291" t="s">
        <v>357</v>
      </c>
    </row>
    <row r="39" spans="2:8" ht="16.5" hidden="1">
      <c r="B39" s="291" t="s">
        <v>29</v>
      </c>
      <c r="C39" s="291" t="s">
        <v>55</v>
      </c>
      <c r="D39" s="291" t="s">
        <v>418</v>
      </c>
      <c r="E39" s="291" t="s">
        <v>418</v>
      </c>
      <c r="F39" s="291"/>
      <c r="G39" s="291" t="s">
        <v>433</v>
      </c>
      <c r="H39" s="291" t="s">
        <v>357</v>
      </c>
    </row>
    <row r="40" spans="2:8" ht="16.5" hidden="1">
      <c r="B40" s="291" t="s">
        <v>29</v>
      </c>
      <c r="C40" s="291" t="s">
        <v>69</v>
      </c>
      <c r="D40" s="291" t="s">
        <v>418</v>
      </c>
      <c r="E40" s="291" t="s">
        <v>418</v>
      </c>
      <c r="F40" s="291"/>
      <c r="G40" s="291" t="s">
        <v>433</v>
      </c>
      <c r="H40" s="291" t="s">
        <v>357</v>
      </c>
    </row>
    <row r="41" spans="2:8" ht="16.5" hidden="1">
      <c r="B41" s="291" t="s">
        <v>29</v>
      </c>
      <c r="C41" s="291" t="s">
        <v>56</v>
      </c>
      <c r="D41" s="291" t="s">
        <v>418</v>
      </c>
      <c r="E41" s="291" t="s">
        <v>418</v>
      </c>
      <c r="F41" s="291"/>
      <c r="G41" s="291" t="s">
        <v>433</v>
      </c>
      <c r="H41" s="291" t="s">
        <v>357</v>
      </c>
    </row>
    <row r="42" spans="2:8" ht="16.5">
      <c r="B42" s="291" t="s">
        <v>29</v>
      </c>
      <c r="C42" s="291" t="s">
        <v>70</v>
      </c>
      <c r="D42" s="291" t="s">
        <v>363</v>
      </c>
      <c r="E42" s="291" t="s">
        <v>363</v>
      </c>
      <c r="F42" s="291" t="s">
        <v>431</v>
      </c>
      <c r="G42" s="291" t="s">
        <v>433</v>
      </c>
      <c r="H42" s="291" t="s">
        <v>437</v>
      </c>
    </row>
    <row r="43" spans="2:8" ht="16.5" hidden="1">
      <c r="B43" s="291" t="s">
        <v>29</v>
      </c>
      <c r="C43" s="291" t="s">
        <v>71</v>
      </c>
      <c r="D43" s="291" t="s">
        <v>418</v>
      </c>
      <c r="E43" s="291" t="s">
        <v>418</v>
      </c>
      <c r="F43" s="291"/>
      <c r="G43" s="291" t="s">
        <v>433</v>
      </c>
      <c r="H43" s="291" t="s">
        <v>437</v>
      </c>
    </row>
    <row r="44" spans="2:8" ht="16.5" hidden="1">
      <c r="B44" s="291" t="s">
        <v>29</v>
      </c>
      <c r="C44" s="291" t="s">
        <v>72</v>
      </c>
      <c r="D44" s="291" t="s">
        <v>418</v>
      </c>
      <c r="E44" s="291" t="s">
        <v>418</v>
      </c>
      <c r="F44" s="291"/>
      <c r="G44" s="291" t="s">
        <v>433</v>
      </c>
      <c r="H44" s="291" t="s">
        <v>437</v>
      </c>
    </row>
    <row r="45" spans="2:8" ht="16.5">
      <c r="B45" s="291" t="s">
        <v>29</v>
      </c>
      <c r="C45" s="291" t="s">
        <v>73</v>
      </c>
      <c r="D45" s="291" t="s">
        <v>363</v>
      </c>
      <c r="E45" s="291" t="s">
        <v>418</v>
      </c>
      <c r="F45" s="291"/>
      <c r="G45" s="291" t="s">
        <v>433</v>
      </c>
      <c r="H45" s="291" t="s">
        <v>437</v>
      </c>
    </row>
    <row r="46" spans="2:8" ht="16.5" hidden="1">
      <c r="B46" s="291" t="s">
        <v>29</v>
      </c>
      <c r="C46" s="291" t="s">
        <v>74</v>
      </c>
      <c r="D46" s="291" t="s">
        <v>418</v>
      </c>
      <c r="E46" s="291" t="s">
        <v>418</v>
      </c>
      <c r="F46" s="291"/>
      <c r="G46" s="291" t="s">
        <v>433</v>
      </c>
      <c r="H46" s="291" t="s">
        <v>357</v>
      </c>
    </row>
    <row r="47" spans="2:8" ht="16.5" hidden="1">
      <c r="B47" s="291" t="s">
        <v>29</v>
      </c>
      <c r="C47" s="291" t="s">
        <v>75</v>
      </c>
      <c r="D47" s="291" t="s">
        <v>418</v>
      </c>
      <c r="E47" s="291" t="s">
        <v>418</v>
      </c>
      <c r="F47" s="291"/>
      <c r="G47" s="291" t="s">
        <v>433</v>
      </c>
      <c r="H47" s="291" t="s">
        <v>357</v>
      </c>
    </row>
    <row r="48" spans="2:8" ht="16.5" hidden="1">
      <c r="B48" s="291" t="s">
        <v>29</v>
      </c>
      <c r="C48" s="291" t="s">
        <v>76</v>
      </c>
      <c r="D48" s="291" t="s">
        <v>418</v>
      </c>
      <c r="E48" s="291" t="s">
        <v>418</v>
      </c>
      <c r="F48" s="291"/>
      <c r="G48" s="291" t="s">
        <v>433</v>
      </c>
      <c r="H48" s="291" t="s">
        <v>357</v>
      </c>
    </row>
    <row r="49" spans="2:8" ht="16.5" hidden="1">
      <c r="B49" s="291" t="s">
        <v>29</v>
      </c>
      <c r="C49" s="291" t="s">
        <v>77</v>
      </c>
      <c r="D49" s="291" t="s">
        <v>418</v>
      </c>
      <c r="E49" s="291" t="s">
        <v>418</v>
      </c>
      <c r="F49" s="291"/>
      <c r="G49" s="291" t="s">
        <v>433</v>
      </c>
      <c r="H49" s="291" t="s">
        <v>357</v>
      </c>
    </row>
    <row r="50" spans="2:8" ht="16.5" hidden="1">
      <c r="B50" s="291" t="s">
        <v>29</v>
      </c>
      <c r="C50" s="291" t="s">
        <v>78</v>
      </c>
      <c r="D50" s="291" t="s">
        <v>418</v>
      </c>
      <c r="E50" s="291" t="s">
        <v>418</v>
      </c>
      <c r="F50" s="291"/>
      <c r="G50" s="291" t="s">
        <v>433</v>
      </c>
      <c r="H50" s="291" t="s">
        <v>357</v>
      </c>
    </row>
    <row r="51" spans="2:8" ht="16.5" hidden="1">
      <c r="B51" s="291" t="s">
        <v>29</v>
      </c>
      <c r="C51" s="291" t="s">
        <v>57</v>
      </c>
      <c r="D51" s="291" t="s">
        <v>418</v>
      </c>
      <c r="E51" s="291" t="s">
        <v>418</v>
      </c>
      <c r="F51" s="291"/>
      <c r="G51" s="291" t="s">
        <v>433</v>
      </c>
      <c r="H51" s="291" t="s">
        <v>357</v>
      </c>
    </row>
    <row r="52" spans="2:8" ht="16.5">
      <c r="B52" s="291" t="s">
        <v>29</v>
      </c>
      <c r="C52" s="291" t="s">
        <v>66</v>
      </c>
      <c r="D52" s="291" t="s">
        <v>363</v>
      </c>
      <c r="E52" s="291" t="s">
        <v>418</v>
      </c>
      <c r="F52" s="291"/>
      <c r="G52" s="291" t="s">
        <v>433</v>
      </c>
      <c r="H52" s="291" t="s">
        <v>437</v>
      </c>
    </row>
    <row r="53" spans="2:8" ht="16.5" hidden="1">
      <c r="B53" s="291" t="s">
        <v>275</v>
      </c>
      <c r="C53" s="291" t="s">
        <v>51</v>
      </c>
      <c r="D53" s="291" t="s">
        <v>418</v>
      </c>
      <c r="E53" s="291" t="s">
        <v>418</v>
      </c>
      <c r="F53" s="291"/>
      <c r="G53" s="291" t="s">
        <v>433</v>
      </c>
      <c r="H53" s="291" t="s">
        <v>357</v>
      </c>
    </row>
    <row r="54" spans="2:8" ht="16.5" hidden="1">
      <c r="B54" s="291" t="s">
        <v>275</v>
      </c>
      <c r="C54" s="291" t="s">
        <v>52</v>
      </c>
      <c r="D54" s="291" t="s">
        <v>418</v>
      </c>
      <c r="E54" s="291" t="s">
        <v>418</v>
      </c>
      <c r="F54" s="291"/>
      <c r="G54" s="291" t="s">
        <v>433</v>
      </c>
      <c r="H54" s="291" t="s">
        <v>357</v>
      </c>
    </row>
    <row r="55" spans="2:8" ht="16.5" hidden="1">
      <c r="B55" s="291" t="s">
        <v>275</v>
      </c>
      <c r="C55" s="291" t="s">
        <v>53</v>
      </c>
      <c r="D55" s="291" t="s">
        <v>418</v>
      </c>
      <c r="E55" s="291" t="s">
        <v>418</v>
      </c>
      <c r="F55" s="291"/>
      <c r="G55" s="291" t="s">
        <v>433</v>
      </c>
      <c r="H55" s="291" t="s">
        <v>357</v>
      </c>
    </row>
    <row r="56" spans="2:8" ht="16.5" hidden="1">
      <c r="B56" s="291" t="s">
        <v>275</v>
      </c>
      <c r="C56" s="291" t="s">
        <v>113</v>
      </c>
      <c r="D56" s="291" t="s">
        <v>418</v>
      </c>
      <c r="E56" s="291" t="s">
        <v>418</v>
      </c>
      <c r="F56" s="291"/>
      <c r="G56" s="291" t="s">
        <v>433</v>
      </c>
      <c r="H56" s="291" t="s">
        <v>357</v>
      </c>
    </row>
    <row r="57" spans="2:8" ht="16.5" hidden="1">
      <c r="B57" s="291" t="s">
        <v>28</v>
      </c>
      <c r="C57" s="291" t="s">
        <v>51</v>
      </c>
      <c r="D57" s="291" t="s">
        <v>418</v>
      </c>
      <c r="E57" s="291" t="s">
        <v>418</v>
      </c>
      <c r="F57" s="291"/>
      <c r="G57" s="291" t="s">
        <v>433</v>
      </c>
      <c r="H57" s="291" t="s">
        <v>357</v>
      </c>
    </row>
    <row r="58" spans="2:8" ht="16.5" hidden="1">
      <c r="B58" s="291" t="s">
        <v>28</v>
      </c>
      <c r="C58" s="291" t="s">
        <v>52</v>
      </c>
      <c r="D58" s="291" t="s">
        <v>418</v>
      </c>
      <c r="E58" s="291" t="s">
        <v>418</v>
      </c>
      <c r="F58" s="291"/>
      <c r="G58" s="291" t="s">
        <v>433</v>
      </c>
      <c r="H58" s="291" t="s">
        <v>357</v>
      </c>
    </row>
    <row r="59" spans="2:8" ht="16.5" hidden="1">
      <c r="B59" s="291" t="s">
        <v>28</v>
      </c>
      <c r="C59" s="291" t="s">
        <v>113</v>
      </c>
      <c r="D59" s="291" t="s">
        <v>418</v>
      </c>
      <c r="E59" s="291" t="s">
        <v>418</v>
      </c>
      <c r="F59" s="291"/>
      <c r="G59" s="291" t="s">
        <v>433</v>
      </c>
      <c r="H59" s="291" t="s">
        <v>357</v>
      </c>
    </row>
    <row r="60" spans="2:8" ht="16.5" hidden="1">
      <c r="B60" s="291" t="s">
        <v>28</v>
      </c>
      <c r="C60" s="291" t="s">
        <v>114</v>
      </c>
      <c r="D60" s="291" t="s">
        <v>418</v>
      </c>
      <c r="E60" s="291" t="s">
        <v>363</v>
      </c>
      <c r="F60" s="291" t="s">
        <v>424</v>
      </c>
      <c r="G60" s="291" t="s">
        <v>433</v>
      </c>
      <c r="H60" s="291" t="s">
        <v>437</v>
      </c>
    </row>
    <row r="61" spans="2:8" ht="16.5" hidden="1">
      <c r="B61" s="291" t="s">
        <v>28</v>
      </c>
      <c r="C61" s="291" t="s">
        <v>115</v>
      </c>
      <c r="D61" s="291" t="s">
        <v>418</v>
      </c>
      <c r="E61" s="291" t="s">
        <v>418</v>
      </c>
      <c r="F61" s="291"/>
      <c r="G61" s="291" t="s">
        <v>433</v>
      </c>
      <c r="H61" s="291" t="s">
        <v>357</v>
      </c>
    </row>
    <row r="62" spans="2:8" ht="16.5" hidden="1">
      <c r="B62" s="291" t="s">
        <v>28</v>
      </c>
      <c r="C62" s="291" t="s">
        <v>400</v>
      </c>
      <c r="D62" s="291" t="s">
        <v>418</v>
      </c>
      <c r="E62" s="291" t="s">
        <v>418</v>
      </c>
      <c r="F62" s="291"/>
      <c r="G62" s="291"/>
      <c r="H62" s="291" t="s">
        <v>357</v>
      </c>
    </row>
    <row r="63" spans="2:8" ht="16.5" hidden="1">
      <c r="B63" s="291" t="s">
        <v>28</v>
      </c>
      <c r="C63" s="291" t="s">
        <v>118</v>
      </c>
      <c r="D63" s="291" t="s">
        <v>418</v>
      </c>
      <c r="E63" s="291" t="s">
        <v>418</v>
      </c>
      <c r="F63" s="291"/>
      <c r="G63" s="291"/>
      <c r="H63" s="291" t="s">
        <v>357</v>
      </c>
    </row>
    <row r="64" spans="2:8" ht="16.5" hidden="1">
      <c r="B64" s="291" t="s">
        <v>108</v>
      </c>
      <c r="C64" s="291" t="s">
        <v>116</v>
      </c>
      <c r="D64" s="291" t="s">
        <v>418</v>
      </c>
      <c r="E64" s="291" t="s">
        <v>418</v>
      </c>
      <c r="F64" s="291"/>
      <c r="G64" s="291"/>
      <c r="H64" s="291" t="s">
        <v>357</v>
      </c>
    </row>
    <row r="65" spans="2:8" ht="16.5">
      <c r="B65" s="291" t="s">
        <v>29</v>
      </c>
      <c r="C65" s="291" t="s">
        <v>64</v>
      </c>
      <c r="D65" s="291" t="s">
        <v>363</v>
      </c>
      <c r="E65" s="291" t="s">
        <v>363</v>
      </c>
      <c r="F65" s="291" t="s">
        <v>430</v>
      </c>
      <c r="G65" s="291"/>
      <c r="H65" s="291" t="s">
        <v>357</v>
      </c>
    </row>
    <row r="66" spans="2:8" ht="16.5" hidden="1">
      <c r="B66" s="291" t="s">
        <v>108</v>
      </c>
      <c r="C66" s="291" t="s">
        <v>58</v>
      </c>
      <c r="D66" s="291" t="s">
        <v>418</v>
      </c>
      <c r="E66" s="291" t="s">
        <v>418</v>
      </c>
      <c r="F66" s="291"/>
      <c r="G66" s="291"/>
      <c r="H66" s="291" t="s">
        <v>357</v>
      </c>
    </row>
    <row r="67" spans="2:8" ht="16.5" hidden="1">
      <c r="B67" s="291" t="s">
        <v>108</v>
      </c>
      <c r="C67" s="291" t="s">
        <v>59</v>
      </c>
      <c r="D67" s="291" t="s">
        <v>418</v>
      </c>
      <c r="E67" s="291" t="s">
        <v>363</v>
      </c>
      <c r="F67" s="291"/>
      <c r="G67" s="291"/>
      <c r="H67" s="291" t="s">
        <v>357</v>
      </c>
    </row>
    <row r="68" spans="2:8" ht="16.5" hidden="1">
      <c r="B68" s="291" t="s">
        <v>29</v>
      </c>
      <c r="C68" s="291" t="s">
        <v>53</v>
      </c>
      <c r="D68" s="291" t="s">
        <v>418</v>
      </c>
      <c r="E68" s="291" t="s">
        <v>418</v>
      </c>
      <c r="F68" s="291"/>
      <c r="G68" s="291" t="s">
        <v>433</v>
      </c>
      <c r="H68" s="291" t="s">
        <v>357</v>
      </c>
    </row>
    <row r="69" spans="2:8" ht="16.5" hidden="1">
      <c r="B69" s="291" t="s">
        <v>275</v>
      </c>
      <c r="C69" s="291" t="s">
        <v>117</v>
      </c>
      <c r="D69" s="291" t="s">
        <v>418</v>
      </c>
      <c r="E69" s="291" t="s">
        <v>418</v>
      </c>
      <c r="F69" s="291"/>
      <c r="G69" s="291"/>
      <c r="H69" s="291" t="s">
        <v>357</v>
      </c>
    </row>
    <row r="70" spans="2:8" ht="16.5" hidden="1">
      <c r="B70" s="291" t="s">
        <v>108</v>
      </c>
      <c r="C70" s="291" t="s">
        <v>51</v>
      </c>
      <c r="D70" s="291" t="s">
        <v>418</v>
      </c>
      <c r="E70" s="291" t="s">
        <v>418</v>
      </c>
      <c r="F70" s="291"/>
      <c r="G70" s="291"/>
      <c r="H70" s="291" t="s">
        <v>357</v>
      </c>
    </row>
    <row r="71" spans="2:8" ht="16.5" hidden="1">
      <c r="B71" s="291" t="s">
        <v>108</v>
      </c>
      <c r="C71" s="291" t="s">
        <v>52</v>
      </c>
      <c r="D71" s="291" t="s">
        <v>418</v>
      </c>
      <c r="E71" s="291" t="s">
        <v>418</v>
      </c>
      <c r="F71" s="291"/>
      <c r="G71" s="291"/>
      <c r="H71" s="291" t="s">
        <v>357</v>
      </c>
    </row>
    <row r="72" spans="2:8" ht="16.5" hidden="1">
      <c r="B72" s="291" t="s">
        <v>108</v>
      </c>
      <c r="C72" s="291" t="s">
        <v>53</v>
      </c>
      <c r="D72" s="291" t="s">
        <v>418</v>
      </c>
      <c r="E72" s="291" t="s">
        <v>418</v>
      </c>
      <c r="F72" s="291"/>
      <c r="G72" s="291"/>
      <c r="H72" s="291" t="s">
        <v>357</v>
      </c>
    </row>
  </sheetData>
  <autoFilter ref="B3:H72" xr:uid="{DBBC2253-0EF8-40C1-88E0-BF0A03647456}">
    <filterColumn colId="2">
      <filters>
        <filter val="Y"/>
      </filters>
    </filterColumn>
  </autoFilter>
  <mergeCells count="1">
    <mergeCell ref="D2:E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73401-C573-4F48-977E-FF00E94034AA}">
  <sheetPr>
    <tabColor rgb="FFFF0000"/>
  </sheetPr>
  <dimension ref="A1:W114"/>
  <sheetViews>
    <sheetView showGridLines="0" zoomScale="80" zoomScaleNormal="80" workbookViewId="0">
      <pane xSplit="11" ySplit="10" topLeftCell="L43" activePane="bottomRight" state="frozen"/>
      <selection activeCell="C32" sqref="C32"/>
      <selection pane="topRight" activeCell="C32" sqref="C32"/>
      <selection pane="bottomLeft" activeCell="C32" sqref="C32"/>
      <selection pane="bottomRight" activeCell="E43" sqref="E43:E56"/>
    </sheetView>
  </sheetViews>
  <sheetFormatPr defaultRowHeight="18" outlineLevelRow="1"/>
  <cols>
    <col min="1" max="1" width="3.08203125" customWidth="1"/>
    <col min="3" max="3" width="6.08203125" customWidth="1"/>
    <col min="4" max="4" width="35.08203125" customWidth="1"/>
    <col min="5" max="5" width="22.58203125" customWidth="1"/>
    <col min="6" max="6" width="3.08203125" customWidth="1"/>
    <col min="7" max="7" width="6.58203125" style="1" bestFit="1" customWidth="1"/>
    <col min="8" max="8" width="8.58203125" style="1" bestFit="1" customWidth="1"/>
    <col min="9" max="9" width="16.5" style="1" bestFit="1" customWidth="1"/>
    <col min="10" max="10" width="14.08203125" style="1" bestFit="1" customWidth="1"/>
    <col min="11" max="11" width="1.58203125" customWidth="1"/>
    <col min="12" max="22" width="6.5" customWidth="1"/>
  </cols>
  <sheetData>
    <row r="1" spans="1:23" ht="14">
      <c r="G1"/>
      <c r="H1"/>
      <c r="I1"/>
      <c r="J1"/>
    </row>
    <row r="2" spans="1:23" ht="14">
      <c r="G2"/>
      <c r="H2"/>
      <c r="I2"/>
      <c r="J2"/>
    </row>
    <row r="3" spans="1:23" ht="14">
      <c r="G3"/>
      <c r="H3"/>
      <c r="I3"/>
      <c r="J3"/>
    </row>
    <row r="4" spans="1:23" ht="3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 ht="14">
      <c r="G5"/>
      <c r="H5"/>
      <c r="I5"/>
      <c r="J5"/>
    </row>
    <row r="6" spans="1:23" ht="14">
      <c r="G6"/>
      <c r="H6"/>
      <c r="I6"/>
      <c r="J6"/>
      <c r="V6" s="51" t="s">
        <v>133</v>
      </c>
    </row>
    <row r="7" spans="1:23" ht="14">
      <c r="G7"/>
      <c r="H7"/>
      <c r="I7"/>
      <c r="J7"/>
      <c r="V7" t="s">
        <v>250</v>
      </c>
    </row>
    <row r="8" spans="1:23">
      <c r="G8"/>
      <c r="H8"/>
      <c r="I8"/>
      <c r="J8"/>
      <c r="L8" s="52"/>
      <c r="M8" s="52"/>
      <c r="N8" s="52" t="s">
        <v>33</v>
      </c>
      <c r="O8" s="52"/>
      <c r="P8" s="52"/>
      <c r="Q8" s="53"/>
      <c r="R8" s="52" t="s">
        <v>134</v>
      </c>
      <c r="S8" s="52"/>
      <c r="T8" s="54"/>
      <c r="U8" s="389" t="s">
        <v>135</v>
      </c>
      <c r="V8" s="390"/>
    </row>
    <row r="9" spans="1:23" ht="19">
      <c r="C9" s="55" t="s">
        <v>136</v>
      </c>
      <c r="D9" s="55" t="s">
        <v>137</v>
      </c>
      <c r="E9" s="55"/>
      <c r="F9" s="55"/>
      <c r="G9" s="56" t="s">
        <v>5</v>
      </c>
      <c r="H9" s="55" t="s">
        <v>138</v>
      </c>
      <c r="I9" s="55" t="s">
        <v>139</v>
      </c>
      <c r="J9" s="55" t="s">
        <v>140</v>
      </c>
      <c r="K9" s="57"/>
      <c r="L9" s="58">
        <v>45660</v>
      </c>
      <c r="M9" s="58">
        <f t="shared" ref="M9:V9" si="0">L9+7</f>
        <v>45667</v>
      </c>
      <c r="N9" s="58">
        <f t="shared" si="0"/>
        <v>45674</v>
      </c>
      <c r="O9" s="58">
        <f t="shared" si="0"/>
        <v>45681</v>
      </c>
      <c r="P9" s="58">
        <f t="shared" si="0"/>
        <v>45688</v>
      </c>
      <c r="Q9" s="59">
        <f t="shared" si="0"/>
        <v>45695</v>
      </c>
      <c r="R9" s="58">
        <f t="shared" si="0"/>
        <v>45702</v>
      </c>
      <c r="S9" s="58">
        <f t="shared" si="0"/>
        <v>45709</v>
      </c>
      <c r="T9" s="60">
        <f t="shared" si="0"/>
        <v>45716</v>
      </c>
      <c r="U9" s="58">
        <f t="shared" si="0"/>
        <v>45723</v>
      </c>
      <c r="V9" s="58">
        <f t="shared" si="0"/>
        <v>45730</v>
      </c>
    </row>
    <row r="10" spans="1:23" ht="3" customHeight="1">
      <c r="D10" s="61"/>
      <c r="E10" s="62"/>
      <c r="F10" s="62"/>
      <c r="G10" s="63"/>
      <c r="H10" s="64"/>
      <c r="I10" s="64"/>
      <c r="J10" s="65"/>
      <c r="K10" s="66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3">
      <c r="C11" s="67" t="s">
        <v>141</v>
      </c>
      <c r="D11" s="6" t="s">
        <v>142</v>
      </c>
      <c r="E11" s="63"/>
      <c r="F11" s="68"/>
      <c r="G11" s="68"/>
      <c r="H11" s="64" t="s">
        <v>20</v>
      </c>
      <c r="I11" s="64"/>
      <c r="J11" s="65">
        <f>SUM(L11:V11)*8</f>
        <v>41.6</v>
      </c>
      <c r="K11" s="69"/>
      <c r="L11" s="70">
        <f>0.1*2</f>
        <v>0.2</v>
      </c>
      <c r="M11" s="70">
        <f>0.1*5</f>
        <v>0.5</v>
      </c>
      <c r="N11" s="70">
        <f t="shared" ref="N11:V11" si="1">0.1*5</f>
        <v>0.5</v>
      </c>
      <c r="O11" s="70">
        <f t="shared" si="1"/>
        <v>0.5</v>
      </c>
      <c r="P11" s="70">
        <f t="shared" si="1"/>
        <v>0.5</v>
      </c>
      <c r="Q11" s="70">
        <f t="shared" si="1"/>
        <v>0.5</v>
      </c>
      <c r="R11" s="70">
        <f>0.1*5</f>
        <v>0.5</v>
      </c>
      <c r="S11" s="70">
        <f t="shared" si="1"/>
        <v>0.5</v>
      </c>
      <c r="T11" s="70">
        <f t="shared" si="1"/>
        <v>0.5</v>
      </c>
      <c r="U11" s="70">
        <f>0.1*5</f>
        <v>0.5</v>
      </c>
      <c r="V11" s="70">
        <f t="shared" si="1"/>
        <v>0.5</v>
      </c>
    </row>
    <row r="12" spans="1:23" ht="3" customHeight="1">
      <c r="C12" s="71"/>
      <c r="D12" s="72"/>
      <c r="E12" s="73"/>
      <c r="F12" s="74"/>
      <c r="G12" s="74"/>
      <c r="H12" s="75"/>
      <c r="I12" s="75"/>
      <c r="J12" s="76"/>
      <c r="K12" s="77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</row>
    <row r="13" spans="1:23">
      <c r="C13" s="67" t="s">
        <v>143</v>
      </c>
      <c r="D13" s="6" t="s">
        <v>144</v>
      </c>
      <c r="E13" s="63"/>
      <c r="F13" s="68"/>
      <c r="G13" s="68"/>
      <c r="H13" s="64" t="s">
        <v>20</v>
      </c>
      <c r="I13" s="64"/>
      <c r="J13" s="65">
        <f>SUM(L13:M13)*8</f>
        <v>32</v>
      </c>
      <c r="K13" s="69"/>
      <c r="L13" s="79">
        <v>4</v>
      </c>
      <c r="M13" s="79"/>
      <c r="N13" s="79"/>
      <c r="O13" s="79"/>
      <c r="P13" s="79"/>
      <c r="Q13" s="79"/>
      <c r="R13" s="79"/>
      <c r="S13" s="79"/>
      <c r="T13" s="79"/>
      <c r="U13" s="79"/>
      <c r="V13" s="79"/>
    </row>
    <row r="14" spans="1:23" s="80" customFormat="1" ht="3" customHeight="1">
      <c r="C14" s="71"/>
      <c r="D14" s="72"/>
      <c r="E14" s="73"/>
      <c r="F14" s="74"/>
      <c r="G14" s="74"/>
      <c r="H14" s="75"/>
      <c r="I14" s="75"/>
      <c r="J14" s="76"/>
      <c r="K14" s="77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</row>
    <row r="15" spans="1:23">
      <c r="C15" s="67" t="s">
        <v>145</v>
      </c>
      <c r="D15" s="6" t="s">
        <v>146</v>
      </c>
      <c r="E15" s="63"/>
      <c r="F15" s="68"/>
      <c r="G15" s="68"/>
      <c r="H15" s="64" t="s">
        <v>20</v>
      </c>
      <c r="I15" s="64"/>
      <c r="J15" s="65">
        <f>SUM(L15:V15)*8</f>
        <v>64</v>
      </c>
      <c r="K15" s="69"/>
      <c r="L15" s="79"/>
      <c r="M15" s="79">
        <v>8</v>
      </c>
      <c r="N15" s="79"/>
      <c r="O15" s="79"/>
      <c r="P15" s="79"/>
      <c r="Q15" s="79"/>
      <c r="R15" s="79"/>
      <c r="S15" s="79"/>
      <c r="T15" s="79"/>
      <c r="U15" s="79"/>
      <c r="V15" s="79"/>
    </row>
    <row r="16" spans="1:23" s="80" customFormat="1" ht="3" customHeight="1">
      <c r="C16" s="71"/>
      <c r="D16" s="72"/>
      <c r="E16" s="73"/>
      <c r="F16" s="74"/>
      <c r="G16" s="74"/>
      <c r="H16" s="75"/>
      <c r="I16" s="75"/>
      <c r="J16" s="76"/>
      <c r="K16" s="77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</row>
    <row r="17" spans="2:22">
      <c r="C17" s="67" t="s">
        <v>147</v>
      </c>
      <c r="D17" s="6" t="s">
        <v>148</v>
      </c>
      <c r="E17" s="63"/>
      <c r="F17" s="68"/>
      <c r="G17" s="68"/>
      <c r="H17" s="64">
        <f>COUNTA(E18:E40)</f>
        <v>23</v>
      </c>
      <c r="I17" s="64" t="e">
        <f>SUM(I18:I40)</f>
        <v>#VALUE!</v>
      </c>
      <c r="J17" s="65" t="e">
        <f>SUM(J18:J40)</f>
        <v>#VALUE!</v>
      </c>
      <c r="K17" s="69"/>
      <c r="L17" s="79"/>
      <c r="M17" s="79">
        <v>2</v>
      </c>
      <c r="N17" s="79">
        <f>8.25</f>
        <v>8.25</v>
      </c>
      <c r="O17" s="79"/>
      <c r="P17" s="79"/>
      <c r="Q17" s="79"/>
      <c r="R17" s="79"/>
      <c r="S17" s="79"/>
      <c r="T17" s="79"/>
      <c r="U17" s="79"/>
      <c r="V17" s="79"/>
    </row>
    <row r="18" spans="2:22" outlineLevel="1">
      <c r="B18" s="82" t="str">
        <f>D18&amp;"_"&amp;E18</f>
        <v>INSTRUMENT_COD_SOC</v>
      </c>
      <c r="C18" s="83" t="s">
        <v>149</v>
      </c>
      <c r="D18" s="84" t="s">
        <v>54</v>
      </c>
      <c r="E18" s="85" t="s">
        <v>51</v>
      </c>
      <c r="F18" s="86"/>
      <c r="G18" s="86"/>
      <c r="H18" s="84"/>
      <c r="I18" s="87" t="e">
        <f>J18/8/5</f>
        <v>#VALUE!</v>
      </c>
      <c r="J18" s="88" t="e">
        <f>SUMIF([1]Aux!B:B,Macro_Plano_2025_v1!B18,[1]Aux!I:I)+SUMIF([1]Aux!B:B,Macro_Plano_2025_v1!B18,[1]Aux!O:O)</f>
        <v>#VALUE!</v>
      </c>
      <c r="K18" s="69"/>
      <c r="L18" s="79"/>
      <c r="M18" s="89" t="e">
        <f>J18/8</f>
        <v>#VALUE!</v>
      </c>
      <c r="N18" s="79"/>
      <c r="O18" s="79"/>
      <c r="P18" s="79"/>
      <c r="Q18" s="79"/>
      <c r="R18" s="79"/>
      <c r="S18" s="79"/>
      <c r="T18" s="79"/>
      <c r="U18" s="79"/>
      <c r="V18" s="79"/>
    </row>
    <row r="19" spans="2:22" outlineLevel="1">
      <c r="B19" s="82" t="str">
        <f t="shared" ref="B19:B56" si="2">D19&amp;"_"&amp;E19</f>
        <v>INSTRUMENT_SUBPORTFOLIO_ID</v>
      </c>
      <c r="C19" s="90" t="s">
        <v>150</v>
      </c>
      <c r="D19" s="91" t="s">
        <v>54</v>
      </c>
      <c r="E19" s="92" t="s">
        <v>68</v>
      </c>
      <c r="F19" s="93"/>
      <c r="G19" s="93"/>
      <c r="H19" s="91"/>
      <c r="I19" s="94" t="e">
        <f t="shared" ref="I19:I40" si="3">J19/8/5</f>
        <v>#VALUE!</v>
      </c>
      <c r="J19" s="95" t="e">
        <f>SUMIF([1]Aux!B:B,Macro_Plano_2025_v1!B19,[1]Aux!I:I)+SUMIF([1]Aux!B:B,Macro_Plano_2025_v1!B19,[1]Aux!O:O)</f>
        <v>#VALUE!</v>
      </c>
      <c r="K19" s="69"/>
      <c r="L19" s="79"/>
      <c r="M19" s="79" t="e">
        <f t="shared" ref="M19:M21" si="4">J19/8</f>
        <v>#VALUE!</v>
      </c>
      <c r="N19" s="79"/>
      <c r="O19" s="79"/>
      <c r="P19" s="79"/>
      <c r="Q19" s="79"/>
      <c r="R19" s="79"/>
      <c r="S19" s="79"/>
      <c r="T19" s="79"/>
      <c r="U19" s="79"/>
      <c r="V19" s="79"/>
    </row>
    <row r="20" spans="2:22" outlineLevel="1">
      <c r="B20" s="82" t="str">
        <f t="shared" si="2"/>
        <v>INSTRUMENT_DT_RFRNC</v>
      </c>
      <c r="C20" s="90" t="s">
        <v>151</v>
      </c>
      <c r="D20" s="91" t="s">
        <v>54</v>
      </c>
      <c r="E20" s="92" t="s">
        <v>52</v>
      </c>
      <c r="F20" s="93"/>
      <c r="G20" s="93"/>
      <c r="H20" s="91"/>
      <c r="I20" s="94" t="e">
        <f t="shared" si="3"/>
        <v>#VALUE!</v>
      </c>
      <c r="J20" s="95" t="e">
        <f>SUMIF([1]Aux!B:B,Macro_Plano_2025_v1!B20,[1]Aux!I:I)+SUMIF([1]Aux!B:B,Macro_Plano_2025_v1!B20,[1]Aux!O:O)</f>
        <v>#VALUE!</v>
      </c>
      <c r="K20" s="69"/>
      <c r="L20" s="79"/>
      <c r="M20" s="79" t="e">
        <f t="shared" si="4"/>
        <v>#VALUE!</v>
      </c>
      <c r="N20" s="79"/>
      <c r="O20" s="79"/>
      <c r="P20" s="79"/>
      <c r="Q20" s="79"/>
      <c r="R20" s="79"/>
      <c r="S20" s="79"/>
      <c r="T20" s="79"/>
      <c r="U20" s="79"/>
      <c r="V20" s="79"/>
    </row>
    <row r="21" spans="2:22" outlineLevel="1">
      <c r="B21" s="82" t="str">
        <f t="shared" si="2"/>
        <v>INSTRUMENT_DFLT_STTS_INSTRMNT</v>
      </c>
      <c r="C21" s="90" t="s">
        <v>152</v>
      </c>
      <c r="D21" s="91" t="s">
        <v>54</v>
      </c>
      <c r="E21" s="92" t="s">
        <v>55</v>
      </c>
      <c r="F21" s="93"/>
      <c r="G21" s="93"/>
      <c r="H21" s="91"/>
      <c r="I21" s="94" t="e">
        <f t="shared" si="3"/>
        <v>#VALUE!</v>
      </c>
      <c r="J21" s="95" t="e">
        <f>SUMIF([1]Aux!B:B,Macro_Plano_2025_v1!B21,[1]Aux!I:I)+SUMIF([1]Aux!B:B,Macro_Plano_2025_v1!B21,[1]Aux!O:O)</f>
        <v>#VALUE!</v>
      </c>
      <c r="K21" s="69"/>
      <c r="L21" s="79"/>
      <c r="M21" s="79" t="e">
        <f t="shared" si="4"/>
        <v>#VALUE!</v>
      </c>
      <c r="N21" s="79"/>
      <c r="O21" s="79"/>
      <c r="P21" s="79"/>
      <c r="Q21" s="79"/>
      <c r="R21" s="79"/>
      <c r="S21" s="79"/>
      <c r="T21" s="79"/>
      <c r="U21" s="79"/>
      <c r="V21" s="79"/>
    </row>
    <row r="22" spans="2:22" outlineLevel="1">
      <c r="B22" s="82" t="str">
        <f t="shared" si="2"/>
        <v>INSTRUMENT_IMPRMNT_STTS</v>
      </c>
      <c r="C22" s="90" t="s">
        <v>153</v>
      </c>
      <c r="D22" s="91" t="s">
        <v>54</v>
      </c>
      <c r="E22" s="92" t="s">
        <v>69</v>
      </c>
      <c r="F22" s="93"/>
      <c r="G22" s="93"/>
      <c r="H22" s="91"/>
      <c r="I22" s="94" t="e">
        <f t="shared" si="3"/>
        <v>#VALUE!</v>
      </c>
      <c r="J22" s="95" t="e">
        <f>SUMIF([1]Aux!B:B,Macro_Plano_2025_v1!B22,[1]Aux!I:I)+SUMIF([1]Aux!B:B,Macro_Plano_2025_v1!B22,[1]Aux!O:O)</f>
        <v>#VALUE!</v>
      </c>
      <c r="K22" s="69"/>
      <c r="L22" s="79"/>
      <c r="M22" s="96" t="e">
        <f>M17-SUM(M18:M21)</f>
        <v>#VALUE!</v>
      </c>
      <c r="N22" s="79" t="e">
        <f>(J22/8)-M22</f>
        <v>#VALUE!</v>
      </c>
      <c r="O22" s="79"/>
      <c r="P22" s="79"/>
      <c r="Q22" s="79"/>
      <c r="R22" s="79"/>
      <c r="S22" s="79"/>
      <c r="T22" s="79"/>
      <c r="U22" s="79"/>
      <c r="V22" s="79"/>
    </row>
    <row r="23" spans="2:22" outlineLevel="1">
      <c r="B23" s="82" t="str">
        <f t="shared" si="2"/>
        <v>INSTRUMENT_PRFRMNG_STTS</v>
      </c>
      <c r="C23" s="90" t="s">
        <v>154</v>
      </c>
      <c r="D23" s="91" t="s">
        <v>54</v>
      </c>
      <c r="E23" s="92" t="s">
        <v>56</v>
      </c>
      <c r="F23" s="93"/>
      <c r="G23" s="93"/>
      <c r="H23" s="91"/>
      <c r="I23" s="94" t="e">
        <f t="shared" si="3"/>
        <v>#VALUE!</v>
      </c>
      <c r="J23" s="95" t="e">
        <f>SUMIF([1]Aux!B:B,Macro_Plano_2025_v1!B23,[1]Aux!I:I)+SUMIF([1]Aux!B:B,Macro_Plano_2025_v1!B23,[1]Aux!O:O)</f>
        <v>#VALUE!</v>
      </c>
      <c r="K23" s="69"/>
      <c r="L23" s="79"/>
      <c r="M23" s="79"/>
      <c r="N23" s="79" t="e">
        <f>J23/8</f>
        <v>#VALUE!</v>
      </c>
      <c r="O23" s="79"/>
      <c r="P23" s="79"/>
      <c r="Q23" s="79"/>
      <c r="R23" s="79"/>
      <c r="S23" s="79"/>
      <c r="T23" s="79"/>
      <c r="U23" s="79"/>
      <c r="V23" s="79"/>
    </row>
    <row r="24" spans="2:22" outlineLevel="1">
      <c r="B24" s="82" t="str">
        <f t="shared" si="2"/>
        <v>INSTRUMENT_TYP_INSTRMNT</v>
      </c>
      <c r="C24" s="90" t="s">
        <v>155</v>
      </c>
      <c r="D24" s="91" t="s">
        <v>54</v>
      </c>
      <c r="E24" s="92" t="s">
        <v>70</v>
      </c>
      <c r="F24" s="93"/>
      <c r="G24" s="93"/>
      <c r="H24" s="91"/>
      <c r="I24" s="94" t="e">
        <f t="shared" si="3"/>
        <v>#VALUE!</v>
      </c>
      <c r="J24" s="95" t="e">
        <f>SUMIF([1]Aux!B:B,Macro_Plano_2025_v1!B24,[1]Aux!I:I)+SUMIF([1]Aux!B:B,Macro_Plano_2025_v1!B24,[1]Aux!O:O)</f>
        <v>#VALUE!</v>
      </c>
      <c r="K24" s="69"/>
      <c r="L24" s="79"/>
      <c r="M24" s="79"/>
      <c r="N24" s="79" t="e">
        <f t="shared" ref="N24:N40" si="5">J24/8</f>
        <v>#VALUE!</v>
      </c>
      <c r="O24" s="79"/>
      <c r="P24" s="79"/>
      <c r="Q24" s="79"/>
      <c r="R24" s="79"/>
      <c r="S24" s="79"/>
      <c r="T24" s="79"/>
      <c r="U24" s="79"/>
      <c r="V24" s="79"/>
    </row>
    <row r="25" spans="2:22" outlineLevel="1">
      <c r="B25" s="82" t="str">
        <f t="shared" si="2"/>
        <v>INSTRUMENT_GRSS_CRRYNG_AMNT_INSTRMNT</v>
      </c>
      <c r="C25" s="90" t="s">
        <v>156</v>
      </c>
      <c r="D25" s="91" t="s">
        <v>54</v>
      </c>
      <c r="E25" s="92" t="s">
        <v>71</v>
      </c>
      <c r="F25" s="93"/>
      <c r="G25" s="93"/>
      <c r="H25" s="91"/>
      <c r="I25" s="94" t="e">
        <f t="shared" si="3"/>
        <v>#VALUE!</v>
      </c>
      <c r="J25" s="95" t="e">
        <f>SUMIF([1]Aux!B:B,Macro_Plano_2025_v1!B25,[1]Aux!I:I)+SUMIF([1]Aux!B:B,Macro_Plano_2025_v1!B25,[1]Aux!O:O)</f>
        <v>#VALUE!</v>
      </c>
      <c r="K25" s="69"/>
      <c r="L25" s="79"/>
      <c r="M25" s="79"/>
      <c r="N25" s="79" t="e">
        <f t="shared" si="5"/>
        <v>#VALUE!</v>
      </c>
      <c r="O25" s="79"/>
      <c r="P25" s="79"/>
      <c r="Q25" s="79"/>
      <c r="R25" s="79"/>
      <c r="S25" s="79"/>
      <c r="T25" s="79"/>
      <c r="U25" s="79"/>
      <c r="V25" s="79"/>
    </row>
    <row r="26" spans="2:22" outlineLevel="1">
      <c r="B26" s="82" t="str">
        <f t="shared" si="2"/>
        <v>INSTRUMENT_ACCMLTD_CHNGS_FV_CR_INSTRMNT</v>
      </c>
      <c r="C26" s="90" t="s">
        <v>157</v>
      </c>
      <c r="D26" s="91" t="s">
        <v>54</v>
      </c>
      <c r="E26" s="92" t="s">
        <v>72</v>
      </c>
      <c r="F26" s="93"/>
      <c r="G26" s="93"/>
      <c r="H26" s="91"/>
      <c r="I26" s="94" t="e">
        <f t="shared" si="3"/>
        <v>#VALUE!</v>
      </c>
      <c r="J26" s="95" t="e">
        <f>SUMIF([1]Aux!B:B,Macro_Plano_2025_v1!B26,[1]Aux!I:I)+SUMIF([1]Aux!B:B,Macro_Plano_2025_v1!B26,[1]Aux!O:O)</f>
        <v>#VALUE!</v>
      </c>
      <c r="K26" s="69"/>
      <c r="L26" s="79"/>
      <c r="M26" s="79"/>
      <c r="N26" s="79" t="e">
        <f t="shared" si="5"/>
        <v>#VALUE!</v>
      </c>
      <c r="O26" s="79"/>
      <c r="P26" s="79"/>
      <c r="Q26" s="79"/>
      <c r="R26" s="79"/>
      <c r="S26" s="79"/>
      <c r="T26" s="79"/>
      <c r="U26" s="79"/>
      <c r="V26" s="79"/>
    </row>
    <row r="27" spans="2:22" outlineLevel="1">
      <c r="B27" s="82" t="str">
        <f t="shared" si="2"/>
        <v>INSTRUMENT_ACCNTNG_CLSSFCTN</v>
      </c>
      <c r="C27" s="90" t="s">
        <v>158</v>
      </c>
      <c r="D27" s="91" t="s">
        <v>54</v>
      </c>
      <c r="E27" s="92" t="s">
        <v>73</v>
      </c>
      <c r="F27" s="93"/>
      <c r="G27" s="93"/>
      <c r="H27" s="91"/>
      <c r="I27" s="94" t="e">
        <f t="shared" si="3"/>
        <v>#VALUE!</v>
      </c>
      <c r="J27" s="95" t="e">
        <f>SUMIF([1]Aux!B:B,Macro_Plano_2025_v1!B27,[1]Aux!I:I)+SUMIF([1]Aux!B:B,Macro_Plano_2025_v1!B27,[1]Aux!O:O)</f>
        <v>#VALUE!</v>
      </c>
      <c r="K27" s="69"/>
      <c r="L27" s="79"/>
      <c r="M27" s="79"/>
      <c r="N27" s="79" t="e">
        <f t="shared" si="5"/>
        <v>#VALUE!</v>
      </c>
      <c r="O27" s="79"/>
      <c r="P27" s="79"/>
      <c r="Q27" s="79"/>
      <c r="R27" s="79"/>
      <c r="S27" s="79"/>
      <c r="T27" s="79"/>
      <c r="U27" s="79"/>
      <c r="V27" s="79"/>
    </row>
    <row r="28" spans="2:22" outlineLevel="1">
      <c r="B28" s="82" t="str">
        <f t="shared" si="2"/>
        <v>INSTRUMENT_OFF_BLNC_SHT_AMNT_INSTRMNT</v>
      </c>
      <c r="C28" s="90" t="s">
        <v>159</v>
      </c>
      <c r="D28" s="91" t="s">
        <v>54</v>
      </c>
      <c r="E28" s="92" t="s">
        <v>74</v>
      </c>
      <c r="F28" s="93"/>
      <c r="G28" s="93"/>
      <c r="H28" s="91"/>
      <c r="I28" s="94" t="e">
        <f t="shared" si="3"/>
        <v>#VALUE!</v>
      </c>
      <c r="J28" s="95" t="e">
        <f>SUMIF([1]Aux!B:B,Macro_Plano_2025_v1!B28,[1]Aux!I:I)+SUMIF([1]Aux!B:B,Macro_Plano_2025_v1!B28,[1]Aux!O:O)</f>
        <v>#VALUE!</v>
      </c>
      <c r="K28" s="69"/>
      <c r="L28" s="79"/>
      <c r="M28" s="79"/>
      <c r="N28" s="79" t="e">
        <f t="shared" si="5"/>
        <v>#VALUE!</v>
      </c>
      <c r="O28" s="79"/>
      <c r="P28" s="79"/>
      <c r="Q28" s="79"/>
      <c r="R28" s="79"/>
      <c r="S28" s="79"/>
      <c r="T28" s="79"/>
      <c r="U28" s="79"/>
      <c r="V28" s="79"/>
    </row>
    <row r="29" spans="2:22" outlineLevel="1">
      <c r="B29" s="82" t="str">
        <f t="shared" si="2"/>
        <v>INSTRUMENT_PRVSNS_OFF_BLNC_SHT</v>
      </c>
      <c r="C29" s="90" t="s">
        <v>160</v>
      </c>
      <c r="D29" s="91" t="s">
        <v>54</v>
      </c>
      <c r="E29" s="92" t="s">
        <v>75</v>
      </c>
      <c r="F29" s="93"/>
      <c r="G29" s="93"/>
      <c r="H29" s="91"/>
      <c r="I29" s="94" t="e">
        <f t="shared" si="3"/>
        <v>#VALUE!</v>
      </c>
      <c r="J29" s="95" t="e">
        <f>SUMIF([1]Aux!B:B,Macro_Plano_2025_v1!B29,[1]Aux!I:I)+SUMIF([1]Aux!B:B,Macro_Plano_2025_v1!B29,[1]Aux!O:O)</f>
        <v>#VALUE!</v>
      </c>
      <c r="K29" s="69"/>
      <c r="L29" s="79"/>
      <c r="M29" s="79"/>
      <c r="N29" s="79" t="e">
        <f t="shared" si="5"/>
        <v>#VALUE!</v>
      </c>
      <c r="O29" s="79"/>
      <c r="P29" s="79"/>
      <c r="Q29" s="79"/>
      <c r="R29" s="79"/>
      <c r="S29" s="79"/>
      <c r="T29" s="79"/>
      <c r="U29" s="79"/>
      <c r="V29" s="79"/>
    </row>
    <row r="30" spans="2:22" outlineLevel="1">
      <c r="B30" s="82" t="str">
        <f t="shared" si="2"/>
        <v>INSTRUMENT_RWA</v>
      </c>
      <c r="C30" s="90" t="s">
        <v>161</v>
      </c>
      <c r="D30" s="91" t="s">
        <v>54</v>
      </c>
      <c r="E30" s="92" t="s">
        <v>76</v>
      </c>
      <c r="F30" s="93"/>
      <c r="G30" s="93"/>
      <c r="H30" s="91"/>
      <c r="I30" s="94" t="e">
        <f t="shared" si="3"/>
        <v>#VALUE!</v>
      </c>
      <c r="J30" s="95" t="e">
        <f>SUMIF([1]Aux!B:B,Macro_Plano_2025_v1!B30,[1]Aux!I:I)+SUMIF([1]Aux!B:B,Macro_Plano_2025_v1!B30,[1]Aux!O:O)</f>
        <v>#VALUE!</v>
      </c>
      <c r="K30" s="69"/>
      <c r="L30" s="79"/>
      <c r="M30" s="79"/>
      <c r="N30" s="79" t="e">
        <f t="shared" si="5"/>
        <v>#VALUE!</v>
      </c>
      <c r="O30" s="79"/>
      <c r="P30" s="79"/>
      <c r="Q30" s="79"/>
      <c r="R30" s="79"/>
      <c r="S30" s="79"/>
      <c r="T30" s="79"/>
      <c r="U30" s="79"/>
      <c r="V30" s="79"/>
    </row>
    <row r="31" spans="2:22" outlineLevel="1">
      <c r="B31" s="82" t="str">
        <f t="shared" si="2"/>
        <v>INSTRUMENT_ACCMLTD_IMPRMNT_INSTRMNT</v>
      </c>
      <c r="C31" s="90" t="s">
        <v>162</v>
      </c>
      <c r="D31" s="91" t="s">
        <v>54</v>
      </c>
      <c r="E31" s="92" t="s">
        <v>77</v>
      </c>
      <c r="F31" s="93"/>
      <c r="G31" s="93"/>
      <c r="H31" s="91"/>
      <c r="I31" s="94" t="e">
        <f t="shared" si="3"/>
        <v>#VALUE!</v>
      </c>
      <c r="J31" s="95" t="e">
        <f>SUMIF([1]Aux!B:B,Macro_Plano_2025_v1!B31,[1]Aux!I:I)+SUMIF([1]Aux!B:B,Macro_Plano_2025_v1!B31,[1]Aux!O:O)</f>
        <v>#VALUE!</v>
      </c>
      <c r="K31" s="69"/>
      <c r="L31" s="79"/>
      <c r="M31" s="79"/>
      <c r="N31" s="79" t="e">
        <f t="shared" si="5"/>
        <v>#VALUE!</v>
      </c>
      <c r="O31" s="79"/>
      <c r="P31" s="79"/>
      <c r="Q31" s="79"/>
      <c r="R31" s="79"/>
      <c r="S31" s="79"/>
      <c r="T31" s="79"/>
      <c r="U31" s="79"/>
      <c r="V31" s="79"/>
    </row>
    <row r="32" spans="2:22" outlineLevel="1">
      <c r="B32" s="82" t="str">
        <f t="shared" si="2"/>
        <v>INSTRUMENT_COD_SOC_INTRGRP</v>
      </c>
      <c r="C32" s="90" t="s">
        <v>163</v>
      </c>
      <c r="D32" s="91" t="s">
        <v>54</v>
      </c>
      <c r="E32" s="92" t="s">
        <v>78</v>
      </c>
      <c r="F32" s="93"/>
      <c r="G32" s="93"/>
      <c r="H32" s="91"/>
      <c r="I32" s="94" t="e">
        <f t="shared" si="3"/>
        <v>#VALUE!</v>
      </c>
      <c r="J32" s="95" t="e">
        <f>SUMIF([1]Aux!B:B,Macro_Plano_2025_v1!B32,[1]Aux!I:I)+SUMIF([1]Aux!B:B,Macro_Plano_2025_v1!B32,[1]Aux!O:O)</f>
        <v>#VALUE!</v>
      </c>
      <c r="K32" s="69"/>
      <c r="L32" s="79"/>
      <c r="M32" s="79"/>
      <c r="N32" s="79" t="e">
        <f t="shared" si="5"/>
        <v>#VALUE!</v>
      </c>
      <c r="O32" s="79"/>
      <c r="P32" s="79"/>
      <c r="Q32" s="79"/>
      <c r="R32" s="79"/>
      <c r="S32" s="79"/>
      <c r="T32" s="79"/>
      <c r="U32" s="79"/>
      <c r="V32" s="79"/>
    </row>
    <row r="33" spans="2:22" outlineLevel="1">
      <c r="B33" s="82" t="str">
        <f t="shared" si="2"/>
        <v>INSTRUMENT_LCL_INSTMRNT_ID</v>
      </c>
      <c r="C33" s="90" t="s">
        <v>164</v>
      </c>
      <c r="D33" s="91" t="s">
        <v>54</v>
      </c>
      <c r="E33" s="92" t="s">
        <v>57</v>
      </c>
      <c r="F33" s="93"/>
      <c r="G33" s="93"/>
      <c r="H33" s="91"/>
      <c r="I33" s="94" t="e">
        <f t="shared" si="3"/>
        <v>#VALUE!</v>
      </c>
      <c r="J33" s="95" t="e">
        <f>SUMIF([1]Aux!B:B,Macro_Plano_2025_v1!B33,[1]Aux!I:I)+SUMIF([1]Aux!B:B,Macro_Plano_2025_v1!B33,[1]Aux!O:O)</f>
        <v>#VALUE!</v>
      </c>
      <c r="K33" s="69"/>
      <c r="L33" s="79"/>
      <c r="M33" s="79"/>
      <c r="N33" s="79" t="e">
        <f t="shared" si="5"/>
        <v>#VALUE!</v>
      </c>
      <c r="O33" s="79"/>
      <c r="P33" s="79"/>
      <c r="Q33" s="79"/>
      <c r="R33" s="79"/>
      <c r="S33" s="79"/>
      <c r="T33" s="79"/>
      <c r="U33" s="79"/>
      <c r="V33" s="79"/>
    </row>
    <row r="34" spans="2:22" outlineLevel="1">
      <c r="B34" s="82" t="str">
        <f t="shared" si="2"/>
        <v>INSTRUMENT_FLG_INTRBSNSS</v>
      </c>
      <c r="C34" s="90" t="s">
        <v>165</v>
      </c>
      <c r="D34" s="91" t="s">
        <v>54</v>
      </c>
      <c r="E34" s="166" t="s">
        <v>62</v>
      </c>
      <c r="F34" s="93"/>
      <c r="G34" s="93"/>
      <c r="H34" s="91"/>
      <c r="I34" s="94" t="e">
        <f t="shared" si="3"/>
        <v>#VALUE!</v>
      </c>
      <c r="J34" s="95" t="e">
        <f>SUMIF([1]Aux!B:B,Macro_Plano_2025_v1!B34,[1]Aux!I:I)+SUMIF([1]Aux!B:B,Macro_Plano_2025_v1!B34,[1]Aux!O:O)</f>
        <v>#VALUE!</v>
      </c>
      <c r="K34" s="69"/>
      <c r="L34" s="79"/>
      <c r="M34" s="79"/>
      <c r="N34" s="79" t="e">
        <f t="shared" si="5"/>
        <v>#VALUE!</v>
      </c>
      <c r="O34" s="79"/>
      <c r="P34" s="79"/>
      <c r="Q34" s="79"/>
      <c r="R34" s="79"/>
      <c r="S34" s="79"/>
      <c r="T34" s="79"/>
      <c r="U34" s="79"/>
      <c r="V34" s="79"/>
    </row>
    <row r="35" spans="2:22" outlineLevel="1">
      <c r="B35" s="82" t="str">
        <f t="shared" si="2"/>
        <v>INSTRUMENT_INTRBSNSS_ADJ_COD</v>
      </c>
      <c r="C35" s="90" t="s">
        <v>166</v>
      </c>
      <c r="D35" s="91" t="s">
        <v>54</v>
      </c>
      <c r="E35" s="166" t="s">
        <v>87</v>
      </c>
      <c r="F35" s="93"/>
      <c r="G35" s="93"/>
      <c r="H35" s="91"/>
      <c r="I35" s="94" t="e">
        <f t="shared" si="3"/>
        <v>#VALUE!</v>
      </c>
      <c r="J35" s="95" t="e">
        <f>SUMIF([1]Aux!B:B,Macro_Plano_2025_v1!B35,[1]Aux!I:I)+SUMIF([1]Aux!B:B,Macro_Plano_2025_v1!B35,[1]Aux!O:O)</f>
        <v>#VALUE!</v>
      </c>
      <c r="K35" s="69"/>
      <c r="L35" s="79"/>
      <c r="M35" s="79"/>
      <c r="N35" s="79" t="e">
        <f t="shared" si="5"/>
        <v>#VALUE!</v>
      </c>
      <c r="O35" s="79"/>
      <c r="P35" s="79"/>
      <c r="Q35" s="79"/>
      <c r="R35" s="79"/>
      <c r="S35" s="79"/>
      <c r="T35" s="79"/>
      <c r="U35" s="79"/>
      <c r="V35" s="79"/>
    </row>
    <row r="36" spans="2:22" outlineLevel="1">
      <c r="B36" s="82" t="str">
        <f t="shared" si="2"/>
        <v>INSTRUMENT_COD_SOC_DSTNTN</v>
      </c>
      <c r="C36" s="90" t="s">
        <v>167</v>
      </c>
      <c r="D36" s="91" t="s">
        <v>54</v>
      </c>
      <c r="E36" s="166" t="s">
        <v>88</v>
      </c>
      <c r="F36" s="93"/>
      <c r="G36" s="93"/>
      <c r="H36" s="91"/>
      <c r="I36" s="94" t="e">
        <f t="shared" si="3"/>
        <v>#VALUE!</v>
      </c>
      <c r="J36" s="95" t="e">
        <f>SUMIF([1]Aux!B:B,Macro_Plano_2025_v1!B36,[1]Aux!I:I)+SUMIF([1]Aux!B:B,Macro_Plano_2025_v1!B36,[1]Aux!O:O)</f>
        <v>#VALUE!</v>
      </c>
      <c r="K36" s="69"/>
      <c r="L36" s="79"/>
      <c r="M36" s="79"/>
      <c r="N36" s="79" t="e">
        <f t="shared" si="5"/>
        <v>#VALUE!</v>
      </c>
      <c r="O36" s="79"/>
      <c r="P36" s="79"/>
      <c r="Q36" s="79"/>
      <c r="R36" s="79"/>
      <c r="S36" s="79"/>
      <c r="T36" s="79"/>
      <c r="U36" s="79"/>
      <c r="V36" s="79"/>
    </row>
    <row r="37" spans="2:22" outlineLevel="1">
      <c r="B37" s="82" t="str">
        <f t="shared" si="2"/>
        <v>INSTRUMENT_BSNSS_AREA_DSTNTN</v>
      </c>
      <c r="C37" s="90" t="s">
        <v>168</v>
      </c>
      <c r="D37" s="91" t="s">
        <v>54</v>
      </c>
      <c r="E37" s="92" t="s">
        <v>89</v>
      </c>
      <c r="F37" s="93"/>
      <c r="G37" s="93"/>
      <c r="H37" s="91"/>
      <c r="I37" s="94" t="e">
        <f t="shared" si="3"/>
        <v>#VALUE!</v>
      </c>
      <c r="J37" s="95" t="e">
        <f>SUMIF([1]Aux!B:B,Macro_Plano_2025_v1!B37,[1]Aux!I:I)+SUMIF([1]Aux!B:B,Macro_Plano_2025_v1!B37,[1]Aux!O:O)</f>
        <v>#VALUE!</v>
      </c>
      <c r="K37" s="69"/>
      <c r="L37" s="79"/>
      <c r="M37" s="79"/>
      <c r="N37" s="79" t="e">
        <f t="shared" si="5"/>
        <v>#VALUE!</v>
      </c>
      <c r="O37" s="79"/>
      <c r="P37" s="79"/>
      <c r="Q37" s="79"/>
      <c r="R37" s="79"/>
      <c r="S37" s="79"/>
      <c r="T37" s="79"/>
      <c r="U37" s="79"/>
      <c r="V37" s="79"/>
    </row>
    <row r="38" spans="2:22" outlineLevel="1">
      <c r="B38" s="82" t="str">
        <f t="shared" si="2"/>
        <v>INSTRUMENT_INTRNL_TRNSFR_RT_OFF_BLNC</v>
      </c>
      <c r="C38" s="90" t="s">
        <v>169</v>
      </c>
      <c r="D38" s="91" t="s">
        <v>54</v>
      </c>
      <c r="E38" s="92" t="s">
        <v>91</v>
      </c>
      <c r="F38" s="93"/>
      <c r="G38" s="93"/>
      <c r="H38" s="91"/>
      <c r="I38" s="94" t="e">
        <f t="shared" si="3"/>
        <v>#VALUE!</v>
      </c>
      <c r="J38" s="95" t="e">
        <f>SUMIF([1]Aux!B:B,Macro_Plano_2025_v1!B38,[1]Aux!I:I)+SUMIF([1]Aux!B:B,Macro_Plano_2025_v1!B38,[1]Aux!O:O)</f>
        <v>#VALUE!</v>
      </c>
      <c r="K38" s="69"/>
      <c r="L38" s="79"/>
      <c r="M38" s="79"/>
      <c r="N38" s="79" t="e">
        <f t="shared" si="5"/>
        <v>#VALUE!</v>
      </c>
      <c r="O38" s="79"/>
      <c r="P38" s="79"/>
      <c r="Q38" s="79"/>
      <c r="R38" s="79"/>
      <c r="S38" s="79"/>
      <c r="T38" s="79"/>
      <c r="U38" s="79"/>
      <c r="V38" s="79"/>
    </row>
    <row r="39" spans="2:22" outlineLevel="1">
      <c r="B39" s="82" t="str">
        <f t="shared" si="2"/>
        <v>INSTRUMENT_IDCMB</v>
      </c>
      <c r="C39" s="90" t="s">
        <v>170</v>
      </c>
      <c r="D39" s="91" t="s">
        <v>54</v>
      </c>
      <c r="E39" s="92" t="s">
        <v>66</v>
      </c>
      <c r="F39" s="93"/>
      <c r="G39" s="93"/>
      <c r="H39" s="91"/>
      <c r="I39" s="94" t="e">
        <f t="shared" si="3"/>
        <v>#VALUE!</v>
      </c>
      <c r="J39" s="95" t="e">
        <f>SUMIF([1]Aux!B:B,Macro_Plano_2025_v1!B39,[1]Aux!I:I)+SUMIF([1]Aux!B:B,Macro_Plano_2025_v1!B39,[1]Aux!O:O)</f>
        <v>#VALUE!</v>
      </c>
      <c r="K39" s="69"/>
      <c r="L39" s="79"/>
      <c r="M39" s="79"/>
      <c r="N39" s="79" t="e">
        <f t="shared" si="5"/>
        <v>#VALUE!</v>
      </c>
      <c r="O39" s="79"/>
      <c r="P39" s="79"/>
      <c r="Q39" s="79"/>
      <c r="R39" s="79"/>
      <c r="S39" s="79"/>
      <c r="T39" s="79"/>
      <c r="U39" s="79"/>
      <c r="V39" s="79"/>
    </row>
    <row r="40" spans="2:22" outlineLevel="1">
      <c r="B40" s="82" t="str">
        <f t="shared" si="2"/>
        <v>INSTRUMENT_RWA_OFF_BLNC</v>
      </c>
      <c r="C40" s="90" t="s">
        <v>171</v>
      </c>
      <c r="D40" s="91" t="s">
        <v>54</v>
      </c>
      <c r="E40" s="92" t="s">
        <v>94</v>
      </c>
      <c r="F40" s="93"/>
      <c r="G40" s="93"/>
      <c r="H40" s="91"/>
      <c r="I40" s="94" t="e">
        <f t="shared" si="3"/>
        <v>#VALUE!</v>
      </c>
      <c r="J40" s="95" t="e">
        <f>SUMIF([1]Aux!B:B,Macro_Plano_2025_v1!B40,[1]Aux!I:I)+SUMIF([1]Aux!B:B,Macro_Plano_2025_v1!B40,[1]Aux!O:O)</f>
        <v>#VALUE!</v>
      </c>
      <c r="K40" s="69"/>
      <c r="L40" s="79"/>
      <c r="M40" s="79"/>
      <c r="N40" s="79" t="e">
        <f t="shared" si="5"/>
        <v>#VALUE!</v>
      </c>
      <c r="O40" s="79"/>
      <c r="P40" s="79"/>
      <c r="Q40" s="79"/>
      <c r="R40" s="79"/>
      <c r="S40" s="79"/>
      <c r="T40" s="79"/>
      <c r="U40" s="79"/>
      <c r="V40" s="79"/>
    </row>
    <row r="41" spans="2:22" ht="3" customHeight="1" outlineLevel="1">
      <c r="B41" s="82"/>
      <c r="C41" s="97"/>
      <c r="D41" s="98"/>
      <c r="E41" s="99"/>
      <c r="F41" s="74"/>
      <c r="G41" s="74"/>
      <c r="H41" s="98"/>
      <c r="I41" s="100"/>
      <c r="J41" s="76"/>
      <c r="K41" s="69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</row>
    <row r="42" spans="2:22">
      <c r="B42" s="101"/>
      <c r="C42" s="102" t="s">
        <v>172</v>
      </c>
      <c r="D42" s="6" t="s">
        <v>173</v>
      </c>
      <c r="E42" s="63"/>
      <c r="F42" s="68"/>
      <c r="G42" s="68"/>
      <c r="H42" s="64">
        <f>COUNTA(E43:E56)</f>
        <v>14</v>
      </c>
      <c r="I42" s="64" t="e">
        <f>+SUM(I43:I56)</f>
        <v>#VALUE!</v>
      </c>
      <c r="J42" s="65" t="e">
        <f>SUM(J43:J56)</f>
        <v>#VALUE!</v>
      </c>
      <c r="K42" s="69"/>
      <c r="L42" s="79"/>
      <c r="M42" s="79"/>
      <c r="N42" s="103">
        <v>1.75</v>
      </c>
      <c r="O42" s="103">
        <v>0.125</v>
      </c>
      <c r="P42" s="104"/>
      <c r="Q42" s="104"/>
      <c r="R42" s="104"/>
      <c r="S42" s="104"/>
      <c r="T42" s="104"/>
      <c r="U42" s="104"/>
      <c r="V42" s="104"/>
    </row>
    <row r="43" spans="2:22" ht="16.5" outlineLevel="1">
      <c r="B43" s="82" t="str">
        <f t="shared" si="2"/>
        <v>INSTRUMENT_CCF</v>
      </c>
      <c r="C43" s="83" t="s">
        <v>174</v>
      </c>
      <c r="D43" s="84" t="s">
        <v>54</v>
      </c>
      <c r="E43" s="85" t="s">
        <v>110</v>
      </c>
      <c r="F43" s="86"/>
      <c r="G43" s="86"/>
      <c r="H43" s="84"/>
      <c r="I43" s="84" t="e">
        <f>J43/8/5</f>
        <v>#VALUE!</v>
      </c>
      <c r="J43" s="88" t="e">
        <f>SUMIF([1]Aux!B:B,Macro_Plano_2025_v1!B43,[1]Aux!H:H)</f>
        <v>#VALUE!</v>
      </c>
      <c r="K43" s="69"/>
      <c r="L43" s="79"/>
      <c r="M43" s="79"/>
      <c r="N43" s="79" t="e">
        <f>J43/8</f>
        <v>#VALUE!</v>
      </c>
      <c r="O43" s="79"/>
      <c r="P43" s="104"/>
      <c r="Q43" s="104"/>
      <c r="R43" s="104"/>
      <c r="S43" s="104"/>
      <c r="T43" s="104"/>
      <c r="U43" s="104"/>
      <c r="V43" s="104"/>
    </row>
    <row r="44" spans="2:22" ht="16.5" outlineLevel="1">
      <c r="B44" s="82" t="str">
        <f t="shared" si="2"/>
        <v>INSTRUMENT_EAD</v>
      </c>
      <c r="C44" s="90" t="s">
        <v>175</v>
      </c>
      <c r="D44" s="91" t="s">
        <v>54</v>
      </c>
      <c r="E44" s="92" t="s">
        <v>111</v>
      </c>
      <c r="F44" s="93"/>
      <c r="G44" s="93"/>
      <c r="H44" s="91"/>
      <c r="I44" s="91" t="e">
        <f t="shared" ref="I44:I56" si="6">J44/8/5</f>
        <v>#VALUE!</v>
      </c>
      <c r="J44" s="95" t="e">
        <f>SUMIF([1]Aux!B:B,Macro_Plano_2025_v1!B44,[1]Aux!H:H)</f>
        <v>#VALUE!</v>
      </c>
      <c r="K44" s="69"/>
      <c r="L44" s="79"/>
      <c r="M44" s="79"/>
      <c r="N44" s="79" t="e">
        <f t="shared" ref="N44:N55" si="7">J44/8</f>
        <v>#VALUE!</v>
      </c>
      <c r="O44" s="79"/>
      <c r="P44" s="104"/>
      <c r="Q44" s="104"/>
      <c r="R44" s="104"/>
      <c r="S44" s="104"/>
      <c r="T44" s="104"/>
      <c r="U44" s="104"/>
      <c r="V44" s="104"/>
    </row>
    <row r="45" spans="2:22" ht="16.5" outlineLevel="1">
      <c r="B45" s="82" t="str">
        <f t="shared" si="2"/>
        <v>INSTRUMENT_TYP_OFF_BLNC_PRDCT</v>
      </c>
      <c r="C45" s="90" t="s">
        <v>176</v>
      </c>
      <c r="D45" s="91" t="s">
        <v>54</v>
      </c>
      <c r="E45" s="92" t="s">
        <v>112</v>
      </c>
      <c r="F45" s="93"/>
      <c r="G45" s="93"/>
      <c r="H45" s="91"/>
      <c r="I45" s="91" t="e">
        <f t="shared" si="6"/>
        <v>#VALUE!</v>
      </c>
      <c r="J45" s="95" t="e">
        <f>SUMIF([1]Aux!B:B,Macro_Plano_2025_v1!B45,[1]Aux!H:H)</f>
        <v>#VALUE!</v>
      </c>
      <c r="K45" s="69"/>
      <c r="L45" s="79"/>
      <c r="M45" s="79"/>
      <c r="N45" s="79" t="e">
        <f t="shared" si="7"/>
        <v>#VALUE!</v>
      </c>
      <c r="O45" s="79"/>
      <c r="P45" s="104"/>
      <c r="Q45" s="104"/>
      <c r="R45" s="104"/>
      <c r="S45" s="104"/>
      <c r="T45" s="104"/>
      <c r="U45" s="104"/>
      <c r="V45" s="104"/>
    </row>
    <row r="46" spans="2:22" ht="16.5" outlineLevel="1">
      <c r="B46" s="82" t="str">
        <f t="shared" si="2"/>
        <v>INSTR_PROTECTION_COD_SOC</v>
      </c>
      <c r="C46" s="90" t="s">
        <v>177</v>
      </c>
      <c r="D46" s="91" t="s">
        <v>67</v>
      </c>
      <c r="E46" s="92" t="s">
        <v>51</v>
      </c>
      <c r="F46" s="93"/>
      <c r="G46" s="93"/>
      <c r="H46" s="91"/>
      <c r="I46" s="91" t="e">
        <f t="shared" si="6"/>
        <v>#VALUE!</v>
      </c>
      <c r="J46" s="95" t="e">
        <f>SUMIF([1]Aux!B:B,Macro_Plano_2025_v1!B46,[1]Aux!H:H)</f>
        <v>#VALUE!</v>
      </c>
      <c r="K46" s="69"/>
      <c r="L46" s="79"/>
      <c r="M46" s="79"/>
      <c r="N46" s="79" t="e">
        <f t="shared" si="7"/>
        <v>#VALUE!</v>
      </c>
      <c r="O46" s="79"/>
      <c r="P46" s="104"/>
      <c r="Q46" s="104"/>
      <c r="R46" s="104"/>
      <c r="S46" s="104"/>
      <c r="T46" s="104"/>
      <c r="U46" s="104"/>
      <c r="V46" s="104"/>
    </row>
    <row r="47" spans="2:22" ht="16.5" outlineLevel="1">
      <c r="B47" s="82" t="str">
        <f t="shared" si="2"/>
        <v>INSTR_PROTECTION_DT_RFRNC</v>
      </c>
      <c r="C47" s="90" t="s">
        <v>178</v>
      </c>
      <c r="D47" s="91" t="s">
        <v>67</v>
      </c>
      <c r="E47" s="92" t="s">
        <v>52</v>
      </c>
      <c r="F47" s="93"/>
      <c r="G47" s="93"/>
      <c r="H47" s="91"/>
      <c r="I47" s="91" t="e">
        <f t="shared" si="6"/>
        <v>#VALUE!</v>
      </c>
      <c r="J47" s="95" t="e">
        <f>SUMIF([1]Aux!B:B,Macro_Plano_2025_v1!B47,[1]Aux!H:H)</f>
        <v>#VALUE!</v>
      </c>
      <c r="K47" s="69"/>
      <c r="L47" s="79"/>
      <c r="M47" s="79"/>
      <c r="N47" s="79" t="e">
        <f t="shared" si="7"/>
        <v>#VALUE!</v>
      </c>
      <c r="O47" s="79"/>
      <c r="P47" s="104"/>
      <c r="Q47" s="104"/>
      <c r="R47" s="104"/>
      <c r="S47" s="104"/>
      <c r="T47" s="104"/>
      <c r="U47" s="104"/>
      <c r="V47" s="104"/>
    </row>
    <row r="48" spans="2:22" ht="16.5" outlineLevel="1">
      <c r="B48" s="82" t="str">
        <f t="shared" si="2"/>
        <v>INSTR_PROTECTION_INSTRMNT_ID</v>
      </c>
      <c r="C48" s="90" t="s">
        <v>179</v>
      </c>
      <c r="D48" s="91" t="s">
        <v>67</v>
      </c>
      <c r="E48" s="92" t="s">
        <v>53</v>
      </c>
      <c r="F48" s="93"/>
      <c r="G48" s="93"/>
      <c r="H48" s="91"/>
      <c r="I48" s="91" t="e">
        <f t="shared" si="6"/>
        <v>#VALUE!</v>
      </c>
      <c r="J48" s="95" t="e">
        <f>SUMIF([1]Aux!B:B,Macro_Plano_2025_v1!B48,[1]Aux!H:H)</f>
        <v>#VALUE!</v>
      </c>
      <c r="K48" s="69"/>
      <c r="L48" s="79"/>
      <c r="M48" s="79"/>
      <c r="N48" s="79" t="e">
        <f t="shared" si="7"/>
        <v>#VALUE!</v>
      </c>
      <c r="O48" s="79"/>
      <c r="P48" s="104"/>
      <c r="Q48" s="104"/>
      <c r="R48" s="104"/>
      <c r="S48" s="104"/>
      <c r="T48" s="104"/>
      <c r="U48" s="104"/>
      <c r="V48" s="104"/>
    </row>
    <row r="49" spans="2:22" ht="16.5" outlineLevel="1">
      <c r="B49" s="82" t="str">
        <f t="shared" si="2"/>
        <v>INSTR_PROTECTION_PRTCTN_ID</v>
      </c>
      <c r="C49" s="90" t="s">
        <v>180</v>
      </c>
      <c r="D49" s="91" t="s">
        <v>67</v>
      </c>
      <c r="E49" s="92" t="s">
        <v>113</v>
      </c>
      <c r="F49" s="93"/>
      <c r="G49" s="93"/>
      <c r="H49" s="91"/>
      <c r="I49" s="91" t="e">
        <f t="shared" si="6"/>
        <v>#VALUE!</v>
      </c>
      <c r="J49" s="95" t="e">
        <f>SUMIF([1]Aux!B:B,Macro_Plano_2025_v1!B49,[1]Aux!H:H)</f>
        <v>#VALUE!</v>
      </c>
      <c r="K49" s="69"/>
      <c r="L49" s="79"/>
      <c r="M49" s="79"/>
      <c r="N49" s="79" t="e">
        <f t="shared" si="7"/>
        <v>#VALUE!</v>
      </c>
      <c r="O49" s="79"/>
      <c r="P49" s="104"/>
      <c r="Q49" s="104"/>
      <c r="R49" s="104"/>
      <c r="S49" s="104"/>
      <c r="T49" s="104"/>
      <c r="U49" s="104"/>
      <c r="V49" s="104"/>
    </row>
    <row r="50" spans="2:22" ht="16.5" outlineLevel="1">
      <c r="B50" s="82" t="str">
        <f t="shared" si="2"/>
        <v>PROTECTION_COD_SOC</v>
      </c>
      <c r="C50" s="90" t="s">
        <v>181</v>
      </c>
      <c r="D50" s="91" t="s">
        <v>104</v>
      </c>
      <c r="E50" s="92" t="s">
        <v>51</v>
      </c>
      <c r="F50" s="93"/>
      <c r="G50" s="93"/>
      <c r="H50" s="91"/>
      <c r="I50" s="91" t="e">
        <f t="shared" si="6"/>
        <v>#VALUE!</v>
      </c>
      <c r="J50" s="95" t="e">
        <f>SUMIF([1]Aux!B:B,Macro_Plano_2025_v1!B50,[1]Aux!H:H)</f>
        <v>#VALUE!</v>
      </c>
      <c r="K50" s="69"/>
      <c r="L50" s="79"/>
      <c r="M50" s="79"/>
      <c r="N50" s="79" t="e">
        <f t="shared" si="7"/>
        <v>#VALUE!</v>
      </c>
      <c r="O50" s="79"/>
      <c r="P50" s="104"/>
      <c r="Q50" s="104"/>
      <c r="R50" s="104"/>
      <c r="S50" s="104"/>
      <c r="T50" s="104"/>
      <c r="U50" s="104"/>
      <c r="V50" s="104"/>
    </row>
    <row r="51" spans="2:22" ht="16.5" outlineLevel="1">
      <c r="B51" s="82" t="str">
        <f t="shared" si="2"/>
        <v>PROTECTION_DT_RFRNC</v>
      </c>
      <c r="C51" s="90" t="s">
        <v>182</v>
      </c>
      <c r="D51" s="91" t="s">
        <v>104</v>
      </c>
      <c r="E51" s="92" t="s">
        <v>52</v>
      </c>
      <c r="F51" s="93"/>
      <c r="G51" s="93"/>
      <c r="H51" s="91"/>
      <c r="I51" s="91" t="e">
        <f t="shared" si="6"/>
        <v>#VALUE!</v>
      </c>
      <c r="J51" s="95" t="e">
        <f>SUMIF([1]Aux!B:B,Macro_Plano_2025_v1!B51,[1]Aux!H:H)</f>
        <v>#VALUE!</v>
      </c>
      <c r="K51" s="69"/>
      <c r="L51" s="79"/>
      <c r="M51" s="79"/>
      <c r="N51" s="79" t="e">
        <f t="shared" si="7"/>
        <v>#VALUE!</v>
      </c>
      <c r="O51" s="79"/>
      <c r="P51" s="104"/>
      <c r="Q51" s="104"/>
      <c r="R51" s="104"/>
      <c r="S51" s="104"/>
      <c r="T51" s="104"/>
      <c r="U51" s="104"/>
      <c r="V51" s="104"/>
    </row>
    <row r="52" spans="2:22" ht="16.5" outlineLevel="1">
      <c r="B52" s="82" t="str">
        <f t="shared" si="2"/>
        <v>PROTECTION_PRTCTN_ID</v>
      </c>
      <c r="C52" s="90" t="s">
        <v>183</v>
      </c>
      <c r="D52" s="91" t="s">
        <v>104</v>
      </c>
      <c r="E52" s="92" t="s">
        <v>113</v>
      </c>
      <c r="F52" s="93"/>
      <c r="G52" s="93"/>
      <c r="H52" s="91"/>
      <c r="I52" s="91" t="e">
        <f t="shared" si="6"/>
        <v>#VALUE!</v>
      </c>
      <c r="J52" s="95" t="e">
        <f>SUMIF([1]Aux!B:B,Macro_Plano_2025_v1!B52,[1]Aux!H:H)</f>
        <v>#VALUE!</v>
      </c>
      <c r="K52" s="69"/>
      <c r="L52" s="79"/>
      <c r="M52" s="79"/>
      <c r="N52" s="79" t="e">
        <f t="shared" si="7"/>
        <v>#VALUE!</v>
      </c>
      <c r="O52" s="79"/>
      <c r="P52" s="104"/>
      <c r="Q52" s="104"/>
      <c r="R52" s="104"/>
      <c r="S52" s="104"/>
      <c r="T52" s="104"/>
      <c r="U52" s="104"/>
      <c r="V52" s="104"/>
    </row>
    <row r="53" spans="2:22" ht="16.5" outlineLevel="1">
      <c r="B53" s="82" t="str">
        <f t="shared" si="2"/>
        <v>PROTECTION_TYP_PRTCTN</v>
      </c>
      <c r="C53" s="90" t="s">
        <v>184</v>
      </c>
      <c r="D53" s="91" t="s">
        <v>104</v>
      </c>
      <c r="E53" s="92" t="s">
        <v>114</v>
      </c>
      <c r="F53" s="93"/>
      <c r="G53" s="93"/>
      <c r="H53" s="91"/>
      <c r="I53" s="91" t="e">
        <f t="shared" si="6"/>
        <v>#VALUE!</v>
      </c>
      <c r="J53" s="95" t="e">
        <f>SUMIF([1]Aux!B:B,Macro_Plano_2025_v1!B53,[1]Aux!H:H)</f>
        <v>#VALUE!</v>
      </c>
      <c r="K53" s="69"/>
      <c r="L53" s="79"/>
      <c r="M53" s="79"/>
      <c r="N53" s="79" t="e">
        <f t="shared" si="7"/>
        <v>#VALUE!</v>
      </c>
      <c r="O53" s="79"/>
      <c r="P53" s="104"/>
      <c r="Q53" s="104"/>
      <c r="R53" s="104"/>
      <c r="S53" s="104"/>
      <c r="T53" s="104"/>
      <c r="U53" s="104"/>
      <c r="V53" s="104"/>
    </row>
    <row r="54" spans="2:22" ht="16.5" outlineLevel="1">
      <c r="B54" s="82" t="str">
        <f t="shared" si="2"/>
        <v>PROTECTION_PRTCTN_VL</v>
      </c>
      <c r="C54" s="90" t="s">
        <v>185</v>
      </c>
      <c r="D54" s="91" t="s">
        <v>104</v>
      </c>
      <c r="E54" s="92" t="s">
        <v>115</v>
      </c>
      <c r="F54" s="93"/>
      <c r="G54" s="93"/>
      <c r="H54" s="91"/>
      <c r="I54" s="91" t="e">
        <f t="shared" si="6"/>
        <v>#VALUE!</v>
      </c>
      <c r="J54" s="95" t="e">
        <f>SUMIF([1]Aux!B:B,Macro_Plano_2025_v1!B54,[1]Aux!H:H)</f>
        <v>#VALUE!</v>
      </c>
      <c r="K54" s="69"/>
      <c r="L54" s="79"/>
      <c r="M54" s="79"/>
      <c r="N54" s="79" t="e">
        <f t="shared" si="7"/>
        <v>#VALUE!</v>
      </c>
      <c r="O54" s="79"/>
      <c r="P54" s="104"/>
      <c r="Q54" s="104"/>
      <c r="R54" s="104"/>
      <c r="S54" s="104"/>
      <c r="T54" s="104"/>
      <c r="U54" s="104"/>
      <c r="V54" s="104"/>
    </row>
    <row r="55" spans="2:22" ht="16.5" outlineLevel="1">
      <c r="B55" s="82" t="str">
        <f t="shared" si="2"/>
        <v>PROTECTION_FLG_ELCTRC_VHCL</v>
      </c>
      <c r="C55" s="90" t="s">
        <v>186</v>
      </c>
      <c r="D55" s="91" t="s">
        <v>104</v>
      </c>
      <c r="E55" s="92" t="s">
        <v>118</v>
      </c>
      <c r="F55" s="93"/>
      <c r="G55" s="93"/>
      <c r="H55" s="91"/>
      <c r="I55" s="91" t="e">
        <f t="shared" si="6"/>
        <v>#VALUE!</v>
      </c>
      <c r="J55" s="95" t="e">
        <f>SUMIF([1]Aux!B:B,Macro_Plano_2025_v1!B55,[1]Aux!H:H)</f>
        <v>#VALUE!</v>
      </c>
      <c r="K55" s="69"/>
      <c r="L55" s="79"/>
      <c r="M55" s="79"/>
      <c r="N55" s="79" t="e">
        <f t="shared" si="7"/>
        <v>#VALUE!</v>
      </c>
      <c r="O55" s="79"/>
      <c r="P55" s="104"/>
      <c r="Q55" s="104"/>
      <c r="R55" s="104"/>
      <c r="S55" s="104"/>
      <c r="T55" s="104"/>
      <c r="U55" s="104"/>
      <c r="V55" s="104"/>
    </row>
    <row r="56" spans="2:22" ht="16.5" outlineLevel="1">
      <c r="B56" s="82" t="str">
        <f t="shared" si="2"/>
        <v>INSTR_ACTIVITY_PRCNTG_ACTVTY</v>
      </c>
      <c r="C56" s="90" t="s">
        <v>187</v>
      </c>
      <c r="D56" s="91" t="s">
        <v>188</v>
      </c>
      <c r="E56" s="92" t="s">
        <v>116</v>
      </c>
      <c r="F56" s="93"/>
      <c r="G56" s="93"/>
      <c r="H56" s="91"/>
      <c r="I56" s="91" t="e">
        <f t="shared" si="6"/>
        <v>#VALUE!</v>
      </c>
      <c r="J56" s="95" t="e">
        <f>SUMIF([1]Aux!B:B,Macro_Plano_2025_v1!B56,[1]Aux!H:H)</f>
        <v>#VALUE!</v>
      </c>
      <c r="K56" s="69"/>
      <c r="L56" s="79"/>
      <c r="M56" s="79"/>
      <c r="N56" s="79"/>
      <c r="O56" s="79" t="e">
        <f>J56/8</f>
        <v>#VALUE!</v>
      </c>
      <c r="P56" s="79"/>
      <c r="Q56" s="79"/>
      <c r="R56" s="79"/>
      <c r="S56" s="79"/>
      <c r="T56" s="79"/>
      <c r="U56" s="79"/>
      <c r="V56" s="79"/>
    </row>
    <row r="57" spans="2:22" ht="3" customHeight="1" outlineLevel="1">
      <c r="B57" s="82"/>
      <c r="C57" s="105"/>
      <c r="D57" s="98"/>
      <c r="E57" s="99"/>
      <c r="F57" s="74"/>
      <c r="G57" s="74"/>
      <c r="H57" s="98"/>
      <c r="I57" s="98"/>
      <c r="J57" s="76"/>
      <c r="K57" s="69"/>
      <c r="L57" s="81"/>
      <c r="M57" s="106"/>
      <c r="N57" s="106"/>
      <c r="O57" s="107"/>
      <c r="P57" s="81"/>
      <c r="Q57" s="81"/>
      <c r="R57" s="81"/>
      <c r="S57" s="81"/>
      <c r="T57" s="81"/>
      <c r="U57" s="81"/>
      <c r="V57" s="81"/>
    </row>
    <row r="58" spans="2:22">
      <c r="B58" s="108"/>
      <c r="C58" s="102" t="s">
        <v>189</v>
      </c>
      <c r="D58" s="6" t="s">
        <v>190</v>
      </c>
      <c r="E58" s="67"/>
      <c r="F58" s="109"/>
      <c r="G58" s="109"/>
      <c r="H58" s="110"/>
      <c r="I58" s="110"/>
      <c r="J58" s="110" t="e">
        <f>J59+J60+J106</f>
        <v>#VALUE!</v>
      </c>
      <c r="K58" s="69"/>
      <c r="L58" s="79"/>
      <c r="M58" s="79"/>
      <c r="N58" s="111"/>
      <c r="O58" s="111"/>
      <c r="P58" s="111"/>
      <c r="Q58" s="79"/>
      <c r="R58" s="79"/>
      <c r="S58" s="79"/>
      <c r="T58" s="79"/>
      <c r="U58" s="79"/>
      <c r="V58" s="79"/>
    </row>
    <row r="59" spans="2:22">
      <c r="B59" s="108"/>
      <c r="C59" s="112" t="s">
        <v>191</v>
      </c>
      <c r="D59" s="113"/>
      <c r="E59" s="114" t="s">
        <v>192</v>
      </c>
      <c r="F59" s="86"/>
      <c r="G59" s="86"/>
      <c r="H59" s="115" t="s">
        <v>20</v>
      </c>
      <c r="I59" s="115"/>
      <c r="J59" s="115">
        <v>40</v>
      </c>
      <c r="K59" s="69"/>
      <c r="L59" s="79"/>
      <c r="M59" s="116"/>
      <c r="N59" s="116"/>
      <c r="O59" s="116">
        <v>5</v>
      </c>
      <c r="P59" s="79"/>
      <c r="Q59" s="79"/>
      <c r="R59" s="79"/>
      <c r="S59" s="79"/>
      <c r="T59" s="79"/>
      <c r="U59" s="117"/>
      <c r="V59" s="79"/>
    </row>
    <row r="60" spans="2:22">
      <c r="B60" s="108"/>
      <c r="C60" s="118" t="s">
        <v>193</v>
      </c>
      <c r="D60" s="119"/>
      <c r="E60" s="120" t="s">
        <v>194</v>
      </c>
      <c r="F60" s="93"/>
      <c r="G60" s="93"/>
      <c r="H60" s="121">
        <f>COUNTA(E61:E105)</f>
        <v>45</v>
      </c>
      <c r="I60" s="121"/>
      <c r="J60" s="121" t="e">
        <f>SUM(J61:J105)</f>
        <v>#VALUE!</v>
      </c>
      <c r="K60" s="69"/>
      <c r="L60" s="79"/>
      <c r="M60" s="79"/>
      <c r="N60" s="79"/>
      <c r="O60" s="79">
        <v>4.875</v>
      </c>
      <c r="P60" s="79">
        <v>10</v>
      </c>
      <c r="Q60" s="79">
        <v>10</v>
      </c>
      <c r="R60" s="79">
        <v>10</v>
      </c>
      <c r="S60" s="79">
        <v>10</v>
      </c>
      <c r="T60" s="79">
        <v>2.875</v>
      </c>
      <c r="U60" s="117"/>
      <c r="V60" s="79"/>
    </row>
    <row r="61" spans="2:22" ht="16.5" outlineLevel="1">
      <c r="B61" s="82" t="str">
        <f>D61&amp;"_"&amp;E61</f>
        <v>INSTRUMENT_INSTRMNT_ID</v>
      </c>
      <c r="C61" s="90" t="s">
        <v>195</v>
      </c>
      <c r="D61" s="91" t="s">
        <v>54</v>
      </c>
      <c r="E61" s="92" t="s">
        <v>53</v>
      </c>
      <c r="F61" s="93"/>
      <c r="G61" s="93"/>
      <c r="H61" s="91"/>
      <c r="I61" s="91"/>
      <c r="J61" s="95" t="e">
        <f>SUMIF([1]Aux!B:B,Macro_Plano_2025_v1!B61,[1]Aux!I:I)+SUMIF([1]Aux!B:B,Macro_Plano_2025_v1!B61,[1]Aux!O:O)</f>
        <v>#VALUE!</v>
      </c>
      <c r="K61" s="69"/>
      <c r="L61" s="79"/>
      <c r="M61" s="79"/>
      <c r="N61" s="79"/>
      <c r="O61" s="122" t="e">
        <f>J61/8</f>
        <v>#VALUE!</v>
      </c>
      <c r="P61" s="79"/>
      <c r="Q61" s="79"/>
      <c r="R61" s="79"/>
      <c r="S61" s="79"/>
      <c r="T61" s="79"/>
      <c r="U61" s="117"/>
      <c r="V61" s="79"/>
    </row>
    <row r="62" spans="2:22" ht="16.5" outlineLevel="1">
      <c r="B62" s="82" t="str">
        <f t="shared" ref="B62:B105" si="8">D62&amp;"_"&amp;E62</f>
        <v>INSTRUMENT_CCF</v>
      </c>
      <c r="C62" s="90" t="s">
        <v>196</v>
      </c>
      <c r="D62" s="91" t="s">
        <v>54</v>
      </c>
      <c r="E62" s="92" t="s">
        <v>110</v>
      </c>
      <c r="F62" s="93"/>
      <c r="G62" s="93"/>
      <c r="H62" s="91"/>
      <c r="I62" s="91"/>
      <c r="J62" s="95" t="e">
        <f>SUMIF([1]Aux!B:B,Macro_Plano_2025_v1!B62,[1]Aux!I:I)+SUMIF([1]Aux!B:B,Macro_Plano_2025_v1!B62,[1]Aux!O:O)</f>
        <v>#VALUE!</v>
      </c>
      <c r="K62" s="69"/>
      <c r="L62" s="79"/>
      <c r="M62" s="79"/>
      <c r="N62" s="79"/>
      <c r="O62" s="122" t="e">
        <f t="shared" ref="O62:O64" si="9">J62/8</f>
        <v>#VALUE!</v>
      </c>
      <c r="P62" s="79"/>
      <c r="Q62" s="79"/>
      <c r="R62" s="79"/>
      <c r="S62" s="79"/>
      <c r="T62" s="79"/>
      <c r="U62" s="117"/>
      <c r="V62" s="79"/>
    </row>
    <row r="63" spans="2:22" ht="16.5" outlineLevel="1">
      <c r="B63" s="82" t="str">
        <f t="shared" si="8"/>
        <v>INSTRUMENT_EAD</v>
      </c>
      <c r="C63" s="83" t="s">
        <v>197</v>
      </c>
      <c r="D63" s="84" t="s">
        <v>54</v>
      </c>
      <c r="E63" s="85" t="s">
        <v>111</v>
      </c>
      <c r="F63" s="86"/>
      <c r="G63" s="86"/>
      <c r="H63" s="84"/>
      <c r="I63" s="84"/>
      <c r="J63" s="88" t="e">
        <f>SUMIF([1]Aux!B:B,Macro_Plano_2025_v1!B63,[1]Aux!I:I)+SUMIF([1]Aux!B:B,Macro_Plano_2025_v1!B63,[1]Aux!O:O)</f>
        <v>#VALUE!</v>
      </c>
      <c r="K63" s="123"/>
      <c r="L63" s="79"/>
      <c r="M63" s="79"/>
      <c r="N63" s="79"/>
      <c r="O63" s="122" t="e">
        <f t="shared" si="9"/>
        <v>#VALUE!</v>
      </c>
      <c r="P63" s="79"/>
      <c r="Q63" s="79"/>
      <c r="R63" s="79"/>
      <c r="S63" s="79"/>
      <c r="T63" s="79"/>
      <c r="U63" s="117"/>
      <c r="V63" s="79"/>
    </row>
    <row r="64" spans="2:22" ht="16.5" outlineLevel="1">
      <c r="B64" s="82" t="str">
        <f t="shared" si="8"/>
        <v>INSTRUMENT_AVRG_BLNC</v>
      </c>
      <c r="C64" s="90" t="s">
        <v>198</v>
      </c>
      <c r="D64" s="91" t="s">
        <v>54</v>
      </c>
      <c r="E64" s="92" t="s">
        <v>79</v>
      </c>
      <c r="F64" s="93"/>
      <c r="G64" s="93"/>
      <c r="H64" s="91"/>
      <c r="I64" s="91"/>
      <c r="J64" s="95" t="e">
        <f>SUMIF([1]Aux!B:B,Macro_Plano_2025_v1!B64,[1]Aux!I:I)+SUMIF([1]Aux!B:B,Macro_Plano_2025_v1!B64,[1]Aux!O:O)</f>
        <v>#VALUE!</v>
      </c>
      <c r="K64" s="69"/>
      <c r="L64" s="79"/>
      <c r="M64" s="79"/>
      <c r="N64" s="79"/>
      <c r="O64" s="122" t="e">
        <f t="shared" si="9"/>
        <v>#VALUE!</v>
      </c>
      <c r="P64" s="79"/>
      <c r="Q64" s="79"/>
      <c r="R64" s="79"/>
      <c r="S64" s="79"/>
      <c r="T64" s="79"/>
      <c r="U64" s="117"/>
      <c r="V64" s="79"/>
    </row>
    <row r="65" spans="2:22" ht="16.5" outlineLevel="1">
      <c r="B65" s="82" t="str">
        <f t="shared" si="8"/>
        <v>INSTRUMENT_NW_BSNSS</v>
      </c>
      <c r="C65" s="90" t="s">
        <v>199</v>
      </c>
      <c r="D65" s="91" t="s">
        <v>54</v>
      </c>
      <c r="E65" s="92" t="s">
        <v>60</v>
      </c>
      <c r="F65" s="93"/>
      <c r="G65" s="93"/>
      <c r="H65" s="91"/>
      <c r="I65" s="91"/>
      <c r="J65" s="95" t="e">
        <f>SUMIF([1]Aux!B:B,Macro_Plano_2025_v1!B65,[1]Aux!I:I)+SUMIF([1]Aux!B:B,Macro_Plano_2025_v1!B65,[1]Aux!O:O)</f>
        <v>#VALUE!</v>
      </c>
      <c r="K65" s="69"/>
      <c r="L65" s="79"/>
      <c r="M65" s="79"/>
      <c r="N65" s="79"/>
      <c r="O65" s="122" t="e">
        <f>O60-SUM(O61:O64)</f>
        <v>#VALUE!</v>
      </c>
      <c r="P65" s="122" t="e">
        <f>(J65/8)-O65</f>
        <v>#VALUE!</v>
      </c>
      <c r="Q65" s="79"/>
      <c r="R65" s="79"/>
      <c r="S65" s="79"/>
      <c r="T65" s="79"/>
      <c r="U65" s="117"/>
      <c r="V65" s="79"/>
    </row>
    <row r="66" spans="2:22" ht="16.5" outlineLevel="1">
      <c r="B66" s="82" t="str">
        <f t="shared" si="8"/>
        <v>INSTRUMENT_GRSS_INTRST_INCM</v>
      </c>
      <c r="C66" s="90" t="s">
        <v>200</v>
      </c>
      <c r="D66" s="91" t="s">
        <v>54</v>
      </c>
      <c r="E66" s="92" t="s">
        <v>80</v>
      </c>
      <c r="F66" s="93"/>
      <c r="G66" s="93"/>
      <c r="H66" s="91"/>
      <c r="I66" s="91"/>
      <c r="J66" s="95" t="e">
        <f>SUMIF([1]Aux!B:B,Macro_Plano_2025_v1!B66,[1]Aux!I:I)+SUMIF([1]Aux!B:B,Macro_Plano_2025_v1!B66,[1]Aux!O:O)</f>
        <v>#VALUE!</v>
      </c>
      <c r="K66" s="69"/>
      <c r="L66" s="79"/>
      <c r="M66" s="79"/>
      <c r="N66" s="79"/>
      <c r="O66" s="79"/>
      <c r="P66" s="122" t="e">
        <f>J66/8</f>
        <v>#VALUE!</v>
      </c>
      <c r="Q66" s="79"/>
      <c r="R66" s="79"/>
      <c r="S66" s="79"/>
      <c r="T66" s="79"/>
      <c r="U66" s="117"/>
      <c r="V66" s="79"/>
    </row>
    <row r="67" spans="2:22" ht="16.5" outlineLevel="1">
      <c r="B67" s="82" t="str">
        <f t="shared" si="8"/>
        <v>INSTRUMENT_GRSS_CMMSSN_INCM</v>
      </c>
      <c r="C67" s="90" t="s">
        <v>201</v>
      </c>
      <c r="D67" s="91" t="s">
        <v>54</v>
      </c>
      <c r="E67" s="92" t="s">
        <v>81</v>
      </c>
      <c r="F67" s="93"/>
      <c r="G67" s="93"/>
      <c r="H67" s="91"/>
      <c r="I67" s="91"/>
      <c r="J67" s="95" t="e">
        <f>SUMIF([1]Aux!B:B,Macro_Plano_2025_v1!B67,[1]Aux!I:I)+SUMIF([1]Aux!B:B,Macro_Plano_2025_v1!B67,[1]Aux!O:O)</f>
        <v>#VALUE!</v>
      </c>
      <c r="K67" s="69"/>
      <c r="L67" s="79"/>
      <c r="M67" s="79"/>
      <c r="N67" s="79"/>
      <c r="O67" s="79"/>
      <c r="P67" s="122" t="e">
        <f>J67/8</f>
        <v>#VALUE!</v>
      </c>
      <c r="Q67" s="79"/>
      <c r="R67" s="79"/>
      <c r="S67" s="79"/>
      <c r="T67" s="79"/>
      <c r="U67" s="117"/>
      <c r="V67" s="79"/>
    </row>
    <row r="68" spans="2:22" ht="16.5" outlineLevel="1">
      <c r="B68" s="82" t="str">
        <f t="shared" si="8"/>
        <v>INSTRUMENT_INTRNL_TRNSFR_RT</v>
      </c>
      <c r="C68" s="90" t="s">
        <v>202</v>
      </c>
      <c r="D68" s="91" t="s">
        <v>54</v>
      </c>
      <c r="E68" s="92" t="s">
        <v>82</v>
      </c>
      <c r="F68" s="93"/>
      <c r="G68" s="93"/>
      <c r="H68" s="91"/>
      <c r="I68" s="91"/>
      <c r="J68" s="95" t="e">
        <f>SUMIF([1]Aux!B:B,Macro_Plano_2025_v1!B68,[1]Aux!I:I)+SUMIF([1]Aux!B:B,Macro_Plano_2025_v1!B68,[1]Aux!O:O)</f>
        <v>#VALUE!</v>
      </c>
      <c r="K68" s="69"/>
      <c r="L68" s="79"/>
      <c r="M68" s="79"/>
      <c r="N68" s="79"/>
      <c r="O68" s="79"/>
      <c r="P68" s="122" t="e">
        <f>J68/8</f>
        <v>#VALUE!</v>
      </c>
      <c r="Q68" s="79"/>
      <c r="R68" s="79"/>
      <c r="S68" s="79"/>
      <c r="T68" s="79"/>
      <c r="U68" s="117"/>
      <c r="V68" s="79"/>
    </row>
    <row r="69" spans="2:22" ht="16.5" outlineLevel="1">
      <c r="B69" s="82" t="str">
        <f t="shared" si="8"/>
        <v>INSTRUMENT_NT_LN_LSS_PRVSN</v>
      </c>
      <c r="C69" s="90" t="s">
        <v>203</v>
      </c>
      <c r="D69" s="91" t="s">
        <v>54</v>
      </c>
      <c r="E69" s="92" t="s">
        <v>83</v>
      </c>
      <c r="F69" s="93"/>
      <c r="G69" s="93"/>
      <c r="H69" s="91"/>
      <c r="I69" s="91"/>
      <c r="J69" s="95" t="e">
        <f>SUMIF([1]Aux!B:B,Macro_Plano_2025_v1!B69,[1]Aux!I:I)+SUMIF([1]Aux!B:B,Macro_Plano_2025_v1!B69,[1]Aux!O:O)</f>
        <v>#VALUE!</v>
      </c>
      <c r="K69" s="69"/>
      <c r="L69" s="79"/>
      <c r="M69" s="79"/>
      <c r="N69" s="79"/>
      <c r="O69" s="79"/>
      <c r="P69" s="122" t="e">
        <f>J69/8</f>
        <v>#VALUE!</v>
      </c>
      <c r="Q69" s="79"/>
      <c r="R69" s="79"/>
      <c r="S69" s="79"/>
      <c r="T69" s="79"/>
      <c r="U69" s="117"/>
      <c r="V69" s="79"/>
    </row>
    <row r="70" spans="2:22" ht="16.5" outlineLevel="1">
      <c r="B70" s="82" t="str">
        <f t="shared" si="8"/>
        <v>INSTRUMENT_BSNSS_AREA</v>
      </c>
      <c r="C70" s="90" t="s">
        <v>204</v>
      </c>
      <c r="D70" s="91" t="s">
        <v>54</v>
      </c>
      <c r="E70" s="92" t="s">
        <v>61</v>
      </c>
      <c r="F70" s="93"/>
      <c r="G70" s="93"/>
      <c r="H70" s="91"/>
      <c r="I70" s="91"/>
      <c r="J70" s="95" t="e">
        <f>SUMIF([1]Aux!B:B,Macro_Plano_2025_v1!B70,[1]Aux!I:I)+SUMIF([1]Aux!B:B,Macro_Plano_2025_v1!B70,[1]Aux!O:O)</f>
        <v>#VALUE!</v>
      </c>
      <c r="K70" s="69"/>
      <c r="L70" s="79"/>
      <c r="M70" s="79"/>
      <c r="N70" s="79"/>
      <c r="O70" s="79"/>
      <c r="P70" s="122" t="e">
        <f>P60-SUM(P65:P69)</f>
        <v>#VALUE!</v>
      </c>
      <c r="Q70" s="122" t="e">
        <f>(J70/8)-P70</f>
        <v>#VALUE!</v>
      </c>
      <c r="R70" s="79"/>
      <c r="S70" s="79"/>
      <c r="T70" s="79"/>
      <c r="U70" s="117"/>
      <c r="V70" s="79"/>
    </row>
    <row r="71" spans="2:22" ht="16.5" outlineLevel="1">
      <c r="B71" s="82" t="str">
        <f t="shared" si="8"/>
        <v>INSTRUMENT_MNGMNT_PRDCT</v>
      </c>
      <c r="C71" s="90" t="s">
        <v>205</v>
      </c>
      <c r="D71" s="91" t="s">
        <v>54</v>
      </c>
      <c r="E71" s="92" t="s">
        <v>84</v>
      </c>
      <c r="F71" s="93"/>
      <c r="G71" s="93"/>
      <c r="H71" s="91"/>
      <c r="I71" s="91"/>
      <c r="J71" s="95" t="e">
        <f>SUMIF([1]Aux!B:B,Macro_Plano_2025_v1!B71,[1]Aux!I:I)+SUMIF([1]Aux!B:B,Macro_Plano_2025_v1!B71,[1]Aux!O:O)</f>
        <v>#VALUE!</v>
      </c>
      <c r="K71" s="69"/>
      <c r="L71" s="79"/>
      <c r="M71" s="79"/>
      <c r="N71" s="79"/>
      <c r="O71" s="79"/>
      <c r="P71" s="79"/>
      <c r="Q71" s="122" t="e">
        <f>J71/8</f>
        <v>#VALUE!</v>
      </c>
      <c r="R71" s="79"/>
      <c r="S71" s="79"/>
      <c r="T71" s="79"/>
      <c r="U71" s="117"/>
      <c r="V71" s="79"/>
    </row>
    <row r="72" spans="2:22" ht="16.5" outlineLevel="1">
      <c r="B72" s="82" t="str">
        <f t="shared" si="8"/>
        <v>INSTRUMENT_GRSS_CMMSSN_EXPNS</v>
      </c>
      <c r="C72" s="90" t="s">
        <v>206</v>
      </c>
      <c r="D72" s="91" t="s">
        <v>54</v>
      </c>
      <c r="E72" s="92" t="s">
        <v>85</v>
      </c>
      <c r="F72" s="93"/>
      <c r="G72" s="93"/>
      <c r="H72" s="91"/>
      <c r="I72" s="91"/>
      <c r="J72" s="95" t="e">
        <f>SUMIF([1]Aux!B:B,Macro_Plano_2025_v1!B72,[1]Aux!I:I)+SUMIF([1]Aux!B:B,Macro_Plano_2025_v1!B72,[1]Aux!O:O)</f>
        <v>#VALUE!</v>
      </c>
      <c r="K72" s="69"/>
      <c r="L72" s="79"/>
      <c r="M72" s="79"/>
      <c r="N72" s="79"/>
      <c r="O72" s="79"/>
      <c r="P72" s="79"/>
      <c r="Q72" s="122" t="e">
        <f t="shared" ref="Q72:Q75" si="10">J72/8</f>
        <v>#VALUE!</v>
      </c>
      <c r="R72" s="79"/>
      <c r="S72" s="79"/>
      <c r="T72" s="79"/>
      <c r="U72" s="117"/>
      <c r="V72" s="79"/>
    </row>
    <row r="73" spans="2:22" ht="16.5" outlineLevel="1">
      <c r="B73" s="82" t="str">
        <f t="shared" si="8"/>
        <v>INSTRUMENT_GNS_FNNCL_TRNSCTN_EXCHNG_DFFRNCS</v>
      </c>
      <c r="C73" s="90" t="s">
        <v>207</v>
      </c>
      <c r="D73" s="91" t="s">
        <v>54</v>
      </c>
      <c r="E73" s="92" t="s">
        <v>86</v>
      </c>
      <c r="F73" s="93"/>
      <c r="G73" s="93"/>
      <c r="H73" s="91"/>
      <c r="I73" s="91"/>
      <c r="J73" s="95" t="e">
        <f>SUMIF([1]Aux!B:B,Macro_Plano_2025_v1!B73,[1]Aux!I:I)+SUMIF([1]Aux!B:B,Macro_Plano_2025_v1!B73,[1]Aux!O:O)</f>
        <v>#VALUE!</v>
      </c>
      <c r="K73" s="69"/>
      <c r="L73" s="79"/>
      <c r="M73" s="79"/>
      <c r="N73" s="79"/>
      <c r="O73" s="79"/>
      <c r="P73" s="79"/>
      <c r="Q73" s="122" t="e">
        <f t="shared" si="10"/>
        <v>#VALUE!</v>
      </c>
      <c r="R73" s="79"/>
      <c r="S73" s="79"/>
      <c r="T73" s="79"/>
      <c r="U73" s="117"/>
      <c r="V73" s="79"/>
    </row>
    <row r="74" spans="2:22" ht="16.5" outlineLevel="1">
      <c r="B74" s="82" t="str">
        <f t="shared" si="8"/>
        <v>INSTRUMENT_AVRG_BLNC_OFF_BLNC</v>
      </c>
      <c r="C74" s="90" t="s">
        <v>208</v>
      </c>
      <c r="D74" s="91" t="s">
        <v>54</v>
      </c>
      <c r="E74" s="92" t="s">
        <v>90</v>
      </c>
      <c r="F74" s="93"/>
      <c r="G74" s="93"/>
      <c r="H74" s="91"/>
      <c r="I74" s="91"/>
      <c r="J74" s="95" t="e">
        <f>SUMIF([1]Aux!B:B,Macro_Plano_2025_v1!B74,[1]Aux!I:I)+SUMIF([1]Aux!B:B,Macro_Plano_2025_v1!B74,[1]Aux!O:O)</f>
        <v>#VALUE!</v>
      </c>
      <c r="K74" s="69"/>
      <c r="L74" s="79"/>
      <c r="M74" s="79"/>
      <c r="N74" s="79"/>
      <c r="O74" s="79"/>
      <c r="P74" s="79"/>
      <c r="Q74" s="122" t="e">
        <f t="shared" si="10"/>
        <v>#VALUE!</v>
      </c>
      <c r="R74" s="79"/>
      <c r="S74" s="79"/>
      <c r="T74" s="79"/>
      <c r="U74" s="117"/>
      <c r="V74" s="79"/>
    </row>
    <row r="75" spans="2:22" ht="16.5" outlineLevel="1">
      <c r="B75" s="82" t="str">
        <f t="shared" si="8"/>
        <v>INSTRUMENT_GRSS_CMMSSN_INCM_OFF_BLNC</v>
      </c>
      <c r="C75" s="90" t="s">
        <v>209</v>
      </c>
      <c r="D75" s="91" t="s">
        <v>54</v>
      </c>
      <c r="E75" s="92" t="s">
        <v>92</v>
      </c>
      <c r="F75" s="93"/>
      <c r="G75" s="93"/>
      <c r="H75" s="91"/>
      <c r="I75" s="91"/>
      <c r="J75" s="95" t="e">
        <f>SUMIF([1]Aux!B:B,Macro_Plano_2025_v1!B75,[1]Aux!I:I)+SUMIF([1]Aux!B:B,Macro_Plano_2025_v1!B75,[1]Aux!O:O)</f>
        <v>#VALUE!</v>
      </c>
      <c r="K75" s="69"/>
      <c r="L75" s="79"/>
      <c r="M75" s="79"/>
      <c r="N75" s="79"/>
      <c r="O75" s="79"/>
      <c r="P75" s="79"/>
      <c r="Q75" s="122" t="e">
        <f t="shared" si="10"/>
        <v>#VALUE!</v>
      </c>
      <c r="R75" s="79"/>
      <c r="S75" s="79"/>
      <c r="T75" s="79"/>
      <c r="U75" s="117"/>
      <c r="V75" s="79"/>
    </row>
    <row r="76" spans="2:22" ht="16.5" outlineLevel="1">
      <c r="B76" s="82" t="str">
        <f t="shared" si="8"/>
        <v>INSTRUMENT_GRSS_CMMSSN_EXPNS_OFF_BLNC</v>
      </c>
      <c r="C76" s="90" t="s">
        <v>210</v>
      </c>
      <c r="D76" s="91" t="s">
        <v>54</v>
      </c>
      <c r="E76" s="92" t="s">
        <v>93</v>
      </c>
      <c r="F76" s="93"/>
      <c r="G76" s="93"/>
      <c r="H76" s="91"/>
      <c r="I76" s="91"/>
      <c r="J76" s="95" t="e">
        <f>SUMIF([1]Aux!B:B,Macro_Plano_2025_v1!B76,[1]Aux!I:I)+SUMIF([1]Aux!B:B,Macro_Plano_2025_v1!B76,[1]Aux!O:O)</f>
        <v>#VALUE!</v>
      </c>
      <c r="K76" s="69"/>
      <c r="L76" s="79"/>
      <c r="M76" s="79"/>
      <c r="N76" s="79"/>
      <c r="O76" s="79"/>
      <c r="P76" s="79"/>
      <c r="Q76" s="122" t="e">
        <f>Q60-SUM(Q70:Q75)</f>
        <v>#VALUE!</v>
      </c>
      <c r="R76" s="122" t="e">
        <f>(J76/8)-Q76</f>
        <v>#VALUE!</v>
      </c>
      <c r="S76" s="79"/>
      <c r="T76" s="79"/>
      <c r="U76" s="117"/>
      <c r="V76" s="79"/>
    </row>
    <row r="77" spans="2:22" ht="16.5" outlineLevel="1">
      <c r="B77" s="82" t="str">
        <f t="shared" si="8"/>
        <v>INSTRUMENT_GRSS_INTRST_EXPNS</v>
      </c>
      <c r="C77" s="90" t="s">
        <v>211</v>
      </c>
      <c r="D77" s="91" t="s">
        <v>54</v>
      </c>
      <c r="E77" s="92" t="s">
        <v>95</v>
      </c>
      <c r="F77" s="93"/>
      <c r="G77" s="93"/>
      <c r="H77" s="91"/>
      <c r="I77" s="91"/>
      <c r="J77" s="95" t="e">
        <f>SUMIF([1]Aux!B:B,Macro_Plano_2025_v1!B77,[1]Aux!I:I)+SUMIF([1]Aux!B:B,Macro_Plano_2025_v1!B77,[1]Aux!O:O)</f>
        <v>#VALUE!</v>
      </c>
      <c r="K77" s="69"/>
      <c r="L77" s="79"/>
      <c r="M77" s="79"/>
      <c r="N77" s="79"/>
      <c r="O77" s="79"/>
      <c r="P77" s="79"/>
      <c r="Q77" s="79"/>
      <c r="R77" s="122" t="e">
        <f>J77/8</f>
        <v>#VALUE!</v>
      </c>
      <c r="S77" s="79"/>
      <c r="T77" s="79"/>
      <c r="U77" s="117"/>
      <c r="V77" s="79"/>
    </row>
    <row r="78" spans="2:22" ht="16.5" outlineLevel="1">
      <c r="B78" s="82" t="str">
        <f t="shared" si="8"/>
        <v>INSTRUMENT_NT_LN_LSS_PRVSN_OFF_BLNC</v>
      </c>
      <c r="C78" s="90" t="s">
        <v>212</v>
      </c>
      <c r="D78" s="91" t="s">
        <v>54</v>
      </c>
      <c r="E78" s="92" t="s">
        <v>96</v>
      </c>
      <c r="F78" s="93"/>
      <c r="G78" s="93"/>
      <c r="H78" s="91"/>
      <c r="I78" s="91"/>
      <c r="J78" s="95" t="e">
        <f>SUMIF([1]Aux!B:B,Macro_Plano_2025_v1!B78,[1]Aux!I:I)+SUMIF([1]Aux!B:B,Macro_Plano_2025_v1!B78,[1]Aux!O:O)</f>
        <v>#VALUE!</v>
      </c>
      <c r="K78" s="69"/>
      <c r="L78" s="79"/>
      <c r="M78" s="79"/>
      <c r="N78" s="79"/>
      <c r="O78" s="79"/>
      <c r="P78" s="79"/>
      <c r="Q78" s="79"/>
      <c r="R78" s="122" t="e">
        <f t="shared" ref="R78:R86" si="11">J78/8</f>
        <v>#VALUE!</v>
      </c>
      <c r="S78" s="79"/>
      <c r="T78" s="79"/>
      <c r="U78" s="117"/>
      <c r="V78" s="79"/>
    </row>
    <row r="79" spans="2:22" ht="16.5" outlineLevel="1">
      <c r="B79" s="82" t="str">
        <f t="shared" si="8"/>
        <v>INSTRUMENT_GRSS_INTRST_INCM_CCRR</v>
      </c>
      <c r="C79" s="90" t="s">
        <v>213</v>
      </c>
      <c r="D79" s="91" t="s">
        <v>54</v>
      </c>
      <c r="E79" s="92" t="s">
        <v>97</v>
      </c>
      <c r="F79" s="93"/>
      <c r="G79" s="93"/>
      <c r="H79" s="91"/>
      <c r="I79" s="91"/>
      <c r="J79" s="95" t="e">
        <f>SUMIF([1]Aux!B:B,Macro_Plano_2025_v1!B79,[1]Aux!I:I)+SUMIF([1]Aux!B:B,Macro_Plano_2025_v1!B79,[1]Aux!O:O)</f>
        <v>#VALUE!</v>
      </c>
      <c r="K79" s="69"/>
      <c r="L79" s="79"/>
      <c r="M79" s="79"/>
      <c r="N79" s="79"/>
      <c r="O79" s="79"/>
      <c r="P79" s="79"/>
      <c r="Q79" s="79"/>
      <c r="R79" s="122" t="e">
        <f t="shared" si="11"/>
        <v>#VALUE!</v>
      </c>
      <c r="S79" s="79"/>
      <c r="T79" s="79"/>
      <c r="U79" s="117"/>
      <c r="V79" s="79"/>
    </row>
    <row r="80" spans="2:22" ht="16.5" outlineLevel="1">
      <c r="B80" s="82" t="str">
        <f t="shared" si="8"/>
        <v>INSTRUMENT_GRSS_INTRST_EXPNS_CCRR</v>
      </c>
      <c r="C80" s="90" t="s">
        <v>214</v>
      </c>
      <c r="D80" s="91" t="s">
        <v>54</v>
      </c>
      <c r="E80" s="92" t="s">
        <v>98</v>
      </c>
      <c r="F80" s="93"/>
      <c r="G80" s="93"/>
      <c r="H80" s="91"/>
      <c r="I80" s="91"/>
      <c r="J80" s="95" t="e">
        <f>SUMIF([1]Aux!B:B,Macro_Plano_2025_v1!B80,[1]Aux!I:I)+SUMIF([1]Aux!B:B,Macro_Plano_2025_v1!B80,[1]Aux!O:O)</f>
        <v>#VALUE!</v>
      </c>
      <c r="K80" s="69"/>
      <c r="L80" s="79"/>
      <c r="M80" s="79"/>
      <c r="N80" s="79"/>
      <c r="O80" s="79"/>
      <c r="P80" s="79"/>
      <c r="Q80" s="79"/>
      <c r="R80" s="122" t="e">
        <f t="shared" si="11"/>
        <v>#VALUE!</v>
      </c>
      <c r="S80" s="79"/>
      <c r="T80" s="79"/>
      <c r="U80" s="117"/>
      <c r="V80" s="79"/>
    </row>
    <row r="81" spans="2:22" ht="16.5" outlineLevel="1">
      <c r="B81" s="82" t="str">
        <f t="shared" si="8"/>
        <v>INSTRUMENT_GRSS_CMMSSN_INCM_CCRR</v>
      </c>
      <c r="C81" s="90" t="s">
        <v>215</v>
      </c>
      <c r="D81" s="91" t="s">
        <v>54</v>
      </c>
      <c r="E81" s="92" t="s">
        <v>99</v>
      </c>
      <c r="F81" s="93"/>
      <c r="G81" s="93"/>
      <c r="H81" s="91"/>
      <c r="I81" s="91"/>
      <c r="J81" s="95" t="e">
        <f>SUMIF([1]Aux!B:B,Macro_Plano_2025_v1!B81,[1]Aux!I:I)+SUMIF([1]Aux!B:B,Macro_Plano_2025_v1!B81,[1]Aux!O:O)</f>
        <v>#VALUE!</v>
      </c>
      <c r="K81" s="69"/>
      <c r="L81" s="79"/>
      <c r="M81" s="79"/>
      <c r="N81" s="79"/>
      <c r="O81" s="79"/>
      <c r="P81" s="79"/>
      <c r="Q81" s="79"/>
      <c r="R81" s="122" t="e">
        <f t="shared" si="11"/>
        <v>#VALUE!</v>
      </c>
      <c r="S81" s="79"/>
      <c r="T81" s="79"/>
      <c r="U81" s="117"/>
      <c r="V81" s="79"/>
    </row>
    <row r="82" spans="2:22" ht="16.5" outlineLevel="1">
      <c r="B82" s="82" t="str">
        <f t="shared" si="8"/>
        <v>INSTRUMENT_GRSS_CMMSSN_EXPNS_CCRR</v>
      </c>
      <c r="C82" s="90" t="s">
        <v>216</v>
      </c>
      <c r="D82" s="91" t="s">
        <v>54</v>
      </c>
      <c r="E82" s="92" t="s">
        <v>100</v>
      </c>
      <c r="F82" s="93"/>
      <c r="G82" s="93"/>
      <c r="H82" s="91"/>
      <c r="I82" s="91"/>
      <c r="J82" s="95" t="e">
        <f>SUMIF([1]Aux!B:B,Macro_Plano_2025_v1!B82,[1]Aux!I:I)+SUMIF([1]Aux!B:B,Macro_Plano_2025_v1!B82,[1]Aux!O:O)</f>
        <v>#VALUE!</v>
      </c>
      <c r="K82" s="69"/>
      <c r="L82" s="79"/>
      <c r="M82" s="79"/>
      <c r="N82" s="79"/>
      <c r="O82" s="79"/>
      <c r="P82" s="79"/>
      <c r="Q82" s="79"/>
      <c r="R82" s="122" t="e">
        <f t="shared" si="11"/>
        <v>#VALUE!</v>
      </c>
      <c r="S82" s="79"/>
      <c r="T82" s="79"/>
      <c r="U82" s="117"/>
      <c r="V82" s="79"/>
    </row>
    <row r="83" spans="2:22" ht="16.5" outlineLevel="1">
      <c r="B83" s="82" t="str">
        <f t="shared" si="8"/>
        <v>INSTRUMENT_GNS_FNNCL_TRNSCTN_EXCHNG_CCRR</v>
      </c>
      <c r="C83" s="90" t="s">
        <v>217</v>
      </c>
      <c r="D83" s="91" t="s">
        <v>54</v>
      </c>
      <c r="E83" s="92" t="s">
        <v>101</v>
      </c>
      <c r="F83" s="93"/>
      <c r="G83" s="93"/>
      <c r="H83" s="91"/>
      <c r="I83" s="91"/>
      <c r="J83" s="95" t="e">
        <f>SUMIF([1]Aux!B:B,Macro_Plano_2025_v1!B83,[1]Aux!I:I)+SUMIF([1]Aux!B:B,Macro_Plano_2025_v1!B83,[1]Aux!O:O)</f>
        <v>#VALUE!</v>
      </c>
      <c r="K83" s="69"/>
      <c r="L83" s="79"/>
      <c r="M83" s="79"/>
      <c r="N83" s="79"/>
      <c r="O83" s="79"/>
      <c r="P83" s="79"/>
      <c r="Q83" s="79"/>
      <c r="R83" s="122" t="e">
        <f t="shared" si="11"/>
        <v>#VALUE!</v>
      </c>
      <c r="S83" s="79"/>
      <c r="T83" s="79"/>
      <c r="U83" s="117"/>
      <c r="V83" s="79"/>
    </row>
    <row r="84" spans="2:22" ht="16.5" outlineLevel="1">
      <c r="B84" s="82" t="str">
        <f t="shared" si="8"/>
        <v>INSTRUMENT_BSNSS_AREA_CCRR</v>
      </c>
      <c r="C84" s="90" t="s">
        <v>218</v>
      </c>
      <c r="D84" s="91" t="s">
        <v>54</v>
      </c>
      <c r="E84" s="92" t="s">
        <v>63</v>
      </c>
      <c r="F84" s="93"/>
      <c r="G84" s="93"/>
      <c r="H84" s="91"/>
      <c r="I84" s="91"/>
      <c r="J84" s="95" t="e">
        <f>SUMIF([1]Aux!B:B,Macro_Plano_2025_v1!B84,[1]Aux!I:I)+SUMIF([1]Aux!B:B,Macro_Plano_2025_v1!B84,[1]Aux!O:O)</f>
        <v>#VALUE!</v>
      </c>
      <c r="K84" s="69"/>
      <c r="L84" s="79"/>
      <c r="M84" s="79"/>
      <c r="N84" s="79"/>
      <c r="O84" s="79"/>
      <c r="P84" s="79"/>
      <c r="Q84" s="79"/>
      <c r="R84" s="122" t="e">
        <f t="shared" si="11"/>
        <v>#VALUE!</v>
      </c>
      <c r="S84" s="79"/>
      <c r="T84" s="79"/>
      <c r="U84" s="117"/>
      <c r="V84" s="79"/>
    </row>
    <row r="85" spans="2:22" ht="16.5" outlineLevel="1">
      <c r="B85" s="82" t="str">
        <f t="shared" si="8"/>
        <v>INSTRUMENT_GRSS_CMMSSN_INCM_OFF_BLNC_CCRR</v>
      </c>
      <c r="C85" s="90" t="s">
        <v>219</v>
      </c>
      <c r="D85" s="91" t="s">
        <v>54</v>
      </c>
      <c r="E85" s="92" t="s">
        <v>102</v>
      </c>
      <c r="F85" s="93"/>
      <c r="G85" s="93"/>
      <c r="H85" s="91"/>
      <c r="I85" s="91"/>
      <c r="J85" s="95" t="e">
        <f>SUMIF([1]Aux!B:B,Macro_Plano_2025_v1!B85,[1]Aux!I:I)+SUMIF([1]Aux!B:B,Macro_Plano_2025_v1!B85,[1]Aux!O:O)</f>
        <v>#VALUE!</v>
      </c>
      <c r="K85" s="69"/>
      <c r="L85" s="79"/>
      <c r="M85" s="79"/>
      <c r="N85" s="79"/>
      <c r="O85" s="79"/>
      <c r="P85" s="79"/>
      <c r="Q85" s="79"/>
      <c r="R85" s="122" t="e">
        <f t="shared" si="11"/>
        <v>#VALUE!</v>
      </c>
      <c r="S85" s="79"/>
      <c r="T85" s="79"/>
      <c r="U85" s="117"/>
      <c r="V85" s="79"/>
    </row>
    <row r="86" spans="2:22" ht="16.5" outlineLevel="1">
      <c r="B86" s="82" t="str">
        <f t="shared" si="8"/>
        <v>INSTRUMENT_GRSS_CMMSSN_EXPNS_OFF_BLNC_CCRR</v>
      </c>
      <c r="C86" s="90" t="s">
        <v>220</v>
      </c>
      <c r="D86" s="91" t="s">
        <v>54</v>
      </c>
      <c r="E86" s="92" t="s">
        <v>103</v>
      </c>
      <c r="F86" s="93"/>
      <c r="G86" s="93"/>
      <c r="H86" s="91"/>
      <c r="I86" s="91"/>
      <c r="J86" s="95" t="e">
        <f>SUMIF([1]Aux!B:B,Macro_Plano_2025_v1!B86,[1]Aux!I:I)+SUMIF([1]Aux!B:B,Macro_Plano_2025_v1!B86,[1]Aux!O:O)</f>
        <v>#VALUE!</v>
      </c>
      <c r="K86" s="69"/>
      <c r="L86" s="79"/>
      <c r="M86" s="79"/>
      <c r="N86" s="79"/>
      <c r="O86" s="79"/>
      <c r="P86" s="79"/>
      <c r="Q86" s="79"/>
      <c r="R86" s="122" t="e">
        <f t="shared" si="11"/>
        <v>#VALUE!</v>
      </c>
      <c r="S86" s="79"/>
      <c r="T86" s="79"/>
      <c r="U86" s="117"/>
      <c r="V86" s="79"/>
    </row>
    <row r="87" spans="2:22" ht="16.5" outlineLevel="1">
      <c r="B87" s="82" t="str">
        <f t="shared" si="8"/>
        <v>INSTRUMENT_CNCLLD_INSTRMNT_STTS</v>
      </c>
      <c r="C87" s="83" t="s">
        <v>221</v>
      </c>
      <c r="D87" s="84" t="s">
        <v>54</v>
      </c>
      <c r="E87" s="85" t="s">
        <v>64</v>
      </c>
      <c r="F87" s="86"/>
      <c r="G87" s="86"/>
      <c r="H87" s="84"/>
      <c r="I87" s="84"/>
      <c r="J87" s="88" t="e">
        <f>SUMIF([1]Aux!B:B,Macro_Plano_2025_v1!B87,[1]Aux!I:I)+SUMIF([1]Aux!B:B,Macro_Plano_2025_v1!B87,[1]Aux!O:O)</f>
        <v>#VALUE!</v>
      </c>
      <c r="K87" s="69"/>
      <c r="L87" s="79"/>
      <c r="M87" s="79"/>
      <c r="N87" s="79"/>
      <c r="O87" s="79"/>
      <c r="P87" s="79"/>
      <c r="Q87" s="79"/>
      <c r="R87" s="79"/>
      <c r="S87" s="122" t="e">
        <f>J87/8</f>
        <v>#VALUE!</v>
      </c>
      <c r="T87" s="79"/>
      <c r="U87" s="117"/>
      <c r="V87" s="79"/>
    </row>
    <row r="88" spans="2:22" ht="16.5" outlineLevel="1">
      <c r="B88" s="82" t="str">
        <f t="shared" si="8"/>
        <v>INSTRUMENT_TYP_OFF_BLNC_PRDCT</v>
      </c>
      <c r="C88" s="90" t="s">
        <v>222</v>
      </c>
      <c r="D88" s="91" t="s">
        <v>54</v>
      </c>
      <c r="E88" s="92" t="s">
        <v>112</v>
      </c>
      <c r="F88" s="93"/>
      <c r="G88" s="93"/>
      <c r="H88" s="91"/>
      <c r="I88" s="91"/>
      <c r="J88" s="95" t="e">
        <f>SUMIF([1]Aux!B:B,Macro_Plano_2025_v1!B88,[1]Aux!I:I)+SUMIF([1]Aux!B:B,Macro_Plano_2025_v1!B88,[1]Aux!O:O)</f>
        <v>#VALUE!</v>
      </c>
      <c r="K88" s="69"/>
      <c r="L88" s="79"/>
      <c r="M88" s="79"/>
      <c r="N88" s="79"/>
      <c r="O88" s="79"/>
      <c r="P88" s="79"/>
      <c r="Q88" s="79"/>
      <c r="R88" s="79"/>
      <c r="S88" s="122" t="e">
        <f t="shared" ref="S88:S102" si="12">J88/8</f>
        <v>#VALUE!</v>
      </c>
      <c r="T88" s="79"/>
      <c r="U88" s="117"/>
      <c r="V88" s="79"/>
    </row>
    <row r="89" spans="2:22" ht="16.5" outlineLevel="1">
      <c r="B89" s="82" t="str">
        <f t="shared" si="8"/>
        <v>INSTR_PROTECTION_COD_SOC</v>
      </c>
      <c r="C89" s="90" t="s">
        <v>223</v>
      </c>
      <c r="D89" s="91" t="s">
        <v>67</v>
      </c>
      <c r="E89" s="92" t="s">
        <v>51</v>
      </c>
      <c r="F89" s="93"/>
      <c r="G89" s="93"/>
      <c r="H89" s="91"/>
      <c r="I89" s="91"/>
      <c r="J89" s="95" t="e">
        <f>SUMIF([1]Aux!B:B,Macro_Plano_2025_v1!B89,[1]Aux!I:I)+SUMIF([1]Aux!B:B,Macro_Plano_2025_v1!B89,[1]Aux!O:O)</f>
        <v>#VALUE!</v>
      </c>
      <c r="K89" s="69"/>
      <c r="L89" s="79"/>
      <c r="M89" s="79"/>
      <c r="N89" s="79"/>
      <c r="O89" s="79"/>
      <c r="P89" s="79"/>
      <c r="Q89" s="79"/>
      <c r="R89" s="79"/>
      <c r="S89" s="122" t="e">
        <f t="shared" si="12"/>
        <v>#VALUE!</v>
      </c>
      <c r="T89" s="79"/>
      <c r="U89" s="117"/>
      <c r="V89" s="79"/>
    </row>
    <row r="90" spans="2:22" ht="16.5" outlineLevel="1">
      <c r="B90" s="82" t="str">
        <f t="shared" si="8"/>
        <v>INSTR_PROTECTION_DT_RFRNC</v>
      </c>
      <c r="C90" s="90" t="s">
        <v>224</v>
      </c>
      <c r="D90" s="91" t="s">
        <v>67</v>
      </c>
      <c r="E90" s="92" t="s">
        <v>52</v>
      </c>
      <c r="F90" s="93"/>
      <c r="G90" s="93"/>
      <c r="H90" s="91"/>
      <c r="I90" s="91"/>
      <c r="J90" s="95" t="e">
        <f>SUMIF([1]Aux!B:B,Macro_Plano_2025_v1!B90,[1]Aux!I:I)+SUMIF([1]Aux!B:B,Macro_Plano_2025_v1!B90,[1]Aux!O:O)</f>
        <v>#VALUE!</v>
      </c>
      <c r="K90" s="69"/>
      <c r="L90" s="79"/>
      <c r="M90" s="79"/>
      <c r="N90" s="79"/>
      <c r="O90" s="79"/>
      <c r="P90" s="79"/>
      <c r="Q90" s="79"/>
      <c r="R90" s="79"/>
      <c r="S90" s="122" t="e">
        <f t="shared" si="12"/>
        <v>#VALUE!</v>
      </c>
      <c r="T90" s="79"/>
      <c r="U90" s="117"/>
      <c r="V90" s="79"/>
    </row>
    <row r="91" spans="2:22" ht="16.5" outlineLevel="1">
      <c r="B91" s="82" t="str">
        <f t="shared" si="8"/>
        <v>INSTR_PROTECTION_INSTRMNT_ID</v>
      </c>
      <c r="C91" s="90" t="s">
        <v>225</v>
      </c>
      <c r="D91" s="91" t="s">
        <v>67</v>
      </c>
      <c r="E91" s="92" t="s">
        <v>53</v>
      </c>
      <c r="F91" s="93"/>
      <c r="G91" s="93"/>
      <c r="H91" s="91"/>
      <c r="I91" s="91"/>
      <c r="J91" s="95" t="e">
        <f>SUMIF([1]Aux!B:B,Macro_Plano_2025_v1!B91,[1]Aux!I:I)+SUMIF([1]Aux!B:B,Macro_Plano_2025_v1!B91,[1]Aux!O:O)</f>
        <v>#VALUE!</v>
      </c>
      <c r="K91" s="69"/>
      <c r="L91" s="79"/>
      <c r="M91" s="79"/>
      <c r="N91" s="79"/>
      <c r="O91" s="79"/>
      <c r="P91" s="79"/>
      <c r="Q91" s="79"/>
      <c r="R91" s="79"/>
      <c r="S91" s="122" t="e">
        <f t="shared" si="12"/>
        <v>#VALUE!</v>
      </c>
      <c r="T91" s="79"/>
      <c r="U91" s="117"/>
      <c r="V91" s="79"/>
    </row>
    <row r="92" spans="2:22" ht="16.5" outlineLevel="1">
      <c r="B92" s="82" t="str">
        <f t="shared" si="8"/>
        <v>INSTR_PROTECTION_PRTCTN_ID</v>
      </c>
      <c r="C92" s="90" t="s">
        <v>226</v>
      </c>
      <c r="D92" s="91" t="s">
        <v>67</v>
      </c>
      <c r="E92" s="92" t="s">
        <v>113</v>
      </c>
      <c r="F92" s="93"/>
      <c r="G92" s="93"/>
      <c r="H92" s="91"/>
      <c r="I92" s="91"/>
      <c r="J92" s="95" t="e">
        <f>SUMIF([1]Aux!B:B,Macro_Plano_2025_v1!B92,[1]Aux!I:I)+SUMIF([1]Aux!B:B,Macro_Plano_2025_v1!B92,[1]Aux!O:O)</f>
        <v>#VALUE!</v>
      </c>
      <c r="K92" s="69"/>
      <c r="L92" s="79"/>
      <c r="M92" s="79"/>
      <c r="N92" s="79"/>
      <c r="O92" s="79"/>
      <c r="P92" s="79"/>
      <c r="Q92" s="79"/>
      <c r="R92" s="79"/>
      <c r="S92" s="122" t="e">
        <f t="shared" si="12"/>
        <v>#VALUE!</v>
      </c>
      <c r="T92" s="79"/>
      <c r="U92" s="117"/>
      <c r="V92" s="79"/>
    </row>
    <row r="93" spans="2:22" ht="16.5" outlineLevel="1">
      <c r="B93" s="82" t="str">
        <f t="shared" si="8"/>
        <v>INSTR_PROTECTION_TYP_RLTN</v>
      </c>
      <c r="C93" s="90" t="s">
        <v>227</v>
      </c>
      <c r="D93" s="91" t="s">
        <v>67</v>
      </c>
      <c r="E93" s="92" t="s">
        <v>117</v>
      </c>
      <c r="F93" s="93"/>
      <c r="G93" s="93"/>
      <c r="H93" s="91"/>
      <c r="I93" s="91"/>
      <c r="J93" s="95" t="e">
        <f>SUMIF([1]Aux!B:B,Macro_Plano_2025_v1!B93,[1]Aux!I:I)+SUMIF([1]Aux!B:B,Macro_Plano_2025_v1!B93,[1]Aux!O:O)</f>
        <v>#VALUE!</v>
      </c>
      <c r="K93" s="69"/>
      <c r="L93" s="79"/>
      <c r="M93" s="79"/>
      <c r="N93" s="79"/>
      <c r="O93" s="79"/>
      <c r="P93" s="79"/>
      <c r="Q93" s="79"/>
      <c r="R93" s="79"/>
      <c r="S93" s="122" t="e">
        <f t="shared" si="12"/>
        <v>#VALUE!</v>
      </c>
      <c r="T93" s="79"/>
      <c r="U93" s="117"/>
      <c r="V93" s="79"/>
    </row>
    <row r="94" spans="2:22" ht="16.5" outlineLevel="1">
      <c r="B94" s="82" t="str">
        <f t="shared" si="8"/>
        <v>PROTECTION_COD_SOC</v>
      </c>
      <c r="C94" s="90" t="s">
        <v>228</v>
      </c>
      <c r="D94" s="91" t="s">
        <v>104</v>
      </c>
      <c r="E94" s="92" t="s">
        <v>51</v>
      </c>
      <c r="F94" s="93"/>
      <c r="G94" s="93"/>
      <c r="H94" s="91"/>
      <c r="I94" s="91"/>
      <c r="J94" s="95" t="e">
        <f>SUMIF([1]Aux!B:B,Macro_Plano_2025_v1!B94,[1]Aux!I:I)+SUMIF([1]Aux!B:B,Macro_Plano_2025_v1!B94,[1]Aux!O:O)</f>
        <v>#VALUE!</v>
      </c>
      <c r="K94" s="69"/>
      <c r="L94" s="79"/>
      <c r="M94" s="79"/>
      <c r="N94" s="79"/>
      <c r="O94" s="79"/>
      <c r="P94" s="79"/>
      <c r="Q94" s="79"/>
      <c r="R94" s="79"/>
      <c r="S94" s="122" t="e">
        <f t="shared" si="12"/>
        <v>#VALUE!</v>
      </c>
      <c r="T94" s="79"/>
      <c r="U94" s="117"/>
      <c r="V94" s="79"/>
    </row>
    <row r="95" spans="2:22" ht="16.5" outlineLevel="1">
      <c r="B95" s="82" t="str">
        <f t="shared" si="8"/>
        <v>PROTECTION_DT_RFRNC</v>
      </c>
      <c r="C95" s="90" t="s">
        <v>229</v>
      </c>
      <c r="D95" s="91" t="s">
        <v>104</v>
      </c>
      <c r="E95" s="92" t="s">
        <v>52</v>
      </c>
      <c r="F95" s="93"/>
      <c r="G95" s="93"/>
      <c r="H95" s="91"/>
      <c r="I95" s="91"/>
      <c r="J95" s="95" t="e">
        <f>SUMIF([1]Aux!B:B,Macro_Plano_2025_v1!B95,[1]Aux!I:I)+SUMIF([1]Aux!B:B,Macro_Plano_2025_v1!B95,[1]Aux!O:O)</f>
        <v>#VALUE!</v>
      </c>
      <c r="K95" s="69"/>
      <c r="L95" s="79"/>
      <c r="M95" s="79"/>
      <c r="N95" s="79"/>
      <c r="O95" s="79"/>
      <c r="P95" s="79"/>
      <c r="Q95" s="79"/>
      <c r="R95" s="79"/>
      <c r="S95" s="122" t="e">
        <f t="shared" si="12"/>
        <v>#VALUE!</v>
      </c>
      <c r="T95" s="79"/>
      <c r="U95" s="117"/>
      <c r="V95" s="79"/>
    </row>
    <row r="96" spans="2:22" ht="16.5" outlineLevel="1">
      <c r="B96" s="82" t="str">
        <f t="shared" si="8"/>
        <v>PROTECTION_PRTCTN_ID</v>
      </c>
      <c r="C96" s="90" t="s">
        <v>230</v>
      </c>
      <c r="D96" s="91" t="s">
        <v>104</v>
      </c>
      <c r="E96" s="92" t="s">
        <v>113</v>
      </c>
      <c r="F96" s="93"/>
      <c r="G96" s="93"/>
      <c r="H96" s="91"/>
      <c r="I96" s="91"/>
      <c r="J96" s="95" t="e">
        <f>SUMIF([1]Aux!B:B,Macro_Plano_2025_v1!B96,[1]Aux!I:I)+SUMIF([1]Aux!B:B,Macro_Plano_2025_v1!B96,[1]Aux!O:O)</f>
        <v>#VALUE!</v>
      </c>
      <c r="K96" s="69"/>
      <c r="L96" s="79"/>
      <c r="M96" s="79"/>
      <c r="N96" s="79"/>
      <c r="O96" s="79"/>
      <c r="P96" s="79"/>
      <c r="Q96" s="79"/>
      <c r="R96" s="79"/>
      <c r="S96" s="122" t="e">
        <f>J96/8</f>
        <v>#VALUE!</v>
      </c>
      <c r="T96" s="79"/>
      <c r="U96" s="117"/>
      <c r="V96" s="79"/>
    </row>
    <row r="97" spans="2:22" ht="16.5" outlineLevel="1">
      <c r="B97" s="82" t="str">
        <f t="shared" si="8"/>
        <v>PROTECTION_TYP_PRTCTN</v>
      </c>
      <c r="C97" s="90" t="s">
        <v>231</v>
      </c>
      <c r="D97" s="91" t="s">
        <v>104</v>
      </c>
      <c r="E97" s="92" t="s">
        <v>114</v>
      </c>
      <c r="F97" s="93"/>
      <c r="G97" s="93"/>
      <c r="H97" s="91"/>
      <c r="I97" s="91"/>
      <c r="J97" s="95" t="e">
        <f>SUMIF([1]Aux!B:B,Macro_Plano_2025_v1!B97,[1]Aux!I:I)+SUMIF([1]Aux!B:B,Macro_Plano_2025_v1!B97,[1]Aux!O:O)</f>
        <v>#VALUE!</v>
      </c>
      <c r="K97" s="69"/>
      <c r="L97" s="79"/>
      <c r="M97" s="79"/>
      <c r="N97" s="79"/>
      <c r="O97" s="79"/>
      <c r="P97" s="79"/>
      <c r="Q97" s="79"/>
      <c r="R97" s="79"/>
      <c r="S97" s="122" t="e">
        <f t="shared" si="12"/>
        <v>#VALUE!</v>
      </c>
      <c r="T97" s="79"/>
      <c r="U97" s="117"/>
      <c r="V97" s="79"/>
    </row>
    <row r="98" spans="2:22" ht="16.5" outlineLevel="1">
      <c r="B98" s="82" t="str">
        <f t="shared" si="8"/>
        <v>PROTECTION_PRTCTN_VL</v>
      </c>
      <c r="C98" s="90" t="s">
        <v>232</v>
      </c>
      <c r="D98" s="91" t="s">
        <v>104</v>
      </c>
      <c r="E98" s="92" t="s">
        <v>115</v>
      </c>
      <c r="F98" s="93"/>
      <c r="G98" s="93"/>
      <c r="H98" s="91"/>
      <c r="I98" s="91"/>
      <c r="J98" s="95" t="e">
        <f>SUMIF([1]Aux!B:B,Macro_Plano_2025_v1!B98,[1]Aux!I:I)+SUMIF([1]Aux!B:B,Macro_Plano_2025_v1!B98,[1]Aux!O:O)</f>
        <v>#VALUE!</v>
      </c>
      <c r="K98" s="69"/>
      <c r="L98" s="79"/>
      <c r="M98" s="79"/>
      <c r="N98" s="79"/>
      <c r="O98" s="79"/>
      <c r="P98" s="79"/>
      <c r="Q98" s="79"/>
      <c r="R98" s="79"/>
      <c r="S98" s="122" t="e">
        <f t="shared" si="12"/>
        <v>#VALUE!</v>
      </c>
      <c r="T98" s="79"/>
      <c r="U98" s="117"/>
      <c r="V98" s="79"/>
    </row>
    <row r="99" spans="2:22" ht="16.5" outlineLevel="1">
      <c r="B99" s="82" t="str">
        <f t="shared" si="8"/>
        <v>PROTECTION_FLG_ELCTRC_VHCL</v>
      </c>
      <c r="C99" s="90" t="s">
        <v>233</v>
      </c>
      <c r="D99" s="91" t="s">
        <v>104</v>
      </c>
      <c r="E99" s="92" t="s">
        <v>118</v>
      </c>
      <c r="F99" s="93"/>
      <c r="G99" s="93"/>
      <c r="H99" s="91"/>
      <c r="I99" s="91"/>
      <c r="J99" s="95" t="e">
        <f>SUMIF([1]Aux!B:B,Macro_Plano_2025_v1!B99,[1]Aux!I:I)+SUMIF([1]Aux!B:B,Macro_Plano_2025_v1!B99,[1]Aux!O:O)</f>
        <v>#VALUE!</v>
      </c>
      <c r="K99" s="69"/>
      <c r="L99" s="79"/>
      <c r="M99" s="79"/>
      <c r="N99" s="79"/>
      <c r="O99" s="79"/>
      <c r="P99" s="79"/>
      <c r="Q99" s="79"/>
      <c r="R99" s="79"/>
      <c r="S99" s="122" t="e">
        <f t="shared" si="12"/>
        <v>#VALUE!</v>
      </c>
      <c r="T99" s="79"/>
      <c r="U99" s="117"/>
      <c r="V99" s="79"/>
    </row>
    <row r="100" spans="2:22" ht="16.5" outlineLevel="1">
      <c r="B100" s="82" t="str">
        <f t="shared" si="8"/>
        <v>INSTR_ACTIVITY_COD_SOC</v>
      </c>
      <c r="C100" s="90" t="s">
        <v>234</v>
      </c>
      <c r="D100" s="91" t="s">
        <v>188</v>
      </c>
      <c r="E100" s="92" t="s">
        <v>51</v>
      </c>
      <c r="F100" s="93"/>
      <c r="G100" s="93"/>
      <c r="H100" s="91"/>
      <c r="I100" s="91"/>
      <c r="J100" s="95" t="e">
        <f>SUMIF([1]Aux!B:B,Macro_Plano_2025_v1!B100,[1]Aux!I:I)+SUMIF([1]Aux!B:B,Macro_Plano_2025_v1!B100,[1]Aux!O:O)</f>
        <v>#VALUE!</v>
      </c>
      <c r="K100" s="69"/>
      <c r="L100" s="79"/>
      <c r="M100" s="79"/>
      <c r="N100" s="79"/>
      <c r="O100" s="79"/>
      <c r="P100" s="79"/>
      <c r="Q100" s="79"/>
      <c r="R100" s="79"/>
      <c r="S100" s="122" t="e">
        <f t="shared" si="12"/>
        <v>#VALUE!</v>
      </c>
      <c r="T100" s="79"/>
      <c r="U100" s="117"/>
      <c r="V100" s="79"/>
    </row>
    <row r="101" spans="2:22" ht="16.5" outlineLevel="1">
      <c r="B101" s="82" t="str">
        <f t="shared" si="8"/>
        <v>INSTR_ACTIVITY_DT_RFRNC</v>
      </c>
      <c r="C101" s="124" t="s">
        <v>235</v>
      </c>
      <c r="D101" s="125" t="s">
        <v>188</v>
      </c>
      <c r="E101" s="126" t="s">
        <v>52</v>
      </c>
      <c r="F101" s="68"/>
      <c r="G101" s="68"/>
      <c r="H101" s="125"/>
      <c r="I101" s="125"/>
      <c r="J101" s="65" t="e">
        <f>SUMIF([1]Aux!B:B,Macro_Plano_2025_v1!B101,[1]Aux!I:I)+SUMIF([1]Aux!B:B,Macro_Plano_2025_v1!B101,[1]Aux!O:O)</f>
        <v>#VALUE!</v>
      </c>
      <c r="K101" s="69"/>
      <c r="L101" s="79"/>
      <c r="M101" s="79"/>
      <c r="N101" s="79"/>
      <c r="O101" s="79"/>
      <c r="P101" s="79"/>
      <c r="Q101" s="79"/>
      <c r="R101" s="79"/>
      <c r="S101" s="122" t="e">
        <f>J101/8</f>
        <v>#VALUE!</v>
      </c>
      <c r="T101" s="79"/>
      <c r="U101" s="117"/>
      <c r="V101" s="79"/>
    </row>
    <row r="102" spans="2:22" ht="16.5" outlineLevel="1">
      <c r="B102" s="82" t="str">
        <f t="shared" si="8"/>
        <v>INSTR_ACTIVITY_INSTRMNT_ID</v>
      </c>
      <c r="C102" s="83" t="s">
        <v>236</v>
      </c>
      <c r="D102" s="84" t="s">
        <v>188</v>
      </c>
      <c r="E102" s="85" t="s">
        <v>53</v>
      </c>
      <c r="F102" s="86"/>
      <c r="G102" s="86"/>
      <c r="H102" s="84"/>
      <c r="I102" s="84"/>
      <c r="J102" s="88" t="e">
        <f>SUMIF([1]Aux!B:B,Macro_Plano_2025_v1!B102,[1]Aux!I:I)+SUMIF([1]Aux!B:B,Macro_Plano_2025_v1!B102,[1]Aux!O:O)</f>
        <v>#VALUE!</v>
      </c>
      <c r="K102" s="69"/>
      <c r="L102" s="79"/>
      <c r="M102" s="79"/>
      <c r="N102" s="79"/>
      <c r="O102" s="79"/>
      <c r="P102" s="79"/>
      <c r="Q102" s="79"/>
      <c r="R102" s="79"/>
      <c r="S102" s="122" t="e">
        <f t="shared" si="12"/>
        <v>#VALUE!</v>
      </c>
      <c r="T102" s="79"/>
      <c r="U102" s="117"/>
      <c r="V102" s="79"/>
    </row>
    <row r="103" spans="2:22" ht="16.5" outlineLevel="1">
      <c r="B103" s="82" t="str">
        <f t="shared" si="8"/>
        <v>INSTR_ACTIVITY_SSTNBL_CTGRY</v>
      </c>
      <c r="C103" s="90" t="s">
        <v>237</v>
      </c>
      <c r="D103" s="91" t="s">
        <v>188</v>
      </c>
      <c r="E103" s="92" t="s">
        <v>59</v>
      </c>
      <c r="F103" s="93"/>
      <c r="G103" s="93"/>
      <c r="H103" s="91"/>
      <c r="I103" s="91"/>
      <c r="J103" s="95" t="e">
        <f>SUMIF([1]Aux!B:B,Macro_Plano_2025_v1!B103,[1]Aux!I:I)+SUMIF([1]Aux!B:B,Macro_Plano_2025_v1!B103,[1]Aux!O:O)</f>
        <v>#VALUE!</v>
      </c>
      <c r="K103" s="69"/>
      <c r="L103" s="79"/>
      <c r="M103" s="79"/>
      <c r="N103" s="79"/>
      <c r="O103" s="79"/>
      <c r="P103" s="79"/>
      <c r="Q103" s="79"/>
      <c r="R103" s="79"/>
      <c r="S103" s="122" t="e">
        <f>S60-SUM(S87:S102)</f>
        <v>#VALUE!</v>
      </c>
      <c r="T103" s="122" t="e">
        <f>(J103/8)-S103</f>
        <v>#VALUE!</v>
      </c>
      <c r="U103" s="117"/>
      <c r="V103" s="79"/>
    </row>
    <row r="104" spans="2:22" ht="16.5" outlineLevel="1">
      <c r="B104" s="82" t="str">
        <f t="shared" si="8"/>
        <v>INSTR_ACTIVITY_PRCNTG_ACTVTY</v>
      </c>
      <c r="C104" s="90" t="s">
        <v>238</v>
      </c>
      <c r="D104" s="91" t="s">
        <v>188</v>
      </c>
      <c r="E104" s="92" t="s">
        <v>116</v>
      </c>
      <c r="F104" s="93"/>
      <c r="G104" s="93"/>
      <c r="H104" s="91"/>
      <c r="I104" s="91"/>
      <c r="J104" s="95" t="e">
        <f>SUMIF([1]Aux!B:B,Macro_Plano_2025_v1!B104,[1]Aux!I:I)+SUMIF([1]Aux!B:B,Macro_Plano_2025_v1!B104,[1]Aux!O:O)</f>
        <v>#VALUE!</v>
      </c>
      <c r="K104" s="69"/>
      <c r="L104" s="79"/>
      <c r="M104" s="79"/>
      <c r="N104" s="79"/>
      <c r="O104" s="79"/>
      <c r="P104" s="79"/>
      <c r="Q104" s="79"/>
      <c r="R104" s="79"/>
      <c r="S104" s="79"/>
      <c r="T104" s="122" t="e">
        <f>J104/8</f>
        <v>#VALUE!</v>
      </c>
      <c r="U104" s="117"/>
      <c r="V104" s="79"/>
    </row>
    <row r="105" spans="2:22" ht="16.5" outlineLevel="1">
      <c r="B105" s="82" t="str">
        <f t="shared" si="8"/>
        <v>INSTR_ACTIVITY_SSTNBL_INDCTR</v>
      </c>
      <c r="C105" s="90" t="s">
        <v>239</v>
      </c>
      <c r="D105" s="91" t="s">
        <v>188</v>
      </c>
      <c r="E105" s="92" t="s">
        <v>58</v>
      </c>
      <c r="F105" s="93"/>
      <c r="G105" s="93"/>
      <c r="H105" s="91"/>
      <c r="I105" s="91"/>
      <c r="J105" s="95" t="e">
        <f>SUMIF([1]Aux!B:B,Macro_Plano_2025_v1!B105,[1]Aux!I:I)+SUMIF([1]Aux!B:B,Macro_Plano_2025_v1!B105,[1]Aux!O:O)</f>
        <v>#VALUE!</v>
      </c>
      <c r="K105" s="69"/>
      <c r="L105" s="79"/>
      <c r="M105" s="79"/>
      <c r="N105" s="79"/>
      <c r="O105" s="79"/>
      <c r="P105" s="79"/>
      <c r="Q105" s="79"/>
      <c r="R105" s="79"/>
      <c r="S105" s="79"/>
      <c r="T105" s="122" t="e">
        <f>J105/8</f>
        <v>#VALUE!</v>
      </c>
      <c r="U105" s="117"/>
      <c r="V105" s="79"/>
    </row>
    <row r="106" spans="2:22" ht="16.5">
      <c r="C106" s="118" t="s">
        <v>240</v>
      </c>
      <c r="D106" s="118"/>
      <c r="E106" s="127" t="s">
        <v>22</v>
      </c>
      <c r="F106" s="93"/>
      <c r="G106" s="93"/>
      <c r="H106" s="121"/>
      <c r="I106" s="121"/>
      <c r="J106" s="121">
        <v>76.400000000000006</v>
      </c>
      <c r="K106" s="69"/>
      <c r="L106" s="79"/>
      <c r="M106" s="79"/>
      <c r="N106" s="79"/>
      <c r="O106" s="79"/>
      <c r="P106" s="79"/>
      <c r="Q106" s="79"/>
      <c r="R106" s="79"/>
      <c r="S106" s="79"/>
      <c r="T106" s="79">
        <v>7.125</v>
      </c>
      <c r="U106" s="117">
        <v>2.4249999999999998</v>
      </c>
      <c r="V106" s="79"/>
    </row>
    <row r="107" spans="2:22" ht="3" customHeight="1">
      <c r="C107" s="105"/>
      <c r="D107" s="105"/>
      <c r="E107" s="73"/>
      <c r="F107" s="74"/>
      <c r="G107" s="74"/>
      <c r="H107" s="75"/>
      <c r="I107" s="75"/>
      <c r="J107" s="75"/>
      <c r="K107" s="69"/>
      <c r="L107" s="81"/>
      <c r="M107" s="81"/>
      <c r="N107" s="81"/>
      <c r="O107" s="81"/>
      <c r="P107" s="81"/>
      <c r="Q107" s="81"/>
      <c r="R107" s="81"/>
      <c r="S107" s="81"/>
      <c r="T107" s="81"/>
      <c r="U107" s="128"/>
      <c r="V107" s="81"/>
    </row>
    <row r="108" spans="2:22">
      <c r="C108" s="6" t="s">
        <v>241</v>
      </c>
      <c r="D108" s="102" t="s">
        <v>34</v>
      </c>
      <c r="E108" s="63"/>
      <c r="F108" s="68"/>
      <c r="G108" s="68"/>
      <c r="H108" s="64"/>
      <c r="I108" s="64"/>
      <c r="J108" s="129">
        <v>80</v>
      </c>
      <c r="K108" s="69"/>
      <c r="L108" s="79"/>
      <c r="M108" s="79"/>
      <c r="N108" s="79"/>
      <c r="O108" s="79"/>
      <c r="P108" s="79"/>
      <c r="Q108" s="79"/>
      <c r="R108" s="79"/>
      <c r="S108" s="79"/>
      <c r="T108" s="79"/>
      <c r="U108" s="117">
        <v>7.5750000000000002</v>
      </c>
      <c r="V108" s="79">
        <v>2.4249999999999998</v>
      </c>
    </row>
    <row r="109" spans="2:22">
      <c r="D109" s="1"/>
      <c r="E109" s="1"/>
      <c r="F109" s="1"/>
      <c r="H109" s="130"/>
      <c r="I109" s="130"/>
      <c r="K109" s="69"/>
    </row>
    <row r="110" spans="2:22" ht="16.5">
      <c r="D110" s="68"/>
      <c r="E110" s="63"/>
      <c r="F110" s="63"/>
      <c r="G110" s="63"/>
      <c r="H110" s="64"/>
      <c r="I110" s="64"/>
      <c r="J110" s="63"/>
      <c r="K110" s="69"/>
    </row>
    <row r="111" spans="2:22" ht="16.5">
      <c r="D111" s="68"/>
      <c r="E111" s="131"/>
      <c r="F111" s="63"/>
      <c r="G111" s="63"/>
      <c r="H111" s="64"/>
      <c r="I111" s="64"/>
      <c r="J111" s="63"/>
      <c r="K111" s="69"/>
    </row>
    <row r="112" spans="2:22" ht="16.5">
      <c r="D112" s="68"/>
      <c r="E112" s="131"/>
      <c r="F112" s="63"/>
      <c r="G112" s="63"/>
      <c r="H112" s="64"/>
      <c r="I112" s="64"/>
      <c r="J112" s="63"/>
      <c r="K112" s="69"/>
    </row>
    <row r="113" spans="11:11">
      <c r="K113" s="69"/>
    </row>
    <row r="114" spans="11:11">
      <c r="K114" s="69"/>
    </row>
  </sheetData>
  <mergeCells count="1">
    <mergeCell ref="U8:V8"/>
  </mergeCells>
  <conditionalFormatting sqref="L13:V17">
    <cfRule type="cellIs" dxfId="10" priority="7" operator="greaterThan">
      <formula>1</formula>
    </cfRule>
  </conditionalFormatting>
  <conditionalFormatting sqref="L18:V40">
    <cfRule type="containsBlanks" dxfId="9" priority="5">
      <formula>LEN(TRIM(L18))=0</formula>
    </cfRule>
    <cfRule type="cellIs" dxfId="8" priority="6" operator="between">
      <formula>0</formula>
      <formula>1</formula>
    </cfRule>
  </conditionalFormatting>
  <conditionalFormatting sqref="L43:V56">
    <cfRule type="containsBlanks" dxfId="7" priority="1">
      <formula>LEN(TRIM(L43))=0</formula>
    </cfRule>
    <cfRule type="cellIs" dxfId="6" priority="2" operator="between">
      <formula>0</formula>
      <formula>1</formula>
    </cfRule>
  </conditionalFormatting>
  <conditionalFormatting sqref="L59:V60">
    <cfRule type="cellIs" dxfId="5" priority="4" operator="greaterThan">
      <formula>1</formula>
    </cfRule>
  </conditionalFormatting>
  <conditionalFormatting sqref="L106:V108">
    <cfRule type="cellIs" dxfId="4" priority="3" operator="greaterThan">
      <formula>1</formula>
    </cfRule>
  </conditionalFormatting>
  <dataValidations count="1">
    <dataValidation type="list" allowBlank="1" showInputMessage="1" showErrorMessage="1" sqref="G13:G108" xr:uid="{120D5D10-64CB-4BF8-96E6-A7C4FFF2D17C}">
      <formula1>"Done, WIP, To Start"</formula1>
    </dataValidation>
  </dataValidations>
  <pageMargins left="0.7" right="0.7" top="0.75" bottom="0.75" header="0.3" footer="0.3"/>
  <pageSetup paperSize="9" orientation="portrait" r:id="rId1"/>
  <headerFooter>
    <oddHeader>&amp;L&amp;"Calibri"&amp;10&amp;K000000Confidential&amp;1#_x000D_&amp;"Calibri"&amp;11&amp;K000000</oddHead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48EF8-84DB-4C00-A40A-4EFB32ACD572}">
  <dimension ref="A4:N35"/>
  <sheetViews>
    <sheetView showGridLines="0" topLeftCell="A20" zoomScale="90" zoomScaleNormal="90" workbookViewId="0">
      <selection activeCell="C38" sqref="C38"/>
    </sheetView>
  </sheetViews>
  <sheetFormatPr defaultColWidth="0" defaultRowHeight="14.5"/>
  <cols>
    <col min="1" max="1" width="3.58203125" style="32" customWidth="1"/>
    <col min="2" max="2" width="42.58203125" style="32" bestFit="1" customWidth="1"/>
    <col min="3" max="3" width="66.58203125" style="32" bestFit="1" customWidth="1"/>
    <col min="4" max="4" width="12" style="32" bestFit="1" customWidth="1"/>
    <col min="5" max="5" width="3.58203125" style="32" customWidth="1"/>
    <col min="6" max="14" width="0" style="32" hidden="1" customWidth="1"/>
    <col min="15" max="16384" width="9" style="32" hidden="1"/>
  </cols>
  <sheetData>
    <row r="4" spans="1:5" ht="5.15" customHeight="1">
      <c r="A4" s="169"/>
      <c r="B4" s="169"/>
      <c r="C4" s="169"/>
      <c r="D4" s="169"/>
      <c r="E4" s="169"/>
    </row>
    <row r="7" spans="1:5">
      <c r="B7" s="132" t="s">
        <v>123</v>
      </c>
      <c r="C7" s="132" t="s">
        <v>105</v>
      </c>
      <c r="D7" s="134"/>
    </row>
    <row r="8" spans="1:5">
      <c r="B8" s="135" t="s">
        <v>19</v>
      </c>
      <c r="C8" s="136" t="s">
        <v>124</v>
      </c>
      <c r="D8" s="134"/>
    </row>
    <row r="9" spans="1:5">
      <c r="B9" s="135" t="s">
        <v>21</v>
      </c>
      <c r="C9" s="136" t="s">
        <v>125</v>
      </c>
      <c r="D9" s="134"/>
    </row>
    <row r="10" spans="1:5">
      <c r="B10" s="134"/>
      <c r="C10" s="134"/>
      <c r="D10" s="134"/>
    </row>
    <row r="11" spans="1:5">
      <c r="B11" s="132" t="s">
        <v>120</v>
      </c>
      <c r="C11" s="132" t="s">
        <v>105</v>
      </c>
      <c r="D11" s="132" t="s">
        <v>127</v>
      </c>
    </row>
    <row r="12" spans="1:5">
      <c r="B12" s="137" t="s">
        <v>119</v>
      </c>
      <c r="C12" s="136" t="s">
        <v>126</v>
      </c>
      <c r="D12" s="136">
        <v>25</v>
      </c>
    </row>
    <row r="13" spans="1:5">
      <c r="B13" s="135" t="s">
        <v>128</v>
      </c>
      <c r="C13" s="136" t="s">
        <v>129</v>
      </c>
      <c r="D13" s="136"/>
    </row>
    <row r="14" spans="1:5">
      <c r="B14" s="135" t="s">
        <v>247</v>
      </c>
      <c r="C14" s="136" t="s">
        <v>131</v>
      </c>
      <c r="D14" s="136"/>
    </row>
    <row r="15" spans="1:5">
      <c r="B15" s="135" t="s">
        <v>130</v>
      </c>
      <c r="C15" s="136" t="s">
        <v>248</v>
      </c>
      <c r="D15" s="136"/>
    </row>
    <row r="16" spans="1:5">
      <c r="B16" s="134"/>
      <c r="C16" s="134"/>
      <c r="D16" s="134"/>
    </row>
    <row r="17" spans="2:4">
      <c r="B17" s="156" t="s">
        <v>264</v>
      </c>
      <c r="C17" s="157"/>
      <c r="D17" s="157"/>
    </row>
    <row r="18" spans="2:4" ht="6.9" customHeight="1">
      <c r="B18" s="134"/>
      <c r="C18" s="134"/>
      <c r="D18" s="134"/>
    </row>
    <row r="19" spans="2:4">
      <c r="B19" s="133" t="s">
        <v>5</v>
      </c>
      <c r="C19" s="132" t="s">
        <v>105</v>
      </c>
      <c r="D19" s="132" t="s">
        <v>50</v>
      </c>
    </row>
    <row r="20" spans="2:4">
      <c r="B20" s="152" t="s">
        <v>39</v>
      </c>
      <c r="C20" s="136" t="s">
        <v>122</v>
      </c>
      <c r="D20" s="136" t="s">
        <v>15</v>
      </c>
    </row>
    <row r="21" spans="2:4">
      <c r="B21" s="168" t="s">
        <v>262</v>
      </c>
      <c r="C21" s="136" t="s">
        <v>263</v>
      </c>
      <c r="D21" s="136" t="s">
        <v>15</v>
      </c>
    </row>
    <row r="22" spans="2:4">
      <c r="B22" s="150" t="s">
        <v>266</v>
      </c>
      <c r="C22" s="136" t="s">
        <v>261</v>
      </c>
      <c r="D22" s="136" t="s">
        <v>15</v>
      </c>
    </row>
    <row r="23" spans="2:4">
      <c r="B23" s="158" t="s">
        <v>267</v>
      </c>
      <c r="C23" s="136" t="s">
        <v>265</v>
      </c>
      <c r="D23" s="136" t="s">
        <v>121</v>
      </c>
    </row>
    <row r="24" spans="2:4">
      <c r="B24" s="139" t="s">
        <v>268</v>
      </c>
      <c r="C24" s="136" t="s">
        <v>246</v>
      </c>
      <c r="D24" s="136" t="s">
        <v>132</v>
      </c>
    </row>
    <row r="25" spans="2:4">
      <c r="B25" s="153" t="s">
        <v>274</v>
      </c>
      <c r="C25" s="136" t="s">
        <v>244</v>
      </c>
      <c r="D25" s="136" t="s">
        <v>121</v>
      </c>
    </row>
    <row r="26" spans="2:4">
      <c r="B26" s="134"/>
      <c r="C26" s="134"/>
      <c r="D26" s="134"/>
    </row>
    <row r="27" spans="2:4">
      <c r="B27" s="156" t="s">
        <v>260</v>
      </c>
      <c r="C27" s="157"/>
      <c r="D27" s="157"/>
    </row>
    <row r="28" spans="2:4" ht="6.9" customHeight="1">
      <c r="B28" s="134"/>
      <c r="C28" s="134"/>
      <c r="D28" s="134"/>
    </row>
    <row r="29" spans="2:4">
      <c r="B29" s="133" t="s">
        <v>5</v>
      </c>
      <c r="C29" s="132" t="s">
        <v>105</v>
      </c>
      <c r="D29" s="132" t="s">
        <v>50</v>
      </c>
    </row>
    <row r="30" spans="2:4">
      <c r="B30" s="152" t="s">
        <v>39</v>
      </c>
      <c r="C30" s="136" t="s">
        <v>122</v>
      </c>
      <c r="D30" s="136" t="s">
        <v>15</v>
      </c>
    </row>
    <row r="31" spans="2:4">
      <c r="B31" s="150" t="s">
        <v>40</v>
      </c>
      <c r="C31" s="136" t="s">
        <v>242</v>
      </c>
      <c r="D31" s="136" t="s">
        <v>15</v>
      </c>
    </row>
    <row r="32" spans="2:4">
      <c r="B32" s="138" t="s">
        <v>341</v>
      </c>
      <c r="C32" s="136" t="s">
        <v>243</v>
      </c>
      <c r="D32" s="136" t="s">
        <v>121</v>
      </c>
    </row>
    <row r="33" spans="2:4">
      <c r="B33" s="151" t="s">
        <v>342</v>
      </c>
      <c r="C33" s="136" t="s">
        <v>245</v>
      </c>
      <c r="D33" s="136" t="s">
        <v>249</v>
      </c>
    </row>
    <row r="34" spans="2:4">
      <c r="B34" s="139" t="s">
        <v>268</v>
      </c>
      <c r="C34" s="136" t="s">
        <v>246</v>
      </c>
      <c r="D34" s="136" t="s">
        <v>132</v>
      </c>
    </row>
    <row r="35" spans="2:4">
      <c r="B35" s="153" t="s">
        <v>274</v>
      </c>
      <c r="C35" s="136" t="s">
        <v>244</v>
      </c>
      <c r="D35" s="136" t="s">
        <v>121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1B86C-4509-4D90-842A-4ED5D94F51EB}">
  <dimension ref="B2:I56"/>
  <sheetViews>
    <sheetView topLeftCell="A11" workbookViewId="0">
      <selection activeCell="D44" sqref="D44"/>
    </sheetView>
  </sheetViews>
  <sheetFormatPr defaultColWidth="9" defaultRowHeight="14.5"/>
  <cols>
    <col min="1" max="1" width="3.58203125" style="32" customWidth="1"/>
    <col min="2" max="2" width="31.9140625" style="32" bestFit="1" customWidth="1"/>
    <col min="3" max="3" width="29.6640625" style="32" bestFit="1" customWidth="1"/>
    <col min="4" max="4" width="10.33203125" style="32" bestFit="1" customWidth="1"/>
    <col min="5" max="5" width="9.6640625" style="32" bestFit="1" customWidth="1"/>
    <col min="6" max="6" width="11.6640625" style="32" bestFit="1" customWidth="1"/>
    <col min="7" max="7" width="11" style="32" bestFit="1" customWidth="1"/>
    <col min="8" max="8" width="11.4140625" style="32" bestFit="1" customWidth="1"/>
    <col min="9" max="9" width="11" style="32" bestFit="1" customWidth="1"/>
    <col min="10" max="16384" width="9" style="32"/>
  </cols>
  <sheetData>
    <row r="2" spans="2:9">
      <c r="B2" s="301" t="s">
        <v>120</v>
      </c>
      <c r="C2" s="32" t="s">
        <v>119</v>
      </c>
    </row>
    <row r="4" spans="2:9">
      <c r="B4" s="301" t="s">
        <v>48</v>
      </c>
      <c r="C4" s="32" t="s">
        <v>256</v>
      </c>
    </row>
    <row r="5" spans="2:9">
      <c r="B5" s="302" t="s">
        <v>39</v>
      </c>
      <c r="C5" s="32">
        <v>3</v>
      </c>
    </row>
    <row r="6" spans="2:9">
      <c r="B6" s="302" t="s">
        <v>266</v>
      </c>
      <c r="C6" s="32">
        <v>35</v>
      </c>
    </row>
    <row r="7" spans="2:9">
      <c r="B7" s="302" t="s">
        <v>46</v>
      </c>
      <c r="C7" s="32">
        <v>38</v>
      </c>
    </row>
    <row r="8" spans="2:9">
      <c r="B8"/>
      <c r="C8"/>
    </row>
    <row r="9" spans="2:9">
      <c r="B9"/>
      <c r="C9"/>
    </row>
    <row r="10" spans="2:9">
      <c r="B10"/>
      <c r="C10"/>
    </row>
    <row r="11" spans="2:9">
      <c r="B11"/>
      <c r="C11"/>
    </row>
    <row r="12" spans="2:9">
      <c r="B12" s="301" t="s">
        <v>120</v>
      </c>
      <c r="C12" s="32" t="s">
        <v>119</v>
      </c>
    </row>
    <row r="13" spans="2:9">
      <c r="B13" s="182"/>
      <c r="C13" s="181"/>
    </row>
    <row r="14" spans="2:9">
      <c r="B14" s="301" t="s">
        <v>256</v>
      </c>
      <c r="C14" s="301" t="s">
        <v>47</v>
      </c>
      <c r="F14"/>
      <c r="G14"/>
      <c r="H14"/>
      <c r="I14"/>
    </row>
    <row r="15" spans="2:9">
      <c r="B15" s="301" t="s">
        <v>48</v>
      </c>
      <c r="C15" s="32" t="s">
        <v>39</v>
      </c>
      <c r="D15" s="32" t="s">
        <v>266</v>
      </c>
      <c r="E15" s="32" t="s">
        <v>46</v>
      </c>
      <c r="F15"/>
      <c r="G15"/>
      <c r="H15"/>
      <c r="I15"/>
    </row>
    <row r="16" spans="2:9">
      <c r="B16" s="302" t="s">
        <v>29</v>
      </c>
      <c r="C16" s="32">
        <v>3</v>
      </c>
      <c r="D16" s="32">
        <v>29</v>
      </c>
      <c r="E16" s="32">
        <v>32</v>
      </c>
      <c r="F16"/>
      <c r="G16"/>
      <c r="H16"/>
      <c r="I16"/>
    </row>
    <row r="17" spans="2:9">
      <c r="B17" s="302" t="s">
        <v>269</v>
      </c>
      <c r="D17" s="32">
        <v>6</v>
      </c>
      <c r="E17" s="32">
        <v>6</v>
      </c>
      <c r="F17"/>
      <c r="G17"/>
      <c r="H17"/>
      <c r="I17"/>
    </row>
    <row r="18" spans="2:9">
      <c r="B18" s="302" t="s">
        <v>46</v>
      </c>
      <c r="C18" s="32">
        <v>3</v>
      </c>
      <c r="D18" s="32">
        <v>35</v>
      </c>
      <c r="E18" s="32">
        <v>38</v>
      </c>
      <c r="F18"/>
      <c r="G18"/>
      <c r="H18"/>
      <c r="I18"/>
    </row>
    <row r="19" spans="2:9">
      <c r="B19"/>
      <c r="C19"/>
      <c r="D19"/>
      <c r="E19"/>
      <c r="F19"/>
      <c r="G19"/>
      <c r="H19"/>
      <c r="I19"/>
    </row>
    <row r="20" spans="2:9">
      <c r="B20"/>
      <c r="C20"/>
      <c r="D20"/>
      <c r="E20"/>
      <c r="F20"/>
      <c r="G20"/>
      <c r="H20"/>
      <c r="I20"/>
    </row>
    <row r="21" spans="2:9">
      <c r="B21"/>
      <c r="C21"/>
      <c r="D21"/>
      <c r="E21"/>
      <c r="F21"/>
      <c r="G21"/>
      <c r="H21"/>
      <c r="I21"/>
    </row>
    <row r="22" spans="2:9">
      <c r="B22" s="182"/>
      <c r="C22" s="181"/>
      <c r="D22" s="181"/>
      <c r="E22" s="181"/>
      <c r="F22" s="181"/>
      <c r="G22" s="181"/>
      <c r="H22"/>
    </row>
    <row r="23" spans="2:9">
      <c r="B23" s="182"/>
      <c r="C23" s="181"/>
      <c r="D23" s="181"/>
      <c r="E23" s="181"/>
      <c r="F23" s="181"/>
      <c r="G23" s="181"/>
      <c r="H23"/>
    </row>
    <row r="24" spans="2:9">
      <c r="B24" s="182"/>
      <c r="C24" s="181"/>
      <c r="D24" s="181"/>
      <c r="E24" s="181"/>
      <c r="F24" s="181"/>
      <c r="G24" s="181"/>
      <c r="H24"/>
    </row>
    <row r="25" spans="2:9">
      <c r="B25" s="182"/>
      <c r="C25" s="181"/>
      <c r="D25" s="181"/>
      <c r="E25" s="181"/>
      <c r="F25" s="181"/>
      <c r="G25" s="181"/>
      <c r="H25"/>
    </row>
    <row r="26" spans="2:9">
      <c r="B26" s="179" t="s">
        <v>120</v>
      </c>
      <c r="C26" t="s">
        <v>340</v>
      </c>
    </row>
    <row r="28" spans="2:9">
      <c r="B28" s="179" t="s">
        <v>48</v>
      </c>
      <c r="C28" t="s">
        <v>256</v>
      </c>
      <c r="D28"/>
    </row>
    <row r="29" spans="2:9">
      <c r="B29" s="180" t="s">
        <v>40</v>
      </c>
      <c r="C29">
        <v>39</v>
      </c>
      <c r="D29"/>
    </row>
    <row r="30" spans="2:9">
      <c r="B30" s="180" t="s">
        <v>268</v>
      </c>
      <c r="C30">
        <v>12</v>
      </c>
      <c r="D30"/>
    </row>
    <row r="31" spans="2:9">
      <c r="B31" s="180" t="s">
        <v>341</v>
      </c>
      <c r="C31">
        <v>14</v>
      </c>
      <c r="D31"/>
    </row>
    <row r="32" spans="2:9">
      <c r="B32" s="180" t="s">
        <v>274</v>
      </c>
      <c r="C32">
        <v>10</v>
      </c>
      <c r="D32"/>
    </row>
    <row r="33" spans="2:9">
      <c r="B33" s="180" t="s">
        <v>46</v>
      </c>
      <c r="C33">
        <v>75</v>
      </c>
      <c r="D33"/>
    </row>
    <row r="34" spans="2:9">
      <c r="B34"/>
      <c r="C34"/>
      <c r="D34"/>
    </row>
    <row r="35" spans="2:9">
      <c r="B35"/>
      <c r="C35"/>
      <c r="D35"/>
    </row>
    <row r="36" spans="2:9">
      <c r="B36"/>
      <c r="C36"/>
      <c r="D36"/>
    </row>
    <row r="37" spans="2:9">
      <c r="B37" s="179" t="s">
        <v>120</v>
      </c>
      <c r="C37" t="s">
        <v>340</v>
      </c>
      <c r="D37"/>
    </row>
    <row r="38" spans="2:9">
      <c r="B38"/>
      <c r="C38"/>
      <c r="D38"/>
    </row>
    <row r="39" spans="2:9">
      <c r="B39" s="179" t="s">
        <v>256</v>
      </c>
      <c r="C39" s="179" t="s">
        <v>47</v>
      </c>
      <c r="D39"/>
      <c r="E39"/>
      <c r="F39"/>
      <c r="G39"/>
      <c r="H39"/>
      <c r="I39"/>
    </row>
    <row r="40" spans="2:9">
      <c r="B40" s="179" t="s">
        <v>48</v>
      </c>
      <c r="C40" t="s">
        <v>40</v>
      </c>
      <c r="D40" t="s">
        <v>268</v>
      </c>
      <c r="E40" t="s">
        <v>341</v>
      </c>
      <c r="F40" t="s">
        <v>274</v>
      </c>
      <c r="G40" t="s">
        <v>46</v>
      </c>
      <c r="H40"/>
      <c r="I40"/>
    </row>
    <row r="41" spans="2:9">
      <c r="B41" s="180" t="s">
        <v>29</v>
      </c>
      <c r="C41">
        <v>30</v>
      </c>
      <c r="D41">
        <v>12</v>
      </c>
      <c r="E41">
        <v>1</v>
      </c>
      <c r="F41">
        <v>8</v>
      </c>
      <c r="G41">
        <v>51</v>
      </c>
      <c r="H41"/>
      <c r="I41"/>
    </row>
    <row r="42" spans="2:9">
      <c r="B42" s="180" t="s">
        <v>28</v>
      </c>
      <c r="C42">
        <v>5</v>
      </c>
      <c r="D42"/>
      <c r="E42"/>
      <c r="F42">
        <v>2</v>
      </c>
      <c r="G42">
        <v>7</v>
      </c>
      <c r="H42"/>
      <c r="I42"/>
    </row>
    <row r="43" spans="2:9">
      <c r="B43" s="180" t="s">
        <v>275</v>
      </c>
      <c r="C43">
        <v>4</v>
      </c>
      <c r="D43"/>
      <c r="E43">
        <v>1</v>
      </c>
      <c r="F43"/>
      <c r="G43">
        <v>5</v>
      </c>
      <c r="H43"/>
      <c r="I43"/>
    </row>
    <row r="44" spans="2:9">
      <c r="B44" s="180" t="s">
        <v>108</v>
      </c>
      <c r="C44"/>
      <c r="D44"/>
      <c r="E44">
        <v>6</v>
      </c>
      <c r="F44"/>
      <c r="G44">
        <v>6</v>
      </c>
      <c r="H44"/>
      <c r="I44"/>
    </row>
    <row r="45" spans="2:9">
      <c r="B45" s="180" t="s">
        <v>269</v>
      </c>
      <c r="C45"/>
      <c r="D45"/>
      <c r="E45">
        <v>6</v>
      </c>
      <c r="F45"/>
      <c r="G45">
        <v>6</v>
      </c>
      <c r="H45"/>
      <c r="I45"/>
    </row>
    <row r="46" spans="2:9">
      <c r="B46" s="180" t="s">
        <v>46</v>
      </c>
      <c r="C46">
        <v>39</v>
      </c>
      <c r="D46">
        <v>12</v>
      </c>
      <c r="E46">
        <v>14</v>
      </c>
      <c r="F46">
        <v>10</v>
      </c>
      <c r="G46">
        <v>75</v>
      </c>
      <c r="H46"/>
      <c r="I46"/>
    </row>
    <row r="47" spans="2:9">
      <c r="B47"/>
      <c r="C47"/>
      <c r="D47"/>
    </row>
    <row r="48" spans="2:9">
      <c r="B48"/>
      <c r="C48"/>
      <c r="D48"/>
    </row>
    <row r="49" spans="2:4">
      <c r="B49"/>
      <c r="C49"/>
      <c r="D49"/>
    </row>
    <row r="50" spans="2:4">
      <c r="B50"/>
      <c r="C50"/>
      <c r="D50"/>
    </row>
    <row r="51" spans="2:4">
      <c r="B51"/>
      <c r="C51"/>
      <c r="D51"/>
    </row>
    <row r="52" spans="2:4">
      <c r="B52"/>
      <c r="C52"/>
      <c r="D52"/>
    </row>
    <row r="53" spans="2:4">
      <c r="B53"/>
      <c r="C53"/>
      <c r="D53"/>
    </row>
    <row r="54" spans="2:4">
      <c r="B54"/>
      <c r="C54"/>
      <c r="D54"/>
    </row>
    <row r="55" spans="2:4">
      <c r="B55"/>
      <c r="C55"/>
      <c r="D55"/>
    </row>
    <row r="56" spans="2:4">
      <c r="B56"/>
      <c r="C56"/>
      <c r="D5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CBDD5-F190-4308-BFB9-636DBFAA4CA9}">
  <sheetPr filterMode="1"/>
  <dimension ref="A2:J87"/>
  <sheetViews>
    <sheetView topLeftCell="A8" zoomScale="80" zoomScaleNormal="80" workbookViewId="0">
      <selection activeCell="C89" sqref="C89"/>
    </sheetView>
  </sheetViews>
  <sheetFormatPr defaultColWidth="8.6640625" defaultRowHeight="14.5"/>
  <cols>
    <col min="1" max="1" width="8.6640625" style="32"/>
    <col min="2" max="2" width="21.83203125" style="32" customWidth="1"/>
    <col min="3" max="3" width="33.08203125" style="32" bestFit="1" customWidth="1"/>
    <col min="4" max="4" width="12.6640625" style="32" bestFit="1" customWidth="1"/>
    <col min="5" max="5" width="33" style="32" bestFit="1" customWidth="1"/>
    <col min="6" max="6" width="28.08203125" style="32" bestFit="1" customWidth="1"/>
    <col min="7" max="7" width="17.1640625" style="32" bestFit="1" customWidth="1"/>
    <col min="8" max="8" width="36.6640625" style="32" bestFit="1" customWidth="1"/>
    <col min="9" max="9" width="8.6640625" style="32"/>
    <col min="10" max="10" width="10.83203125" style="32" bestFit="1" customWidth="1"/>
    <col min="11" max="16384" width="8.6640625" style="32"/>
  </cols>
  <sheetData>
    <row r="2" spans="1:10">
      <c r="B2" s="196" t="s">
        <v>351</v>
      </c>
      <c r="C2" s="32">
        <f>+COUNTA(C11:C39,C49:C87)</f>
        <v>68</v>
      </c>
    </row>
    <row r="4" spans="1:10">
      <c r="B4" s="196" t="s">
        <v>355</v>
      </c>
    </row>
    <row r="5" spans="1:10">
      <c r="B5" s="32" t="s">
        <v>356</v>
      </c>
    </row>
    <row r="6" spans="1:10">
      <c r="B6" s="32" t="s">
        <v>358</v>
      </c>
    </row>
    <row r="7" spans="1:10">
      <c r="B7" s="32" t="s">
        <v>362</v>
      </c>
    </row>
    <row r="10" spans="1:10">
      <c r="A10" s="32" t="s">
        <v>390</v>
      </c>
      <c r="B10" s="170" t="s">
        <v>3</v>
      </c>
      <c r="C10" s="170" t="s">
        <v>4</v>
      </c>
      <c r="D10" s="170" t="s">
        <v>119</v>
      </c>
      <c r="E10" s="170" t="s">
        <v>352</v>
      </c>
      <c r="F10" s="170" t="s">
        <v>353</v>
      </c>
      <c r="G10" s="170" t="s">
        <v>344</v>
      </c>
      <c r="H10" s="196" t="s">
        <v>354</v>
      </c>
      <c r="I10" s="196" t="s">
        <v>388</v>
      </c>
      <c r="J10" s="196" t="s">
        <v>389</v>
      </c>
    </row>
    <row r="11" spans="1:10" hidden="1">
      <c r="B11" s="134" t="s">
        <v>29</v>
      </c>
      <c r="C11" s="134" t="s">
        <v>79</v>
      </c>
      <c r="D11" s="176" t="str">
        <f t="array" ref="D11">_xlfn.IFNA(IF(INDEX('Analise FC'!$A$5:$C$43,MATCH(1,('Analise Campos FC'!$B11='Analise FC'!$B$5:$B$43)*('Analise FC'!$C$5:$C$43='Analise Campos FC'!$C11),0),1)="assessment","Y","N"),"N")</f>
        <v>Y</v>
      </c>
      <c r="E11" s="176" t="str">
        <f t="array" ref="E11">_xlfn.IFNA(IF(INDEX('Analise FC'!$F$5:$H$28,MATCH(1,('Analise Campos FC'!$B11='Analise FC'!$G$5:$G$28)*('Analise FC'!$H$5:$H$28='Analise Campos FC'!$C11),0),1)="teste_regressivo","Y","N"),"N")</f>
        <v>N</v>
      </c>
      <c r="F11" s="176" t="str" cm="1">
        <f t="array" ref="F11">_xlfn.IFNA(IF(INDEX('Analise FC'!$L$5:$N$74,MATCH(1,('Analise Campos FC'!$B11='Analise FC'!$M$5:$M$74)*('Analise FC'!$N$5:$N$74='Analise Campos FC'!$C11),0),1)="especificação","Y","N"),"N")</f>
        <v>Y</v>
      </c>
      <c r="G11" s="176" t="str" cm="1">
        <f t="array" ref="G11">_xlfn.IFNA(IF(INDEX('Analise FC'!$Q$5:$S$50,MATCH(1,('Analise Campos FC'!$B11='Analise FC'!$R$5:$R$50)*('Analise FC'!$S$5:$S$50='Analise Campos FC'!$C11),0),1)="simulação_testes","Y","N"),"N")</f>
        <v>Y</v>
      </c>
      <c r="H11" s="32" t="s">
        <v>357</v>
      </c>
    </row>
    <row r="12" spans="1:10" hidden="1">
      <c r="B12" s="134" t="s">
        <v>29</v>
      </c>
      <c r="C12" s="134" t="s">
        <v>60</v>
      </c>
      <c r="D12" s="176" t="str">
        <f t="array" ref="D12">_xlfn.IFNA(IF(INDEX('Analise FC'!$A$5:$C$43,MATCH(1,('Analise Campos FC'!$B12='Analise FC'!$B$5:$B$43)*('Analise FC'!$C$5:$C$43='Analise Campos FC'!$C12),0),1)="assessment","Y","N"),"N")</f>
        <v>Y</v>
      </c>
      <c r="E12" s="176" t="str">
        <f t="array" ref="E12">_xlfn.IFNA(IF(INDEX('Analise FC'!$F$5:$H$28,MATCH(1,('Analise Campos FC'!$B12='Analise FC'!$G$5:$G$28)*('Analise FC'!$H$5:$H$28='Analise Campos FC'!$C12),0),1)="teste_regressivo","Y","N"),"N")</f>
        <v>N</v>
      </c>
      <c r="F12" s="176" t="str" cm="1">
        <f t="array" ref="F12">_xlfn.IFNA(IF(INDEX('Analise FC'!$L$5:$N$74,MATCH(1,('Analise Campos FC'!$B12='Analise FC'!$M$5:$M$74)*('Analise FC'!$N$5:$N$74='Analise Campos FC'!$C12),0),1)="especificação","Y","N"),"N")</f>
        <v>Y</v>
      </c>
      <c r="G12" s="176" t="str" cm="1">
        <f t="array" ref="G12">_xlfn.IFNA(IF(INDEX('Analise FC'!$Q$5:$S$50,MATCH(1,('Analise Campos FC'!$B12='Analise FC'!$R$5:$R$50)*('Analise FC'!$S$5:$S$50='Analise Campos FC'!$C12),0),1)="simulação_testes","Y","N"),"N")</f>
        <v>Y</v>
      </c>
      <c r="H12" s="32" t="s">
        <v>357</v>
      </c>
    </row>
    <row r="13" spans="1:10" hidden="1">
      <c r="B13" s="134" t="s">
        <v>29</v>
      </c>
      <c r="C13" s="134" t="s">
        <v>80</v>
      </c>
      <c r="D13" s="176" t="str">
        <f t="array" ref="D13">_xlfn.IFNA(IF(INDEX('Analise FC'!$A$5:$C$43,MATCH(1,('Analise Campos FC'!$B13='Analise FC'!$B$5:$B$43)*('Analise FC'!$C$5:$C$43='Analise Campos FC'!$C13),0),1)="assessment","Y","N"),"N")</f>
        <v>Y</v>
      </c>
      <c r="E13" s="176" t="str">
        <f t="array" ref="E13">_xlfn.IFNA(IF(INDEX('Analise FC'!$F$5:$H$28,MATCH(1,('Analise Campos FC'!$B13='Analise FC'!$G$5:$G$28)*('Analise FC'!$H$5:$H$28='Analise Campos FC'!$C13),0),1)="teste_regressivo","Y","N"),"N")</f>
        <v>N</v>
      </c>
      <c r="F13" s="176" t="str" cm="1">
        <f t="array" ref="F13">_xlfn.IFNA(IF(INDEX('Analise FC'!$L$5:$N$74,MATCH(1,('Analise Campos FC'!$B13='Analise FC'!$M$5:$M$74)*('Analise FC'!$N$5:$N$74='Analise Campos FC'!$C13),0),1)="especificação","Y","N"),"N")</f>
        <v>Y</v>
      </c>
      <c r="G13" s="176" t="str" cm="1">
        <f t="array" ref="G13">_xlfn.IFNA(IF(INDEX('Analise FC'!$Q$5:$S$50,MATCH(1,('Analise Campos FC'!$B13='Analise FC'!$R$5:$R$50)*('Analise FC'!$S$5:$S$50='Analise Campos FC'!$C13),0),1)="simulação_testes","Y","N"),"N")</f>
        <v>Y</v>
      </c>
      <c r="H13" s="32" t="s">
        <v>357</v>
      </c>
    </row>
    <row r="14" spans="1:10" hidden="1">
      <c r="B14" s="134" t="s">
        <v>29</v>
      </c>
      <c r="C14" s="134" t="s">
        <v>81</v>
      </c>
      <c r="D14" s="176" t="str">
        <f t="array" ref="D14">_xlfn.IFNA(IF(INDEX('Analise FC'!$A$5:$C$43,MATCH(1,('Analise Campos FC'!$B14='Analise FC'!$B$5:$B$43)*('Analise FC'!$C$5:$C$43='Analise Campos FC'!$C14),0),1)="assessment","Y","N"),"N")</f>
        <v>Y</v>
      </c>
      <c r="E14" s="176" t="str">
        <f t="array" ref="E14">_xlfn.IFNA(IF(INDEX('Analise FC'!$F$5:$H$28,MATCH(1,('Analise Campos FC'!$B14='Analise FC'!$G$5:$G$28)*('Analise FC'!$H$5:$H$28='Analise Campos FC'!$C14),0),1)="teste_regressivo","Y","N"),"N")</f>
        <v>N</v>
      </c>
      <c r="F14" s="176" t="str" cm="1">
        <f t="array" ref="F14">_xlfn.IFNA(IF(INDEX('Analise FC'!$L$5:$N$74,MATCH(1,('Analise Campos FC'!$B14='Analise FC'!$M$5:$M$74)*('Analise FC'!$N$5:$N$74='Analise Campos FC'!$C14),0),1)="especificação","Y","N"),"N")</f>
        <v>Y</v>
      </c>
      <c r="G14" s="176" t="str" cm="1">
        <f t="array" ref="G14">_xlfn.IFNA(IF(INDEX('Analise FC'!$Q$5:$S$50,MATCH(1,('Analise Campos FC'!$B14='Analise FC'!$R$5:$R$50)*('Analise FC'!$S$5:$S$50='Analise Campos FC'!$C14),0),1)="simulação_testes","Y","N"),"N")</f>
        <v>Y</v>
      </c>
      <c r="H14" s="32" t="s">
        <v>357</v>
      </c>
    </row>
    <row r="15" spans="1:10" hidden="1">
      <c r="B15" s="134" t="s">
        <v>29</v>
      </c>
      <c r="C15" s="134" t="s">
        <v>82</v>
      </c>
      <c r="D15" s="176" t="str">
        <f t="array" ref="D15">_xlfn.IFNA(IF(INDEX('Analise FC'!$A$5:$C$43,MATCH(1,('Analise Campos FC'!$B15='Analise FC'!$B$5:$B$43)*('Analise FC'!$C$5:$C$43='Analise Campos FC'!$C15),0),1)="assessment","Y","N"),"N")</f>
        <v>Y</v>
      </c>
      <c r="E15" s="176" t="str">
        <f t="array" ref="E15">_xlfn.IFNA(IF(INDEX('Analise FC'!$F$5:$H$28,MATCH(1,('Analise Campos FC'!$B15='Analise FC'!$G$5:$G$28)*('Analise FC'!$H$5:$H$28='Analise Campos FC'!$C15),0),1)="teste_regressivo","Y","N"),"N")</f>
        <v>N</v>
      </c>
      <c r="F15" s="176" t="str" cm="1">
        <f t="array" ref="F15">_xlfn.IFNA(IF(INDEX('Analise FC'!$L$5:$N$74,MATCH(1,('Analise Campos FC'!$B15='Analise FC'!$M$5:$M$74)*('Analise FC'!$N$5:$N$74='Analise Campos FC'!$C15),0),1)="especificação","Y","N"),"N")</f>
        <v>Y</v>
      </c>
      <c r="G15" s="176" t="str" cm="1">
        <f t="array" ref="G15">_xlfn.IFNA(IF(INDEX('Analise FC'!$Q$5:$S$50,MATCH(1,('Analise Campos FC'!$B15='Analise FC'!$R$5:$R$50)*('Analise FC'!$S$5:$S$50='Analise Campos FC'!$C15),0),1)="simulação_testes","Y","N"),"N")</f>
        <v>Y</v>
      </c>
      <c r="H15" s="32" t="s">
        <v>357</v>
      </c>
    </row>
    <row r="16" spans="1:10" hidden="1">
      <c r="B16" s="134" t="s">
        <v>29</v>
      </c>
      <c r="C16" s="134" t="s">
        <v>83</v>
      </c>
      <c r="D16" s="176" t="str">
        <f t="array" ref="D16">_xlfn.IFNA(IF(INDEX('Analise FC'!$A$5:$C$43,MATCH(1,('Analise Campos FC'!$B16='Analise FC'!$B$5:$B$43)*('Analise FC'!$C$5:$C$43='Analise Campos FC'!$C16),0),1)="assessment","Y","N"),"N")</f>
        <v>Y</v>
      </c>
      <c r="E16" s="176" t="str">
        <f t="array" ref="E16">_xlfn.IFNA(IF(INDEX('Analise FC'!$F$5:$H$28,MATCH(1,('Analise Campos FC'!$B16='Analise FC'!$G$5:$G$28)*('Analise FC'!$H$5:$H$28='Analise Campos FC'!$C16),0),1)="teste_regressivo","Y","N"),"N")</f>
        <v>N</v>
      </c>
      <c r="F16" s="176" t="str" cm="1">
        <f t="array" ref="F16">_xlfn.IFNA(IF(INDEX('Analise FC'!$L$5:$N$74,MATCH(1,('Analise Campos FC'!$B16='Analise FC'!$M$5:$M$74)*('Analise FC'!$N$5:$N$74='Analise Campos FC'!$C16),0),1)="especificação","Y","N"),"N")</f>
        <v>Y</v>
      </c>
      <c r="G16" s="176" t="str" cm="1">
        <f t="array" ref="G16">_xlfn.IFNA(IF(INDEX('Analise FC'!$Q$5:$S$50,MATCH(1,('Analise Campos FC'!$B16='Analise FC'!$R$5:$R$50)*('Analise FC'!$S$5:$S$50='Analise Campos FC'!$C16),0),1)="simulação_testes","Y","N"),"N")</f>
        <v>Y</v>
      </c>
      <c r="H16" s="32" t="s">
        <v>357</v>
      </c>
    </row>
    <row r="17" spans="2:8" hidden="1">
      <c r="B17" s="134" t="s">
        <v>29</v>
      </c>
      <c r="C17" s="198" t="s">
        <v>61</v>
      </c>
      <c r="D17" s="176" t="str">
        <f t="array" ref="D17">_xlfn.IFNA(IF(INDEX('Analise FC'!$A$5:$C$43,MATCH(1,('Analise Campos FC'!$B17='Analise FC'!$B$5:$B$43)*('Analise FC'!$C$5:$C$43='Analise Campos FC'!$C17),0),1)="assessment","Y","N"),"N")</f>
        <v>Y</v>
      </c>
      <c r="E17" s="176" t="str">
        <f t="array" ref="E17">_xlfn.IFNA(IF(INDEX('Analise FC'!$F$5:$H$28,MATCH(1,('Analise Campos FC'!$B17='Analise FC'!$G$5:$G$28)*('Analise FC'!$H$5:$H$28='Analise Campos FC'!$C17),0),1)="teste_regressivo","Y","N"),"N")</f>
        <v>N</v>
      </c>
      <c r="F17" s="176" t="str" cm="1">
        <f t="array" ref="F17">_xlfn.IFNA(IF(INDEX('Analise FC'!$L$5:$N$74,MATCH(1,('Analise Campos FC'!$B17='Analise FC'!$M$5:$M$74)*('Analise FC'!$N$5:$N$74='Analise Campos FC'!$C17),0),1)="especificação","Y","N"),"N")</f>
        <v>Y</v>
      </c>
      <c r="G17" s="176" t="str" cm="1">
        <f t="array" ref="G17">_xlfn.IFNA(IF(INDEX('Analise FC'!$Q$5:$S$50,MATCH(1,('Analise Campos FC'!$B17='Analise FC'!$R$5:$R$50)*('Analise FC'!$S$5:$S$50='Analise Campos FC'!$C17),0),1)="simulação_testes","Y","N"),"N")</f>
        <v>Y</v>
      </c>
      <c r="H17" s="32" t="s">
        <v>357</v>
      </c>
    </row>
    <row r="18" spans="2:8" hidden="1">
      <c r="B18" s="134" t="s">
        <v>29</v>
      </c>
      <c r="C18" s="134" t="s">
        <v>84</v>
      </c>
      <c r="D18" s="176" t="str">
        <f t="array" ref="D18">_xlfn.IFNA(IF(INDEX('Analise FC'!$A$5:$C$43,MATCH(1,('Analise Campos FC'!$B18='Analise FC'!$B$5:$B$43)*('Analise FC'!$C$5:$C$43='Analise Campos FC'!$C18),0),1)="assessment","Y","N"),"N")</f>
        <v>Y</v>
      </c>
      <c r="E18" s="176" t="str">
        <f t="array" ref="E18">_xlfn.IFNA(IF(INDEX('Analise FC'!$F$5:$H$28,MATCH(1,('Analise Campos FC'!$B18='Analise FC'!$G$5:$G$28)*('Analise FC'!$H$5:$H$28='Analise Campos FC'!$C18),0),1)="teste_regressivo","Y","N"),"N")</f>
        <v>N</v>
      </c>
      <c r="F18" s="176" t="str" cm="1">
        <f t="array" ref="F18">_xlfn.IFNA(IF(INDEX('Analise FC'!$L$5:$N$74,MATCH(1,('Analise Campos FC'!$B18='Analise FC'!$M$5:$M$74)*('Analise FC'!$N$5:$N$74='Analise Campos FC'!$C18),0),1)="especificação","Y","N"),"N")</f>
        <v>Y</v>
      </c>
      <c r="G18" s="176" t="str" cm="1">
        <f t="array" ref="G18">_xlfn.IFNA(IF(INDEX('Analise FC'!$Q$5:$S$50,MATCH(1,('Analise Campos FC'!$B18='Analise FC'!$R$5:$R$50)*('Analise FC'!$S$5:$S$50='Analise Campos FC'!$C18),0),1)="simulação_testes","Y","N"),"N")</f>
        <v>Y</v>
      </c>
      <c r="H18" s="32" t="s">
        <v>357</v>
      </c>
    </row>
    <row r="19" spans="2:8" hidden="1">
      <c r="B19" s="134" t="s">
        <v>29</v>
      </c>
      <c r="C19" s="134" t="s">
        <v>85</v>
      </c>
      <c r="D19" s="176" t="str">
        <f t="array" ref="D19">_xlfn.IFNA(IF(INDEX('Analise FC'!$A$5:$C$43,MATCH(1,('Analise Campos FC'!$B19='Analise FC'!$B$5:$B$43)*('Analise FC'!$C$5:$C$43='Analise Campos FC'!$C19),0),1)="assessment","Y","N"),"N")</f>
        <v>Y</v>
      </c>
      <c r="E19" s="176" t="str">
        <f t="array" ref="E19">_xlfn.IFNA(IF(INDEX('Analise FC'!$F$5:$H$28,MATCH(1,('Analise Campos FC'!$B19='Analise FC'!$G$5:$G$28)*('Analise FC'!$H$5:$H$28='Analise Campos FC'!$C19),0),1)="teste_regressivo","Y","N"),"N")</f>
        <v>N</v>
      </c>
      <c r="F19" s="176" t="str" cm="1">
        <f t="array" ref="F19">_xlfn.IFNA(IF(INDEX('Analise FC'!$L$5:$N$74,MATCH(1,('Analise Campos FC'!$B19='Analise FC'!$M$5:$M$74)*('Analise FC'!$N$5:$N$74='Analise Campos FC'!$C19),0),1)="especificação","Y","N"),"N")</f>
        <v>Y</v>
      </c>
      <c r="G19" s="176" t="str" cm="1">
        <f t="array" ref="G19">_xlfn.IFNA(IF(INDEX('Analise FC'!$Q$5:$S$50,MATCH(1,('Analise Campos FC'!$B19='Analise FC'!$R$5:$R$50)*('Analise FC'!$S$5:$S$50='Analise Campos FC'!$C19),0),1)="simulação_testes","Y","N"),"N")</f>
        <v>Y</v>
      </c>
      <c r="H19" s="32" t="s">
        <v>357</v>
      </c>
    </row>
    <row r="20" spans="2:8" hidden="1">
      <c r="B20" s="134" t="s">
        <v>29</v>
      </c>
      <c r="C20" s="134" t="s">
        <v>86</v>
      </c>
      <c r="D20" s="176" t="str">
        <f t="array" ref="D20">_xlfn.IFNA(IF(INDEX('Analise FC'!$A$5:$C$43,MATCH(1,('Analise Campos FC'!$B20='Analise FC'!$B$5:$B$43)*('Analise FC'!$C$5:$C$43='Analise Campos FC'!$C20),0),1)="assessment","Y","N"),"N")</f>
        <v>Y</v>
      </c>
      <c r="E20" s="176" t="str">
        <f t="array" ref="E20">_xlfn.IFNA(IF(INDEX('Analise FC'!$F$5:$H$28,MATCH(1,('Analise Campos FC'!$B20='Analise FC'!$G$5:$G$28)*('Analise FC'!$H$5:$H$28='Analise Campos FC'!$C20),0),1)="teste_regressivo","Y","N"),"N")</f>
        <v>N</v>
      </c>
      <c r="F20" s="176" t="str" cm="1">
        <f t="array" ref="F20">_xlfn.IFNA(IF(INDEX('Analise FC'!$L$5:$N$74,MATCH(1,('Analise Campos FC'!$B20='Analise FC'!$M$5:$M$74)*('Analise FC'!$N$5:$N$74='Analise Campos FC'!$C20),0),1)="especificação","Y","N"),"N")</f>
        <v>Y</v>
      </c>
      <c r="G20" s="176" t="str" cm="1">
        <f t="array" ref="G20">_xlfn.IFNA(IF(INDEX('Analise FC'!$Q$5:$S$50,MATCH(1,('Analise Campos FC'!$B20='Analise FC'!$R$5:$R$50)*('Analise FC'!$S$5:$S$50='Analise Campos FC'!$C20),0),1)="simulação_testes","Y","N"),"N")</f>
        <v>Y</v>
      </c>
      <c r="H20" s="32" t="s">
        <v>357</v>
      </c>
    </row>
    <row r="21" spans="2:8">
      <c r="B21" s="134" t="s">
        <v>29</v>
      </c>
      <c r="C21" s="134" t="s">
        <v>62</v>
      </c>
      <c r="D21" s="176" t="str">
        <f t="array" ref="D21">_xlfn.IFNA(IF(INDEX('Analise FC'!$A$5:$C$43,MATCH(1,('Analise Campos FC'!$B21='Analise FC'!$B$5:$B$43)*('Analise FC'!$C$5:$C$43='Analise Campos FC'!$C21),0),1)="assessment","Y","N"),"N")</f>
        <v>Y</v>
      </c>
      <c r="E21" s="176" t="str">
        <f t="array" ref="E21">_xlfn.IFNA(IF(INDEX('Analise FC'!$F$5:$H$28,MATCH(1,('Analise Campos FC'!$B21='Analise FC'!$G$5:$G$28)*('Analise FC'!$H$5:$H$28='Analise Campos FC'!$C21),0),1)="teste_regressivo","Y","N"),"N")</f>
        <v>Y</v>
      </c>
      <c r="F21" s="176" t="str" cm="1">
        <f t="array" ref="F21">_xlfn.IFNA(IF(INDEX('Analise FC'!$L$5:$N$74,MATCH(1,('Analise Campos FC'!$B21='Analise FC'!$M$5:$M$74)*('Analise FC'!$N$5:$N$74='Analise Campos FC'!$C21),0),1)="especificação","Y","N"),"N")</f>
        <v>Y</v>
      </c>
      <c r="G21" s="176" t="str" cm="1">
        <f t="array" ref="G21">_xlfn.IFNA(IF(INDEX('Analise FC'!$Q$5:$S$50,MATCH(1,('Analise Campos FC'!$B21='Analise FC'!$R$5:$R$50)*('Analise FC'!$S$5:$S$50='Analise Campos FC'!$C21),0),1)="simulação_testes","Y","N"),"N")</f>
        <v>N</v>
      </c>
      <c r="H21" s="32" t="s">
        <v>357</v>
      </c>
    </row>
    <row r="22" spans="2:8">
      <c r="B22" s="134" t="s">
        <v>29</v>
      </c>
      <c r="C22" s="134" t="s">
        <v>87</v>
      </c>
      <c r="D22" s="176" t="str">
        <f t="array" ref="D22">_xlfn.IFNA(IF(INDEX('Analise FC'!$A$5:$C$43,MATCH(1,('Analise Campos FC'!$B22='Analise FC'!$B$5:$B$43)*('Analise FC'!$C$5:$C$43='Analise Campos FC'!$C22),0),1)="assessment","Y","N"),"N")</f>
        <v>Y</v>
      </c>
      <c r="E22" s="176" t="str">
        <f t="array" ref="E22">_xlfn.IFNA(IF(INDEX('Analise FC'!$F$5:$H$28,MATCH(1,('Analise Campos FC'!$B22='Analise FC'!$G$5:$G$28)*('Analise FC'!$H$5:$H$28='Analise Campos FC'!$C22),0),1)="teste_regressivo","Y","N"),"N")</f>
        <v>Y</v>
      </c>
      <c r="F22" s="176" t="str" cm="1">
        <f t="array" ref="F22">_xlfn.IFNA(IF(INDEX('Analise FC'!$L$5:$N$74,MATCH(1,('Analise Campos FC'!$B22='Analise FC'!$M$5:$M$74)*('Analise FC'!$N$5:$N$74='Analise Campos FC'!$C22),0),1)="especificação","Y","N"),"N")</f>
        <v>Y</v>
      </c>
      <c r="G22" s="176" t="str" cm="1">
        <f t="array" ref="G22">_xlfn.IFNA(IF(INDEX('Analise FC'!$Q$5:$S$50,MATCH(1,('Analise Campos FC'!$B22='Analise FC'!$R$5:$R$50)*('Analise FC'!$S$5:$S$50='Analise Campos FC'!$C22),0),1)="simulação_testes","Y","N"),"N")</f>
        <v>N</v>
      </c>
      <c r="H22" s="32" t="s">
        <v>357</v>
      </c>
    </row>
    <row r="23" spans="2:8">
      <c r="B23" s="134" t="s">
        <v>29</v>
      </c>
      <c r="C23" s="134" t="s">
        <v>88</v>
      </c>
      <c r="D23" s="176" t="str">
        <f t="array" ref="D23">_xlfn.IFNA(IF(INDEX('Analise FC'!$A$5:$C$43,MATCH(1,('Analise Campos FC'!$B23='Analise FC'!$B$5:$B$43)*('Analise FC'!$C$5:$C$43='Analise Campos FC'!$C23),0),1)="assessment","Y","N"),"N")</f>
        <v>Y</v>
      </c>
      <c r="E23" s="176" t="str">
        <f t="array" ref="E23">_xlfn.IFNA(IF(INDEX('Analise FC'!$F$5:$H$28,MATCH(1,('Analise Campos FC'!$B23='Analise FC'!$G$5:$G$28)*('Analise FC'!$H$5:$H$28='Analise Campos FC'!$C23),0),1)="teste_regressivo","Y","N"),"N")</f>
        <v>Y</v>
      </c>
      <c r="F23" s="176" t="str" cm="1">
        <f t="array" ref="F23">_xlfn.IFNA(IF(INDEX('Analise FC'!$L$5:$N$74,MATCH(1,('Analise Campos FC'!$B23='Analise FC'!$M$5:$M$74)*('Analise FC'!$N$5:$N$74='Analise Campos FC'!$C23),0),1)="especificação","Y","N"),"N")</f>
        <v>Y</v>
      </c>
      <c r="G23" s="176" t="str" cm="1">
        <f t="array" ref="G23">_xlfn.IFNA(IF(INDEX('Analise FC'!$Q$5:$S$50,MATCH(1,('Analise Campos FC'!$B23='Analise FC'!$R$5:$R$50)*('Analise FC'!$S$5:$S$50='Analise Campos FC'!$C23),0),1)="simulação_testes","Y","N"),"N")</f>
        <v>N</v>
      </c>
      <c r="H23" s="32" t="s">
        <v>357</v>
      </c>
    </row>
    <row r="24" spans="2:8">
      <c r="B24" s="134" t="s">
        <v>29</v>
      </c>
      <c r="C24" s="134" t="s">
        <v>89</v>
      </c>
      <c r="D24" s="176" t="str">
        <f t="array" ref="D24">_xlfn.IFNA(IF(INDEX('Analise FC'!$A$5:$C$43,MATCH(1,('Analise Campos FC'!$B24='Analise FC'!$B$5:$B$43)*('Analise FC'!$C$5:$C$43='Analise Campos FC'!$C24),0),1)="assessment","Y","N"),"N")</f>
        <v>Y</v>
      </c>
      <c r="E24" s="176" t="str">
        <f t="array" ref="E24">_xlfn.IFNA(IF(INDEX('Analise FC'!$F$5:$H$28,MATCH(1,('Analise Campos FC'!$B24='Analise FC'!$G$5:$G$28)*('Analise FC'!$H$5:$H$28='Analise Campos FC'!$C24),0),1)="teste_regressivo","Y","N"),"N")</f>
        <v>Y</v>
      </c>
      <c r="F24" s="176" t="str" cm="1">
        <f t="array" ref="F24">_xlfn.IFNA(IF(INDEX('Analise FC'!$L$5:$N$74,MATCH(1,('Analise Campos FC'!$B24='Analise FC'!$M$5:$M$74)*('Analise FC'!$N$5:$N$74='Analise Campos FC'!$C24),0),1)="especificação","Y","N"),"N")</f>
        <v>Y</v>
      </c>
      <c r="G24" s="176" t="str" cm="1">
        <f t="array" ref="G24">_xlfn.IFNA(IF(INDEX('Analise FC'!$Q$5:$S$50,MATCH(1,('Analise Campos FC'!$B24='Analise FC'!$R$5:$R$50)*('Analise FC'!$S$5:$S$50='Analise Campos FC'!$C24),0),1)="simulação_testes","Y","N"),"N")</f>
        <v>N</v>
      </c>
      <c r="H24" s="32" t="s">
        <v>357</v>
      </c>
    </row>
    <row r="25" spans="2:8" hidden="1">
      <c r="B25" s="134" t="s">
        <v>29</v>
      </c>
      <c r="C25" s="134" t="s">
        <v>90</v>
      </c>
      <c r="D25" s="176" t="str">
        <f t="array" ref="D25">_xlfn.IFNA(IF(INDEX('Analise FC'!$A$5:$C$43,MATCH(1,('Analise Campos FC'!$B25='Analise FC'!$B$5:$B$43)*('Analise FC'!$C$5:$C$43='Analise Campos FC'!$C25),0),1)="assessment","Y","N"),"N")</f>
        <v>Y</v>
      </c>
      <c r="E25" s="176" t="str">
        <f t="array" ref="E25">_xlfn.IFNA(IF(INDEX('Analise FC'!$F$5:$H$28,MATCH(1,('Analise Campos FC'!$B25='Analise FC'!$G$5:$G$28)*('Analise FC'!$H$5:$H$28='Analise Campos FC'!$C25),0),1)="teste_regressivo","Y","N"),"N")</f>
        <v>N</v>
      </c>
      <c r="F25" s="176" t="str" cm="1">
        <f t="array" ref="F25">_xlfn.IFNA(IF(INDEX('Analise FC'!$L$5:$N$74,MATCH(1,('Analise Campos FC'!$B25='Analise FC'!$M$5:$M$74)*('Analise FC'!$N$5:$N$74='Analise Campos FC'!$C25),0),1)="especificação","Y","N"),"N")</f>
        <v>Y</v>
      </c>
      <c r="G25" s="176" t="str" cm="1">
        <f t="array" ref="G25">_xlfn.IFNA(IF(INDEX('Analise FC'!$Q$5:$S$50,MATCH(1,('Analise Campos FC'!$B25='Analise FC'!$R$5:$R$50)*('Analise FC'!$S$5:$S$50='Analise Campos FC'!$C25),0),1)="simulação_testes","Y","N"),"N")</f>
        <v>Y</v>
      </c>
      <c r="H25" s="32" t="s">
        <v>357</v>
      </c>
    </row>
    <row r="26" spans="2:8">
      <c r="B26" s="134" t="s">
        <v>29</v>
      </c>
      <c r="C26" s="134" t="s">
        <v>91</v>
      </c>
      <c r="D26" s="176" t="str">
        <f t="array" ref="D26">_xlfn.IFNA(IF(INDEX('Analise FC'!$A$5:$C$43,MATCH(1,('Analise Campos FC'!$B26='Analise FC'!$B$5:$B$43)*('Analise FC'!$C$5:$C$43='Analise Campos FC'!$C26),0),1)="assessment","Y","N"),"N")</f>
        <v>Y</v>
      </c>
      <c r="E26" s="176" t="str">
        <f t="array" ref="E26">_xlfn.IFNA(IF(INDEX('Analise FC'!$F$5:$H$28,MATCH(1,('Analise Campos FC'!$B26='Analise FC'!$G$5:$G$28)*('Analise FC'!$H$5:$H$28='Analise Campos FC'!$C26),0),1)="teste_regressivo","Y","N"),"N")</f>
        <v>Y</v>
      </c>
      <c r="F26" s="176" t="str" cm="1">
        <f t="array" ref="F26">_xlfn.IFNA(IF(INDEX('Analise FC'!$L$5:$N$74,MATCH(1,('Analise Campos FC'!$B26='Analise FC'!$M$5:$M$74)*('Analise FC'!$N$5:$N$74='Analise Campos FC'!$C26),0),1)="especificação","Y","N"),"N")</f>
        <v>Y</v>
      </c>
      <c r="G26" s="176" t="str" cm="1">
        <f t="array" ref="G26">_xlfn.IFNA(IF(INDEX('Analise FC'!$Q$5:$S$50,MATCH(1,('Analise Campos FC'!$B26='Analise FC'!$R$5:$R$50)*('Analise FC'!$S$5:$S$50='Analise Campos FC'!$C26),0),1)="simulação_testes","Y","N"),"N")</f>
        <v>N</v>
      </c>
      <c r="H26" s="32" t="s">
        <v>357</v>
      </c>
    </row>
    <row r="27" spans="2:8" hidden="1">
      <c r="B27" s="134" t="s">
        <v>29</v>
      </c>
      <c r="C27" s="134" t="s">
        <v>92</v>
      </c>
      <c r="D27" s="176" t="str">
        <f t="array" ref="D27">_xlfn.IFNA(IF(INDEX('Analise FC'!$A$5:$C$43,MATCH(1,('Analise Campos FC'!$B27='Analise FC'!$B$5:$B$43)*('Analise FC'!$C$5:$C$43='Analise Campos FC'!$C27),0),1)="assessment","Y","N"),"N")</f>
        <v>Y</v>
      </c>
      <c r="E27" s="176" t="str">
        <f t="array" ref="E27">_xlfn.IFNA(IF(INDEX('Analise FC'!$F$5:$H$28,MATCH(1,('Analise Campos FC'!$B27='Analise FC'!$G$5:$G$28)*('Analise FC'!$H$5:$H$28='Analise Campos FC'!$C27),0),1)="teste_regressivo","Y","N"),"N")</f>
        <v>N</v>
      </c>
      <c r="F27" s="176" t="str" cm="1">
        <f t="array" ref="F27">_xlfn.IFNA(IF(INDEX('Analise FC'!$L$5:$N$74,MATCH(1,('Analise Campos FC'!$B27='Analise FC'!$M$5:$M$74)*('Analise FC'!$N$5:$N$74='Analise Campos FC'!$C27),0),1)="especificação","Y","N"),"N")</f>
        <v>Y</v>
      </c>
      <c r="G27" s="176" t="str" cm="1">
        <f t="array" ref="G27">_xlfn.IFNA(IF(INDEX('Analise FC'!$Q$5:$S$50,MATCH(1,('Analise Campos FC'!$B27='Analise FC'!$R$5:$R$50)*('Analise FC'!$S$5:$S$50='Analise Campos FC'!$C27),0),1)="simulação_testes","Y","N"),"N")</f>
        <v>Y</v>
      </c>
      <c r="H27" s="32" t="s">
        <v>357</v>
      </c>
    </row>
    <row r="28" spans="2:8" hidden="1">
      <c r="B28" s="134" t="s">
        <v>29</v>
      </c>
      <c r="C28" s="134" t="s">
        <v>93</v>
      </c>
      <c r="D28" s="176" t="str">
        <f t="array" ref="D28">_xlfn.IFNA(IF(INDEX('Analise FC'!$A$5:$C$43,MATCH(1,('Analise Campos FC'!$B28='Analise FC'!$B$5:$B$43)*('Analise FC'!$C$5:$C$43='Analise Campos FC'!$C28),0),1)="assessment","Y","N"),"N")</f>
        <v>Y</v>
      </c>
      <c r="E28" s="176" t="str">
        <f t="array" ref="E28">_xlfn.IFNA(IF(INDEX('Analise FC'!$F$5:$H$28,MATCH(1,('Analise Campos FC'!$B28='Analise FC'!$G$5:$G$28)*('Analise FC'!$H$5:$H$28='Analise Campos FC'!$C28),0),1)="teste_regressivo","Y","N"),"N")</f>
        <v>N</v>
      </c>
      <c r="F28" s="176" t="str" cm="1">
        <f t="array" ref="F28">_xlfn.IFNA(IF(INDEX('Analise FC'!$L$5:$N$74,MATCH(1,('Analise Campos FC'!$B28='Analise FC'!$M$5:$M$74)*('Analise FC'!$N$5:$N$74='Analise Campos FC'!$C28),0),1)="especificação","Y","N"),"N")</f>
        <v>Y</v>
      </c>
      <c r="G28" s="176" t="str" cm="1">
        <f t="array" ref="G28">_xlfn.IFNA(IF(INDEX('Analise FC'!$Q$5:$S$50,MATCH(1,('Analise Campos FC'!$B28='Analise FC'!$R$5:$R$50)*('Analise FC'!$S$5:$S$50='Analise Campos FC'!$C28),0),1)="simulação_testes","Y","N"),"N")</f>
        <v>Y</v>
      </c>
      <c r="H28" s="32" t="s">
        <v>357</v>
      </c>
    </row>
    <row r="29" spans="2:8">
      <c r="B29" s="134" t="s">
        <v>29</v>
      </c>
      <c r="C29" s="134" t="s">
        <v>94</v>
      </c>
      <c r="D29" s="176" t="str">
        <f t="array" ref="D29">_xlfn.IFNA(IF(INDEX('Analise FC'!$A$5:$C$43,MATCH(1,('Analise Campos FC'!$B29='Analise FC'!$B$5:$B$43)*('Analise FC'!$C$5:$C$43='Analise Campos FC'!$C29),0),1)="assessment","Y","N"),"N")</f>
        <v>Y</v>
      </c>
      <c r="E29" s="176" t="str">
        <f t="array" ref="E29">_xlfn.IFNA(IF(INDEX('Analise FC'!$F$5:$H$28,MATCH(1,('Analise Campos FC'!$B29='Analise FC'!$G$5:$G$28)*('Analise FC'!$H$5:$H$28='Analise Campos FC'!$C29),0),1)="teste_regressivo","Y","N"),"N")</f>
        <v>Y</v>
      </c>
      <c r="F29" s="176" t="str" cm="1">
        <f t="array" ref="F29">_xlfn.IFNA(IF(INDEX('Analise FC'!$L$5:$N$74,MATCH(1,('Analise Campos FC'!$B29='Analise FC'!$M$5:$M$74)*('Analise FC'!$N$5:$N$74='Analise Campos FC'!$C29),0),1)="especificação","Y","N"),"N")</f>
        <v>Y</v>
      </c>
      <c r="G29" s="176" t="str" cm="1">
        <f t="array" ref="G29">_xlfn.IFNA(IF(INDEX('Analise FC'!$Q$5:$S$50,MATCH(1,('Analise Campos FC'!$B29='Analise FC'!$R$5:$R$50)*('Analise FC'!$S$5:$S$50='Analise Campos FC'!$C29),0),1)="simulação_testes","Y","N"),"N")</f>
        <v>N</v>
      </c>
      <c r="H29" s="32" t="s">
        <v>357</v>
      </c>
    </row>
    <row r="30" spans="2:8" hidden="1">
      <c r="B30" s="134" t="s">
        <v>29</v>
      </c>
      <c r="C30" s="134" t="s">
        <v>95</v>
      </c>
      <c r="D30" s="176" t="str">
        <f t="array" ref="D30">_xlfn.IFNA(IF(INDEX('Analise FC'!$A$5:$C$43,MATCH(1,('Analise Campos FC'!$B30='Analise FC'!$B$5:$B$43)*('Analise FC'!$C$5:$C$43='Analise Campos FC'!$C30),0),1)="assessment","Y","N"),"N")</f>
        <v>Y</v>
      </c>
      <c r="E30" s="176" t="str">
        <f t="array" ref="E30">_xlfn.IFNA(IF(INDEX('Analise FC'!$F$5:$H$28,MATCH(1,('Analise Campos FC'!$B30='Analise FC'!$G$5:$G$28)*('Analise FC'!$H$5:$H$28='Analise Campos FC'!$C30),0),1)="teste_regressivo","Y","N"),"N")</f>
        <v>N</v>
      </c>
      <c r="F30" s="176" t="str" cm="1">
        <f t="array" ref="F30">_xlfn.IFNA(IF(INDEX('Analise FC'!$L$5:$N$74,MATCH(1,('Analise Campos FC'!$B30='Analise FC'!$M$5:$M$74)*('Analise FC'!$N$5:$N$74='Analise Campos FC'!$C30),0),1)="especificação","Y","N"),"N")</f>
        <v>Y</v>
      </c>
      <c r="G30" s="176" t="str" cm="1">
        <f t="array" ref="G30">_xlfn.IFNA(IF(INDEX('Analise FC'!$Q$5:$S$50,MATCH(1,('Analise Campos FC'!$B30='Analise FC'!$R$5:$R$50)*('Analise FC'!$S$5:$S$50='Analise Campos FC'!$C30),0),1)="simulação_testes","Y","N"),"N")</f>
        <v>Y</v>
      </c>
      <c r="H30" s="32" t="s">
        <v>357</v>
      </c>
    </row>
    <row r="31" spans="2:8" hidden="1">
      <c r="B31" s="134" t="s">
        <v>29</v>
      </c>
      <c r="C31" s="134" t="s">
        <v>96</v>
      </c>
      <c r="D31" s="176" t="str">
        <f t="array" ref="D31">_xlfn.IFNA(IF(INDEX('Analise FC'!$A$5:$C$43,MATCH(1,('Analise Campos FC'!$B31='Analise FC'!$B$5:$B$43)*('Analise FC'!$C$5:$C$43='Analise Campos FC'!$C31),0),1)="assessment","Y","N"),"N")</f>
        <v>Y</v>
      </c>
      <c r="E31" s="176" t="str">
        <f t="array" ref="E31">_xlfn.IFNA(IF(INDEX('Analise FC'!$F$5:$H$28,MATCH(1,('Analise Campos FC'!$B31='Analise FC'!$G$5:$G$28)*('Analise FC'!$H$5:$H$28='Analise Campos FC'!$C31),0),1)="teste_regressivo","Y","N"),"N")</f>
        <v>N</v>
      </c>
      <c r="F31" s="176" t="str" cm="1">
        <f t="array" ref="F31">_xlfn.IFNA(IF(INDEX('Analise FC'!$L$5:$N$74,MATCH(1,('Analise Campos FC'!$B31='Analise FC'!$M$5:$M$74)*('Analise FC'!$N$5:$N$74='Analise Campos FC'!$C31),0),1)="especificação","Y","N"),"N")</f>
        <v>Y</v>
      </c>
      <c r="G31" s="176" t="str" cm="1">
        <f t="array" ref="G31">_xlfn.IFNA(IF(INDEX('Analise FC'!$Q$5:$S$50,MATCH(1,('Analise Campos FC'!$B31='Analise FC'!$R$5:$R$50)*('Analise FC'!$S$5:$S$50='Analise Campos FC'!$C31),0),1)="simulação_testes","Y","N"),"N")</f>
        <v>Y</v>
      </c>
      <c r="H31" s="32" t="s">
        <v>357</v>
      </c>
    </row>
    <row r="32" spans="2:8" hidden="1">
      <c r="B32" s="134" t="s">
        <v>29</v>
      </c>
      <c r="C32" s="198" t="s">
        <v>97</v>
      </c>
      <c r="D32" s="176" t="str">
        <f t="array" ref="D32">_xlfn.IFNA(IF(INDEX('Analise FC'!$A$5:$C$43,MATCH(1,('Analise Campos FC'!$B32='Analise FC'!$B$5:$B$43)*('Analise FC'!$C$5:$C$43='Analise Campos FC'!$C32),0),1)="assessment","Y","N"),"N")</f>
        <v>Y</v>
      </c>
      <c r="E32" s="176" t="str">
        <f t="array" ref="E32">_xlfn.IFNA(IF(INDEX('Analise FC'!$F$5:$H$28,MATCH(1,('Analise Campos FC'!$B32='Analise FC'!$G$5:$G$28)*('Analise FC'!$H$5:$H$28='Analise Campos FC'!$C32),0),1)="teste_regressivo","Y","N"),"N")</f>
        <v>N</v>
      </c>
      <c r="F32" s="176" t="str" cm="1">
        <f t="array" ref="F32">_xlfn.IFNA(IF(INDEX('Analise FC'!$L$5:$N$74,MATCH(1,('Analise Campos FC'!$B32='Analise FC'!$M$5:$M$74)*('Analise FC'!$N$5:$N$74='Analise Campos FC'!$C32),0),1)="especificação","Y","N"),"N")</f>
        <v>Y</v>
      </c>
      <c r="G32" s="176" t="str" cm="1">
        <f t="array" ref="G32">_xlfn.IFNA(IF(INDEX('Analise FC'!$Q$5:$S$50,MATCH(1,('Analise Campos FC'!$B32='Analise FC'!$R$5:$R$50)*('Analise FC'!$S$5:$S$50='Analise Campos FC'!$C32),0),1)="simulação_testes","Y","N"),"N")</f>
        <v>Y</v>
      </c>
      <c r="H32" s="32" t="s">
        <v>357</v>
      </c>
    </row>
    <row r="33" spans="2:8" hidden="1">
      <c r="B33" s="134" t="s">
        <v>29</v>
      </c>
      <c r="C33" s="198" t="s">
        <v>98</v>
      </c>
      <c r="D33" s="176" t="str">
        <f t="array" ref="D33">_xlfn.IFNA(IF(INDEX('Analise FC'!$A$5:$C$43,MATCH(1,('Analise Campos FC'!$B33='Analise FC'!$B$5:$B$43)*('Analise FC'!$C$5:$C$43='Analise Campos FC'!$C33),0),1)="assessment","Y","N"),"N")</f>
        <v>Y</v>
      </c>
      <c r="E33" s="176" t="str">
        <f t="array" ref="E33">_xlfn.IFNA(IF(INDEX('Analise FC'!$F$5:$H$28,MATCH(1,('Analise Campos FC'!$B33='Analise FC'!$G$5:$G$28)*('Analise FC'!$H$5:$H$28='Analise Campos FC'!$C33),0),1)="teste_regressivo","Y","N"),"N")</f>
        <v>N</v>
      </c>
      <c r="F33" s="176" t="str" cm="1">
        <f t="array" ref="F33">_xlfn.IFNA(IF(INDEX('Analise FC'!$L$5:$N$74,MATCH(1,('Analise Campos FC'!$B33='Analise FC'!$M$5:$M$74)*('Analise FC'!$N$5:$N$74='Analise Campos FC'!$C33),0),1)="especificação","Y","N"),"N")</f>
        <v>Y</v>
      </c>
      <c r="G33" s="176" t="str" cm="1">
        <f t="array" ref="G33">_xlfn.IFNA(IF(INDEX('Analise FC'!$Q$5:$S$50,MATCH(1,('Analise Campos FC'!$B33='Analise FC'!$R$5:$R$50)*('Analise FC'!$S$5:$S$50='Analise Campos FC'!$C33),0),1)="simulação_testes","Y","N"),"N")</f>
        <v>Y</v>
      </c>
      <c r="H33" s="32" t="s">
        <v>357</v>
      </c>
    </row>
    <row r="34" spans="2:8" hidden="1">
      <c r="B34" s="134" t="s">
        <v>29</v>
      </c>
      <c r="C34" s="198" t="s">
        <v>99</v>
      </c>
      <c r="D34" s="176" t="str">
        <f t="array" ref="D34">_xlfn.IFNA(IF(INDEX('Analise FC'!$A$5:$C$43,MATCH(1,('Analise Campos FC'!$B34='Analise FC'!$B$5:$B$43)*('Analise FC'!$C$5:$C$43='Analise Campos FC'!$C34),0),1)="assessment","Y","N"),"N")</f>
        <v>Y</v>
      </c>
      <c r="E34" s="176" t="str">
        <f t="array" ref="E34">_xlfn.IFNA(IF(INDEX('Analise FC'!$F$5:$H$28,MATCH(1,('Analise Campos FC'!$B34='Analise FC'!$G$5:$G$28)*('Analise FC'!$H$5:$H$28='Analise Campos FC'!$C34),0),1)="teste_regressivo","Y","N"),"N")</f>
        <v>N</v>
      </c>
      <c r="F34" s="176" t="str" cm="1">
        <f t="array" ref="F34">_xlfn.IFNA(IF(INDEX('Analise FC'!$L$5:$N$74,MATCH(1,('Analise Campos FC'!$B34='Analise FC'!$M$5:$M$74)*('Analise FC'!$N$5:$N$74='Analise Campos FC'!$C34),0),1)="especificação","Y","N"),"N")</f>
        <v>Y</v>
      </c>
      <c r="G34" s="176" t="str" cm="1">
        <f t="array" ref="G34">_xlfn.IFNA(IF(INDEX('Analise FC'!$Q$5:$S$50,MATCH(1,('Analise Campos FC'!$B34='Analise FC'!$R$5:$R$50)*('Analise FC'!$S$5:$S$50='Analise Campos FC'!$C34),0),1)="simulação_testes","Y","N"),"N")</f>
        <v>Y</v>
      </c>
      <c r="H34" s="32" t="s">
        <v>357</v>
      </c>
    </row>
    <row r="35" spans="2:8" hidden="1">
      <c r="B35" s="134" t="s">
        <v>29</v>
      </c>
      <c r="C35" s="198" t="s">
        <v>100</v>
      </c>
      <c r="D35" s="176" t="str">
        <f t="array" ref="D35">_xlfn.IFNA(IF(INDEX('Analise FC'!$A$5:$C$43,MATCH(1,('Analise Campos FC'!$B35='Analise FC'!$B$5:$B$43)*('Analise FC'!$C$5:$C$43='Analise Campos FC'!$C35),0),1)="assessment","Y","N"),"N")</f>
        <v>Y</v>
      </c>
      <c r="E35" s="176" t="str">
        <f t="array" ref="E35">_xlfn.IFNA(IF(INDEX('Analise FC'!$F$5:$H$28,MATCH(1,('Analise Campos FC'!$B35='Analise FC'!$G$5:$G$28)*('Analise FC'!$H$5:$H$28='Analise Campos FC'!$C35),0),1)="teste_regressivo","Y","N"),"N")</f>
        <v>N</v>
      </c>
      <c r="F35" s="176" t="str" cm="1">
        <f t="array" ref="F35">_xlfn.IFNA(IF(INDEX('Analise FC'!$L$5:$N$74,MATCH(1,('Analise Campos FC'!$B35='Analise FC'!$M$5:$M$74)*('Analise FC'!$N$5:$N$74='Analise Campos FC'!$C35),0),1)="especificação","Y","N"),"N")</f>
        <v>Y</v>
      </c>
      <c r="G35" s="176" t="str" cm="1">
        <f t="array" ref="G35">_xlfn.IFNA(IF(INDEX('Analise FC'!$Q$5:$S$50,MATCH(1,('Analise Campos FC'!$B35='Analise FC'!$R$5:$R$50)*('Analise FC'!$S$5:$S$50='Analise Campos FC'!$C35),0),1)="simulação_testes","Y","N"),"N")</f>
        <v>Y</v>
      </c>
      <c r="H35" s="32" t="s">
        <v>357</v>
      </c>
    </row>
    <row r="36" spans="2:8" hidden="1">
      <c r="B36" s="134" t="s">
        <v>29</v>
      </c>
      <c r="C36" s="198" t="s">
        <v>101</v>
      </c>
      <c r="D36" s="176" t="str">
        <f t="array" ref="D36">_xlfn.IFNA(IF(INDEX('Analise FC'!$A$5:$C$43,MATCH(1,('Analise Campos FC'!$B36='Analise FC'!$B$5:$B$43)*('Analise FC'!$C$5:$C$43='Analise Campos FC'!$C36),0),1)="assessment","Y","N"),"N")</f>
        <v>Y</v>
      </c>
      <c r="E36" s="176" t="str">
        <f t="array" ref="E36">_xlfn.IFNA(IF(INDEX('Analise FC'!$F$5:$H$28,MATCH(1,('Analise Campos FC'!$B36='Analise FC'!$G$5:$G$28)*('Analise FC'!$H$5:$H$28='Analise Campos FC'!$C36),0),1)="teste_regressivo","Y","N"),"N")</f>
        <v>N</v>
      </c>
      <c r="F36" s="176" t="str" cm="1">
        <f t="array" ref="F36">_xlfn.IFNA(IF(INDEX('Analise FC'!$L$5:$N$74,MATCH(1,('Analise Campos FC'!$B36='Analise FC'!$M$5:$M$74)*('Analise FC'!$N$5:$N$74='Analise Campos FC'!$C36),0),1)="especificação","Y","N"),"N")</f>
        <v>Y</v>
      </c>
      <c r="G36" s="176" t="str" cm="1">
        <f t="array" ref="G36">_xlfn.IFNA(IF(INDEX('Analise FC'!$Q$5:$S$50,MATCH(1,('Analise Campos FC'!$B36='Analise FC'!$R$5:$R$50)*('Analise FC'!$S$5:$S$50='Analise Campos FC'!$C36),0),1)="simulação_testes","Y","N"),"N")</f>
        <v>Y</v>
      </c>
      <c r="H36" s="32" t="s">
        <v>357</v>
      </c>
    </row>
    <row r="37" spans="2:8" hidden="1">
      <c r="B37" s="134" t="s">
        <v>29</v>
      </c>
      <c r="C37" s="198" t="s">
        <v>63</v>
      </c>
      <c r="D37" s="176" t="str">
        <f t="array" ref="D37">_xlfn.IFNA(IF(INDEX('Analise FC'!$A$5:$C$43,MATCH(1,('Analise Campos FC'!$B37='Analise FC'!$B$5:$B$43)*('Analise FC'!$C$5:$C$43='Analise Campos FC'!$C37),0),1)="assessment","Y","N"),"N")</f>
        <v>Y</v>
      </c>
      <c r="E37" s="176" t="str">
        <f t="array" ref="E37">_xlfn.IFNA(IF(INDEX('Analise FC'!$F$5:$H$28,MATCH(1,('Analise Campos FC'!$B37='Analise FC'!$G$5:$G$28)*('Analise FC'!$H$5:$H$28='Analise Campos FC'!$C37),0),1)="teste_regressivo","Y","N"),"N")</f>
        <v>N</v>
      </c>
      <c r="F37" s="176" t="str" cm="1">
        <f t="array" ref="F37">_xlfn.IFNA(IF(INDEX('Analise FC'!$L$5:$N$74,MATCH(1,('Analise Campos FC'!$B37='Analise FC'!$M$5:$M$74)*('Analise FC'!$N$5:$N$74='Analise Campos FC'!$C37),0),1)="especificação","Y","N"),"N")</f>
        <v>Y</v>
      </c>
      <c r="G37" s="176" t="str" cm="1">
        <f t="array" ref="G37">_xlfn.IFNA(IF(INDEX('Analise FC'!$Q$5:$S$50,MATCH(1,('Analise Campos FC'!$B37='Analise FC'!$R$5:$R$50)*('Analise FC'!$S$5:$S$50='Analise Campos FC'!$C37),0),1)="simulação_testes","Y","N"),"N")</f>
        <v>Y</v>
      </c>
      <c r="H37" s="32" t="s">
        <v>357</v>
      </c>
    </row>
    <row r="38" spans="2:8" hidden="1">
      <c r="B38" s="134" t="s">
        <v>29</v>
      </c>
      <c r="C38" s="198" t="s">
        <v>102</v>
      </c>
      <c r="D38" s="176" t="str">
        <f t="array" ref="D38">_xlfn.IFNA(IF(INDEX('Analise FC'!$A$5:$C$43,MATCH(1,('Analise Campos FC'!$B38='Analise FC'!$B$5:$B$43)*('Analise FC'!$C$5:$C$43='Analise Campos FC'!$C38),0),1)="assessment","Y","N"),"N")</f>
        <v>Y</v>
      </c>
      <c r="E38" s="176" t="str">
        <f t="array" ref="E38">_xlfn.IFNA(IF(INDEX('Analise FC'!$F$5:$H$28,MATCH(1,('Analise Campos FC'!$B38='Analise FC'!$G$5:$G$28)*('Analise FC'!$H$5:$H$28='Analise Campos FC'!$C38),0),1)="teste_regressivo","Y","N"),"N")</f>
        <v>N</v>
      </c>
      <c r="F38" s="176" t="str" cm="1">
        <f t="array" ref="F38">_xlfn.IFNA(IF(INDEX('Analise FC'!$L$5:$N$74,MATCH(1,('Analise Campos FC'!$B38='Analise FC'!$M$5:$M$74)*('Analise FC'!$N$5:$N$74='Analise Campos FC'!$C38),0),1)="especificação","Y","N"),"N")</f>
        <v>Y</v>
      </c>
      <c r="G38" s="176" t="str" cm="1">
        <f t="array" ref="G38">_xlfn.IFNA(IF(INDEX('Analise FC'!$Q$5:$S$50,MATCH(1,('Analise Campos FC'!$B38='Analise FC'!$R$5:$R$50)*('Analise FC'!$S$5:$S$50='Analise Campos FC'!$C38),0),1)="simulação_testes","Y","N"),"N")</f>
        <v>Y</v>
      </c>
      <c r="H38" s="32" t="s">
        <v>357</v>
      </c>
    </row>
    <row r="39" spans="2:8" hidden="1">
      <c r="B39" s="134" t="s">
        <v>29</v>
      </c>
      <c r="C39" s="198" t="s">
        <v>103</v>
      </c>
      <c r="D39" s="176" t="str">
        <f t="array" ref="D39">_xlfn.IFNA(IF(INDEX('Analise FC'!$A$5:$C$43,MATCH(1,('Analise Campos FC'!$B39='Analise FC'!$B$5:$B$43)*('Analise FC'!$C$5:$C$43='Analise Campos FC'!$C39),0),1)="assessment","Y","N"),"N")</f>
        <v>Y</v>
      </c>
      <c r="E39" s="176" t="str">
        <f t="array" ref="E39">_xlfn.IFNA(IF(INDEX('Analise FC'!$F$5:$H$28,MATCH(1,('Analise Campos FC'!$B39='Analise FC'!$G$5:$G$28)*('Analise FC'!$H$5:$H$28='Analise Campos FC'!$C39),0),1)="teste_regressivo","Y","N"),"N")</f>
        <v>N</v>
      </c>
      <c r="F39" s="176" t="str" cm="1">
        <f t="array" ref="F39">_xlfn.IFNA(IF(INDEX('Analise FC'!$L$5:$N$74,MATCH(1,('Analise Campos FC'!$B39='Analise FC'!$M$5:$M$74)*('Analise FC'!$N$5:$N$74='Analise Campos FC'!$C39),0),1)="especificação","Y","N"),"N")</f>
        <v>Y</v>
      </c>
      <c r="G39" s="176" t="str" cm="1">
        <f t="array" ref="G39">_xlfn.IFNA(IF(INDEX('Analise FC'!$Q$5:$S$50,MATCH(1,('Analise Campos FC'!$B39='Analise FC'!$R$5:$R$50)*('Analise FC'!$S$5:$S$50='Analise Campos FC'!$C39),0),1)="simulação_testes","Y","N"),"N")</f>
        <v>Y</v>
      </c>
      <c r="H39" s="32" t="s">
        <v>357</v>
      </c>
    </row>
    <row r="40" spans="2:8" hidden="1">
      <c r="B40" s="194" t="s">
        <v>29</v>
      </c>
      <c r="C40" s="194" t="s">
        <v>65</v>
      </c>
      <c r="D40" s="176" t="s">
        <v>350</v>
      </c>
      <c r="E40" s="176" t="s">
        <v>350</v>
      </c>
      <c r="F40" s="176" t="s">
        <v>350</v>
      </c>
      <c r="G40" s="176" t="s">
        <v>350</v>
      </c>
      <c r="H40" s="176" t="s">
        <v>350</v>
      </c>
    </row>
    <row r="41" spans="2:8" hidden="1">
      <c r="B41" s="194" t="s">
        <v>269</v>
      </c>
      <c r="C41" s="194" t="s">
        <v>30</v>
      </c>
      <c r="D41" s="176" t="s">
        <v>350</v>
      </c>
      <c r="E41" s="176" t="s">
        <v>350</v>
      </c>
      <c r="F41" s="176" t="s">
        <v>363</v>
      </c>
      <c r="G41" s="176" t="s">
        <v>350</v>
      </c>
      <c r="H41" s="176" t="s">
        <v>350</v>
      </c>
    </row>
    <row r="42" spans="2:8" hidden="1">
      <c r="B42" s="194" t="s">
        <v>269</v>
      </c>
      <c r="C42" s="194" t="s">
        <v>270</v>
      </c>
      <c r="D42" s="176" t="s">
        <v>350</v>
      </c>
      <c r="E42" s="176" t="s">
        <v>350</v>
      </c>
      <c r="F42" s="176" t="s">
        <v>363</v>
      </c>
      <c r="G42" s="176" t="s">
        <v>350</v>
      </c>
      <c r="H42" s="176" t="s">
        <v>350</v>
      </c>
    </row>
    <row r="43" spans="2:8" hidden="1">
      <c r="B43" s="194" t="s">
        <v>269</v>
      </c>
      <c r="C43" s="194" t="s">
        <v>271</v>
      </c>
      <c r="D43" s="176" t="s">
        <v>350</v>
      </c>
      <c r="E43" s="176" t="s">
        <v>350</v>
      </c>
      <c r="F43" s="176" t="s">
        <v>363</v>
      </c>
      <c r="G43" s="176" t="s">
        <v>350</v>
      </c>
      <c r="H43" s="176" t="s">
        <v>350</v>
      </c>
    </row>
    <row r="44" spans="2:8" hidden="1">
      <c r="B44" s="194" t="s">
        <v>269</v>
      </c>
      <c r="C44" s="194" t="s">
        <v>272</v>
      </c>
      <c r="D44" s="176" t="s">
        <v>350</v>
      </c>
      <c r="E44" s="176" t="s">
        <v>350</v>
      </c>
      <c r="F44" s="176" t="s">
        <v>363</v>
      </c>
      <c r="G44" s="176" t="s">
        <v>350</v>
      </c>
      <c r="H44" s="176" t="s">
        <v>350</v>
      </c>
    </row>
    <row r="45" spans="2:8" hidden="1">
      <c r="B45" s="194" t="s">
        <v>269</v>
      </c>
      <c r="C45" s="194" t="s">
        <v>26</v>
      </c>
      <c r="D45" s="176" t="s">
        <v>350</v>
      </c>
      <c r="E45" s="176" t="s">
        <v>350</v>
      </c>
      <c r="F45" s="176" t="s">
        <v>363</v>
      </c>
      <c r="G45" s="176" t="s">
        <v>350</v>
      </c>
      <c r="H45" s="176" t="s">
        <v>350</v>
      </c>
    </row>
    <row r="46" spans="2:8" hidden="1">
      <c r="B46" s="194" t="s">
        <v>269</v>
      </c>
      <c r="C46" s="194" t="s">
        <v>25</v>
      </c>
      <c r="D46" s="176" t="s">
        <v>350</v>
      </c>
      <c r="E46" s="176" t="s">
        <v>350</v>
      </c>
      <c r="F46" s="176" t="s">
        <v>363</v>
      </c>
      <c r="G46" s="176" t="s">
        <v>350</v>
      </c>
      <c r="H46" s="176" t="s">
        <v>350</v>
      </c>
    </row>
    <row r="47" spans="2:8" hidden="1">
      <c r="B47" s="194" t="s">
        <v>29</v>
      </c>
      <c r="C47" s="194" t="s">
        <v>58</v>
      </c>
      <c r="D47" s="176" t="s">
        <v>350</v>
      </c>
      <c r="E47" s="176" t="s">
        <v>350</v>
      </c>
      <c r="F47" s="176" t="s">
        <v>350</v>
      </c>
      <c r="G47" s="176" t="s">
        <v>350</v>
      </c>
      <c r="H47" s="176" t="s">
        <v>350</v>
      </c>
    </row>
    <row r="48" spans="2:8" hidden="1">
      <c r="B48" s="194" t="s">
        <v>29</v>
      </c>
      <c r="C48" s="194" t="s">
        <v>59</v>
      </c>
      <c r="D48" s="176" t="s">
        <v>350</v>
      </c>
      <c r="E48" s="176" t="s">
        <v>350</v>
      </c>
      <c r="F48" s="176" t="s">
        <v>350</v>
      </c>
      <c r="G48" s="176" t="s">
        <v>350</v>
      </c>
      <c r="H48" s="176" t="s">
        <v>350</v>
      </c>
    </row>
    <row r="49" spans="1:9">
      <c r="A49" s="32" t="s">
        <v>359</v>
      </c>
      <c r="B49" s="239" t="s">
        <v>29</v>
      </c>
      <c r="C49" s="134" t="s">
        <v>51</v>
      </c>
      <c r="D49" s="176" t="str">
        <f t="array" ref="D49">_xlfn.IFNA(IF(INDEX('Analise FC'!$A$5:$C$43,MATCH(1,('Analise Campos FC'!$B49='Analise FC'!$B$5:$B$43)*('Analise FC'!$C$5:$C$43='Analise Campos FC'!$C49),0),1)="assessment","Y","N"),"N")</f>
        <v>N</v>
      </c>
      <c r="E49" s="176" t="str">
        <f t="array" ref="E49">_xlfn.IFNA(IF(INDEX('Analise FC'!$F$5:$H$28,MATCH(1,('Analise Campos FC'!$B49='Analise FC'!$G$5:$G$28)*('Analise FC'!$H$5:$H$28='Analise Campos FC'!$C49),0),1)="teste_regressivo","Y","N"),"N")</f>
        <v>Y</v>
      </c>
      <c r="F49" s="176" t="str" cm="1">
        <f t="array" ref="F49">_xlfn.IFNA(IF(INDEX('Analise FC'!$L$5:$N$74,MATCH(1,('Analise Campos FC'!$B49='Analise FC'!$M$5:$M$74)*('Analise FC'!$N$5:$N$74='Analise Campos FC'!$C49),0),1)="especificação","Y","N"),"N")</f>
        <v>N</v>
      </c>
      <c r="G49" s="176" t="str" cm="1">
        <f t="array" ref="G49">_xlfn.IFNA(IF(INDEX('Analise FC'!$Q$5:$S$50,MATCH(1,('Analise Campos FC'!$B49='Analise FC'!$R$5:$R$50)*('Analise FC'!$S$5:$S$50='Analise Campos FC'!$C49),0),1)="simulação_testes","Y","N"),"N")</f>
        <v>N</v>
      </c>
      <c r="H49" s="32" t="s">
        <v>357</v>
      </c>
      <c r="I49" s="32" t="s">
        <v>369</v>
      </c>
    </row>
    <row r="50" spans="1:9">
      <c r="A50" s="32" t="s">
        <v>359</v>
      </c>
      <c r="B50" s="239" t="s">
        <v>29</v>
      </c>
      <c r="C50" s="134" t="s">
        <v>68</v>
      </c>
      <c r="D50" s="176" t="str">
        <f t="array" ref="D50">_xlfn.IFNA(IF(INDEX('Analise FC'!$A$5:$C$43,MATCH(1,('Analise Campos FC'!$B50='Analise FC'!$B$5:$B$43)*('Analise FC'!$C$5:$C$43='Analise Campos FC'!$C50),0),1)="assessment","Y","N"),"N")</f>
        <v>N</v>
      </c>
      <c r="E50" s="176" t="str">
        <f t="array" ref="E50">_xlfn.IFNA(IF(INDEX('Analise FC'!$F$5:$H$28,MATCH(1,('Analise Campos FC'!$B50='Analise FC'!$G$5:$G$28)*('Analise FC'!$H$5:$H$28='Analise Campos FC'!$C50),0),1)="teste_regressivo","Y","N"),"N")</f>
        <v>Y</v>
      </c>
      <c r="F50" s="176" t="str" cm="1">
        <f t="array" ref="F50">_xlfn.IFNA(IF(INDEX('Analise FC'!$L$5:$N$74,MATCH(1,('Analise Campos FC'!$B50='Analise FC'!$M$5:$M$74)*('Analise FC'!$N$5:$N$74='Analise Campos FC'!$C50),0),1)="especificação","Y","N"),"N")</f>
        <v>N</v>
      </c>
      <c r="G50" s="176" t="str" cm="1">
        <f t="array" ref="G50">_xlfn.IFNA(IF(INDEX('Analise FC'!$Q$5:$S$50,MATCH(1,('Analise Campos FC'!$B50='Analise FC'!$R$5:$R$50)*('Analise FC'!$S$5:$S$50='Analise Campos FC'!$C50),0),1)="simulação_testes","Y","N"),"N")</f>
        <v>N</v>
      </c>
      <c r="H50" s="32" t="s">
        <v>357</v>
      </c>
    </row>
    <row r="51" spans="1:9">
      <c r="A51" s="32" t="s">
        <v>359</v>
      </c>
      <c r="B51" s="239" t="s">
        <v>29</v>
      </c>
      <c r="C51" s="134" t="s">
        <v>52</v>
      </c>
      <c r="D51" s="176" t="str">
        <f t="array" ref="D51">_xlfn.IFNA(IF(INDEX('Analise FC'!$A$5:$C$43,MATCH(1,('Analise Campos FC'!$B51='Analise FC'!$B$5:$B$43)*('Analise FC'!$C$5:$C$43='Analise Campos FC'!$C51),0),1)="assessment","Y","N"),"N")</f>
        <v>N</v>
      </c>
      <c r="E51" s="176" t="str">
        <f t="array" ref="E51">_xlfn.IFNA(IF(INDEX('Analise FC'!$F$5:$H$28,MATCH(1,('Analise Campos FC'!$B51='Analise FC'!$G$5:$G$28)*('Analise FC'!$H$5:$H$28='Analise Campos FC'!$C51),0),1)="teste_regressivo","Y","N"),"N")</f>
        <v>Y</v>
      </c>
      <c r="F51" s="176" t="str" cm="1">
        <f t="array" ref="F51">_xlfn.IFNA(IF(INDEX('Analise FC'!$L$5:$N$74,MATCH(1,('Analise Campos FC'!$B51='Analise FC'!$M$5:$M$74)*('Analise FC'!$N$5:$N$74='Analise Campos FC'!$C51),0),1)="especificação","Y","N"),"N")</f>
        <v>N</v>
      </c>
      <c r="G51" s="176" t="str" cm="1">
        <f t="array" ref="G51">_xlfn.IFNA(IF(INDEX('Analise FC'!$Q$5:$S$50,MATCH(1,('Analise Campos FC'!$B51='Analise FC'!$R$5:$R$50)*('Analise FC'!$S$5:$S$50='Analise Campos FC'!$C51),0),1)="simulação_testes","Y","N"),"N")</f>
        <v>N</v>
      </c>
      <c r="H51" s="32" t="s">
        <v>357</v>
      </c>
      <c r="I51" s="32" t="s">
        <v>369</v>
      </c>
    </row>
    <row r="52" spans="1:9">
      <c r="A52" s="32" t="s">
        <v>359</v>
      </c>
      <c r="B52" s="239" t="s">
        <v>29</v>
      </c>
      <c r="C52" s="134" t="s">
        <v>55</v>
      </c>
      <c r="D52" s="176" t="str">
        <f t="array" ref="D52">_xlfn.IFNA(IF(INDEX('Analise FC'!$A$5:$C$43,MATCH(1,('Analise Campos FC'!$B52='Analise FC'!$B$5:$B$43)*('Analise FC'!$C$5:$C$43='Analise Campos FC'!$C52),0),1)="assessment","Y","N"),"N")</f>
        <v>N</v>
      </c>
      <c r="E52" s="176" t="str">
        <f t="array" ref="E52">_xlfn.IFNA(IF(INDEX('Analise FC'!$F$5:$H$28,MATCH(1,('Analise Campos FC'!$B52='Analise FC'!$G$5:$G$28)*('Analise FC'!$H$5:$H$28='Analise Campos FC'!$C52),0),1)="teste_regressivo","Y","N"),"N")</f>
        <v>Y</v>
      </c>
      <c r="F52" s="176" t="str" cm="1">
        <f t="array" ref="F52">_xlfn.IFNA(IF(INDEX('Analise FC'!$L$5:$N$74,MATCH(1,('Analise Campos FC'!$B52='Analise FC'!$M$5:$M$74)*('Analise FC'!$N$5:$N$74='Analise Campos FC'!$C52),0),1)="especificação","Y","N"),"N")</f>
        <v>N</v>
      </c>
      <c r="G52" s="176" t="str" cm="1">
        <f t="array" ref="G52">_xlfn.IFNA(IF(INDEX('Analise FC'!$Q$5:$S$50,MATCH(1,('Analise Campos FC'!$B52='Analise FC'!$R$5:$R$50)*('Analise FC'!$S$5:$S$50='Analise Campos FC'!$C52),0),1)="simulação_testes","Y","N"),"N")</f>
        <v>N</v>
      </c>
      <c r="H52" s="32" t="s">
        <v>357</v>
      </c>
      <c r="I52" s="32" t="s">
        <v>386</v>
      </c>
    </row>
    <row r="53" spans="1:9">
      <c r="A53" s="32" t="s">
        <v>359</v>
      </c>
      <c r="B53" s="239" t="s">
        <v>29</v>
      </c>
      <c r="C53" s="134" t="s">
        <v>69</v>
      </c>
      <c r="D53" s="176" t="str">
        <f t="array" ref="D53">_xlfn.IFNA(IF(INDEX('Analise FC'!$A$5:$C$43,MATCH(1,('Analise Campos FC'!$B53='Analise FC'!$B$5:$B$43)*('Analise FC'!$C$5:$C$43='Analise Campos FC'!$C53),0),1)="assessment","Y","N"),"N")</f>
        <v>N</v>
      </c>
      <c r="E53" s="176" t="str">
        <f t="array" ref="E53">_xlfn.IFNA(IF(INDEX('Analise FC'!$F$5:$H$28,MATCH(1,('Analise Campos FC'!$B53='Analise FC'!$G$5:$G$28)*('Analise FC'!$H$5:$H$28='Analise Campos FC'!$C53),0),1)="teste_regressivo","Y","N"),"N")</f>
        <v>Y</v>
      </c>
      <c r="F53" s="176" t="str" cm="1">
        <f t="array" ref="F53">_xlfn.IFNA(IF(INDEX('Analise FC'!$L$5:$N$74,MATCH(1,('Analise Campos FC'!$B53='Analise FC'!$M$5:$M$74)*('Analise FC'!$N$5:$N$74='Analise Campos FC'!$C53),0),1)="especificação","Y","N"),"N")</f>
        <v>N</v>
      </c>
      <c r="G53" s="176" t="str" cm="1">
        <f t="array" ref="G53">_xlfn.IFNA(IF(INDEX('Analise FC'!$Q$5:$S$50,MATCH(1,('Analise Campos FC'!$B53='Analise FC'!$R$5:$R$50)*('Analise FC'!$S$5:$S$50='Analise Campos FC'!$C53),0),1)="simulação_testes","Y","N"),"N")</f>
        <v>N</v>
      </c>
      <c r="H53" s="32" t="s">
        <v>357</v>
      </c>
    </row>
    <row r="54" spans="1:9">
      <c r="A54" s="32" t="s">
        <v>359</v>
      </c>
      <c r="B54" s="239" t="s">
        <v>29</v>
      </c>
      <c r="C54" s="134" t="s">
        <v>56</v>
      </c>
      <c r="D54" s="176" t="str">
        <f t="array" ref="D54">_xlfn.IFNA(IF(INDEX('Analise FC'!$A$5:$C$43,MATCH(1,('Analise Campos FC'!$B54='Analise FC'!$B$5:$B$43)*('Analise FC'!$C$5:$C$43='Analise Campos FC'!$C54),0),1)="assessment","Y","N"),"N")</f>
        <v>N</v>
      </c>
      <c r="E54" s="176" t="str">
        <f t="array" ref="E54">_xlfn.IFNA(IF(INDEX('Analise FC'!$F$5:$H$28,MATCH(1,('Analise Campos FC'!$B54='Analise FC'!$G$5:$G$28)*('Analise FC'!$H$5:$H$28='Analise Campos FC'!$C54),0),1)="teste_regressivo","Y","N"),"N")</f>
        <v>Y</v>
      </c>
      <c r="F54" s="176" t="str" cm="1">
        <f t="array" ref="F54">_xlfn.IFNA(IF(INDEX('Analise FC'!$L$5:$N$74,MATCH(1,('Analise Campos FC'!$B54='Analise FC'!$M$5:$M$74)*('Analise FC'!$N$5:$N$74='Analise Campos FC'!$C54),0),1)="especificação","Y","N"),"N")</f>
        <v>N</v>
      </c>
      <c r="G54" s="176" t="str" cm="1">
        <f t="array" ref="G54">_xlfn.IFNA(IF(INDEX('Analise FC'!$Q$5:$S$50,MATCH(1,('Analise Campos FC'!$B54='Analise FC'!$R$5:$R$50)*('Analise FC'!$S$5:$S$50='Analise Campos FC'!$C54),0),1)="simulação_testes","Y","N"),"N")</f>
        <v>N</v>
      </c>
      <c r="H54" s="32" t="s">
        <v>357</v>
      </c>
    </row>
    <row r="55" spans="1:9">
      <c r="A55" s="32" t="s">
        <v>359</v>
      </c>
      <c r="B55" s="239" t="s">
        <v>29</v>
      </c>
      <c r="C55" s="134" t="s">
        <v>70</v>
      </c>
      <c r="D55" s="176" t="str">
        <f t="array" ref="D55">_xlfn.IFNA(IF(INDEX('Analise FC'!$A$5:$C$43,MATCH(1,('Analise Campos FC'!$B55='Analise FC'!$B$5:$B$43)*('Analise FC'!$C$5:$C$43='Analise Campos FC'!$C55),0),1)="assessment","Y","N"),"N")</f>
        <v>N</v>
      </c>
      <c r="E55" s="176" t="str">
        <f t="array" ref="E55">_xlfn.IFNA(IF(INDEX('Analise FC'!$F$5:$H$28,MATCH(1,('Analise Campos FC'!$B55='Analise FC'!$G$5:$G$28)*('Analise FC'!$H$5:$H$28='Analise Campos FC'!$C55),0),1)="teste_regressivo","Y","N"),"N")</f>
        <v>Y</v>
      </c>
      <c r="F55" s="176" t="str" cm="1">
        <f t="array" ref="F55">_xlfn.IFNA(IF(INDEX('Analise FC'!$L$5:$N$74,MATCH(1,('Analise Campos FC'!$B55='Analise FC'!$M$5:$M$74)*('Analise FC'!$N$5:$N$74='Analise Campos FC'!$C55),0),1)="especificação","Y","N"),"N")</f>
        <v>N</v>
      </c>
      <c r="G55" s="176" t="str" cm="1">
        <f t="array" ref="G55">_xlfn.IFNA(IF(INDEX('Analise FC'!$Q$5:$S$50,MATCH(1,('Analise Campos FC'!$B55='Analise FC'!$R$5:$R$50)*('Analise FC'!$S$5:$S$50='Analise Campos FC'!$C55),0),1)="simulação_testes","Y","N"),"N")</f>
        <v>N</v>
      </c>
      <c r="H55" s="32" t="s">
        <v>357</v>
      </c>
    </row>
    <row r="56" spans="1:9">
      <c r="A56" s="32" t="s">
        <v>359</v>
      </c>
      <c r="B56" s="239" t="s">
        <v>29</v>
      </c>
      <c r="C56" s="134" t="s">
        <v>71</v>
      </c>
      <c r="D56" s="176" t="str">
        <f t="array" ref="D56">_xlfn.IFNA(IF(INDEX('Analise FC'!$A$5:$C$43,MATCH(1,('Analise Campos FC'!$B56='Analise FC'!$B$5:$B$43)*('Analise FC'!$C$5:$C$43='Analise Campos FC'!$C56),0),1)="assessment","Y","N"),"N")</f>
        <v>N</v>
      </c>
      <c r="E56" s="176" t="str">
        <f t="array" ref="E56">_xlfn.IFNA(IF(INDEX('Analise FC'!$F$5:$H$28,MATCH(1,('Analise Campos FC'!$B56='Analise FC'!$G$5:$G$28)*('Analise FC'!$H$5:$H$28='Analise Campos FC'!$C56),0),1)="teste_regressivo","Y","N"),"N")</f>
        <v>Y</v>
      </c>
      <c r="F56" s="176" t="str" cm="1">
        <f t="array" ref="F56">_xlfn.IFNA(IF(INDEX('Analise FC'!$L$5:$N$74,MATCH(1,('Analise Campos FC'!$B56='Analise FC'!$M$5:$M$74)*('Analise FC'!$N$5:$N$74='Analise Campos FC'!$C56),0),1)="especificação","Y","N"),"N")</f>
        <v>N</v>
      </c>
      <c r="G56" s="176" t="str" cm="1">
        <f t="array" ref="G56">_xlfn.IFNA(IF(INDEX('Analise FC'!$Q$5:$S$50,MATCH(1,('Analise Campos FC'!$B56='Analise FC'!$R$5:$R$50)*('Analise FC'!$S$5:$S$50='Analise Campos FC'!$C56),0),1)="simulação_testes","Y","N"),"N")</f>
        <v>N</v>
      </c>
      <c r="H56" s="32" t="s">
        <v>357</v>
      </c>
    </row>
    <row r="57" spans="1:9">
      <c r="A57" s="32" t="s">
        <v>359</v>
      </c>
      <c r="B57" s="239" t="s">
        <v>29</v>
      </c>
      <c r="C57" s="134" t="s">
        <v>72</v>
      </c>
      <c r="D57" s="176" t="str">
        <f t="array" ref="D57">_xlfn.IFNA(IF(INDEX('Analise FC'!$A$5:$C$43,MATCH(1,('Analise Campos FC'!$B57='Analise FC'!$B$5:$B$43)*('Analise FC'!$C$5:$C$43='Analise Campos FC'!$C57),0),1)="assessment","Y","N"),"N")</f>
        <v>N</v>
      </c>
      <c r="E57" s="176" t="str">
        <f t="array" ref="E57">_xlfn.IFNA(IF(INDEX('Analise FC'!$F$5:$H$28,MATCH(1,('Analise Campos FC'!$B57='Analise FC'!$G$5:$G$28)*('Analise FC'!$H$5:$H$28='Analise Campos FC'!$C57),0),1)="teste_regressivo","Y","N"),"N")</f>
        <v>Y</v>
      </c>
      <c r="F57" s="176" t="str" cm="1">
        <f t="array" ref="F57">_xlfn.IFNA(IF(INDEX('Analise FC'!$L$5:$N$74,MATCH(1,('Analise Campos FC'!$B57='Analise FC'!$M$5:$M$74)*('Analise FC'!$N$5:$N$74='Analise Campos FC'!$C57),0),1)="especificação","Y","N"),"N")</f>
        <v>N</v>
      </c>
      <c r="G57" s="176" t="str" cm="1">
        <f t="array" ref="G57">_xlfn.IFNA(IF(INDEX('Analise FC'!$Q$5:$S$50,MATCH(1,('Analise Campos FC'!$B57='Analise FC'!$R$5:$R$50)*('Analise FC'!$S$5:$S$50='Analise Campos FC'!$C57),0),1)="simulação_testes","Y","N"),"N")</f>
        <v>N</v>
      </c>
      <c r="H57" s="32" t="s">
        <v>357</v>
      </c>
    </row>
    <row r="58" spans="1:9">
      <c r="A58" s="32" t="s">
        <v>359</v>
      </c>
      <c r="B58" s="239" t="s">
        <v>29</v>
      </c>
      <c r="C58" s="134" t="s">
        <v>73</v>
      </c>
      <c r="D58" s="176" t="str">
        <f t="array" ref="D58">_xlfn.IFNA(IF(INDEX('Analise FC'!$A$5:$C$43,MATCH(1,('Analise Campos FC'!$B58='Analise FC'!$B$5:$B$43)*('Analise FC'!$C$5:$C$43='Analise Campos FC'!$C58),0),1)="assessment","Y","N"),"N")</f>
        <v>N</v>
      </c>
      <c r="E58" s="176" t="str">
        <f t="array" ref="E58">_xlfn.IFNA(IF(INDEX('Analise FC'!$F$5:$H$28,MATCH(1,('Analise Campos FC'!$B58='Analise FC'!$G$5:$G$28)*('Analise FC'!$H$5:$H$28='Analise Campos FC'!$C58),0),1)="teste_regressivo","Y","N"),"N")</f>
        <v>Y</v>
      </c>
      <c r="F58" s="176" t="str" cm="1">
        <f t="array" ref="F58">_xlfn.IFNA(IF(INDEX('Analise FC'!$L$5:$N$74,MATCH(1,('Analise Campos FC'!$B58='Analise FC'!$M$5:$M$74)*('Analise FC'!$N$5:$N$74='Analise Campos FC'!$C58),0),1)="especificação","Y","N"),"N")</f>
        <v>N</v>
      </c>
      <c r="G58" s="176" t="str" cm="1">
        <f t="array" ref="G58">_xlfn.IFNA(IF(INDEX('Analise FC'!$Q$5:$S$50,MATCH(1,('Analise Campos FC'!$B58='Analise FC'!$R$5:$R$50)*('Analise FC'!$S$5:$S$50='Analise Campos FC'!$C58),0),1)="simulação_testes","Y","N"),"N")</f>
        <v>N</v>
      </c>
      <c r="H58" s="32" t="s">
        <v>357</v>
      </c>
    </row>
    <row r="59" spans="1:9">
      <c r="A59" s="32" t="s">
        <v>359</v>
      </c>
      <c r="B59" s="239" t="s">
        <v>29</v>
      </c>
      <c r="C59" s="134" t="s">
        <v>74</v>
      </c>
      <c r="D59" s="176" t="str">
        <f t="array" ref="D59">_xlfn.IFNA(IF(INDEX('Analise FC'!$A$5:$C$43,MATCH(1,('Analise Campos FC'!$B59='Analise FC'!$B$5:$B$43)*('Analise FC'!$C$5:$C$43='Analise Campos FC'!$C59),0),1)="assessment","Y","N"),"N")</f>
        <v>N</v>
      </c>
      <c r="E59" s="176" t="str">
        <f t="array" ref="E59">_xlfn.IFNA(IF(INDEX('Analise FC'!$F$5:$H$28,MATCH(1,('Analise Campos FC'!$B59='Analise FC'!$G$5:$G$28)*('Analise FC'!$H$5:$H$28='Analise Campos FC'!$C59),0),1)="teste_regressivo","Y","N"),"N")</f>
        <v>Y</v>
      </c>
      <c r="F59" s="176" t="str" cm="1">
        <f t="array" ref="F59">_xlfn.IFNA(IF(INDEX('Analise FC'!$L$5:$N$74,MATCH(1,('Analise Campos FC'!$B59='Analise FC'!$M$5:$M$74)*('Analise FC'!$N$5:$N$74='Analise Campos FC'!$C59),0),1)="especificação","Y","N"),"N")</f>
        <v>N</v>
      </c>
      <c r="G59" s="176" t="str" cm="1">
        <f t="array" ref="G59">_xlfn.IFNA(IF(INDEX('Analise FC'!$Q$5:$S$50,MATCH(1,('Analise Campos FC'!$B59='Analise FC'!$R$5:$R$50)*('Analise FC'!$S$5:$S$50='Analise Campos FC'!$C59),0),1)="simulação_testes","Y","N"),"N")</f>
        <v>N</v>
      </c>
      <c r="H59" s="32" t="s">
        <v>357</v>
      </c>
    </row>
    <row r="60" spans="1:9">
      <c r="A60" s="32" t="s">
        <v>359</v>
      </c>
      <c r="B60" s="239" t="s">
        <v>29</v>
      </c>
      <c r="C60" s="134" t="s">
        <v>75</v>
      </c>
      <c r="D60" s="176" t="str">
        <f t="array" ref="D60">_xlfn.IFNA(IF(INDEX('Analise FC'!$A$5:$C$43,MATCH(1,('Analise Campos FC'!$B60='Analise FC'!$B$5:$B$43)*('Analise FC'!$C$5:$C$43='Analise Campos FC'!$C60),0),1)="assessment","Y","N"),"N")</f>
        <v>N</v>
      </c>
      <c r="E60" s="176" t="str">
        <f t="array" ref="E60">_xlfn.IFNA(IF(INDEX('Analise FC'!$F$5:$H$28,MATCH(1,('Analise Campos FC'!$B60='Analise FC'!$G$5:$G$28)*('Analise FC'!$H$5:$H$28='Analise Campos FC'!$C60),0),1)="teste_regressivo","Y","N"),"N")</f>
        <v>Y</v>
      </c>
      <c r="F60" s="176" t="str" cm="1">
        <f t="array" ref="F60">_xlfn.IFNA(IF(INDEX('Analise FC'!$L$5:$N$74,MATCH(1,('Analise Campos FC'!$B60='Analise FC'!$M$5:$M$74)*('Analise FC'!$N$5:$N$74='Analise Campos FC'!$C60),0),1)="especificação","Y","N"),"N")</f>
        <v>N</v>
      </c>
      <c r="G60" s="176" t="str" cm="1">
        <f t="array" ref="G60">_xlfn.IFNA(IF(INDEX('Analise FC'!$Q$5:$S$50,MATCH(1,('Analise Campos FC'!$B60='Analise FC'!$R$5:$R$50)*('Analise FC'!$S$5:$S$50='Analise Campos FC'!$C60),0),1)="simulação_testes","Y","N"),"N")</f>
        <v>N</v>
      </c>
      <c r="H60" s="32" t="s">
        <v>357</v>
      </c>
    </row>
    <row r="61" spans="1:9">
      <c r="A61" s="32" t="s">
        <v>359</v>
      </c>
      <c r="B61" s="239" t="s">
        <v>29</v>
      </c>
      <c r="C61" s="134" t="s">
        <v>76</v>
      </c>
      <c r="D61" s="176" t="str">
        <f t="array" ref="D61">_xlfn.IFNA(IF(INDEX('Analise FC'!$A$5:$C$43,MATCH(1,('Analise Campos FC'!$B61='Analise FC'!$B$5:$B$43)*('Analise FC'!$C$5:$C$43='Analise Campos FC'!$C61),0),1)="assessment","Y","N"),"N")</f>
        <v>N</v>
      </c>
      <c r="E61" s="176" t="str">
        <f t="array" ref="E61">_xlfn.IFNA(IF(INDEX('Analise FC'!$F$5:$H$28,MATCH(1,('Analise Campos FC'!$B61='Analise FC'!$G$5:$G$28)*('Analise FC'!$H$5:$H$28='Analise Campos FC'!$C61),0),1)="teste_regressivo","Y","N"),"N")</f>
        <v>Y</v>
      </c>
      <c r="F61" s="176" t="str" cm="1">
        <f t="array" ref="F61">_xlfn.IFNA(IF(INDEX('Analise FC'!$L$5:$N$74,MATCH(1,('Analise Campos FC'!$B61='Analise FC'!$M$5:$M$74)*('Analise FC'!$N$5:$N$74='Analise Campos FC'!$C61),0),1)="especificação","Y","N"),"N")</f>
        <v>N</v>
      </c>
      <c r="G61" s="176" t="str" cm="1">
        <f t="array" ref="G61">_xlfn.IFNA(IF(INDEX('Analise FC'!$Q$5:$S$50,MATCH(1,('Analise Campos FC'!$B61='Analise FC'!$R$5:$R$50)*('Analise FC'!$S$5:$S$50='Analise Campos FC'!$C61),0),1)="simulação_testes","Y","N"),"N")</f>
        <v>N</v>
      </c>
      <c r="H61" s="32" t="s">
        <v>357</v>
      </c>
    </row>
    <row r="62" spans="1:9">
      <c r="A62" s="32" t="s">
        <v>359</v>
      </c>
      <c r="B62" s="239" t="s">
        <v>29</v>
      </c>
      <c r="C62" s="134" t="s">
        <v>77</v>
      </c>
      <c r="D62" s="176" t="str">
        <f t="array" ref="D62">_xlfn.IFNA(IF(INDEX('Analise FC'!$A$5:$C$43,MATCH(1,('Analise Campos FC'!$B62='Analise FC'!$B$5:$B$43)*('Analise FC'!$C$5:$C$43='Analise Campos FC'!$C62),0),1)="assessment","Y","N"),"N")</f>
        <v>N</v>
      </c>
      <c r="E62" s="176" t="str">
        <f t="array" ref="E62">_xlfn.IFNA(IF(INDEX('Analise FC'!$F$5:$H$28,MATCH(1,('Analise Campos FC'!$B62='Analise FC'!$G$5:$G$28)*('Analise FC'!$H$5:$H$28='Analise Campos FC'!$C62),0),1)="teste_regressivo","Y","N"),"N")</f>
        <v>Y</v>
      </c>
      <c r="F62" s="176" t="str" cm="1">
        <f t="array" ref="F62">_xlfn.IFNA(IF(INDEX('Analise FC'!$L$5:$N$74,MATCH(1,('Analise Campos FC'!$B62='Analise FC'!$M$5:$M$74)*('Analise FC'!$N$5:$N$74='Analise Campos FC'!$C62),0),1)="especificação","Y","N"),"N")</f>
        <v>N</v>
      </c>
      <c r="G62" s="176" t="str" cm="1">
        <f t="array" ref="G62">_xlfn.IFNA(IF(INDEX('Analise FC'!$Q$5:$S$50,MATCH(1,('Analise Campos FC'!$B62='Analise FC'!$R$5:$R$50)*('Analise FC'!$S$5:$S$50='Analise Campos FC'!$C62),0),1)="simulação_testes","Y","N"),"N")</f>
        <v>N</v>
      </c>
      <c r="H62" s="32" t="s">
        <v>357</v>
      </c>
    </row>
    <row r="63" spans="1:9">
      <c r="A63" s="32" t="s">
        <v>359</v>
      </c>
      <c r="B63" s="239" t="s">
        <v>29</v>
      </c>
      <c r="C63" s="134" t="s">
        <v>78</v>
      </c>
      <c r="D63" s="176" t="str">
        <f t="array" ref="D63">_xlfn.IFNA(IF(INDEX('Analise FC'!$A$5:$C$43,MATCH(1,('Analise Campos FC'!$B63='Analise FC'!$B$5:$B$43)*('Analise FC'!$C$5:$C$43='Analise Campos FC'!$C63),0),1)="assessment","Y","N"),"N")</f>
        <v>N</v>
      </c>
      <c r="E63" s="176" t="str">
        <f t="array" ref="E63">_xlfn.IFNA(IF(INDEX('Analise FC'!$F$5:$H$28,MATCH(1,('Analise Campos FC'!$B63='Analise FC'!$G$5:$G$28)*('Analise FC'!$H$5:$H$28='Analise Campos FC'!$C63),0),1)="teste_regressivo","Y","N"),"N")</f>
        <v>Y</v>
      </c>
      <c r="F63" s="176" t="str" cm="1">
        <f t="array" ref="F63">_xlfn.IFNA(IF(INDEX('Analise FC'!$L$5:$N$74,MATCH(1,('Analise Campos FC'!$B63='Analise FC'!$M$5:$M$74)*('Analise FC'!$N$5:$N$74='Analise Campos FC'!$C63),0),1)="especificação","Y","N"),"N")</f>
        <v>N</v>
      </c>
      <c r="G63" s="176" t="str" cm="1">
        <f t="array" ref="G63">_xlfn.IFNA(IF(INDEX('Analise FC'!$Q$5:$S$50,MATCH(1,('Analise Campos FC'!$B63='Analise FC'!$R$5:$R$50)*('Analise FC'!$S$5:$S$50='Analise Campos FC'!$C63),0),1)="simulação_testes","Y","N"),"N")</f>
        <v>N</v>
      </c>
      <c r="H63" s="32" t="s">
        <v>357</v>
      </c>
    </row>
    <row r="64" spans="1:9">
      <c r="A64" s="32" t="s">
        <v>359</v>
      </c>
      <c r="B64" s="239" t="s">
        <v>29</v>
      </c>
      <c r="C64" s="134" t="s">
        <v>57</v>
      </c>
      <c r="D64" s="176" t="str">
        <f t="array" ref="D64">_xlfn.IFNA(IF(INDEX('Analise FC'!$A$5:$C$43,MATCH(1,('Analise Campos FC'!$B64='Analise FC'!$B$5:$B$43)*('Analise FC'!$C$5:$C$43='Analise Campos FC'!$C64),0),1)="assessment","Y","N"),"N")</f>
        <v>N</v>
      </c>
      <c r="E64" s="176" t="str">
        <f t="array" ref="E64">_xlfn.IFNA(IF(INDEX('Analise FC'!$F$5:$H$28,MATCH(1,('Analise Campos FC'!$B64='Analise FC'!$G$5:$G$28)*('Analise FC'!$H$5:$H$28='Analise Campos FC'!$C64),0),1)="teste_regressivo","Y","N"),"N")</f>
        <v>Y</v>
      </c>
      <c r="F64" s="176" t="str" cm="1">
        <f t="array" ref="F64">_xlfn.IFNA(IF(INDEX('Analise FC'!$L$5:$N$74,MATCH(1,('Analise Campos FC'!$B64='Analise FC'!$M$5:$M$74)*('Analise FC'!$N$5:$N$74='Analise Campos FC'!$C64),0),1)="especificação","Y","N"),"N")</f>
        <v>N</v>
      </c>
      <c r="G64" s="176" t="str" cm="1">
        <f t="array" ref="G64">_xlfn.IFNA(IF(INDEX('Analise FC'!$Q$5:$S$50,MATCH(1,('Analise Campos FC'!$B64='Analise FC'!$R$5:$R$50)*('Analise FC'!$S$5:$S$50='Analise Campos FC'!$C64),0),1)="simulação_testes","Y","N"),"N")</f>
        <v>N</v>
      </c>
      <c r="H64" s="32" t="s">
        <v>357</v>
      </c>
    </row>
    <row r="65" spans="1:9">
      <c r="A65" s="32" t="s">
        <v>359</v>
      </c>
      <c r="B65" s="239" t="s">
        <v>29</v>
      </c>
      <c r="C65" s="134" t="s">
        <v>66</v>
      </c>
      <c r="D65" s="176" t="str">
        <f t="array" ref="D65">_xlfn.IFNA(IF(INDEX('Analise FC'!$A$5:$C$43,MATCH(1,('Analise Campos FC'!$B65='Analise FC'!$B$5:$B$43)*('Analise FC'!$C$5:$C$43='Analise Campos FC'!$C65),0),1)="assessment","Y","N"),"N")</f>
        <v>N</v>
      </c>
      <c r="E65" s="176" t="str">
        <f t="array" ref="E65">_xlfn.IFNA(IF(INDEX('Analise FC'!$F$5:$H$28,MATCH(1,('Analise Campos FC'!$B65='Analise FC'!$G$5:$G$28)*('Analise FC'!$H$5:$H$28='Analise Campos FC'!$C65),0),1)="teste_regressivo","Y","N"),"N")</f>
        <v>Y</v>
      </c>
      <c r="F65" s="176" t="str" cm="1">
        <f t="array" ref="F65">_xlfn.IFNA(IF(INDEX('Analise FC'!$L$5:$N$74,MATCH(1,('Analise Campos FC'!$B65='Analise FC'!$M$5:$M$74)*('Analise FC'!$N$5:$N$74='Analise Campos FC'!$C65),0),1)="especificação","Y","N"),"N")</f>
        <v>N</v>
      </c>
      <c r="G65" s="176" t="str" cm="1">
        <f t="array" ref="G65">_xlfn.IFNA(IF(INDEX('Analise FC'!$Q$5:$S$50,MATCH(1,('Analise Campos FC'!$B65='Analise FC'!$R$5:$R$50)*('Analise FC'!$S$5:$S$50='Analise Campos FC'!$C65),0),1)="simulação_testes","Y","N"),"N")</f>
        <v>N</v>
      </c>
      <c r="H65" s="32" t="s">
        <v>357</v>
      </c>
    </row>
    <row r="66" spans="1:9" hidden="1">
      <c r="B66" s="239" t="s">
        <v>29</v>
      </c>
      <c r="C66" s="134" t="s">
        <v>110</v>
      </c>
      <c r="D66" s="176" t="str">
        <f t="array" ref="D66">_xlfn.IFNA(IF(INDEX('Analise FC'!$A$5:$C$43,MATCH(1,('Analise Campos FC'!$B66='Analise FC'!$B$5:$B$43)*('Analise FC'!$C$5:$C$43='Analise Campos FC'!$C66),0),1)="assessment","Y","N"),"N")</f>
        <v>N</v>
      </c>
      <c r="E66" s="176" t="str">
        <f t="array" ref="E66">_xlfn.IFNA(IF(INDEX('Analise FC'!$F$5:$H$28,MATCH(1,('Analise Campos FC'!$B66='Analise FC'!$G$5:$G$28)*('Analise FC'!$H$5:$H$28='Analise Campos FC'!$C66),0),1)="teste_regressivo","Y","N"),"N")</f>
        <v>N</v>
      </c>
      <c r="F66" s="176" t="str" cm="1">
        <f t="array" ref="F66">_xlfn.IFNA(IF(INDEX('Analise FC'!$L$5:$N$74,MATCH(1,('Analise Campos FC'!$B66='Analise FC'!$M$5:$M$74)*('Analise FC'!$N$5:$N$74='Analise Campos FC'!$C66),0),1)="especificação","Y","N"),"N")</f>
        <v>Y</v>
      </c>
      <c r="G66" s="176" t="str" cm="1">
        <f t="array" ref="G66">_xlfn.IFNA(IF(INDEX('Analise FC'!$Q$5:$S$50,MATCH(1,('Analise Campos FC'!$B66='Analise FC'!$R$5:$R$50)*('Analise FC'!$S$5:$S$50='Analise Campos FC'!$C66),0),1)="simulação_testes","Y","N"),"N")</f>
        <v>Y</v>
      </c>
    </row>
    <row r="67" spans="1:9" hidden="1">
      <c r="A67" s="32" t="s">
        <v>385</v>
      </c>
      <c r="B67" s="239" t="s">
        <v>29</v>
      </c>
      <c r="C67" s="134" t="s">
        <v>111</v>
      </c>
      <c r="D67" s="176" t="str">
        <f t="array" ref="D67">_xlfn.IFNA(IF(INDEX('Analise FC'!$A$5:$C$43,MATCH(1,('Analise Campos FC'!$B67='Analise FC'!$B$5:$B$43)*('Analise FC'!$C$5:$C$43='Analise Campos FC'!$C67),0),1)="assessment","Y","N"),"N")</f>
        <v>N</v>
      </c>
      <c r="E67" s="176" t="str">
        <f t="array" ref="E67">_xlfn.IFNA(IF(INDEX('Analise FC'!$F$5:$H$28,MATCH(1,('Analise Campos FC'!$B67='Analise FC'!$G$5:$G$28)*('Analise FC'!$H$5:$H$28='Analise Campos FC'!$C67),0),1)="teste_regressivo","Y","N"),"N")</f>
        <v>N</v>
      </c>
      <c r="F67" s="176" t="str" cm="1">
        <f t="array" ref="F67">_xlfn.IFNA(IF(INDEX('Analise FC'!$L$5:$N$74,MATCH(1,('Analise Campos FC'!$B67='Analise FC'!$M$5:$M$74)*('Analise FC'!$N$5:$N$74='Analise Campos FC'!$C67),0),1)="especificação","Y","N"),"N")</f>
        <v>Y</v>
      </c>
      <c r="G67" s="176" t="str" cm="1">
        <f t="array" ref="G67">_xlfn.IFNA(IF(INDEX('Analise FC'!$Q$5:$S$50,MATCH(1,('Analise Campos FC'!$B67='Analise FC'!$R$5:$R$50)*('Analise FC'!$S$5:$S$50='Analise Campos FC'!$C67),0),1)="simulação_testes","Y","N"),"N")</f>
        <v>Y</v>
      </c>
    </row>
    <row r="68" spans="1:9" hidden="1">
      <c r="B68" s="239" t="s">
        <v>29</v>
      </c>
      <c r="C68" s="134" t="s">
        <v>112</v>
      </c>
      <c r="D68" s="176" t="str">
        <f t="array" ref="D68">_xlfn.IFNA(IF(INDEX('Analise FC'!$A$5:$C$43,MATCH(1,('Analise Campos FC'!$B68='Analise FC'!$B$5:$B$43)*('Analise FC'!$C$5:$C$43='Analise Campos FC'!$C68),0),1)="assessment","Y","N"),"N")</f>
        <v>N</v>
      </c>
      <c r="E68" s="176" t="str">
        <f t="array" ref="E68">_xlfn.IFNA(IF(INDEX('Analise FC'!$F$5:$H$28,MATCH(1,('Analise Campos FC'!$B68='Analise FC'!$G$5:$G$28)*('Analise FC'!$H$5:$H$28='Analise Campos FC'!$C68),0),1)="teste_regressivo","Y","N"),"N")</f>
        <v>N</v>
      </c>
      <c r="F68" s="176" t="str" cm="1">
        <f t="array" ref="F68">_xlfn.IFNA(IF(INDEX('Analise FC'!$L$5:$N$74,MATCH(1,('Analise Campos FC'!$B68='Analise FC'!$M$5:$M$74)*('Analise FC'!$N$5:$N$74='Analise Campos FC'!$C68),0),1)="especificação","Y","N"),"N")</f>
        <v>Y</v>
      </c>
      <c r="G68" s="176" t="str" cm="1">
        <f t="array" ref="G68">_xlfn.IFNA(IF(INDEX('Analise FC'!$Q$5:$S$50,MATCH(1,('Analise Campos FC'!$B68='Analise FC'!$R$5:$R$50)*('Analise FC'!$S$5:$S$50='Analise Campos FC'!$C68),0),1)="simulação_testes","Y","N"),"N")</f>
        <v>Y</v>
      </c>
    </row>
    <row r="69" spans="1:9" hidden="1">
      <c r="B69" s="239" t="s">
        <v>275</v>
      </c>
      <c r="C69" s="134" t="s">
        <v>51</v>
      </c>
      <c r="D69" s="176" t="str">
        <f t="array" ref="D69">_xlfn.IFNA(IF(INDEX('Analise FC'!$A$5:$C$43,MATCH(1,('Analise Campos FC'!$B69='Analise FC'!$B$5:$B$43)*('Analise FC'!$C$5:$C$43='Analise Campos FC'!$C69),0),1)="assessment","Y","N"),"N")</f>
        <v>N</v>
      </c>
      <c r="E69" s="176" t="str">
        <f t="array" ref="E69">_xlfn.IFNA(IF(INDEX('Analise FC'!$F$5:$H$28,MATCH(1,('Analise Campos FC'!$B69='Analise FC'!$G$5:$G$28)*('Analise FC'!$H$5:$H$28='Analise Campos FC'!$C69),0),1)="teste_regressivo","Y","N"),"N")</f>
        <v>N</v>
      </c>
      <c r="F69" s="176" t="str" cm="1">
        <f t="array" ref="F69">_xlfn.IFNA(IF(INDEX('Analise FC'!$L$5:$N$74,MATCH(1,('Analise Campos FC'!$B69='Analise FC'!$M$5:$M$74)*('Analise FC'!$N$5:$N$74='Analise Campos FC'!$C69),0),1)="especificação","Y","N"),"N")</f>
        <v>Y</v>
      </c>
      <c r="G69" s="176" t="str" cm="1">
        <f t="array" ref="G69">_xlfn.IFNA(IF(INDEX('Analise FC'!$Q$5:$S$50,MATCH(1,('Analise Campos FC'!$B69='Analise FC'!$R$5:$R$50)*('Analise FC'!$S$5:$S$50='Analise Campos FC'!$C69),0),1)="simulação_testes","Y","N"),"N")</f>
        <v>Y</v>
      </c>
      <c r="H69" s="32" t="s">
        <v>360</v>
      </c>
      <c r="I69" s="32" t="s">
        <v>369</v>
      </c>
    </row>
    <row r="70" spans="1:9" hidden="1">
      <c r="B70" s="239" t="s">
        <v>275</v>
      </c>
      <c r="C70" s="134" t="s">
        <v>52</v>
      </c>
      <c r="D70" s="176" t="str">
        <f t="array" ref="D70">_xlfn.IFNA(IF(INDEX('Analise FC'!$A$5:$C$43,MATCH(1,('Analise Campos FC'!$B70='Analise FC'!$B$5:$B$43)*('Analise FC'!$C$5:$C$43='Analise Campos FC'!$C70),0),1)="assessment","Y","N"),"N")</f>
        <v>N</v>
      </c>
      <c r="E70" s="176" t="str">
        <f t="array" ref="E70">_xlfn.IFNA(IF(INDEX('Analise FC'!$F$5:$H$28,MATCH(1,('Analise Campos FC'!$B70='Analise FC'!$G$5:$G$28)*('Analise FC'!$H$5:$H$28='Analise Campos FC'!$C70),0),1)="teste_regressivo","Y","N"),"N")</f>
        <v>N</v>
      </c>
      <c r="F70" s="176" t="str" cm="1">
        <f t="array" ref="F70">_xlfn.IFNA(IF(INDEX('Analise FC'!$L$5:$N$74,MATCH(1,('Analise Campos FC'!$B70='Analise FC'!$M$5:$M$74)*('Analise FC'!$N$5:$N$74='Analise Campos FC'!$C70),0),1)="especificação","Y","N"),"N")</f>
        <v>Y</v>
      </c>
      <c r="G70" s="176" t="str" cm="1">
        <f t="array" ref="G70">_xlfn.IFNA(IF(INDEX('Analise FC'!$Q$5:$S$50,MATCH(1,('Analise Campos FC'!$B70='Analise FC'!$R$5:$R$50)*('Analise FC'!$S$5:$S$50='Analise Campos FC'!$C70),0),1)="simulação_testes","Y","N"),"N")</f>
        <v>Y</v>
      </c>
      <c r="H70" s="32" t="s">
        <v>361</v>
      </c>
      <c r="I70" s="32" t="s">
        <v>369</v>
      </c>
    </row>
    <row r="71" spans="1:9" hidden="1">
      <c r="B71" s="239" t="s">
        <v>275</v>
      </c>
      <c r="C71" s="134" t="s">
        <v>53</v>
      </c>
      <c r="D71" s="176" t="str">
        <f t="array" ref="D71">_xlfn.IFNA(IF(INDEX('Analise FC'!$A$5:$C$43,MATCH(1,('Analise Campos FC'!$B71='Analise FC'!$B$5:$B$43)*('Analise FC'!$C$5:$C$43='Analise Campos FC'!$C71),0),1)="assessment","Y","N"),"N")</f>
        <v>N</v>
      </c>
      <c r="E71" s="176" t="str">
        <f t="array" ref="E71">_xlfn.IFNA(IF(INDEX('Analise FC'!$F$5:$H$28,MATCH(1,('Analise Campos FC'!$B71='Analise FC'!$G$5:$G$28)*('Analise FC'!$H$5:$H$28='Analise Campos FC'!$C71),0),1)="teste_regressivo","Y","N"),"N")</f>
        <v>N</v>
      </c>
      <c r="F71" s="176" t="str" cm="1">
        <f t="array" ref="F71">_xlfn.IFNA(IF(INDEX('Analise FC'!$L$5:$N$74,MATCH(1,('Analise Campos FC'!$B71='Analise FC'!$M$5:$M$74)*('Analise FC'!$N$5:$N$74='Analise Campos FC'!$C71),0),1)="especificação","Y","N"),"N")</f>
        <v>Y</v>
      </c>
      <c r="G71" s="176" t="str" cm="1">
        <f t="array" ref="G71">_xlfn.IFNA(IF(INDEX('Analise FC'!$Q$5:$S$50,MATCH(1,('Analise Campos FC'!$B71='Analise FC'!$R$5:$R$50)*('Analise FC'!$S$5:$S$50='Analise Campos FC'!$C71),0),1)="simulação_testes","Y","N"),"N")</f>
        <v>Y</v>
      </c>
      <c r="H71" s="32" t="s">
        <v>361</v>
      </c>
      <c r="I71" s="32" t="s">
        <v>369</v>
      </c>
    </row>
    <row r="72" spans="1:9" hidden="1">
      <c r="B72" s="239" t="s">
        <v>275</v>
      </c>
      <c r="C72" s="134" t="s">
        <v>113</v>
      </c>
      <c r="D72" s="176" t="str">
        <f t="array" ref="D72">_xlfn.IFNA(IF(INDEX('Analise FC'!$A$5:$C$43,MATCH(1,('Analise Campos FC'!$B72='Analise FC'!$B$5:$B$43)*('Analise FC'!$C$5:$C$43='Analise Campos FC'!$C72),0),1)="assessment","Y","N"),"N")</f>
        <v>N</v>
      </c>
      <c r="E72" s="176" t="str">
        <f t="array" ref="E72">_xlfn.IFNA(IF(INDEX('Analise FC'!$F$5:$H$28,MATCH(1,('Analise Campos FC'!$B72='Analise FC'!$G$5:$G$28)*('Analise FC'!$H$5:$H$28='Analise Campos FC'!$C72),0),1)="teste_regressivo","Y","N"),"N")</f>
        <v>N</v>
      </c>
      <c r="F72" s="176" t="str" cm="1">
        <f t="array" ref="F72">_xlfn.IFNA(IF(INDEX('Analise FC'!$L$5:$N$74,MATCH(1,('Analise Campos FC'!$B72='Analise FC'!$M$5:$M$74)*('Analise FC'!$N$5:$N$74='Analise Campos FC'!$C72),0),1)="especificação","Y","N"),"N")</f>
        <v>Y</v>
      </c>
      <c r="G72" s="176" t="str" cm="1">
        <f t="array" ref="G72">_xlfn.IFNA(IF(INDEX('Analise FC'!$Q$5:$S$50,MATCH(1,('Analise Campos FC'!$B72='Analise FC'!$R$5:$R$50)*('Analise FC'!$S$5:$S$50='Analise Campos FC'!$C72),0),1)="simulação_testes","Y","N"),"N")</f>
        <v>Y</v>
      </c>
      <c r="I72" s="32" t="s">
        <v>369</v>
      </c>
    </row>
    <row r="73" spans="1:9" hidden="1">
      <c r="B73" s="239" t="s">
        <v>28</v>
      </c>
      <c r="C73" s="134" t="s">
        <v>51</v>
      </c>
      <c r="D73" s="176" t="str">
        <f t="array" ref="D73">_xlfn.IFNA(IF(INDEX('Analise FC'!$A$5:$C$43,MATCH(1,('Analise Campos FC'!$B73='Analise FC'!$B$5:$B$43)*('Analise FC'!$C$5:$C$43='Analise Campos FC'!$C73),0),1)="assessment","Y","N"),"N")</f>
        <v>N</v>
      </c>
      <c r="E73" s="176" t="str">
        <f t="array" ref="E73">_xlfn.IFNA(IF(INDEX('Analise FC'!$F$5:$H$28,MATCH(1,('Analise Campos FC'!$B73='Analise FC'!$G$5:$G$28)*('Analise FC'!$H$5:$H$28='Analise Campos FC'!$C73),0),1)="teste_regressivo","Y","N"),"N")</f>
        <v>N</v>
      </c>
      <c r="F73" s="176" t="str" cm="1">
        <f t="array" ref="F73">_xlfn.IFNA(IF(INDEX('Analise FC'!$L$5:$N$74,MATCH(1,('Analise Campos FC'!$B73='Analise FC'!$M$5:$M$74)*('Analise FC'!$N$5:$N$74='Analise Campos FC'!$C73),0),1)="especificação","Y","N"),"N")</f>
        <v>Y</v>
      </c>
      <c r="G73" s="176" t="str" cm="1">
        <f t="array" ref="G73">_xlfn.IFNA(IF(INDEX('Analise FC'!$Q$5:$S$50,MATCH(1,('Analise Campos FC'!$B73='Analise FC'!$R$5:$R$50)*('Analise FC'!$S$5:$S$50='Analise Campos FC'!$C73),0),1)="simulação_testes","Y","N"),"N")</f>
        <v>Y</v>
      </c>
      <c r="H73" s="32" t="s">
        <v>360</v>
      </c>
      <c r="I73" s="32" t="s">
        <v>369</v>
      </c>
    </row>
    <row r="74" spans="1:9" hidden="1">
      <c r="B74" s="239" t="s">
        <v>28</v>
      </c>
      <c r="C74" s="134" t="s">
        <v>52</v>
      </c>
      <c r="D74" s="176" t="str">
        <f t="array" ref="D74">_xlfn.IFNA(IF(INDEX('Analise FC'!$A$5:$C$43,MATCH(1,('Analise Campos FC'!$B74='Analise FC'!$B$5:$B$43)*('Analise FC'!$C$5:$C$43='Analise Campos FC'!$C74),0),1)="assessment","Y","N"),"N")</f>
        <v>N</v>
      </c>
      <c r="E74" s="176" t="str">
        <f t="array" ref="E74">_xlfn.IFNA(IF(INDEX('Analise FC'!$F$5:$H$28,MATCH(1,('Analise Campos FC'!$B74='Analise FC'!$G$5:$G$28)*('Analise FC'!$H$5:$H$28='Analise Campos FC'!$C74),0),1)="teste_regressivo","Y","N"),"N")</f>
        <v>N</v>
      </c>
      <c r="F74" s="176" t="str" cm="1">
        <f t="array" ref="F74">_xlfn.IFNA(IF(INDEX('Analise FC'!$L$5:$N$74,MATCH(1,('Analise Campos FC'!$B74='Analise FC'!$M$5:$M$74)*('Analise FC'!$N$5:$N$74='Analise Campos FC'!$C74),0),1)="especificação","Y","N"),"N")</f>
        <v>Y</v>
      </c>
      <c r="G74" s="176" t="str" cm="1">
        <f t="array" ref="G74">_xlfn.IFNA(IF(INDEX('Analise FC'!$Q$5:$S$50,MATCH(1,('Analise Campos FC'!$B74='Analise FC'!$R$5:$R$50)*('Analise FC'!$S$5:$S$50='Analise Campos FC'!$C74),0),1)="simulação_testes","Y","N"),"N")</f>
        <v>Y</v>
      </c>
      <c r="H74" s="32" t="s">
        <v>361</v>
      </c>
      <c r="I74" s="32" t="s">
        <v>369</v>
      </c>
    </row>
    <row r="75" spans="1:9" hidden="1">
      <c r="B75" s="239" t="s">
        <v>28</v>
      </c>
      <c r="C75" s="134" t="s">
        <v>113</v>
      </c>
      <c r="D75" s="176" t="str">
        <f t="array" ref="D75">_xlfn.IFNA(IF(INDEX('Analise FC'!$A$5:$C$43,MATCH(1,('Analise Campos FC'!$B75='Analise FC'!$B$5:$B$43)*('Analise FC'!$C$5:$C$43='Analise Campos FC'!$C75),0),1)="assessment","Y","N"),"N")</f>
        <v>N</v>
      </c>
      <c r="E75" s="176" t="str">
        <f t="array" ref="E75">_xlfn.IFNA(IF(INDEX('Analise FC'!$F$5:$H$28,MATCH(1,('Analise Campos FC'!$B75='Analise FC'!$G$5:$G$28)*('Analise FC'!$H$5:$H$28='Analise Campos FC'!$C75),0),1)="teste_regressivo","Y","N"),"N")</f>
        <v>N</v>
      </c>
      <c r="F75" s="176" t="str" cm="1">
        <f t="array" ref="F75">_xlfn.IFNA(IF(INDEX('Analise FC'!$L$5:$N$74,MATCH(1,('Analise Campos FC'!$B75='Analise FC'!$M$5:$M$74)*('Analise FC'!$N$5:$N$74='Analise Campos FC'!$C75),0),1)="especificação","Y","N"),"N")</f>
        <v>Y</v>
      </c>
      <c r="G75" s="176" t="str" cm="1">
        <f t="array" ref="G75">_xlfn.IFNA(IF(INDEX('Analise FC'!$Q$5:$S$50,MATCH(1,('Analise Campos FC'!$B75='Analise FC'!$R$5:$R$50)*('Analise FC'!$S$5:$S$50='Analise Campos FC'!$C75),0),1)="simulação_testes","Y","N"),"N")</f>
        <v>Y</v>
      </c>
      <c r="I75" s="32" t="s">
        <v>369</v>
      </c>
    </row>
    <row r="76" spans="1:9" hidden="1">
      <c r="A76" s="32" t="s">
        <v>384</v>
      </c>
      <c r="B76" s="239" t="s">
        <v>28</v>
      </c>
      <c r="C76" s="134" t="s">
        <v>114</v>
      </c>
      <c r="D76" s="176" t="str">
        <f t="array" ref="D76">_xlfn.IFNA(IF(INDEX('Analise FC'!$A$5:$C$43,MATCH(1,('Analise Campos FC'!$B76='Analise FC'!$B$5:$B$43)*('Analise FC'!$C$5:$C$43='Analise Campos FC'!$C76),0),1)="assessment","Y","N"),"N")</f>
        <v>N</v>
      </c>
      <c r="E76" s="176" t="str">
        <f t="array" ref="E76">_xlfn.IFNA(IF(INDEX('Analise FC'!$F$5:$H$28,MATCH(1,('Analise Campos FC'!$B76='Analise FC'!$G$5:$G$28)*('Analise FC'!$H$5:$H$28='Analise Campos FC'!$C76),0),1)="teste_regressivo","Y","N"),"N")</f>
        <v>N</v>
      </c>
      <c r="F76" s="176" t="str" cm="1">
        <f t="array" ref="F76">_xlfn.IFNA(IF(INDEX('Analise FC'!$L$5:$N$74,MATCH(1,('Analise Campos FC'!$B76='Analise FC'!$M$5:$M$74)*('Analise FC'!$N$5:$N$74='Analise Campos FC'!$C76),0),1)="especificação","Y","N"),"N")</f>
        <v>Y</v>
      </c>
      <c r="G76" s="176" t="str" cm="1">
        <f t="array" ref="G76">_xlfn.IFNA(IF(INDEX('Analise FC'!$Q$5:$S$50,MATCH(1,('Analise Campos FC'!$B76='Analise FC'!$R$5:$R$50)*('Analise FC'!$S$5:$S$50='Analise Campos FC'!$C76),0),1)="simulação_testes","Y","N"),"N")</f>
        <v>Y</v>
      </c>
    </row>
    <row r="77" spans="1:9" hidden="1">
      <c r="A77" s="32" t="s">
        <v>387</v>
      </c>
      <c r="B77" s="239" t="s">
        <v>28</v>
      </c>
      <c r="C77" s="134" t="s">
        <v>115</v>
      </c>
      <c r="D77" s="176" t="str">
        <f t="array" ref="D77">_xlfn.IFNA(IF(INDEX('Analise FC'!$A$5:$C$43,MATCH(1,('Analise Campos FC'!$B77='Analise FC'!$B$5:$B$43)*('Analise FC'!$C$5:$C$43='Analise Campos FC'!$C77),0),1)="assessment","Y","N"),"N")</f>
        <v>N</v>
      </c>
      <c r="E77" s="176" t="str">
        <f t="array" ref="E77">_xlfn.IFNA(IF(INDEX('Analise FC'!$F$5:$H$28,MATCH(1,('Analise Campos FC'!$B77='Analise FC'!$G$5:$G$28)*('Analise FC'!$H$5:$H$28='Analise Campos FC'!$C77),0),1)="teste_regressivo","Y","N"),"N")</f>
        <v>N</v>
      </c>
      <c r="F77" s="176" t="str" cm="1">
        <f t="array" ref="F77">_xlfn.IFNA(IF(INDEX('Analise FC'!$L$5:$N$74,MATCH(1,('Analise Campos FC'!$B77='Analise FC'!$M$5:$M$74)*('Analise FC'!$N$5:$N$74='Analise Campos FC'!$C77),0),1)="especificação","Y","N"),"N")</f>
        <v>Y</v>
      </c>
      <c r="G77" s="176" t="str" cm="1">
        <f t="array" ref="G77">_xlfn.IFNA(IF(INDEX('Analise FC'!$Q$5:$S$50,MATCH(1,('Analise Campos FC'!$B77='Analise FC'!$R$5:$R$50)*('Analise FC'!$S$5:$S$50='Analise Campos FC'!$C77),0),1)="simulação_testes","Y","N"),"N")</f>
        <v>Y</v>
      </c>
    </row>
    <row r="78" spans="1:9" hidden="1">
      <c r="B78" s="239" t="s">
        <v>28</v>
      </c>
      <c r="C78" s="134" t="s">
        <v>118</v>
      </c>
      <c r="D78" s="176" t="str">
        <f t="array" ref="D78">_xlfn.IFNA(IF(INDEX('Analise FC'!$A$5:$C$43,MATCH(1,('Analise Campos FC'!$B78='Analise FC'!$B$5:$B$43)*('Analise FC'!$C$5:$C$43='Analise Campos FC'!$C78),0),1)="assessment","Y","N"),"N")</f>
        <v>N</v>
      </c>
      <c r="E78" s="176" t="str">
        <f t="array" ref="E78">_xlfn.IFNA(IF(INDEX('Analise FC'!$F$5:$H$28,MATCH(1,('Analise Campos FC'!$B78='Analise FC'!$G$5:$G$28)*('Analise FC'!$H$5:$H$28='Analise Campos FC'!$C78),0),1)="teste_regressivo","Y","N"),"N")</f>
        <v>N</v>
      </c>
      <c r="F78" s="176" t="str" cm="1">
        <f t="array" ref="F78">_xlfn.IFNA(IF(INDEX('Analise FC'!$L$5:$N$74,MATCH(1,('Analise Campos FC'!$B78='Analise FC'!$M$5:$M$74)*('Analise FC'!$N$5:$N$74='Analise Campos FC'!$C78),0),1)="especificação","Y","N"),"N")</f>
        <v>Y</v>
      </c>
      <c r="G78" s="176" t="str" cm="1">
        <f t="array" ref="G78">_xlfn.IFNA(IF(INDEX('Analise FC'!$Q$5:$S$50,MATCH(1,('Analise Campos FC'!$B78='Analise FC'!$R$5:$R$50)*('Analise FC'!$S$5:$S$50='Analise Campos FC'!$C78),0),1)="simulação_testes","Y","N"),"N")</f>
        <v>Y</v>
      </c>
    </row>
    <row r="79" spans="1:9" hidden="1">
      <c r="B79" s="239" t="s">
        <v>108</v>
      </c>
      <c r="C79" s="134" t="s">
        <v>116</v>
      </c>
      <c r="D79" s="176" t="str">
        <f t="array" ref="D79">_xlfn.IFNA(IF(INDEX('Analise FC'!$A$5:$C$43,MATCH(1,('Analise Campos FC'!$B79='Analise FC'!$B$5:$B$43)*('Analise FC'!$C$5:$C$43='Analise Campos FC'!$C79),0),1)="assessment","Y","N"),"N")</f>
        <v>N</v>
      </c>
      <c r="E79" s="176" t="str">
        <f t="array" ref="E79">_xlfn.IFNA(IF(INDEX('Analise FC'!$F$5:$H$28,MATCH(1,('Analise Campos FC'!$B79='Analise FC'!$G$5:$G$28)*('Analise FC'!$H$5:$H$28='Analise Campos FC'!$C79),0),1)="teste_regressivo","Y","N"),"N")</f>
        <v>N</v>
      </c>
      <c r="F79" s="176" t="str" cm="1">
        <f t="array" ref="F79">_xlfn.IFNA(IF(INDEX('Analise FC'!$L$5:$N$74,MATCH(1,('Analise Campos FC'!$B79='Analise FC'!$M$5:$M$74)*('Analise FC'!$N$5:$N$74='Analise Campos FC'!$C79),0),1)="especificação","Y","N"),"N")</f>
        <v>Y</v>
      </c>
      <c r="G79" s="176" t="str" cm="1">
        <f t="array" ref="G79">_xlfn.IFNA(IF(INDEX('Analise FC'!$Q$5:$S$50,MATCH(1,('Analise Campos FC'!$B79='Analise FC'!$R$5:$R$50)*('Analise FC'!$S$5:$S$50='Analise Campos FC'!$C79),0),1)="simulação_testes","Y","N"),"N")</f>
        <v>Y</v>
      </c>
      <c r="H79" s="32" t="s">
        <v>357</v>
      </c>
      <c r="I79" s="32" t="s">
        <v>367</v>
      </c>
    </row>
    <row r="80" spans="1:9" hidden="1">
      <c r="B80" s="239" t="s">
        <v>29</v>
      </c>
      <c r="C80" s="134" t="s">
        <v>64</v>
      </c>
      <c r="D80" s="176" t="str">
        <f t="array" ref="D80">_xlfn.IFNA(IF(INDEX('Analise FC'!$A$5:$C$43,MATCH(1,('Analise Campos FC'!$B80='Analise FC'!$B$5:$B$43)*('Analise FC'!$C$5:$C$43='Analise Campos FC'!$C80),0),1)="assessment","Y","N"),"N")</f>
        <v>N</v>
      </c>
      <c r="E80" s="176" t="str">
        <f t="array" ref="E80">_xlfn.IFNA(IF(INDEX('Analise FC'!$F$5:$H$28,MATCH(1,('Analise Campos FC'!$B80='Analise FC'!$G$5:$G$28)*('Analise FC'!$H$5:$H$28='Analise Campos FC'!$C80),0),1)="teste_regressivo","Y","N"),"N")</f>
        <v>N</v>
      </c>
      <c r="F80" s="176" t="str" cm="1">
        <f t="array" ref="F80">_xlfn.IFNA(IF(INDEX('Analise FC'!$L$5:$N$74,MATCH(1,('Analise Campos FC'!$B80='Analise FC'!$M$5:$M$74)*('Analise FC'!$N$5:$N$74='Analise Campos FC'!$C80),0),1)="especificação","Y","N"),"N")</f>
        <v>Y</v>
      </c>
      <c r="G80" s="176" t="str" cm="1">
        <f t="array" ref="G80">_xlfn.IFNA(IF(INDEX('Analise FC'!$Q$5:$S$50,MATCH(1,('Analise Campos FC'!$B80='Analise FC'!$R$5:$R$50)*('Analise FC'!$S$5:$S$50='Analise Campos FC'!$C80),0),1)="simulação_testes","Y","N"),"N")</f>
        <v>Y</v>
      </c>
      <c r="H80" s="32" t="s">
        <v>365</v>
      </c>
    </row>
    <row r="81" spans="2:9" hidden="1">
      <c r="B81" s="239" t="s">
        <v>108</v>
      </c>
      <c r="C81" s="134" t="s">
        <v>58</v>
      </c>
      <c r="D81" s="176" t="str">
        <f t="array" ref="D81">_xlfn.IFNA(IF(INDEX('Analise FC'!$A$5:$C$43,MATCH(1,('Analise Campos FC'!$B81='Analise FC'!$B$5:$B$43)*('Analise FC'!$C$5:$C$43='Analise Campos FC'!$C81),0),1)="assessment","Y","N"),"N")</f>
        <v>N</v>
      </c>
      <c r="E81" s="176" t="str">
        <f t="array" ref="E81">_xlfn.IFNA(IF(INDEX('Analise FC'!$F$5:$H$28,MATCH(1,('Analise Campos FC'!$B81='Analise FC'!$G$5:$G$28)*('Analise FC'!$H$5:$H$28='Analise Campos FC'!$C81),0),1)="teste_regressivo","Y","N"),"N")</f>
        <v>N</v>
      </c>
      <c r="F81" s="176" t="str" cm="1">
        <f t="array" ref="F81">_xlfn.IFNA(IF(INDEX('Analise FC'!$L$5:$N$74,MATCH(1,('Analise Campos FC'!$B81='Analise FC'!$M$5:$M$74)*('Analise FC'!$N$5:$N$74='Analise Campos FC'!$C81),0),1)="especificação","Y","N"),"N")</f>
        <v>Y</v>
      </c>
      <c r="G81" s="176" t="str" cm="1">
        <f t="array" ref="G81">_xlfn.IFNA(IF(INDEX('Analise FC'!$Q$5:$S$50,MATCH(1,('Analise Campos FC'!$B81='Analise FC'!$R$5:$R$50)*('Analise FC'!$S$5:$S$50='Analise Campos FC'!$C81),0),1)="simulação_testes","Y","N"),"N")</f>
        <v>Y</v>
      </c>
      <c r="H81" s="32" t="s">
        <v>357</v>
      </c>
      <c r="I81" s="32" t="s">
        <v>368</v>
      </c>
    </row>
    <row r="82" spans="2:9" hidden="1">
      <c r="B82" s="239" t="s">
        <v>108</v>
      </c>
      <c r="C82" s="134" t="s">
        <v>59</v>
      </c>
      <c r="D82" s="176" t="str">
        <f t="array" ref="D82">_xlfn.IFNA(IF(INDEX('Analise FC'!$A$5:$C$43,MATCH(1,('Analise Campos FC'!$B82='Analise FC'!$B$5:$B$43)*('Analise FC'!$C$5:$C$43='Analise Campos FC'!$C82),0),1)="assessment","Y","N"),"N")</f>
        <v>N</v>
      </c>
      <c r="E82" s="176" t="str">
        <f t="array" ref="E82">_xlfn.IFNA(IF(INDEX('Analise FC'!$F$5:$H$28,MATCH(1,('Analise Campos FC'!$B82='Analise FC'!$G$5:$G$28)*('Analise FC'!$H$5:$H$28='Analise Campos FC'!$C82),0),1)="teste_regressivo","Y","N"),"N")</f>
        <v>N</v>
      </c>
      <c r="F82" s="176" t="str" cm="1">
        <f t="array" ref="F82">_xlfn.IFNA(IF(INDEX('Analise FC'!$L$5:$N$74,MATCH(1,('Analise Campos FC'!$B82='Analise FC'!$M$5:$M$74)*('Analise FC'!$N$5:$N$74='Analise Campos FC'!$C82),0),1)="especificação","Y","N"),"N")</f>
        <v>Y</v>
      </c>
      <c r="G82" s="176" t="str" cm="1">
        <f t="array" ref="G82">_xlfn.IFNA(IF(INDEX('Analise FC'!$Q$5:$S$50,MATCH(1,('Analise Campos FC'!$B82='Analise FC'!$R$5:$R$50)*('Analise FC'!$S$5:$S$50='Analise Campos FC'!$C82),0),1)="simulação_testes","Y","N"),"N")</f>
        <v>Y</v>
      </c>
      <c r="H82" s="32" t="s">
        <v>357</v>
      </c>
      <c r="I82" s="32" t="s">
        <v>368</v>
      </c>
    </row>
    <row r="83" spans="2:9" hidden="1">
      <c r="B83" s="239" t="s">
        <v>29</v>
      </c>
      <c r="C83" s="134" t="s">
        <v>53</v>
      </c>
      <c r="D83" s="176" t="str">
        <f t="array" ref="D83">_xlfn.IFNA(IF(INDEX('Analise FC'!$A$5:$C$43,MATCH(1,('Analise Campos FC'!$B83='Analise FC'!$B$5:$B$43)*('Analise FC'!$C$5:$C$43='Analise Campos FC'!$C83),0),1)="assessment","Y","N"),"N")</f>
        <v>N</v>
      </c>
      <c r="E83" s="176" t="str">
        <f t="array" ref="E83">_xlfn.IFNA(IF(INDEX('Analise FC'!$F$5:$H$28,MATCH(1,('Analise Campos FC'!$B83='Analise FC'!$G$5:$G$28)*('Analise FC'!$H$5:$H$28='Analise Campos FC'!$C83),0),1)="teste_regressivo","Y","N"),"N")</f>
        <v>N</v>
      </c>
      <c r="F83" s="199" t="s">
        <v>363</v>
      </c>
      <c r="G83" s="176" t="str" cm="1">
        <f t="array" ref="G83">_xlfn.IFNA(IF(INDEX('Analise FC'!$Q$5:$S$50,MATCH(1,('Analise Campos FC'!$B83='Analise FC'!$R$5:$R$50)*('Analise FC'!$S$5:$S$50='Analise Campos FC'!$C83),0),1)="simulação_testes","Y","N"),"N")</f>
        <v>Y</v>
      </c>
      <c r="H83" s="32" t="s">
        <v>357</v>
      </c>
      <c r="I83" s="32" t="s">
        <v>369</v>
      </c>
    </row>
    <row r="84" spans="2:9" hidden="1">
      <c r="B84" s="134" t="s">
        <v>275</v>
      </c>
      <c r="C84" s="134" t="s">
        <v>117</v>
      </c>
      <c r="D84" s="176" t="str">
        <f t="array" ref="D84">_xlfn.IFNA(IF(INDEX('Analise FC'!$A$5:$C$43,MATCH(1,('Analise Campos FC'!$B84='Analise FC'!$B$5:$B$43)*('Analise FC'!$C$5:$C$43='Analise Campos FC'!$C84),0),1)="assessment","Y","N"),"N")</f>
        <v>N</v>
      </c>
      <c r="E84" s="176" t="str">
        <f t="array" ref="E84">_xlfn.IFNA(IF(INDEX('Analise FC'!$F$5:$H$28,MATCH(1,('Analise Campos FC'!$B84='Analise FC'!$G$5:$G$28)*('Analise FC'!$H$5:$H$28='Analise Campos FC'!$C84),0),1)="teste_regressivo","Y","N"),"N")</f>
        <v>N</v>
      </c>
      <c r="F84" s="199" t="s">
        <v>363</v>
      </c>
      <c r="G84" s="176" t="str" cm="1">
        <f t="array" ref="G84">_xlfn.IFNA(IF(INDEX('Analise FC'!$Q$5:$S$50,MATCH(1,('Analise Campos FC'!$B84='Analise FC'!$R$5:$R$50)*('Analise FC'!$S$5:$S$50='Analise Campos FC'!$C84),0),1)="simulação_testes","Y","N"),"N")</f>
        <v>Y</v>
      </c>
      <c r="H84" s="32" t="s">
        <v>366</v>
      </c>
    </row>
    <row r="85" spans="2:9" hidden="1">
      <c r="B85" s="239" t="s">
        <v>108</v>
      </c>
      <c r="C85" s="197" t="s">
        <v>51</v>
      </c>
      <c r="D85" s="176" t="str">
        <f t="array" ref="D85">_xlfn.IFNA(IF(INDEX('Analise FC'!$A$5:$C$43,MATCH(1,('Analise Campos FC'!$B85='Analise FC'!$B$5:$B$43)*('Analise FC'!$C$5:$C$43='Analise Campos FC'!$C85),0),1)="assessment","Y","N"),"N")</f>
        <v>N</v>
      </c>
      <c r="E85" s="176" t="str">
        <f t="array" ref="E85">_xlfn.IFNA(IF(INDEX('Analise FC'!$F$5:$H$28,MATCH(1,('Analise Campos FC'!$B85='Analise FC'!$G$5:$G$28)*('Analise FC'!$H$5:$H$28='Analise Campos FC'!$C85),0),1)="teste_regressivo","Y","N"),"N")</f>
        <v>N</v>
      </c>
      <c r="F85" s="199" t="s">
        <v>363</v>
      </c>
      <c r="G85" s="176" t="str" cm="1">
        <f t="array" ref="G85">_xlfn.IFNA(IF(INDEX('Analise FC'!$Q$5:$S$50,MATCH(1,('Analise Campos FC'!$B85='Analise FC'!$R$5:$R$50)*('Analise FC'!$S$5:$S$50='Analise Campos FC'!$C85),0),1)="simulação_testes","Y","N"),"N")</f>
        <v>Y</v>
      </c>
      <c r="H85" s="32" t="s">
        <v>349</v>
      </c>
      <c r="I85" s="32" t="s">
        <v>369</v>
      </c>
    </row>
    <row r="86" spans="2:9" hidden="1">
      <c r="B86" s="239" t="s">
        <v>108</v>
      </c>
      <c r="C86" s="197" t="s">
        <v>52</v>
      </c>
      <c r="D86" s="176" t="str">
        <f t="array" ref="D86">_xlfn.IFNA(IF(INDEX('Analise FC'!$A$5:$C$43,MATCH(1,('Analise Campos FC'!$B86='Analise FC'!$B$5:$B$43)*('Analise FC'!$C$5:$C$43='Analise Campos FC'!$C86),0),1)="assessment","Y","N"),"N")</f>
        <v>N</v>
      </c>
      <c r="E86" s="176" t="str">
        <f t="array" ref="E86">_xlfn.IFNA(IF(INDEX('Analise FC'!$F$5:$H$28,MATCH(1,('Analise Campos FC'!$B86='Analise FC'!$G$5:$G$28)*('Analise FC'!$H$5:$H$28='Analise Campos FC'!$C86),0),1)="teste_regressivo","Y","N"),"N")</f>
        <v>N</v>
      </c>
      <c r="F86" s="199" t="s">
        <v>363</v>
      </c>
      <c r="G86" s="176" t="str" cm="1">
        <f t="array" ref="G86">_xlfn.IFNA(IF(INDEX('Analise FC'!$Q$5:$S$50,MATCH(1,('Analise Campos FC'!$B86='Analise FC'!$R$5:$R$50)*('Analise FC'!$S$5:$S$50='Analise Campos FC'!$C86),0),1)="simulação_testes","Y","N"),"N")</f>
        <v>Y</v>
      </c>
      <c r="H86" s="32" t="s">
        <v>349</v>
      </c>
      <c r="I86" s="32" t="s">
        <v>369</v>
      </c>
    </row>
    <row r="87" spans="2:9" hidden="1">
      <c r="B87" s="239" t="s">
        <v>108</v>
      </c>
      <c r="C87" s="134" t="s">
        <v>53</v>
      </c>
      <c r="D87" s="176" t="str">
        <f t="array" ref="D87">_xlfn.IFNA(IF(INDEX('Analise FC'!$A$5:$C$43,MATCH(1,('Analise Campos FC'!$B87='Analise FC'!$B$5:$B$43)*('Analise FC'!$C$5:$C$43='Analise Campos FC'!$C87),0),1)="assessment","Y","N"),"N")</f>
        <v>N</v>
      </c>
      <c r="E87" s="176" t="str">
        <f t="array" ref="E87">_xlfn.IFNA(IF(INDEX('Analise FC'!$F$5:$H$28,MATCH(1,('Analise Campos FC'!$B87='Analise FC'!$G$5:$G$28)*('Analise FC'!$H$5:$H$28='Analise Campos FC'!$C87),0),1)="teste_regressivo","Y","N"),"N")</f>
        <v>N</v>
      </c>
      <c r="F87" s="199" t="s">
        <v>363</v>
      </c>
      <c r="G87" s="176" t="str" cm="1">
        <f t="array" ref="G87">_xlfn.IFNA(IF(INDEX('Analise FC'!$Q$5:$S$50,MATCH(1,('Analise Campos FC'!$B87='Analise FC'!$R$5:$R$50)*('Analise FC'!$S$5:$S$50='Analise Campos FC'!$C87),0),1)="simulação_testes","Y","N"),"N")</f>
        <v>Y</v>
      </c>
      <c r="H87" s="32" t="s">
        <v>364</v>
      </c>
      <c r="I87" s="32" t="s">
        <v>369</v>
      </c>
    </row>
  </sheetData>
  <autoFilter ref="A10:J87" xr:uid="{AE8CBDD5-F190-4308-BFB9-636DBFAA4CA9}">
    <filterColumn colId="4">
      <filters>
        <filter val="Y"/>
      </filters>
    </filterColumn>
  </autoFilter>
  <conditionalFormatting sqref="D11:G87">
    <cfRule type="cellIs" dxfId="3" priority="3" operator="equal">
      <formula>"N"</formula>
    </cfRule>
    <cfRule type="cellIs" dxfId="2" priority="5" operator="equal">
      <formula>"Y"</formula>
    </cfRule>
  </conditionalFormatting>
  <conditionalFormatting sqref="H40:H48">
    <cfRule type="cellIs" dxfId="1" priority="1" operator="equal">
      <formula>"N"</formula>
    </cfRule>
    <cfRule type="cellIs" dxfId="0" priority="2" operator="equal">
      <formula>"Y"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4D23E-8DCF-47A6-A2C5-54A3FCC32B08}">
  <dimension ref="A2:W74"/>
  <sheetViews>
    <sheetView topLeftCell="K1" zoomScale="80" zoomScaleNormal="80" workbookViewId="0">
      <selection activeCell="L19" sqref="L19"/>
    </sheetView>
  </sheetViews>
  <sheetFormatPr defaultColWidth="9" defaultRowHeight="14.5"/>
  <cols>
    <col min="1" max="1" width="9" style="134"/>
    <col min="2" max="2" width="17.1640625" style="134" bestFit="1" customWidth="1"/>
    <col min="3" max="3" width="40.9140625" style="134" bestFit="1" customWidth="1"/>
    <col min="4" max="5" width="40.9140625" style="134" customWidth="1"/>
    <col min="6" max="6" width="9" style="134"/>
    <col min="7" max="7" width="14.1640625" style="134" bestFit="1" customWidth="1"/>
    <col min="8" max="8" width="29.9140625" style="134" bestFit="1" customWidth="1"/>
    <col min="9" max="9" width="25.4140625" style="134" bestFit="1" customWidth="1"/>
    <col min="10" max="10" width="67.08203125" style="134" bestFit="1" customWidth="1"/>
    <col min="11" max="11" width="67.08203125" style="134" customWidth="1"/>
    <col min="12" max="12" width="9" style="134"/>
    <col min="13" max="13" width="22.08203125" style="134" customWidth="1"/>
    <col min="14" max="14" width="20.4140625" style="134" bestFit="1" customWidth="1"/>
    <col min="15" max="15" width="23.5" style="134" bestFit="1" customWidth="1"/>
    <col min="16" max="17" width="9" style="134"/>
    <col min="18" max="18" width="16.1640625" style="134" bestFit="1" customWidth="1"/>
    <col min="19" max="19" width="34" style="134" bestFit="1" customWidth="1"/>
    <col min="20" max="20" width="9.58203125" style="134" bestFit="1" customWidth="1"/>
    <col min="21" max="21" width="19.6640625" style="134" bestFit="1" customWidth="1"/>
    <col min="22" max="22" width="21.58203125" style="134" bestFit="1" customWidth="1"/>
    <col min="23" max="23" width="23.1640625" style="134" bestFit="1" customWidth="1"/>
    <col min="24" max="16384" width="9" style="134"/>
  </cols>
  <sheetData>
    <row r="2" spans="1:23">
      <c r="B2" s="170" t="s">
        <v>276</v>
      </c>
      <c r="G2" s="170" t="s">
        <v>278</v>
      </c>
      <c r="M2" s="170" t="s">
        <v>173</v>
      </c>
      <c r="R2" s="170" t="s">
        <v>194</v>
      </c>
    </row>
    <row r="3" spans="1:23">
      <c r="B3" s="170"/>
      <c r="C3" s="134">
        <f>COUNTA(C6:C43)</f>
        <v>38</v>
      </c>
      <c r="H3" s="134">
        <f>COUNTA(H6:H28)</f>
        <v>23</v>
      </c>
      <c r="N3" s="134">
        <f>COUNTA(N6:N19)</f>
        <v>14</v>
      </c>
      <c r="S3" s="134">
        <f>COUNTA(S6:S50)</f>
        <v>45</v>
      </c>
    </row>
    <row r="5" spans="1:23">
      <c r="B5" s="170" t="s">
        <v>3</v>
      </c>
      <c r="C5" s="170" t="s">
        <v>4</v>
      </c>
      <c r="D5" s="170" t="s">
        <v>5</v>
      </c>
      <c r="E5" s="170" t="s">
        <v>49</v>
      </c>
      <c r="G5" s="170" t="s">
        <v>3</v>
      </c>
      <c r="H5" s="170" t="s">
        <v>4</v>
      </c>
      <c r="I5" s="170" t="s">
        <v>277</v>
      </c>
      <c r="J5" s="170" t="s">
        <v>279</v>
      </c>
      <c r="K5" s="170" t="s">
        <v>49</v>
      </c>
      <c r="M5" s="170" t="s">
        <v>3</v>
      </c>
      <c r="N5" s="170" t="s">
        <v>4</v>
      </c>
      <c r="O5" s="170" t="s">
        <v>284</v>
      </c>
      <c r="R5" s="170" t="s">
        <v>3</v>
      </c>
      <c r="S5" s="170" t="s">
        <v>4</v>
      </c>
      <c r="T5" s="134" t="s">
        <v>286</v>
      </c>
      <c r="U5" s="134" t="s">
        <v>287</v>
      </c>
      <c r="V5" s="134" t="s">
        <v>288</v>
      </c>
      <c r="W5" s="134" t="s">
        <v>49</v>
      </c>
    </row>
    <row r="6" spans="1:23" ht="16.5">
      <c r="A6" s="134" t="s">
        <v>345</v>
      </c>
      <c r="B6" s="134" t="s">
        <v>29</v>
      </c>
      <c r="C6" s="134" t="s">
        <v>79</v>
      </c>
      <c r="D6" s="134" t="s">
        <v>266</v>
      </c>
      <c r="F6" s="134" t="s">
        <v>346</v>
      </c>
      <c r="G6" s="134" t="s">
        <v>29</v>
      </c>
      <c r="H6" s="134" t="s">
        <v>51</v>
      </c>
      <c r="I6" s="134" t="str" cm="1">
        <f t="array" ref="I6">_xlfn.IFNA(IF(INDEX($B$6:$C$43,MATCH(1,(G6=$B$6:$B$43)*(H6=$C$6:$C$43),0),2)=H6,"Sim","Não"),"Não")</f>
        <v>Não</v>
      </c>
      <c r="J6" s="134" t="s">
        <v>280</v>
      </c>
      <c r="L6" s="134" t="s">
        <v>347</v>
      </c>
      <c r="M6" s="171" t="s">
        <v>29</v>
      </c>
      <c r="N6" s="85" t="s">
        <v>110</v>
      </c>
      <c r="O6" s="126" t="s">
        <v>285</v>
      </c>
      <c r="Q6" s="134" t="s">
        <v>348</v>
      </c>
      <c r="R6" s="171" t="s">
        <v>29</v>
      </c>
      <c r="S6" s="134" t="s">
        <v>53</v>
      </c>
      <c r="T6" s="134" t="e" cm="1">
        <f t="array" ref="T6">INDEX($B$6:$C$43,MATCH(1,(R6=$B$6:$B$43)*(S6=$C$6:$C$43),0),2)</f>
        <v>#N/A</v>
      </c>
      <c r="U6" s="134" t="e" cm="1">
        <f t="array" ref="U6">INDEX($G$6:$H$28,MATCH(1,(R6=$G$6:$G$28)*(S6=$H$6:$H$28),0),2)</f>
        <v>#N/A</v>
      </c>
      <c r="V6" s="134" t="e" cm="1">
        <f t="array" ref="V6">INDEX($M$6:$N$19,MATCH(1,(R6=$M$6:$M$19)*(S6=$N$6:$N$19),0),2)</f>
        <v>#N/A</v>
      </c>
    </row>
    <row r="7" spans="1:23" ht="16.5">
      <c r="A7" s="134" t="s">
        <v>345</v>
      </c>
      <c r="B7" s="134" t="s">
        <v>29</v>
      </c>
      <c r="C7" s="134" t="s">
        <v>60</v>
      </c>
      <c r="D7" s="134" t="s">
        <v>255</v>
      </c>
      <c r="F7" s="134" t="s">
        <v>346</v>
      </c>
      <c r="G7" s="134" t="s">
        <v>29</v>
      </c>
      <c r="H7" s="134" t="s">
        <v>68</v>
      </c>
      <c r="I7" s="134" t="str" cm="1">
        <f t="array" ref="I7">_xlfn.IFNA(IF(INDEX($B$6:$C$43,MATCH(1,(G7=$B$6:$B$43)*(H7=$C$6:$C$43),0),2)=H7,"Sim","Não"),"Não")</f>
        <v>Não</v>
      </c>
      <c r="J7" s="134" t="s">
        <v>280</v>
      </c>
      <c r="L7" s="134" t="s">
        <v>347</v>
      </c>
      <c r="M7" s="171" t="s">
        <v>29</v>
      </c>
      <c r="N7" s="92" t="s">
        <v>111</v>
      </c>
      <c r="O7" s="126" t="s">
        <v>285</v>
      </c>
      <c r="Q7" s="134" t="s">
        <v>348</v>
      </c>
      <c r="R7" s="171" t="s">
        <v>29</v>
      </c>
      <c r="S7" s="134" t="s">
        <v>110</v>
      </c>
      <c r="T7" s="134" t="e" cm="1">
        <f t="array" ref="T7">INDEX($B$6:$C$43,MATCH(1,(R7=$B$6:$B$43)*(S7=$C$6:$C$43),0),2)</f>
        <v>#N/A</v>
      </c>
      <c r="U7" s="134" t="e" cm="1">
        <f t="array" ref="U7">INDEX($G$6:$H$28,MATCH(1,(R7=$G$6:$G$28)*(S7=$H$6:$H$28),0),2)</f>
        <v>#N/A</v>
      </c>
      <c r="V7" s="134" t="str" cm="1">
        <f t="array" ref="V7">INDEX($M$6:$N$19,MATCH(1,(R7=$M$6:$M$19)*(S7=$N$6:$N$19),0),2)</f>
        <v>CCF</v>
      </c>
    </row>
    <row r="8" spans="1:23" ht="16.5">
      <c r="A8" s="134" t="s">
        <v>345</v>
      </c>
      <c r="B8" s="134" t="s">
        <v>29</v>
      </c>
      <c r="C8" s="134" t="s">
        <v>80</v>
      </c>
      <c r="D8" s="134" t="s">
        <v>268</v>
      </c>
      <c r="F8" s="134" t="s">
        <v>346</v>
      </c>
      <c r="G8" s="134" t="s">
        <v>29</v>
      </c>
      <c r="H8" s="134" t="s">
        <v>52</v>
      </c>
      <c r="I8" s="134" t="str" cm="1">
        <f t="array" ref="I8">_xlfn.IFNA(IF(INDEX($B$6:$C$43,MATCH(1,(G8=$B$6:$B$43)*(H8=$C$6:$C$43),0),2)=H8,"Sim","Não"),"Não")</f>
        <v>Não</v>
      </c>
      <c r="J8" s="134" t="s">
        <v>280</v>
      </c>
      <c r="L8" s="134" t="s">
        <v>347</v>
      </c>
      <c r="M8" s="171" t="s">
        <v>29</v>
      </c>
      <c r="N8" s="92" t="s">
        <v>112</v>
      </c>
      <c r="O8" s="126" t="s">
        <v>285</v>
      </c>
      <c r="Q8" s="134" t="s">
        <v>348</v>
      </c>
      <c r="R8" s="171" t="s">
        <v>29</v>
      </c>
      <c r="S8" s="134" t="s">
        <v>111</v>
      </c>
      <c r="T8" s="134" t="e" cm="1">
        <f t="array" ref="T8">INDEX($B$6:$C$43,MATCH(1,(R8=$B$6:$B$43)*(S8=$C$6:$C$43),0),2)</f>
        <v>#N/A</v>
      </c>
      <c r="U8" s="134" t="e" cm="1">
        <f t="array" ref="U8">INDEX($G$6:$H$28,MATCH(1,(R8=$G$6:$G$28)*(S8=$H$6:$H$28),0),2)</f>
        <v>#N/A</v>
      </c>
      <c r="V8" s="134" t="str" cm="1">
        <f t="array" ref="V8">INDEX($M$6:$N$19,MATCH(1,(R8=$M$6:$M$19)*(S8=$N$6:$N$19),0),2)</f>
        <v>EAD</v>
      </c>
    </row>
    <row r="9" spans="1:23" ht="16.5">
      <c r="A9" s="134" t="s">
        <v>345</v>
      </c>
      <c r="B9" s="134" t="s">
        <v>29</v>
      </c>
      <c r="C9" s="134" t="s">
        <v>81</v>
      </c>
      <c r="D9" s="134" t="s">
        <v>268</v>
      </c>
      <c r="F9" s="134" t="s">
        <v>346</v>
      </c>
      <c r="G9" s="134" t="s">
        <v>29</v>
      </c>
      <c r="H9" s="134" t="s">
        <v>55</v>
      </c>
      <c r="I9" s="134" t="str" cm="1">
        <f t="array" ref="I9">_xlfn.IFNA(IF(INDEX($B$6:$C$43,MATCH(1,(G9=$B$6:$B$43)*(H9=$C$6:$C$43),0),2)=H9,"Sim","Não"),"Não")</f>
        <v>Não</v>
      </c>
      <c r="J9" s="134" t="s">
        <v>280</v>
      </c>
      <c r="L9" s="134" t="s">
        <v>347</v>
      </c>
      <c r="M9" s="172" t="s">
        <v>275</v>
      </c>
      <c r="N9" s="92" t="s">
        <v>51</v>
      </c>
      <c r="O9" s="126" t="s">
        <v>285</v>
      </c>
      <c r="Q9" s="134" t="s">
        <v>348</v>
      </c>
      <c r="R9" s="171" t="s">
        <v>29</v>
      </c>
      <c r="S9" s="134" t="s">
        <v>79</v>
      </c>
      <c r="T9" s="134" t="str" cm="1">
        <f t="array" ref="T9">INDEX($B$6:$C$43,MATCH(1,(R9=$B$6:$B$43)*(S9=$C$6:$C$43),0),2)</f>
        <v>AVRG_BLNC</v>
      </c>
      <c r="U9" s="134" t="e" cm="1">
        <f t="array" ref="U9">INDEX($G$6:$H$28,MATCH(1,(R9=$G$6:$G$28)*(S9=$H$6:$H$28),0),2)</f>
        <v>#N/A</v>
      </c>
      <c r="V9" s="134" t="e" cm="1">
        <f t="array" ref="V9">INDEX($M$6:$N$19,MATCH(1,(R9=$M$6:$M$19)*(S9=$N$6:$N$19),0),2)</f>
        <v>#N/A</v>
      </c>
    </row>
    <row r="10" spans="1:23" ht="16.5">
      <c r="A10" s="134" t="s">
        <v>345</v>
      </c>
      <c r="B10" s="134" t="s">
        <v>29</v>
      </c>
      <c r="C10" s="134" t="s">
        <v>82</v>
      </c>
      <c r="D10" s="134" t="s">
        <v>266</v>
      </c>
      <c r="F10" s="134" t="s">
        <v>346</v>
      </c>
      <c r="G10" s="134" t="s">
        <v>29</v>
      </c>
      <c r="H10" s="134" t="s">
        <v>69</v>
      </c>
      <c r="I10" s="134" t="str" cm="1">
        <f t="array" ref="I10">_xlfn.IFNA(IF(INDEX($B$6:$C$43,MATCH(1,(G10=$B$6:$B$43)*(H10=$C$6:$C$43),0),2)=H10,"Sim","Não"),"Não")</f>
        <v>Não</v>
      </c>
      <c r="J10" s="134" t="s">
        <v>280</v>
      </c>
      <c r="L10" s="134" t="s">
        <v>347</v>
      </c>
      <c r="M10" s="172" t="s">
        <v>275</v>
      </c>
      <c r="N10" s="92" t="s">
        <v>52</v>
      </c>
      <c r="O10" s="126" t="s">
        <v>285</v>
      </c>
      <c r="Q10" s="134" t="s">
        <v>348</v>
      </c>
      <c r="R10" s="171" t="s">
        <v>29</v>
      </c>
      <c r="S10" s="134" t="s">
        <v>60</v>
      </c>
      <c r="T10" s="134" t="str" cm="1">
        <f t="array" ref="T10">INDEX($B$6:$C$43,MATCH(1,(R10=$B$6:$B$43)*(S10=$C$6:$C$43),0),2)</f>
        <v>NW_BSNSS</v>
      </c>
      <c r="U10" s="134" t="e" cm="1">
        <f t="array" ref="U10">INDEX($G$6:$H$28,MATCH(1,(R10=$G$6:$G$28)*(S10=$H$6:$H$28),0),2)</f>
        <v>#N/A</v>
      </c>
      <c r="V10" s="134" t="e" cm="1">
        <f t="array" ref="V10">INDEX($M$6:$N$19,MATCH(1,(R10=$M$6:$M$19)*(S10=$N$6:$N$19),0),2)</f>
        <v>#N/A</v>
      </c>
    </row>
    <row r="11" spans="1:23" ht="16.5">
      <c r="A11" s="134" t="s">
        <v>345</v>
      </c>
      <c r="B11" s="134" t="s">
        <v>29</v>
      </c>
      <c r="C11" s="134" t="s">
        <v>83</v>
      </c>
      <c r="D11" s="134" t="s">
        <v>266</v>
      </c>
      <c r="F11" s="134" t="s">
        <v>346</v>
      </c>
      <c r="G11" s="134" t="s">
        <v>29</v>
      </c>
      <c r="H11" s="134" t="s">
        <v>56</v>
      </c>
      <c r="I11" s="134" t="str" cm="1">
        <f t="array" ref="I11">_xlfn.IFNA(IF(INDEX($B$6:$C$43,MATCH(1,(G11=$B$6:$B$43)*(H11=$C$6:$C$43),0),2)=H11,"Sim","Não"),"Não")</f>
        <v>Não</v>
      </c>
      <c r="J11" s="134" t="s">
        <v>280</v>
      </c>
      <c r="L11" s="134" t="s">
        <v>347</v>
      </c>
      <c r="M11" s="172" t="s">
        <v>275</v>
      </c>
      <c r="N11" s="92" t="s">
        <v>53</v>
      </c>
      <c r="O11" s="126" t="s">
        <v>285</v>
      </c>
      <c r="Q11" s="134" t="s">
        <v>348</v>
      </c>
      <c r="R11" s="171" t="s">
        <v>29</v>
      </c>
      <c r="S11" s="134" t="s">
        <v>80</v>
      </c>
      <c r="T11" s="134" t="str" cm="1">
        <f t="array" ref="T11">INDEX($B$6:$C$43,MATCH(1,(R11=$B$6:$B$43)*(S11=$C$6:$C$43),0),2)</f>
        <v>GRSS_INTRST_INCM</v>
      </c>
      <c r="U11" s="134" t="e" cm="1">
        <f t="array" ref="U11">INDEX($G$6:$H$28,MATCH(1,(R11=$G$6:$G$28)*(S11=$H$6:$H$28),0),2)</f>
        <v>#N/A</v>
      </c>
      <c r="V11" s="134" t="e" cm="1">
        <f t="array" ref="V11">INDEX($M$6:$N$19,MATCH(1,(R11=$M$6:$M$19)*(S11=$N$6:$N$19),0),2)</f>
        <v>#N/A</v>
      </c>
    </row>
    <row r="12" spans="1:23" ht="16.5">
      <c r="A12" s="134" t="s">
        <v>345</v>
      </c>
      <c r="B12" s="134" t="s">
        <v>29</v>
      </c>
      <c r="C12" s="134" t="s">
        <v>61</v>
      </c>
      <c r="D12" s="134" t="s">
        <v>255</v>
      </c>
      <c r="F12" s="134" t="s">
        <v>346</v>
      </c>
      <c r="G12" s="134" t="s">
        <v>29</v>
      </c>
      <c r="H12" s="134" t="s">
        <v>70</v>
      </c>
      <c r="I12" s="134" t="str" cm="1">
        <f t="array" ref="I12">_xlfn.IFNA(IF(INDEX($B$6:$C$43,MATCH(1,(G12=$B$6:$B$43)*(H12=$C$6:$C$43),0),2)=H12,"Sim","Não"),"Não")</f>
        <v>Não</v>
      </c>
      <c r="J12" s="134" t="s">
        <v>280</v>
      </c>
      <c r="L12" s="134" t="s">
        <v>347</v>
      </c>
      <c r="M12" s="172" t="s">
        <v>275</v>
      </c>
      <c r="N12" s="92" t="s">
        <v>113</v>
      </c>
      <c r="O12" s="126" t="s">
        <v>285</v>
      </c>
      <c r="Q12" s="134" t="s">
        <v>348</v>
      </c>
      <c r="R12" s="171" t="s">
        <v>29</v>
      </c>
      <c r="S12" s="134" t="s">
        <v>81</v>
      </c>
      <c r="T12" s="134" t="str" cm="1">
        <f t="array" ref="T12">INDEX($B$6:$C$43,MATCH(1,(R12=$B$6:$B$43)*(S12=$C$6:$C$43),0),2)</f>
        <v>GRSS_CMMSSN_INCM</v>
      </c>
      <c r="U12" s="134" t="e" cm="1">
        <f t="array" ref="U12">INDEX($G$6:$H$28,MATCH(1,(R12=$G$6:$G$28)*(S12=$H$6:$H$28),0),2)</f>
        <v>#N/A</v>
      </c>
      <c r="V12" s="134" t="e" cm="1">
        <f t="array" ref="V12">INDEX($M$6:$N$19,MATCH(1,(R12=$M$6:$M$19)*(S12=$N$6:$N$19),0),2)</f>
        <v>#N/A</v>
      </c>
    </row>
    <row r="13" spans="1:23" ht="16.5">
      <c r="A13" s="134" t="s">
        <v>345</v>
      </c>
      <c r="B13" s="134" t="s">
        <v>29</v>
      </c>
      <c r="C13" s="134" t="s">
        <v>84</v>
      </c>
      <c r="D13" s="134" t="s">
        <v>266</v>
      </c>
      <c r="F13" s="134" t="s">
        <v>346</v>
      </c>
      <c r="G13" s="134" t="s">
        <v>29</v>
      </c>
      <c r="H13" s="134" t="s">
        <v>71</v>
      </c>
      <c r="I13" s="134" t="str" cm="1">
        <f t="array" ref="I13">_xlfn.IFNA(IF(INDEX($B$6:$C$43,MATCH(1,(G13=$B$6:$B$43)*(H13=$C$6:$C$43),0),2)=H13,"Sim","Não"),"Não")</f>
        <v>Não</v>
      </c>
      <c r="J13" s="134" t="s">
        <v>280</v>
      </c>
      <c r="L13" s="134" t="s">
        <v>347</v>
      </c>
      <c r="M13" s="172" t="s">
        <v>28</v>
      </c>
      <c r="N13" s="92" t="s">
        <v>51</v>
      </c>
      <c r="O13" s="126" t="s">
        <v>285</v>
      </c>
      <c r="Q13" s="134" t="s">
        <v>348</v>
      </c>
      <c r="R13" s="171" t="s">
        <v>29</v>
      </c>
      <c r="S13" s="134" t="s">
        <v>82</v>
      </c>
      <c r="T13" s="134" t="str" cm="1">
        <f t="array" ref="T13">INDEX($B$6:$C$43,MATCH(1,(R13=$B$6:$B$43)*(S13=$C$6:$C$43),0),2)</f>
        <v>INTRNL_TRNSFR_RT</v>
      </c>
      <c r="U13" s="134" t="e" cm="1">
        <f t="array" ref="U13">INDEX($G$6:$H$28,MATCH(1,(R13=$G$6:$G$28)*(S13=$H$6:$H$28),0),2)</f>
        <v>#N/A</v>
      </c>
      <c r="V13" s="134" t="e" cm="1">
        <f t="array" ref="V13">INDEX($M$6:$N$19,MATCH(1,(R13=$M$6:$M$19)*(S13=$N$6:$N$19),0),2)</f>
        <v>#N/A</v>
      </c>
    </row>
    <row r="14" spans="1:23" ht="16.5">
      <c r="A14" s="134" t="s">
        <v>345</v>
      </c>
      <c r="B14" s="134" t="s">
        <v>29</v>
      </c>
      <c r="C14" s="134" t="s">
        <v>85</v>
      </c>
      <c r="D14" s="134" t="s">
        <v>266</v>
      </c>
      <c r="F14" s="134" t="s">
        <v>346</v>
      </c>
      <c r="G14" s="134" t="s">
        <v>29</v>
      </c>
      <c r="H14" s="134" t="s">
        <v>72</v>
      </c>
      <c r="I14" s="134" t="str" cm="1">
        <f t="array" ref="I14">_xlfn.IFNA(IF(INDEX($B$6:$C$43,MATCH(1,(G14=$B$6:$B$43)*(H14=$C$6:$C$43),0),2)=H14,"Sim","Não"),"Não")</f>
        <v>Não</v>
      </c>
      <c r="J14" s="134" t="s">
        <v>280</v>
      </c>
      <c r="L14" s="134" t="s">
        <v>347</v>
      </c>
      <c r="M14" s="172" t="s">
        <v>28</v>
      </c>
      <c r="N14" s="92" t="s">
        <v>52</v>
      </c>
      <c r="O14" s="126" t="s">
        <v>285</v>
      </c>
      <c r="Q14" s="134" t="s">
        <v>348</v>
      </c>
      <c r="R14" s="171" t="s">
        <v>29</v>
      </c>
      <c r="S14" s="134" t="s">
        <v>83</v>
      </c>
      <c r="T14" s="134" t="str" cm="1">
        <f t="array" ref="T14">INDEX($B$6:$C$43,MATCH(1,(R14=$B$6:$B$43)*(S14=$C$6:$C$43),0),2)</f>
        <v>NT_LN_LSS_PRVSN</v>
      </c>
      <c r="U14" s="134" t="e" cm="1">
        <f t="array" ref="U14">INDEX($G$6:$H$28,MATCH(1,(R14=$G$6:$G$28)*(S14=$H$6:$H$28),0),2)</f>
        <v>#N/A</v>
      </c>
      <c r="V14" s="134" t="e" cm="1">
        <f t="array" ref="V14">INDEX($M$6:$N$19,MATCH(1,(R14=$M$6:$M$19)*(S14=$N$6:$N$19),0),2)</f>
        <v>#N/A</v>
      </c>
    </row>
    <row r="15" spans="1:23" ht="16.5">
      <c r="A15" s="134" t="s">
        <v>345</v>
      </c>
      <c r="B15" s="134" t="s">
        <v>29</v>
      </c>
      <c r="C15" s="134" t="s">
        <v>86</v>
      </c>
      <c r="D15" s="134" t="s">
        <v>266</v>
      </c>
      <c r="F15" s="134" t="s">
        <v>346</v>
      </c>
      <c r="G15" s="134" t="s">
        <v>29</v>
      </c>
      <c r="H15" s="134" t="s">
        <v>73</v>
      </c>
      <c r="I15" s="134" t="str" cm="1">
        <f t="array" ref="I15">_xlfn.IFNA(IF(INDEX($B$6:$C$43,MATCH(1,(G15=$B$6:$B$43)*(H15=$C$6:$C$43),0),2)=H15,"Sim","Não"),"Não")</f>
        <v>Não</v>
      </c>
      <c r="J15" s="134" t="s">
        <v>280</v>
      </c>
      <c r="L15" s="134" t="s">
        <v>347</v>
      </c>
      <c r="M15" s="172" t="s">
        <v>28</v>
      </c>
      <c r="N15" s="92" t="s">
        <v>113</v>
      </c>
      <c r="O15" s="126" t="s">
        <v>285</v>
      </c>
      <c r="Q15" s="134" t="s">
        <v>348</v>
      </c>
      <c r="R15" s="171" t="s">
        <v>29</v>
      </c>
      <c r="S15" s="134" t="s">
        <v>61</v>
      </c>
      <c r="T15" s="134" t="str" cm="1">
        <f t="array" ref="T15">INDEX($B$6:$C$43,MATCH(1,(R15=$B$6:$B$43)*(S15=$C$6:$C$43),0),2)</f>
        <v>BSNSS_AREA</v>
      </c>
      <c r="U15" s="134" t="e" cm="1">
        <f t="array" ref="U15">INDEX($G$6:$H$28,MATCH(1,(R15=$G$6:$G$28)*(S15=$H$6:$H$28),0),2)</f>
        <v>#N/A</v>
      </c>
      <c r="V15" s="134" t="e" cm="1">
        <f t="array" ref="V15">INDEX($M$6:$N$19,MATCH(1,(R15=$M$6:$M$19)*(S15=$N$6:$N$19),0),2)</f>
        <v>#N/A</v>
      </c>
    </row>
    <row r="16" spans="1:23" ht="16.5">
      <c r="A16" s="134" t="s">
        <v>345</v>
      </c>
      <c r="B16" s="134" t="s">
        <v>29</v>
      </c>
      <c r="C16" s="134" t="s">
        <v>62</v>
      </c>
      <c r="D16" s="134" t="s">
        <v>255</v>
      </c>
      <c r="F16" s="134" t="s">
        <v>346</v>
      </c>
      <c r="G16" s="134" t="s">
        <v>29</v>
      </c>
      <c r="H16" s="134" t="s">
        <v>74</v>
      </c>
      <c r="I16" s="134" t="str" cm="1">
        <f t="array" ref="I16">_xlfn.IFNA(IF(INDEX($B$6:$C$43,MATCH(1,(G16=$B$6:$B$43)*(H16=$C$6:$C$43),0),2)=H16,"Sim","Não"),"Não")</f>
        <v>Não</v>
      </c>
      <c r="J16" s="134" t="s">
        <v>280</v>
      </c>
      <c r="L16" s="134" t="s">
        <v>347</v>
      </c>
      <c r="M16" s="172" t="s">
        <v>28</v>
      </c>
      <c r="N16" s="92" t="s">
        <v>114</v>
      </c>
      <c r="O16" s="126" t="s">
        <v>285</v>
      </c>
      <c r="Q16" s="134" t="s">
        <v>348</v>
      </c>
      <c r="R16" s="171" t="s">
        <v>29</v>
      </c>
      <c r="S16" s="134" t="s">
        <v>84</v>
      </c>
      <c r="T16" s="134" t="str" cm="1">
        <f t="array" ref="T16">INDEX($B$6:$C$43,MATCH(1,(R16=$B$6:$B$43)*(S16=$C$6:$C$43),0),2)</f>
        <v>MNGMNT_PRDCT</v>
      </c>
      <c r="U16" s="134" t="e" cm="1">
        <f t="array" ref="U16">INDEX($G$6:$H$28,MATCH(1,(R16=$G$6:$G$28)*(S16=$H$6:$H$28),0),2)</f>
        <v>#N/A</v>
      </c>
      <c r="V16" s="134" t="e" cm="1">
        <f t="array" ref="V16">INDEX($M$6:$N$19,MATCH(1,(R16=$M$6:$M$19)*(S16=$N$6:$N$19),0),2)</f>
        <v>#N/A</v>
      </c>
    </row>
    <row r="17" spans="1:23" ht="16.5">
      <c r="A17" s="134" t="s">
        <v>345</v>
      </c>
      <c r="B17" s="134" t="s">
        <v>29</v>
      </c>
      <c r="C17" s="134" t="s">
        <v>87</v>
      </c>
      <c r="D17" s="134" t="s">
        <v>255</v>
      </c>
      <c r="F17" s="134" t="s">
        <v>346</v>
      </c>
      <c r="G17" s="134" t="s">
        <v>29</v>
      </c>
      <c r="H17" s="134" t="s">
        <v>75</v>
      </c>
      <c r="I17" s="134" t="str" cm="1">
        <f t="array" ref="I17">_xlfn.IFNA(IF(INDEX($B$6:$C$43,MATCH(1,(G17=$B$6:$B$43)*(H17=$C$6:$C$43),0),2)=H17,"Sim","Não"),"Não")</f>
        <v>Não</v>
      </c>
      <c r="J17" s="134" t="s">
        <v>280</v>
      </c>
      <c r="L17" s="134" t="s">
        <v>347</v>
      </c>
      <c r="M17" s="172" t="s">
        <v>28</v>
      </c>
      <c r="N17" s="92" t="s">
        <v>115</v>
      </c>
      <c r="O17" s="126" t="s">
        <v>285</v>
      </c>
      <c r="Q17" s="134" t="s">
        <v>348</v>
      </c>
      <c r="R17" s="171" t="s">
        <v>29</v>
      </c>
      <c r="S17" s="134" t="s">
        <v>85</v>
      </c>
      <c r="T17" s="134" t="str" cm="1">
        <f t="array" ref="T17">INDEX($B$6:$C$43,MATCH(1,(R17=$B$6:$B$43)*(S17=$C$6:$C$43),0),2)</f>
        <v>GRSS_CMMSSN_EXPNS</v>
      </c>
      <c r="U17" s="134" t="e" cm="1">
        <f t="array" ref="U17">INDEX($G$6:$H$28,MATCH(1,(R17=$G$6:$G$28)*(S17=$H$6:$H$28),0),2)</f>
        <v>#N/A</v>
      </c>
      <c r="V17" s="134" t="e" cm="1">
        <f t="array" ref="V17">INDEX($M$6:$N$19,MATCH(1,(R17=$M$6:$M$19)*(S17=$N$6:$N$19),0),2)</f>
        <v>#N/A</v>
      </c>
    </row>
    <row r="18" spans="1:23" ht="16.5">
      <c r="A18" s="134" t="s">
        <v>345</v>
      </c>
      <c r="B18" s="134" t="s">
        <v>29</v>
      </c>
      <c r="C18" s="134" t="s">
        <v>88</v>
      </c>
      <c r="D18" s="134" t="s">
        <v>255</v>
      </c>
      <c r="F18" s="134" t="s">
        <v>346</v>
      </c>
      <c r="G18" s="134" t="s">
        <v>29</v>
      </c>
      <c r="H18" s="134" t="s">
        <v>76</v>
      </c>
      <c r="I18" s="134" t="str" cm="1">
        <f t="array" ref="I18">_xlfn.IFNA(IF(INDEX($B$6:$C$43,MATCH(1,(G18=$B$6:$B$43)*(H18=$C$6:$C$43),0),2)=H18,"Sim","Não"),"Não")</f>
        <v>Não</v>
      </c>
      <c r="J18" s="134" t="s">
        <v>280</v>
      </c>
      <c r="L18" s="134" t="s">
        <v>347</v>
      </c>
      <c r="M18" s="172" t="s">
        <v>28</v>
      </c>
      <c r="N18" s="92" t="s">
        <v>118</v>
      </c>
      <c r="O18" s="126" t="s">
        <v>285</v>
      </c>
      <c r="P18" s="134" t="s">
        <v>339</v>
      </c>
      <c r="Q18" s="134" t="s">
        <v>348</v>
      </c>
      <c r="R18" s="171" t="s">
        <v>29</v>
      </c>
      <c r="S18" s="134" t="s">
        <v>86</v>
      </c>
      <c r="T18" s="134" t="str" cm="1">
        <f t="array" ref="T18">INDEX($B$6:$C$43,MATCH(1,(R18=$B$6:$B$43)*(S18=$C$6:$C$43),0),2)</f>
        <v>GNS_FNNCL_TRNSCTN_EXCHNG_DFFRNCS</v>
      </c>
      <c r="U18" s="134" t="e" cm="1">
        <f t="array" ref="U18">INDEX($G$6:$H$28,MATCH(1,(R18=$G$6:$G$28)*(S18=$H$6:$H$28),0),2)</f>
        <v>#N/A</v>
      </c>
      <c r="V18" s="134" t="e" cm="1">
        <f t="array" ref="V18">INDEX($M$6:$N$19,MATCH(1,(R18=$M$6:$M$19)*(S18=$N$6:$N$19),0),2)</f>
        <v>#N/A</v>
      </c>
    </row>
    <row r="19" spans="1:23" ht="16.5">
      <c r="A19" s="134" t="s">
        <v>345</v>
      </c>
      <c r="B19" s="134" t="s">
        <v>29</v>
      </c>
      <c r="C19" s="134" t="s">
        <v>89</v>
      </c>
      <c r="D19" s="134" t="s">
        <v>255</v>
      </c>
      <c r="F19" s="134" t="s">
        <v>346</v>
      </c>
      <c r="G19" s="134" t="s">
        <v>29</v>
      </c>
      <c r="H19" s="134" t="s">
        <v>77</v>
      </c>
      <c r="I19" s="134" t="str" cm="1">
        <f t="array" ref="I19">_xlfn.IFNA(IF(INDEX($B$6:$C$43,MATCH(1,(G19=$B$6:$B$43)*(H19=$C$6:$C$43),0),2)=H19,"Sim","Não"),"Não")</f>
        <v>Não</v>
      </c>
      <c r="J19" s="134" t="s">
        <v>280</v>
      </c>
      <c r="L19" s="134" t="s">
        <v>347</v>
      </c>
      <c r="M19" s="172" t="s">
        <v>108</v>
      </c>
      <c r="N19" s="92" t="s">
        <v>116</v>
      </c>
      <c r="O19" s="126" t="s">
        <v>285</v>
      </c>
      <c r="Q19" s="134" t="s">
        <v>348</v>
      </c>
      <c r="R19" s="171" t="s">
        <v>29</v>
      </c>
      <c r="S19" s="134" t="s">
        <v>90</v>
      </c>
      <c r="T19" s="134" t="str" cm="1">
        <f t="array" ref="T19">INDEX($B$6:$C$43,MATCH(1,(R19=$B$6:$B$43)*(S19=$C$6:$C$43),0),2)</f>
        <v>AVRG_BLNC_OFF_BLNC</v>
      </c>
      <c r="U19" s="134" t="e" cm="1">
        <f t="array" ref="U19">INDEX($G$6:$H$28,MATCH(1,(R19=$G$6:$G$28)*(S19=$H$6:$H$28),0),2)</f>
        <v>#N/A</v>
      </c>
      <c r="V19" s="134" t="e" cm="1">
        <f t="array" ref="V19">INDEX($M$6:$N$19,MATCH(1,(R19=$M$6:$M$19)*(S19=$N$6:$N$19),0),2)</f>
        <v>#N/A</v>
      </c>
    </row>
    <row r="20" spans="1:23" ht="16.5">
      <c r="A20" s="134" t="s">
        <v>345</v>
      </c>
      <c r="B20" s="134" t="s">
        <v>29</v>
      </c>
      <c r="C20" s="134" t="s">
        <v>90</v>
      </c>
      <c r="D20" s="134" t="s">
        <v>266</v>
      </c>
      <c r="F20" s="134" t="s">
        <v>346</v>
      </c>
      <c r="G20" s="134" t="s">
        <v>29</v>
      </c>
      <c r="H20" s="134" t="s">
        <v>78</v>
      </c>
      <c r="I20" s="134" t="str" cm="1">
        <f t="array" ref="I20">_xlfn.IFNA(IF(INDEX($B$6:$C$43,MATCH(1,(G20=$B$6:$B$43)*(H20=$C$6:$C$43),0),2)=H20,"Sim","Não"),"Não")</f>
        <v>Não</v>
      </c>
      <c r="J20" s="134" t="s">
        <v>280</v>
      </c>
      <c r="L20" s="134" t="s">
        <v>347</v>
      </c>
      <c r="M20" s="177" t="s">
        <v>29</v>
      </c>
      <c r="N20" s="178" t="s">
        <v>64</v>
      </c>
      <c r="O20" s="126" t="s">
        <v>285</v>
      </c>
      <c r="Q20" s="134" t="s">
        <v>348</v>
      </c>
      <c r="R20" s="171" t="s">
        <v>29</v>
      </c>
      <c r="S20" s="134" t="s">
        <v>92</v>
      </c>
      <c r="T20" s="134" t="str" cm="1">
        <f t="array" ref="T20">INDEX($B$6:$C$43,MATCH(1,(R20=$B$6:$B$43)*(S20=$C$6:$C$43),0),2)</f>
        <v>GRSS_CMMSSN_INCM_OFF_BLNC</v>
      </c>
      <c r="U20" s="134" t="e" cm="1">
        <f t="array" ref="U20">INDEX($G$6:$H$28,MATCH(1,(R20=$G$6:$G$28)*(S20=$H$6:$H$28),0),2)</f>
        <v>#N/A</v>
      </c>
      <c r="V20" s="134" t="e" cm="1">
        <f t="array" ref="V20">INDEX($M$6:$N$19,MATCH(1,(R20=$M$6:$M$19)*(S20=$N$6:$N$19),0),2)</f>
        <v>#N/A</v>
      </c>
    </row>
    <row r="21" spans="1:23" ht="16.5">
      <c r="A21" s="134" t="s">
        <v>345</v>
      </c>
      <c r="B21" s="134" t="s">
        <v>29</v>
      </c>
      <c r="C21" s="134" t="s">
        <v>91</v>
      </c>
      <c r="D21" s="134" t="s">
        <v>268</v>
      </c>
      <c r="F21" s="134" t="s">
        <v>346</v>
      </c>
      <c r="G21" s="134" t="s">
        <v>29</v>
      </c>
      <c r="H21" s="134" t="s">
        <v>57</v>
      </c>
      <c r="I21" s="134" t="str" cm="1">
        <f t="array" ref="I21">_xlfn.IFNA(IF(INDEX($B$6:$C$43,MATCH(1,(G21=$B$6:$B$43)*(H21=$C$6:$C$43),0),2)=H21,"Sim","Não"),"Não")</f>
        <v>Não</v>
      </c>
      <c r="J21" s="134" t="s">
        <v>280</v>
      </c>
      <c r="L21" s="134" t="s">
        <v>347</v>
      </c>
      <c r="M21" s="178" t="s">
        <v>108</v>
      </c>
      <c r="N21" s="178" t="s">
        <v>58</v>
      </c>
      <c r="O21" s="126" t="s">
        <v>337</v>
      </c>
      <c r="P21" s="134" t="s">
        <v>338</v>
      </c>
      <c r="Q21" s="134" t="s">
        <v>348</v>
      </c>
      <c r="R21" s="171" t="s">
        <v>29</v>
      </c>
      <c r="S21" s="134" t="s">
        <v>93</v>
      </c>
      <c r="T21" s="134" t="str" cm="1">
        <f t="array" ref="T21">INDEX($B$6:$C$43,MATCH(1,(R21=$B$6:$B$43)*(S21=$C$6:$C$43),0),2)</f>
        <v>GRSS_CMMSSN_EXPNS_OFF_BLNC</v>
      </c>
      <c r="U21" s="134" t="e" cm="1">
        <f t="array" ref="U21">INDEX($G$6:$H$28,MATCH(1,(R21=$G$6:$G$28)*(S21=$H$6:$H$28),0),2)</f>
        <v>#N/A</v>
      </c>
      <c r="V21" s="134" t="e" cm="1">
        <f t="array" ref="V21">INDEX($M$6:$N$19,MATCH(1,(R21=$M$6:$M$19)*(S21=$N$6:$N$19),0),2)</f>
        <v>#N/A</v>
      </c>
    </row>
    <row r="22" spans="1:23" ht="16.5">
      <c r="A22" s="134" t="s">
        <v>345</v>
      </c>
      <c r="B22" s="134" t="s">
        <v>29</v>
      </c>
      <c r="C22" s="134" t="s">
        <v>92</v>
      </c>
      <c r="D22" s="134" t="s">
        <v>268</v>
      </c>
      <c r="F22" s="134" t="s">
        <v>346</v>
      </c>
      <c r="G22" s="134" t="s">
        <v>29</v>
      </c>
      <c r="H22" s="134" t="s">
        <v>62</v>
      </c>
      <c r="I22" s="134" t="str" cm="1">
        <f t="array" ref="I22">_xlfn.IFNA(IF(INDEX($B$6:$C$43,MATCH(1,(G22=$B$6:$B$43)*(H22=$C$6:$C$43),0),2)=H22,"Sim","Não"),"Não")</f>
        <v>Sim</v>
      </c>
      <c r="J22" s="134" t="s">
        <v>281</v>
      </c>
      <c r="K22" s="134" t="s">
        <v>282</v>
      </c>
      <c r="L22" s="134" t="s">
        <v>347</v>
      </c>
      <c r="M22" s="178" t="s">
        <v>108</v>
      </c>
      <c r="N22" s="178" t="s">
        <v>59</v>
      </c>
      <c r="O22" s="126" t="s">
        <v>337</v>
      </c>
      <c r="P22" s="134" t="s">
        <v>338</v>
      </c>
      <c r="Q22" s="134" t="s">
        <v>348</v>
      </c>
      <c r="R22" s="171" t="s">
        <v>29</v>
      </c>
      <c r="S22" s="134" t="s">
        <v>95</v>
      </c>
      <c r="T22" s="134" t="str" cm="1">
        <f t="array" ref="T22">INDEX($B$6:$C$43,MATCH(1,(R22=$B$6:$B$43)*(S22=$C$6:$C$43),0),2)</f>
        <v>GRSS_INTRST_EXPNS</v>
      </c>
      <c r="U22" s="134" t="e" cm="1">
        <f t="array" ref="U22">INDEX($G$6:$H$28,MATCH(1,(R22=$G$6:$G$28)*(S22=$H$6:$H$28),0),2)</f>
        <v>#N/A</v>
      </c>
      <c r="V22" s="134" t="e" cm="1">
        <f t="array" ref="V22">INDEX($M$6:$N$19,MATCH(1,(R22=$M$6:$M$19)*(S22=$N$6:$N$19),0),2)</f>
        <v>#N/A</v>
      </c>
    </row>
    <row r="23" spans="1:23">
      <c r="A23" s="134" t="s">
        <v>345</v>
      </c>
      <c r="B23" s="134" t="s">
        <v>29</v>
      </c>
      <c r="C23" s="134" t="s">
        <v>93</v>
      </c>
      <c r="D23" s="134" t="s">
        <v>266</v>
      </c>
      <c r="F23" s="134" t="s">
        <v>346</v>
      </c>
      <c r="G23" s="134" t="s">
        <v>29</v>
      </c>
      <c r="H23" s="134" t="s">
        <v>87</v>
      </c>
      <c r="I23" s="134" t="str" cm="1">
        <f t="array" ref="I23">_xlfn.IFNA(IF(INDEX($B$6:$C$43,MATCH(1,(G23=$B$6:$B$43)*(H23=$C$6:$C$43),0),2)=H23,"Sim","Não"),"Não")</f>
        <v>Sim</v>
      </c>
      <c r="J23" s="134" t="s">
        <v>281</v>
      </c>
      <c r="K23" s="134" t="s">
        <v>282</v>
      </c>
      <c r="L23" s="134" t="s">
        <v>347</v>
      </c>
      <c r="M23" s="195" t="s">
        <v>29</v>
      </c>
      <c r="N23" s="195" t="s">
        <v>110</v>
      </c>
      <c r="Q23" s="134" t="s">
        <v>348</v>
      </c>
      <c r="R23" s="171" t="s">
        <v>29</v>
      </c>
      <c r="S23" s="134" t="s">
        <v>96</v>
      </c>
      <c r="T23" s="134" t="str" cm="1">
        <f t="array" ref="T23">INDEX($B$6:$C$43,MATCH(1,(R23=$B$6:$B$43)*(S23=$C$6:$C$43),0),2)</f>
        <v>NT_LN_LSS_PRVSN_OFF_BLNC</v>
      </c>
      <c r="U23" s="134" t="e" cm="1">
        <f t="array" ref="U23">INDEX($G$6:$H$28,MATCH(1,(R23=$G$6:$G$28)*(S23=$H$6:$H$28),0),2)</f>
        <v>#N/A</v>
      </c>
      <c r="V23" s="134" t="e" cm="1">
        <f t="array" ref="V23">INDEX($M$6:$N$19,MATCH(1,(R23=$M$6:$M$19)*(S23=$N$6:$N$19),0),2)</f>
        <v>#N/A</v>
      </c>
    </row>
    <row r="24" spans="1:23">
      <c r="A24" s="134" t="s">
        <v>345</v>
      </c>
      <c r="B24" s="134" t="s">
        <v>29</v>
      </c>
      <c r="C24" s="134" t="s">
        <v>94</v>
      </c>
      <c r="D24" s="134" t="s">
        <v>268</v>
      </c>
      <c r="F24" s="134" t="s">
        <v>346</v>
      </c>
      <c r="G24" s="134" t="s">
        <v>29</v>
      </c>
      <c r="H24" s="134" t="s">
        <v>88</v>
      </c>
      <c r="I24" s="134" t="str" cm="1">
        <f t="array" ref="I24">_xlfn.IFNA(IF(INDEX($B$6:$C$43,MATCH(1,(G24=$B$6:$B$43)*(H24=$C$6:$C$43),0),2)=H24,"Sim","Não"),"Não")</f>
        <v>Sim</v>
      </c>
      <c r="J24" s="134" t="s">
        <v>281</v>
      </c>
      <c r="K24" s="134" t="s">
        <v>282</v>
      </c>
      <c r="L24" s="134" t="s">
        <v>347</v>
      </c>
      <c r="M24" s="195" t="s">
        <v>29</v>
      </c>
      <c r="N24" s="195" t="s">
        <v>111</v>
      </c>
      <c r="Q24" s="134" t="s">
        <v>348</v>
      </c>
      <c r="R24" s="171" t="s">
        <v>29</v>
      </c>
      <c r="S24" s="134" t="s">
        <v>97</v>
      </c>
      <c r="T24" s="134" t="str" cm="1">
        <f t="array" ref="T24">INDEX($B$6:$C$43,MATCH(1,(R24=$B$6:$B$43)*(S24=$C$6:$C$43),0),2)</f>
        <v>GRSS_INTRST_INCM_CCRR</v>
      </c>
      <c r="U24" s="134" t="e" cm="1">
        <f t="array" ref="U24">INDEX($G$6:$H$28,MATCH(1,(R24=$G$6:$G$28)*(S24=$H$6:$H$28),0),2)</f>
        <v>#N/A</v>
      </c>
      <c r="V24" s="134" t="e" cm="1">
        <f t="array" ref="V24">INDEX($M$6:$N$19,MATCH(1,(R24=$M$6:$M$19)*(S24=$N$6:$N$19),0),2)</f>
        <v>#N/A</v>
      </c>
    </row>
    <row r="25" spans="1:23">
      <c r="A25" s="134" t="s">
        <v>345</v>
      </c>
      <c r="B25" s="134" t="s">
        <v>29</v>
      </c>
      <c r="C25" s="134" t="s">
        <v>95</v>
      </c>
      <c r="D25" s="134" t="s">
        <v>266</v>
      </c>
      <c r="F25" s="134" t="s">
        <v>346</v>
      </c>
      <c r="G25" s="134" t="s">
        <v>29</v>
      </c>
      <c r="H25" s="134" t="s">
        <v>89</v>
      </c>
      <c r="I25" s="134" t="str" cm="1">
        <f t="array" ref="I25">_xlfn.IFNA(IF(INDEX($B$6:$C$43,MATCH(1,(G25=$B$6:$B$43)*(H25=$C$6:$C$43),0),2)=H25,"Sim","Não"),"Não")</f>
        <v>Sim</v>
      </c>
      <c r="J25" s="134" t="s">
        <v>281</v>
      </c>
      <c r="L25" s="134" t="s">
        <v>347</v>
      </c>
      <c r="M25" s="195" t="s">
        <v>29</v>
      </c>
      <c r="N25" s="195" t="s">
        <v>112</v>
      </c>
      <c r="Q25" s="134" t="s">
        <v>348</v>
      </c>
      <c r="R25" s="171" t="s">
        <v>29</v>
      </c>
      <c r="S25" s="134" t="s">
        <v>98</v>
      </c>
      <c r="T25" s="134" t="str" cm="1">
        <f t="array" ref="T25">INDEX($B$6:$C$43,MATCH(1,(R25=$B$6:$B$43)*(S25=$C$6:$C$43),0),2)</f>
        <v>GRSS_INTRST_EXPNS_CCRR</v>
      </c>
      <c r="U25" s="134" t="e" cm="1">
        <f t="array" ref="U25">INDEX($G$6:$H$28,MATCH(1,(R25=$G$6:$G$28)*(S25=$H$6:$H$28),0),2)</f>
        <v>#N/A</v>
      </c>
      <c r="V25" s="134" t="e" cm="1">
        <f t="array" ref="V25">INDEX($M$6:$N$19,MATCH(1,(R25=$M$6:$M$19)*(S25=$N$6:$N$19),0),2)</f>
        <v>#N/A</v>
      </c>
    </row>
    <row r="26" spans="1:23">
      <c r="A26" s="134" t="s">
        <v>345</v>
      </c>
      <c r="B26" s="134" t="s">
        <v>29</v>
      </c>
      <c r="C26" s="134" t="s">
        <v>96</v>
      </c>
      <c r="D26" s="134" t="s">
        <v>266</v>
      </c>
      <c r="F26" s="134" t="s">
        <v>346</v>
      </c>
      <c r="G26" s="134" t="s">
        <v>29</v>
      </c>
      <c r="H26" s="134" t="s">
        <v>91</v>
      </c>
      <c r="I26" s="134" t="str" cm="1">
        <f t="array" ref="I26">_xlfn.IFNA(IF(INDEX($B$6:$C$43,MATCH(1,(G26=$B$6:$B$43)*(H26=$C$6:$C$43),0),2)=H26,"Sim","Não"),"Não")</f>
        <v>Sim</v>
      </c>
      <c r="J26" s="134" t="s">
        <v>281</v>
      </c>
      <c r="K26" s="134" t="s">
        <v>283</v>
      </c>
      <c r="L26" s="134" t="s">
        <v>347</v>
      </c>
      <c r="M26" s="195" t="s">
        <v>275</v>
      </c>
      <c r="N26" s="195" t="s">
        <v>51</v>
      </c>
      <c r="Q26" s="134" t="s">
        <v>348</v>
      </c>
      <c r="R26" s="171" t="s">
        <v>29</v>
      </c>
      <c r="S26" s="134" t="s">
        <v>99</v>
      </c>
      <c r="T26" s="134" t="str" cm="1">
        <f t="array" ref="T26">INDEX($B$6:$C$43,MATCH(1,(R26=$B$6:$B$43)*(S26=$C$6:$C$43),0),2)</f>
        <v>GRSS_CMMSSN_INCM_CCRR</v>
      </c>
      <c r="U26" s="134" t="e" cm="1">
        <f t="array" ref="U26">INDEX($G$6:$H$28,MATCH(1,(R26=$G$6:$G$28)*(S26=$H$6:$H$28),0),2)</f>
        <v>#N/A</v>
      </c>
      <c r="V26" s="134" t="e" cm="1">
        <f t="array" ref="V26">INDEX($M$6:$N$19,MATCH(1,(R26=$M$6:$M$19)*(S26=$N$6:$N$19),0),2)</f>
        <v>#N/A</v>
      </c>
    </row>
    <row r="27" spans="1:23">
      <c r="A27" s="134" t="s">
        <v>345</v>
      </c>
      <c r="B27" s="134" t="s">
        <v>29</v>
      </c>
      <c r="C27" s="134" t="s">
        <v>97</v>
      </c>
      <c r="D27" s="134" t="s">
        <v>255</v>
      </c>
      <c r="F27" s="134" t="s">
        <v>346</v>
      </c>
      <c r="G27" s="134" t="s">
        <v>29</v>
      </c>
      <c r="H27" s="134" t="s">
        <v>66</v>
      </c>
      <c r="I27" s="134" t="str" cm="1">
        <f t="array" ref="I27">_xlfn.IFNA(IF(INDEX($B$6:$C$43,MATCH(1,(G27=$B$6:$B$43)*(H27=$C$6:$C$43),0),2)=H27,"Sim","Não"),"Não")</f>
        <v>Não</v>
      </c>
      <c r="J27" s="134" t="s">
        <v>280</v>
      </c>
      <c r="L27" s="134" t="s">
        <v>347</v>
      </c>
      <c r="M27" s="195" t="s">
        <v>275</v>
      </c>
      <c r="N27" s="195" t="s">
        <v>52</v>
      </c>
      <c r="Q27" s="134" t="s">
        <v>348</v>
      </c>
      <c r="R27" s="171" t="s">
        <v>29</v>
      </c>
      <c r="S27" s="134" t="s">
        <v>100</v>
      </c>
      <c r="T27" s="134" t="str" cm="1">
        <f t="array" ref="T27">INDEX($B$6:$C$43,MATCH(1,(R27=$B$6:$B$43)*(S27=$C$6:$C$43),0),2)</f>
        <v>GRSS_CMMSSN_EXPNS_CCRR</v>
      </c>
      <c r="U27" s="134" t="e" cm="1">
        <f t="array" ref="U27">INDEX($G$6:$H$28,MATCH(1,(R27=$G$6:$G$28)*(S27=$H$6:$H$28),0),2)</f>
        <v>#N/A</v>
      </c>
      <c r="V27" s="134" t="e" cm="1">
        <f t="array" ref="V27">INDEX($M$6:$N$19,MATCH(1,(R27=$M$6:$M$19)*(S27=$N$6:$N$19),0),2)</f>
        <v>#N/A</v>
      </c>
    </row>
    <row r="28" spans="1:23">
      <c r="A28" s="134" t="s">
        <v>345</v>
      </c>
      <c r="B28" s="134" t="s">
        <v>29</v>
      </c>
      <c r="C28" s="134" t="s">
        <v>98</v>
      </c>
      <c r="D28" s="134" t="s">
        <v>255</v>
      </c>
      <c r="F28" s="134" t="s">
        <v>346</v>
      </c>
      <c r="G28" s="134" t="s">
        <v>29</v>
      </c>
      <c r="H28" s="134" t="s">
        <v>94</v>
      </c>
      <c r="I28" s="134" t="str" cm="1">
        <f t="array" ref="I28">_xlfn.IFNA(IF(INDEX($B$6:$C$43,MATCH(1,(G28=$B$6:$B$43)*(H28=$C$6:$C$43),0),2)=H28,"Sim","Não"),"Não")</f>
        <v>Sim</v>
      </c>
      <c r="J28" s="134" t="s">
        <v>281</v>
      </c>
      <c r="K28" s="134" t="s">
        <v>283</v>
      </c>
      <c r="L28" s="134" t="s">
        <v>347</v>
      </c>
      <c r="M28" s="195" t="s">
        <v>275</v>
      </c>
      <c r="N28" s="195" t="s">
        <v>53</v>
      </c>
      <c r="Q28" s="134" t="s">
        <v>348</v>
      </c>
      <c r="R28" s="171" t="s">
        <v>29</v>
      </c>
      <c r="S28" s="134" t="s">
        <v>101</v>
      </c>
      <c r="T28" s="134" t="str" cm="1">
        <f t="array" ref="T28">INDEX($B$6:$C$43,MATCH(1,(R28=$B$6:$B$43)*(S28=$C$6:$C$43),0),2)</f>
        <v>GNS_FNNCL_TRNSCTN_EXCHNG_CCRR</v>
      </c>
      <c r="U28" s="134" t="e" cm="1">
        <f t="array" ref="U28">INDEX($G$6:$H$28,MATCH(1,(R28=$G$6:$G$28)*(S28=$H$6:$H$28),0),2)</f>
        <v>#N/A</v>
      </c>
      <c r="V28" s="134" t="e" cm="1">
        <f t="array" ref="V28">INDEX($M$6:$N$19,MATCH(1,(R28=$M$6:$M$19)*(S28=$N$6:$N$19),0),2)</f>
        <v>#N/A</v>
      </c>
    </row>
    <row r="29" spans="1:23">
      <c r="A29" s="134" t="s">
        <v>345</v>
      </c>
      <c r="B29" s="134" t="s">
        <v>29</v>
      </c>
      <c r="C29" s="134" t="s">
        <v>99</v>
      </c>
      <c r="D29" s="134" t="s">
        <v>255</v>
      </c>
      <c r="L29" s="134" t="s">
        <v>347</v>
      </c>
      <c r="M29" s="195" t="s">
        <v>275</v>
      </c>
      <c r="N29" s="195" t="s">
        <v>113</v>
      </c>
      <c r="Q29" s="134" t="s">
        <v>348</v>
      </c>
      <c r="R29" s="171" t="s">
        <v>29</v>
      </c>
      <c r="S29" s="134" t="s">
        <v>63</v>
      </c>
      <c r="T29" s="134" t="str" cm="1">
        <f t="array" ref="T29">INDEX($B$6:$C$43,MATCH(1,(R29=$B$6:$B$43)*(S29=$C$6:$C$43),0),2)</f>
        <v>BSNSS_AREA_CCRR</v>
      </c>
      <c r="U29" s="134" t="e" cm="1">
        <f t="array" ref="U29">INDEX($G$6:$H$28,MATCH(1,(R29=$G$6:$G$28)*(S29=$H$6:$H$28),0),2)</f>
        <v>#N/A</v>
      </c>
      <c r="V29" s="134" t="e" cm="1">
        <f t="array" ref="V29">INDEX($M$6:$N$19,MATCH(1,(R29=$M$6:$M$19)*(S29=$N$6:$N$19),0),2)</f>
        <v>#N/A</v>
      </c>
    </row>
    <row r="30" spans="1:23">
      <c r="A30" s="134" t="s">
        <v>345</v>
      </c>
      <c r="B30" s="134" t="s">
        <v>29</v>
      </c>
      <c r="C30" s="134" t="s">
        <v>100</v>
      </c>
      <c r="D30" s="134" t="s">
        <v>255</v>
      </c>
      <c r="L30" s="134" t="s">
        <v>347</v>
      </c>
      <c r="M30" s="195" t="s">
        <v>28</v>
      </c>
      <c r="N30" s="195" t="s">
        <v>51</v>
      </c>
      <c r="Q30" s="134" t="s">
        <v>348</v>
      </c>
      <c r="R30" s="171" t="s">
        <v>29</v>
      </c>
      <c r="S30" s="134" t="s">
        <v>102</v>
      </c>
      <c r="T30" s="134" t="str" cm="1">
        <f t="array" ref="T30">INDEX($B$6:$C$43,MATCH(1,(R30=$B$6:$B$43)*(S30=$C$6:$C$43),0),2)</f>
        <v>GRSS_CMMSSN_INCM_OFF_BLNC_CCRR</v>
      </c>
      <c r="U30" s="134" t="e" cm="1">
        <f t="array" ref="U30">INDEX($G$6:$H$28,MATCH(1,(R30=$G$6:$G$28)*(S30=$H$6:$H$28),0),2)</f>
        <v>#N/A</v>
      </c>
      <c r="V30" s="134" t="e" cm="1">
        <f t="array" ref="V30">INDEX($M$6:$N$19,MATCH(1,(R30=$M$6:$M$19)*(S30=$N$6:$N$19),0),2)</f>
        <v>#N/A</v>
      </c>
    </row>
    <row r="31" spans="1:23">
      <c r="A31" s="134" t="s">
        <v>345</v>
      </c>
      <c r="B31" s="134" t="s">
        <v>29</v>
      </c>
      <c r="C31" s="134" t="s">
        <v>101</v>
      </c>
      <c r="D31" s="134" t="s">
        <v>255</v>
      </c>
      <c r="L31" s="134" t="s">
        <v>347</v>
      </c>
      <c r="M31" s="195" t="s">
        <v>28</v>
      </c>
      <c r="N31" s="195" t="s">
        <v>52</v>
      </c>
      <c r="Q31" s="134" t="s">
        <v>348</v>
      </c>
      <c r="R31" s="171" t="s">
        <v>29</v>
      </c>
      <c r="S31" s="134" t="s">
        <v>103</v>
      </c>
      <c r="T31" s="134" t="str" cm="1">
        <f t="array" ref="T31">INDEX($B$6:$C$43,MATCH(1,(R31=$B$6:$B$43)*(S31=$C$6:$C$43),0),2)</f>
        <v>GRSS_CMMSSN_EXPNS_OFF_BLNC_CCRR</v>
      </c>
      <c r="U31" s="134" t="e" cm="1">
        <f t="array" ref="U31">INDEX($G$6:$H$28,MATCH(1,(R31=$G$6:$G$28)*(S31=$H$6:$H$28),0),2)</f>
        <v>#N/A</v>
      </c>
      <c r="V31" s="134" t="e" cm="1">
        <f t="array" ref="V31">INDEX($M$6:$N$19,MATCH(1,(R31=$M$6:$M$19)*(S31=$N$6:$N$19),0),2)</f>
        <v>#N/A</v>
      </c>
    </row>
    <row r="32" spans="1:23">
      <c r="A32" s="134" t="s">
        <v>345</v>
      </c>
      <c r="B32" s="134" t="s">
        <v>29</v>
      </c>
      <c r="C32" s="134" t="s">
        <v>63</v>
      </c>
      <c r="D32" s="134" t="s">
        <v>255</v>
      </c>
      <c r="L32" s="134" t="s">
        <v>347</v>
      </c>
      <c r="M32" s="195" t="s">
        <v>28</v>
      </c>
      <c r="N32" s="195" t="s">
        <v>113</v>
      </c>
      <c r="Q32" s="134" t="s">
        <v>348</v>
      </c>
      <c r="R32" s="171" t="s">
        <v>29</v>
      </c>
      <c r="S32" s="134" t="s">
        <v>64</v>
      </c>
      <c r="T32" s="134" t="e" cm="1">
        <f t="array" ref="T32">INDEX($B$6:$C$43,MATCH(1,(R32=$B$6:$B$43)*(S32=$C$6:$C$43),0),2)</f>
        <v>#N/A</v>
      </c>
      <c r="U32" s="134" t="e" cm="1">
        <f t="array" ref="U32">INDEX($G$6:$H$28,MATCH(1,(R32=$G$6:$G$28)*(S32=$H$6:$H$28),0),2)</f>
        <v>#N/A</v>
      </c>
      <c r="V32" s="134" t="e" cm="1">
        <f t="array" ref="V32">INDEX($M$6:$N$19,MATCH(1,(R32=$M$6:$M$19)*(S32=$N$6:$N$19),0),2)</f>
        <v>#N/A</v>
      </c>
      <c r="W32" s="134" t="s">
        <v>290</v>
      </c>
    </row>
    <row r="33" spans="1:23">
      <c r="A33" s="134" t="s">
        <v>345</v>
      </c>
      <c r="B33" s="134" t="s">
        <v>29</v>
      </c>
      <c r="C33" s="134" t="s">
        <v>102</v>
      </c>
      <c r="D33" s="134" t="s">
        <v>255</v>
      </c>
      <c r="L33" s="134" t="s">
        <v>347</v>
      </c>
      <c r="M33" s="195" t="s">
        <v>28</v>
      </c>
      <c r="N33" s="195" t="s">
        <v>114</v>
      </c>
      <c r="Q33" s="134" t="s">
        <v>348</v>
      </c>
      <c r="R33" s="171" t="s">
        <v>29</v>
      </c>
      <c r="S33" s="134" t="s">
        <v>112</v>
      </c>
      <c r="T33" s="134" t="e" cm="1">
        <f t="array" ref="T33">INDEX($B$6:$C$43,MATCH(1,(R33=$B$6:$B$43)*(S33=$C$6:$C$43),0),2)</f>
        <v>#N/A</v>
      </c>
      <c r="U33" s="134" t="e" cm="1">
        <f t="array" ref="U33">INDEX($G$6:$H$28,MATCH(1,(R33=$G$6:$G$28)*(S33=$H$6:$H$28),0),2)</f>
        <v>#N/A</v>
      </c>
      <c r="V33" s="134" t="str" cm="1">
        <f t="array" ref="V33">INDEX($M$6:$N$19,MATCH(1,(R33=$M$6:$M$19)*(S33=$N$6:$N$19),0),2)</f>
        <v>TYP_OFF_BLNC_PRDCT</v>
      </c>
    </row>
    <row r="34" spans="1:23">
      <c r="A34" s="134" t="s">
        <v>345</v>
      </c>
      <c r="B34" s="134" t="s">
        <v>29</v>
      </c>
      <c r="C34" s="134" t="s">
        <v>103</v>
      </c>
      <c r="D34" s="134" t="s">
        <v>255</v>
      </c>
      <c r="L34" s="134" t="s">
        <v>347</v>
      </c>
      <c r="M34" s="195" t="s">
        <v>28</v>
      </c>
      <c r="N34" s="195" t="s">
        <v>115</v>
      </c>
      <c r="Q34" s="134" t="s">
        <v>348</v>
      </c>
      <c r="R34" s="134" t="s">
        <v>275</v>
      </c>
      <c r="S34" s="134" t="s">
        <v>51</v>
      </c>
      <c r="T34" s="134" t="e" cm="1">
        <f t="array" ref="T34">INDEX($B$6:$C$43,MATCH(1,(R34=$B$6:$B$43)*(S34=$C$6:$C$43),0),2)</f>
        <v>#N/A</v>
      </c>
      <c r="U34" s="134" t="e" cm="1">
        <f t="array" ref="U34">INDEX($G$6:$H$28,MATCH(1,(R34=$G$6:$G$28)*(S34=$H$6:$H$28),0),2)</f>
        <v>#N/A</v>
      </c>
      <c r="V34" s="134" t="str" cm="1">
        <f t="array" ref="V34">INDEX($M$6:$N$19,MATCH(1,(R34=$M$6:$M$19)*(S34=$N$6:$N$19),0),2)</f>
        <v>COD_SOC</v>
      </c>
    </row>
    <row r="35" spans="1:23">
      <c r="A35" s="134" t="s">
        <v>345</v>
      </c>
      <c r="B35" s="134" t="s">
        <v>29</v>
      </c>
      <c r="C35" s="134" t="s">
        <v>65</v>
      </c>
      <c r="D35" s="134" t="s">
        <v>39</v>
      </c>
      <c r="E35" s="134" t="s">
        <v>289</v>
      </c>
      <c r="L35" s="134" t="s">
        <v>347</v>
      </c>
      <c r="M35" s="195" t="s">
        <v>28</v>
      </c>
      <c r="N35" s="195" t="s">
        <v>118</v>
      </c>
      <c r="Q35" s="134" t="s">
        <v>348</v>
      </c>
      <c r="R35" s="134" t="s">
        <v>275</v>
      </c>
      <c r="S35" s="134" t="s">
        <v>52</v>
      </c>
      <c r="T35" s="134" t="e" cm="1">
        <f t="array" ref="T35">INDEX($B$6:$C$43,MATCH(1,(R35=$B$6:$B$43)*(S35=$C$6:$C$43),0),2)</f>
        <v>#N/A</v>
      </c>
      <c r="U35" s="134" t="e" cm="1">
        <f t="array" ref="U35">INDEX($G$6:$H$28,MATCH(1,(R35=$G$6:$G$28)*(S35=$H$6:$H$28),0),2)</f>
        <v>#N/A</v>
      </c>
      <c r="V35" s="134" t="str" cm="1">
        <f t="array" ref="V35">INDEX($M$6:$N$19,MATCH(1,(R35=$M$6:$M$19)*(S35=$N$6:$N$19),0),2)</f>
        <v>DT_RFRNC</v>
      </c>
    </row>
    <row r="36" spans="1:23">
      <c r="A36" s="134" t="s">
        <v>345</v>
      </c>
      <c r="B36" s="134" t="s">
        <v>269</v>
      </c>
      <c r="C36" s="134" t="s">
        <v>30</v>
      </c>
      <c r="D36" s="134" t="s">
        <v>267</v>
      </c>
      <c r="L36" s="134" t="s">
        <v>347</v>
      </c>
      <c r="M36" s="195" t="s">
        <v>108</v>
      </c>
      <c r="N36" s="195" t="s">
        <v>116</v>
      </c>
      <c r="Q36" s="134" t="s">
        <v>348</v>
      </c>
      <c r="R36" s="134" t="s">
        <v>275</v>
      </c>
      <c r="S36" s="134" t="s">
        <v>53</v>
      </c>
      <c r="T36" s="134" t="e" cm="1">
        <f t="array" ref="T36">INDEX($B$6:$C$43,MATCH(1,(R36=$B$6:$B$43)*(S36=$C$6:$C$43),0),2)</f>
        <v>#N/A</v>
      </c>
      <c r="U36" s="134" t="e" cm="1">
        <f t="array" ref="U36">INDEX($G$6:$H$28,MATCH(1,(R36=$G$6:$G$28)*(S36=$H$6:$H$28),0),2)</f>
        <v>#N/A</v>
      </c>
      <c r="V36" s="134" t="str" cm="1">
        <f t="array" ref="V36">INDEX($M$6:$N$19,MATCH(1,(R36=$M$6:$M$19)*(S36=$N$6:$N$19),0),2)</f>
        <v>INSTRMNT_ID</v>
      </c>
    </row>
    <row r="37" spans="1:23">
      <c r="A37" s="134" t="s">
        <v>345</v>
      </c>
      <c r="B37" s="134" t="s">
        <v>269</v>
      </c>
      <c r="C37" s="134" t="s">
        <v>270</v>
      </c>
      <c r="D37" s="134" t="s">
        <v>267</v>
      </c>
      <c r="L37" s="134" t="s">
        <v>347</v>
      </c>
      <c r="M37" s="195" t="s">
        <v>29</v>
      </c>
      <c r="N37" s="195" t="s">
        <v>64</v>
      </c>
      <c r="Q37" s="134" t="s">
        <v>348</v>
      </c>
      <c r="R37" s="134" t="s">
        <v>275</v>
      </c>
      <c r="S37" s="134" t="s">
        <v>113</v>
      </c>
      <c r="T37" s="134" t="e" cm="1">
        <f t="array" ref="T37">INDEX($B$6:$C$43,MATCH(1,(R37=$B$6:$B$43)*(S37=$C$6:$C$43),0),2)</f>
        <v>#N/A</v>
      </c>
      <c r="U37" s="134" t="e" cm="1">
        <f t="array" ref="U37">INDEX($G$6:$H$28,MATCH(1,(R37=$G$6:$G$28)*(S37=$H$6:$H$28),0),2)</f>
        <v>#N/A</v>
      </c>
      <c r="V37" s="134" t="str" cm="1">
        <f t="array" ref="V37">INDEX($M$6:$N$19,MATCH(1,(R37=$M$6:$M$19)*(S37=$N$6:$N$19),0),2)</f>
        <v>PRTCTN_ID</v>
      </c>
    </row>
    <row r="38" spans="1:23">
      <c r="A38" s="134" t="s">
        <v>345</v>
      </c>
      <c r="B38" s="134" t="s">
        <v>269</v>
      </c>
      <c r="C38" s="134" t="s">
        <v>271</v>
      </c>
      <c r="D38" s="134" t="s">
        <v>267</v>
      </c>
      <c r="L38" s="134" t="s">
        <v>347</v>
      </c>
      <c r="M38" s="195" t="s">
        <v>108</v>
      </c>
      <c r="N38" s="195" t="s">
        <v>58</v>
      </c>
      <c r="Q38" s="134" t="s">
        <v>348</v>
      </c>
      <c r="R38" s="134" t="s">
        <v>275</v>
      </c>
      <c r="S38" s="134" t="s">
        <v>117</v>
      </c>
      <c r="T38" s="134" t="e" cm="1">
        <f t="array" ref="T38">INDEX($B$6:$C$43,MATCH(1,(R38=$B$6:$B$43)*(S38=$C$6:$C$43),0),2)</f>
        <v>#N/A</v>
      </c>
      <c r="U38" s="134" t="e" cm="1">
        <f t="array" ref="U38">INDEX($G$6:$H$28,MATCH(1,(R38=$G$6:$G$28)*(S38=$H$6:$H$28),0),2)</f>
        <v>#N/A</v>
      </c>
      <c r="V38" s="134" t="e" cm="1">
        <f t="array" ref="V38">INDEX($M$6:$N$19,MATCH(1,(R38=$M$6:$M$19)*(S38=$N$6:$N$19),0),2)</f>
        <v>#N/A</v>
      </c>
    </row>
    <row r="39" spans="1:23">
      <c r="A39" s="134" t="s">
        <v>345</v>
      </c>
      <c r="B39" s="134" t="s">
        <v>269</v>
      </c>
      <c r="C39" s="134" t="s">
        <v>272</v>
      </c>
      <c r="D39" s="134" t="s">
        <v>267</v>
      </c>
      <c r="L39" s="134" t="s">
        <v>347</v>
      </c>
      <c r="M39" s="195" t="s">
        <v>108</v>
      </c>
      <c r="N39" s="195" t="s">
        <v>59</v>
      </c>
      <c r="Q39" s="134" t="s">
        <v>348</v>
      </c>
      <c r="R39" s="134" t="s">
        <v>28</v>
      </c>
      <c r="S39" s="134" t="s">
        <v>51</v>
      </c>
      <c r="T39" s="134" t="e" cm="1">
        <f t="array" ref="T39">INDEX($B$6:$C$43,MATCH(1,(R39=$B$6:$B$43)*(S39=$C$6:$C$43),0),2)</f>
        <v>#N/A</v>
      </c>
      <c r="U39" s="134" t="e" cm="1">
        <f t="array" ref="U39">INDEX($G$6:$H$28,MATCH(1,(R39=$G$6:$G$28)*(S39=$H$6:$H$28),0),2)</f>
        <v>#N/A</v>
      </c>
      <c r="V39" s="134" t="str" cm="1">
        <f t="array" ref="V39">INDEX($M$6:$N$19,MATCH(1,(R39=$M$6:$M$19)*(S39=$N$6:$N$19),0),2)</f>
        <v>COD_SOC</v>
      </c>
    </row>
    <row r="40" spans="1:23">
      <c r="A40" s="134" t="s">
        <v>345</v>
      </c>
      <c r="B40" s="134" t="s">
        <v>269</v>
      </c>
      <c r="C40" s="134" t="s">
        <v>26</v>
      </c>
      <c r="D40" s="134" t="s">
        <v>267</v>
      </c>
      <c r="L40" s="134" t="s">
        <v>347</v>
      </c>
      <c r="M40" s="195" t="s">
        <v>29</v>
      </c>
      <c r="N40" s="195" t="s">
        <v>79</v>
      </c>
      <c r="Q40" s="134" t="s">
        <v>348</v>
      </c>
      <c r="R40" s="134" t="s">
        <v>28</v>
      </c>
      <c r="S40" s="134" t="s">
        <v>52</v>
      </c>
      <c r="T40" s="134" t="e" cm="1">
        <f t="array" ref="T40">INDEX($B$6:$C$43,MATCH(1,(R40=$B$6:$B$43)*(S40=$C$6:$C$43),0),2)</f>
        <v>#N/A</v>
      </c>
      <c r="U40" s="134" t="e" cm="1">
        <f t="array" ref="U40">INDEX($G$6:$H$28,MATCH(1,(R40=$G$6:$G$28)*(S40=$H$6:$H$28),0),2)</f>
        <v>#N/A</v>
      </c>
      <c r="V40" s="134" t="str" cm="1">
        <f t="array" ref="V40">INDEX($M$6:$N$19,MATCH(1,(R40=$M$6:$M$19)*(S40=$N$6:$N$19),0),2)</f>
        <v>DT_RFRNC</v>
      </c>
    </row>
    <row r="41" spans="1:23">
      <c r="A41" s="134" t="s">
        <v>345</v>
      </c>
      <c r="B41" s="134" t="s">
        <v>269</v>
      </c>
      <c r="C41" s="134" t="s">
        <v>25</v>
      </c>
      <c r="D41" s="134" t="s">
        <v>267</v>
      </c>
      <c r="L41" s="134" t="s">
        <v>347</v>
      </c>
      <c r="M41" s="195" t="s">
        <v>29</v>
      </c>
      <c r="N41" s="195" t="s">
        <v>60</v>
      </c>
      <c r="Q41" s="134" t="s">
        <v>348</v>
      </c>
      <c r="R41" s="134" t="s">
        <v>28</v>
      </c>
      <c r="S41" s="134" t="s">
        <v>113</v>
      </c>
      <c r="T41" s="134" t="e" cm="1">
        <f t="array" ref="T41">INDEX($B$6:$C$43,MATCH(1,(R41=$B$6:$B$43)*(S41=$C$6:$C$43),0),2)</f>
        <v>#N/A</v>
      </c>
      <c r="U41" s="134" t="e" cm="1">
        <f t="array" ref="U41">INDEX($G$6:$H$28,MATCH(1,(R41=$G$6:$G$28)*(S41=$H$6:$H$28),0),2)</f>
        <v>#N/A</v>
      </c>
      <c r="V41" s="134" t="str" cm="1">
        <f t="array" ref="V41">INDEX($M$6:$N$19,MATCH(1,(R41=$M$6:$M$19)*(S41=$N$6:$N$19),0),2)</f>
        <v>PRTCTN_ID</v>
      </c>
    </row>
    <row r="42" spans="1:23">
      <c r="A42" s="134" t="s">
        <v>345</v>
      </c>
      <c r="B42" s="134" t="s">
        <v>29</v>
      </c>
      <c r="C42" s="134" t="s">
        <v>58</v>
      </c>
      <c r="D42" s="134" t="s">
        <v>39</v>
      </c>
      <c r="E42" s="172" t="s">
        <v>336</v>
      </c>
      <c r="L42" s="134" t="s">
        <v>347</v>
      </c>
      <c r="M42" s="195" t="s">
        <v>29</v>
      </c>
      <c r="N42" s="195" t="s">
        <v>80</v>
      </c>
      <c r="Q42" s="134" t="s">
        <v>348</v>
      </c>
      <c r="R42" s="134" t="s">
        <v>28</v>
      </c>
      <c r="S42" s="134" t="s">
        <v>114</v>
      </c>
      <c r="T42" s="134" t="e" cm="1">
        <f t="array" ref="T42">INDEX($B$6:$C$43,MATCH(1,(R42=$B$6:$B$43)*(S42=$C$6:$C$43),0),2)</f>
        <v>#N/A</v>
      </c>
      <c r="U42" s="134" t="e" cm="1">
        <f t="array" ref="U42">INDEX($G$6:$H$28,MATCH(1,(R42=$G$6:$G$28)*(S42=$H$6:$H$28),0),2)</f>
        <v>#N/A</v>
      </c>
      <c r="V42" s="134" t="str" cm="1">
        <f t="array" ref="V42">INDEX($M$6:$N$19,MATCH(1,(R42=$M$6:$M$19)*(S42=$N$6:$N$19),0),2)</f>
        <v>TYP_PRTCTN</v>
      </c>
    </row>
    <row r="43" spans="1:23">
      <c r="A43" s="134" t="s">
        <v>345</v>
      </c>
      <c r="B43" s="134" t="s">
        <v>29</v>
      </c>
      <c r="C43" s="134" t="s">
        <v>59</v>
      </c>
      <c r="D43" s="134" t="s">
        <v>39</v>
      </c>
      <c r="E43" s="172" t="s">
        <v>336</v>
      </c>
      <c r="L43" s="134" t="s">
        <v>347</v>
      </c>
      <c r="M43" s="195" t="s">
        <v>29</v>
      </c>
      <c r="N43" s="195" t="s">
        <v>81</v>
      </c>
      <c r="Q43" s="134" t="s">
        <v>348</v>
      </c>
      <c r="R43" s="134" t="s">
        <v>28</v>
      </c>
      <c r="S43" s="134" t="s">
        <v>115</v>
      </c>
      <c r="T43" s="134" t="e" cm="1">
        <f t="array" ref="T43">INDEX($B$6:$C$43,MATCH(1,(R43=$B$6:$B$43)*(S43=$C$6:$C$43),0),2)</f>
        <v>#N/A</v>
      </c>
      <c r="U43" s="134" t="e" cm="1">
        <f t="array" ref="U43">INDEX($G$6:$H$28,MATCH(1,(R43=$G$6:$G$28)*(S43=$H$6:$H$28),0),2)</f>
        <v>#N/A</v>
      </c>
      <c r="V43" s="134" t="str" cm="1">
        <f t="array" ref="V43">INDEX($M$6:$N$19,MATCH(1,(R43=$M$6:$M$19)*(S43=$N$6:$N$19),0),2)</f>
        <v>PRTCTN_VL</v>
      </c>
    </row>
    <row r="44" spans="1:23">
      <c r="L44" s="134" t="s">
        <v>347</v>
      </c>
      <c r="M44" s="195" t="s">
        <v>29</v>
      </c>
      <c r="N44" s="195" t="s">
        <v>82</v>
      </c>
      <c r="Q44" s="134" t="s">
        <v>348</v>
      </c>
      <c r="R44" s="134" t="s">
        <v>28</v>
      </c>
      <c r="S44" s="134" t="s">
        <v>118</v>
      </c>
      <c r="T44" s="134" t="e" cm="1">
        <f t="array" ref="T44">INDEX($B$6:$C$43,MATCH(1,(R44=$B$6:$B$43)*(S44=$C$6:$C$43),0),2)</f>
        <v>#N/A</v>
      </c>
      <c r="U44" s="134" t="e" cm="1">
        <f t="array" ref="U44">INDEX($G$6:$H$28,MATCH(1,(R44=$G$6:$G$28)*(S44=$H$6:$H$28),0),2)</f>
        <v>#N/A</v>
      </c>
      <c r="V44" s="134" t="str" cm="1">
        <f t="array" ref="V44">INDEX($M$6:$N$19,MATCH(1,(R44=$M$6:$M$19)*(S44=$N$6:$N$19),0),2)</f>
        <v>FLG_ELCTRC_VHCL</v>
      </c>
    </row>
    <row r="45" spans="1:23">
      <c r="L45" s="134" t="s">
        <v>347</v>
      </c>
      <c r="M45" s="195" t="s">
        <v>29</v>
      </c>
      <c r="N45" s="195" t="s">
        <v>83</v>
      </c>
      <c r="Q45" s="134" t="s">
        <v>348</v>
      </c>
      <c r="R45" s="134" t="s">
        <v>108</v>
      </c>
      <c r="S45" s="134" t="s">
        <v>51</v>
      </c>
      <c r="T45" s="134" t="e" cm="1">
        <f t="array" ref="T45">INDEX($B$6:$C$43,MATCH(1,(R45=$B$6:$B$43)*(S45=$C$6:$C$43),0),2)</f>
        <v>#N/A</v>
      </c>
      <c r="U45" s="134" t="e" cm="1">
        <f t="array" ref="U45">INDEX($G$6:$H$28,MATCH(1,(R45=$G$6:$G$28)*(S45=$H$6:$H$28),0),2)</f>
        <v>#N/A</v>
      </c>
      <c r="V45" s="134" t="e" cm="1">
        <f t="array" ref="V45">INDEX($M$6:$N$19,MATCH(1,(R45=$M$6:$M$19)*(S45=$N$6:$N$19),0),2)</f>
        <v>#N/A</v>
      </c>
    </row>
    <row r="46" spans="1:23">
      <c r="L46" s="134" t="s">
        <v>347</v>
      </c>
      <c r="M46" s="195" t="s">
        <v>29</v>
      </c>
      <c r="N46" s="195" t="s">
        <v>61</v>
      </c>
      <c r="Q46" s="134" t="s">
        <v>348</v>
      </c>
      <c r="R46" s="134" t="s">
        <v>108</v>
      </c>
      <c r="S46" s="134" t="s">
        <v>52</v>
      </c>
      <c r="T46" s="134" t="e" cm="1">
        <f t="array" ref="T46">INDEX($B$6:$C$43,MATCH(1,(R46=$B$6:$B$43)*(S46=$C$6:$C$43),0),2)</f>
        <v>#N/A</v>
      </c>
      <c r="U46" s="134" t="e" cm="1">
        <f t="array" ref="U46">INDEX($G$6:$H$28,MATCH(1,(R46=$G$6:$G$28)*(S46=$H$6:$H$28),0),2)</f>
        <v>#N/A</v>
      </c>
      <c r="V46" s="134" t="e" cm="1">
        <f t="array" ref="V46">INDEX($M$6:$N$19,MATCH(1,(R46=$M$6:$M$19)*(S46=$N$6:$N$19),0),2)</f>
        <v>#N/A</v>
      </c>
    </row>
    <row r="47" spans="1:23">
      <c r="L47" s="134" t="s">
        <v>347</v>
      </c>
      <c r="M47" s="195" t="s">
        <v>29</v>
      </c>
      <c r="N47" s="195" t="s">
        <v>84</v>
      </c>
      <c r="Q47" s="134" t="s">
        <v>348</v>
      </c>
      <c r="R47" s="134" t="s">
        <v>108</v>
      </c>
      <c r="S47" s="134" t="s">
        <v>53</v>
      </c>
      <c r="T47" s="134" t="e" cm="1">
        <f t="array" ref="T47">INDEX($B$6:$C$43,MATCH(1,(R47=$B$6:$B$43)*(S47=$C$6:$C$43),0),2)</f>
        <v>#N/A</v>
      </c>
      <c r="U47" s="134" t="e" cm="1">
        <f t="array" ref="U47">INDEX($G$6:$H$28,MATCH(1,(R47=$G$6:$G$28)*(S47=$H$6:$H$28),0),2)</f>
        <v>#N/A</v>
      </c>
      <c r="V47" s="134" t="e" cm="1">
        <f t="array" ref="V47">INDEX($M$6:$N$19,MATCH(1,(R47=$M$6:$M$19)*(S47=$N$6:$N$19),0),2)</f>
        <v>#N/A</v>
      </c>
    </row>
    <row r="48" spans="1:23">
      <c r="L48" s="134" t="s">
        <v>347</v>
      </c>
      <c r="M48" s="195" t="s">
        <v>29</v>
      </c>
      <c r="N48" s="195" t="s">
        <v>85</v>
      </c>
      <c r="Q48" s="134" t="s">
        <v>348</v>
      </c>
      <c r="R48" s="134" t="s">
        <v>108</v>
      </c>
      <c r="S48" s="134" t="s">
        <v>59</v>
      </c>
      <c r="T48" s="134" t="e" cm="1">
        <f t="array" ref="T48">INDEX($B$6:$C$43,MATCH(1,(R48=$B$6:$B$43)*(S48=$C$6:$C$43),0),2)</f>
        <v>#N/A</v>
      </c>
      <c r="U48" s="134" t="e" cm="1">
        <f t="array" ref="U48">INDEX($G$6:$H$28,MATCH(1,(R48=$G$6:$G$28)*(S48=$H$6:$H$28),0),2)</f>
        <v>#N/A</v>
      </c>
      <c r="V48" s="134" t="e" cm="1">
        <f t="array" ref="V48">INDEX($M$6:$N$19,MATCH(1,(R48=$M$6:$M$19)*(S48=$N$6:$N$19),0),2)</f>
        <v>#N/A</v>
      </c>
      <c r="W48" s="134" t="s">
        <v>291</v>
      </c>
    </row>
    <row r="49" spans="12:23">
      <c r="L49" s="134" t="s">
        <v>347</v>
      </c>
      <c r="M49" s="195" t="s">
        <v>29</v>
      </c>
      <c r="N49" s="195" t="s">
        <v>86</v>
      </c>
      <c r="Q49" s="134" t="s">
        <v>348</v>
      </c>
      <c r="R49" s="134" t="s">
        <v>108</v>
      </c>
      <c r="S49" s="134" t="s">
        <v>116</v>
      </c>
      <c r="T49" s="134" t="e" cm="1">
        <f t="array" ref="T49">INDEX($B$6:$C$43,MATCH(1,(R49=$B$6:$B$43)*(S49=$C$6:$C$43),0),2)</f>
        <v>#N/A</v>
      </c>
      <c r="U49" s="134" t="e" cm="1">
        <f t="array" ref="U49">INDEX($G$6:$H$28,MATCH(1,(R49=$G$6:$G$28)*(S49=$H$6:$H$28),0),2)</f>
        <v>#N/A</v>
      </c>
      <c r="V49" s="134" t="str" cm="1">
        <f t="array" ref="V49">INDEX($M$6:$N$19,MATCH(1,(R49=$M$6:$M$19)*(S49=$N$6:$N$19),0),2)</f>
        <v>PRCNTG_ACTVTY</v>
      </c>
    </row>
    <row r="50" spans="12:23">
      <c r="L50" s="134" t="s">
        <v>347</v>
      </c>
      <c r="M50" s="195" t="s">
        <v>29</v>
      </c>
      <c r="N50" s="195" t="s">
        <v>62</v>
      </c>
      <c r="Q50" s="134" t="s">
        <v>348</v>
      </c>
      <c r="R50" s="134" t="s">
        <v>108</v>
      </c>
      <c r="S50" s="134" t="s">
        <v>58</v>
      </c>
      <c r="T50" s="134" t="e" cm="1">
        <f t="array" ref="T50">INDEX($B$6:$C$43,MATCH(1,(R50=$B$6:$B$43)*(S50=$C$6:$C$43),0),2)</f>
        <v>#N/A</v>
      </c>
      <c r="U50" s="134" t="e" cm="1">
        <f t="array" ref="U50">INDEX($G$6:$H$28,MATCH(1,(R50=$G$6:$G$28)*(S50=$H$6:$H$28),0),2)</f>
        <v>#N/A</v>
      </c>
      <c r="V50" s="134" t="e" cm="1">
        <f t="array" ref="V50">INDEX($M$6:$N$19,MATCH(1,(R50=$M$6:$M$19)*(S50=$N$6:$N$19),0),2)</f>
        <v>#N/A</v>
      </c>
      <c r="W50" s="134" t="s">
        <v>291</v>
      </c>
    </row>
    <row r="51" spans="12:23">
      <c r="L51" s="134" t="s">
        <v>347</v>
      </c>
      <c r="M51" s="195" t="s">
        <v>29</v>
      </c>
      <c r="N51" s="195" t="s">
        <v>87</v>
      </c>
    </row>
    <row r="52" spans="12:23">
      <c r="L52" s="134" t="s">
        <v>347</v>
      </c>
      <c r="M52" s="195" t="s">
        <v>29</v>
      </c>
      <c r="N52" s="195" t="s">
        <v>88</v>
      </c>
    </row>
    <row r="53" spans="12:23">
      <c r="L53" s="134" t="s">
        <v>347</v>
      </c>
      <c r="M53" s="195" t="s">
        <v>29</v>
      </c>
      <c r="N53" s="195" t="s">
        <v>89</v>
      </c>
    </row>
    <row r="54" spans="12:23">
      <c r="L54" s="134" t="s">
        <v>347</v>
      </c>
      <c r="M54" s="195" t="s">
        <v>29</v>
      </c>
      <c r="N54" s="195" t="s">
        <v>90</v>
      </c>
    </row>
    <row r="55" spans="12:23">
      <c r="L55" s="134" t="s">
        <v>347</v>
      </c>
      <c r="M55" s="195" t="s">
        <v>29</v>
      </c>
      <c r="N55" s="195" t="s">
        <v>91</v>
      </c>
    </row>
    <row r="56" spans="12:23">
      <c r="L56" s="134" t="s">
        <v>347</v>
      </c>
      <c r="M56" s="195" t="s">
        <v>29</v>
      </c>
      <c r="N56" s="195" t="s">
        <v>92</v>
      </c>
    </row>
    <row r="57" spans="12:23">
      <c r="L57" s="134" t="s">
        <v>347</v>
      </c>
      <c r="M57" s="195" t="s">
        <v>29</v>
      </c>
      <c r="N57" s="195" t="s">
        <v>93</v>
      </c>
    </row>
    <row r="58" spans="12:23">
      <c r="L58" s="134" t="s">
        <v>347</v>
      </c>
      <c r="M58" s="195" t="s">
        <v>29</v>
      </c>
      <c r="N58" s="195" t="s">
        <v>94</v>
      </c>
    </row>
    <row r="59" spans="12:23">
      <c r="L59" s="134" t="s">
        <v>347</v>
      </c>
      <c r="M59" s="195" t="s">
        <v>29</v>
      </c>
      <c r="N59" s="195" t="s">
        <v>95</v>
      </c>
    </row>
    <row r="60" spans="12:23">
      <c r="L60" s="134" t="s">
        <v>347</v>
      </c>
      <c r="M60" s="195" t="s">
        <v>29</v>
      </c>
      <c r="N60" s="195" t="s">
        <v>96</v>
      </c>
    </row>
    <row r="61" spans="12:23">
      <c r="L61" s="134" t="s">
        <v>347</v>
      </c>
      <c r="M61" s="195" t="s">
        <v>29</v>
      </c>
      <c r="N61" s="195" t="s">
        <v>97</v>
      </c>
    </row>
    <row r="62" spans="12:23">
      <c r="L62" s="134" t="s">
        <v>347</v>
      </c>
      <c r="M62" s="195" t="s">
        <v>29</v>
      </c>
      <c r="N62" s="195" t="s">
        <v>98</v>
      </c>
    </row>
    <row r="63" spans="12:23">
      <c r="L63" s="134" t="s">
        <v>347</v>
      </c>
      <c r="M63" s="195" t="s">
        <v>29</v>
      </c>
      <c r="N63" s="195" t="s">
        <v>99</v>
      </c>
    </row>
    <row r="64" spans="12:23">
      <c r="L64" s="134" t="s">
        <v>347</v>
      </c>
      <c r="M64" s="195" t="s">
        <v>29</v>
      </c>
      <c r="N64" s="195" t="s">
        <v>100</v>
      </c>
    </row>
    <row r="65" spans="12:14">
      <c r="L65" s="134" t="s">
        <v>347</v>
      </c>
      <c r="M65" s="195" t="s">
        <v>29</v>
      </c>
      <c r="N65" s="195" t="s">
        <v>101</v>
      </c>
    </row>
    <row r="66" spans="12:14">
      <c r="L66" s="134" t="s">
        <v>347</v>
      </c>
      <c r="M66" s="195" t="s">
        <v>29</v>
      </c>
      <c r="N66" s="195" t="s">
        <v>63</v>
      </c>
    </row>
    <row r="67" spans="12:14">
      <c r="L67" s="134" t="s">
        <v>347</v>
      </c>
      <c r="M67" s="195" t="s">
        <v>29</v>
      </c>
      <c r="N67" s="195" t="s">
        <v>102</v>
      </c>
    </row>
    <row r="68" spans="12:14">
      <c r="L68" s="134" t="s">
        <v>347</v>
      </c>
      <c r="M68" s="195" t="s">
        <v>29</v>
      </c>
      <c r="N68" s="195" t="s">
        <v>103</v>
      </c>
    </row>
    <row r="69" spans="12:14">
      <c r="L69" s="134" t="s">
        <v>347</v>
      </c>
      <c r="M69" s="195" t="s">
        <v>269</v>
      </c>
      <c r="N69" s="195" t="s">
        <v>30</v>
      </c>
    </row>
    <row r="70" spans="12:14">
      <c r="L70" s="134" t="s">
        <v>347</v>
      </c>
      <c r="M70" s="195" t="s">
        <v>269</v>
      </c>
      <c r="N70" s="195" t="s">
        <v>270</v>
      </c>
    </row>
    <row r="71" spans="12:14">
      <c r="L71" s="134" t="s">
        <v>347</v>
      </c>
      <c r="M71" s="195" t="s">
        <v>269</v>
      </c>
      <c r="N71" s="195" t="s">
        <v>271</v>
      </c>
    </row>
    <row r="72" spans="12:14">
      <c r="L72" s="134" t="s">
        <v>347</v>
      </c>
      <c r="M72" s="195" t="s">
        <v>269</v>
      </c>
      <c r="N72" s="195" t="s">
        <v>272</v>
      </c>
    </row>
    <row r="73" spans="12:14">
      <c r="L73" s="134" t="s">
        <v>347</v>
      </c>
      <c r="M73" s="195" t="s">
        <v>269</v>
      </c>
      <c r="N73" s="195" t="s">
        <v>26</v>
      </c>
    </row>
    <row r="74" spans="12:14">
      <c r="L74" s="134" t="s">
        <v>347</v>
      </c>
      <c r="M74" s="195" t="s">
        <v>269</v>
      </c>
      <c r="N74" s="195" t="s">
        <v>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2CD0D646C4A4BA134F31D4B24B40E" ma:contentTypeVersion="6" ma:contentTypeDescription="Create a new document." ma:contentTypeScope="" ma:versionID="44d084d22cffce93bfdc479ece46efdb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4c48daec1cac35560ca4f83510ab44c9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EABF024-3585-42FE-95F2-07FA9F8BD5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AECEC8-4DD8-465B-8409-57126B460CA5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18AAA335-33FC-43F6-B758-4189E316609B}">
  <ds:schemaRefs>
    <ds:schemaRef ds:uri="http://www.w3.org/XML/1998/namespace"/>
    <ds:schemaRef ds:uri="http://purl.org/dc/dcmitype/"/>
    <ds:schemaRef ds:uri="6ea7b29d-57ec-408d-9ea9-cf73b04f66d5"/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http://schemas.openxmlformats.org/package/2006/metadata/core-properties"/>
    <ds:schemaRef ds:uri="0683c779-04fc-4b63-89c9-6c25ffa1c0a4"/>
  </ds:schemaRefs>
</ds:datastoreItem>
</file>

<file path=customXml/itemProps4.xml><?xml version="1.0" encoding="utf-8"?>
<ds:datastoreItem xmlns:ds="http://schemas.openxmlformats.org/officeDocument/2006/customXml" ds:itemID="{5E81C828-5DF8-495C-A5A4-2BB72E0EE0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9</vt:i4>
      </vt:variant>
    </vt:vector>
  </HeadingPairs>
  <TitlesOfParts>
    <vt:vector size="21" baseType="lpstr">
      <vt:lpstr>1. Status Resumo</vt:lpstr>
      <vt:lpstr>2. Status Detalhe Campos</vt:lpstr>
      <vt:lpstr>3. Plano_Detalhado</vt:lpstr>
      <vt:lpstr>MacroPlano</vt:lpstr>
      <vt:lpstr>MacroPlano - Auxiliar</vt:lpstr>
      <vt:lpstr>Reunião 30jan</vt:lpstr>
      <vt:lpstr>Análise</vt:lpstr>
      <vt:lpstr>Macro_Plano_2025_v1</vt:lpstr>
      <vt:lpstr>Auxiliar_GD</vt:lpstr>
      <vt:lpstr>Pivots_GD</vt:lpstr>
      <vt:lpstr>Analise Campos FC</vt:lpstr>
      <vt:lpstr>Analise FC</vt:lpstr>
      <vt:lpstr>_1.2.1</vt:lpstr>
      <vt:lpstr>_1.2.2</vt:lpstr>
      <vt:lpstr>_1.2.3</vt:lpstr>
      <vt:lpstr>_1.2.4</vt:lpstr>
      <vt:lpstr>_1.2.5</vt:lpstr>
      <vt:lpstr>_1.2.6</vt:lpstr>
      <vt:lpstr>_1.2.7</vt:lpstr>
      <vt:lpstr>_1.2.8</vt:lpstr>
      <vt:lpstr>INTRNL_TRNSFR_RT</vt:lpstr>
    </vt:vector>
  </TitlesOfParts>
  <Manager/>
  <Company>Banco Santander Portugal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Henrique Crespo Rodrigues Antunes Correia;j.silva08@servexternos.santander.pt</dc:creator>
  <cp:keywords/>
  <dc:description/>
  <cp:lastModifiedBy>Rita Maia Matias</cp:lastModifiedBy>
  <cp:revision/>
  <dcterms:created xsi:type="dcterms:W3CDTF">2024-07-02T08:46:04Z</dcterms:created>
  <dcterms:modified xsi:type="dcterms:W3CDTF">2025-03-14T10:58:23Z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2024-07-02T09:25:15Z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b44731cb-64e1-46ce-8da7-b31adc0fe550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0x010100B0F2CD0D646C4A4BA134F31D4B24B40E</vt:lpwstr>
  </property>
  <property fmtid="{D5CDD505-2E9C-101B-9397-08002B2CF9AE}" pid="10" name="MediaServiceImageTags">
    <vt:lpwstr/>
  </property>
</Properties>
</file>