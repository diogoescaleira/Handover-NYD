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1. Documentação Enviada/"/>
    </mc:Choice>
  </mc:AlternateContent>
  <xr:revisionPtr revIDLastSave="82" documentId="8_{B69EB78C-0A1B-4397-B3ED-7F924BF77DD9}" xr6:coauthVersionLast="47" xr6:coauthVersionMax="47" xr10:uidLastSave="{16272F82-F1C2-4668-AAFE-97349E51E8F9}"/>
  <bookViews>
    <workbookView xWindow="60" yWindow="12852" windowWidth="23256" windowHeight="12576" tabRatio="728" xr2:uid="{00000000-000D-0000-FFFF-FFFF00000000}"/>
  </bookViews>
  <sheets>
    <sheet name="1. Status Resumo" sheetId="15" r:id="rId1"/>
    <sheet name="Auxiliar" sheetId="28" state="hidden" r:id="rId2"/>
  </sheets>
  <externalReferences>
    <externalReference r:id="rId3"/>
  </externalReferences>
  <definedNames>
    <definedName name="_xlcn.WorksheetConnection_2.StatusDetalheCamposB6G6051" hidden="1">'[1]2'!$B$6:$G$31</definedName>
    <definedName name="_xlcn.WorksheetConnection_Sheet2B2G5451" hidden="1">'[1]2'!$B$6:$G$31</definedName>
    <definedName name="asefadf">#REF!</definedName>
    <definedName name="b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5" l="1"/>
  <c r="L18" i="15" s="1"/>
  <c r="L23" i="15" l="1"/>
  <c r="L19" i="15"/>
  <c r="L17" i="15"/>
  <c r="L22" i="15"/>
  <c r="L20" i="15"/>
  <c r="L21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<sst xmlns="http://schemas.openxmlformats.org/spreadsheetml/2006/main" count="41" uniqueCount="28">
  <si>
    <t>Pilar III</t>
  </si>
  <si>
    <t>Bens Imóveis - Input</t>
  </si>
  <si>
    <t>Bens Imóveis - Output</t>
  </si>
  <si>
    <t>Modelo Verde - Input</t>
  </si>
  <si>
    <t>Modelo Verde - Output</t>
  </si>
  <si>
    <t>lt002_instrument</t>
  </si>
  <si>
    <t>Resumo</t>
  </si>
  <si>
    <t>Detalhe por Tabela</t>
  </si>
  <si>
    <t>Highlights</t>
  </si>
  <si>
    <t>0. Cancelado</t>
  </si>
  <si>
    <t>Grand Total</t>
  </si>
  <si>
    <t>Column Labels</t>
  </si>
  <si>
    <t>Row Labels</t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</si>
  <si>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</si>
  <si>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</si>
  <si>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</si>
  <si>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</si>
  <si>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</si>
  <si>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t>1. Fora de âmbito</t>
  </si>
  <si>
    <t>2. Concluído</t>
  </si>
  <si>
    <t>3. Em Análise</t>
  </si>
  <si>
    <t>4. Validação da especificação</t>
  </si>
  <si>
    <t>lt824_assoc_kpi_gd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</si>
  <si>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02/jan a 09/jan</t>
    </r>
  </si>
  <si>
    <r>
      <t xml:space="preserve">- Inicio do </t>
    </r>
    <r>
      <rPr>
        <i/>
        <sz val="12"/>
        <color theme="1"/>
        <rFont val="Santander Text"/>
        <family val="2"/>
      </rPr>
      <t>assessment</t>
    </r>
    <r>
      <rPr>
        <sz val="12"/>
        <color theme="1"/>
        <rFont val="Santander Text"/>
        <family val="2"/>
      </rPr>
      <t xml:space="preserve"> aos campos previamente definidos pela Deloitte.
- Início da atualização da documentação (</t>
    </r>
    <r>
      <rPr>
        <i/>
        <sz val="12"/>
        <color theme="1"/>
        <rFont val="Santander Text"/>
        <family val="2"/>
      </rPr>
      <t>word</t>
    </r>
    <r>
      <rPr>
        <sz val="12"/>
        <color theme="1"/>
        <rFont val="Santander Text"/>
        <family val="2"/>
      </rPr>
      <t xml:space="preserve"> e </t>
    </r>
    <r>
      <rPr>
        <i/>
        <sz val="12"/>
        <color theme="1"/>
        <rFont val="Santander Text"/>
        <family val="2"/>
      </rPr>
      <t>excel</t>
    </r>
    <r>
      <rPr>
        <sz val="12"/>
        <color theme="1"/>
        <rFont val="Santander Text"/>
        <family val="2"/>
      </rPr>
      <t xml:space="preserve">) com a proposta de especificação </t>
    </r>
    <r>
      <rPr>
        <i/>
        <sz val="12"/>
        <color theme="1"/>
        <rFont val="Santander Text"/>
        <family val="2"/>
      </rPr>
      <t>to-be</t>
    </r>
    <r>
      <rPr>
        <sz val="12"/>
        <color theme="1"/>
        <rFont val="Santander Text"/>
        <family val="2"/>
      </rPr>
      <t>.</t>
    </r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</si>
  <si>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</si>
  <si>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</si>
  <si>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concluídos:</t>
    </r>
    <r>
      <rPr>
        <sz val="11"/>
        <rFont val="Santander Text"/>
        <family val="2"/>
      </rPr>
      <t xml:space="preserve"> especificação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6 campos em análise</t>
    </r>
    <r>
      <rPr>
        <sz val="11"/>
        <rFont val="Santander Text"/>
        <family val="2"/>
      </rPr>
      <t xml:space="preserve">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5 campos para validação da especificação</t>
    </r>
    <r>
      <rPr>
        <sz val="11"/>
        <rFont val="Santander Text"/>
        <family val="2"/>
      </rPr>
      <t xml:space="preserve"> com CdG.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14 campos por iniciar</t>
    </r>
    <r>
      <rPr>
        <sz val="11"/>
        <rFont val="Santander Text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</si>
</sst>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i/>
      <sz val="12"/>
      <color theme="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5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4" borderId="0" xfId="0" applyFont="1" applyFill="1"/>
    <xf numFmtId="0" fontId="2" fillId="2" borderId="0" xfId="0" applyFont="1" applyFill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8" fillId="2" borderId="0" xfId="0" applyFont="1" applyFill="1"/>
    <xf numFmtId="0" fontId="10" fillId="2" borderId="0" xfId="0" applyFont="1" applyFill="1"/>
    <xf numFmtId="0" fontId="6" fillId="0" borderId="1" xfId="0" applyFont="1" applyBorder="1"/>
    <xf numFmtId="0" fontId="2" fillId="0" borderId="1" xfId="0" applyFont="1" applyBorder="1"/>
    <xf numFmtId="16" fontId="6" fillId="0" borderId="1" xfId="0" applyNumberFormat="1" applyFont="1" applyBorder="1"/>
    <xf numFmtId="0" fontId="9" fillId="0" borderId="0" xfId="0" applyFont="1"/>
    <xf numFmtId="0" fontId="11" fillId="0" borderId="0" xfId="0" applyFont="1"/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2" fillId="0" borderId="0" xfId="1" applyNumberFormat="1" applyFont="1" applyBorder="1" applyAlignment="1">
      <alignment vertical="center"/>
    </xf>
    <xf numFmtId="0" fontId="6" fillId="0" borderId="2" xfId="0" applyFont="1" applyBorder="1"/>
    <xf numFmtId="0" fontId="2" fillId="0" borderId="2" xfId="0" applyFont="1" applyBorder="1"/>
    <xf numFmtId="164" fontId="2" fillId="0" borderId="2" xfId="1" applyNumberFormat="1" applyFont="1" applyBorder="1" applyAlignment="1">
      <alignment vertical="center"/>
    </xf>
    <xf numFmtId="16" fontId="6" fillId="0" borderId="1" xfId="0" applyNumberFormat="1" applyFont="1" applyBorder="1" applyAlignment="1">
      <alignment horizontal="right" vertical="center"/>
    </xf>
    <xf numFmtId="0" fontId="6" fillId="2" borderId="0" xfId="0" applyFont="1" applyFill="1"/>
    <xf numFmtId="0" fontId="3" fillId="0" borderId="7" xfId="0" applyFont="1" applyBorder="1" applyAlignment="1">
      <alignment horizontal="left" vertical="center" wrapText="1"/>
    </xf>
    <xf numFmtId="164" fontId="2" fillId="0" borderId="0" xfId="1" applyNumberFormat="1" applyFont="1" applyFill="1" applyBorder="1" applyAlignment="1">
      <alignment vertical="center"/>
    </xf>
    <xf numFmtId="0" fontId="4" fillId="5" borderId="14" xfId="0" applyFont="1" applyFill="1" applyBorder="1"/>
    <xf numFmtId="0" fontId="4" fillId="5" borderId="15" xfId="0" applyFont="1" applyFill="1" applyBorder="1"/>
    <xf numFmtId="0" fontId="4" fillId="5" borderId="0" xfId="0" applyFont="1" applyFill="1"/>
    <xf numFmtId="0" fontId="4" fillId="5" borderId="15" xfId="0" applyFont="1" applyFill="1" applyBorder="1" applyAlignment="1">
      <alignment horizontal="left"/>
    </xf>
    <xf numFmtId="0" fontId="13" fillId="0" borderId="3" xfId="0" quotePrefix="1" applyFont="1" applyBorder="1" applyAlignment="1">
      <alignment horizontal="left" vertical="center" wrapText="1" indent="1"/>
    </xf>
    <xf numFmtId="0" fontId="13" fillId="0" borderId="4" xfId="0" applyFont="1" applyBorder="1" applyAlignment="1">
      <alignment horizontal="left" vertical="center" wrapText="1" indent="1"/>
    </xf>
    <xf numFmtId="0" fontId="13" fillId="0" borderId="5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13" fillId="0" borderId="7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 indent="1"/>
    </xf>
    <xf numFmtId="0" fontId="13" fillId="0" borderId="9" xfId="0" applyFont="1" applyBorder="1" applyAlignment="1">
      <alignment horizontal="left" vertical="center" wrapText="1" indent="1"/>
    </xf>
    <xf numFmtId="0" fontId="13" fillId="0" borderId="10" xfId="0" applyFont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Auxiliar!$C$13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Auxiliar!$C$14:$C$15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C-43B1-9AA9-C1B3B1CA049F}"/>
            </c:ext>
          </c:extLst>
        </c:ser>
        <c:ser>
          <c:idx val="1"/>
          <c:order val="1"/>
          <c:tx>
            <c:strRef>
              <c:f>Auxiliar!$D$13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Auxiliar!$D$14:$D$15</c:f>
              <c:numCache>
                <c:formatCode>General</c:formatCode>
                <c:ptCount val="2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C-43B1-9AA9-C1B3B1CA049F}"/>
            </c:ext>
          </c:extLst>
        </c:ser>
        <c:ser>
          <c:idx val="2"/>
          <c:order val="2"/>
          <c:tx>
            <c:strRef>
              <c:f>Auxiliar!$E$13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Auxiliar!$E$14:$E$15</c:f>
              <c:numCache>
                <c:formatCode>General</c:formatCode>
                <c:ptCount val="2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C-43B1-9AA9-C1B3B1CA049F}"/>
            </c:ext>
          </c:extLst>
        </c:ser>
        <c:ser>
          <c:idx val="3"/>
          <c:order val="3"/>
          <c:tx>
            <c:strRef>
              <c:f>Auxiliar!$F$13</c:f>
              <c:strCache>
                <c:ptCount val="1"/>
                <c:pt idx="0">
                  <c:v>8.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Auxiliar!$F$14:$F$15</c:f>
              <c:numCache>
                <c:formatCode>General</c:formatCode>
                <c:ptCount val="2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AC-43B1-9AA9-C1B3B1CA049F}"/>
            </c:ext>
          </c:extLst>
        </c:ser>
        <c:ser>
          <c:idx val="4"/>
          <c:order val="4"/>
          <c:tx>
            <c:strRef>
              <c:f>Auxiliar!$G$13</c:f>
              <c:strCache>
                <c:ptCount val="1"/>
                <c:pt idx="0">
                  <c:v>3. Em Análise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Auxiliar!$G$14:$G$15</c:f>
              <c:numCache>
                <c:formatCode>General</c:formatCode>
                <c:ptCount val="2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AC-43B1-9AA9-C1B3B1CA04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7344383"/>
        <c:axId val="1347341503"/>
      </c:barChart>
      <c:catAx>
        <c:axId val="134734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347341503"/>
        <c:crosses val="autoZero"/>
        <c:auto val="1"/>
        <c:lblAlgn val="ctr"/>
        <c:lblOffset val="100"/>
        <c:noMultiLvlLbl val="0"/>
      </c:catAx>
      <c:valAx>
        <c:axId val="1347341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734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DB-48BC-BEC5-495D38BE250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F8-4EA2-B842-468F10C222D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DB-48BC-BEC5-495D38BE2509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DB-48BC-BEC5-495D38BE2509}"/>
              </c:ext>
            </c:extLst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DB-48BC-BEC5-495D38BE25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Auxiliar!$B$4:$B$8</c:f>
              <c:strCache>
                <c:ptCount val="5"/>
                <c:pt idx="0">
                  <c:v>0. Cancelado</c:v>
                </c:pt>
                <c:pt idx="1">
                  <c:v>8. Por Iniciar</c:v>
                </c:pt>
                <c:pt idx="2">
                  <c:v>2. Concluído</c:v>
                </c:pt>
                <c:pt idx="3">
                  <c:v>4. Validação da especificação</c:v>
                </c:pt>
                <c:pt idx="4">
                  <c:v>3. Em Análise</c:v>
                </c:pt>
              </c:strCache>
            </c:strRef>
          </c:cat>
          <c:val>
            <c:numRef>
              <c:f>Auxiliar!$C$4:$C$8</c:f>
              <c:numCache>
                <c:formatCode>General</c:formatCode>
                <c:ptCount val="5"/>
                <c:pt idx="0">
                  <c:v>3</c:v>
                </c:pt>
                <c:pt idx="1">
                  <c:v>14</c:v>
                </c:pt>
                <c:pt idx="2">
                  <c:v>10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F8-4EA2-B842-468F10C222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sv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28</xdr:row>
      <xdr:rowOff>114525</xdr:rowOff>
    </xdr:from>
    <xdr:to>
      <xdr:col>6</xdr:col>
      <xdr:colOff>312301</xdr:colOff>
      <xdr:row>35</xdr:row>
      <xdr:rowOff>200025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887F4A-1185-4D09-BC7C-B5166A56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103372</xdr:colOff>
      <xdr:row>15</xdr:row>
      <xdr:rowOff>0</xdr:rowOff>
    </xdr:from>
    <xdr:to>
      <xdr:col>5</xdr:col>
      <xdr:colOff>1049722</xdr:colOff>
      <xdr:row>26</xdr:row>
      <xdr:rowOff>95251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16</xdr:row>
      <xdr:rowOff>56603</xdr:rowOff>
    </xdr:from>
    <xdr:to>
      <xdr:col>6</xdr:col>
      <xdr:colOff>631909</xdr:colOff>
      <xdr:row>16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17</xdr:row>
      <xdr:rowOff>58238</xdr:rowOff>
    </xdr:from>
    <xdr:to>
      <xdr:col>6</xdr:col>
      <xdr:colOff>628099</xdr:colOff>
      <xdr:row>17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18</xdr:row>
      <xdr:rowOff>56063</xdr:rowOff>
    </xdr:from>
    <xdr:to>
      <xdr:col>6</xdr:col>
      <xdr:colOff>628099</xdr:colOff>
      <xdr:row>18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59331</xdr:rowOff>
    </xdr:from>
    <xdr:to>
      <xdr:col>6</xdr:col>
      <xdr:colOff>629912</xdr:colOff>
      <xdr:row>20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21</xdr:row>
      <xdr:rowOff>60155</xdr:rowOff>
    </xdr:from>
    <xdr:to>
      <xdr:col>6</xdr:col>
      <xdr:colOff>631909</xdr:colOff>
      <xdr:row>21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186477</xdr:rowOff>
    </xdr:from>
    <xdr:to>
      <xdr:col>3</xdr:col>
      <xdr:colOff>309094</xdr:colOff>
      <xdr:row>2</xdr:row>
      <xdr:rowOff>76200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19</xdr:row>
      <xdr:rowOff>53887</xdr:rowOff>
    </xdr:from>
    <xdr:to>
      <xdr:col>6</xdr:col>
      <xdr:colOff>628099</xdr:colOff>
      <xdr:row>19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A69"/>
  <sheetViews>
    <sheetView showGridLines="0" tabSelected="1" zoomScale="70" zoomScaleNormal="70" workbookViewId="0">
      <selection activeCell="A5" sqref="A5"/>
    </sheetView>
  </sheetViews>
  <sheetFormatPr defaultColWidth="0" defaultRowHeight="14.25" zeroHeight="1" x14ac:dyDescent="0.2"/>
  <cols>
    <col min="1" max="2" width="3.625" customWidth="1"/>
    <col min="3" max="3" width="8.625" customWidth="1"/>
    <col min="4" max="4" width="12.5" customWidth="1"/>
    <col min="5" max="6" width="16.125" customWidth="1"/>
    <col min="7" max="7" width="10.625" customWidth="1"/>
    <col min="8" max="9" width="12.125" customWidth="1"/>
    <col min="10" max="10" width="12" customWidth="1"/>
    <col min="11" max="11" width="12.125" customWidth="1"/>
    <col min="12" max="13" width="12.5" customWidth="1"/>
    <col min="14" max="14" width="11.625" customWidth="1"/>
    <col min="15" max="15" width="12.125" customWidth="1"/>
    <col min="16" max="16" width="12.625" customWidth="1"/>
    <col min="17" max="17" width="13" customWidth="1"/>
    <col min="18" max="19" width="8.625" customWidth="1"/>
    <col min="20" max="21" width="3.625" customWidth="1"/>
    <col min="22" max="27" width="3.625" hidden="1" customWidth="1"/>
    <col min="28" max="16384" width="8.625" hidden="1"/>
  </cols>
  <sheetData>
    <row r="1" spans="1:21" ht="18.75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8.75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5.0999999999999996" customHeight="1" x14ac:dyDescent="0.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8.75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24" x14ac:dyDescent="0.5">
      <c r="A6" s="4"/>
      <c r="B6" s="13" t="s">
        <v>23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6.95" customHeight="1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8.75" x14ac:dyDescent="0.4">
      <c r="A8" s="4"/>
      <c r="B8" s="34" t="s">
        <v>24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4"/>
    </row>
    <row r="9" spans="1:21" ht="18.75" x14ac:dyDescent="0.4">
      <c r="A9" s="4"/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9"/>
      <c r="U9" s="4"/>
    </row>
    <row r="10" spans="1:21" ht="18.75" x14ac:dyDescent="0.4">
      <c r="A10" s="4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9"/>
      <c r="U10" s="4"/>
    </row>
    <row r="11" spans="1:21" ht="18.75" x14ac:dyDescent="0.4">
      <c r="A11" s="4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2"/>
      <c r="U11" s="4"/>
    </row>
    <row r="12" spans="1:21" ht="18.75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24" x14ac:dyDescent="0.5">
      <c r="A13" s="4"/>
      <c r="B13" s="13" t="s">
        <v>25</v>
      </c>
      <c r="C13" s="4"/>
      <c r="D13" s="4"/>
      <c r="E13" s="4"/>
      <c r="F13" s="4"/>
      <c r="G13" s="14" t="s">
        <v>1</v>
      </c>
      <c r="H13" s="14" t="s">
        <v>2</v>
      </c>
      <c r="I13" s="14" t="s">
        <v>3</v>
      </c>
      <c r="J13" s="14" t="s">
        <v>4</v>
      </c>
      <c r="K13" s="14" t="s"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6.95" customHeight="1" x14ac:dyDescent="0.4">
      <c r="A14" s="4"/>
      <c r="B14" s="4"/>
      <c r="C14" s="4"/>
      <c r="D14" s="4"/>
      <c r="E14" s="4"/>
      <c r="F14" s="4"/>
      <c r="G14" s="4"/>
      <c r="H14" s="2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8.75" x14ac:dyDescent="0.4">
      <c r="A15" s="4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  <c r="U15" s="4"/>
    </row>
    <row r="16" spans="1:21" ht="18.75" x14ac:dyDescent="0.4">
      <c r="A16" s="4"/>
      <c r="B16" s="8"/>
      <c r="C16" s="18" t="s">
        <v>6</v>
      </c>
      <c r="D16" s="1"/>
      <c r="E16" s="1"/>
      <c r="F16" s="1"/>
      <c r="G16" s="1"/>
      <c r="H16" s="15" t="s">
        <v>17</v>
      </c>
      <c r="I16" s="16"/>
      <c r="J16" s="15"/>
      <c r="K16" s="17">
        <v>45665</v>
      </c>
      <c r="L16" s="26" t="s">
        <v>16</v>
      </c>
      <c r="M16" s="1"/>
      <c r="N16" s="19" t="s">
        <v>8</v>
      </c>
      <c r="O16" s="1"/>
      <c r="P16" s="1"/>
      <c r="Q16" s="1"/>
      <c r="R16" s="1"/>
      <c r="S16" s="1"/>
      <c r="T16" s="9"/>
      <c r="U16" s="4"/>
    </row>
    <row r="17" spans="1:21" ht="18.75" customHeight="1" x14ac:dyDescent="0.4">
      <c r="A17" s="4"/>
      <c r="B17" s="8"/>
      <c r="C17" s="1"/>
      <c r="D17" s="1"/>
      <c r="E17" s="1"/>
      <c r="F17" s="1"/>
      <c r="G17" s="1"/>
      <c r="H17" s="20" t="s">
        <v>9</v>
      </c>
      <c r="I17" s="20"/>
      <c r="J17" s="20"/>
      <c r="K17" s="20">
        <v>3</v>
      </c>
      <c r="L17" s="22">
        <f t="shared" ref="L17:L23" si="0">K17/$K$23</f>
        <v>7.8947368421052627E-2</v>
      </c>
      <c r="M17" s="1"/>
      <c r="N17" s="43" t="s">
        <v>27</v>
      </c>
      <c r="O17" s="44"/>
      <c r="P17" s="44"/>
      <c r="Q17" s="44"/>
      <c r="R17" s="44"/>
      <c r="S17" s="45"/>
      <c r="T17" s="9"/>
      <c r="U17" s="4"/>
    </row>
    <row r="18" spans="1:21" ht="18.75" x14ac:dyDescent="0.4">
      <c r="A18" s="4"/>
      <c r="B18" s="8"/>
      <c r="C18" s="1"/>
      <c r="D18" s="1"/>
      <c r="E18" s="1"/>
      <c r="F18" s="1"/>
      <c r="G18" s="1"/>
      <c r="H18" s="20" t="s">
        <v>18</v>
      </c>
      <c r="I18" s="20"/>
      <c r="J18" s="20"/>
      <c r="K18" s="20">
        <v>0</v>
      </c>
      <c r="L18" s="22">
        <f t="shared" si="0"/>
        <v>0</v>
      </c>
      <c r="M18" s="1"/>
      <c r="N18" s="46"/>
      <c r="O18" s="47"/>
      <c r="P18" s="47"/>
      <c r="Q18" s="47"/>
      <c r="R18" s="47"/>
      <c r="S18" s="48"/>
      <c r="T18" s="9"/>
      <c r="U18" s="4"/>
    </row>
    <row r="19" spans="1:21" ht="17.45" customHeight="1" x14ac:dyDescent="0.4">
      <c r="A19" s="4"/>
      <c r="B19" s="8"/>
      <c r="C19" s="1"/>
      <c r="D19" s="1"/>
      <c r="E19" s="1"/>
      <c r="F19" s="1"/>
      <c r="G19" s="1"/>
      <c r="H19" s="20" t="s">
        <v>19</v>
      </c>
      <c r="I19" s="20"/>
      <c r="J19" s="20"/>
      <c r="K19" s="20">
        <v>10</v>
      </c>
      <c r="L19" s="22">
        <f t="shared" si="0"/>
        <v>0.26315789473684209</v>
      </c>
      <c r="M19" s="1"/>
      <c r="N19" s="46"/>
      <c r="O19" s="47"/>
      <c r="P19" s="47"/>
      <c r="Q19" s="47"/>
      <c r="R19" s="47"/>
      <c r="S19" s="48"/>
      <c r="T19" s="9"/>
      <c r="U19" s="4"/>
    </row>
    <row r="20" spans="1:21" ht="17.45" customHeight="1" x14ac:dyDescent="0.4">
      <c r="A20" s="4"/>
      <c r="B20" s="8"/>
      <c r="C20" s="1"/>
      <c r="D20" s="21"/>
      <c r="E20" s="21"/>
      <c r="F20" s="1"/>
      <c r="G20" s="1"/>
      <c r="H20" s="20" t="s">
        <v>20</v>
      </c>
      <c r="I20" s="20"/>
      <c r="J20" s="20"/>
      <c r="K20" s="20">
        <v>6</v>
      </c>
      <c r="L20" s="22">
        <f t="shared" si="0"/>
        <v>0.15789473684210525</v>
      </c>
      <c r="M20" s="1"/>
      <c r="N20" s="46"/>
      <c r="O20" s="47"/>
      <c r="P20" s="47"/>
      <c r="Q20" s="47"/>
      <c r="R20" s="47"/>
      <c r="S20" s="48"/>
      <c r="T20" s="9"/>
      <c r="U20" s="4"/>
    </row>
    <row r="21" spans="1:21" ht="17.45" customHeight="1" x14ac:dyDescent="0.4">
      <c r="A21" s="4"/>
      <c r="B21" s="8"/>
      <c r="C21" s="1"/>
      <c r="D21" s="21"/>
      <c r="E21" s="21"/>
      <c r="F21" s="1"/>
      <c r="G21" s="1"/>
      <c r="H21" s="20" t="s">
        <v>21</v>
      </c>
      <c r="I21" s="20"/>
      <c r="J21" s="20"/>
      <c r="K21" s="20">
        <v>5</v>
      </c>
      <c r="L21" s="22">
        <f t="shared" si="0"/>
        <v>0.13157894736842105</v>
      </c>
      <c r="M21" s="1"/>
      <c r="N21" s="46"/>
      <c r="O21" s="47"/>
      <c r="P21" s="47"/>
      <c r="Q21" s="47"/>
      <c r="R21" s="47"/>
      <c r="S21" s="48"/>
      <c r="T21" s="9"/>
      <c r="U21" s="4"/>
    </row>
    <row r="22" spans="1:21" ht="17.45" customHeight="1" x14ac:dyDescent="0.4">
      <c r="A22" s="4"/>
      <c r="B22" s="8"/>
      <c r="C22" s="1"/>
      <c r="D22" s="21"/>
      <c r="E22" s="21"/>
      <c r="F22" s="1"/>
      <c r="G22" s="1"/>
      <c r="H22" s="20" t="s">
        <v>26</v>
      </c>
      <c r="I22" s="20"/>
      <c r="J22" s="20"/>
      <c r="K22" s="20">
        <v>14</v>
      </c>
      <c r="L22" s="22">
        <f t="shared" si="0"/>
        <v>0.36842105263157893</v>
      </c>
      <c r="M22" s="1"/>
      <c r="N22" s="46"/>
      <c r="O22" s="47"/>
      <c r="P22" s="47"/>
      <c r="Q22" s="47"/>
      <c r="R22" s="47"/>
      <c r="S22" s="48"/>
      <c r="T22" s="9"/>
      <c r="U22" s="4"/>
    </row>
    <row r="23" spans="1:21" ht="18.75" x14ac:dyDescent="0.4">
      <c r="A23" s="4"/>
      <c r="B23" s="8"/>
      <c r="C23" s="1"/>
      <c r="D23" s="1"/>
      <c r="E23" s="1"/>
      <c r="F23" s="1"/>
      <c r="G23" s="1"/>
      <c r="H23" s="23" t="s">
        <v>15</v>
      </c>
      <c r="I23" s="24"/>
      <c r="J23" s="24"/>
      <c r="K23" s="23">
        <f>SUM(K17:K22)</f>
        <v>38</v>
      </c>
      <c r="L23" s="25">
        <f t="shared" si="0"/>
        <v>1</v>
      </c>
      <c r="M23" s="1"/>
      <c r="N23" s="46"/>
      <c r="O23" s="47"/>
      <c r="P23" s="47"/>
      <c r="Q23" s="47"/>
      <c r="R23" s="47"/>
      <c r="S23" s="48"/>
      <c r="T23" s="9"/>
      <c r="U23" s="4"/>
    </row>
    <row r="24" spans="1:21" ht="18.75" x14ac:dyDescent="0.4">
      <c r="A24" s="4"/>
      <c r="B24" s="8"/>
      <c r="C24" s="1"/>
      <c r="D24" s="1"/>
      <c r="E24" s="1"/>
      <c r="F24" s="1"/>
      <c r="G24" s="1"/>
      <c r="H24" s="20"/>
      <c r="I24" s="20"/>
      <c r="J24" s="20"/>
      <c r="K24" s="20"/>
      <c r="L24" s="29"/>
      <c r="M24" s="1"/>
      <c r="N24" s="46"/>
      <c r="O24" s="47"/>
      <c r="P24" s="47"/>
      <c r="Q24" s="47"/>
      <c r="R24" s="47"/>
      <c r="S24" s="48"/>
      <c r="T24" s="9"/>
      <c r="U24" s="4"/>
    </row>
    <row r="25" spans="1:21" ht="18.75" x14ac:dyDescent="0.4">
      <c r="A25" s="4"/>
      <c r="B25" s="8"/>
      <c r="C25" s="1"/>
      <c r="D25" s="1"/>
      <c r="E25" s="1"/>
      <c r="F25" s="1"/>
      <c r="M25" s="1"/>
      <c r="N25" s="46"/>
      <c r="O25" s="47"/>
      <c r="P25" s="47"/>
      <c r="Q25" s="47"/>
      <c r="R25" s="47"/>
      <c r="S25" s="48"/>
      <c r="T25" s="9"/>
      <c r="U25" s="4"/>
    </row>
    <row r="26" spans="1:21" ht="18.75" x14ac:dyDescent="0.4">
      <c r="A26" s="4"/>
      <c r="B26" s="8"/>
      <c r="C26" s="1"/>
      <c r="D26" s="1"/>
      <c r="E26" s="1"/>
      <c r="F26" s="1"/>
      <c r="M26" s="1"/>
      <c r="N26" s="46"/>
      <c r="O26" s="47"/>
      <c r="P26" s="47"/>
      <c r="Q26" s="47"/>
      <c r="R26" s="47"/>
      <c r="S26" s="48"/>
      <c r="T26" s="9"/>
      <c r="U26" s="4"/>
    </row>
    <row r="27" spans="1:21" ht="18.75" x14ac:dyDescent="0.4">
      <c r="A27" s="4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6"/>
      <c r="O27" s="47"/>
      <c r="P27" s="47"/>
      <c r="Q27" s="47"/>
      <c r="R27" s="47"/>
      <c r="S27" s="48"/>
      <c r="T27" s="9"/>
      <c r="U27" s="4"/>
    </row>
    <row r="28" spans="1:21" ht="18.75" x14ac:dyDescent="0.4">
      <c r="A28" s="4"/>
      <c r="B28" s="8"/>
      <c r="C28" s="18" t="s">
        <v>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46"/>
      <c r="O28" s="47"/>
      <c r="P28" s="47"/>
      <c r="Q28" s="47"/>
      <c r="R28" s="47"/>
      <c r="S28" s="48"/>
      <c r="T28" s="28"/>
      <c r="U28" s="4"/>
    </row>
    <row r="29" spans="1:21" ht="18.75" x14ac:dyDescent="0.4">
      <c r="A29" s="4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6"/>
      <c r="O29" s="47"/>
      <c r="P29" s="47"/>
      <c r="Q29" s="47"/>
      <c r="R29" s="47"/>
      <c r="S29" s="48"/>
      <c r="T29" s="28"/>
      <c r="U29" s="4"/>
    </row>
    <row r="30" spans="1:21" ht="18.75" x14ac:dyDescent="0.4">
      <c r="A30" s="4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6"/>
      <c r="O30" s="47"/>
      <c r="P30" s="47"/>
      <c r="Q30" s="47"/>
      <c r="R30" s="47"/>
      <c r="S30" s="48"/>
      <c r="T30" s="28"/>
      <c r="U30" s="4"/>
    </row>
    <row r="31" spans="1:21" ht="18.75" x14ac:dyDescent="0.4">
      <c r="A31" s="4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6"/>
      <c r="O31" s="47"/>
      <c r="P31" s="47"/>
      <c r="Q31" s="47"/>
      <c r="R31" s="47"/>
      <c r="S31" s="48"/>
      <c r="T31" s="28"/>
      <c r="U31" s="4"/>
    </row>
    <row r="32" spans="1:21" ht="18.75" x14ac:dyDescent="0.4">
      <c r="A32" s="4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6"/>
      <c r="O32" s="47"/>
      <c r="P32" s="47"/>
      <c r="Q32" s="47"/>
      <c r="R32" s="47"/>
      <c r="S32" s="48"/>
      <c r="T32" s="28"/>
      <c r="U32" s="4"/>
    </row>
    <row r="33" spans="1:21" ht="18.75" x14ac:dyDescent="0.4">
      <c r="A33" s="4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6"/>
      <c r="O33" s="47"/>
      <c r="P33" s="47"/>
      <c r="Q33" s="47"/>
      <c r="R33" s="47"/>
      <c r="S33" s="48"/>
      <c r="T33" s="28"/>
      <c r="U33" s="4"/>
    </row>
    <row r="34" spans="1:21" ht="18.75" x14ac:dyDescent="0.4">
      <c r="A34" s="4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6"/>
      <c r="O34" s="47"/>
      <c r="P34" s="47"/>
      <c r="Q34" s="47"/>
      <c r="R34" s="47"/>
      <c r="S34" s="48"/>
      <c r="T34" s="28"/>
      <c r="U34" s="4"/>
    </row>
    <row r="35" spans="1:21" ht="18.75" x14ac:dyDescent="0.4">
      <c r="A35" s="4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6"/>
      <c r="O35" s="47"/>
      <c r="P35" s="47"/>
      <c r="Q35" s="47"/>
      <c r="R35" s="47"/>
      <c r="S35" s="48"/>
      <c r="T35" s="28"/>
      <c r="U35" s="4"/>
    </row>
    <row r="36" spans="1:21" ht="18.75" x14ac:dyDescent="0.4">
      <c r="A36" s="4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9"/>
      <c r="O36" s="50"/>
      <c r="P36" s="50"/>
      <c r="Q36" s="50"/>
      <c r="R36" s="50"/>
      <c r="S36" s="51"/>
      <c r="T36" s="28"/>
      <c r="U36" s="4"/>
    </row>
    <row r="37" spans="1:21" ht="18.75" x14ac:dyDescent="0.4">
      <c r="A37" s="4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2"/>
      <c r="U37" s="4"/>
    </row>
    <row r="38" spans="1:21" ht="18.75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8.75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9" customFormat="1" hidden="1" x14ac:dyDescent="0.2"/>
    <row r="50" customFormat="1" hidden="1" x14ac:dyDescent="0.2"/>
    <row r="51" customFormat="1" hidden="1" x14ac:dyDescent="0.2"/>
    <row r="52" customFormat="1" hidden="1" x14ac:dyDescent="0.2"/>
    <row r="53" customFormat="1" hidden="1" x14ac:dyDescent="0.2"/>
    <row r="54" customFormat="1" hidden="1" x14ac:dyDescent="0.2"/>
    <row r="55" customFormat="1" hidden="1" x14ac:dyDescent="0.2"/>
    <row r="56" customFormat="1" hidden="1" x14ac:dyDescent="0.2"/>
    <row r="57" customFormat="1" hidden="1" x14ac:dyDescent="0.2"/>
    <row r="58" customFormat="1" hidden="1" x14ac:dyDescent="0.2"/>
    <row r="59" customFormat="1" hidden="1" x14ac:dyDescent="0.2"/>
    <row r="60" customFormat="1" hidden="1" x14ac:dyDescent="0.2"/>
    <row r="61" customFormat="1" hidden="1" x14ac:dyDescent="0.2"/>
    <row r="62" customFormat="1" hidden="1" x14ac:dyDescent="0.2"/>
    <row r="63" customFormat="1" hidden="1" x14ac:dyDescent="0.2"/>
    <row r="64" customFormat="1" hidden="1" x14ac:dyDescent="0.2"/>
    <row r="65" customFormat="1" hidden="1" x14ac:dyDescent="0.2"/>
    <row r="66" customFormat="1" hidden="1" x14ac:dyDescent="0.2"/>
    <row r="67" customFormat="1" hidden="1" x14ac:dyDescent="0.2"/>
    <row r="68" customFormat="1" hidden="1" x14ac:dyDescent="0.2"/>
    <row r="69" customFormat="1" hidden="1" x14ac:dyDescent="0.2"/>
  </sheetData>
  <mergeCells count="2">
    <mergeCell ref="B8:T11"/>
    <mergeCell ref="N17:S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3153-1B3F-422A-AB6E-44C238C4937B}">
  <dimension ref="B3:H16"/>
  <sheetViews>
    <sheetView workbookViewId="0">
      <selection activeCell="B13" sqref="B13:G15"/>
    </sheetView>
  </sheetViews>
  <sheetFormatPr defaultRowHeight="14.25" x14ac:dyDescent="0.2"/>
  <cols>
    <col min="2" max="2" width="25.5" bestFit="1" customWidth="1"/>
    <col min="3" max="3" width="19.75" bestFit="1" customWidth="1"/>
    <col min="4" max="4" width="11.875" bestFit="1" customWidth="1"/>
    <col min="5" max="5" width="27" bestFit="1" customWidth="1"/>
    <col min="6" max="6" width="11.875" bestFit="1" customWidth="1"/>
    <col min="7" max="7" width="12.5" bestFit="1" customWidth="1"/>
    <col min="8" max="8" width="11.375" bestFit="1" customWidth="1"/>
  </cols>
  <sheetData>
    <row r="3" spans="2:8" ht="15" x14ac:dyDescent="0.25">
      <c r="B3" s="30" t="s">
        <v>12</v>
      </c>
      <c r="C3" s="30" t="s">
        <v>14</v>
      </c>
    </row>
    <row r="4" spans="2:8" x14ac:dyDescent="0.2">
      <c r="B4" s="2" t="s">
        <v>9</v>
      </c>
      <c r="C4">
        <v>3</v>
      </c>
    </row>
    <row r="5" spans="2:8" x14ac:dyDescent="0.2">
      <c r="B5" s="2" t="s">
        <v>13</v>
      </c>
      <c r="C5">
        <v>14</v>
      </c>
    </row>
    <row r="6" spans="2:8" x14ac:dyDescent="0.2">
      <c r="B6" s="2" t="s">
        <v>19</v>
      </c>
      <c r="C6">
        <v>10</v>
      </c>
    </row>
    <row r="7" spans="2:8" x14ac:dyDescent="0.2">
      <c r="B7" s="2" t="s">
        <v>21</v>
      </c>
      <c r="C7">
        <v>5</v>
      </c>
    </row>
    <row r="8" spans="2:8" x14ac:dyDescent="0.2">
      <c r="B8" s="2" t="s">
        <v>20</v>
      </c>
      <c r="C8">
        <v>6</v>
      </c>
    </row>
    <row r="9" spans="2:8" ht="15" x14ac:dyDescent="0.25">
      <c r="B9" s="33" t="s">
        <v>10</v>
      </c>
      <c r="C9" s="31">
        <v>38</v>
      </c>
    </row>
    <row r="12" spans="2:8" ht="15" x14ac:dyDescent="0.25">
      <c r="B12" s="32" t="s">
        <v>14</v>
      </c>
      <c r="C12" s="32" t="s">
        <v>11</v>
      </c>
      <c r="D12" s="32"/>
      <c r="E12" s="32"/>
      <c r="F12" s="32"/>
      <c r="G12" s="32"/>
      <c r="H12" s="32"/>
    </row>
    <row r="13" spans="2:8" ht="15" x14ac:dyDescent="0.25">
      <c r="B13" s="30" t="s">
        <v>12</v>
      </c>
      <c r="C13" s="30" t="s">
        <v>9</v>
      </c>
      <c r="D13" s="30" t="s">
        <v>19</v>
      </c>
      <c r="E13" s="30" t="s">
        <v>21</v>
      </c>
      <c r="F13" s="30" t="s">
        <v>13</v>
      </c>
      <c r="G13" s="30" t="s">
        <v>20</v>
      </c>
      <c r="H13" s="30" t="s">
        <v>10</v>
      </c>
    </row>
    <row r="14" spans="2:8" x14ac:dyDescent="0.2">
      <c r="B14" s="2" t="s">
        <v>5</v>
      </c>
      <c r="C14">
        <v>3</v>
      </c>
      <c r="D14">
        <v>10</v>
      </c>
      <c r="E14">
        <v>5</v>
      </c>
      <c r="F14">
        <v>14</v>
      </c>
      <c r="H14">
        <v>32</v>
      </c>
    </row>
    <row r="15" spans="2:8" x14ac:dyDescent="0.2">
      <c r="B15" s="2" t="s">
        <v>22</v>
      </c>
      <c r="G15">
        <v>6</v>
      </c>
      <c r="H15">
        <v>6</v>
      </c>
    </row>
    <row r="16" spans="2:8" ht="15" x14ac:dyDescent="0.25">
      <c r="B16" s="33" t="s">
        <v>10</v>
      </c>
      <c r="C16" s="31">
        <v>3</v>
      </c>
      <c r="D16" s="31">
        <v>10</v>
      </c>
      <c r="E16" s="31">
        <v>5</v>
      </c>
      <c r="F16" s="31">
        <v>14</v>
      </c>
      <c r="G16" s="31">
        <v>6</v>
      </c>
      <c r="H16" s="31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45D9A-B2D0-4638-8505-F8E401203FB0}"/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</vt:lpstr>
      <vt:lpstr>Auxiliar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2025-01-13T12:35:40Z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