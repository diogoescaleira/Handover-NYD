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27" documentId="8_{747A5290-1A57-4F77-9A18-CA250631C75A}" xr6:coauthVersionLast="47" xr6:coauthVersionMax="47" xr10:uidLastSave="{2935F9C0-D7D4-4620-A4DA-63BB5E3D5167}"/>
  <bookViews>
    <workbookView xWindow="-120" yWindow="-16320" windowWidth="29040" windowHeight="15840" tabRatio="856" xr2:uid="{00000000-000D-0000-FFFF-FFFF00000000}"/>
  </bookViews>
  <sheets>
    <sheet name="1. Status Resumo" sheetId="15" r:id="rId1"/>
    <sheet name="Auxiliar" sheetId="25" state="hidden" r:id="rId2"/>
  </sheets>
  <externalReferences>
    <externalReference r:id="rId3"/>
  </externalReferences>
  <definedNames>
    <definedName name="_xlcn.WorksheetConnection_2.StatusDetalheCamposB6G6051" hidden="1">'[1]2'!$B$6:$G$31</definedName>
    <definedName name="_xlcn.WorksheetConnection_Sheet2B2G5451" hidden="1">'[1]2'!$B$6:$G$31</definedName>
    <definedName name="asefadf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5" l="1"/>
  <c r="L51" i="15" s="1"/>
  <c r="K25" i="15" l="1"/>
  <c r="L20" i="15" l="1"/>
  <c r="L48" i="15"/>
  <c r="L47" i="15"/>
  <c r="L50" i="15"/>
  <c r="L46" i="15"/>
  <c r="L49" i="15"/>
  <c r="L45" i="15"/>
  <c r="L25" i="15"/>
  <c r="L21" i="15"/>
  <c r="L19" i="15"/>
  <c r="L24" i="15"/>
  <c r="L22" i="15"/>
  <c r="L23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<sst xmlns="http://schemas.openxmlformats.org/spreadsheetml/2006/main" count="74" uniqueCount="36">
  <si>
    <t>Pilar III</t>
  </si>
  <si>
    <t>Bens Imóveis - Input</t>
  </si>
  <si>
    <t>Bens Imóveis - Output</t>
  </si>
  <si>
    <t>Modelo Verde - Input</t>
  </si>
  <si>
    <t>Modelo Verde - Output</t>
  </si>
  <si>
    <t>lt004_protection</t>
  </si>
  <si>
    <t>lt002_instrument</t>
  </si>
  <si>
    <t>Resumo</t>
  </si>
  <si>
    <t>Detalhe por Tabela</t>
  </si>
  <si>
    <t>Highlights</t>
  </si>
  <si>
    <t>0. Cancelado</t>
  </si>
  <si>
    <t>1. Concluído</t>
  </si>
  <si>
    <t>Grand Total</t>
  </si>
  <si>
    <t>Column Labels</t>
  </si>
  <si>
    <t>Row Labels</t>
  </si>
  <si>
    <t>lt007_instr_activity</t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</si>
  <si>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</si>
  <si>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</si>
  <si>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</si>
  <si>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</si>
  <si>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</si>
  <si>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t>1. Fora de âmbito</t>
  </si>
  <si>
    <t>2. Concluído</t>
  </si>
  <si>
    <t>3. Em Análise</t>
  </si>
  <si>
    <t>4. Validação da especificação</t>
  </si>
  <si>
    <t>lt824_assoc_kpi_gd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</si>
  <si>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</si>
  <si>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</si>
  <si>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</si>
  <si>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2. Em Especificação/Re-especificação</t>
  </si>
  <si>
    <t>3. Pendente de outros desenvolvimentos/validações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</si>
  <si>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31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3</t>
    </r>
    <r>
      <rPr>
        <u/>
        <sz val="11"/>
        <rFont val="Santander Text"/>
        <family val="2"/>
      </rPr>
      <t xml:space="preserve"> campos em análise:</t>
    </r>
    <r>
      <rPr>
        <sz val="11"/>
        <rFont val="Santander Text"/>
        <family val="2"/>
      </rPr>
      <t xml:space="preserve"> os quais de acordo com a especificação da Deloitte devem ser preenchidos pela Corporação.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 campo para validação da especificação</t>
    </r>
    <r>
      <rPr>
        <sz val="11"/>
        <rFont val="Santander Text"/>
        <family val="2"/>
      </rPr>
      <t xml:space="preserve"> com CdG.</t>
    </r>
  </si>
  <si>
    <t>2. Re-especificação / Especificação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</si>
  <si>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10/jan a 15/jan</t>
    </r>
  </si>
  <si>
    <r>
      <t xml:space="preserve">- Continuação do </t>
    </r>
    <r>
      <rPr>
        <i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aos campos previamente definidos pela Deloitte.
- Conclusão da atualização da documentação (</t>
    </r>
    <r>
      <rPr>
        <i/>
        <sz val="12"/>
        <color theme="1"/>
        <rFont val="Santander Text"/>
        <family val="2"/>
      </rPr>
      <t>word</t>
    </r>
    <r>
      <rPr>
        <sz val="12"/>
        <color theme="1"/>
        <rFont val="Santander Text"/>
        <family val="2"/>
      </rPr>
      <t xml:space="preserve"> e </t>
    </r>
    <r>
      <rPr>
        <i/>
        <sz val="12"/>
        <color theme="1"/>
        <rFont val="Santander Text"/>
        <family val="2"/>
      </rPr>
      <t>excel</t>
    </r>
    <r>
      <rPr>
        <sz val="12"/>
        <color theme="1"/>
        <rFont val="Santander Text"/>
        <family val="2"/>
      </rPr>
      <t xml:space="preserve">) com a proposta de especificação </t>
    </r>
    <r>
      <rPr>
        <i/>
        <sz val="12"/>
        <color theme="1"/>
        <rFont val="Santander Text"/>
        <family val="2"/>
      </rPr>
      <t>to-be</t>
    </r>
    <r>
      <rPr>
        <sz val="12"/>
        <color theme="1"/>
        <rFont val="Santander Text"/>
        <family val="2"/>
      </rPr>
      <t xml:space="preserve">.
- Reunião com equipa de IT para perceber como foram implementados os contratos intramês.
- Análise à desagregação dos contratos por </t>
    </r>
    <r>
      <rPr>
        <i/>
        <sz val="12"/>
        <color theme="1"/>
        <rFont val="Santander Text"/>
        <family val="2"/>
      </rPr>
      <t>Business Area</t>
    </r>
    <r>
      <rPr>
        <sz val="12"/>
        <color theme="1"/>
        <rFont val="Santander Text"/>
        <family val="2"/>
      </rPr>
      <t>, para posterior envio de email à Corporação.
- Análise inicial aos campos em âmbito de re-especificação/especificação.</t>
    </r>
  </si>
  <si>
    <r>
      <rPr>
        <b/>
        <sz val="11"/>
        <rFont val="Santander Text"/>
        <family val="2"/>
      </rPr>
      <t xml:space="preserve">Dos 56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15 campos concluídos:</t>
    </r>
    <r>
      <rPr>
        <sz val="11"/>
        <rFont val="Santander Text"/>
        <family val="2"/>
      </rPr>
      <t xml:space="preserve"> especificação concluída e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2 campos são comuns com o Pilar 3 e já nos encontramos em sinergias com a equipa.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 campo para validação da especificação</t>
    </r>
    <r>
      <rPr>
        <sz val="11"/>
        <rFont val="Santander Text"/>
        <family val="2"/>
      </rPr>
      <t xml:space="preserve">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19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</si>
</sst>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2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i/>
      <sz val="12"/>
      <color theme="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62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8" fillId="2" borderId="0" xfId="0" applyFont="1" applyFill="1"/>
    <xf numFmtId="0" fontId="10" fillId="2" borderId="0" xfId="0" applyFont="1" applyFill="1"/>
    <xf numFmtId="0" fontId="6" fillId="0" borderId="1" xfId="0" applyFont="1" applyBorder="1"/>
    <xf numFmtId="0" fontId="2" fillId="0" borderId="1" xfId="0" applyFont="1" applyBorder="1"/>
    <xf numFmtId="16" fontId="6" fillId="0" borderId="1" xfId="0" applyNumberFormat="1" applyFont="1" applyBorder="1"/>
    <xf numFmtId="0" fontId="9" fillId="0" borderId="0" xfId="0" applyFont="1"/>
    <xf numFmtId="0" fontId="11" fillId="0" borderId="0" xfId="0" applyFont="1"/>
    <xf numFmtId="0" fontId="16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6" fillId="0" borderId="2" xfId="0" applyFont="1" applyBorder="1"/>
    <xf numFmtId="0" fontId="2" fillId="0" borderId="2" xfId="0" applyFont="1" applyBorder="1"/>
    <xf numFmtId="16" fontId="6" fillId="0" borderId="1" xfId="0" applyNumberFormat="1" applyFont="1" applyBorder="1" applyAlignment="1">
      <alignment horizontal="right" vertical="center"/>
    </xf>
    <xf numFmtId="0" fontId="6" fillId="2" borderId="0" xfId="0" applyFont="1" applyFill="1"/>
    <xf numFmtId="0" fontId="3" fillId="0" borderId="7" xfId="0" applyFont="1" applyBorder="1" applyAlignment="1">
      <alignment horizontal="left" vertical="center" wrapText="1"/>
    </xf>
    <xf numFmtId="167" fontId="2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0" fillId="2" borderId="0" xfId="0" applyFill="1"/>
    <xf numFmtId="167" fontId="6" fillId="0" borderId="2" xfId="1" applyNumberFormat="1" applyFont="1" applyBorder="1" applyAlignment="1">
      <alignment vertical="center"/>
    </xf>
    <xf numFmtId="0" fontId="13" fillId="0" borderId="3" xfId="0" quotePrefix="1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1"/>
    </xf>
    <xf numFmtId="0" fontId="13" fillId="0" borderId="5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3" fillId="0" borderId="7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wrapText="1" indent="1"/>
    </xf>
    <xf numFmtId="0" fontId="13" fillId="0" borderId="9" xfId="0" applyFont="1" applyBorder="1" applyAlignment="1">
      <alignment horizontal="left" vertical="center" wrapText="1" indent="1"/>
    </xf>
    <xf numFmtId="0" fontId="13" fillId="0" borderId="10" xfId="0" applyFont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4" fillId="5" borderId="14" xfId="0" applyFont="1" applyFill="1" applyBorder="1"/>
    <xf numFmtId="0" fontId="4" fillId="5" borderId="0" xfId="0" applyFont="1" applyFill="1"/>
    <xf numFmtId="0" fontId="0" fillId="0" borderId="0" xfId="0" applyNumberFormat="1"/>
    <xf numFmtId="0" fontId="24" fillId="0" borderId="0" xfId="0" applyNumberFormat="1" applyFont="1"/>
    <xf numFmtId="0" fontId="25" fillId="5" borderId="14" xfId="0" applyFont="1" applyFill="1" applyBorder="1"/>
    <xf numFmtId="0" fontId="25" fillId="5" borderId="15" xfId="0" applyFont="1" applyFill="1" applyBorder="1" applyAlignment="1">
      <alignment horizontal="left"/>
    </xf>
    <xf numFmtId="0" fontId="25" fillId="5" borderId="15" xfId="0" applyNumberFormat="1" applyFont="1" applyFill="1" applyBorder="1"/>
    <xf numFmtId="0" fontId="25" fillId="5" borderId="0" xfId="0" applyFont="1" applyFill="1"/>
    <xf numFmtId="0" fontId="4" fillId="5" borderId="15" xfId="0" applyFont="1" applyFill="1" applyBorder="1" applyAlignment="1">
      <alignment horizontal="left"/>
    </xf>
    <xf numFmtId="0" fontId="4" fillId="5" borderId="15" xfId="0" applyNumberFormat="1" applyFont="1" applyFill="1" applyBorder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Auxiliar!$B$4:$B$7</c:f>
              <c:strCache>
                <c:ptCount val="4"/>
                <c:pt idx="0">
                  <c:v>0. Cancelado</c:v>
                </c:pt>
                <c:pt idx="1">
                  <c:v>2. Concluído</c:v>
                </c:pt>
                <c:pt idx="2">
                  <c:v>4. Validação da especificação</c:v>
                </c:pt>
                <c:pt idx="3">
                  <c:v>3. Em Análise</c:v>
                </c:pt>
              </c:strCache>
            </c:strRef>
          </c:cat>
          <c:val>
            <c:numRef>
              <c:f>Auxiliar!$C$4:$C$7</c:f>
              <c:numCache>
                <c:formatCode>General</c:formatCode>
                <c:ptCount val="4"/>
                <c:pt idx="0">
                  <c:v>3</c:v>
                </c:pt>
                <c:pt idx="1">
                  <c:v>31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Auxiliar!$C$13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Auxiliar!$C$14:$C$15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Auxiliar!$D$13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Auxiliar!$D$14:$D$15</c:f>
              <c:numCache>
                <c:formatCode>General</c:formatCode>
                <c:ptCount val="2"/>
                <c:pt idx="0">
                  <c:v>25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ser>
          <c:idx val="2"/>
          <c:order val="2"/>
          <c:tx>
            <c:strRef>
              <c:f>Auxiliar!$E$13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D34-4910-A4EC-EE8B43B1D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Auxiliar!$E$14:$E$15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910-A4EC-EE8B43B1D6A5}"/>
            </c:ext>
          </c:extLst>
        </c:ser>
        <c:ser>
          <c:idx val="3"/>
          <c:order val="3"/>
          <c:tx>
            <c:strRef>
              <c:f>Auxiliar!$F$13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Auxiliar!$B$14:$B$15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Auxiliar!$F$14:$F$15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Auxiliar!$B$21:$B$24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8. Por Iniciar</c:v>
                </c:pt>
                <c:pt idx="3">
                  <c:v>2. Em Especificação/Re-especificação</c:v>
                </c:pt>
              </c:strCache>
            </c:strRef>
          </c:cat>
          <c:val>
            <c:numRef>
              <c:f>Auxiliar!$C$21:$C$24</c:f>
              <c:numCache>
                <c:formatCode>General</c:formatCode>
                <c:ptCount val="4"/>
                <c:pt idx="0">
                  <c:v>15</c:v>
                </c:pt>
                <c:pt idx="1">
                  <c:v>4</c:v>
                </c:pt>
                <c:pt idx="2">
                  <c:v>19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Auxiliar!$C$30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Auxiliar!$B$31:$B$35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Auxiliar!$C$31:$C$35</c:f>
              <c:numCache>
                <c:formatCode>General</c:formatCode>
                <c:ptCount val="5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Auxiliar!$D$30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Auxiliar!$B$31:$B$35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Auxiliar!$D$31:$D$35</c:f>
              <c:numCache>
                <c:formatCode>General</c:formatCode>
                <c:ptCount val="5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Auxiliar!$E$30</c:f>
              <c:strCache>
                <c:ptCount val="1"/>
                <c:pt idx="0">
                  <c:v>8.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Auxiliar!$B$31:$B$35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Auxiliar!$E$31:$E$35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Auxiliar!$F$30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Auxiliar!$B$31:$B$35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Auxiliar!$F$31:$F$35</c:f>
              <c:numCache>
                <c:formatCode>General</c:formatCode>
                <c:ptCount val="5"/>
                <c:pt idx="0">
                  <c:v>10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187747</xdr:rowOff>
    </xdr:from>
    <xdr:to>
      <xdr:col>3</xdr:col>
      <xdr:colOff>307824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%20Status%20Detalhe%20Camp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67"/>
  <sheetViews>
    <sheetView showGridLines="0" tabSelected="1" zoomScale="90" zoomScaleNormal="90" workbookViewId="0">
      <selection activeCell="E6" sqref="E6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2" customWidth="1"/>
    <col min="11" max="11" width="12.09765625" customWidth="1"/>
    <col min="12" max="13" width="12.5" customWidth="1"/>
    <col min="14" max="14" width="11.59765625" customWidth="1"/>
    <col min="15" max="15" width="12.09765625" customWidth="1"/>
    <col min="16" max="16" width="12.59765625" customWidth="1"/>
    <col min="17" max="17" width="13" customWidth="1"/>
    <col min="18" max="19" width="8.59765625" customWidth="1"/>
    <col min="20" max="21" width="3.59765625" customWidth="1"/>
    <col min="22" max="27" width="3.59765625" hidden="1" customWidth="1"/>
    <col min="28" max="16384" width="8.59765625" hidden="1"/>
  </cols>
  <sheetData>
    <row r="1" spans="1:21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5.0999999999999996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399999999999999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22.2" x14ac:dyDescent="0.55000000000000004">
      <c r="A6" s="3"/>
      <c r="B6" s="12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6.9" customHeigh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7.399999999999999" x14ac:dyDescent="0.45">
      <c r="A8" s="3"/>
      <c r="B8" s="34" t="s">
        <v>34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"/>
    </row>
    <row r="9" spans="1:21" ht="17.399999999999999" x14ac:dyDescent="0.45">
      <c r="A9" s="3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9"/>
      <c r="U9" s="3"/>
    </row>
    <row r="10" spans="1:21" ht="17.399999999999999" x14ac:dyDescent="0.45">
      <c r="A10" s="3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  <c r="U10" s="3"/>
    </row>
    <row r="11" spans="1:21" ht="17.399999999999999" x14ac:dyDescent="0.45">
      <c r="A11" s="3"/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9"/>
      <c r="U11" s="3"/>
    </row>
    <row r="12" spans="1:21" ht="17.399999999999999" x14ac:dyDescent="0.45">
      <c r="A12" s="3"/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9"/>
      <c r="U12" s="3"/>
    </row>
    <row r="13" spans="1:21" ht="17.399999999999999" x14ac:dyDescent="0.45">
      <c r="A13" s="3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2"/>
      <c r="U13" s="3"/>
    </row>
    <row r="14" spans="1:21" ht="17.399999999999999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2.2" x14ac:dyDescent="0.55000000000000004">
      <c r="A15" s="3"/>
      <c r="B15" s="12" t="s">
        <v>26</v>
      </c>
      <c r="C15" s="3"/>
      <c r="D15" s="3"/>
      <c r="E15" s="3"/>
      <c r="F15" s="3"/>
      <c r="G15" s="13" t="s">
        <v>1</v>
      </c>
      <c r="H15" s="13" t="s">
        <v>2</v>
      </c>
      <c r="I15" s="13" t="s">
        <v>3</v>
      </c>
      <c r="J15" s="13" t="s">
        <v>4</v>
      </c>
      <c r="K15" s="13" t="s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6.9" customHeight="1" x14ac:dyDescent="0.45">
      <c r="A16" s="3"/>
      <c r="B16" s="3"/>
      <c r="C16" s="3"/>
      <c r="D16" s="3"/>
      <c r="E16" s="3"/>
      <c r="F16" s="3"/>
      <c r="G16" s="3"/>
      <c r="H16" s="2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7.399999999999999" x14ac:dyDescent="0.4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U17" s="3"/>
    </row>
    <row r="18" spans="1:21" ht="17.399999999999999" x14ac:dyDescent="0.45">
      <c r="A18" s="3"/>
      <c r="B18" s="7"/>
      <c r="C18" s="17" t="s">
        <v>7</v>
      </c>
      <c r="D18" s="1"/>
      <c r="E18" s="1"/>
      <c r="F18" s="1"/>
      <c r="G18" s="1"/>
      <c r="H18" s="14" t="s">
        <v>20</v>
      </c>
      <c r="I18" s="15"/>
      <c r="J18" s="14"/>
      <c r="K18" s="16">
        <v>45672</v>
      </c>
      <c r="L18" s="25" t="s">
        <v>19</v>
      </c>
      <c r="M18" s="1"/>
      <c r="N18" s="18" t="s">
        <v>9</v>
      </c>
      <c r="O18" s="1"/>
      <c r="P18" s="1"/>
      <c r="Q18" s="1"/>
      <c r="R18" s="1"/>
      <c r="S18" s="1"/>
      <c r="T18" s="8"/>
      <c r="U18" s="3"/>
    </row>
    <row r="19" spans="1:21" ht="18.75" customHeight="1" x14ac:dyDescent="0.45">
      <c r="A19" s="3"/>
      <c r="B19" s="7"/>
      <c r="C19" s="1"/>
      <c r="D19" s="1"/>
      <c r="E19" s="1"/>
      <c r="F19" s="1"/>
      <c r="G19" s="1"/>
      <c r="H19" s="20" t="s">
        <v>10</v>
      </c>
      <c r="I19" s="20"/>
      <c r="J19" s="20"/>
      <c r="K19" s="20">
        <v>3</v>
      </c>
      <c r="L19" s="22">
        <f t="shared" ref="L19:L25" si="0">K19/$K$25</f>
        <v>7.8947368421052627E-2</v>
      </c>
      <c r="M19" s="1"/>
      <c r="N19" s="43" t="s">
        <v>31</v>
      </c>
      <c r="O19" s="44"/>
      <c r="P19" s="44"/>
      <c r="Q19" s="44"/>
      <c r="R19" s="44"/>
      <c r="S19" s="45"/>
      <c r="T19" s="8"/>
      <c r="U19" s="3"/>
    </row>
    <row r="20" spans="1:21" ht="17.399999999999999" x14ac:dyDescent="0.45">
      <c r="A20" s="3"/>
      <c r="B20" s="7"/>
      <c r="C20" s="1"/>
      <c r="D20" s="1"/>
      <c r="E20" s="1"/>
      <c r="F20" s="1"/>
      <c r="G20" s="1"/>
      <c r="H20" s="20" t="s">
        <v>21</v>
      </c>
      <c r="I20" s="20"/>
      <c r="J20" s="20"/>
      <c r="K20" s="20">
        <v>0</v>
      </c>
      <c r="L20" s="22">
        <f t="shared" si="0"/>
        <v>0</v>
      </c>
      <c r="M20" s="1"/>
      <c r="N20" s="46"/>
      <c r="O20" s="47"/>
      <c r="P20" s="47"/>
      <c r="Q20" s="47"/>
      <c r="R20" s="47"/>
      <c r="S20" s="48"/>
      <c r="T20" s="8"/>
      <c r="U20" s="3"/>
    </row>
    <row r="21" spans="1:21" ht="17.399999999999999" customHeight="1" x14ac:dyDescent="0.45">
      <c r="A21" s="3"/>
      <c r="B21" s="7"/>
      <c r="C21" s="1"/>
      <c r="D21" s="1"/>
      <c r="E21" s="1"/>
      <c r="F21" s="1"/>
      <c r="G21" s="1"/>
      <c r="H21" s="20" t="s">
        <v>22</v>
      </c>
      <c r="I21" s="20"/>
      <c r="J21" s="20"/>
      <c r="K21" s="20">
        <v>31</v>
      </c>
      <c r="L21" s="22">
        <f t="shared" si="0"/>
        <v>0.81578947368421051</v>
      </c>
      <c r="M21" s="1"/>
      <c r="N21" s="46"/>
      <c r="O21" s="47"/>
      <c r="P21" s="47"/>
      <c r="Q21" s="47"/>
      <c r="R21" s="47"/>
      <c r="S21" s="48"/>
      <c r="T21" s="8"/>
      <c r="U21" s="3"/>
    </row>
    <row r="22" spans="1:21" ht="17.399999999999999" customHeight="1" x14ac:dyDescent="0.45">
      <c r="A22" s="3"/>
      <c r="B22" s="7"/>
      <c r="C22" s="1"/>
      <c r="D22" s="21"/>
      <c r="E22" s="21"/>
      <c r="F22" s="1"/>
      <c r="G22" s="1"/>
      <c r="H22" s="20" t="s">
        <v>23</v>
      </c>
      <c r="I22" s="20"/>
      <c r="J22" s="20"/>
      <c r="K22" s="20">
        <v>3</v>
      </c>
      <c r="L22" s="22">
        <f t="shared" si="0"/>
        <v>7.8947368421052627E-2</v>
      </c>
      <c r="M22" s="1"/>
      <c r="N22" s="46"/>
      <c r="O22" s="47"/>
      <c r="P22" s="47"/>
      <c r="Q22" s="47"/>
      <c r="R22" s="47"/>
      <c r="S22" s="48"/>
      <c r="T22" s="8"/>
      <c r="U22" s="3"/>
    </row>
    <row r="23" spans="1:21" ht="17.399999999999999" customHeight="1" x14ac:dyDescent="0.45">
      <c r="A23" s="3"/>
      <c r="B23" s="7"/>
      <c r="C23" s="1"/>
      <c r="D23" s="21"/>
      <c r="E23" s="21"/>
      <c r="F23" s="1"/>
      <c r="G23" s="1"/>
      <c r="H23" s="20" t="s">
        <v>24</v>
      </c>
      <c r="I23" s="20"/>
      <c r="J23" s="20"/>
      <c r="K23" s="20">
        <v>1</v>
      </c>
      <c r="L23" s="22">
        <f t="shared" si="0"/>
        <v>2.6315789473684209E-2</v>
      </c>
      <c r="M23" s="1"/>
      <c r="N23" s="46"/>
      <c r="O23" s="47"/>
      <c r="P23" s="47"/>
      <c r="Q23" s="47"/>
      <c r="R23" s="47"/>
      <c r="S23" s="48"/>
      <c r="T23" s="8"/>
      <c r="U23" s="3"/>
    </row>
    <row r="24" spans="1:21" ht="17.399999999999999" customHeight="1" x14ac:dyDescent="0.45">
      <c r="A24" s="3"/>
      <c r="B24" s="7"/>
      <c r="C24" s="1"/>
      <c r="D24" s="21"/>
      <c r="E24" s="21"/>
      <c r="F24" s="1"/>
      <c r="G24" s="1"/>
      <c r="H24" s="20" t="s">
        <v>27</v>
      </c>
      <c r="I24" s="20"/>
      <c r="J24" s="20"/>
      <c r="K24" s="20">
        <v>0</v>
      </c>
      <c r="L24" s="22">
        <f t="shared" si="0"/>
        <v>0</v>
      </c>
      <c r="M24" s="1"/>
      <c r="N24" s="46"/>
      <c r="O24" s="47"/>
      <c r="P24" s="47"/>
      <c r="Q24" s="47"/>
      <c r="R24" s="47"/>
      <c r="S24" s="48"/>
      <c r="T24" s="8"/>
      <c r="U24" s="3"/>
    </row>
    <row r="25" spans="1:21" ht="17.399999999999999" x14ac:dyDescent="0.45">
      <c r="A25" s="3"/>
      <c r="B25" s="7"/>
      <c r="C25" s="1"/>
      <c r="D25" s="1"/>
      <c r="E25" s="1"/>
      <c r="F25" s="1"/>
      <c r="G25" s="1"/>
      <c r="H25" s="23" t="s">
        <v>18</v>
      </c>
      <c r="I25" s="24"/>
      <c r="J25" s="24"/>
      <c r="K25" s="23">
        <f>SUM(K19:K24)</f>
        <v>38</v>
      </c>
      <c r="L25" s="33">
        <f t="shared" si="0"/>
        <v>1</v>
      </c>
      <c r="M25" s="1"/>
      <c r="N25" s="46"/>
      <c r="O25" s="47"/>
      <c r="P25" s="47"/>
      <c r="Q25" s="47"/>
      <c r="R25" s="47"/>
      <c r="S25" s="48"/>
      <c r="T25" s="8"/>
      <c r="U25" s="3"/>
    </row>
    <row r="26" spans="1:21" ht="17.399999999999999" x14ac:dyDescent="0.45">
      <c r="A26" s="3"/>
      <c r="B26" s="7"/>
      <c r="C26" s="1"/>
      <c r="D26" s="1"/>
      <c r="E26" s="1"/>
      <c r="F26" s="1"/>
      <c r="G26" s="1"/>
      <c r="H26" s="20"/>
      <c r="I26" s="20"/>
      <c r="J26" s="20"/>
      <c r="K26" s="20"/>
      <c r="L26" s="28"/>
      <c r="M26" s="1"/>
      <c r="N26" s="46"/>
      <c r="O26" s="47"/>
      <c r="P26" s="47"/>
      <c r="Q26" s="47"/>
      <c r="R26" s="47"/>
      <c r="S26" s="48"/>
      <c r="T26" s="8"/>
      <c r="U26" s="3"/>
    </row>
    <row r="27" spans="1:21" ht="17.399999999999999" x14ac:dyDescent="0.45">
      <c r="A27" s="3"/>
      <c r="B27" s="7"/>
      <c r="C27" s="1"/>
      <c r="D27" s="1"/>
      <c r="E27" s="1"/>
      <c r="F27" s="1"/>
      <c r="M27" s="1"/>
      <c r="N27" s="46"/>
      <c r="O27" s="47"/>
      <c r="P27" s="47"/>
      <c r="Q27" s="47"/>
      <c r="R27" s="47"/>
      <c r="S27" s="48"/>
      <c r="T27" s="8"/>
      <c r="U27" s="3"/>
    </row>
    <row r="28" spans="1:21" ht="17.399999999999999" x14ac:dyDescent="0.45">
      <c r="A28" s="3"/>
      <c r="B28" s="7"/>
      <c r="C28" s="1"/>
      <c r="D28" s="1"/>
      <c r="E28" s="1"/>
      <c r="F28" s="1"/>
      <c r="M28" s="1"/>
      <c r="N28" s="46"/>
      <c r="O28" s="47"/>
      <c r="P28" s="47"/>
      <c r="Q28" s="47"/>
      <c r="R28" s="47"/>
      <c r="S28" s="48"/>
      <c r="T28" s="8"/>
      <c r="U28" s="3"/>
    </row>
    <row r="29" spans="1:21" ht="17.399999999999999" x14ac:dyDescent="0.45">
      <c r="A29" s="3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6"/>
      <c r="O29" s="47"/>
      <c r="P29" s="47"/>
      <c r="Q29" s="47"/>
      <c r="R29" s="47"/>
      <c r="S29" s="48"/>
      <c r="T29" s="8"/>
      <c r="U29" s="3"/>
    </row>
    <row r="30" spans="1:21" ht="17.399999999999999" x14ac:dyDescent="0.45">
      <c r="A30" s="3"/>
      <c r="B30" s="7"/>
      <c r="C30" s="17" t="s">
        <v>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47"/>
      <c r="P30" s="47"/>
      <c r="Q30" s="47"/>
      <c r="R30" s="47"/>
      <c r="S30" s="48"/>
      <c r="T30" s="27"/>
      <c r="U30" s="3"/>
    </row>
    <row r="31" spans="1:21" ht="17.399999999999999" x14ac:dyDescent="0.45">
      <c r="A31" s="3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6"/>
      <c r="O31" s="47"/>
      <c r="P31" s="47"/>
      <c r="Q31" s="47"/>
      <c r="R31" s="47"/>
      <c r="S31" s="48"/>
      <c r="T31" s="27"/>
      <c r="U31" s="3"/>
    </row>
    <row r="32" spans="1:21" ht="17.399999999999999" x14ac:dyDescent="0.45">
      <c r="A32" s="3"/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6"/>
      <c r="O32" s="47"/>
      <c r="P32" s="47"/>
      <c r="Q32" s="47"/>
      <c r="R32" s="47"/>
      <c r="S32" s="48"/>
      <c r="T32" s="27"/>
      <c r="U32" s="3"/>
    </row>
    <row r="33" spans="1:21" ht="17.399999999999999" x14ac:dyDescent="0.45">
      <c r="A33" s="3"/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47"/>
      <c r="P33" s="47"/>
      <c r="Q33" s="47"/>
      <c r="R33" s="47"/>
      <c r="S33" s="48"/>
      <c r="T33" s="27"/>
      <c r="U33" s="3"/>
    </row>
    <row r="34" spans="1:21" ht="17.399999999999999" x14ac:dyDescent="0.45">
      <c r="A34" s="3"/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47"/>
      <c r="P34" s="47"/>
      <c r="Q34" s="47"/>
      <c r="R34" s="47"/>
      <c r="S34" s="48"/>
      <c r="T34" s="27"/>
      <c r="U34" s="3"/>
    </row>
    <row r="35" spans="1:21" ht="17.399999999999999" x14ac:dyDescent="0.45">
      <c r="A35" s="3"/>
      <c r="B35" s="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6"/>
      <c r="O35" s="47"/>
      <c r="P35" s="47"/>
      <c r="Q35" s="47"/>
      <c r="R35" s="47"/>
      <c r="S35" s="48"/>
      <c r="T35" s="27"/>
      <c r="U35" s="3"/>
    </row>
    <row r="36" spans="1:21" ht="17.399999999999999" x14ac:dyDescent="0.45">
      <c r="A36" s="3"/>
      <c r="B36" s="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6"/>
      <c r="O36" s="47"/>
      <c r="P36" s="47"/>
      <c r="Q36" s="47"/>
      <c r="R36" s="47"/>
      <c r="S36" s="48"/>
      <c r="T36" s="27"/>
      <c r="U36" s="3"/>
    </row>
    <row r="37" spans="1:21" ht="17.399999999999999" x14ac:dyDescent="0.45">
      <c r="A37" s="3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6"/>
      <c r="O37" s="47"/>
      <c r="P37" s="47"/>
      <c r="Q37" s="47"/>
      <c r="R37" s="47"/>
      <c r="S37" s="48"/>
      <c r="T37" s="27"/>
      <c r="U37" s="3"/>
    </row>
    <row r="38" spans="1:21" ht="17.399999999999999" x14ac:dyDescent="0.45">
      <c r="A38" s="3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9"/>
      <c r="O38" s="50"/>
      <c r="P38" s="50"/>
      <c r="Q38" s="50"/>
      <c r="R38" s="50"/>
      <c r="S38" s="51"/>
      <c r="T38" s="27"/>
      <c r="U38" s="3"/>
    </row>
    <row r="39" spans="1:21" ht="17.399999999999999" x14ac:dyDescent="0.45">
      <c r="A39" s="3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  <c r="U39" s="3"/>
    </row>
    <row r="40" spans="1:21" ht="17.399999999999999" x14ac:dyDescent="0.4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22.2" x14ac:dyDescent="0.55000000000000004">
      <c r="A41" s="3"/>
      <c r="B41" s="12" t="s">
        <v>32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6.9" customHeight="1" x14ac:dyDescent="0.45">
      <c r="A42" s="3"/>
      <c r="B42" s="3"/>
      <c r="C42" s="3"/>
      <c r="D42" s="3"/>
      <c r="E42" s="3"/>
      <c r="F42" s="3"/>
      <c r="G42" s="3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7.399999999999999" x14ac:dyDescent="0.4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3"/>
    </row>
    <row r="44" spans="1:21" ht="17.399999999999999" x14ac:dyDescent="0.45">
      <c r="A44" s="3"/>
      <c r="B44" s="7"/>
      <c r="C44" s="17" t="s">
        <v>7</v>
      </c>
      <c r="D44" s="1"/>
      <c r="E44" s="1"/>
      <c r="F44" s="1"/>
      <c r="G44" s="1"/>
      <c r="H44" s="14" t="s">
        <v>20</v>
      </c>
      <c r="I44" s="15"/>
      <c r="J44" s="14"/>
      <c r="K44" s="16">
        <v>45672</v>
      </c>
      <c r="L44" s="25" t="s">
        <v>19</v>
      </c>
      <c r="M44" s="1"/>
      <c r="N44" s="18" t="s">
        <v>9</v>
      </c>
      <c r="O44" s="1"/>
      <c r="P44" s="1"/>
      <c r="Q44" s="1"/>
      <c r="R44" s="1"/>
      <c r="S44" s="1"/>
      <c r="T44" s="8"/>
      <c r="U44" s="3"/>
    </row>
    <row r="45" spans="1:21" ht="18.75" customHeight="1" x14ac:dyDescent="0.45">
      <c r="A45" s="3"/>
      <c r="B45" s="7"/>
      <c r="C45" s="1"/>
      <c r="D45" s="1"/>
      <c r="E45" s="1"/>
      <c r="F45" s="1"/>
      <c r="G45" s="1"/>
      <c r="H45" s="20" t="s">
        <v>10</v>
      </c>
      <c r="I45" s="20"/>
      <c r="J45" s="20"/>
      <c r="K45" s="20">
        <v>0</v>
      </c>
      <c r="L45" s="22">
        <f t="shared" ref="L45:L50" si="1">K45/$K$25</f>
        <v>0</v>
      </c>
      <c r="M45" s="1"/>
      <c r="N45" s="43" t="s">
        <v>35</v>
      </c>
      <c r="O45" s="44"/>
      <c r="P45" s="44"/>
      <c r="Q45" s="44"/>
      <c r="R45" s="44"/>
      <c r="S45" s="45"/>
      <c r="T45" s="8"/>
      <c r="U45" s="3"/>
    </row>
    <row r="46" spans="1:21" ht="17.399999999999999" x14ac:dyDescent="0.45">
      <c r="A46" s="3"/>
      <c r="B46" s="7"/>
      <c r="C46" s="1"/>
      <c r="D46" s="1"/>
      <c r="E46" s="1"/>
      <c r="F46" s="1"/>
      <c r="G46" s="1"/>
      <c r="H46" s="20" t="s">
        <v>11</v>
      </c>
      <c r="I46" s="20"/>
      <c r="J46" s="20"/>
      <c r="K46" s="20">
        <v>15</v>
      </c>
      <c r="L46" s="22">
        <f t="shared" si="1"/>
        <v>0.39473684210526316</v>
      </c>
      <c r="M46" s="1"/>
      <c r="N46" s="46"/>
      <c r="O46" s="47"/>
      <c r="P46" s="47"/>
      <c r="Q46" s="47"/>
      <c r="R46" s="47"/>
      <c r="S46" s="48"/>
      <c r="T46" s="8"/>
      <c r="U46" s="3"/>
    </row>
    <row r="47" spans="1:21" ht="17.399999999999999" customHeight="1" x14ac:dyDescent="0.45">
      <c r="A47" s="3"/>
      <c r="B47" s="7"/>
      <c r="C47" s="1"/>
      <c r="D47" s="1"/>
      <c r="E47" s="1"/>
      <c r="F47" s="1"/>
      <c r="G47" s="1"/>
      <c r="H47" s="20" t="s">
        <v>29</v>
      </c>
      <c r="I47" s="20"/>
      <c r="J47" s="20"/>
      <c r="K47" s="20">
        <v>18</v>
      </c>
      <c r="L47" s="22">
        <f t="shared" si="1"/>
        <v>0.47368421052631576</v>
      </c>
      <c r="M47" s="1"/>
      <c r="N47" s="46"/>
      <c r="O47" s="47"/>
      <c r="P47" s="47"/>
      <c r="Q47" s="47"/>
      <c r="R47" s="47"/>
      <c r="S47" s="48"/>
      <c r="T47" s="8"/>
      <c r="U47" s="3"/>
    </row>
    <row r="48" spans="1:21" ht="17.399999999999999" customHeight="1" x14ac:dyDescent="0.45">
      <c r="A48" s="3"/>
      <c r="B48" s="7"/>
      <c r="C48" s="1"/>
      <c r="D48" s="21"/>
      <c r="E48" s="21"/>
      <c r="F48" s="1"/>
      <c r="G48" s="1"/>
      <c r="H48" s="20" t="s">
        <v>30</v>
      </c>
      <c r="I48" s="20"/>
      <c r="J48" s="20"/>
      <c r="K48" s="20">
        <v>0</v>
      </c>
      <c r="L48" s="22">
        <f t="shared" si="1"/>
        <v>0</v>
      </c>
      <c r="M48" s="1"/>
      <c r="N48" s="46"/>
      <c r="O48" s="47"/>
      <c r="P48" s="47"/>
      <c r="Q48" s="47"/>
      <c r="R48" s="47"/>
      <c r="S48" s="48"/>
      <c r="T48" s="8"/>
      <c r="U48" s="3"/>
    </row>
    <row r="49" spans="1:21" ht="17.399999999999999" customHeight="1" x14ac:dyDescent="0.45">
      <c r="A49" s="3"/>
      <c r="B49" s="7"/>
      <c r="C49" s="1"/>
      <c r="D49" s="21"/>
      <c r="E49" s="21"/>
      <c r="F49" s="1"/>
      <c r="G49" s="1"/>
      <c r="H49" s="20" t="s">
        <v>24</v>
      </c>
      <c r="I49" s="20"/>
      <c r="J49" s="20"/>
      <c r="K49" s="20">
        <v>4</v>
      </c>
      <c r="L49" s="22">
        <f t="shared" si="1"/>
        <v>0.10526315789473684</v>
      </c>
      <c r="M49" s="1"/>
      <c r="N49" s="46"/>
      <c r="O49" s="47"/>
      <c r="P49" s="47"/>
      <c r="Q49" s="47"/>
      <c r="R49" s="47"/>
      <c r="S49" s="48"/>
      <c r="T49" s="8"/>
      <c r="U49" s="3"/>
    </row>
    <row r="50" spans="1:21" ht="17.399999999999999" customHeight="1" x14ac:dyDescent="0.45">
      <c r="A50" s="3"/>
      <c r="B50" s="7"/>
      <c r="C50" s="1"/>
      <c r="D50" s="21"/>
      <c r="E50" s="21"/>
      <c r="F50" s="1"/>
      <c r="G50" s="1"/>
      <c r="H50" s="20" t="s">
        <v>27</v>
      </c>
      <c r="I50" s="20"/>
      <c r="J50" s="20"/>
      <c r="K50" s="20">
        <v>19</v>
      </c>
      <c r="L50" s="22">
        <f t="shared" si="1"/>
        <v>0.5</v>
      </c>
      <c r="M50" s="1"/>
      <c r="N50" s="46"/>
      <c r="O50" s="47"/>
      <c r="P50" s="47"/>
      <c r="Q50" s="47"/>
      <c r="R50" s="47"/>
      <c r="S50" s="48"/>
      <c r="T50" s="8"/>
      <c r="U50" s="3"/>
    </row>
    <row r="51" spans="1:21" ht="17.399999999999999" x14ac:dyDescent="0.45">
      <c r="A51" s="3"/>
      <c r="B51" s="7"/>
      <c r="C51" s="1"/>
      <c r="D51" s="1"/>
      <c r="E51" s="1"/>
      <c r="F51" s="1"/>
      <c r="G51" s="1"/>
      <c r="H51" s="23" t="s">
        <v>18</v>
      </c>
      <c r="I51" s="24"/>
      <c r="J51" s="24"/>
      <c r="K51" s="23">
        <f>SUM(K45:K50)</f>
        <v>56</v>
      </c>
      <c r="L51" s="33">
        <f>K51/$K$51</f>
        <v>1</v>
      </c>
      <c r="M51" s="1"/>
      <c r="N51" s="46"/>
      <c r="O51" s="47"/>
      <c r="P51" s="47"/>
      <c r="Q51" s="47"/>
      <c r="R51" s="47"/>
      <c r="S51" s="48"/>
      <c r="T51" s="8"/>
      <c r="U51" s="3"/>
    </row>
    <row r="52" spans="1:21" ht="17.399999999999999" x14ac:dyDescent="0.45">
      <c r="A52" s="3"/>
      <c r="B52" s="7"/>
      <c r="C52" s="1"/>
      <c r="D52" s="1"/>
      <c r="E52" s="1"/>
      <c r="F52" s="1"/>
      <c r="G52" s="1"/>
      <c r="H52" s="20"/>
      <c r="I52" s="20"/>
      <c r="J52" s="20"/>
      <c r="K52" s="20"/>
      <c r="L52" s="28"/>
      <c r="M52" s="1"/>
      <c r="N52" s="46"/>
      <c r="O52" s="47"/>
      <c r="P52" s="47"/>
      <c r="Q52" s="47"/>
      <c r="R52" s="47"/>
      <c r="S52" s="48"/>
      <c r="T52" s="8"/>
      <c r="U52" s="3"/>
    </row>
    <row r="53" spans="1:21" ht="17.399999999999999" x14ac:dyDescent="0.45">
      <c r="A53" s="3"/>
      <c r="B53" s="7"/>
      <c r="C53" s="1"/>
      <c r="D53" s="1"/>
      <c r="E53" s="1"/>
      <c r="F53" s="1"/>
      <c r="M53" s="1"/>
      <c r="N53" s="46"/>
      <c r="O53" s="47"/>
      <c r="P53" s="47"/>
      <c r="Q53" s="47"/>
      <c r="R53" s="47"/>
      <c r="S53" s="48"/>
      <c r="T53" s="8"/>
      <c r="U53" s="3"/>
    </row>
    <row r="54" spans="1:21" ht="17.399999999999999" x14ac:dyDescent="0.45">
      <c r="A54" s="3"/>
      <c r="B54" s="7"/>
      <c r="C54" s="1"/>
      <c r="D54" s="1"/>
      <c r="E54" s="1"/>
      <c r="F54" s="1"/>
      <c r="M54" s="1"/>
      <c r="N54" s="46"/>
      <c r="O54" s="47"/>
      <c r="P54" s="47"/>
      <c r="Q54" s="47"/>
      <c r="R54" s="47"/>
      <c r="S54" s="48"/>
      <c r="T54" s="8"/>
      <c r="U54" s="3"/>
    </row>
    <row r="55" spans="1:21" ht="17.399999999999999" x14ac:dyDescent="0.45">
      <c r="A55" s="3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6"/>
      <c r="O55" s="47"/>
      <c r="P55" s="47"/>
      <c r="Q55" s="47"/>
      <c r="R55" s="47"/>
      <c r="S55" s="48"/>
      <c r="T55" s="8"/>
      <c r="U55" s="3"/>
    </row>
    <row r="56" spans="1:21" ht="17.399999999999999" x14ac:dyDescent="0.45">
      <c r="A56" s="3"/>
      <c r="B56" s="7"/>
      <c r="C56" s="17" t="s">
        <v>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46"/>
      <c r="O56" s="47"/>
      <c r="P56" s="47"/>
      <c r="Q56" s="47"/>
      <c r="R56" s="47"/>
      <c r="S56" s="48"/>
      <c r="T56" s="27"/>
      <c r="U56" s="3"/>
    </row>
    <row r="57" spans="1:21" ht="17.399999999999999" x14ac:dyDescent="0.45">
      <c r="A57" s="3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6"/>
      <c r="O57" s="47"/>
      <c r="P57" s="47"/>
      <c r="Q57" s="47"/>
      <c r="R57" s="47"/>
      <c r="S57" s="48"/>
      <c r="T57" s="27"/>
      <c r="U57" s="3"/>
    </row>
    <row r="58" spans="1:21" ht="17.399999999999999" x14ac:dyDescent="0.45">
      <c r="A58" s="3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6"/>
      <c r="O58" s="47"/>
      <c r="P58" s="47"/>
      <c r="Q58" s="47"/>
      <c r="R58" s="47"/>
      <c r="S58" s="48"/>
      <c r="T58" s="27"/>
      <c r="U58" s="3"/>
    </row>
    <row r="59" spans="1:21" ht="17.399999999999999" x14ac:dyDescent="0.45">
      <c r="A59" s="3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6"/>
      <c r="O59" s="47"/>
      <c r="P59" s="47"/>
      <c r="Q59" s="47"/>
      <c r="R59" s="47"/>
      <c r="S59" s="48"/>
      <c r="T59" s="27"/>
      <c r="U59" s="3"/>
    </row>
    <row r="60" spans="1:21" ht="17.399999999999999" x14ac:dyDescent="0.45">
      <c r="A60" s="3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6"/>
      <c r="O60" s="47"/>
      <c r="P60" s="47"/>
      <c r="Q60" s="47"/>
      <c r="R60" s="47"/>
      <c r="S60" s="48"/>
      <c r="T60" s="27"/>
      <c r="U60" s="3"/>
    </row>
    <row r="61" spans="1:21" ht="17.399999999999999" x14ac:dyDescent="0.45">
      <c r="A61" s="3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6"/>
      <c r="O61" s="47"/>
      <c r="P61" s="47"/>
      <c r="Q61" s="47"/>
      <c r="R61" s="47"/>
      <c r="S61" s="48"/>
      <c r="T61" s="27"/>
      <c r="U61" s="3"/>
    </row>
    <row r="62" spans="1:21" ht="17.399999999999999" x14ac:dyDescent="0.45">
      <c r="A62" s="3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6"/>
      <c r="O62" s="47"/>
      <c r="P62" s="47"/>
      <c r="Q62" s="47"/>
      <c r="R62" s="47"/>
      <c r="S62" s="48"/>
      <c r="T62" s="27"/>
      <c r="U62" s="3"/>
    </row>
    <row r="63" spans="1:21" ht="17.399999999999999" x14ac:dyDescent="0.45">
      <c r="A63" s="3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6"/>
      <c r="O63" s="47"/>
      <c r="P63" s="47"/>
      <c r="Q63" s="47"/>
      <c r="R63" s="47"/>
      <c r="S63" s="48"/>
      <c r="T63" s="27"/>
      <c r="U63" s="3"/>
    </row>
    <row r="64" spans="1:21" ht="17.399999999999999" x14ac:dyDescent="0.45">
      <c r="A64" s="3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6"/>
      <c r="O64" s="47"/>
      <c r="P64" s="47"/>
      <c r="Q64" s="47"/>
      <c r="R64" s="47"/>
      <c r="S64" s="48"/>
      <c r="T64" s="27"/>
      <c r="U64" s="3"/>
    </row>
    <row r="65" spans="1:21" ht="17.399999999999999" x14ac:dyDescent="0.45">
      <c r="A65" s="3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9"/>
      <c r="O65" s="50"/>
      <c r="P65" s="50"/>
      <c r="Q65" s="50"/>
      <c r="R65" s="50"/>
      <c r="S65" s="51"/>
      <c r="T65" s="27"/>
      <c r="U65" s="3"/>
    </row>
    <row r="66" spans="1:21" ht="17.399999999999999" x14ac:dyDescent="0.45">
      <c r="A66" s="3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1"/>
      <c r="U66" s="3"/>
    </row>
    <row r="67" spans="1:2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</sheetData>
  <mergeCells count="3">
    <mergeCell ref="B8:T13"/>
    <mergeCell ref="N19:S38"/>
    <mergeCell ref="N45:S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A2:I56"/>
  <sheetViews>
    <sheetView workbookViewId="0">
      <selection activeCell="C38" sqref="C38"/>
    </sheetView>
  </sheetViews>
  <sheetFormatPr defaultColWidth="9" defaultRowHeight="14.4" x14ac:dyDescent="0.3"/>
  <cols>
    <col min="1" max="1" width="3.59765625" style="19" customWidth="1"/>
    <col min="2" max="2" width="19.69921875" style="19" bestFit="1" customWidth="1"/>
    <col min="3" max="3" width="30.59765625" style="19" bestFit="1" customWidth="1"/>
    <col min="4" max="4" width="27" style="19" bestFit="1" customWidth="1"/>
    <col min="5" max="5" width="11.8984375" style="19" bestFit="1" customWidth="1"/>
    <col min="6" max="6" width="34.8984375" style="19" bestFit="1" customWidth="1"/>
    <col min="7" max="7" width="11.3984375" style="19" bestFit="1" customWidth="1"/>
    <col min="8" max="9" width="11" style="19" bestFit="1" customWidth="1"/>
    <col min="10" max="16384" width="9" style="19"/>
  </cols>
  <sheetData>
    <row r="2" spans="2:8" x14ac:dyDescent="0.3">
      <c r="B2"/>
      <c r="C2"/>
    </row>
    <row r="3" spans="2:8" x14ac:dyDescent="0.3">
      <c r="B3" s="56" t="s">
        <v>14</v>
      </c>
      <c r="C3" s="56" t="s">
        <v>17</v>
      </c>
    </row>
    <row r="4" spans="2:8" x14ac:dyDescent="0.3">
      <c r="B4" s="31" t="s">
        <v>10</v>
      </c>
      <c r="C4" s="55">
        <v>3</v>
      </c>
    </row>
    <row r="5" spans="2:8" x14ac:dyDescent="0.3">
      <c r="B5" s="31" t="s">
        <v>22</v>
      </c>
      <c r="C5" s="55">
        <v>31</v>
      </c>
    </row>
    <row r="6" spans="2:8" x14ac:dyDescent="0.3">
      <c r="B6" s="31" t="s">
        <v>24</v>
      </c>
      <c r="C6" s="55">
        <v>1</v>
      </c>
    </row>
    <row r="7" spans="2:8" x14ac:dyDescent="0.3">
      <c r="B7" s="31" t="s">
        <v>23</v>
      </c>
      <c r="C7" s="55">
        <v>3</v>
      </c>
    </row>
    <row r="8" spans="2:8" x14ac:dyDescent="0.3">
      <c r="B8" s="57" t="s">
        <v>12</v>
      </c>
      <c r="C8" s="58">
        <v>38</v>
      </c>
    </row>
    <row r="9" spans="2:8" x14ac:dyDescent="0.3">
      <c r="B9"/>
      <c r="C9"/>
    </row>
    <row r="10" spans="2:8" x14ac:dyDescent="0.3">
      <c r="B10"/>
      <c r="C10"/>
    </row>
    <row r="11" spans="2:8" x14ac:dyDescent="0.3">
      <c r="B11"/>
      <c r="C11"/>
    </row>
    <row r="12" spans="2:8" x14ac:dyDescent="0.3">
      <c r="B12" s="59" t="s">
        <v>17</v>
      </c>
      <c r="C12" s="59" t="s">
        <v>13</v>
      </c>
      <c r="D12" s="59"/>
      <c r="E12" s="59"/>
      <c r="F12" s="59"/>
      <c r="G12" s="59"/>
    </row>
    <row r="13" spans="2:8" x14ac:dyDescent="0.3">
      <c r="B13" s="56" t="s">
        <v>14</v>
      </c>
      <c r="C13" s="56" t="s">
        <v>10</v>
      </c>
      <c r="D13" s="56" t="s">
        <v>22</v>
      </c>
      <c r="E13" s="56" t="s">
        <v>24</v>
      </c>
      <c r="F13" s="56" t="s">
        <v>23</v>
      </c>
      <c r="G13" s="56" t="s">
        <v>12</v>
      </c>
    </row>
    <row r="14" spans="2:8" x14ac:dyDescent="0.3">
      <c r="B14" s="31" t="s">
        <v>6</v>
      </c>
      <c r="C14" s="55">
        <v>3</v>
      </c>
      <c r="D14" s="55">
        <v>25</v>
      </c>
      <c r="E14" s="55">
        <v>1</v>
      </c>
      <c r="F14" s="55">
        <v>3</v>
      </c>
      <c r="G14" s="55">
        <v>32</v>
      </c>
      <c r="H14"/>
    </row>
    <row r="15" spans="2:8" x14ac:dyDescent="0.3">
      <c r="B15" s="31" t="s">
        <v>25</v>
      </c>
      <c r="C15" s="55"/>
      <c r="D15" s="55">
        <v>6</v>
      </c>
      <c r="E15" s="55"/>
      <c r="F15" s="55"/>
      <c r="G15" s="55">
        <v>6</v>
      </c>
      <c r="H15"/>
    </row>
    <row r="16" spans="2:8" x14ac:dyDescent="0.3">
      <c r="B16" s="57" t="s">
        <v>12</v>
      </c>
      <c r="C16" s="58">
        <v>3</v>
      </c>
      <c r="D16" s="58">
        <v>31</v>
      </c>
      <c r="E16" s="58">
        <v>1</v>
      </c>
      <c r="F16" s="58">
        <v>3</v>
      </c>
      <c r="G16" s="58">
        <v>38</v>
      </c>
      <c r="H16"/>
    </row>
    <row r="17" spans="2:9" x14ac:dyDescent="0.3">
      <c r="B17"/>
      <c r="C17"/>
      <c r="D17"/>
      <c r="E17"/>
      <c r="F17"/>
      <c r="G17"/>
      <c r="H17"/>
    </row>
    <row r="18" spans="2:9" x14ac:dyDescent="0.3">
      <c r="B18"/>
      <c r="C18"/>
      <c r="D18"/>
      <c r="E18"/>
      <c r="F18"/>
      <c r="G18"/>
      <c r="H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 s="52" t="s">
        <v>14</v>
      </c>
      <c r="C20" s="52" t="s">
        <v>17</v>
      </c>
      <c r="D20"/>
      <c r="E20"/>
      <c r="F20"/>
      <c r="G20"/>
      <c r="H20"/>
      <c r="I20"/>
    </row>
    <row r="21" spans="2:9" x14ac:dyDescent="0.3">
      <c r="B21" s="29" t="s">
        <v>11</v>
      </c>
      <c r="C21" s="54">
        <v>15</v>
      </c>
      <c r="D21"/>
      <c r="E21"/>
      <c r="F21"/>
      <c r="G21"/>
      <c r="H21"/>
      <c r="I21"/>
    </row>
    <row r="22" spans="2:9" x14ac:dyDescent="0.3">
      <c r="B22" s="29" t="s">
        <v>24</v>
      </c>
      <c r="C22" s="54">
        <v>4</v>
      </c>
      <c r="D22" s="30"/>
      <c r="E22" s="30"/>
      <c r="F22" s="30"/>
      <c r="G22" s="30"/>
      <c r="H22"/>
    </row>
    <row r="23" spans="2:9" x14ac:dyDescent="0.3">
      <c r="B23" s="29" t="s">
        <v>16</v>
      </c>
      <c r="C23" s="54">
        <v>19</v>
      </c>
      <c r="D23" s="30"/>
      <c r="E23" s="30"/>
      <c r="F23" s="30"/>
      <c r="G23" s="30"/>
      <c r="H23"/>
    </row>
    <row r="24" spans="2:9" x14ac:dyDescent="0.3">
      <c r="B24" s="29" t="s">
        <v>29</v>
      </c>
      <c r="C24" s="54">
        <v>18</v>
      </c>
      <c r="D24" s="30"/>
      <c r="E24" s="30"/>
      <c r="F24" s="30"/>
      <c r="G24" s="30"/>
      <c r="H24"/>
    </row>
    <row r="25" spans="2:9" x14ac:dyDescent="0.3">
      <c r="B25" s="60" t="s">
        <v>12</v>
      </c>
      <c r="C25" s="61">
        <v>56</v>
      </c>
      <c r="D25"/>
      <c r="E25" s="30"/>
      <c r="F25" s="30"/>
      <c r="G25" s="30"/>
      <c r="H25"/>
    </row>
    <row r="26" spans="2:9" x14ac:dyDescent="0.3">
      <c r="B26"/>
      <c r="C26"/>
      <c r="D26"/>
    </row>
    <row r="27" spans="2:9" x14ac:dyDescent="0.3">
      <c r="B27"/>
      <c r="C27"/>
      <c r="D27"/>
    </row>
    <row r="28" spans="2:9" x14ac:dyDescent="0.3">
      <c r="B28"/>
      <c r="C28"/>
      <c r="D28"/>
    </row>
    <row r="29" spans="2:9" x14ac:dyDescent="0.3">
      <c r="B29" s="53" t="s">
        <v>17</v>
      </c>
      <c r="C29" s="53" t="s">
        <v>13</v>
      </c>
      <c r="D29" s="53"/>
      <c r="E29" s="53"/>
      <c r="F29" s="53"/>
      <c r="G29" s="53"/>
    </row>
    <row r="30" spans="2:9" x14ac:dyDescent="0.3">
      <c r="B30" s="52" t="s">
        <v>14</v>
      </c>
      <c r="C30" s="52" t="s">
        <v>11</v>
      </c>
      <c r="D30" s="52" t="s">
        <v>24</v>
      </c>
      <c r="E30" s="52" t="s">
        <v>16</v>
      </c>
      <c r="F30" s="52" t="s">
        <v>29</v>
      </c>
      <c r="G30" s="52" t="s">
        <v>12</v>
      </c>
    </row>
    <row r="31" spans="2:9" x14ac:dyDescent="0.3">
      <c r="B31" s="29" t="s">
        <v>6</v>
      </c>
      <c r="C31" s="54">
        <v>15</v>
      </c>
      <c r="D31" s="54">
        <v>4</v>
      </c>
      <c r="E31" s="54">
        <v>5</v>
      </c>
      <c r="F31" s="54">
        <v>10</v>
      </c>
      <c r="G31" s="54">
        <v>34</v>
      </c>
    </row>
    <row r="32" spans="2:9" x14ac:dyDescent="0.3">
      <c r="B32" s="29" t="s">
        <v>5</v>
      </c>
      <c r="C32" s="54"/>
      <c r="D32" s="54"/>
      <c r="E32" s="54">
        <v>6</v>
      </c>
      <c r="F32" s="54"/>
      <c r="G32" s="54">
        <v>6</v>
      </c>
    </row>
    <row r="33" spans="1:8" x14ac:dyDescent="0.3">
      <c r="B33" s="29" t="s">
        <v>28</v>
      </c>
      <c r="C33" s="54"/>
      <c r="D33" s="54"/>
      <c r="E33" s="54">
        <v>4</v>
      </c>
      <c r="F33" s="54"/>
      <c r="G33" s="54">
        <v>4</v>
      </c>
    </row>
    <row r="34" spans="1:8" x14ac:dyDescent="0.3">
      <c r="B34" s="29" t="s">
        <v>15</v>
      </c>
      <c r="C34" s="54"/>
      <c r="D34" s="54"/>
      <c r="E34" s="54">
        <v>4</v>
      </c>
      <c r="F34" s="54">
        <v>2</v>
      </c>
      <c r="G34" s="54">
        <v>6</v>
      </c>
    </row>
    <row r="35" spans="1:8" x14ac:dyDescent="0.3">
      <c r="B35" s="29" t="s">
        <v>25</v>
      </c>
      <c r="C35" s="54"/>
      <c r="D35" s="54"/>
      <c r="E35" s="54"/>
      <c r="F35" s="54">
        <v>6</v>
      </c>
      <c r="G35" s="54">
        <v>6</v>
      </c>
    </row>
    <row r="36" spans="1:8" x14ac:dyDescent="0.3">
      <c r="A36"/>
      <c r="B36" s="60" t="s">
        <v>12</v>
      </c>
      <c r="C36" s="61">
        <v>15</v>
      </c>
      <c r="D36" s="61">
        <v>4</v>
      </c>
      <c r="E36" s="61">
        <v>19</v>
      </c>
      <c r="F36" s="61">
        <v>18</v>
      </c>
      <c r="G36" s="61">
        <v>56</v>
      </c>
    </row>
    <row r="37" spans="1:8" x14ac:dyDescent="0.3">
      <c r="A37"/>
      <c r="B37"/>
      <c r="C37"/>
      <c r="D37"/>
      <c r="E37"/>
      <c r="F37"/>
      <c r="G37"/>
    </row>
    <row r="38" spans="1:8" x14ac:dyDescent="0.3">
      <c r="A38"/>
      <c r="B38"/>
      <c r="C38"/>
      <c r="D38"/>
      <c r="E38"/>
      <c r="F38"/>
      <c r="G38"/>
    </row>
    <row r="39" spans="1:8" x14ac:dyDescent="0.3">
      <c r="A39"/>
      <c r="B39"/>
      <c r="C39"/>
      <c r="D39"/>
      <c r="E39"/>
      <c r="F39"/>
      <c r="G39"/>
      <c r="H39"/>
    </row>
    <row r="40" spans="1:8" x14ac:dyDescent="0.3">
      <c r="A40"/>
      <c r="B40"/>
      <c r="C40"/>
      <c r="D40"/>
      <c r="E40"/>
      <c r="F40"/>
      <c r="G40"/>
      <c r="H40"/>
    </row>
    <row r="41" spans="1:8" x14ac:dyDescent="0.3">
      <c r="A41"/>
      <c r="B41"/>
      <c r="C41"/>
      <c r="D41"/>
      <c r="E41"/>
      <c r="F41"/>
      <c r="G41"/>
      <c r="H41"/>
    </row>
    <row r="42" spans="1:8" x14ac:dyDescent="0.3">
      <c r="A42"/>
      <c r="B42"/>
      <c r="C42"/>
      <c r="D42"/>
      <c r="E42"/>
      <c r="F42"/>
      <c r="G42"/>
      <c r="H42"/>
    </row>
    <row r="43" spans="1:8" x14ac:dyDescent="0.3">
      <c r="A43"/>
      <c r="B43"/>
      <c r="C43"/>
      <c r="D43"/>
      <c r="E43"/>
      <c r="F43"/>
      <c r="G43"/>
      <c r="H43"/>
    </row>
    <row r="44" spans="1:8" x14ac:dyDescent="0.3">
      <c r="A44"/>
      <c r="B44"/>
      <c r="C44"/>
      <c r="D44"/>
      <c r="E44"/>
      <c r="F44"/>
      <c r="G44"/>
      <c r="H44"/>
    </row>
    <row r="45" spans="1:8" x14ac:dyDescent="0.3">
      <c r="A45"/>
      <c r="B45"/>
      <c r="C45"/>
      <c r="D45"/>
      <c r="E45"/>
      <c r="F45"/>
      <c r="G45"/>
      <c r="H45"/>
    </row>
    <row r="46" spans="1:8" x14ac:dyDescent="0.3">
      <c r="A46"/>
      <c r="B46"/>
      <c r="C46"/>
      <c r="D46"/>
      <c r="E46"/>
      <c r="F46"/>
      <c r="G46"/>
      <c r="H46"/>
    </row>
    <row r="47" spans="1:8" x14ac:dyDescent="0.3">
      <c r="A47"/>
      <c r="B47"/>
      <c r="C47"/>
      <c r="D47"/>
      <c r="E47"/>
      <c r="F47"/>
      <c r="G47"/>
    </row>
    <row r="48" spans="1:8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0890B3A0-90F3-4369-AD62-60FDDC379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2025-01-20T18:32:25Z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