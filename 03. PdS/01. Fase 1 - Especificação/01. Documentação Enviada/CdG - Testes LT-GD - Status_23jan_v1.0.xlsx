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41" documentId="8_{C810F947-7F79-4833-A117-B1AD6DE7B9C7}" xr6:coauthVersionLast="47" xr6:coauthVersionMax="47" xr10:uidLastSave="{BFE88609-35B1-4707-B8EB-57E20B36DB7F}"/>
  <bookViews>
    <workbookView xWindow="-108" yWindow="-108" windowWidth="23256" windowHeight="12576" tabRatio="856" xr2:uid="{00000000-000D-0000-FFFF-FFFF00000000}"/>
  </bookViews>
  <sheets>
    <sheet name="1. Status Resumo" sheetId="15" r:id="rId1"/>
    <sheet name="Auxiliar" sheetId="25" state="hidden" r:id="rId2"/>
  </sheets>
  <externalReferences>
    <externalReference r:id="rId3"/>
  </externalReferences>
  <definedNames>
    <definedName name="_xlcn.WorksheetConnection_2.StatusDetalheCamposB6G6051" hidden="1">'[1]2'!$B$6:$G$31</definedName>
    <definedName name="_xlcn.WorksheetConnection_Sheet2B2G5451" hidden="1">'[1]2'!$B$6:$G$31</definedName>
    <definedName name="asefadf">#REF!</definedName>
    <definedName name="b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5" l="1"/>
  <c r="K25" i="15"/>
  <c r="L51" i="15"/>
  <c r="M51" i="15" s="1"/>
  <c r="L25" i="15" l="1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<sst xmlns="http://schemas.openxmlformats.org/spreadsheetml/2006/main" count="65" uniqueCount="36">
  <si>
    <t>Pilar III</t>
  </si>
  <si>
    <t>Bens Imóveis - Input</t>
  </si>
  <si>
    <t>Bens Imóveis - Output</t>
  </si>
  <si>
    <t>Modelo Verde - Input</t>
  </si>
  <si>
    <t>Modelo Verde - Output</t>
  </si>
  <si>
    <t>lt004_protection</t>
  </si>
  <si>
    <t>lt002_instrument</t>
  </si>
  <si>
    <t>Resumo</t>
  </si>
  <si>
    <t>Detalhe por Tabela</t>
  </si>
  <si>
    <t>Highlights</t>
  </si>
  <si>
    <t>0. Cancelado</t>
  </si>
  <si>
    <t>1. Concluído</t>
  </si>
  <si>
    <t>Grand Total</t>
  </si>
  <si>
    <t>Row Labels</t>
  </si>
  <si>
    <t>lt007_instr_activity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</si>
  <si>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</si>
  <si>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</si>
  <si>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</si>
  <si>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</si>
  <si>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t>1. Fora de âmbito</t>
  </si>
  <si>
    <t>2. Concluído</t>
  </si>
  <si>
    <t>3. Em Análise</t>
  </si>
  <si>
    <t>4. Validação da especificação</t>
  </si>
  <si>
    <t>lt824_assoc_kpi_gd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</si>
  <si>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</si>
  <si>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</si>
  <si>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</si>
  <si>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2. Em Especificação/Re-especificação</t>
  </si>
  <si>
    <t>3. Pendente de outros desenvolvimentos/validações</t>
  </si>
  <si>
    <t>2. Re-especificação / Especificação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</si>
  <si>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</si>
  <si>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</si>
  <si>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</si>
  <si>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</si>
  <si>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74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</si>
  <si>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74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49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- 17 campos especificados pela equipa anterior.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</si>
</sst>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sz val="11"/>
      <color theme="1"/>
      <name val="Calibri"/>
    </font>
    <font>
      <sz val="12"/>
      <name val="Santander Text"/>
      <family val="2"/>
    </font>
    <font>
      <i/>
      <sz val="12"/>
      <name val="Santander Text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64">
    <xf numFmtId="0" fontId="0" fillId="0" borderId="0" xfId="0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8" fillId="2" borderId="0" xfId="0" applyFont="1" applyFill="1"/>
    <xf numFmtId="0" fontId="10" fillId="2" borderId="0" xfId="0" applyFont="1" applyFill="1"/>
    <xf numFmtId="0" fontId="5" fillId="0" borderId="1" xfId="0" applyFont="1" applyBorder="1"/>
    <xf numFmtId="0" fontId="2" fillId="0" borderId="1" xfId="0" applyFont="1" applyBorder="1"/>
    <xf numFmtId="16" fontId="5" fillId="0" borderId="1" xfId="0" applyNumberFormat="1" applyFont="1" applyBorder="1"/>
    <xf numFmtId="0" fontId="9" fillId="0" borderId="0" xfId="0" applyFont="1"/>
    <xf numFmtId="0" fontId="11" fillId="0" borderId="0" xfId="0" applyFont="1"/>
    <xf numFmtId="0" fontId="15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5" fillId="0" borderId="2" xfId="0" applyFont="1" applyBorder="1"/>
    <xf numFmtId="0" fontId="2" fillId="0" borderId="2" xfId="0" applyFont="1" applyBorder="1"/>
    <xf numFmtId="16" fontId="5" fillId="0" borderId="1" xfId="0" applyNumberFormat="1" applyFont="1" applyBorder="1" applyAlignment="1">
      <alignment horizontal="right" vertical="center"/>
    </xf>
    <xf numFmtId="0" fontId="5" fillId="2" borderId="0" xfId="0" applyFont="1" applyFill="1"/>
    <xf numFmtId="0" fontId="3" fillId="0" borderId="7" xfId="0" applyFont="1" applyBorder="1" applyAlignment="1">
      <alignment horizontal="left" vertical="center" wrapText="1"/>
    </xf>
    <xf numFmtId="167" fontId="2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left"/>
    </xf>
    <xf numFmtId="0" fontId="0" fillId="2" borderId="0" xfId="0" applyFill="1"/>
    <xf numFmtId="167" fontId="5" fillId="0" borderId="2" xfId="1" applyNumberFormat="1" applyFont="1" applyBorder="1" applyAlignment="1">
      <alignment vertical="center"/>
    </xf>
    <xf numFmtId="16" fontId="5" fillId="0" borderId="0" xfId="0" applyNumberFormat="1" applyFont="1" applyAlignment="1">
      <alignment horizontal="right" vertical="center"/>
    </xf>
    <xf numFmtId="167" fontId="5" fillId="0" borderId="0" xfId="1" applyNumberFormat="1" applyFont="1" applyBorder="1" applyAlignment="1">
      <alignment vertical="center"/>
    </xf>
    <xf numFmtId="0" fontId="23" fillId="0" borderId="3" xfId="0" quotePrefix="1" applyFont="1" applyBorder="1" applyAlignment="1">
      <alignment horizontal="left" vertical="center" wrapText="1" indent="1"/>
    </xf>
    <xf numFmtId="0" fontId="23" fillId="0" borderId="4" xfId="0" applyFont="1" applyBorder="1" applyAlignment="1">
      <alignment horizontal="left" vertical="center" wrapText="1" indent="1"/>
    </xf>
    <xf numFmtId="0" fontId="23" fillId="0" borderId="5" xfId="0" applyFont="1" applyBorder="1" applyAlignment="1">
      <alignment horizontal="left" vertical="center" wrapText="1" indent="1"/>
    </xf>
    <xf numFmtId="0" fontId="23" fillId="0" borderId="6" xfId="0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3" fillId="0" borderId="7" xfId="0" applyFont="1" applyBorder="1" applyAlignment="1">
      <alignment horizontal="left" vertical="center" wrapText="1" indent="1"/>
    </xf>
    <xf numFmtId="0" fontId="23" fillId="0" borderId="8" xfId="0" applyFont="1" applyBorder="1" applyAlignment="1">
      <alignment horizontal="left" vertical="center" wrapText="1" indent="1"/>
    </xf>
    <xf numFmtId="0" fontId="23" fillId="0" borderId="9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25" fillId="5" borderId="14" xfId="0" applyFont="1" applyFill="1" applyBorder="1"/>
    <xf numFmtId="0" fontId="0" fillId="0" borderId="0" xfId="0" applyNumberFormat="1"/>
    <xf numFmtId="0" fontId="22" fillId="0" borderId="0" xfId="0" applyNumberFormat="1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26" fillId="5" borderId="14" xfId="0" applyFont="1" applyFill="1" applyBorder="1"/>
    <xf numFmtId="0" fontId="26" fillId="5" borderId="15" xfId="0" applyFont="1" applyFill="1" applyBorder="1" applyAlignment="1">
      <alignment horizontal="left"/>
    </xf>
    <xf numFmtId="0" fontId="26" fillId="5" borderId="15" xfId="0" applyNumberFormat="1" applyFont="1" applyFill="1" applyBorder="1"/>
    <xf numFmtId="0" fontId="25" fillId="5" borderId="15" xfId="0" applyFont="1" applyFill="1" applyBorder="1" applyAlignment="1">
      <alignment horizontal="left"/>
    </xf>
    <xf numFmtId="0" fontId="25" fillId="5" borderId="15" xfId="0" applyNumberFormat="1" applyFont="1" applyFill="1" applyBorder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Auxiliar!$B$5:$B$7</c15:sqref>
                  </c15:fullRef>
                </c:ext>
              </c:extLst>
              <c:f>Auxiliar!$B$5:$B$6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Auxiliar!$C$5:$C$7</c15:sqref>
                  </c15:fullRef>
                </c:ext>
              </c:extLst>
              <c:f>Auxiliar!$C$5:$C$6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Auxiliar!$C$7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7E-41C4-BF3C-A59035722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Auxiliar!$B$16:$B$17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Auxiliar!$C$16:$C$17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Auxiliar!$B$16:$B$17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Auxiliar!$D$16:$D$17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E-41C4-BF3C-A590357224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Auxiliar!$B$29:$B$31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Auxiliar!$C$29:$C$31</c:f>
              <c:numCache>
                <c:formatCode>General</c:formatCode>
                <c:ptCount val="3"/>
                <c:pt idx="0">
                  <c:v>49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Auxiliar!$B$41:$B$45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Auxiliar!$C$41:$C$45</c:f>
              <c:numCache>
                <c:formatCode>General</c:formatCode>
                <c:ptCount val="5"/>
                <c:pt idx="0">
                  <c:v>40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Auxiliar!$B$41:$B$45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Auxiliar!$D$41:$D$45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Auxiliar!$B$41:$B$45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Auxiliar!$E$41:$E$45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103371</xdr:colOff>
      <xdr:row>54</xdr:row>
      <xdr:rowOff>152400</xdr:rowOff>
    </xdr:from>
    <xdr:to>
      <xdr:col>8</xdr:col>
      <xdr:colOff>819150</xdr:colOff>
      <xdr:row>65</xdr:row>
      <xdr:rowOff>185058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%20Status%20Detalhe%20Camp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abSelected="1" zoomScale="80" zoomScaleNormal="80" workbookViewId="0">
      <selection activeCell="G5" sqref="G5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7.399999999999999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2.2" x14ac:dyDescent="0.55000000000000004">
      <c r="A6" s="3"/>
      <c r="B6" s="12" t="s">
        <v>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6.9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7.399999999999999" x14ac:dyDescent="0.45">
      <c r="A8" s="3"/>
      <c r="B8" s="36" t="s">
        <v>32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8"/>
      <c r="V8" s="3"/>
    </row>
    <row r="9" spans="1:22" ht="17.399999999999999" x14ac:dyDescent="0.45">
      <c r="A9" s="3"/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1"/>
      <c r="V9" s="3"/>
    </row>
    <row r="10" spans="1:22" ht="17.399999999999999" x14ac:dyDescent="0.45">
      <c r="A10" s="3"/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1"/>
      <c r="V10" s="3"/>
    </row>
    <row r="11" spans="1:22" ht="17.399999999999999" x14ac:dyDescent="0.45">
      <c r="A11" s="3"/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1"/>
      <c r="V11" s="3"/>
    </row>
    <row r="12" spans="1:22" ht="17.399999999999999" x14ac:dyDescent="0.45">
      <c r="A12" s="3"/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1"/>
      <c r="V12" s="3"/>
    </row>
    <row r="13" spans="1:22" ht="17.399999999999999" x14ac:dyDescent="0.45">
      <c r="A13" s="3"/>
      <c r="B13" s="4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4"/>
      <c r="V13" s="3"/>
    </row>
    <row r="14" spans="1:22" ht="17.399999999999999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.2" x14ac:dyDescent="0.55000000000000004">
      <c r="A15" s="3"/>
      <c r="B15" s="12" t="s">
        <v>24</v>
      </c>
      <c r="C15" s="3"/>
      <c r="D15" s="3"/>
      <c r="E15" s="3"/>
      <c r="F15" s="3"/>
      <c r="G15" s="13" t="s">
        <v>1</v>
      </c>
      <c r="H15" s="13" t="s">
        <v>2</v>
      </c>
      <c r="I15" s="13" t="s">
        <v>3</v>
      </c>
      <c r="J15" s="13" t="s">
        <v>4</v>
      </c>
      <c r="K15" s="13" t="s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6.9" customHeight="1" x14ac:dyDescent="0.45">
      <c r="A16" s="3"/>
      <c r="B16" s="3"/>
      <c r="C16" s="3"/>
      <c r="D16" s="3"/>
      <c r="E16" s="3"/>
      <c r="F16" s="3"/>
      <c r="G16" s="3"/>
      <c r="H16" s="2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7.399999999999999" x14ac:dyDescent="0.4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  <c r="V17" s="3"/>
    </row>
    <row r="18" spans="1:22" ht="17.399999999999999" x14ac:dyDescent="0.45">
      <c r="A18" s="3"/>
      <c r="B18" s="7"/>
      <c r="C18" s="17" t="s">
        <v>7</v>
      </c>
      <c r="D18" s="1"/>
      <c r="E18" s="1"/>
      <c r="F18" s="1"/>
      <c r="G18" s="1"/>
      <c r="H18" s="14" t="s">
        <v>18</v>
      </c>
      <c r="I18" s="15"/>
      <c r="J18" s="14"/>
      <c r="K18" s="16">
        <v>45672</v>
      </c>
      <c r="L18" s="16">
        <v>45679</v>
      </c>
      <c r="M18" s="25" t="s">
        <v>17</v>
      </c>
      <c r="O18" s="18" t="s">
        <v>9</v>
      </c>
      <c r="P18" s="1"/>
      <c r="Q18" s="1"/>
      <c r="R18" s="1"/>
      <c r="S18" s="1"/>
      <c r="T18" s="1"/>
      <c r="U18" s="8"/>
      <c r="V18" s="3"/>
    </row>
    <row r="19" spans="1:22" ht="18.75" customHeight="1" x14ac:dyDescent="0.45">
      <c r="A19" s="3"/>
      <c r="B19" s="7"/>
      <c r="C19" s="1"/>
      <c r="D19" s="1"/>
      <c r="E19" s="1"/>
      <c r="F19" s="1"/>
      <c r="G19" s="1"/>
      <c r="H19" s="20" t="s">
        <v>10</v>
      </c>
      <c r="I19" s="20"/>
      <c r="J19" s="20"/>
      <c r="K19" s="20">
        <v>3</v>
      </c>
      <c r="L19" s="20">
        <v>3</v>
      </c>
      <c r="M19" s="22">
        <f t="shared" ref="M19:M25" si="0">L19/$L$25</f>
        <v>7.8947368421052627E-2</v>
      </c>
      <c r="O19" s="45" t="s">
        <v>31</v>
      </c>
      <c r="P19" s="46"/>
      <c r="Q19" s="46"/>
      <c r="R19" s="46"/>
      <c r="S19" s="46"/>
      <c r="T19" s="47"/>
      <c r="U19" s="8"/>
      <c r="V19" s="3"/>
    </row>
    <row r="20" spans="1:22" ht="17.399999999999999" x14ac:dyDescent="0.45">
      <c r="A20" s="3"/>
      <c r="B20" s="7"/>
      <c r="C20" s="1"/>
      <c r="D20" s="1"/>
      <c r="E20" s="1"/>
      <c r="F20" s="1"/>
      <c r="G20" s="1"/>
      <c r="H20" s="20" t="s">
        <v>19</v>
      </c>
      <c r="I20" s="20"/>
      <c r="J20" s="20"/>
      <c r="K20" s="20">
        <v>0</v>
      </c>
      <c r="L20" s="20">
        <v>0</v>
      </c>
      <c r="M20" s="22">
        <f t="shared" si="0"/>
        <v>0</v>
      </c>
      <c r="O20" s="48"/>
      <c r="P20" s="49"/>
      <c r="Q20" s="49"/>
      <c r="R20" s="49"/>
      <c r="S20" s="49"/>
      <c r="T20" s="50"/>
      <c r="U20" s="8"/>
      <c r="V20" s="3"/>
    </row>
    <row r="21" spans="1:22" ht="17.399999999999999" customHeight="1" x14ac:dyDescent="0.45">
      <c r="A21" s="3"/>
      <c r="B21" s="7"/>
      <c r="C21" s="1"/>
      <c r="D21" s="1"/>
      <c r="E21" s="1"/>
      <c r="F21" s="1"/>
      <c r="G21" s="1"/>
      <c r="H21" s="20" t="s">
        <v>20</v>
      </c>
      <c r="I21" s="20"/>
      <c r="J21" s="20"/>
      <c r="K21" s="20">
        <v>31</v>
      </c>
      <c r="L21" s="20">
        <v>35</v>
      </c>
      <c r="M21" s="22">
        <f t="shared" si="0"/>
        <v>0.92105263157894735</v>
      </c>
      <c r="O21" s="48"/>
      <c r="P21" s="49"/>
      <c r="Q21" s="49"/>
      <c r="R21" s="49"/>
      <c r="S21" s="49"/>
      <c r="T21" s="50"/>
      <c r="U21" s="8"/>
      <c r="V21" s="3"/>
    </row>
    <row r="22" spans="1:22" ht="17.399999999999999" customHeight="1" x14ac:dyDescent="0.45">
      <c r="A22" s="3"/>
      <c r="B22" s="7"/>
      <c r="C22" s="1"/>
      <c r="D22" s="21"/>
      <c r="E22" s="21"/>
      <c r="F22" s="1"/>
      <c r="G22" s="1"/>
      <c r="H22" s="20" t="s">
        <v>21</v>
      </c>
      <c r="I22" s="20"/>
      <c r="J22" s="20"/>
      <c r="K22" s="20">
        <v>3</v>
      </c>
      <c r="L22" s="20">
        <v>0</v>
      </c>
      <c r="M22" s="22">
        <f t="shared" si="0"/>
        <v>0</v>
      </c>
      <c r="O22" s="48"/>
      <c r="P22" s="49"/>
      <c r="Q22" s="49"/>
      <c r="R22" s="49"/>
      <c r="S22" s="49"/>
      <c r="T22" s="50"/>
      <c r="U22" s="8"/>
      <c r="V22" s="3"/>
    </row>
    <row r="23" spans="1:22" ht="17.399999999999999" customHeight="1" x14ac:dyDescent="0.45">
      <c r="A23" s="3"/>
      <c r="B23" s="7"/>
      <c r="C23" s="1"/>
      <c r="D23" s="21"/>
      <c r="E23" s="21"/>
      <c r="F23" s="1"/>
      <c r="G23" s="1"/>
      <c r="H23" s="20" t="s">
        <v>22</v>
      </c>
      <c r="I23" s="20"/>
      <c r="J23" s="20"/>
      <c r="K23" s="20">
        <v>1</v>
      </c>
      <c r="L23" s="20">
        <v>0</v>
      </c>
      <c r="M23" s="22">
        <f t="shared" si="0"/>
        <v>0</v>
      </c>
      <c r="O23" s="48"/>
      <c r="P23" s="49"/>
      <c r="Q23" s="49"/>
      <c r="R23" s="49"/>
      <c r="S23" s="49"/>
      <c r="T23" s="50"/>
      <c r="U23" s="8"/>
      <c r="V23" s="3"/>
    </row>
    <row r="24" spans="1:22" ht="17.399999999999999" customHeight="1" x14ac:dyDescent="0.45">
      <c r="A24" s="3"/>
      <c r="B24" s="7"/>
      <c r="C24" s="1"/>
      <c r="D24" s="21"/>
      <c r="E24" s="21"/>
      <c r="F24" s="1"/>
      <c r="G24" s="1"/>
      <c r="H24" s="20" t="s">
        <v>25</v>
      </c>
      <c r="I24" s="20"/>
      <c r="J24" s="20"/>
      <c r="K24" s="20">
        <v>0</v>
      </c>
      <c r="L24" s="20">
        <v>0</v>
      </c>
      <c r="M24" s="22">
        <f t="shared" si="0"/>
        <v>0</v>
      </c>
      <c r="O24" s="48"/>
      <c r="P24" s="49"/>
      <c r="Q24" s="49"/>
      <c r="R24" s="49"/>
      <c r="S24" s="49"/>
      <c r="T24" s="50"/>
      <c r="U24" s="8"/>
      <c r="V24" s="3"/>
    </row>
    <row r="25" spans="1:22" ht="17.399999999999999" x14ac:dyDescent="0.45">
      <c r="A25" s="3"/>
      <c r="B25" s="7"/>
      <c r="C25" s="1"/>
      <c r="D25" s="1"/>
      <c r="E25" s="1"/>
      <c r="F25" s="1"/>
      <c r="G25" s="1"/>
      <c r="H25" s="23" t="s">
        <v>16</v>
      </c>
      <c r="I25" s="24"/>
      <c r="J25" s="24"/>
      <c r="K25" s="23">
        <f>SUM(K19:K24)</f>
        <v>38</v>
      </c>
      <c r="L25" s="23">
        <f>SUM(L19:L24)</f>
        <v>38</v>
      </c>
      <c r="M25" s="33">
        <f t="shared" si="0"/>
        <v>1</v>
      </c>
      <c r="O25" s="48"/>
      <c r="P25" s="49"/>
      <c r="Q25" s="49"/>
      <c r="R25" s="49"/>
      <c r="S25" s="49"/>
      <c r="T25" s="50"/>
      <c r="U25" s="8"/>
      <c r="V25" s="3"/>
    </row>
    <row r="26" spans="1:22" ht="17.399999999999999" x14ac:dyDescent="0.45">
      <c r="A26" s="3"/>
      <c r="B26" s="7"/>
      <c r="C26" s="1"/>
      <c r="D26" s="1"/>
      <c r="E26" s="1"/>
      <c r="F26" s="1"/>
      <c r="G26" s="1"/>
      <c r="H26" s="20"/>
      <c r="I26" s="20"/>
      <c r="J26" s="20"/>
      <c r="K26" s="28"/>
      <c r="L26" s="28"/>
      <c r="M26" s="28"/>
      <c r="N26" s="28"/>
      <c r="O26" s="48"/>
      <c r="P26" s="49"/>
      <c r="Q26" s="49"/>
      <c r="R26" s="49"/>
      <c r="S26" s="49"/>
      <c r="T26" s="50"/>
      <c r="U26" s="8"/>
      <c r="V26" s="3"/>
    </row>
    <row r="27" spans="1:22" ht="17.399999999999999" x14ac:dyDescent="0.45">
      <c r="A27" s="3"/>
      <c r="B27" s="7"/>
      <c r="C27" s="1"/>
      <c r="D27" s="1"/>
      <c r="E27" s="1"/>
      <c r="F27" s="1"/>
      <c r="O27" s="48"/>
      <c r="P27" s="49"/>
      <c r="Q27" s="49"/>
      <c r="R27" s="49"/>
      <c r="S27" s="49"/>
      <c r="T27" s="50"/>
      <c r="U27" s="8"/>
      <c r="V27" s="3"/>
    </row>
    <row r="28" spans="1:22" ht="17.399999999999999" x14ac:dyDescent="0.45">
      <c r="A28" s="3"/>
      <c r="B28" s="7"/>
      <c r="C28" s="1"/>
      <c r="D28" s="1"/>
      <c r="E28" s="1"/>
      <c r="F28" s="1"/>
      <c r="O28" s="48"/>
      <c r="P28" s="49"/>
      <c r="Q28" s="49"/>
      <c r="R28" s="49"/>
      <c r="S28" s="49"/>
      <c r="T28" s="50"/>
      <c r="U28" s="8"/>
      <c r="V28" s="3"/>
    </row>
    <row r="29" spans="1:22" ht="17.399999999999999" x14ac:dyDescent="0.45">
      <c r="A29" s="3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8"/>
      <c r="P29" s="49"/>
      <c r="Q29" s="49"/>
      <c r="R29" s="49"/>
      <c r="S29" s="49"/>
      <c r="T29" s="50"/>
      <c r="U29" s="8"/>
      <c r="V29" s="3"/>
    </row>
    <row r="30" spans="1:22" ht="17.399999999999999" x14ac:dyDescent="0.45">
      <c r="A30" s="3"/>
      <c r="B30" s="7"/>
      <c r="C30" s="17" t="s">
        <v>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8"/>
      <c r="P30" s="49"/>
      <c r="Q30" s="49"/>
      <c r="R30" s="49"/>
      <c r="S30" s="49"/>
      <c r="T30" s="50"/>
      <c r="U30" s="27"/>
      <c r="V30" s="3"/>
    </row>
    <row r="31" spans="1:22" ht="17.399999999999999" x14ac:dyDescent="0.45">
      <c r="A31" s="3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8"/>
      <c r="P31" s="49"/>
      <c r="Q31" s="49"/>
      <c r="R31" s="49"/>
      <c r="S31" s="49"/>
      <c r="T31" s="50"/>
      <c r="U31" s="27"/>
      <c r="V31" s="3"/>
    </row>
    <row r="32" spans="1:22" ht="17.399999999999999" x14ac:dyDescent="0.45">
      <c r="A32" s="3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8"/>
      <c r="P32" s="49"/>
      <c r="Q32" s="49"/>
      <c r="R32" s="49"/>
      <c r="S32" s="49"/>
      <c r="T32" s="50"/>
      <c r="U32" s="27"/>
      <c r="V32" s="3"/>
    </row>
    <row r="33" spans="1:22" ht="17.399999999999999" x14ac:dyDescent="0.45">
      <c r="A33" s="3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8"/>
      <c r="P33" s="49"/>
      <c r="Q33" s="49"/>
      <c r="R33" s="49"/>
      <c r="S33" s="49"/>
      <c r="T33" s="50"/>
      <c r="U33" s="27"/>
      <c r="V33" s="3"/>
    </row>
    <row r="34" spans="1:22" ht="17.399999999999999" x14ac:dyDescent="0.45">
      <c r="A34" s="3"/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8"/>
      <c r="P34" s="49"/>
      <c r="Q34" s="49"/>
      <c r="R34" s="49"/>
      <c r="S34" s="49"/>
      <c r="T34" s="50"/>
      <c r="U34" s="27"/>
      <c r="V34" s="3"/>
    </row>
    <row r="35" spans="1:22" ht="17.399999999999999" x14ac:dyDescent="0.45">
      <c r="A35" s="3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8"/>
      <c r="P35" s="49"/>
      <c r="Q35" s="49"/>
      <c r="R35" s="49"/>
      <c r="S35" s="49"/>
      <c r="T35" s="50"/>
      <c r="U35" s="27"/>
      <c r="V35" s="3"/>
    </row>
    <row r="36" spans="1:22" ht="17.399999999999999" x14ac:dyDescent="0.45">
      <c r="A36" s="3"/>
      <c r="B36" s="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8"/>
      <c r="P36" s="49"/>
      <c r="Q36" s="49"/>
      <c r="R36" s="49"/>
      <c r="S36" s="49"/>
      <c r="T36" s="50"/>
      <c r="U36" s="27"/>
      <c r="V36" s="3"/>
    </row>
    <row r="37" spans="1:22" ht="17.399999999999999" x14ac:dyDescent="0.45">
      <c r="A37" s="3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8"/>
      <c r="P37" s="49"/>
      <c r="Q37" s="49"/>
      <c r="R37" s="49"/>
      <c r="S37" s="49"/>
      <c r="T37" s="50"/>
      <c r="U37" s="27"/>
      <c r="V37" s="3"/>
    </row>
    <row r="38" spans="1:22" ht="17.399999999999999" x14ac:dyDescent="0.45">
      <c r="A38" s="3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51"/>
      <c r="P38" s="52"/>
      <c r="Q38" s="52"/>
      <c r="R38" s="52"/>
      <c r="S38" s="52"/>
      <c r="T38" s="53"/>
      <c r="U38" s="27"/>
      <c r="V38" s="3"/>
    </row>
    <row r="39" spans="1:22" ht="17.399999999999999" x14ac:dyDescent="0.45">
      <c r="A39" s="3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/>
      <c r="V39" s="3"/>
    </row>
    <row r="40" spans="1:22" ht="17.399999999999999" x14ac:dyDescent="0.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2.2" x14ac:dyDescent="0.55000000000000004">
      <c r="A41" s="3"/>
      <c r="B41" s="12" t="s">
        <v>29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6.9" customHeight="1" x14ac:dyDescent="0.45">
      <c r="A42" s="3"/>
      <c r="B42" s="3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7.399999999999999" x14ac:dyDescent="0.4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  <c r="V43" s="3"/>
    </row>
    <row r="44" spans="1:22" ht="17.399999999999999" x14ac:dyDescent="0.45">
      <c r="A44" s="3"/>
      <c r="B44" s="7"/>
      <c r="C44" s="17" t="s">
        <v>7</v>
      </c>
      <c r="D44" s="1"/>
      <c r="E44" s="1"/>
      <c r="F44" s="1"/>
      <c r="G44" s="1"/>
      <c r="H44" s="14" t="s">
        <v>18</v>
      </c>
      <c r="I44" s="15"/>
      <c r="J44" s="14"/>
      <c r="K44" s="16">
        <v>45672</v>
      </c>
      <c r="L44" s="16">
        <v>45679</v>
      </c>
      <c r="M44" s="25" t="s">
        <v>17</v>
      </c>
      <c r="N44" s="34"/>
      <c r="O44" s="18" t="s">
        <v>9</v>
      </c>
      <c r="P44" s="1"/>
      <c r="Q44" s="1"/>
      <c r="R44" s="1"/>
      <c r="S44" s="1"/>
      <c r="T44" s="1"/>
      <c r="U44" s="8"/>
      <c r="V44" s="3"/>
    </row>
    <row r="45" spans="1:22" ht="18.75" customHeight="1" x14ac:dyDescent="0.45">
      <c r="A45" s="3"/>
      <c r="B45" s="7"/>
      <c r="C45" s="1"/>
      <c r="D45" s="1"/>
      <c r="E45" s="1"/>
      <c r="F45" s="1"/>
      <c r="G45" s="1"/>
      <c r="H45" s="20" t="s">
        <v>10</v>
      </c>
      <c r="I45" s="20"/>
      <c r="J45" s="20"/>
      <c r="K45" s="20">
        <v>0</v>
      </c>
      <c r="L45" s="20">
        <v>0</v>
      </c>
      <c r="M45" s="22">
        <f t="shared" ref="M45:M50" si="1">L45/$L$25</f>
        <v>0</v>
      </c>
      <c r="N45" s="22"/>
      <c r="O45" s="45" t="s">
        <v>35</v>
      </c>
      <c r="P45" s="46"/>
      <c r="Q45" s="46"/>
      <c r="R45" s="46"/>
      <c r="S45" s="46"/>
      <c r="T45" s="47"/>
      <c r="U45" s="8"/>
      <c r="V45" s="3"/>
    </row>
    <row r="46" spans="1:22" ht="17.399999999999999" x14ac:dyDescent="0.45">
      <c r="A46" s="3"/>
      <c r="B46" s="7"/>
      <c r="C46" s="1"/>
      <c r="D46" s="1"/>
      <c r="E46" s="1"/>
      <c r="F46" s="1"/>
      <c r="G46" s="1"/>
      <c r="H46" s="20" t="s">
        <v>11</v>
      </c>
      <c r="I46" s="20"/>
      <c r="J46" s="20"/>
      <c r="K46" s="20">
        <v>32</v>
      </c>
      <c r="L46" s="20">
        <v>49</v>
      </c>
      <c r="M46" s="22">
        <f t="shared" si="1"/>
        <v>1.2894736842105263</v>
      </c>
      <c r="N46" s="22"/>
      <c r="O46" s="48"/>
      <c r="P46" s="49"/>
      <c r="Q46" s="49"/>
      <c r="R46" s="49"/>
      <c r="S46" s="49"/>
      <c r="T46" s="50"/>
      <c r="U46" s="8"/>
      <c r="V46" s="3"/>
    </row>
    <row r="47" spans="1:22" ht="17.399999999999999" customHeight="1" x14ac:dyDescent="0.45">
      <c r="A47" s="3"/>
      <c r="B47" s="7"/>
      <c r="C47" s="1"/>
      <c r="D47" s="1"/>
      <c r="E47" s="1"/>
      <c r="F47" s="1"/>
      <c r="G47" s="1"/>
      <c r="H47" s="20" t="s">
        <v>27</v>
      </c>
      <c r="I47" s="20"/>
      <c r="J47" s="20"/>
      <c r="K47" s="20">
        <v>18</v>
      </c>
      <c r="L47" s="20">
        <v>18</v>
      </c>
      <c r="M47" s="22">
        <f t="shared" si="1"/>
        <v>0.47368421052631576</v>
      </c>
      <c r="N47" s="22"/>
      <c r="O47" s="48"/>
      <c r="P47" s="49"/>
      <c r="Q47" s="49"/>
      <c r="R47" s="49"/>
      <c r="S47" s="49"/>
      <c r="T47" s="50"/>
      <c r="U47" s="8"/>
      <c r="V47" s="3"/>
    </row>
    <row r="48" spans="1:22" ht="17.399999999999999" customHeight="1" x14ac:dyDescent="0.45">
      <c r="A48" s="3"/>
      <c r="B48" s="7"/>
      <c r="C48" s="1"/>
      <c r="D48" s="21"/>
      <c r="E48" s="21"/>
      <c r="F48" s="1"/>
      <c r="G48" s="1"/>
      <c r="H48" s="20" t="s">
        <v>28</v>
      </c>
      <c r="I48" s="20"/>
      <c r="J48" s="20"/>
      <c r="K48" s="20">
        <v>0</v>
      </c>
      <c r="L48" s="20">
        <v>0</v>
      </c>
      <c r="M48" s="22">
        <f t="shared" si="1"/>
        <v>0</v>
      </c>
      <c r="N48" s="22"/>
      <c r="O48" s="48"/>
      <c r="P48" s="49"/>
      <c r="Q48" s="49"/>
      <c r="R48" s="49"/>
      <c r="S48" s="49"/>
      <c r="T48" s="50"/>
      <c r="U48" s="8"/>
      <c r="V48" s="3"/>
    </row>
    <row r="49" spans="1:22" ht="17.399999999999999" customHeight="1" x14ac:dyDescent="0.45">
      <c r="A49" s="3"/>
      <c r="B49" s="7"/>
      <c r="C49" s="1"/>
      <c r="D49" s="21"/>
      <c r="E49" s="21"/>
      <c r="F49" s="1"/>
      <c r="G49" s="1"/>
      <c r="H49" s="20" t="s">
        <v>22</v>
      </c>
      <c r="I49" s="20"/>
      <c r="J49" s="20"/>
      <c r="K49" s="20">
        <v>4</v>
      </c>
      <c r="L49" s="20">
        <v>0</v>
      </c>
      <c r="M49" s="22">
        <f t="shared" si="1"/>
        <v>0</v>
      </c>
      <c r="N49" s="22"/>
      <c r="O49" s="48"/>
      <c r="P49" s="49"/>
      <c r="Q49" s="49"/>
      <c r="R49" s="49"/>
      <c r="S49" s="49"/>
      <c r="T49" s="50"/>
      <c r="U49" s="8"/>
      <c r="V49" s="3"/>
    </row>
    <row r="50" spans="1:22" ht="17.399999999999999" customHeight="1" x14ac:dyDescent="0.45">
      <c r="A50" s="3"/>
      <c r="B50" s="7"/>
      <c r="C50" s="1"/>
      <c r="D50" s="21"/>
      <c r="E50" s="21"/>
      <c r="F50" s="1"/>
      <c r="G50" s="1"/>
      <c r="H50" s="20" t="s">
        <v>25</v>
      </c>
      <c r="I50" s="20"/>
      <c r="J50" s="20"/>
      <c r="K50" s="20">
        <v>20</v>
      </c>
      <c r="L50" s="20">
        <v>7</v>
      </c>
      <c r="M50" s="22">
        <f t="shared" si="1"/>
        <v>0.18421052631578946</v>
      </c>
      <c r="N50" s="22"/>
      <c r="O50" s="48"/>
      <c r="P50" s="49"/>
      <c r="Q50" s="49"/>
      <c r="R50" s="49"/>
      <c r="S50" s="49"/>
      <c r="T50" s="50"/>
      <c r="U50" s="8"/>
      <c r="V50" s="3"/>
    </row>
    <row r="51" spans="1:22" ht="19.2" x14ac:dyDescent="0.45">
      <c r="A51" s="3"/>
      <c r="B51" s="7"/>
      <c r="C51" s="1"/>
      <c r="D51" s="1"/>
      <c r="E51" s="1"/>
      <c r="F51" s="1"/>
      <c r="G51" s="1"/>
      <c r="H51" s="23" t="s">
        <v>33</v>
      </c>
      <c r="I51" s="24"/>
      <c r="J51" s="24"/>
      <c r="K51" s="23">
        <f>SUM(K45:K50)</f>
        <v>74</v>
      </c>
      <c r="L51" s="23">
        <f>SUM(L45:L50)</f>
        <v>74</v>
      </c>
      <c r="M51" s="33">
        <f>L51/$L$51</f>
        <v>1</v>
      </c>
      <c r="N51" s="35"/>
      <c r="O51" s="48"/>
      <c r="P51" s="49"/>
      <c r="Q51" s="49"/>
      <c r="R51" s="49"/>
      <c r="S51" s="49"/>
      <c r="T51" s="50"/>
      <c r="U51" s="8"/>
      <c r="V51" s="3"/>
    </row>
    <row r="52" spans="1:22" ht="17.399999999999999" x14ac:dyDescent="0.45">
      <c r="A52" s="3"/>
      <c r="B52" s="7"/>
      <c r="C52" s="1"/>
      <c r="D52" s="1"/>
      <c r="E52" s="1"/>
      <c r="F52" s="1"/>
      <c r="G52" s="1"/>
      <c r="H52" s="57" t="s">
        <v>34</v>
      </c>
      <c r="I52" s="57"/>
      <c r="J52" s="57"/>
      <c r="K52" s="57"/>
      <c r="L52" s="57"/>
      <c r="M52" s="57"/>
      <c r="N52" s="28"/>
      <c r="O52" s="48"/>
      <c r="P52" s="49"/>
      <c r="Q52" s="49"/>
      <c r="R52" s="49"/>
      <c r="S52" s="49"/>
      <c r="T52" s="50"/>
      <c r="U52" s="8"/>
      <c r="V52" s="3"/>
    </row>
    <row r="53" spans="1:22" ht="17.399999999999999" customHeight="1" x14ac:dyDescent="0.45">
      <c r="A53" s="3"/>
      <c r="B53" s="7"/>
      <c r="C53" s="1"/>
      <c r="D53" s="1"/>
      <c r="E53" s="1"/>
      <c r="F53" s="1"/>
      <c r="H53" s="57"/>
      <c r="I53" s="57"/>
      <c r="J53" s="57"/>
      <c r="K53" s="57"/>
      <c r="L53" s="57"/>
      <c r="M53" s="57"/>
      <c r="O53" s="48"/>
      <c r="P53" s="49"/>
      <c r="Q53" s="49"/>
      <c r="R53" s="49"/>
      <c r="S53" s="49"/>
      <c r="T53" s="50"/>
      <c r="U53" s="8"/>
      <c r="V53" s="3"/>
    </row>
    <row r="54" spans="1:22" ht="17.399999999999999" x14ac:dyDescent="0.45">
      <c r="A54" s="3"/>
      <c r="B54" s="7"/>
      <c r="C54" s="1"/>
      <c r="D54" s="1"/>
      <c r="E54" s="1"/>
      <c r="F54" s="1"/>
      <c r="H54" s="58"/>
      <c r="I54" s="58"/>
      <c r="J54" s="58"/>
      <c r="K54" s="58"/>
      <c r="L54" s="58"/>
      <c r="M54" s="58"/>
      <c r="O54" s="48"/>
      <c r="P54" s="49"/>
      <c r="Q54" s="49"/>
      <c r="R54" s="49"/>
      <c r="S54" s="49"/>
      <c r="T54" s="50"/>
      <c r="U54" s="8"/>
      <c r="V54" s="3"/>
    </row>
    <row r="55" spans="1:22" ht="17.399999999999999" x14ac:dyDescent="0.45">
      <c r="A55" s="3"/>
      <c r="B55" s="7"/>
      <c r="C55" s="17" t="s">
        <v>8</v>
      </c>
      <c r="D55" s="1"/>
      <c r="E55" s="1"/>
      <c r="F55" s="1"/>
      <c r="G55" s="1"/>
      <c r="H55" s="1"/>
      <c r="I55" s="1"/>
      <c r="J55" s="1"/>
      <c r="K55" s="1"/>
      <c r="N55" s="1"/>
      <c r="O55" s="48"/>
      <c r="P55" s="49"/>
      <c r="Q55" s="49"/>
      <c r="R55" s="49"/>
      <c r="S55" s="49"/>
      <c r="T55" s="50"/>
      <c r="U55" s="8"/>
      <c r="V55" s="3"/>
    </row>
    <row r="56" spans="1:22" ht="17.399999999999999" x14ac:dyDescent="0.45">
      <c r="A56" s="3"/>
      <c r="B56" s="7"/>
      <c r="C56" s="1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8"/>
      <c r="P56" s="49"/>
      <c r="Q56" s="49"/>
      <c r="R56" s="49"/>
      <c r="S56" s="49"/>
      <c r="T56" s="50"/>
      <c r="U56" s="27"/>
      <c r="V56" s="3"/>
    </row>
    <row r="57" spans="1:22" ht="17.399999999999999" x14ac:dyDescent="0.45">
      <c r="A57" s="3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48"/>
      <c r="P57" s="49"/>
      <c r="Q57" s="49"/>
      <c r="R57" s="49"/>
      <c r="S57" s="49"/>
      <c r="T57" s="50"/>
      <c r="U57" s="27"/>
      <c r="V57" s="3"/>
    </row>
    <row r="58" spans="1:22" ht="17.399999999999999" x14ac:dyDescent="0.45">
      <c r="A58" s="3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48"/>
      <c r="P58" s="49"/>
      <c r="Q58" s="49"/>
      <c r="R58" s="49"/>
      <c r="S58" s="49"/>
      <c r="T58" s="50"/>
      <c r="U58" s="27"/>
      <c r="V58" s="3"/>
    </row>
    <row r="59" spans="1:22" ht="17.399999999999999" x14ac:dyDescent="0.45">
      <c r="A59" s="3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48"/>
      <c r="P59" s="49"/>
      <c r="Q59" s="49"/>
      <c r="R59" s="49"/>
      <c r="S59" s="49"/>
      <c r="T59" s="50"/>
      <c r="U59" s="27"/>
      <c r="V59" s="3"/>
    </row>
    <row r="60" spans="1:22" ht="17.399999999999999" x14ac:dyDescent="0.45">
      <c r="A60" s="3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48"/>
      <c r="P60" s="49"/>
      <c r="Q60" s="49"/>
      <c r="R60" s="49"/>
      <c r="S60" s="49"/>
      <c r="T60" s="50"/>
      <c r="U60" s="27"/>
      <c r="V60" s="3"/>
    </row>
    <row r="61" spans="1:22" ht="17.399999999999999" x14ac:dyDescent="0.45">
      <c r="A61" s="3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48"/>
      <c r="P61" s="49"/>
      <c r="Q61" s="49"/>
      <c r="R61" s="49"/>
      <c r="S61" s="49"/>
      <c r="T61" s="50"/>
      <c r="U61" s="27"/>
      <c r="V61" s="3"/>
    </row>
    <row r="62" spans="1:22" ht="17.399999999999999" x14ac:dyDescent="0.45">
      <c r="A62" s="3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8"/>
      <c r="P62" s="49"/>
      <c r="Q62" s="49"/>
      <c r="R62" s="49"/>
      <c r="S62" s="49"/>
      <c r="T62" s="50"/>
      <c r="U62" s="27"/>
      <c r="V62" s="3"/>
    </row>
    <row r="63" spans="1:22" ht="17.399999999999999" x14ac:dyDescent="0.45">
      <c r="A63" s="3"/>
      <c r="B63" s="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48"/>
      <c r="P63" s="49"/>
      <c r="Q63" s="49"/>
      <c r="R63" s="49"/>
      <c r="S63" s="49"/>
      <c r="T63" s="50"/>
      <c r="U63" s="27"/>
      <c r="V63" s="3"/>
    </row>
    <row r="64" spans="1:22" ht="17.399999999999999" x14ac:dyDescent="0.45">
      <c r="A64" s="3"/>
      <c r="B64" s="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48"/>
      <c r="P64" s="49"/>
      <c r="Q64" s="49"/>
      <c r="R64" s="49"/>
      <c r="S64" s="49"/>
      <c r="T64" s="50"/>
      <c r="U64" s="27"/>
      <c r="V64" s="3"/>
    </row>
    <row r="65" spans="1:22" ht="17.399999999999999" x14ac:dyDescent="0.45">
      <c r="A65" s="3"/>
      <c r="B65" s="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51"/>
      <c r="P65" s="52"/>
      <c r="Q65" s="52"/>
      <c r="R65" s="52"/>
      <c r="S65" s="52"/>
      <c r="T65" s="53"/>
      <c r="U65" s="27"/>
      <c r="V65" s="3"/>
    </row>
    <row r="66" spans="1:22" ht="17.399999999999999" x14ac:dyDescent="0.45">
      <c r="A66" s="3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  <c r="V66" s="3"/>
    </row>
    <row r="67" spans="1:22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A1:F50"/>
  <sheetViews>
    <sheetView topLeftCell="A19" workbookViewId="0">
      <selection activeCell="D45" sqref="D45"/>
    </sheetView>
  </sheetViews>
  <sheetFormatPr defaultColWidth="9" defaultRowHeight="14.4" x14ac:dyDescent="0.3"/>
  <cols>
    <col min="1" max="1" width="3.59765625" style="19" customWidth="1"/>
    <col min="2" max="2" width="11.3984375" style="19" bestFit="1" customWidth="1"/>
    <col min="3" max="4" width="11" style="19" bestFit="1" customWidth="1"/>
    <col min="5" max="16384" width="9" style="19"/>
  </cols>
  <sheetData>
    <row r="1" spans="1:5" x14ac:dyDescent="0.3">
      <c r="A1"/>
    </row>
    <row r="2" spans="1:5" x14ac:dyDescent="0.3">
      <c r="A2"/>
    </row>
    <row r="3" spans="1:5" x14ac:dyDescent="0.3">
      <c r="A3"/>
    </row>
    <row r="4" spans="1:5" x14ac:dyDescent="0.3">
      <c r="A4"/>
      <c r="B4" s="59" t="s">
        <v>13</v>
      </c>
      <c r="C4" s="59" t="s">
        <v>15</v>
      </c>
    </row>
    <row r="5" spans="1:5" x14ac:dyDescent="0.3">
      <c r="A5"/>
      <c r="B5" s="31" t="s">
        <v>10</v>
      </c>
      <c r="C5" s="56">
        <v>3</v>
      </c>
    </row>
    <row r="6" spans="1:5" x14ac:dyDescent="0.3">
      <c r="A6"/>
      <c r="B6" s="31" t="s">
        <v>20</v>
      </c>
      <c r="C6" s="56">
        <v>35</v>
      </c>
    </row>
    <row r="7" spans="1:5" x14ac:dyDescent="0.3">
      <c r="A7"/>
      <c r="B7" s="60" t="s">
        <v>12</v>
      </c>
      <c r="C7" s="61">
        <v>38</v>
      </c>
    </row>
    <row r="8" spans="1:5" x14ac:dyDescent="0.3">
      <c r="A8"/>
    </row>
    <row r="9" spans="1:5" x14ac:dyDescent="0.3">
      <c r="A9"/>
    </row>
    <row r="10" spans="1:5" x14ac:dyDescent="0.3">
      <c r="A10"/>
    </row>
    <row r="11" spans="1:5" x14ac:dyDescent="0.3">
      <c r="A11"/>
    </row>
    <row r="12" spans="1:5" x14ac:dyDescent="0.3">
      <c r="A12"/>
    </row>
    <row r="13" spans="1:5" x14ac:dyDescent="0.3">
      <c r="A13"/>
    </row>
    <row r="14" spans="1:5" x14ac:dyDescent="0.3">
      <c r="A14"/>
      <c r="B14"/>
      <c r="C14"/>
      <c r="D14"/>
    </row>
    <row r="15" spans="1:5" x14ac:dyDescent="0.3">
      <c r="A15"/>
      <c r="B15" s="59" t="s">
        <v>13</v>
      </c>
      <c r="C15" s="59" t="s">
        <v>10</v>
      </c>
      <c r="D15" s="59" t="s">
        <v>20</v>
      </c>
      <c r="E15" s="59" t="s">
        <v>12</v>
      </c>
    </row>
    <row r="16" spans="1:5" x14ac:dyDescent="0.3">
      <c r="A16"/>
      <c r="B16" s="31" t="s">
        <v>6</v>
      </c>
      <c r="C16" s="56">
        <v>3</v>
      </c>
      <c r="D16" s="56">
        <v>29</v>
      </c>
      <c r="E16" s="56">
        <v>32</v>
      </c>
    </row>
    <row r="17" spans="1:5" x14ac:dyDescent="0.3">
      <c r="A17"/>
      <c r="B17" s="31" t="s">
        <v>23</v>
      </c>
      <c r="C17" s="56"/>
      <c r="D17" s="56">
        <v>6</v>
      </c>
      <c r="E17" s="56">
        <v>6</v>
      </c>
    </row>
    <row r="18" spans="1:5" x14ac:dyDescent="0.3">
      <c r="A18"/>
      <c r="B18" s="60" t="s">
        <v>12</v>
      </c>
      <c r="C18" s="61">
        <v>3</v>
      </c>
      <c r="D18" s="61">
        <v>35</v>
      </c>
      <c r="E18" s="61">
        <v>38</v>
      </c>
    </row>
    <row r="19" spans="1:5" x14ac:dyDescent="0.3">
      <c r="A19"/>
      <c r="B19"/>
      <c r="C19"/>
      <c r="D19"/>
    </row>
    <row r="20" spans="1:5" x14ac:dyDescent="0.3">
      <c r="A20"/>
      <c r="B20"/>
      <c r="C20"/>
      <c r="D20"/>
    </row>
    <row r="21" spans="1:5" x14ac:dyDescent="0.3">
      <c r="A21"/>
      <c r="B21"/>
      <c r="C21"/>
      <c r="D21"/>
    </row>
    <row r="22" spans="1:5" x14ac:dyDescent="0.3">
      <c r="A22"/>
      <c r="B22" s="30"/>
      <c r="C22"/>
    </row>
    <row r="23" spans="1:5" x14ac:dyDescent="0.3">
      <c r="A23"/>
      <c r="B23" s="30"/>
      <c r="C23"/>
    </row>
    <row r="24" spans="1:5" x14ac:dyDescent="0.3">
      <c r="A24"/>
      <c r="B24" s="30"/>
      <c r="C24"/>
    </row>
    <row r="25" spans="1:5" x14ac:dyDescent="0.3">
      <c r="A25"/>
      <c r="B25" s="30"/>
      <c r="C25"/>
    </row>
    <row r="26" spans="1:5" x14ac:dyDescent="0.3">
      <c r="A26"/>
    </row>
    <row r="27" spans="1:5" x14ac:dyDescent="0.3">
      <c r="A27"/>
    </row>
    <row r="28" spans="1:5" x14ac:dyDescent="0.3">
      <c r="A28"/>
      <c r="B28" s="54" t="s">
        <v>13</v>
      </c>
      <c r="C28" s="54" t="s">
        <v>15</v>
      </c>
    </row>
    <row r="29" spans="1:5" x14ac:dyDescent="0.3">
      <c r="A29"/>
      <c r="B29" s="29" t="s">
        <v>11</v>
      </c>
      <c r="C29" s="55">
        <v>49</v>
      </c>
    </row>
    <row r="30" spans="1:5" x14ac:dyDescent="0.3">
      <c r="A30"/>
      <c r="B30" s="29" t="s">
        <v>27</v>
      </c>
      <c r="C30" s="55">
        <v>18</v>
      </c>
    </row>
    <row r="31" spans="1:5" x14ac:dyDescent="0.3">
      <c r="A31"/>
      <c r="B31" s="29" t="s">
        <v>25</v>
      </c>
      <c r="C31" s="55">
        <v>7</v>
      </c>
    </row>
    <row r="32" spans="1:5" x14ac:dyDescent="0.3">
      <c r="A32"/>
      <c r="B32" s="62" t="s">
        <v>12</v>
      </c>
      <c r="C32" s="63">
        <v>74</v>
      </c>
    </row>
    <row r="33" spans="1:6" x14ac:dyDescent="0.3">
      <c r="A33"/>
    </row>
    <row r="34" spans="1:6" x14ac:dyDescent="0.3">
      <c r="A34"/>
    </row>
    <row r="35" spans="1:6" x14ac:dyDescent="0.3">
      <c r="A35"/>
    </row>
    <row r="36" spans="1:6" x14ac:dyDescent="0.3">
      <c r="A36"/>
    </row>
    <row r="37" spans="1:6" x14ac:dyDescent="0.3">
      <c r="A37"/>
    </row>
    <row r="38" spans="1:6" x14ac:dyDescent="0.3">
      <c r="A38"/>
    </row>
    <row r="39" spans="1:6" x14ac:dyDescent="0.3">
      <c r="A39"/>
      <c r="B39"/>
      <c r="C39"/>
      <c r="D39"/>
    </row>
    <row r="40" spans="1:6" x14ac:dyDescent="0.3">
      <c r="A40"/>
      <c r="B40" s="54" t="s">
        <v>13</v>
      </c>
      <c r="C40" s="54" t="s">
        <v>11</v>
      </c>
      <c r="D40" s="54" t="s">
        <v>27</v>
      </c>
      <c r="E40" s="54" t="s">
        <v>25</v>
      </c>
      <c r="F40" s="54" t="s">
        <v>12</v>
      </c>
    </row>
    <row r="41" spans="1:6" x14ac:dyDescent="0.3">
      <c r="A41"/>
      <c r="B41" s="29" t="s">
        <v>6</v>
      </c>
      <c r="C41" s="55">
        <v>40</v>
      </c>
      <c r="D41" s="55">
        <v>9</v>
      </c>
      <c r="E41" s="55">
        <v>2</v>
      </c>
      <c r="F41" s="55">
        <v>51</v>
      </c>
    </row>
    <row r="42" spans="1:6" x14ac:dyDescent="0.3">
      <c r="A42"/>
      <c r="B42" s="29" t="s">
        <v>5</v>
      </c>
      <c r="C42" s="55">
        <v>5</v>
      </c>
      <c r="D42" s="55"/>
      <c r="E42" s="55">
        <v>1</v>
      </c>
      <c r="F42" s="55">
        <v>6</v>
      </c>
    </row>
    <row r="43" spans="1:6" x14ac:dyDescent="0.3">
      <c r="A43"/>
      <c r="B43" s="29" t="s">
        <v>26</v>
      </c>
      <c r="C43" s="55">
        <v>4</v>
      </c>
      <c r="D43" s="55"/>
      <c r="E43" s="55">
        <v>1</v>
      </c>
      <c r="F43" s="55">
        <v>5</v>
      </c>
    </row>
    <row r="44" spans="1:6" x14ac:dyDescent="0.3">
      <c r="A44"/>
      <c r="B44" s="29" t="s">
        <v>14</v>
      </c>
      <c r="C44" s="55"/>
      <c r="D44" s="55">
        <v>3</v>
      </c>
      <c r="E44" s="55">
        <v>3</v>
      </c>
      <c r="F44" s="55">
        <v>6</v>
      </c>
    </row>
    <row r="45" spans="1:6" x14ac:dyDescent="0.3">
      <c r="A45"/>
      <c r="B45" s="29" t="s">
        <v>23</v>
      </c>
      <c r="C45" s="55"/>
      <c r="D45" s="55">
        <v>6</v>
      </c>
      <c r="E45" s="55"/>
      <c r="F45" s="55">
        <v>6</v>
      </c>
    </row>
    <row r="46" spans="1:6" x14ac:dyDescent="0.3">
      <c r="A46"/>
      <c r="B46" s="62" t="s">
        <v>12</v>
      </c>
      <c r="C46" s="63">
        <v>49</v>
      </c>
      <c r="D46" s="63">
        <v>18</v>
      </c>
      <c r="E46" s="63">
        <v>7</v>
      </c>
      <c r="F46" s="63">
        <v>74</v>
      </c>
    </row>
    <row r="47" spans="1:6" x14ac:dyDescent="0.3">
      <c r="A47"/>
    </row>
    <row r="48" spans="1:6" x14ac:dyDescent="0.3">
      <c r="A48"/>
    </row>
    <row r="49" spans="1:1" x14ac:dyDescent="0.3">
      <c r="A49"/>
    </row>
    <row r="50" spans="1:1" x14ac:dyDescent="0.3">
      <c r="A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2E609D-1688-46D5-B18B-DDEE198AF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</vt:lpstr>
      <vt:lpstr>Auxiliar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2025-01-23T18:27:46Z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