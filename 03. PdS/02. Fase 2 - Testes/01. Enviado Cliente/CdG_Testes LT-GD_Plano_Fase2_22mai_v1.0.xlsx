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01. Enviado Cliente/"/>
    </mc:Choice>
  </mc:AlternateContent>
  <xr:revisionPtr revIDLastSave="825" documentId="8_{A4130831-3AA5-4110-8703-37E45D0E79A4}" xr6:coauthVersionLast="47" xr6:coauthVersionMax="47" xr10:uidLastSave="{8D67B19B-43AD-40D8-B1FB-4A9B88D09CAC}"/>
  <bookViews>
    <workbookView xWindow="-108" yWindow="-108" windowWidth="23256" windowHeight="12456" tabRatio="781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Detalhe Entregas e Status" sheetId="2" r:id="rId4"/>
    <sheet name="Aux Testes_Status" sheetId="7" state="hidden" r:id="rId5"/>
  </sheets>
  <definedNames>
    <definedName name="_xlnm._FilterDatabase" localSheetId="3" hidden="1">'Detalhe Entregas e Status'!$B$8:$J$81</definedName>
    <definedName name="asefadf">#REF!</definedName>
    <definedName name="bn">#REF!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1" l="1"/>
  <c r="J73" i="11"/>
  <c r="J72" i="11"/>
  <c r="J71" i="11"/>
  <c r="J70" i="11"/>
  <c r="J69" i="11"/>
  <c r="J68" i="11"/>
  <c r="I74" i="11"/>
  <c r="I73" i="11"/>
  <c r="K73" i="11" s="1"/>
  <c r="I72" i="11"/>
  <c r="I71" i="11"/>
  <c r="I70" i="11"/>
  <c r="I69" i="11"/>
  <c r="I68" i="11"/>
  <c r="K18" i="11"/>
  <c r="J18" i="11"/>
  <c r="I17" i="11"/>
  <c r="I16" i="11"/>
  <c r="I15" i="11"/>
  <c r="I14" i="11"/>
  <c r="F17" i="11"/>
  <c r="F16" i="11"/>
  <c r="F15" i="11"/>
  <c r="F14" i="11"/>
  <c r="H18" i="11"/>
  <c r="G18" i="11"/>
  <c r="E18" i="11"/>
  <c r="D18" i="11"/>
  <c r="J40" i="11"/>
  <c r="J39" i="11"/>
  <c r="J38" i="11"/>
  <c r="J37" i="11"/>
  <c r="J36" i="11"/>
  <c r="J35" i="11"/>
  <c r="J34" i="11"/>
  <c r="I57" i="11"/>
  <c r="I56" i="11"/>
  <c r="I55" i="11"/>
  <c r="I54" i="11"/>
  <c r="I53" i="11"/>
  <c r="I52" i="11"/>
  <c r="J57" i="11"/>
  <c r="J56" i="11"/>
  <c r="J55" i="11"/>
  <c r="J54" i="11"/>
  <c r="J53" i="11"/>
  <c r="J52" i="11"/>
  <c r="J51" i="11"/>
  <c r="K74" i="11" l="1"/>
  <c r="J75" i="11"/>
  <c r="K69" i="11"/>
  <c r="K71" i="11"/>
  <c r="K72" i="11"/>
  <c r="K70" i="11"/>
  <c r="I75" i="11"/>
  <c r="K68" i="11"/>
  <c r="I18" i="11"/>
  <c r="L18" i="11"/>
  <c r="F18" i="11"/>
  <c r="J41" i="11"/>
  <c r="K52" i="11"/>
  <c r="K53" i="11"/>
  <c r="K54" i="11"/>
  <c r="K55" i="11"/>
  <c r="K56" i="11"/>
  <c r="K57" i="11"/>
  <c r="J58" i="11"/>
  <c r="I40" i="11" l="1"/>
  <c r="K40" i="11" s="1"/>
  <c r="I51" i="11"/>
  <c r="I39" i="11"/>
  <c r="K39" i="11" s="1"/>
  <c r="I38" i="11"/>
  <c r="K38" i="11" s="1"/>
  <c r="I37" i="11"/>
  <c r="K37" i="11" s="1"/>
  <c r="I36" i="11"/>
  <c r="K36" i="11" s="1"/>
  <c r="I35" i="11"/>
  <c r="K35" i="11" s="1"/>
  <c r="I34" i="11"/>
  <c r="K34" i="11" s="1"/>
  <c r="K51" i="11" l="1"/>
  <c r="I58" i="11"/>
  <c r="I41" i="11"/>
  <c r="B23" i="8" l="1"/>
  <c r="G75" i="2" l="1"/>
  <c r="G69" i="2"/>
  <c r="G61" i="2"/>
  <c r="G9" i="2"/>
  <c r="G81" i="2" l="1"/>
  <c r="G80" i="2"/>
  <c r="G79" i="2"/>
  <c r="G78" i="2"/>
  <c r="G77" i="2"/>
  <c r="G76" i="2"/>
  <c r="G74" i="2"/>
  <c r="G73" i="2"/>
  <c r="G72" i="2"/>
  <c r="G71" i="2"/>
  <c r="G70" i="2"/>
  <c r="G68" i="2"/>
  <c r="G67" i="2"/>
  <c r="G66" i="2"/>
  <c r="G65" i="2"/>
  <c r="G64" i="2"/>
  <c r="G63" i="2"/>
  <c r="G62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</calcChain>
</file>

<file path=xl/sharedStrings.xml><?xml version="1.0" encoding="utf-8"?>
<sst xmlns="http://schemas.openxmlformats.org/spreadsheetml/2006/main" count="1096" uniqueCount="263">
  <si>
    <t>lt002_instrument</t>
  </si>
  <si>
    <t>AVRG_BLNC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</si>
  <si>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</si>
  <si>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</si>
  <si>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</si>
  <si>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</si>
  <si>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</si>
  <si>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</si>
  <si>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</si>
  <si>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</si>
  <si>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</si>
  <si>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</si>
  <si>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</si>
  <si>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</si>
  <si>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</si>
  <si>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</si>
  <si>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</si>
  <si>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</si>
  <si>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</si>
  <si>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</si>
  <si>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</si>
  <si>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</si>
  <si>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</si>
  <si>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</si>
  <si>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</si>
  <si>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</si>
  <si>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</si>
  <si>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</si>
  <si>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</si>
  <si>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</si>
  <si>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</si>
  <si>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</si>
  <si>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</si>
  <si>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</si>
  <si>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</si>
  <si>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</si>
  <si>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</si>
  <si>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</si>
  <si>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</si>
  <si>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</si>
  <si>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</si>
  <si>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</si>
  <si>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</si>
  <si>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</si>
  <si>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</si>
  <si>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</si>
  <si>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</si>
  <si>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</si>
  <si>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</si>
  <si>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</si>
  <si>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</si>
  <si>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</si>
  <si>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</si>
  <si>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</si>
  <si>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</si>
  <si>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</si>
  <si>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</si>
  <si>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</si>
  <si>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</si>
  <si>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</si>
  <si>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</si>
  <si>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</si>
  <si>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</si>
  <si>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</si>
  <si>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</si>
  <si>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</si>
  <si>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</si>
  <si>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</si>
  <si>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</si>
  <si>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</si>
  <si>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</si>
  <si>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</si>
  <si>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</si>
  <si>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</si>
  <si>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</si>
  <si>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</si>
  <si>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</si>
  <si>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</si>
  <si>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UNIVERSO</t>
  </si>
  <si>
    <t>Descrição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</si>
  <si>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</si>
  <si>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</si>
  <si>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</si>
  <si>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</si>
  <si>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</si>
  <si>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</si>
  <si>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</si>
  <si>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</si>
  <si>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</si>
  <si>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</si>
  <si>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</si>
  <si>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</si>
  <si>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</si>
  <si>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</si>
  <si>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</si>
  <si>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</si>
  <si>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</si>
  <si>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</si>
  <si>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</si>
  <si>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</si>
  <si>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</si>
  <si>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</si>
  <si>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</si>
  <si>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</si>
  <si>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</si>
  <si>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</si>
  <si>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</si>
  <si>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</si>
  <si>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</si>
  <si>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</si>
  <si>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</si>
  <si>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</si>
  <si>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</si>
  <si>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</si>
  <si>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</si>
  <si>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</si>
  <si>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</si>
  <si>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</si>
  <si>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</si>
  <si>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</si>
  <si>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</si>
  <si>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</si>
  <si>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</si>
  <si>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</si>
  <si>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</si>
  <si>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</si>
  <si>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</si>
  <si>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</si>
  <si>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</si>
  <si>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</si>
  <si>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</si>
  <si>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</si>
  <si>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</si>
  <si>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</si>
  <si>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</si>
  <si>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</si>
  <si>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</si>
  <si>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</si>
  <si>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</si>
  <si>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</si>
  <si>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</si>
  <si>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</si>
  <si>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</si>
  <si>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</si>
  <si>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</si>
  <si>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</si>
  <si>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</si>
  <si>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</si>
  <si>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</si>
  <si>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</si>
  <si>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</si>
  <si>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</si>
  <si>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</si>
  <si>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</si>
  <si>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</si>
  <si>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</si>
  <si>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</si>
  <si>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</si>
  <si>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</si>
  <si>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</si>
  <si>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</si>
  <si>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</si>
  <si>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</si>
  <si>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</si>
  <si>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</si>
  <si>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</si>
  <si>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</si>
  <si>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</si>
  <si>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</si>
  <si>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</si>
  <si>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</si>
  <si>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</si>
  <si>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</si>
  <si>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</si>
  <si>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</si>
  <si>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</si>
  <si>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</si>
  <si>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</si>
  <si>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</si>
  <si>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</si>
  <si>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</si>
  <si>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</si>
  <si>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</si>
  <si>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</si>
  <si>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</si>
  <si>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</si>
  <si>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</si>
  <si>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</si>
  <si>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</si>
  <si>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</si>
  <si>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</si>
  <si>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</si>
  <si>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</si>
  <si>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</si>
  <si>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</si>
  <si>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</si>
  <si>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</si>
  <si>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</si>
  <si>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</si>
  <si>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</si>
  <si>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</si>
  <si>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</si>
  <si>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</si>
  <si>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</si>
  <si>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</si>
  <si>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</si>
  <si>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</si>
  <si>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Real</t>
  </si>
  <si>
    <t>Legenda:</t>
  </si>
  <si>
    <t>Entregas da equipa de IT</t>
  </si>
  <si>
    <t>Tempo estimado para a realização da atividade</t>
  </si>
  <si>
    <t>Reuniões de PdS com cliente</t>
  </si>
  <si>
    <t>Feriados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</si>
  <si>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</si>
  <si>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</si>
  <si>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</si>
  <si>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</si>
  <si>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</si>
  <si>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</si>
  <si>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</si>
  <si>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</si>
  <si>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</si>
  <si>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</si>
  <si>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</si>
  <si>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</si>
  <si>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</si>
  <si>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</si>
  <si>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</si>
  <si>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</si>
  <si>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</si>
  <si>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</si>
  <si>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</si>
  <si>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</si>
  <si>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wip</t>
  </si>
  <si>
    <t>7. Por Entregar</t>
  </si>
  <si>
    <t>Campo ainda não entregue para testes por parte da equipa de IT.</t>
  </si>
  <si>
    <t>(Multiple Items)</t>
  </si>
  <si>
    <t>«</t>
  </si>
  <si>
    <t>∆</t>
  </si>
  <si>
    <t>Sumário Executivo | 16/mai a 22/mai</t>
  </si>
  <si>
    <t>Planeado</t>
  </si>
  <si>
    <t>Entregas Semana Atual</t>
  </si>
  <si>
    <r>
      <t xml:space="preserve">Entregas Semana Anterior </t>
    </r>
    <r>
      <rPr>
        <b/>
        <vertAlign val="superscript"/>
        <sz val="10"/>
        <color theme="0"/>
        <rFont val="Arial"/>
        <family val="2"/>
      </rPr>
      <t>1</t>
    </r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</si>
  <si>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 xml:space="preserve"> Nas entregas da semana anterior foram incluidas as entregas estimadas nas semanas de 5/mai e 12/mai.</t>
    </r>
  </si>
  <si>
    <t>Entregas Semana Seguinte</t>
  </si>
  <si>
    <t>TBD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</si>
  <si>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As entregas da equipa de IT cumpriram os prazos estipulados em plano.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semana atual foi:
    </t>
    </r>
    <r>
      <rPr>
        <sz val="10"/>
        <rFont val="Aptos Narrow"/>
        <family val="2"/>
      </rPr>
      <t>•</t>
    </r>
    <r>
      <rPr>
        <sz val="10"/>
        <rFont val="Arial"/>
        <family val="2"/>
      </rPr>
      <t xml:space="preserve"> Validação do universo da</t>
    </r>
    <r>
      <rPr>
        <i/>
        <sz val="10"/>
        <rFont val="Arial"/>
        <family val="2"/>
      </rPr>
      <t xml:space="preserve"> lt002_instrument</t>
    </r>
    <r>
      <rPr>
        <sz val="10"/>
        <rFont val="Arial"/>
        <family val="2"/>
      </rPr>
      <t xml:space="preserve">
    • Validação dos campos provenientes da rentabilidade, referentes à tabela</t>
    </r>
    <r>
      <rPr>
        <i/>
        <sz val="10"/>
        <rFont val="Arial"/>
        <family val="2"/>
      </rPr>
      <t xml:space="preserve"> lt002_instrument</t>
    </r>
  </si>
  <si>
    <t>Tema</t>
  </si>
  <si>
    <t>Descritivo</t>
  </si>
  <si>
    <t>lt002 - instrmnt_id</t>
  </si>
  <si>
    <t>Done</t>
  </si>
  <si>
    <t>Resumo das entregas da equipa de IT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</si>
  <si>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correções efetuadas pela equipa de IT</t>
    </r>
  </si>
  <si>
    <t>Erro na forma como estava a ser aplicada a ponderação aos kpm para obtenção do valor em termos de chave FINREP.</t>
  </si>
  <si>
    <t>lt002 - campos "_CCRR"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</si>
  <si>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"_CCRR".</t>
    </r>
  </si>
  <si>
    <r>
      <t xml:space="preserve">Existiam </t>
    </r>
    <r>
      <rPr>
        <i/>
        <sz val="10"/>
        <rFont val="Arial"/>
        <family val="2"/>
      </rPr>
      <t>instrmnt_id</t>
    </r>
    <r>
      <rPr>
        <sz val="10"/>
        <rFont val="Arial"/>
        <family val="2"/>
      </rPr>
      <t xml:space="preserve"> em falta devido à forma como estavam a ser efetuados os cruzamentos.</t>
    </r>
  </si>
  <si>
    <r>
      <t xml:space="preserve">Relativamente ao campo </t>
    </r>
    <r>
      <rPr>
        <i/>
        <sz val="10"/>
        <rFont val="Arial"/>
        <family val="2"/>
      </rPr>
      <t>typ_vhcl</t>
    </r>
    <r>
      <rPr>
        <sz val="10"/>
        <rFont val="Arial"/>
        <family val="2"/>
      </rPr>
      <t xml:space="preserve"> da tabela </t>
    </r>
    <r>
      <rPr>
        <i/>
        <sz val="10"/>
        <rFont val="Arial"/>
        <family val="2"/>
      </rPr>
      <t xml:space="preserve">lt004_protection </t>
    </r>
    <r>
      <rPr>
        <sz val="10"/>
        <rFont val="Arial"/>
        <family val="2"/>
      </rPr>
      <t>falta testar os valores entre o âmbito GD e o âmbito Pilar 3.</t>
    </r>
  </si>
  <si>
    <t>lt002 - campos provenientes de rentabilidade</t>
  </si>
  <si>
    <t>por iniciar</t>
  </si>
  <si>
    <t>3. LT007_INSTR_ACTIVITY</t>
  </si>
  <si>
    <r>
      <t xml:space="preserve">Relativamente à tabela </t>
    </r>
    <r>
      <rPr>
        <i/>
        <sz val="10"/>
        <rFont val="Arial"/>
        <family val="2"/>
      </rPr>
      <t xml:space="preserve">lt007_instr_activity </t>
    </r>
    <r>
      <rPr>
        <sz val="10"/>
        <rFont val="Arial"/>
        <family val="2"/>
      </rPr>
      <t>apesar de já terem sido entregues 5 campos, estes encontram-se classificados como "6. Por Iniciar" uma vez que ainda estão em análise do lado de Pilar 3.</t>
    </r>
  </si>
  <si>
    <r>
      <t xml:space="preserve">Face à semana anterior, </t>
    </r>
    <r>
      <rPr>
        <u/>
        <sz val="10"/>
        <rFont val="Arial"/>
        <family val="2"/>
      </rPr>
      <t>foram entreges para testes mais 13 campos</t>
    </r>
    <r>
      <rPr>
        <sz val="10"/>
        <rFont val="Arial"/>
        <family val="2"/>
      </rPr>
      <t xml:space="preserve"> referentes à tabela </t>
    </r>
    <r>
      <rPr>
        <i/>
        <sz val="10"/>
        <rFont val="Arial"/>
        <family val="2"/>
      </rPr>
      <t xml:space="preserve">lt002_instrument.
</t>
    </r>
    <r>
      <rPr>
        <sz val="10"/>
        <rFont val="Arial"/>
        <family val="2"/>
      </rPr>
      <t xml:space="preserve">Desta amostra encontra-se em análise por parte da equipa de testes:
</t>
    </r>
    <r>
      <rPr>
        <sz val="10"/>
        <rFont val="Aptos Narrow"/>
        <family val="2"/>
      </rPr>
      <t xml:space="preserve">        • </t>
    </r>
    <r>
      <rPr>
        <sz val="10"/>
        <rFont val="Arial"/>
        <family val="2"/>
      </rPr>
      <t xml:space="preserve">Universo e construção do </t>
    </r>
    <r>
      <rPr>
        <i/>
        <sz val="10"/>
        <rFont val="Arial"/>
        <family val="2"/>
      </rPr>
      <t>instrmnt_id</t>
    </r>
    <r>
      <rPr>
        <sz val="10"/>
        <rFont val="Arial"/>
        <family val="2"/>
      </rPr>
      <t xml:space="preserve">
    </t>
    </r>
    <r>
      <rPr>
        <sz val="10"/>
        <rFont val="Aptos Narrow"/>
        <family val="2"/>
        <scheme val="minor"/>
      </rPr>
      <t>•</t>
    </r>
    <r>
      <rPr>
        <sz val="10"/>
        <rFont val="Arial"/>
        <family val="2"/>
      </rPr>
      <t xml:space="preserve"> Campos provenientes das tabelas de rentabilidade
No decorrer das nossas análises, houve a necessidade de se re-especificar os seguintes campos (que serão formalizados até 23/mai):
       • </t>
    </r>
    <r>
      <rPr>
        <i/>
        <sz val="10"/>
        <rFont val="Arial"/>
        <family val="2"/>
      </rPr>
      <t>nt_ln_lss_prvsn</t>
    </r>
    <r>
      <rPr>
        <sz val="10"/>
        <rFont val="Arial"/>
        <family val="2"/>
      </rPr>
      <t xml:space="preserve">
       • </t>
    </r>
    <r>
      <rPr>
        <i/>
        <sz val="10"/>
        <rFont val="Arial"/>
        <family val="2"/>
      </rPr>
      <t>cnclld_instrmnt_stts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</si>
</sst>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9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sz val="10"/>
      <name val="Aptos Narrow"/>
      <family val="2"/>
    </font>
    <font>
      <sz val="10"/>
      <name val="Aptos Narrow"/>
      <family val="2"/>
      <scheme val="minor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vertAlign val="superscript"/>
      <sz val="10"/>
      <color theme="0"/>
      <name val="Arial"/>
      <family val="2"/>
    </font>
    <font>
      <vertAlign val="superscript"/>
      <sz val="9"/>
      <name val="Arial"/>
      <family val="2"/>
    </font>
    <font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183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6" xfId="0" applyFont="1" applyFill="1" applyBorder="1" applyAlignment="1">
      <alignment horizontal="center" vertical="center"/>
    </xf>
    <xf numFmtId="0" fontId="4" fillId="0" borderId="7" xfId="0" applyFont="1" applyBorder="1"/>
    <xf numFmtId="0" fontId="3" fillId="0" borderId="7" xfId="0" applyFont="1" applyBorder="1"/>
    <xf numFmtId="0" fontId="4" fillId="6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0" xfId="0" applyFont="1"/>
    <xf numFmtId="0" fontId="9" fillId="0" borderId="0" xfId="1" applyFont="1" applyProtection="1">
      <protection hidden="1"/>
    </xf>
    <xf numFmtId="0" fontId="9" fillId="2" borderId="0" xfId="1" applyFont="1" applyFill="1" applyProtection="1">
      <protection hidden="1"/>
    </xf>
    <xf numFmtId="0" fontId="5" fillId="2" borderId="8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4" fillId="12" borderId="0" xfId="0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1" xfId="0" applyFont="1" applyBorder="1"/>
    <xf numFmtId="0" fontId="3" fillId="0" borderId="11" xfId="0" applyFont="1" applyBorder="1"/>
    <xf numFmtId="0" fontId="9" fillId="0" borderId="18" xfId="0" applyFont="1" applyBorder="1" applyAlignment="1">
      <alignment horizontal="center" vertical="center"/>
    </xf>
    <xf numFmtId="0" fontId="9" fillId="0" borderId="18" xfId="0" applyFont="1" applyBorder="1"/>
    <xf numFmtId="0" fontId="3" fillId="0" borderId="17" xfId="0" applyFont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/>
    <xf numFmtId="0" fontId="3" fillId="13" borderId="19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vertical="center"/>
    </xf>
    <xf numFmtId="0" fontId="3" fillId="13" borderId="20" xfId="0" applyFont="1" applyFill="1" applyBorder="1"/>
    <xf numFmtId="0" fontId="10" fillId="0" borderId="11" xfId="0" applyFont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 indent="1"/>
    </xf>
    <xf numFmtId="0" fontId="9" fillId="14" borderId="0" xfId="0" applyFont="1" applyFill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9" fillId="14" borderId="24" xfId="0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9" fillId="0" borderId="16" xfId="0" applyFont="1" applyBorder="1"/>
    <xf numFmtId="0" fontId="9" fillId="12" borderId="25" xfId="0" applyFont="1" applyFill="1" applyBorder="1" applyAlignment="1">
      <alignment horizontal="center" vertical="center"/>
    </xf>
    <xf numFmtId="0" fontId="9" fillId="0" borderId="23" xfId="0" applyFont="1" applyBorder="1"/>
    <xf numFmtId="0" fontId="9" fillId="12" borderId="24" xfId="0" applyFont="1" applyFill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12" borderId="24" xfId="0" applyFont="1" applyFill="1" applyBorder="1" applyAlignment="1">
      <alignment horizontal="center" vertical="center"/>
    </xf>
    <xf numFmtId="0" fontId="3" fillId="0" borderId="23" xfId="0" applyFont="1" applyBorder="1"/>
    <xf numFmtId="0" fontId="3" fillId="14" borderId="24" xfId="0" applyFont="1" applyFill="1" applyBorder="1" applyAlignment="1">
      <alignment horizontal="center" vertical="center"/>
    </xf>
    <xf numFmtId="0" fontId="3" fillId="13" borderId="26" xfId="0" applyFont="1" applyFill="1" applyBorder="1" applyAlignment="1">
      <alignment horizontal="center" vertical="center"/>
    </xf>
    <xf numFmtId="0" fontId="3" fillId="13" borderId="27" xfId="0" applyFont="1" applyFill="1" applyBorder="1" applyAlignment="1">
      <alignment horizontal="center" vertical="center"/>
    </xf>
    <xf numFmtId="0" fontId="3" fillId="13" borderId="27" xfId="0" applyFont="1" applyFill="1" applyBorder="1"/>
    <xf numFmtId="0" fontId="3" fillId="12" borderId="28" xfId="0" applyFont="1" applyFill="1" applyBorder="1" applyAlignment="1">
      <alignment horizontal="center" vertical="center"/>
    </xf>
    <xf numFmtId="0" fontId="3" fillId="12" borderId="26" xfId="0" applyFont="1" applyFill="1" applyBorder="1" applyAlignment="1">
      <alignment horizontal="center" vertical="center"/>
    </xf>
    <xf numFmtId="0" fontId="3" fillId="12" borderId="27" xfId="0" applyFont="1" applyFill="1" applyBorder="1" applyAlignment="1">
      <alignment horizontal="center" vertical="center"/>
    </xf>
    <xf numFmtId="0" fontId="3" fillId="14" borderId="27" xfId="0" applyFont="1" applyFill="1" applyBorder="1" applyAlignment="1">
      <alignment horizontal="center" vertical="center"/>
    </xf>
    <xf numFmtId="0" fontId="3" fillId="12" borderId="29" xfId="0" applyFont="1" applyFill="1" applyBorder="1" applyAlignment="1">
      <alignment horizontal="center" vertical="center"/>
    </xf>
    <xf numFmtId="0" fontId="9" fillId="12" borderId="28" xfId="0" applyFont="1" applyFill="1" applyBorder="1" applyAlignment="1">
      <alignment horizontal="center" vertical="center"/>
    </xf>
    <xf numFmtId="0" fontId="16" fillId="0" borderId="0" xfId="0" applyFont="1"/>
    <xf numFmtId="0" fontId="16" fillId="0" borderId="33" xfId="0" applyFont="1" applyBorder="1"/>
    <xf numFmtId="0" fontId="16" fillId="0" borderId="34" xfId="0" applyFont="1" applyBorder="1"/>
    <xf numFmtId="0" fontId="16" fillId="0" borderId="35" xfId="0" applyFont="1" applyBorder="1"/>
    <xf numFmtId="0" fontId="16" fillId="0" borderId="36" xfId="0" applyFont="1" applyBorder="1"/>
    <xf numFmtId="0" fontId="18" fillId="0" borderId="0" xfId="0" applyFont="1"/>
    <xf numFmtId="0" fontId="16" fillId="0" borderId="24" xfId="0" applyFont="1" applyBorder="1"/>
    <xf numFmtId="0" fontId="19" fillId="0" borderId="0" xfId="0" applyFont="1" applyAlignment="1">
      <alignment vertical="center"/>
    </xf>
    <xf numFmtId="164" fontId="16" fillId="0" borderId="0" xfId="2" applyNumberFormat="1" applyFont="1" applyFill="1" applyBorder="1" applyAlignment="1">
      <alignment vertical="center"/>
    </xf>
    <xf numFmtId="0" fontId="16" fillId="0" borderId="37" xfId="0" applyFont="1" applyBorder="1"/>
    <xf numFmtId="0" fontId="16" fillId="0" borderId="38" xfId="0" applyFont="1" applyBorder="1"/>
    <xf numFmtId="0" fontId="16" fillId="0" borderId="39" xfId="0" applyFont="1" applyBorder="1"/>
    <xf numFmtId="16" fontId="4" fillId="0" borderId="7" xfId="0" applyNumberFormat="1" applyFont="1" applyBorder="1"/>
    <xf numFmtId="0" fontId="3" fillId="0" borderId="0" xfId="0" applyFont="1" applyAlignment="1">
      <alignment vertical="center"/>
    </xf>
    <xf numFmtId="0" fontId="4" fillId="0" borderId="4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17" fillId="0" borderId="0" xfId="0" applyFont="1"/>
    <xf numFmtId="0" fontId="20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25" fillId="0" borderId="0" xfId="0" applyFont="1"/>
    <xf numFmtId="0" fontId="7" fillId="0" borderId="7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horizontal="right" vertical="center"/>
    </xf>
    <xf numFmtId="0" fontId="28" fillId="0" borderId="0" xfId="0" applyFont="1" applyAlignment="1">
      <alignment vertical="center"/>
    </xf>
    <xf numFmtId="16" fontId="29" fillId="0" borderId="0" xfId="0" applyNumberFormat="1" applyFont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4" fillId="11" borderId="42" xfId="0" applyFont="1" applyFill="1" applyBorder="1" applyAlignment="1">
      <alignment vertical="center"/>
    </xf>
    <xf numFmtId="0" fontId="30" fillId="12" borderId="11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16" fontId="4" fillId="0" borderId="0" xfId="0" applyNumberFormat="1" applyFont="1"/>
    <xf numFmtId="0" fontId="4" fillId="0" borderId="0" xfId="0" applyFont="1"/>
    <xf numFmtId="16" fontId="4" fillId="0" borderId="7" xfId="0" applyNumberFormat="1" applyFont="1" applyBorder="1" applyAlignment="1">
      <alignment vertical="center"/>
    </xf>
    <xf numFmtId="16" fontId="17" fillId="0" borderId="7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3" borderId="33" xfId="0" quotePrefix="1" applyFont="1" applyFill="1" applyBorder="1" applyAlignment="1">
      <alignment vertical="center" wrapText="1"/>
    </xf>
    <xf numFmtId="0" fontId="15" fillId="3" borderId="34" xfId="0" applyFont="1" applyFill="1" applyBorder="1" applyAlignment="1">
      <alignment vertical="center" wrapText="1"/>
    </xf>
    <xf numFmtId="0" fontId="15" fillId="3" borderId="35" xfId="0" applyFont="1" applyFill="1" applyBorder="1" applyAlignment="1">
      <alignment vertical="center" wrapText="1"/>
    </xf>
    <xf numFmtId="0" fontId="15" fillId="3" borderId="36" xfId="0" applyFont="1" applyFill="1" applyBorder="1" applyAlignment="1">
      <alignment vertical="center" wrapText="1"/>
    </xf>
    <xf numFmtId="0" fontId="15" fillId="3" borderId="0" xfId="0" applyFont="1" applyFill="1" applyAlignment="1">
      <alignment vertical="center" wrapText="1"/>
    </xf>
    <xf numFmtId="0" fontId="15" fillId="3" borderId="24" xfId="0" applyFont="1" applyFill="1" applyBorder="1" applyAlignment="1">
      <alignment vertical="center" wrapText="1"/>
    </xf>
    <xf numFmtId="0" fontId="15" fillId="3" borderId="37" xfId="0" applyFont="1" applyFill="1" applyBorder="1" applyAlignment="1">
      <alignment vertical="center" wrapText="1"/>
    </xf>
    <xf numFmtId="0" fontId="15" fillId="3" borderId="38" xfId="0" applyFont="1" applyFill="1" applyBorder="1" applyAlignment="1">
      <alignment vertical="center" wrapText="1"/>
    </xf>
    <xf numFmtId="0" fontId="15" fillId="3" borderId="39" xfId="0" applyFont="1" applyFill="1" applyBorder="1" applyAlignment="1">
      <alignment vertical="center" wrapText="1"/>
    </xf>
    <xf numFmtId="0" fontId="15" fillId="3" borderId="36" xfId="0" quotePrefix="1" applyFont="1" applyFill="1" applyBorder="1" applyAlignment="1">
      <alignment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vertical="center" wrapText="1"/>
    </xf>
    <xf numFmtId="0" fontId="6" fillId="12" borderId="41" xfId="0" applyFont="1" applyFill="1" applyBorder="1" applyAlignment="1">
      <alignment vertical="center" wrapText="1"/>
    </xf>
    <xf numFmtId="0" fontId="6" fillId="5" borderId="41" xfId="0" applyFont="1" applyFill="1" applyBorder="1" applyAlignment="1">
      <alignment horizontal="center" vertical="center" wrapText="1"/>
    </xf>
    <xf numFmtId="0" fontId="6" fillId="12" borderId="41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vertical="center"/>
    </xf>
    <xf numFmtId="0" fontId="15" fillId="0" borderId="41" xfId="0" applyFont="1" applyBorder="1" applyAlignment="1">
      <alignment horizontal="center" vertical="center" wrapText="1"/>
    </xf>
    <xf numFmtId="0" fontId="14" fillId="3" borderId="0" xfId="0" applyFont="1" applyFill="1" applyAlignment="1">
      <alignment vertical="center"/>
    </xf>
    <xf numFmtId="0" fontId="20" fillId="3" borderId="0" xfId="0" applyFont="1" applyFill="1" applyAlignment="1">
      <alignment horizontal="left" vertical="center"/>
    </xf>
    <xf numFmtId="0" fontId="8" fillId="2" borderId="41" xfId="0" applyFont="1" applyFill="1" applyBorder="1" applyAlignment="1">
      <alignment horizontal="center" vertical="center" wrapText="1"/>
    </xf>
    <xf numFmtId="0" fontId="6" fillId="0" borderId="41" xfId="0" applyFont="1" applyBorder="1" applyAlignment="1">
      <alignment horizontal="left" vertical="center" wrapText="1"/>
    </xf>
    <xf numFmtId="0" fontId="31" fillId="15" borderId="41" xfId="0" applyFont="1" applyFill="1" applyBorder="1" applyAlignment="1">
      <alignment horizontal="center" vertical="center" wrapText="1"/>
    </xf>
    <xf numFmtId="16" fontId="37" fillId="0" borderId="0" xfId="0" applyNumberFormat="1" applyFont="1" applyAlignment="1">
      <alignment horizontal="right" vertical="center"/>
    </xf>
    <xf numFmtId="0" fontId="4" fillId="2" borderId="41" xfId="0" applyFont="1" applyFill="1" applyBorder="1"/>
    <xf numFmtId="0" fontId="5" fillId="16" borderId="41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left" vertical="center" wrapText="1" indent="2"/>
    </xf>
    <xf numFmtId="0" fontId="15" fillId="3" borderId="44" xfId="0" applyFont="1" applyFill="1" applyBorder="1" applyAlignment="1">
      <alignment horizontal="left" vertical="center" wrapText="1" indent="2"/>
    </xf>
    <xf numFmtId="0" fontId="15" fillId="3" borderId="43" xfId="0" applyFont="1" applyFill="1" applyBorder="1" applyAlignment="1">
      <alignment horizontal="left" vertical="center" wrapText="1" indent="2"/>
    </xf>
    <xf numFmtId="0" fontId="15" fillId="3" borderId="45" xfId="0" applyFont="1" applyFill="1" applyBorder="1" applyAlignment="1">
      <alignment horizontal="left" vertical="center" wrapText="1" indent="2"/>
    </xf>
    <xf numFmtId="0" fontId="15" fillId="3" borderId="46" xfId="0" applyFont="1" applyFill="1" applyBorder="1" applyAlignment="1">
      <alignment horizontal="left" vertical="center" wrapText="1" indent="2"/>
    </xf>
    <xf numFmtId="0" fontId="15" fillId="3" borderId="0" xfId="0" applyFont="1" applyFill="1" applyAlignment="1">
      <alignment horizontal="left" vertical="center" wrapText="1" indent="2"/>
    </xf>
    <xf numFmtId="0" fontId="15" fillId="3" borderId="47" xfId="0" applyFont="1" applyFill="1" applyBorder="1" applyAlignment="1">
      <alignment horizontal="left" vertical="center" wrapText="1" indent="2"/>
    </xf>
    <xf numFmtId="0" fontId="15" fillId="3" borderId="48" xfId="0" applyFont="1" applyFill="1" applyBorder="1" applyAlignment="1">
      <alignment horizontal="left" vertical="center" wrapText="1" indent="2"/>
    </xf>
    <xf numFmtId="0" fontId="15" fillId="3" borderId="49" xfId="0" applyFont="1" applyFill="1" applyBorder="1" applyAlignment="1">
      <alignment horizontal="left" vertical="center" wrapText="1" indent="2"/>
    </xf>
    <xf numFmtId="0" fontId="15" fillId="3" borderId="50" xfId="0" applyFont="1" applyFill="1" applyBorder="1" applyAlignment="1">
      <alignment horizontal="left" vertical="center" wrapText="1" indent="2"/>
    </xf>
    <xf numFmtId="0" fontId="5" fillId="2" borderId="41" xfId="0" applyFont="1" applyFill="1" applyBorder="1" applyAlignment="1">
      <alignment horizontal="center" vertical="center" wrapText="1"/>
    </xf>
    <xf numFmtId="0" fontId="15" fillId="0" borderId="41" xfId="0" applyFont="1" applyBorder="1" applyAlignment="1">
      <alignment horizontal="left" vertical="center" wrapText="1" indent="1"/>
    </xf>
    <xf numFmtId="0" fontId="15" fillId="3" borderId="41" xfId="0" applyFont="1" applyFill="1" applyBorder="1" applyAlignment="1">
      <alignment horizontal="left" vertical="center" wrapText="1" indent="1"/>
    </xf>
    <xf numFmtId="0" fontId="24" fillId="5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5" fillId="5" borderId="22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4" fillId="5" borderId="30" xfId="0" applyFont="1" applyFill="1" applyBorder="1" applyAlignment="1">
      <alignment horizontal="center" vertical="center"/>
    </xf>
    <xf numFmtId="0" fontId="15" fillId="5" borderId="31" xfId="0" applyFont="1" applyFill="1" applyBorder="1" applyAlignment="1">
      <alignment horizontal="center" vertical="center"/>
    </xf>
    <xf numFmtId="0" fontId="15" fillId="5" borderId="32" xfId="0" applyFont="1" applyFill="1" applyBorder="1" applyAlignment="1">
      <alignment horizontal="center" vertical="center"/>
    </xf>
    <xf numFmtId="0" fontId="4" fillId="12" borderId="16" xfId="0" applyFont="1" applyFill="1" applyBorder="1" applyAlignment="1">
      <alignment horizontal="left" vertical="center"/>
    </xf>
    <xf numFmtId="0" fontId="4" fillId="12" borderId="21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17"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993366"/>
        </patternFill>
      </fill>
    </dxf>
  </dxfs>
  <tableStyles count="0" defaultTableStyle="TableStyleMedium2" defaultPivotStyle="PivotStyleLight16"/>
  <colors>
    <mruColors>
      <color rgb="FFE6AC00"/>
      <color rgb="FFFFDDDD"/>
      <color rgb="FFFFE084"/>
      <color rgb="FF62B967"/>
      <color rgb="FF993366"/>
      <color rgb="FF13868C"/>
      <color rgb="FFC00000"/>
      <color rgb="FF1CC6CE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LT-GD_Plano_Fase2_22mai_v1.0.xlsx]Aux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E6AC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Gráficos'!$F$5:$F$9</c:f>
              <c:strCache>
                <c:ptCount val="5"/>
                <c:pt idx="0">
                  <c:v>1. Concluído</c:v>
                </c:pt>
                <c:pt idx="1">
                  <c:v>2. Em Teste</c:v>
                </c:pt>
                <c:pt idx="2">
                  <c:v>6. Por Iniciar</c:v>
                </c:pt>
                <c:pt idx="3">
                  <c:v>7. Por Entregar</c:v>
                </c:pt>
                <c:pt idx="4">
                  <c:v>3. Em Re-especificação</c:v>
                </c:pt>
              </c:strCache>
            </c:strRef>
          </c:cat>
          <c:val>
            <c:numRef>
              <c:f>'Aux Gráficos'!$G$5:$G$9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10</c:v>
                </c:pt>
                <c:pt idx="3">
                  <c:v>21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LT-GD_Plano_Fase2_22mai_v1.0.xlsx]Aux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E08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Gráficos'!$F$19:$F$20</c:f>
              <c:strCache>
                <c:ptCount val="2"/>
                <c:pt idx="0">
                  <c:v>2. Em Teste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Gráficos'!$G$19:$G$20</c:f>
              <c:numCache>
                <c:formatCode>General</c:formatCode>
                <c:ptCount val="2"/>
                <c:pt idx="0">
                  <c:v>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[CdG_Testes LT-GD_Plano_Fase2_22mai_v1.0.xlsx]Aux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Gráficos'!$F$27:$F$28</c:f>
              <c:strCache>
                <c:ptCount val="2"/>
                <c:pt idx="0">
                  <c:v>6. Por Iniciar</c:v>
                </c:pt>
                <c:pt idx="1">
                  <c:v>7. Por Entregar</c:v>
                </c:pt>
              </c:strCache>
            </c:strRef>
          </c:cat>
          <c:val>
            <c:numRef>
              <c:f>'Aux Gráficos'!$G$27:$G$28</c:f>
              <c:numCache>
                <c:formatCode>General</c:formatCode>
                <c:ptCount val="2"/>
                <c:pt idx="0">
                  <c:v>5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168115</xdr:colOff>
      <xdr:row>1</xdr:row>
      <xdr:rowOff>2312</xdr:rowOff>
    </xdr:from>
    <xdr:to>
      <xdr:col>2</xdr:col>
      <xdr:colOff>1050978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925" y="206320"/>
          <a:ext cx="1434466" cy="326603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46</xdr:row>
      <xdr:rowOff>0</xdr:rowOff>
    </xdr:from>
    <xdr:to>
      <xdr:col>6</xdr:col>
      <xdr:colOff>542925</xdr:colOff>
      <xdr:row>46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31</xdr:row>
      <xdr:rowOff>169070</xdr:rowOff>
    </xdr:from>
    <xdr:to>
      <xdr:col>5</xdr:col>
      <xdr:colOff>0</xdr:colOff>
      <xdr:row>41</xdr:row>
      <xdr:rowOff>174515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48</xdr:row>
      <xdr:rowOff>186690</xdr:rowOff>
    </xdr:from>
    <xdr:to>
      <xdr:col>5</xdr:col>
      <xdr:colOff>0</xdr:colOff>
      <xdr:row>58</xdr:row>
      <xdr:rowOff>207375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33</xdr:row>
      <xdr:rowOff>60413</xdr:rowOff>
    </xdr:from>
    <xdr:to>
      <xdr:col>5</xdr:col>
      <xdr:colOff>627722</xdr:colOff>
      <xdr:row>39</xdr:row>
      <xdr:rowOff>169588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GrpSpPr/>
      </xdr:nvGrpSpPr>
      <xdr:grpSpPr>
        <a:xfrm>
          <a:off x="4523075" y="5729693"/>
          <a:ext cx="112767" cy="1435055"/>
          <a:chOff x="4676745" y="3155403"/>
          <a:chExt cx="120387" cy="1450295"/>
        </a:xfrm>
      </xdr:grpSpPr>
      <xdr:sp macro="" textlink="">
        <xdr:nvSpPr>
          <xdr:cNvPr id="3" name="Oval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" name="Oval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2" name="Oval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3" name="Oval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2" name="Oval 31">
            <a:extLst>
              <a:ext uri="{FF2B5EF4-FFF2-40B4-BE49-F238E27FC236}">
                <a16:creationId xmlns:a16="http://schemas.microsoft.com/office/drawing/2014/main" id="{00000000-0008-0000-0100-000020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514955</xdr:colOff>
      <xdr:row>50</xdr:row>
      <xdr:rowOff>59690</xdr:rowOff>
    </xdr:from>
    <xdr:to>
      <xdr:col>5</xdr:col>
      <xdr:colOff>627722</xdr:colOff>
      <xdr:row>56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23075" y="9310370"/>
          <a:ext cx="112767" cy="144077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67</xdr:row>
      <xdr:rowOff>55880</xdr:rowOff>
    </xdr:from>
    <xdr:to>
      <xdr:col>5</xdr:col>
      <xdr:colOff>631532</xdr:colOff>
      <xdr:row>74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19265" y="12887960"/>
          <a:ext cx="120387" cy="1492417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66</xdr:row>
      <xdr:rowOff>22225</xdr:rowOff>
    </xdr:from>
    <xdr:to>
      <xdr:col>5</xdr:col>
      <xdr:colOff>71978</xdr:colOff>
      <xdr:row>76</xdr:row>
      <xdr:rowOff>51840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799.462591087962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5">
        <s v="2. Em Teste"/>
        <s v="6. Por Iniciar"/>
        <s v="3. Em Re-especificação"/>
        <s v="7. Por Entregar"/>
        <s v="1. 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0"/>
  </r>
  <r>
    <x v="0"/>
    <x v="2"/>
    <x v="1"/>
  </r>
  <r>
    <x v="0"/>
    <x v="3"/>
    <x v="0"/>
  </r>
  <r>
    <x v="0"/>
    <x v="4"/>
    <x v="0"/>
  </r>
  <r>
    <x v="0"/>
    <x v="5"/>
    <x v="1"/>
  </r>
  <r>
    <x v="0"/>
    <x v="6"/>
    <x v="2"/>
  </r>
  <r>
    <x v="0"/>
    <x v="7"/>
    <x v="3"/>
  </r>
  <r>
    <x v="0"/>
    <x v="8"/>
    <x v="1"/>
  </r>
  <r>
    <x v="0"/>
    <x v="9"/>
    <x v="0"/>
  </r>
  <r>
    <x v="0"/>
    <x v="10"/>
    <x v="1"/>
  </r>
  <r>
    <x v="0"/>
    <x v="11"/>
    <x v="1"/>
  </r>
  <r>
    <x v="0"/>
    <x v="12"/>
    <x v="1"/>
  </r>
  <r>
    <x v="0"/>
    <x v="13"/>
    <x v="1"/>
  </r>
  <r>
    <x v="0"/>
    <x v="14"/>
    <x v="1"/>
  </r>
  <r>
    <x v="0"/>
    <x v="15"/>
    <x v="0"/>
  </r>
  <r>
    <x v="0"/>
    <x v="16"/>
    <x v="1"/>
  </r>
  <r>
    <x v="0"/>
    <x v="17"/>
    <x v="0"/>
  </r>
  <r>
    <x v="0"/>
    <x v="18"/>
    <x v="0"/>
  </r>
  <r>
    <x v="0"/>
    <x v="19"/>
    <x v="3"/>
  </r>
  <r>
    <x v="0"/>
    <x v="20"/>
    <x v="0"/>
  </r>
  <r>
    <x v="0"/>
    <x v="21"/>
    <x v="3"/>
  </r>
  <r>
    <x v="0"/>
    <x v="22"/>
    <x v="4"/>
  </r>
  <r>
    <x v="0"/>
    <x v="23"/>
    <x v="4"/>
  </r>
  <r>
    <x v="0"/>
    <x v="24"/>
    <x v="4"/>
  </r>
  <r>
    <x v="0"/>
    <x v="25"/>
    <x v="4"/>
  </r>
  <r>
    <x v="0"/>
    <x v="26"/>
    <x v="4"/>
  </r>
  <r>
    <x v="0"/>
    <x v="27"/>
    <x v="4"/>
  </r>
  <r>
    <x v="0"/>
    <x v="28"/>
    <x v="4"/>
  </r>
  <r>
    <x v="0"/>
    <x v="29"/>
    <x v="4"/>
  </r>
  <r>
    <x v="0"/>
    <x v="30"/>
    <x v="3"/>
  </r>
  <r>
    <x v="0"/>
    <x v="31"/>
    <x v="3"/>
  </r>
  <r>
    <x v="0"/>
    <x v="32"/>
    <x v="3"/>
  </r>
  <r>
    <x v="0"/>
    <x v="33"/>
    <x v="3"/>
  </r>
  <r>
    <x v="0"/>
    <x v="34"/>
    <x v="3"/>
  </r>
  <r>
    <x v="0"/>
    <x v="35"/>
    <x v="4"/>
  </r>
  <r>
    <x v="0"/>
    <x v="36"/>
    <x v="3"/>
  </r>
  <r>
    <x v="0"/>
    <x v="37"/>
    <x v="3"/>
  </r>
  <r>
    <x v="0"/>
    <x v="38"/>
    <x v="3"/>
  </r>
  <r>
    <x v="0"/>
    <x v="39"/>
    <x v="3"/>
  </r>
  <r>
    <x v="0"/>
    <x v="40"/>
    <x v="3"/>
  </r>
  <r>
    <x v="0"/>
    <x v="41"/>
    <x v="3"/>
  </r>
  <r>
    <x v="0"/>
    <x v="42"/>
    <x v="3"/>
  </r>
  <r>
    <x v="0"/>
    <x v="43"/>
    <x v="3"/>
  </r>
  <r>
    <x v="0"/>
    <x v="44"/>
    <x v="3"/>
  </r>
  <r>
    <x v="0"/>
    <x v="45"/>
    <x v="3"/>
  </r>
  <r>
    <x v="0"/>
    <x v="46"/>
    <x v="3"/>
  </r>
  <r>
    <x v="0"/>
    <x v="47"/>
    <x v="1"/>
  </r>
  <r>
    <x v="0"/>
    <x v="48"/>
    <x v="3"/>
  </r>
  <r>
    <x v="0"/>
    <x v="49"/>
    <x v="3"/>
  </r>
  <r>
    <x v="0"/>
    <x v="50"/>
    <x v="2"/>
  </r>
  <r>
    <x v="0"/>
    <x v="51"/>
    <x v="0"/>
  </r>
  <r>
    <x v="1"/>
    <x v="0"/>
    <x v="4"/>
  </r>
  <r>
    <x v="1"/>
    <x v="33"/>
    <x v="3"/>
  </r>
  <r>
    <x v="1"/>
    <x v="35"/>
    <x v="3"/>
  </r>
  <r>
    <x v="1"/>
    <x v="52"/>
    <x v="3"/>
  </r>
  <r>
    <x v="1"/>
    <x v="53"/>
    <x v="3"/>
  </r>
  <r>
    <x v="1"/>
    <x v="54"/>
    <x v="3"/>
  </r>
  <r>
    <x v="1"/>
    <x v="55"/>
    <x v="0"/>
  </r>
  <r>
    <x v="1"/>
    <x v="56"/>
    <x v="3"/>
  </r>
  <r>
    <x v="2"/>
    <x v="0"/>
    <x v="3"/>
  </r>
  <r>
    <x v="2"/>
    <x v="33"/>
    <x v="3"/>
  </r>
  <r>
    <x v="2"/>
    <x v="35"/>
    <x v="3"/>
  </r>
  <r>
    <x v="2"/>
    <x v="51"/>
    <x v="3"/>
  </r>
  <r>
    <x v="2"/>
    <x v="52"/>
    <x v="3"/>
  </r>
  <r>
    <x v="2"/>
    <x v="57"/>
    <x v="3"/>
  </r>
  <r>
    <x v="3"/>
    <x v="0"/>
    <x v="1"/>
  </r>
  <r>
    <x v="3"/>
    <x v="58"/>
    <x v="1"/>
  </r>
  <r>
    <x v="3"/>
    <x v="59"/>
    <x v="3"/>
  </r>
  <r>
    <x v="3"/>
    <x v="60"/>
    <x v="1"/>
  </r>
  <r>
    <x v="3"/>
    <x v="33"/>
    <x v="1"/>
  </r>
  <r>
    <x v="3"/>
    <x v="35"/>
    <x v="1"/>
  </r>
  <r>
    <x v="3"/>
    <x v="5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4:G9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4">
  <location ref="F18:G20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2">
    <i>
      <x v="1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6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5">
  <location ref="F26:G28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6">
        <item x="4"/>
        <item x="0"/>
        <item x="1"/>
        <item x="3"/>
        <item x="2"/>
        <item t="default"/>
      </items>
    </pivotField>
  </pivotFields>
  <rowFields count="1">
    <field x="2"/>
  </rowFields>
  <rowItems count="2">
    <i>
      <x v="2"/>
    </i>
    <i>
      <x v="3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93"/>
  <sheetViews>
    <sheetView showGridLines="0" tabSelected="1" topLeftCell="A41" zoomScaleNormal="100" workbookViewId="0">
      <selection activeCell="I34" sqref="I34"/>
    </sheetView>
  </sheetViews>
  <sheetFormatPr defaultColWidth="0" defaultRowHeight="13.8" zeroHeight="1"/>
  <cols>
    <col min="1" max="2" width="4" style="94" customWidth="1"/>
    <col min="3" max="3" width="26.88671875" style="94" customWidth="1"/>
    <col min="4" max="12" width="11.77734375" style="94" customWidth="1"/>
    <col min="13" max="18" width="13.33203125" style="94" customWidth="1"/>
    <col min="19" max="20" width="4" style="94" customWidth="1"/>
    <col min="21" max="27" width="4" style="94" hidden="1" customWidth="1"/>
    <col min="28" max="16384" width="9.5546875" style="94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</row>
    <row r="6" spans="1:50"/>
    <row r="7" spans="1:50">
      <c r="B7" s="114" t="s">
        <v>239</v>
      </c>
    </row>
    <row r="8" spans="1:50" ht="6.9" customHeight="1"/>
    <row r="9" spans="1:50" ht="13.8" customHeight="1">
      <c r="B9" s="130"/>
      <c r="C9" s="131"/>
      <c r="D9" s="131"/>
      <c r="E9" s="131"/>
      <c r="F9" s="131"/>
      <c r="G9" s="131"/>
      <c r="H9" s="131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2"/>
    </row>
    <row r="10" spans="1:50" ht="13.8" customHeight="1">
      <c r="B10" s="139"/>
      <c r="C10" s="145" t="s">
        <v>251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48" t="s">
        <v>223</v>
      </c>
      <c r="O10" s="134"/>
      <c r="P10" s="134"/>
      <c r="Q10" s="134"/>
      <c r="R10" s="134"/>
      <c r="S10" s="135"/>
    </row>
    <row r="11" spans="1:50" ht="7.05" customHeight="1">
      <c r="B11" s="139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48"/>
      <c r="O11" s="134"/>
      <c r="P11" s="134"/>
      <c r="Q11" s="134"/>
      <c r="R11" s="134"/>
      <c r="S11" s="135"/>
    </row>
    <row r="12" spans="1:50" ht="15.6">
      <c r="B12" s="133"/>
      <c r="C12" s="134"/>
      <c r="D12" s="154" t="s">
        <v>242</v>
      </c>
      <c r="E12" s="154"/>
      <c r="F12" s="154"/>
      <c r="G12" s="155" t="s">
        <v>241</v>
      </c>
      <c r="H12" s="155"/>
      <c r="I12" s="155"/>
      <c r="J12" s="155" t="s">
        <v>244</v>
      </c>
      <c r="K12" s="155"/>
      <c r="L12" s="155"/>
      <c r="M12" s="134"/>
      <c r="N12" s="156" t="s">
        <v>246</v>
      </c>
      <c r="O12" s="156"/>
      <c r="P12" s="156"/>
      <c r="Q12" s="156"/>
      <c r="R12" s="156"/>
      <c r="S12" s="135"/>
    </row>
    <row r="13" spans="1:50">
      <c r="B13" s="133"/>
      <c r="C13" s="140" t="s">
        <v>76</v>
      </c>
      <c r="D13" s="144" t="s">
        <v>240</v>
      </c>
      <c r="E13" s="144" t="s">
        <v>207</v>
      </c>
      <c r="F13" s="144" t="s">
        <v>238</v>
      </c>
      <c r="G13" s="143" t="s">
        <v>240</v>
      </c>
      <c r="H13" s="143" t="s">
        <v>207</v>
      </c>
      <c r="I13" s="143" t="s">
        <v>238</v>
      </c>
      <c r="J13" s="143" t="s">
        <v>240</v>
      </c>
      <c r="K13" s="143" t="s">
        <v>207</v>
      </c>
      <c r="L13" s="143" t="s">
        <v>238</v>
      </c>
      <c r="M13" s="134"/>
      <c r="N13" s="156"/>
      <c r="O13" s="156"/>
      <c r="P13" s="156"/>
      <c r="Q13" s="156"/>
      <c r="R13" s="156"/>
      <c r="S13" s="135"/>
    </row>
    <row r="14" spans="1:50">
      <c r="B14" s="133"/>
      <c r="C14" s="141" t="s">
        <v>0</v>
      </c>
      <c r="D14" s="146">
        <v>18</v>
      </c>
      <c r="E14" s="146">
        <v>18</v>
      </c>
      <c r="F14" s="146">
        <f>E14-D14</f>
        <v>0</v>
      </c>
      <c r="G14" s="146">
        <v>12</v>
      </c>
      <c r="H14" s="146">
        <v>12</v>
      </c>
      <c r="I14" s="146">
        <f t="shared" ref="I14:I17" si="0">H14-G14</f>
        <v>0</v>
      </c>
      <c r="J14" s="146">
        <v>13</v>
      </c>
      <c r="K14" s="146" t="s">
        <v>245</v>
      </c>
      <c r="L14" s="146" t="s">
        <v>245</v>
      </c>
      <c r="M14" s="134"/>
      <c r="N14" s="156"/>
      <c r="O14" s="156"/>
      <c r="P14" s="156"/>
      <c r="Q14" s="156"/>
      <c r="R14" s="156"/>
      <c r="S14" s="135"/>
    </row>
    <row r="15" spans="1:50">
      <c r="B15" s="133"/>
      <c r="C15" s="141" t="s">
        <v>52</v>
      </c>
      <c r="D15" s="146">
        <v>1</v>
      </c>
      <c r="E15" s="146">
        <v>1</v>
      </c>
      <c r="F15" s="146">
        <f>E15-D15</f>
        <v>0</v>
      </c>
      <c r="G15" s="146">
        <v>0</v>
      </c>
      <c r="H15" s="146">
        <v>0</v>
      </c>
      <c r="I15" s="146">
        <f t="shared" si="0"/>
        <v>0</v>
      </c>
      <c r="J15" s="146">
        <v>6</v>
      </c>
      <c r="K15" s="146" t="s">
        <v>245</v>
      </c>
      <c r="L15" s="146" t="s">
        <v>245</v>
      </c>
      <c r="M15" s="134"/>
      <c r="N15" s="156"/>
      <c r="O15" s="156"/>
      <c r="P15" s="156"/>
      <c r="Q15" s="156"/>
      <c r="R15" s="156"/>
      <c r="S15" s="135"/>
    </row>
    <row r="16" spans="1:50">
      <c r="B16" s="133"/>
      <c r="C16" s="141" t="s">
        <v>58</v>
      </c>
      <c r="D16" s="146">
        <v>0</v>
      </c>
      <c r="E16" s="146">
        <v>0</v>
      </c>
      <c r="F16" s="146">
        <f>E16-D16</f>
        <v>0</v>
      </c>
      <c r="G16" s="146">
        <v>0</v>
      </c>
      <c r="H16" s="146">
        <v>0</v>
      </c>
      <c r="I16" s="146">
        <f t="shared" si="0"/>
        <v>0</v>
      </c>
      <c r="J16" s="146">
        <v>5</v>
      </c>
      <c r="K16" s="146" t="s">
        <v>245</v>
      </c>
      <c r="L16" s="146" t="s">
        <v>245</v>
      </c>
      <c r="M16" s="134"/>
      <c r="N16" s="156"/>
      <c r="O16" s="156"/>
      <c r="P16" s="156"/>
      <c r="Q16" s="156"/>
      <c r="R16" s="156"/>
      <c r="S16" s="135"/>
    </row>
    <row r="17" spans="2:19">
      <c r="B17" s="133"/>
      <c r="C17" s="141" t="s">
        <v>60</v>
      </c>
      <c r="D17" s="146">
        <v>5</v>
      </c>
      <c r="E17" s="146">
        <v>5</v>
      </c>
      <c r="F17" s="146">
        <f>E17-D17</f>
        <v>0</v>
      </c>
      <c r="G17" s="146">
        <v>0</v>
      </c>
      <c r="H17" s="146">
        <v>0</v>
      </c>
      <c r="I17" s="146">
        <f t="shared" si="0"/>
        <v>0</v>
      </c>
      <c r="J17" s="146">
        <v>1</v>
      </c>
      <c r="K17" s="146" t="s">
        <v>245</v>
      </c>
      <c r="L17" s="146" t="s">
        <v>245</v>
      </c>
      <c r="M17" s="134"/>
      <c r="N17" s="156"/>
      <c r="O17" s="156"/>
      <c r="P17" s="156"/>
      <c r="Q17" s="156"/>
      <c r="R17" s="156"/>
      <c r="S17" s="135"/>
    </row>
    <row r="18" spans="2:19">
      <c r="B18" s="133"/>
      <c r="C18" s="142" t="s">
        <v>224</v>
      </c>
      <c r="D18" s="144">
        <f>SUM(D14:D17)</f>
        <v>24</v>
      </c>
      <c r="E18" s="144">
        <f t="shared" ref="E18:I18" si="1">SUM(E14:E17)</f>
        <v>24</v>
      </c>
      <c r="F18" s="144">
        <f t="shared" si="1"/>
        <v>0</v>
      </c>
      <c r="G18" s="144">
        <f t="shared" si="1"/>
        <v>12</v>
      </c>
      <c r="H18" s="144">
        <f t="shared" si="1"/>
        <v>12</v>
      </c>
      <c r="I18" s="144">
        <f t="shared" si="1"/>
        <v>0</v>
      </c>
      <c r="J18" s="144">
        <f t="shared" ref="J18" si="2">SUM(J14:J17)</f>
        <v>25</v>
      </c>
      <c r="K18" s="144">
        <f t="shared" ref="K18" si="3">SUM(K14:K17)</f>
        <v>0</v>
      </c>
      <c r="L18" s="144">
        <f t="shared" ref="L18" si="4">SUM(L14:L17)</f>
        <v>0</v>
      </c>
      <c r="M18" s="134"/>
      <c r="N18" s="156"/>
      <c r="O18" s="156"/>
      <c r="P18" s="156"/>
      <c r="Q18" s="156"/>
      <c r="R18" s="156"/>
      <c r="S18" s="135"/>
    </row>
    <row r="19" spans="2:19" ht="7.05" customHeight="1">
      <c r="B19" s="133"/>
      <c r="C19" s="134"/>
      <c r="D19" s="134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5"/>
    </row>
    <row r="20" spans="2:19">
      <c r="B20" s="133"/>
      <c r="C20" s="147" t="s">
        <v>243</v>
      </c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5"/>
    </row>
    <row r="21" spans="2:19">
      <c r="B21" s="133"/>
      <c r="C21" s="147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5"/>
    </row>
    <row r="22" spans="2:19">
      <c r="B22" s="133"/>
      <c r="C22" s="145" t="s">
        <v>252</v>
      </c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5"/>
    </row>
    <row r="23" spans="2:19" ht="7.05" customHeight="1">
      <c r="B23" s="133"/>
      <c r="C23" s="145"/>
      <c r="D23" s="134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5"/>
    </row>
    <row r="24" spans="2:19">
      <c r="B24" s="133"/>
      <c r="C24" s="140" t="s">
        <v>247</v>
      </c>
      <c r="D24" s="166" t="s">
        <v>248</v>
      </c>
      <c r="E24" s="166"/>
      <c r="F24" s="166"/>
      <c r="G24" s="166"/>
      <c r="H24" s="166"/>
      <c r="I24" s="166"/>
      <c r="J24" s="166"/>
      <c r="K24" s="166"/>
      <c r="L24" s="166"/>
      <c r="M24" s="149" t="s">
        <v>82</v>
      </c>
      <c r="N24" s="134"/>
      <c r="O24" s="134"/>
      <c r="P24" s="134"/>
      <c r="Q24" s="134"/>
      <c r="R24" s="134"/>
      <c r="S24" s="135"/>
    </row>
    <row r="25" spans="2:19" ht="15" customHeight="1">
      <c r="B25" s="133"/>
      <c r="C25" s="150" t="s">
        <v>249</v>
      </c>
      <c r="D25" s="167" t="s">
        <v>256</v>
      </c>
      <c r="E25" s="167"/>
      <c r="F25" s="167"/>
      <c r="G25" s="167"/>
      <c r="H25" s="167"/>
      <c r="I25" s="167"/>
      <c r="J25" s="167"/>
      <c r="K25" s="167"/>
      <c r="L25" s="167"/>
      <c r="M25" s="151" t="s">
        <v>250</v>
      </c>
      <c r="N25" s="134"/>
      <c r="O25" s="134"/>
      <c r="P25" s="134"/>
      <c r="Q25" s="134"/>
      <c r="R25" s="134"/>
      <c r="S25" s="135"/>
    </row>
    <row r="26" spans="2:19" ht="26.4">
      <c r="B26" s="133"/>
      <c r="C26" s="150" t="s">
        <v>258</v>
      </c>
      <c r="D26" s="167" t="s">
        <v>253</v>
      </c>
      <c r="E26" s="167"/>
      <c r="F26" s="167"/>
      <c r="G26" s="167"/>
      <c r="H26" s="167"/>
      <c r="I26" s="167"/>
      <c r="J26" s="167"/>
      <c r="K26" s="167"/>
      <c r="L26" s="167"/>
      <c r="M26" s="151" t="s">
        <v>250</v>
      </c>
      <c r="N26" s="134"/>
      <c r="O26" s="134"/>
      <c r="P26" s="134"/>
      <c r="Q26" s="134"/>
      <c r="R26" s="134"/>
      <c r="S26" s="135"/>
    </row>
    <row r="27" spans="2:19" ht="15" customHeight="1">
      <c r="B27" s="133"/>
      <c r="C27" s="150" t="s">
        <v>254</v>
      </c>
      <c r="D27" s="167" t="s">
        <v>255</v>
      </c>
      <c r="E27" s="167"/>
      <c r="F27" s="167"/>
      <c r="G27" s="167"/>
      <c r="H27" s="167"/>
      <c r="I27" s="167"/>
      <c r="J27" s="167"/>
      <c r="K27" s="167"/>
      <c r="L27" s="167"/>
      <c r="M27" s="151" t="s">
        <v>250</v>
      </c>
      <c r="N27" s="134"/>
      <c r="O27" s="134"/>
      <c r="P27" s="134"/>
      <c r="Q27" s="134"/>
      <c r="R27" s="134"/>
      <c r="S27" s="135"/>
    </row>
    <row r="28" spans="2:19">
      <c r="B28" s="136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8"/>
    </row>
    <row r="29" spans="2:19"/>
    <row r="30" spans="2:19" ht="18" customHeight="1">
      <c r="B30" s="169" t="s">
        <v>225</v>
      </c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</row>
    <row r="31" spans="2:19" ht="6.9" customHeight="1">
      <c r="G31" s="111"/>
    </row>
    <row r="32" spans="2:19" ht="17.399999999999999" customHeight="1">
      <c r="B32" s="95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</row>
    <row r="33" spans="2:19" ht="17.399999999999999" customHeight="1">
      <c r="B33" s="98"/>
      <c r="C33" s="99" t="s">
        <v>222</v>
      </c>
      <c r="G33" s="115" t="s">
        <v>232</v>
      </c>
      <c r="H33" s="115"/>
      <c r="I33" s="126">
        <v>45799</v>
      </c>
      <c r="J33" s="126">
        <v>45792</v>
      </c>
      <c r="K33" s="127" t="s">
        <v>238</v>
      </c>
      <c r="M33" s="112" t="s">
        <v>223</v>
      </c>
      <c r="S33" s="100"/>
    </row>
    <row r="34" spans="2:19" ht="17.399999999999999" customHeight="1">
      <c r="B34" s="98"/>
      <c r="G34" s="107" t="s">
        <v>83</v>
      </c>
      <c r="I34" s="107">
        <f>COUNTIFS('Detalhe Entregas e Status'!$I:$I,'Status Resumo'!G34,'Detalhe Entregas e Status'!$B:$B,"lt002_instrument",'Detalhe Entregas e Status'!$C:$C,"&lt;&gt;"&amp;"UNIVERSO")</f>
        <v>9</v>
      </c>
      <c r="J34" s="107">
        <f>COUNTIFS('Detalhe Entregas e Status'!$J:$J,'Status Resumo'!G34,'Detalhe Entregas e Status'!$B:$B,"lt002_instrument",'Detalhe Entregas e Status'!$C:$C,"&lt;&gt;"&amp;"UNIVERSO")</f>
        <v>0</v>
      </c>
      <c r="K34" s="128" t="str">
        <f>IF(I34-J34=0,"-",IF(I34-J34&gt;0,_xlfn.CONCAT("+ ",I34-J34),_xlfn.CONCAT("- ",J34-I34)))</f>
        <v>+ 9</v>
      </c>
      <c r="M34" s="157" t="s">
        <v>262</v>
      </c>
      <c r="N34" s="158"/>
      <c r="O34" s="158"/>
      <c r="P34" s="158"/>
      <c r="Q34" s="158"/>
      <c r="R34" s="159"/>
      <c r="S34" s="100"/>
    </row>
    <row r="35" spans="2:19" ht="17.399999999999999" customHeight="1">
      <c r="B35" s="98"/>
      <c r="G35" s="107" t="s">
        <v>86</v>
      </c>
      <c r="I35" s="107">
        <f>COUNTIFS('Detalhe Entregas e Status'!$I:$I,'Status Resumo'!G35,'Detalhe Entregas e Status'!$B:$B,"lt002_instrument",'Detalhe Entregas e Status'!$C:$C,"&lt;&gt;"&amp;"UNIVERSO")</f>
        <v>9</v>
      </c>
      <c r="J35" s="107">
        <f>COUNTIFS('Detalhe Entregas e Status'!$J:$J,'Status Resumo'!G35,'Detalhe Entregas e Status'!$B:$B,"lt002_instrument",'Detalhe Entregas e Status'!$C:$C,"&lt;&gt;"&amp;"UNIVERSO")</f>
        <v>1</v>
      </c>
      <c r="K35" s="128" t="str">
        <f t="shared" ref="K35:K40" si="5">IF(I35-J35=0,"-",IF(I35-J35&gt;0,_xlfn.CONCAT("+ ",I35-J35),_xlfn.CONCAT("- ",J35-I35)))</f>
        <v>+ 8</v>
      </c>
      <c r="M35" s="160"/>
      <c r="N35" s="161"/>
      <c r="O35" s="161"/>
      <c r="P35" s="161"/>
      <c r="Q35" s="161"/>
      <c r="R35" s="162"/>
      <c r="S35" s="100"/>
    </row>
    <row r="36" spans="2:19" ht="17.399999999999999" customHeight="1">
      <c r="B36" s="98"/>
      <c r="G36" s="107" t="s">
        <v>84</v>
      </c>
      <c r="I36" s="107">
        <f>COUNTIFS('Detalhe Entregas e Status'!$I:$I,'Status Resumo'!G36,'Detalhe Entregas e Status'!$B:$B,"lt002_instrument",'Detalhe Entregas e Status'!$C:$C,"&lt;&gt;"&amp;"UNIVERSO")</f>
        <v>2</v>
      </c>
      <c r="J36" s="107">
        <f>COUNTIFS('Detalhe Entregas e Status'!$J:$J,'Status Resumo'!G36,'Detalhe Entregas e Status'!$B:$B,"lt002_instrument",'Detalhe Entregas e Status'!$C:$C,"&lt;&gt;"&amp;"UNIVERSO")</f>
        <v>0</v>
      </c>
      <c r="K36" s="128" t="str">
        <f t="shared" si="5"/>
        <v>+ 2</v>
      </c>
      <c r="M36" s="160"/>
      <c r="N36" s="161"/>
      <c r="O36" s="161"/>
      <c r="P36" s="161"/>
      <c r="Q36" s="161"/>
      <c r="R36" s="162"/>
      <c r="S36" s="100"/>
    </row>
    <row r="37" spans="2:19" ht="17.399999999999999" customHeight="1">
      <c r="B37" s="98"/>
      <c r="D37" s="101"/>
      <c r="E37" s="101"/>
      <c r="G37" s="107" t="s">
        <v>85</v>
      </c>
      <c r="I37" s="107">
        <f>COUNTIFS('Detalhe Entregas e Status'!$I:$I,'Status Resumo'!G37,'Detalhe Entregas e Status'!$B:$B,"lt002_instrument",'Detalhe Entregas e Status'!$C:$C,"&lt;&gt;"&amp;"UNIVERSO")</f>
        <v>0</v>
      </c>
      <c r="J37" s="107">
        <f>COUNTIFS('Detalhe Entregas e Status'!$J:$J,'Status Resumo'!G37,'Detalhe Entregas e Status'!$B:$B,"lt002_instrument",'Detalhe Entregas e Status'!$C:$C,"&lt;&gt;"&amp;"UNIVERSO")</f>
        <v>0</v>
      </c>
      <c r="K37" s="128" t="str">
        <f t="shared" si="5"/>
        <v>-</v>
      </c>
      <c r="M37" s="160"/>
      <c r="N37" s="161"/>
      <c r="O37" s="161"/>
      <c r="P37" s="161"/>
      <c r="Q37" s="161"/>
      <c r="R37" s="162"/>
      <c r="S37" s="100"/>
    </row>
    <row r="38" spans="2:19" ht="17.399999999999999" customHeight="1">
      <c r="B38" s="98"/>
      <c r="D38" s="101"/>
      <c r="E38" s="101"/>
      <c r="G38" s="107" t="s">
        <v>91</v>
      </c>
      <c r="I38" s="107">
        <f>COUNTIFS('Detalhe Entregas e Status'!$I:$I,'Status Resumo'!G38,'Detalhe Entregas e Status'!$B:$B,"lt002_instrument",'Detalhe Entregas e Status'!$C:$C,"&lt;&gt;"&amp;"UNIVERSO")</f>
        <v>0</v>
      </c>
      <c r="J38" s="107">
        <f>COUNTIFS('Detalhe Entregas e Status'!$J:$J,'Status Resumo'!G38,'Detalhe Entregas e Status'!$B:$B,"lt002_instrument",'Detalhe Entregas e Status'!$C:$C,"&lt;&gt;"&amp;"UNIVERSO")</f>
        <v>0</v>
      </c>
      <c r="K38" s="128" t="str">
        <f t="shared" si="5"/>
        <v>-</v>
      </c>
      <c r="M38" s="160"/>
      <c r="N38" s="161"/>
      <c r="O38" s="161"/>
      <c r="P38" s="161"/>
      <c r="Q38" s="161"/>
      <c r="R38" s="162"/>
      <c r="S38" s="100"/>
    </row>
    <row r="39" spans="2:19" ht="17.399999999999999" customHeight="1">
      <c r="B39" s="98"/>
      <c r="D39" s="101"/>
      <c r="E39" s="101"/>
      <c r="G39" s="107" t="s">
        <v>93</v>
      </c>
      <c r="I39" s="107">
        <f>COUNTIFS('Detalhe Entregas e Status'!$I:$I,'Status Resumo'!G39,'Detalhe Entregas e Status'!$B:$B,"lt002_instrument",'Detalhe Entregas e Status'!$C:$C,"&lt;&gt;"&amp;"UNIVERSO")</f>
        <v>10</v>
      </c>
      <c r="J39" s="107">
        <f>COUNTIFS('Detalhe Entregas e Status'!$J:$J,'Status Resumo'!G39,'Detalhe Entregas e Status'!$B:$B,"lt002_instrument",'Detalhe Entregas e Status'!$C:$C,"&lt;&gt;"&amp;"UNIVERSO")</f>
        <v>17</v>
      </c>
      <c r="K39" s="128" t="str">
        <f t="shared" si="5"/>
        <v>- 7</v>
      </c>
      <c r="M39" s="160"/>
      <c r="N39" s="161"/>
      <c r="O39" s="161"/>
      <c r="P39" s="161"/>
      <c r="Q39" s="161"/>
      <c r="R39" s="162"/>
      <c r="S39" s="100"/>
    </row>
    <row r="40" spans="2:19" ht="17.399999999999999" customHeight="1">
      <c r="B40" s="98"/>
      <c r="G40" s="107" t="s">
        <v>234</v>
      </c>
      <c r="H40" s="115"/>
      <c r="I40" s="107">
        <f>COUNTIFS('Detalhe Entregas e Status'!$I:$I,'Status Resumo'!G40,'Detalhe Entregas e Status'!$B:$B,"lt002_instrument",'Detalhe Entregas e Status'!$C:$C,"&lt;&gt;"&amp;"UNIVERSO")</f>
        <v>21</v>
      </c>
      <c r="J40" s="107">
        <f>COUNTIFS('Detalhe Entregas e Status'!$J:$J,'Status Resumo'!G40,'Detalhe Entregas e Status'!$B:$B,"lt002_instrument",'Detalhe Entregas e Status'!$C:$C,"&lt;&gt;"&amp;"UNIVERSO")</f>
        <v>33</v>
      </c>
      <c r="K40" s="129" t="str">
        <f t="shared" si="5"/>
        <v>- 12</v>
      </c>
      <c r="M40" s="160"/>
      <c r="N40" s="161"/>
      <c r="O40" s="161"/>
      <c r="P40" s="161"/>
      <c r="Q40" s="161"/>
      <c r="R40" s="162"/>
      <c r="S40" s="100"/>
    </row>
    <row r="41" spans="2:19" ht="17.399999999999999" customHeight="1">
      <c r="B41" s="98"/>
      <c r="G41" s="108" t="s">
        <v>224</v>
      </c>
      <c r="I41" s="108">
        <f>SUM(I34:I40)</f>
        <v>51</v>
      </c>
      <c r="J41" s="108">
        <f>SUM(J34:J40)</f>
        <v>51</v>
      </c>
      <c r="K41" s="125"/>
      <c r="L41" s="102"/>
      <c r="M41" s="160"/>
      <c r="N41" s="161"/>
      <c r="O41" s="161"/>
      <c r="P41" s="161"/>
      <c r="Q41" s="161"/>
      <c r="R41" s="162"/>
      <c r="S41" s="100"/>
    </row>
    <row r="42" spans="2:19" ht="17.399999999999999" customHeight="1">
      <c r="B42" s="98"/>
      <c r="G42"/>
      <c r="H42"/>
      <c r="I42"/>
      <c r="J42"/>
      <c r="K42"/>
      <c r="L42" s="102"/>
      <c r="M42" s="160"/>
      <c r="N42" s="161"/>
      <c r="O42" s="161"/>
      <c r="P42" s="161"/>
      <c r="Q42" s="161"/>
      <c r="R42" s="162"/>
      <c r="S42" s="100"/>
    </row>
    <row r="43" spans="2:19" ht="17.399999999999999" customHeight="1">
      <c r="B43" s="98"/>
      <c r="G43" s="115" t="s">
        <v>231</v>
      </c>
      <c r="H43" s="115"/>
      <c r="I43" s="106">
        <v>45799</v>
      </c>
      <c r="J43" s="124"/>
      <c r="K43" s="124"/>
      <c r="L43" s="102"/>
      <c r="M43" s="160"/>
      <c r="N43" s="161"/>
      <c r="O43" s="161"/>
      <c r="P43" s="161"/>
      <c r="Q43" s="161"/>
      <c r="R43" s="162"/>
      <c r="S43" s="100"/>
    </row>
    <row r="44" spans="2:19" ht="17.399999999999999" customHeight="1">
      <c r="B44" s="98"/>
      <c r="G44" s="116" t="s">
        <v>0</v>
      </c>
      <c r="I44" s="117" t="s">
        <v>233</v>
      </c>
      <c r="J44" s="117"/>
      <c r="K44" s="117"/>
      <c r="L44" s="102"/>
      <c r="M44" s="163"/>
      <c r="N44" s="164"/>
      <c r="O44" s="164"/>
      <c r="P44" s="164"/>
      <c r="Q44" s="164"/>
      <c r="R44" s="165"/>
      <c r="S44" s="100"/>
    </row>
    <row r="45" spans="2:19" ht="17.399999999999999" customHeight="1">
      <c r="B45" s="103"/>
      <c r="C45" s="104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5"/>
    </row>
    <row r="46" spans="2:19"/>
    <row r="47" spans="2:19" ht="18" customHeight="1">
      <c r="B47" s="169" t="s">
        <v>228</v>
      </c>
      <c r="C47" s="169"/>
      <c r="D47" s="169"/>
      <c r="E47" s="169"/>
      <c r="F47" s="169"/>
      <c r="G47" s="169"/>
      <c r="H47" s="169"/>
      <c r="I47" s="169"/>
      <c r="J47" s="169"/>
      <c r="K47" s="169"/>
      <c r="L47" s="169"/>
      <c r="M47" s="169"/>
      <c r="N47" s="169"/>
      <c r="O47" s="169"/>
      <c r="P47" s="169"/>
      <c r="Q47" s="169"/>
      <c r="R47" s="169"/>
      <c r="S47" s="169"/>
    </row>
    <row r="48" spans="2:19" ht="6.9" customHeight="1">
      <c r="G48" s="111"/>
    </row>
    <row r="49" spans="2:19" ht="17.399999999999999" customHeight="1">
      <c r="B49" s="95"/>
      <c r="C49" s="96"/>
      <c r="D49" s="96"/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7"/>
    </row>
    <row r="50" spans="2:19" ht="17.399999999999999" customHeight="1">
      <c r="B50" s="98"/>
      <c r="C50" s="99" t="s">
        <v>222</v>
      </c>
      <c r="G50" s="115" t="s">
        <v>230</v>
      </c>
      <c r="H50" s="115"/>
      <c r="I50" s="126">
        <v>45799</v>
      </c>
      <c r="J50" s="126">
        <v>45792</v>
      </c>
      <c r="K50" s="127" t="s">
        <v>238</v>
      </c>
      <c r="M50" s="112" t="s">
        <v>223</v>
      </c>
      <c r="S50" s="100"/>
    </row>
    <row r="51" spans="2:19" ht="17.399999999999999" customHeight="1">
      <c r="B51" s="98"/>
      <c r="G51" s="107" t="s">
        <v>83</v>
      </c>
      <c r="I51" s="107">
        <f>COUNTIFS('Detalhe Entregas e Status'!$I:$I,'Status Resumo'!G51,'Detalhe Entregas e Status'!$B:$B,"lt004_protection",'Detalhe Entregas e Status'!$C:$C,"&lt;&gt;"&amp;"UNIVERSO")</f>
        <v>0</v>
      </c>
      <c r="J51" s="107">
        <f>COUNTIFS('Detalhe Entregas e Status'!$J:$J,'Status Resumo'!G51,'Detalhe Entregas e Status'!$B:$B,"lt004_protection",'Detalhe Entregas e Status'!$C:$C,"&lt;&gt;"&amp;"UNIVERSO")</f>
        <v>0</v>
      </c>
      <c r="K51" s="128" t="str">
        <f t="shared" ref="K51:K57" si="6">IF(I51-J51=0,"-",IF(I51-J51&gt;0,_xlfn.CONCAT("+ ",I51-J51),_xlfn.CONCAT("- ",J51-I51)))</f>
        <v>-</v>
      </c>
      <c r="M51" s="168" t="s">
        <v>257</v>
      </c>
      <c r="N51" s="168"/>
      <c r="O51" s="168"/>
      <c r="P51" s="168"/>
      <c r="Q51" s="168"/>
      <c r="R51" s="168"/>
      <c r="S51" s="100"/>
    </row>
    <row r="52" spans="2:19" ht="17.399999999999999" customHeight="1">
      <c r="B52" s="98"/>
      <c r="G52" s="107" t="s">
        <v>86</v>
      </c>
      <c r="I52" s="107">
        <f>COUNTIFS('Detalhe Entregas e Status'!$I:$I,'Status Resumo'!G52,'Detalhe Entregas e Status'!$B:$B,"lt004_protection",'Detalhe Entregas e Status'!$C:$C,"&lt;&gt;"&amp;"UNIVERSO")</f>
        <v>1</v>
      </c>
      <c r="J52" s="107">
        <f>COUNTIFS('Detalhe Entregas e Status'!$J:$J,'Status Resumo'!G52,'Detalhe Entregas e Status'!$B:$B,"lt004_protection",'Detalhe Entregas e Status'!$C:$C,"&lt;&gt;"&amp;"UNIVERSO")</f>
        <v>1</v>
      </c>
      <c r="K52" s="128" t="str">
        <f t="shared" si="6"/>
        <v>-</v>
      </c>
      <c r="M52" s="168"/>
      <c r="N52" s="168"/>
      <c r="O52" s="168"/>
      <c r="P52" s="168"/>
      <c r="Q52" s="168"/>
      <c r="R52" s="168"/>
      <c r="S52" s="100"/>
    </row>
    <row r="53" spans="2:19" ht="17.399999999999999" customHeight="1">
      <c r="B53" s="98"/>
      <c r="G53" s="107" t="s">
        <v>84</v>
      </c>
      <c r="I53" s="107">
        <f>COUNTIFS('Detalhe Entregas e Status'!$I:$I,'Status Resumo'!G53,'Detalhe Entregas e Status'!$B:$B,"lt004_protection",'Detalhe Entregas e Status'!$C:$C,"&lt;&gt;"&amp;"UNIVERSO")</f>
        <v>0</v>
      </c>
      <c r="J53" s="107">
        <f>COUNTIFS('Detalhe Entregas e Status'!$J:$J,'Status Resumo'!G53,'Detalhe Entregas e Status'!$B:$B,"lt004_protection",'Detalhe Entregas e Status'!$C:$C,"&lt;&gt;"&amp;"UNIVERSO")</f>
        <v>0</v>
      </c>
      <c r="K53" s="128" t="str">
        <f t="shared" si="6"/>
        <v>-</v>
      </c>
      <c r="M53" s="168"/>
      <c r="N53" s="168"/>
      <c r="O53" s="168"/>
      <c r="P53" s="168"/>
      <c r="Q53" s="168"/>
      <c r="R53" s="168"/>
      <c r="S53" s="100"/>
    </row>
    <row r="54" spans="2:19" ht="17.399999999999999" customHeight="1">
      <c r="B54" s="98"/>
      <c r="D54" s="101"/>
      <c r="E54" s="101"/>
      <c r="G54" s="107" t="s">
        <v>85</v>
      </c>
      <c r="I54" s="107">
        <f>COUNTIFS('Detalhe Entregas e Status'!$I:$I,'Status Resumo'!G54,'Detalhe Entregas e Status'!$B:$B,"lt004_protection",'Detalhe Entregas e Status'!$C:$C,"&lt;&gt;"&amp;"UNIVERSO")</f>
        <v>0</v>
      </c>
      <c r="J54" s="107">
        <f>COUNTIFS('Detalhe Entregas e Status'!$J:$J,'Status Resumo'!G54,'Detalhe Entregas e Status'!$B:$B,"lt004_protection",'Detalhe Entregas e Status'!$C:$C,"&lt;&gt;"&amp;"UNIVERSO")</f>
        <v>0</v>
      </c>
      <c r="K54" s="128" t="str">
        <f t="shared" si="6"/>
        <v>-</v>
      </c>
      <c r="M54" s="168"/>
      <c r="N54" s="168"/>
      <c r="O54" s="168"/>
      <c r="P54" s="168"/>
      <c r="Q54" s="168"/>
      <c r="R54" s="168"/>
      <c r="S54" s="100"/>
    </row>
    <row r="55" spans="2:19" ht="17.399999999999999" customHeight="1">
      <c r="B55" s="98"/>
      <c r="D55" s="101"/>
      <c r="E55" s="101"/>
      <c r="G55" s="107" t="s">
        <v>91</v>
      </c>
      <c r="I55" s="107">
        <f>COUNTIFS('Detalhe Entregas e Status'!$I:$I,'Status Resumo'!G55,'Detalhe Entregas e Status'!$B:$B,"lt004_protection",'Detalhe Entregas e Status'!$C:$C,"&lt;&gt;"&amp;"UNIVERSO")</f>
        <v>0</v>
      </c>
      <c r="J55" s="107">
        <f>COUNTIFS('Detalhe Entregas e Status'!$J:$J,'Status Resumo'!G55,'Detalhe Entregas e Status'!$B:$B,"lt004_protection",'Detalhe Entregas e Status'!$C:$C,"&lt;&gt;"&amp;"UNIVERSO")</f>
        <v>0</v>
      </c>
      <c r="K55" s="128" t="str">
        <f t="shared" si="6"/>
        <v>-</v>
      </c>
      <c r="M55" s="168"/>
      <c r="N55" s="168"/>
      <c r="O55" s="168"/>
      <c r="P55" s="168"/>
      <c r="Q55" s="168"/>
      <c r="R55" s="168"/>
      <c r="S55" s="100"/>
    </row>
    <row r="56" spans="2:19" ht="17.399999999999999" customHeight="1">
      <c r="B56" s="98"/>
      <c r="D56" s="101"/>
      <c r="E56" s="101"/>
      <c r="G56" s="107" t="s">
        <v>93</v>
      </c>
      <c r="I56" s="107">
        <f>COUNTIFS('Detalhe Entregas e Status'!$I:$I,'Status Resumo'!G56,'Detalhe Entregas e Status'!$B:$B,"lt004_protection",'Detalhe Entregas e Status'!$C:$C,"&lt;&gt;"&amp;"UNIVERSO")</f>
        <v>0</v>
      </c>
      <c r="J56" s="107">
        <f>COUNTIFS('Detalhe Entregas e Status'!$J:$J,'Status Resumo'!G56,'Detalhe Entregas e Status'!$B:$B,"lt004_protection",'Detalhe Entregas e Status'!$C:$C,"&lt;&gt;"&amp;"UNIVERSO")</f>
        <v>0</v>
      </c>
      <c r="K56" s="128" t="str">
        <f t="shared" si="6"/>
        <v>-</v>
      </c>
      <c r="M56" s="168"/>
      <c r="N56" s="168"/>
      <c r="O56" s="168"/>
      <c r="P56" s="168"/>
      <c r="Q56" s="168"/>
      <c r="R56" s="168"/>
      <c r="S56" s="100"/>
    </row>
    <row r="57" spans="2:19" ht="17.399999999999999" customHeight="1">
      <c r="B57" s="98"/>
      <c r="G57" s="107" t="s">
        <v>234</v>
      </c>
      <c r="H57" s="115"/>
      <c r="I57" s="107">
        <f>COUNTIFS('Detalhe Entregas e Status'!$I:$I,'Status Resumo'!G57,'Detalhe Entregas e Status'!$B:$B,"lt004_protection",'Detalhe Entregas e Status'!$C:$C,"&lt;&gt;"&amp;"UNIVERSO")</f>
        <v>6</v>
      </c>
      <c r="J57" s="107">
        <f>COUNTIFS('Detalhe Entregas e Status'!$J:$J,'Status Resumo'!G57,'Detalhe Entregas e Status'!$B:$B,"lt004_protection",'Detalhe Entregas e Status'!$C:$C,"&lt;&gt;"&amp;"UNIVERSO")</f>
        <v>6</v>
      </c>
      <c r="K57" s="129" t="str">
        <f t="shared" si="6"/>
        <v>-</v>
      </c>
      <c r="M57" s="168"/>
      <c r="N57" s="168"/>
      <c r="O57" s="168"/>
      <c r="P57" s="168"/>
      <c r="Q57" s="168"/>
      <c r="R57" s="168"/>
      <c r="S57" s="100"/>
    </row>
    <row r="58" spans="2:19" ht="17.399999999999999" customHeight="1">
      <c r="B58" s="98"/>
      <c r="G58" s="108" t="s">
        <v>224</v>
      </c>
      <c r="I58" s="108">
        <f>SUM(I51:I57)</f>
        <v>7</v>
      </c>
      <c r="J58" s="108">
        <f>SUM(J51:J57)</f>
        <v>7</v>
      </c>
      <c r="K58" s="125"/>
      <c r="L58" s="102"/>
      <c r="M58" s="168"/>
      <c r="N58" s="168"/>
      <c r="O58" s="168"/>
      <c r="P58" s="168"/>
      <c r="Q58" s="168"/>
      <c r="R58" s="168"/>
      <c r="S58" s="100"/>
    </row>
    <row r="59" spans="2:19" ht="17.399999999999999" customHeight="1">
      <c r="B59" s="98"/>
      <c r="C59" s="99"/>
      <c r="F59" s="99"/>
      <c r="L59" s="102"/>
      <c r="M59" s="168"/>
      <c r="N59" s="168"/>
      <c r="O59" s="168"/>
      <c r="P59" s="168"/>
      <c r="Q59" s="168"/>
      <c r="R59" s="168"/>
      <c r="S59" s="100"/>
    </row>
    <row r="60" spans="2:19" ht="17.399999999999999" customHeight="1">
      <c r="B60" s="98"/>
      <c r="G60" s="115" t="s">
        <v>231</v>
      </c>
      <c r="H60" s="115"/>
      <c r="I60" s="106">
        <v>45799</v>
      </c>
      <c r="J60" s="124"/>
      <c r="K60" s="124"/>
      <c r="L60" s="102"/>
      <c r="M60" s="113"/>
      <c r="N60" s="113"/>
      <c r="O60" s="113"/>
      <c r="P60" s="113"/>
      <c r="Q60" s="113"/>
      <c r="R60" s="113"/>
      <c r="S60" s="100"/>
    </row>
    <row r="61" spans="2:19" ht="17.399999999999999" customHeight="1">
      <c r="B61" s="98"/>
      <c r="G61" s="118" t="s">
        <v>52</v>
      </c>
      <c r="I61" s="119" t="s">
        <v>229</v>
      </c>
      <c r="J61" s="119"/>
      <c r="K61" s="119"/>
      <c r="L61" s="102"/>
      <c r="M61" s="113"/>
      <c r="N61" s="113"/>
      <c r="O61" s="113"/>
      <c r="P61" s="113"/>
      <c r="Q61" s="113"/>
      <c r="R61" s="113"/>
      <c r="S61" s="100"/>
    </row>
    <row r="62" spans="2:19" ht="17.399999999999999" customHeight="1">
      <c r="B62" s="103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5"/>
    </row>
    <row r="63" spans="2:19"/>
    <row r="64" spans="2:19" ht="18" customHeight="1">
      <c r="B64" s="169" t="s">
        <v>260</v>
      </c>
      <c r="C64" s="169"/>
      <c r="D64" s="169"/>
      <c r="E64" s="169"/>
      <c r="F64" s="169"/>
      <c r="G64" s="169"/>
      <c r="H64" s="169"/>
      <c r="I64" s="169"/>
      <c r="J64" s="169"/>
      <c r="K64" s="169"/>
      <c r="L64" s="169"/>
      <c r="M64" s="169"/>
      <c r="N64" s="169"/>
      <c r="O64" s="169"/>
      <c r="P64" s="169"/>
      <c r="Q64" s="169"/>
      <c r="R64" s="169"/>
      <c r="S64" s="169"/>
    </row>
    <row r="65" spans="2:19" ht="6.9" customHeight="1">
      <c r="G65" s="111"/>
    </row>
    <row r="66" spans="2:19" ht="17.399999999999999" customHeight="1">
      <c r="B66" s="95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7"/>
    </row>
    <row r="67" spans="2:19" ht="17.399999999999999" customHeight="1">
      <c r="B67" s="98"/>
      <c r="C67" s="99" t="s">
        <v>222</v>
      </c>
      <c r="G67" s="115" t="s">
        <v>230</v>
      </c>
      <c r="H67" s="115"/>
      <c r="I67" s="126">
        <v>45799</v>
      </c>
      <c r="J67" s="126">
        <v>45792</v>
      </c>
      <c r="K67" s="127" t="s">
        <v>238</v>
      </c>
      <c r="M67" s="112" t="s">
        <v>223</v>
      </c>
      <c r="S67" s="100"/>
    </row>
    <row r="68" spans="2:19" ht="17.399999999999999" customHeight="1">
      <c r="B68" s="98"/>
      <c r="G68" s="107" t="s">
        <v>83</v>
      </c>
      <c r="I68" s="107">
        <f>COUNTIFS('Detalhe Entregas e Status'!$I:$I,'Status Resumo'!G68,'Detalhe Entregas e Status'!$B:$B,"lt007_instr_activity",'Detalhe Entregas e Status'!$C:$C,"&lt;&gt;"&amp;"UNIVERSO")</f>
        <v>0</v>
      </c>
      <c r="J68" s="107">
        <f>COUNTIFS('Detalhe Entregas e Status'!$J:$J,'Status Resumo'!G68,'Detalhe Entregas e Status'!$B:$B,"lt007_instr_activity",'Detalhe Entregas e Status'!$C:$C,"&lt;&gt;"&amp;"UNIVERSO")</f>
        <v>0</v>
      </c>
      <c r="K68" s="128" t="str">
        <f t="shared" ref="K68:K74" si="7">IF(I68-J68=0,"-",IF(I68-J68&gt;0,_xlfn.CONCAT("+ ",I68-J68),_xlfn.CONCAT("- ",J68-I68)))</f>
        <v>-</v>
      </c>
      <c r="M68" s="168" t="s">
        <v>261</v>
      </c>
      <c r="N68" s="168"/>
      <c r="O68" s="168"/>
      <c r="P68" s="168"/>
      <c r="Q68" s="168"/>
      <c r="R68" s="168"/>
      <c r="S68" s="100"/>
    </row>
    <row r="69" spans="2:19" ht="17.399999999999999" customHeight="1">
      <c r="B69" s="98"/>
      <c r="G69" s="107" t="s">
        <v>86</v>
      </c>
      <c r="I69" s="107">
        <f>COUNTIFS('Detalhe Entregas e Status'!$I:$I,'Status Resumo'!G69,'Detalhe Entregas e Status'!$B:$B,"lt007_instr_activity",'Detalhe Entregas e Status'!$C:$C,"&lt;&gt;"&amp;"UNIVERSO")</f>
        <v>0</v>
      </c>
      <c r="J69" s="107">
        <f>COUNTIFS('Detalhe Entregas e Status'!$J:$J,'Status Resumo'!G69,'Detalhe Entregas e Status'!$B:$B,"lt007_instr_activity",'Detalhe Entregas e Status'!$C:$C,"&lt;&gt;"&amp;"UNIVERSO")</f>
        <v>0</v>
      </c>
      <c r="K69" s="128" t="str">
        <f t="shared" si="7"/>
        <v>-</v>
      </c>
      <c r="M69" s="168"/>
      <c r="N69" s="168"/>
      <c r="O69" s="168"/>
      <c r="P69" s="168"/>
      <c r="Q69" s="168"/>
      <c r="R69" s="168"/>
      <c r="S69" s="100"/>
    </row>
    <row r="70" spans="2:19" ht="17.399999999999999" customHeight="1">
      <c r="B70" s="98"/>
      <c r="G70" s="107" t="s">
        <v>84</v>
      </c>
      <c r="I70" s="107">
        <f>COUNTIFS('Detalhe Entregas e Status'!$I:$I,'Status Resumo'!G70,'Detalhe Entregas e Status'!$B:$B,"lt007_instr_activity",'Detalhe Entregas e Status'!$C:$C,"&lt;&gt;"&amp;"UNIVERSO")</f>
        <v>0</v>
      </c>
      <c r="J70" s="107">
        <f>COUNTIFS('Detalhe Entregas e Status'!$J:$J,'Status Resumo'!G70,'Detalhe Entregas e Status'!$B:$B,"lt007_instr_activity",'Detalhe Entregas e Status'!$C:$C,"&lt;&gt;"&amp;"UNIVERSO")</f>
        <v>0</v>
      </c>
      <c r="K70" s="128" t="str">
        <f t="shared" si="7"/>
        <v>-</v>
      </c>
      <c r="M70" s="168"/>
      <c r="N70" s="168"/>
      <c r="O70" s="168"/>
      <c r="P70" s="168"/>
      <c r="Q70" s="168"/>
      <c r="R70" s="168"/>
      <c r="S70" s="100"/>
    </row>
    <row r="71" spans="2:19" ht="17.399999999999999" customHeight="1">
      <c r="B71" s="98"/>
      <c r="D71" s="101"/>
      <c r="E71" s="101"/>
      <c r="G71" s="107" t="s">
        <v>85</v>
      </c>
      <c r="I71" s="107">
        <f>COUNTIFS('Detalhe Entregas e Status'!$I:$I,'Status Resumo'!G71,'Detalhe Entregas e Status'!$B:$B,"lt007_instr_activity",'Detalhe Entregas e Status'!$C:$C,"&lt;&gt;"&amp;"UNIVERSO")</f>
        <v>0</v>
      </c>
      <c r="J71" s="107">
        <f>COUNTIFS('Detalhe Entregas e Status'!$J:$J,'Status Resumo'!G71,'Detalhe Entregas e Status'!$B:$B,"lt007_instr_activity",'Detalhe Entregas e Status'!$C:$C,"&lt;&gt;"&amp;"UNIVERSO")</f>
        <v>0</v>
      </c>
      <c r="K71" s="128" t="str">
        <f t="shared" si="7"/>
        <v>-</v>
      </c>
      <c r="M71" s="168"/>
      <c r="N71" s="168"/>
      <c r="O71" s="168"/>
      <c r="P71" s="168"/>
      <c r="Q71" s="168"/>
      <c r="R71" s="168"/>
      <c r="S71" s="100"/>
    </row>
    <row r="72" spans="2:19" ht="17.399999999999999" customHeight="1">
      <c r="B72" s="98"/>
      <c r="D72" s="101"/>
      <c r="E72" s="101"/>
      <c r="G72" s="107" t="s">
        <v>91</v>
      </c>
      <c r="I72" s="107">
        <f>COUNTIFS('Detalhe Entregas e Status'!$I:$I,'Status Resumo'!G72,'Detalhe Entregas e Status'!$B:$B,"lt007_instr_activity",'Detalhe Entregas e Status'!$C:$C,"&lt;&gt;"&amp;"UNIVERSO")</f>
        <v>0</v>
      </c>
      <c r="J72" s="107">
        <f>COUNTIFS('Detalhe Entregas e Status'!$J:$J,'Status Resumo'!G72,'Detalhe Entregas e Status'!$B:$B,"lt007_instr_activity",'Detalhe Entregas e Status'!$C:$C,"&lt;&gt;"&amp;"UNIVERSO")</f>
        <v>0</v>
      </c>
      <c r="K72" s="128" t="str">
        <f t="shared" si="7"/>
        <v>-</v>
      </c>
      <c r="M72" s="168"/>
      <c r="N72" s="168"/>
      <c r="O72" s="168"/>
      <c r="P72" s="168"/>
      <c r="Q72" s="168"/>
      <c r="R72" s="168"/>
      <c r="S72" s="100"/>
    </row>
    <row r="73" spans="2:19" ht="17.399999999999999" customHeight="1">
      <c r="B73" s="98"/>
      <c r="D73" s="101"/>
      <c r="E73" s="101"/>
      <c r="G73" s="107" t="s">
        <v>93</v>
      </c>
      <c r="I73" s="107">
        <f>COUNTIFS('Detalhe Entregas e Status'!$I:$I,'Status Resumo'!G73,'Detalhe Entregas e Status'!$B:$B,"lt007_instr_activity",'Detalhe Entregas e Status'!$C:$C,"&lt;&gt;"&amp;"UNIVERSO")</f>
        <v>5</v>
      </c>
      <c r="J73" s="107">
        <f>COUNTIFS('Detalhe Entregas e Status'!$J:$J,'Status Resumo'!G73,'Detalhe Entregas e Status'!$B:$B,"lt007_instr_activity",'Detalhe Entregas e Status'!$C:$C,"&lt;&gt;"&amp;"UNIVERSO")</f>
        <v>5</v>
      </c>
      <c r="K73" s="128" t="str">
        <f t="shared" si="7"/>
        <v>-</v>
      </c>
      <c r="M73" s="168"/>
      <c r="N73" s="168"/>
      <c r="O73" s="168"/>
      <c r="P73" s="168"/>
      <c r="Q73" s="168"/>
      <c r="R73" s="168"/>
      <c r="S73" s="100"/>
    </row>
    <row r="74" spans="2:19" ht="17.399999999999999" customHeight="1">
      <c r="B74" s="98"/>
      <c r="G74" s="107" t="s">
        <v>234</v>
      </c>
      <c r="H74" s="115"/>
      <c r="I74" s="107">
        <f>COUNTIFS('Detalhe Entregas e Status'!$I:$I,'Status Resumo'!G74,'Detalhe Entregas e Status'!$B:$B,"lt007_instr_activity",'Detalhe Entregas e Status'!$C:$C,"&lt;&gt;"&amp;"UNIVERSO")</f>
        <v>1</v>
      </c>
      <c r="J74" s="107">
        <f>COUNTIFS('Detalhe Entregas e Status'!$J:$J,'Status Resumo'!G74,'Detalhe Entregas e Status'!$B:$B,"lt007_instr_activity",'Detalhe Entregas e Status'!$C:$C,"&lt;&gt;"&amp;"UNIVERSO")</f>
        <v>1</v>
      </c>
      <c r="K74" s="129" t="str">
        <f t="shared" si="7"/>
        <v>-</v>
      </c>
      <c r="M74" s="168"/>
      <c r="N74" s="168"/>
      <c r="O74" s="168"/>
      <c r="P74" s="168"/>
      <c r="Q74" s="168"/>
      <c r="R74" s="168"/>
      <c r="S74" s="100"/>
    </row>
    <row r="75" spans="2:19" ht="17.399999999999999" customHeight="1">
      <c r="B75" s="98"/>
      <c r="G75" s="108" t="s">
        <v>224</v>
      </c>
      <c r="I75" s="108">
        <f>SUM(I68:I74)</f>
        <v>6</v>
      </c>
      <c r="J75" s="108">
        <f>SUM(J68:J74)</f>
        <v>6</v>
      </c>
      <c r="K75" s="125"/>
      <c r="L75" s="102"/>
      <c r="M75" s="168"/>
      <c r="N75" s="168"/>
      <c r="O75" s="168"/>
      <c r="P75" s="168"/>
      <c r="Q75" s="168"/>
      <c r="R75" s="168"/>
      <c r="S75" s="100"/>
    </row>
    <row r="76" spans="2:19" ht="17.399999999999999" customHeight="1">
      <c r="B76" s="98"/>
      <c r="C76" s="99"/>
      <c r="F76" s="99"/>
      <c r="L76" s="102"/>
      <c r="M76" s="168"/>
      <c r="N76" s="168"/>
      <c r="O76" s="168"/>
      <c r="P76" s="168"/>
      <c r="Q76" s="168"/>
      <c r="R76" s="168"/>
      <c r="S76" s="100"/>
    </row>
    <row r="77" spans="2:19" ht="17.399999999999999" customHeight="1">
      <c r="B77" s="98"/>
      <c r="G77" s="115" t="s">
        <v>231</v>
      </c>
      <c r="H77" s="115"/>
      <c r="I77" s="106">
        <v>45799</v>
      </c>
      <c r="J77" s="124"/>
      <c r="K77" s="124"/>
      <c r="L77" s="102"/>
      <c r="M77" s="113"/>
      <c r="N77" s="113"/>
      <c r="O77" s="113"/>
      <c r="P77" s="113"/>
      <c r="Q77" s="113"/>
      <c r="R77" s="113"/>
      <c r="S77" s="100"/>
    </row>
    <row r="78" spans="2:19" ht="17.399999999999999" customHeight="1">
      <c r="B78" s="98"/>
      <c r="G78" s="118" t="s">
        <v>60</v>
      </c>
      <c r="I78" s="152" t="s">
        <v>259</v>
      </c>
      <c r="J78" s="119"/>
      <c r="K78" s="119"/>
      <c r="L78" s="102"/>
      <c r="M78" s="113"/>
      <c r="N78" s="113"/>
      <c r="O78" s="113"/>
      <c r="P78" s="113"/>
      <c r="Q78" s="113"/>
      <c r="R78" s="113"/>
      <c r="S78" s="100"/>
    </row>
    <row r="79" spans="2:19" ht="17.399999999999999" customHeight="1">
      <c r="B79" s="103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5"/>
    </row>
    <row r="80" spans="2:19"/>
    <row r="81" s="94" customFormat="1"/>
    <row r="82" s="94" customFormat="1" hidden="1"/>
    <row r="83" s="94" customFormat="1" hidden="1"/>
    <row r="84" s="94" customFormat="1" hidden="1"/>
    <row r="85" s="94" customFormat="1" hidden="1"/>
    <row r="86" s="94" customFormat="1" hidden="1"/>
    <row r="87" s="94" customFormat="1" hidden="1"/>
    <row r="88" s="94" customFormat="1" hidden="1"/>
    <row r="89" s="94" customFormat="1" hidden="1"/>
    <row r="90" s="94" customFormat="1" hidden="1"/>
    <row r="91" s="94" customFormat="1" hidden="1"/>
    <row r="92" s="94" customFormat="1" hidden="1"/>
    <row r="93" s="94" customFormat="1" hidden="1"/>
  </sheetData>
  <mergeCells count="14">
    <mergeCell ref="M51:R59"/>
    <mergeCell ref="B30:S30"/>
    <mergeCell ref="B47:S47"/>
    <mergeCell ref="B64:S64"/>
    <mergeCell ref="M68:R76"/>
    <mergeCell ref="D12:F12"/>
    <mergeCell ref="G12:I12"/>
    <mergeCell ref="J12:L12"/>
    <mergeCell ref="N12:R18"/>
    <mergeCell ref="M34:R44"/>
    <mergeCell ref="D24:L24"/>
    <mergeCell ref="D25:L25"/>
    <mergeCell ref="D26:L26"/>
    <mergeCell ref="D27:L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dimension ref="B1:G75"/>
  <sheetViews>
    <sheetView workbookViewId="0">
      <selection activeCell="K9" sqref="K9"/>
    </sheetView>
  </sheetViews>
  <sheetFormatPr defaultRowHeight="14.4"/>
  <cols>
    <col min="2" max="2" width="18.44140625" bestFit="1" customWidth="1"/>
    <col min="3" max="3" width="39.6640625" bestFit="1" customWidth="1"/>
    <col min="4" max="4" width="13.6640625" bestFit="1" customWidth="1"/>
    <col min="6" max="6" width="13.44140625" bestFit="1" customWidth="1"/>
    <col min="7" max="7" width="19.6640625" bestFit="1" customWidth="1"/>
  </cols>
  <sheetData>
    <row r="1" spans="2:7">
      <c r="F1" s="109" t="s">
        <v>76</v>
      </c>
      <c r="G1" t="s">
        <v>0</v>
      </c>
    </row>
    <row r="2" spans="2:7">
      <c r="B2" s="21" t="s">
        <v>76</v>
      </c>
      <c r="C2" s="22" t="s">
        <v>77</v>
      </c>
      <c r="D2" s="11" t="s">
        <v>80</v>
      </c>
      <c r="F2" s="109" t="s">
        <v>77</v>
      </c>
      <c r="G2" t="s">
        <v>236</v>
      </c>
    </row>
    <row r="3" spans="2:7">
      <c r="B3" s="12" t="s">
        <v>0</v>
      </c>
      <c r="C3" s="12" t="s">
        <v>78</v>
      </c>
      <c r="D3" s="26" t="s">
        <v>86</v>
      </c>
    </row>
    <row r="4" spans="2:7">
      <c r="B4" s="17" t="s">
        <v>0</v>
      </c>
      <c r="C4" s="17" t="s">
        <v>1</v>
      </c>
      <c r="D4" s="26" t="s">
        <v>86</v>
      </c>
      <c r="F4" s="109" t="s">
        <v>226</v>
      </c>
      <c r="G4" t="s">
        <v>227</v>
      </c>
    </row>
    <row r="5" spans="2:7">
      <c r="B5" s="12" t="s">
        <v>0</v>
      </c>
      <c r="C5" s="12" t="s">
        <v>2</v>
      </c>
      <c r="D5" s="26" t="s">
        <v>93</v>
      </c>
      <c r="F5" s="110" t="s">
        <v>83</v>
      </c>
      <c r="G5">
        <v>9</v>
      </c>
    </row>
    <row r="6" spans="2:7">
      <c r="B6" s="12" t="s">
        <v>0</v>
      </c>
      <c r="C6" s="12" t="s">
        <v>3</v>
      </c>
      <c r="D6" s="26" t="s">
        <v>86</v>
      </c>
      <c r="F6" s="110" t="s">
        <v>86</v>
      </c>
      <c r="G6">
        <v>9</v>
      </c>
    </row>
    <row r="7" spans="2:7">
      <c r="B7" s="12" t="s">
        <v>0</v>
      </c>
      <c r="C7" s="12" t="s">
        <v>4</v>
      </c>
      <c r="D7" s="26" t="s">
        <v>86</v>
      </c>
      <c r="F7" s="110" t="s">
        <v>93</v>
      </c>
      <c r="G7">
        <v>10</v>
      </c>
    </row>
    <row r="8" spans="2:7">
      <c r="B8" s="12" t="s">
        <v>0</v>
      </c>
      <c r="C8" s="12" t="s">
        <v>5</v>
      </c>
      <c r="D8" s="26" t="s">
        <v>93</v>
      </c>
      <c r="F8" s="110" t="s">
        <v>234</v>
      </c>
      <c r="G8">
        <v>21</v>
      </c>
    </row>
    <row r="9" spans="2:7">
      <c r="B9" s="12" t="s">
        <v>0</v>
      </c>
      <c r="C9" s="12" t="s">
        <v>6</v>
      </c>
      <c r="D9" s="26" t="s">
        <v>84</v>
      </c>
      <c r="F9" s="110" t="s">
        <v>84</v>
      </c>
      <c r="G9">
        <v>2</v>
      </c>
    </row>
    <row r="10" spans="2:7">
      <c r="B10" s="12" t="s">
        <v>0</v>
      </c>
      <c r="C10" s="12" t="s">
        <v>7</v>
      </c>
      <c r="D10" s="26" t="s">
        <v>234</v>
      </c>
    </row>
    <row r="11" spans="2:7">
      <c r="B11" s="12" t="s">
        <v>0</v>
      </c>
      <c r="C11" s="12" t="s">
        <v>8</v>
      </c>
      <c r="D11" s="26" t="s">
        <v>93</v>
      </c>
    </row>
    <row r="12" spans="2:7">
      <c r="B12" s="12" t="s">
        <v>0</v>
      </c>
      <c r="C12" s="12" t="s">
        <v>9</v>
      </c>
      <c r="D12" s="26" t="s">
        <v>86</v>
      </c>
    </row>
    <row r="13" spans="2:7">
      <c r="B13" s="12" t="s">
        <v>0</v>
      </c>
      <c r="C13" s="12" t="s">
        <v>10</v>
      </c>
      <c r="D13" s="26" t="s">
        <v>93</v>
      </c>
    </row>
    <row r="14" spans="2:7">
      <c r="B14" s="12" t="s">
        <v>0</v>
      </c>
      <c r="C14" s="12" t="s">
        <v>11</v>
      </c>
      <c r="D14" s="26" t="s">
        <v>93</v>
      </c>
    </row>
    <row r="15" spans="2:7">
      <c r="B15" s="12" t="s">
        <v>0</v>
      </c>
      <c r="C15" s="12" t="s">
        <v>12</v>
      </c>
      <c r="D15" s="26" t="s">
        <v>93</v>
      </c>
      <c r="F15" s="109" t="s">
        <v>76</v>
      </c>
      <c r="G15" t="s">
        <v>52</v>
      </c>
    </row>
    <row r="16" spans="2:7">
      <c r="B16" s="12" t="s">
        <v>0</v>
      </c>
      <c r="C16" s="12" t="s">
        <v>13</v>
      </c>
      <c r="D16" s="26" t="s">
        <v>93</v>
      </c>
      <c r="F16" s="109" t="s">
        <v>77</v>
      </c>
      <c r="G16" t="s">
        <v>236</v>
      </c>
    </row>
    <row r="17" spans="2:7">
      <c r="B17" s="12" t="s">
        <v>0</v>
      </c>
      <c r="C17" s="12" t="s">
        <v>14</v>
      </c>
      <c r="D17" s="26" t="s">
        <v>93</v>
      </c>
    </row>
    <row r="18" spans="2:7">
      <c r="B18" s="12" t="s">
        <v>0</v>
      </c>
      <c r="C18" s="12" t="s">
        <v>15</v>
      </c>
      <c r="D18" s="26" t="s">
        <v>86</v>
      </c>
      <c r="F18" s="109" t="s">
        <v>226</v>
      </c>
      <c r="G18" t="s">
        <v>227</v>
      </c>
    </row>
    <row r="19" spans="2:7">
      <c r="B19" s="12" t="s">
        <v>0</v>
      </c>
      <c r="C19" s="12" t="s">
        <v>16</v>
      </c>
      <c r="D19" s="26" t="s">
        <v>93</v>
      </c>
      <c r="F19" s="110" t="s">
        <v>86</v>
      </c>
      <c r="G19">
        <v>1</v>
      </c>
    </row>
    <row r="20" spans="2:7">
      <c r="B20" s="12" t="s">
        <v>0</v>
      </c>
      <c r="C20" s="12" t="s">
        <v>17</v>
      </c>
      <c r="D20" s="26" t="s">
        <v>86</v>
      </c>
      <c r="F20" s="110" t="s">
        <v>234</v>
      </c>
      <c r="G20">
        <v>6</v>
      </c>
    </row>
    <row r="21" spans="2:7">
      <c r="B21" s="12" t="s">
        <v>0</v>
      </c>
      <c r="C21" s="12" t="s">
        <v>18</v>
      </c>
      <c r="D21" s="26" t="s">
        <v>86</v>
      </c>
    </row>
    <row r="22" spans="2:7">
      <c r="B22" s="12" t="s">
        <v>0</v>
      </c>
      <c r="C22" s="12" t="s">
        <v>19</v>
      </c>
      <c r="D22" s="26" t="s">
        <v>234</v>
      </c>
    </row>
    <row r="23" spans="2:7">
      <c r="B23" s="12" t="s">
        <v>0</v>
      </c>
      <c r="C23" s="12" t="s">
        <v>20</v>
      </c>
      <c r="D23" s="26" t="s">
        <v>86</v>
      </c>
      <c r="F23" s="109" t="s">
        <v>76</v>
      </c>
      <c r="G23" t="s">
        <v>60</v>
      </c>
    </row>
    <row r="24" spans="2:7">
      <c r="B24" s="12" t="s">
        <v>0</v>
      </c>
      <c r="C24" s="12" t="s">
        <v>21</v>
      </c>
      <c r="D24" s="26" t="s">
        <v>234</v>
      </c>
      <c r="F24" s="109" t="s">
        <v>77</v>
      </c>
      <c r="G24" t="s">
        <v>236</v>
      </c>
    </row>
    <row r="25" spans="2:7">
      <c r="B25" s="12" t="s">
        <v>0</v>
      </c>
      <c r="C25" s="12" t="s">
        <v>22</v>
      </c>
      <c r="D25" s="26" t="s">
        <v>83</v>
      </c>
    </row>
    <row r="26" spans="2:7">
      <c r="B26" s="12" t="s">
        <v>0</v>
      </c>
      <c r="C26" s="12" t="s">
        <v>23</v>
      </c>
      <c r="D26" s="26" t="s">
        <v>83</v>
      </c>
      <c r="F26" s="109" t="s">
        <v>226</v>
      </c>
      <c r="G26" t="s">
        <v>227</v>
      </c>
    </row>
    <row r="27" spans="2:7">
      <c r="B27" s="12" t="s">
        <v>0</v>
      </c>
      <c r="C27" s="12" t="s">
        <v>24</v>
      </c>
      <c r="D27" s="26" t="s">
        <v>83</v>
      </c>
      <c r="F27" s="110" t="s">
        <v>93</v>
      </c>
      <c r="G27">
        <v>5</v>
      </c>
    </row>
    <row r="28" spans="2:7">
      <c r="B28" s="12" t="s">
        <v>0</v>
      </c>
      <c r="C28" s="12" t="s">
        <v>25</v>
      </c>
      <c r="D28" s="26" t="s">
        <v>83</v>
      </c>
      <c r="F28" s="110" t="s">
        <v>234</v>
      </c>
      <c r="G28">
        <v>1</v>
      </c>
    </row>
    <row r="29" spans="2:7">
      <c r="B29" s="12" t="s">
        <v>0</v>
      </c>
      <c r="C29" s="12" t="s">
        <v>26</v>
      </c>
      <c r="D29" s="26" t="s">
        <v>83</v>
      </c>
    </row>
    <row r="30" spans="2:7">
      <c r="B30" s="12" t="s">
        <v>0</v>
      </c>
      <c r="C30" s="12" t="s">
        <v>27</v>
      </c>
      <c r="D30" s="26" t="s">
        <v>83</v>
      </c>
    </row>
    <row r="31" spans="2:7">
      <c r="B31" s="12" t="s">
        <v>0</v>
      </c>
      <c r="C31" s="12" t="s">
        <v>28</v>
      </c>
      <c r="D31" s="26" t="s">
        <v>83</v>
      </c>
    </row>
    <row r="32" spans="2:7">
      <c r="B32" s="12" t="s">
        <v>0</v>
      </c>
      <c r="C32" s="12" t="s">
        <v>29</v>
      </c>
      <c r="D32" s="26" t="s">
        <v>83</v>
      </c>
    </row>
    <row r="33" spans="2:4">
      <c r="B33" s="12" t="s">
        <v>0</v>
      </c>
      <c r="C33" s="12" t="s">
        <v>30</v>
      </c>
      <c r="D33" s="26" t="s">
        <v>234</v>
      </c>
    </row>
    <row r="34" spans="2:4">
      <c r="B34" s="12" t="s">
        <v>0</v>
      </c>
      <c r="C34" s="12" t="s">
        <v>31</v>
      </c>
      <c r="D34" s="26" t="s">
        <v>234</v>
      </c>
    </row>
    <row r="35" spans="2:4">
      <c r="B35" s="12" t="s">
        <v>0</v>
      </c>
      <c r="C35" s="12" t="s">
        <v>32</v>
      </c>
      <c r="D35" s="26" t="s">
        <v>234</v>
      </c>
    </row>
    <row r="36" spans="2:4">
      <c r="B36" s="12" t="s">
        <v>0</v>
      </c>
      <c r="C36" s="12" t="s">
        <v>33</v>
      </c>
      <c r="D36" s="26" t="s">
        <v>234</v>
      </c>
    </row>
    <row r="37" spans="2:4">
      <c r="B37" s="12" t="s">
        <v>0</v>
      </c>
      <c r="C37" s="12" t="s">
        <v>34</v>
      </c>
      <c r="D37" s="26" t="s">
        <v>234</v>
      </c>
    </row>
    <row r="38" spans="2:4">
      <c r="B38" s="12" t="s">
        <v>0</v>
      </c>
      <c r="C38" s="12" t="s">
        <v>35</v>
      </c>
      <c r="D38" s="26" t="s">
        <v>83</v>
      </c>
    </row>
    <row r="39" spans="2:4">
      <c r="B39" s="12" t="s">
        <v>0</v>
      </c>
      <c r="C39" s="12" t="s">
        <v>36</v>
      </c>
      <c r="D39" s="26" t="s">
        <v>234</v>
      </c>
    </row>
    <row r="40" spans="2:4">
      <c r="B40" s="12" t="s">
        <v>0</v>
      </c>
      <c r="C40" s="12" t="s">
        <v>37</v>
      </c>
      <c r="D40" s="26" t="s">
        <v>234</v>
      </c>
    </row>
    <row r="41" spans="2:4">
      <c r="B41" s="12" t="s">
        <v>0</v>
      </c>
      <c r="C41" s="12" t="s">
        <v>38</v>
      </c>
      <c r="D41" s="26" t="s">
        <v>234</v>
      </c>
    </row>
    <row r="42" spans="2:4">
      <c r="B42" s="12" t="s">
        <v>0</v>
      </c>
      <c r="C42" s="12" t="s">
        <v>39</v>
      </c>
      <c r="D42" s="26" t="s">
        <v>234</v>
      </c>
    </row>
    <row r="43" spans="2:4">
      <c r="B43" s="12" t="s">
        <v>0</v>
      </c>
      <c r="C43" s="12" t="s">
        <v>40</v>
      </c>
      <c r="D43" s="26" t="s">
        <v>234</v>
      </c>
    </row>
    <row r="44" spans="2:4">
      <c r="B44" s="12" t="s">
        <v>0</v>
      </c>
      <c r="C44" s="12" t="s">
        <v>41</v>
      </c>
      <c r="D44" s="26" t="s">
        <v>234</v>
      </c>
    </row>
    <row r="45" spans="2:4">
      <c r="B45" s="12" t="s">
        <v>0</v>
      </c>
      <c r="C45" s="12" t="s">
        <v>42</v>
      </c>
      <c r="D45" s="26" t="s">
        <v>234</v>
      </c>
    </row>
    <row r="46" spans="2:4">
      <c r="B46" s="12" t="s">
        <v>0</v>
      </c>
      <c r="C46" s="12" t="s">
        <v>43</v>
      </c>
      <c r="D46" s="26" t="s">
        <v>234</v>
      </c>
    </row>
    <row r="47" spans="2:4">
      <c r="B47" s="12" t="s">
        <v>0</v>
      </c>
      <c r="C47" s="12" t="s">
        <v>44</v>
      </c>
      <c r="D47" s="26" t="s">
        <v>234</v>
      </c>
    </row>
    <row r="48" spans="2:4">
      <c r="B48" s="12" t="s">
        <v>0</v>
      </c>
      <c r="C48" s="12" t="s">
        <v>45</v>
      </c>
      <c r="D48" s="26" t="s">
        <v>234</v>
      </c>
    </row>
    <row r="49" spans="2:4">
      <c r="B49" s="12" t="s">
        <v>0</v>
      </c>
      <c r="C49" s="12" t="s">
        <v>46</v>
      </c>
      <c r="D49" s="26" t="s">
        <v>234</v>
      </c>
    </row>
    <row r="50" spans="2:4">
      <c r="B50" s="12" t="s">
        <v>0</v>
      </c>
      <c r="C50" s="12" t="s">
        <v>47</v>
      </c>
      <c r="D50" s="26" t="s">
        <v>93</v>
      </c>
    </row>
    <row r="51" spans="2:4">
      <c r="B51" s="12" t="s">
        <v>0</v>
      </c>
      <c r="C51" s="12" t="s">
        <v>48</v>
      </c>
      <c r="D51" s="26" t="s">
        <v>234</v>
      </c>
    </row>
    <row r="52" spans="2:4">
      <c r="B52" s="12" t="s">
        <v>0</v>
      </c>
      <c r="C52" s="12" t="s">
        <v>49</v>
      </c>
      <c r="D52" s="26" t="s">
        <v>234</v>
      </c>
    </row>
    <row r="53" spans="2:4">
      <c r="B53" s="12" t="s">
        <v>0</v>
      </c>
      <c r="C53" s="12" t="s">
        <v>50</v>
      </c>
      <c r="D53" s="26" t="s">
        <v>84</v>
      </c>
    </row>
    <row r="54" spans="2:4">
      <c r="B54" s="12" t="s">
        <v>0</v>
      </c>
      <c r="C54" s="12" t="s">
        <v>51</v>
      </c>
      <c r="D54" s="26" t="s">
        <v>86</v>
      </c>
    </row>
    <row r="55" spans="2:4">
      <c r="B55" s="12" t="s">
        <v>52</v>
      </c>
      <c r="C55" s="12" t="s">
        <v>78</v>
      </c>
      <c r="D55" s="26" t="s">
        <v>83</v>
      </c>
    </row>
    <row r="56" spans="2:4">
      <c r="B56" s="12" t="s">
        <v>52</v>
      </c>
      <c r="C56" s="12" t="s">
        <v>33</v>
      </c>
      <c r="D56" s="26" t="s">
        <v>234</v>
      </c>
    </row>
    <row r="57" spans="2:4">
      <c r="B57" s="12" t="s">
        <v>52</v>
      </c>
      <c r="C57" s="12" t="s">
        <v>35</v>
      </c>
      <c r="D57" s="26" t="s">
        <v>234</v>
      </c>
    </row>
    <row r="58" spans="2:4">
      <c r="B58" s="12" t="s">
        <v>52</v>
      </c>
      <c r="C58" s="12" t="s">
        <v>53</v>
      </c>
      <c r="D58" s="26" t="s">
        <v>234</v>
      </c>
    </row>
    <row r="59" spans="2:4">
      <c r="B59" s="12" t="s">
        <v>52</v>
      </c>
      <c r="C59" s="12" t="s">
        <v>54</v>
      </c>
      <c r="D59" s="26" t="s">
        <v>234</v>
      </c>
    </row>
    <row r="60" spans="2:4">
      <c r="B60" s="12" t="s">
        <v>52</v>
      </c>
      <c r="C60" s="12" t="s">
        <v>55</v>
      </c>
      <c r="D60" s="26" t="s">
        <v>234</v>
      </c>
    </row>
    <row r="61" spans="2:4">
      <c r="B61" s="12" t="s">
        <v>52</v>
      </c>
      <c r="C61" s="12" t="s">
        <v>56</v>
      </c>
      <c r="D61" s="26" t="s">
        <v>86</v>
      </c>
    </row>
    <row r="62" spans="2:4">
      <c r="B62" s="12" t="s">
        <v>52</v>
      </c>
      <c r="C62" s="12" t="s">
        <v>57</v>
      </c>
      <c r="D62" s="26" t="s">
        <v>234</v>
      </c>
    </row>
    <row r="63" spans="2:4">
      <c r="B63" s="12" t="s">
        <v>58</v>
      </c>
      <c r="C63" s="12" t="s">
        <v>78</v>
      </c>
      <c r="D63" s="26" t="s">
        <v>234</v>
      </c>
    </row>
    <row r="64" spans="2:4">
      <c r="B64" s="12" t="s">
        <v>58</v>
      </c>
      <c r="C64" s="12" t="s">
        <v>33</v>
      </c>
      <c r="D64" s="26" t="s">
        <v>234</v>
      </c>
    </row>
    <row r="65" spans="2:4">
      <c r="B65" s="12" t="s">
        <v>58</v>
      </c>
      <c r="C65" s="12" t="s">
        <v>35</v>
      </c>
      <c r="D65" s="26" t="s">
        <v>234</v>
      </c>
    </row>
    <row r="66" spans="2:4">
      <c r="B66" s="12" t="s">
        <v>58</v>
      </c>
      <c r="C66" s="12" t="s">
        <v>51</v>
      </c>
      <c r="D66" s="26" t="s">
        <v>234</v>
      </c>
    </row>
    <row r="67" spans="2:4">
      <c r="B67" s="12" t="s">
        <v>58</v>
      </c>
      <c r="C67" s="12" t="s">
        <v>53</v>
      </c>
      <c r="D67" s="26" t="s">
        <v>234</v>
      </c>
    </row>
    <row r="68" spans="2:4">
      <c r="B68" s="12" t="s">
        <v>58</v>
      </c>
      <c r="C68" s="12" t="s">
        <v>59</v>
      </c>
      <c r="D68" s="26" t="s">
        <v>234</v>
      </c>
    </row>
    <row r="69" spans="2:4">
      <c r="B69" s="12" t="s">
        <v>60</v>
      </c>
      <c r="C69" s="12" t="s">
        <v>78</v>
      </c>
      <c r="D69" s="26" t="s">
        <v>93</v>
      </c>
    </row>
    <row r="70" spans="2:4">
      <c r="B70" s="12" t="s">
        <v>60</v>
      </c>
      <c r="C70" s="12" t="s">
        <v>61</v>
      </c>
      <c r="D70" s="26" t="s">
        <v>93</v>
      </c>
    </row>
    <row r="71" spans="2:4">
      <c r="B71" s="12" t="s">
        <v>60</v>
      </c>
      <c r="C71" s="12" t="s">
        <v>62</v>
      </c>
      <c r="D71" s="26" t="s">
        <v>234</v>
      </c>
    </row>
    <row r="72" spans="2:4">
      <c r="B72" s="12" t="s">
        <v>60</v>
      </c>
      <c r="C72" s="12" t="s">
        <v>63</v>
      </c>
      <c r="D72" s="26" t="s">
        <v>93</v>
      </c>
    </row>
    <row r="73" spans="2:4">
      <c r="B73" s="12" t="s">
        <v>60</v>
      </c>
      <c r="C73" s="12" t="s">
        <v>33</v>
      </c>
      <c r="D73" s="26" t="s">
        <v>93</v>
      </c>
    </row>
    <row r="74" spans="2:4">
      <c r="B74" s="12" t="s">
        <v>60</v>
      </c>
      <c r="C74" s="12" t="s">
        <v>35</v>
      </c>
      <c r="D74" s="26" t="s">
        <v>93</v>
      </c>
    </row>
    <row r="75" spans="2:4">
      <c r="B75" s="12" t="s">
        <v>60</v>
      </c>
      <c r="C75" s="12" t="s">
        <v>51</v>
      </c>
      <c r="D75" s="26" t="s">
        <v>93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6C9F70E-A12F-4601-B250-46A2BCB0C266}">
            <xm:f>'Aux Testes_Status'!$B$16</xm:f>
            <x14:dxf>
              <fill>
                <patternFill>
                  <bgColor rgb="FF993366"/>
                </patternFill>
              </fill>
            </x14:dxf>
          </x14:cfRule>
          <x14:cfRule type="cellIs" priority="2" operator="equal" id="{27D2DB8F-8B26-493F-907C-9D6078081E9D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64025599-BD04-40FC-9999-E8124674388C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E4A0EB0F-E4D5-429C-86FF-E19661041D48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8324AABF-E6BD-4346-980D-01D7AFC4F211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0B45F92D-B0CB-4293-A693-BBF491C4F052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BDF5F070-F8BD-4F44-9B1C-588A6399AFE0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1BA96CA-506D-40F0-AC83-149214D0D39F}">
          <x14:formula1>
            <xm:f>'Aux Testes_Status'!$B$10:$B$16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dimension ref="A1:AZ100"/>
  <sheetViews>
    <sheetView showGridLines="0" zoomScale="90" zoomScaleNormal="9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P29" sqref="P29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36" customWidth="1"/>
    <col min="22" max="52" width="3.6640625" style="3" customWidth="1"/>
    <col min="53" max="16384" width="9.109375" style="3" hidden="1"/>
  </cols>
  <sheetData>
    <row r="1" spans="1:52" ht="16.2" customHeight="1"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</row>
    <row r="2" spans="1:52">
      <c r="A2" s="4"/>
      <c r="B2" s="4"/>
      <c r="C2" s="4"/>
      <c r="D2" s="4"/>
      <c r="E2" s="4"/>
      <c r="F2" s="4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7"/>
      <c r="AX2" s="37"/>
      <c r="AY2" s="37"/>
      <c r="AZ2" s="37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</row>
    <row r="5" spans="1:52" ht="3" customHeight="1">
      <c r="A5" s="2"/>
      <c r="B5" s="2"/>
      <c r="C5" s="2"/>
      <c r="D5" s="2"/>
      <c r="E5" s="2"/>
      <c r="F5" s="2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</row>
    <row r="7" spans="1:52">
      <c r="B7" s="66" t="s">
        <v>208</v>
      </c>
    </row>
    <row r="8" spans="1:52" ht="6.9" customHeight="1"/>
    <row r="9" spans="1:52">
      <c r="B9" s="122" t="s">
        <v>237</v>
      </c>
      <c r="C9" s="67" t="s">
        <v>209</v>
      </c>
    </row>
    <row r="10" spans="1:52" ht="13.8">
      <c r="B10" s="65" t="s">
        <v>206</v>
      </c>
      <c r="C10" s="67" t="s">
        <v>211</v>
      </c>
    </row>
    <row r="11" spans="1:52" ht="14.4">
      <c r="B11" s="64">
        <v>3</v>
      </c>
      <c r="C11" s="67" t="s">
        <v>210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23"/>
      <c r="C12" s="67" t="s">
        <v>212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170" t="s">
        <v>99</v>
      </c>
      <c r="H14" s="171"/>
      <c r="I14" s="171"/>
      <c r="J14" s="172"/>
      <c r="K14" s="170" t="s">
        <v>100</v>
      </c>
      <c r="L14" s="171"/>
      <c r="M14" s="171"/>
      <c r="N14" s="171"/>
      <c r="O14" s="172"/>
      <c r="P14" s="170" t="s">
        <v>101</v>
      </c>
      <c r="Q14" s="171"/>
      <c r="R14" s="171"/>
      <c r="S14" s="171"/>
      <c r="T14" s="172"/>
      <c r="U14" s="170" t="s">
        <v>102</v>
      </c>
      <c r="V14" s="171"/>
      <c r="W14" s="171"/>
      <c r="X14" s="171"/>
      <c r="Y14" s="171"/>
      <c r="Z14" s="170" t="s">
        <v>103</v>
      </c>
      <c r="AA14" s="171"/>
      <c r="AB14" s="171"/>
      <c r="AC14" s="171"/>
      <c r="AD14" s="171"/>
      <c r="AE14" s="172"/>
      <c r="AF14" s="170" t="s">
        <v>104</v>
      </c>
      <c r="AG14" s="171"/>
      <c r="AH14" s="171"/>
      <c r="AI14" s="171"/>
      <c r="AJ14" s="171"/>
      <c r="AK14" s="170" t="s">
        <v>105</v>
      </c>
      <c r="AL14" s="171"/>
      <c r="AM14" s="171"/>
      <c r="AN14" s="172"/>
      <c r="AO14" s="170" t="s">
        <v>106</v>
      </c>
      <c r="AP14" s="171"/>
      <c r="AQ14" s="171"/>
      <c r="AR14" s="171"/>
      <c r="AS14" s="171"/>
      <c r="AT14" s="170" t="s">
        <v>107</v>
      </c>
      <c r="AU14" s="171"/>
      <c r="AV14" s="171"/>
      <c r="AW14" s="171"/>
      <c r="AX14" s="171"/>
      <c r="AY14" s="172"/>
    </row>
    <row r="15" spans="1:52" ht="15" customHeight="1" thickBot="1">
      <c r="B15" s="39" t="s">
        <v>96</v>
      </c>
      <c r="C15" s="170" t="s">
        <v>97</v>
      </c>
      <c r="D15" s="172"/>
      <c r="E15" s="39" t="s">
        <v>98</v>
      </c>
      <c r="G15" s="173" t="s">
        <v>213</v>
      </c>
      <c r="H15" s="174"/>
      <c r="I15" s="174"/>
      <c r="J15" s="175"/>
      <c r="K15" s="173" t="s">
        <v>214</v>
      </c>
      <c r="L15" s="174"/>
      <c r="M15" s="174"/>
      <c r="N15" s="174"/>
      <c r="O15" s="175"/>
      <c r="P15" s="173" t="s">
        <v>215</v>
      </c>
      <c r="Q15" s="174"/>
      <c r="R15" s="174"/>
      <c r="S15" s="174"/>
      <c r="T15" s="175"/>
      <c r="U15" s="173" t="s">
        <v>216</v>
      </c>
      <c r="V15" s="174"/>
      <c r="W15" s="174"/>
      <c r="X15" s="174"/>
      <c r="Y15" s="175"/>
      <c r="Z15" s="176" t="s">
        <v>217</v>
      </c>
      <c r="AA15" s="177"/>
      <c r="AB15" s="177"/>
      <c r="AC15" s="177"/>
      <c r="AD15" s="177"/>
      <c r="AE15" s="178"/>
      <c r="AF15" s="173" t="s">
        <v>218</v>
      </c>
      <c r="AG15" s="174"/>
      <c r="AH15" s="174"/>
      <c r="AI15" s="174"/>
      <c r="AJ15" s="175"/>
      <c r="AK15" s="173" t="s">
        <v>219</v>
      </c>
      <c r="AL15" s="174"/>
      <c r="AM15" s="174"/>
      <c r="AN15" s="175"/>
      <c r="AO15" s="173" t="s">
        <v>220</v>
      </c>
      <c r="AP15" s="174"/>
      <c r="AQ15" s="174"/>
      <c r="AR15" s="174"/>
      <c r="AS15" s="175"/>
      <c r="AT15" s="173" t="s">
        <v>221</v>
      </c>
      <c r="AU15" s="174"/>
      <c r="AV15" s="174"/>
      <c r="AW15" s="174"/>
      <c r="AX15" s="174"/>
      <c r="AY15" s="175"/>
    </row>
    <row r="16" spans="1:52" s="8" customFormat="1" ht="15" customHeight="1">
      <c r="B16" s="42" t="s">
        <v>108</v>
      </c>
      <c r="C16" s="180" t="s">
        <v>109</v>
      </c>
      <c r="D16" s="180"/>
      <c r="E16" s="40"/>
      <c r="G16" s="41"/>
      <c r="H16" s="41"/>
      <c r="I16" s="41"/>
      <c r="J16" s="93"/>
      <c r="K16" s="41"/>
      <c r="L16" s="41"/>
      <c r="M16" s="41"/>
      <c r="N16" s="41"/>
      <c r="O16" s="93"/>
      <c r="P16" s="41"/>
      <c r="Q16" s="41"/>
      <c r="R16" s="41"/>
      <c r="S16" s="41"/>
      <c r="T16" s="93"/>
      <c r="U16" s="41"/>
      <c r="V16" s="40"/>
      <c r="W16" s="40"/>
      <c r="X16" s="40"/>
      <c r="Y16" s="88"/>
      <c r="Z16" s="40"/>
      <c r="AA16" s="40"/>
      <c r="AB16" s="60"/>
      <c r="AC16" s="40"/>
      <c r="AD16" s="40"/>
      <c r="AE16" s="85"/>
      <c r="AF16" s="40"/>
      <c r="AG16" s="40"/>
      <c r="AH16" s="40"/>
      <c r="AI16" s="60"/>
      <c r="AJ16" s="89"/>
      <c r="AK16" s="40"/>
      <c r="AL16" s="40"/>
      <c r="AM16" s="40"/>
      <c r="AN16" s="92"/>
      <c r="AO16" s="40"/>
      <c r="AP16" s="40"/>
      <c r="AQ16" s="40"/>
      <c r="AR16" s="40"/>
      <c r="AS16" s="92"/>
      <c r="AT16" s="40"/>
      <c r="AU16" s="40"/>
      <c r="AV16" s="40"/>
      <c r="AW16" s="40"/>
      <c r="AX16" s="40"/>
      <c r="AY16" s="92"/>
    </row>
    <row r="17" spans="2:51" s="8" customFormat="1" ht="15" customHeight="1" outlineLevel="1">
      <c r="B17" s="51" t="s">
        <v>111</v>
      </c>
      <c r="C17" s="181" t="s">
        <v>197</v>
      </c>
      <c r="D17" s="181"/>
      <c r="E17" s="51" t="s">
        <v>195</v>
      </c>
      <c r="G17" s="64"/>
      <c r="H17" s="64"/>
      <c r="I17" s="64"/>
      <c r="J17" s="73"/>
      <c r="K17" s="71"/>
      <c r="L17" s="44"/>
      <c r="M17" s="44"/>
      <c r="N17" s="44"/>
      <c r="O17" s="73"/>
      <c r="P17" s="54"/>
      <c r="Q17" s="44"/>
      <c r="R17" s="44"/>
      <c r="S17" s="44"/>
      <c r="T17" s="73"/>
      <c r="U17" s="54"/>
      <c r="V17" s="43"/>
      <c r="W17" s="43"/>
      <c r="X17" s="43"/>
      <c r="Y17" s="81"/>
      <c r="Z17" s="58"/>
      <c r="AA17" s="56"/>
      <c r="AB17" s="61"/>
      <c r="AC17" s="58"/>
      <c r="AD17" s="43"/>
      <c r="AE17" s="86"/>
      <c r="AF17" s="58"/>
      <c r="AG17" s="43"/>
      <c r="AH17" s="43"/>
      <c r="AI17" s="61"/>
      <c r="AJ17" s="81"/>
      <c r="AK17" s="58"/>
      <c r="AL17" s="43"/>
      <c r="AM17" s="43"/>
      <c r="AN17" s="81"/>
      <c r="AO17" s="58"/>
      <c r="AP17" s="43"/>
      <c r="AQ17" s="43"/>
      <c r="AR17" s="43"/>
      <c r="AS17" s="81"/>
      <c r="AT17" s="58"/>
      <c r="AU17" s="43"/>
      <c r="AV17" s="43"/>
      <c r="AW17" s="43"/>
      <c r="AX17" s="43"/>
      <c r="AY17" s="81"/>
    </row>
    <row r="18" spans="2:51" s="8" customFormat="1" ht="15" customHeight="1" outlineLevel="1">
      <c r="B18" s="51" t="s">
        <v>196</v>
      </c>
      <c r="C18" s="181" t="s">
        <v>112</v>
      </c>
      <c r="D18" s="181"/>
      <c r="E18" s="51" t="s">
        <v>113</v>
      </c>
      <c r="G18" s="44"/>
      <c r="H18" s="44"/>
      <c r="I18" s="44"/>
      <c r="J18" s="74" t="s">
        <v>206</v>
      </c>
      <c r="K18" s="71"/>
      <c r="L18" s="44"/>
      <c r="M18" s="44"/>
      <c r="N18" s="44"/>
      <c r="O18" s="74" t="s">
        <v>206</v>
      </c>
      <c r="P18" s="54"/>
      <c r="Q18" s="44"/>
      <c r="R18" s="44"/>
      <c r="S18" s="44"/>
      <c r="T18" s="74" t="s">
        <v>206</v>
      </c>
      <c r="U18" s="54"/>
      <c r="V18" s="43"/>
      <c r="W18" s="43"/>
      <c r="X18" s="43"/>
      <c r="Y18" s="74" t="s">
        <v>206</v>
      </c>
      <c r="Z18" s="58"/>
      <c r="AA18" s="56"/>
      <c r="AB18" s="61"/>
      <c r="AC18" s="58"/>
      <c r="AD18" s="65" t="s">
        <v>206</v>
      </c>
      <c r="AE18" s="86"/>
      <c r="AF18" s="58"/>
      <c r="AG18" s="43"/>
      <c r="AH18" s="43"/>
      <c r="AI18" s="61"/>
      <c r="AJ18" s="74" t="s">
        <v>206</v>
      </c>
      <c r="AK18" s="58"/>
      <c r="AL18" s="43"/>
      <c r="AM18" s="43"/>
      <c r="AN18" s="74" t="s">
        <v>206</v>
      </c>
      <c r="AO18" s="58"/>
      <c r="AP18" s="43"/>
      <c r="AQ18" s="43"/>
      <c r="AR18" s="43"/>
      <c r="AS18" s="74" t="s">
        <v>206</v>
      </c>
      <c r="AT18" s="58"/>
      <c r="AU18" s="43"/>
      <c r="AV18" s="43"/>
      <c r="AW18" s="43"/>
      <c r="AX18" s="65" t="s">
        <v>206</v>
      </c>
      <c r="AY18" s="81"/>
    </row>
    <row r="19" spans="2:51" s="8" customFormat="1" ht="15" customHeight="1">
      <c r="B19" s="42" t="s">
        <v>110</v>
      </c>
      <c r="C19" s="179" t="s">
        <v>114</v>
      </c>
      <c r="D19" s="179"/>
      <c r="E19" s="40"/>
      <c r="G19" s="122" t="s">
        <v>237</v>
      </c>
      <c r="H19" s="41"/>
      <c r="I19" s="41"/>
      <c r="J19" s="75"/>
      <c r="K19" s="68"/>
      <c r="L19" s="68"/>
      <c r="M19" s="68"/>
      <c r="N19" s="68"/>
      <c r="O19" s="80"/>
      <c r="P19" s="41"/>
      <c r="Q19" s="41"/>
      <c r="R19" s="41"/>
      <c r="S19" s="41"/>
      <c r="T19" s="80"/>
      <c r="U19" s="41"/>
      <c r="V19" s="40"/>
      <c r="W19" s="40"/>
      <c r="X19" s="40"/>
      <c r="Y19" s="82"/>
      <c r="Z19" s="40"/>
      <c r="AA19" s="40"/>
      <c r="AB19" s="61"/>
      <c r="AC19" s="40"/>
      <c r="AD19" s="40"/>
      <c r="AE19" s="86"/>
      <c r="AF19" s="40"/>
      <c r="AG19" s="40"/>
      <c r="AH19" s="40"/>
      <c r="AI19" s="61"/>
      <c r="AJ19" s="90"/>
      <c r="AK19" s="40"/>
      <c r="AL19" s="40"/>
      <c r="AM19" s="40"/>
      <c r="AN19" s="82"/>
      <c r="AO19" s="40"/>
      <c r="AP19" s="40"/>
      <c r="AQ19" s="40"/>
      <c r="AR19" s="40"/>
      <c r="AS19" s="82"/>
      <c r="AT19" s="40"/>
      <c r="AU19" s="40"/>
      <c r="AV19" s="40"/>
      <c r="AW19" s="40"/>
      <c r="AX19" s="40"/>
      <c r="AY19" s="82"/>
    </row>
    <row r="20" spans="2:51" s="8" customFormat="1" ht="15" customHeight="1" outlineLevel="1">
      <c r="B20" s="45" t="s">
        <v>115</v>
      </c>
      <c r="C20" s="46" t="s">
        <v>0</v>
      </c>
      <c r="D20" s="46" t="s">
        <v>78</v>
      </c>
      <c r="E20" s="45" t="s">
        <v>195</v>
      </c>
      <c r="G20" s="63"/>
      <c r="H20" s="44"/>
      <c r="I20" s="44"/>
      <c r="J20" s="73"/>
      <c r="K20" s="71"/>
      <c r="L20" s="44"/>
      <c r="M20" s="69"/>
      <c r="N20" s="44"/>
      <c r="O20" s="73"/>
      <c r="P20" s="54"/>
      <c r="Q20" s="44"/>
      <c r="R20" s="44"/>
      <c r="S20" s="44"/>
      <c r="T20" s="73"/>
      <c r="U20" s="54"/>
      <c r="V20" s="43"/>
      <c r="W20" s="43"/>
      <c r="X20" s="43"/>
      <c r="Y20" s="81"/>
      <c r="Z20" s="58"/>
      <c r="AA20" s="56"/>
      <c r="AB20" s="61"/>
      <c r="AC20" s="58"/>
      <c r="AD20" s="43"/>
      <c r="AE20" s="86"/>
      <c r="AF20" s="58"/>
      <c r="AG20" s="43"/>
      <c r="AH20" s="43"/>
      <c r="AI20" s="61"/>
      <c r="AJ20" s="81"/>
      <c r="AK20" s="58"/>
      <c r="AL20" s="43"/>
      <c r="AM20" s="43"/>
      <c r="AN20" s="81"/>
      <c r="AO20" s="58"/>
      <c r="AP20" s="43"/>
      <c r="AQ20" s="43"/>
      <c r="AR20" s="43"/>
      <c r="AS20" s="81"/>
      <c r="AT20" s="58"/>
      <c r="AU20" s="43"/>
      <c r="AV20" s="43"/>
      <c r="AW20" s="43"/>
      <c r="AX20" s="43"/>
      <c r="AY20" s="81"/>
    </row>
    <row r="21" spans="2:51" s="8" customFormat="1" ht="15" customHeight="1" outlineLevel="1">
      <c r="B21" s="45" t="s">
        <v>116</v>
      </c>
      <c r="C21" s="46" t="s">
        <v>0</v>
      </c>
      <c r="D21" s="46" t="s">
        <v>2</v>
      </c>
      <c r="E21" s="45" t="s">
        <v>195</v>
      </c>
      <c r="G21" s="44"/>
      <c r="H21" s="44"/>
      <c r="I21" s="44"/>
      <c r="J21" s="73"/>
      <c r="K21" s="71"/>
      <c r="L21" s="69"/>
      <c r="M21" s="69"/>
      <c r="N21" s="69"/>
      <c r="O21" s="73"/>
      <c r="P21" s="54"/>
      <c r="Q21" s="44"/>
      <c r="R21" s="44"/>
      <c r="S21" s="44"/>
      <c r="T21" s="73"/>
      <c r="U21" s="54"/>
      <c r="V21" s="43"/>
      <c r="W21" s="43"/>
      <c r="X21" s="43"/>
      <c r="Y21" s="81"/>
      <c r="Z21" s="58"/>
      <c r="AA21" s="56"/>
      <c r="AB21" s="61"/>
      <c r="AC21" s="58"/>
      <c r="AD21" s="43"/>
      <c r="AE21" s="86"/>
      <c r="AF21" s="58"/>
      <c r="AG21" s="43"/>
      <c r="AH21" s="43"/>
      <c r="AI21" s="61"/>
      <c r="AJ21" s="81"/>
      <c r="AK21" s="58"/>
      <c r="AL21" s="43"/>
      <c r="AM21" s="43"/>
      <c r="AN21" s="81"/>
      <c r="AO21" s="58"/>
      <c r="AP21" s="43"/>
      <c r="AQ21" s="43"/>
      <c r="AR21" s="43"/>
      <c r="AS21" s="81"/>
      <c r="AT21" s="58"/>
      <c r="AU21" s="43"/>
      <c r="AV21" s="43"/>
      <c r="AW21" s="43"/>
      <c r="AX21" s="43"/>
      <c r="AY21" s="81"/>
    </row>
    <row r="22" spans="2:51" s="8" customFormat="1" ht="15" customHeight="1" outlineLevel="1">
      <c r="B22" s="47" t="s">
        <v>117</v>
      </c>
      <c r="C22" s="46" t="s">
        <v>0</v>
      </c>
      <c r="D22" s="48" t="s">
        <v>22</v>
      </c>
      <c r="E22" s="45" t="s">
        <v>195</v>
      </c>
      <c r="G22" s="44"/>
      <c r="H22" s="44"/>
      <c r="I22" s="44"/>
      <c r="J22" s="76"/>
      <c r="K22" s="71"/>
      <c r="L22" s="44"/>
      <c r="M22" s="44"/>
      <c r="N22" s="44"/>
      <c r="O22" s="73"/>
      <c r="P22" s="54"/>
      <c r="Q22" s="44"/>
      <c r="R22" s="44"/>
      <c r="S22" s="44"/>
      <c r="T22" s="73"/>
      <c r="U22" s="54"/>
      <c r="V22" s="43"/>
      <c r="W22" s="43"/>
      <c r="X22" s="43"/>
      <c r="Y22" s="81"/>
      <c r="Z22" s="58"/>
      <c r="AA22" s="56"/>
      <c r="AB22" s="61"/>
      <c r="AC22" s="58"/>
      <c r="AD22" s="43"/>
      <c r="AE22" s="86"/>
      <c r="AF22" s="58"/>
      <c r="AG22" s="43"/>
      <c r="AH22" s="43"/>
      <c r="AI22" s="61"/>
      <c r="AJ22" s="81"/>
      <c r="AK22" s="58"/>
      <c r="AL22" s="43"/>
      <c r="AM22" s="43"/>
      <c r="AN22" s="81"/>
      <c r="AO22" s="58"/>
      <c r="AP22" s="43"/>
      <c r="AQ22" s="43"/>
      <c r="AR22" s="43"/>
      <c r="AS22" s="81"/>
      <c r="AT22" s="58"/>
      <c r="AU22" s="43"/>
      <c r="AV22" s="43"/>
      <c r="AW22" s="43"/>
      <c r="AX22" s="43"/>
      <c r="AY22" s="81"/>
    </row>
    <row r="23" spans="2:51" s="8" customFormat="1" ht="15" customHeight="1" outlineLevel="1">
      <c r="B23" s="45" t="str">
        <f>_xlfn.CONCAT(B19,RIGHT(B22,1)+1)</f>
        <v>1.4</v>
      </c>
      <c r="C23" s="46" t="s">
        <v>0</v>
      </c>
      <c r="D23" s="48" t="s">
        <v>23</v>
      </c>
      <c r="E23" s="45" t="s">
        <v>195</v>
      </c>
      <c r="G23" s="44"/>
      <c r="H23" s="44"/>
      <c r="I23" s="44"/>
      <c r="J23" s="76"/>
      <c r="K23" s="71"/>
      <c r="L23" s="44"/>
      <c r="M23" s="44"/>
      <c r="N23" s="44"/>
      <c r="O23" s="73"/>
      <c r="P23" s="54"/>
      <c r="Q23" s="44"/>
      <c r="R23" s="44"/>
      <c r="S23" s="44"/>
      <c r="T23" s="73"/>
      <c r="U23" s="54"/>
      <c r="V23" s="43"/>
      <c r="W23" s="43"/>
      <c r="X23" s="43"/>
      <c r="Y23" s="81"/>
      <c r="Z23" s="58"/>
      <c r="AA23" s="56"/>
      <c r="AB23" s="61"/>
      <c r="AC23" s="58"/>
      <c r="AD23" s="43"/>
      <c r="AE23" s="86"/>
      <c r="AF23" s="58"/>
      <c r="AG23" s="43"/>
      <c r="AH23" s="43"/>
      <c r="AI23" s="61"/>
      <c r="AJ23" s="81"/>
      <c r="AK23" s="58"/>
      <c r="AL23" s="43"/>
      <c r="AM23" s="43"/>
      <c r="AN23" s="81"/>
      <c r="AO23" s="58"/>
      <c r="AP23" s="43"/>
      <c r="AQ23" s="43"/>
      <c r="AR23" s="43"/>
      <c r="AS23" s="81"/>
      <c r="AT23" s="58"/>
      <c r="AU23" s="43"/>
      <c r="AV23" s="43"/>
      <c r="AW23" s="43"/>
      <c r="AX23" s="43"/>
      <c r="AY23" s="81"/>
    </row>
    <row r="24" spans="2:51" s="8" customFormat="1" ht="15" customHeight="1" outlineLevel="1">
      <c r="B24" s="49" t="s">
        <v>118</v>
      </c>
      <c r="C24" s="46" t="s">
        <v>0</v>
      </c>
      <c r="D24" s="48" t="s">
        <v>24</v>
      </c>
      <c r="E24" s="45" t="s">
        <v>195</v>
      </c>
      <c r="G24" s="44"/>
      <c r="H24" s="44"/>
      <c r="I24" s="44"/>
      <c r="J24" s="76"/>
      <c r="K24" s="71"/>
      <c r="L24" s="44"/>
      <c r="M24" s="44"/>
      <c r="N24" s="44"/>
      <c r="O24" s="73"/>
      <c r="P24" s="54"/>
      <c r="Q24" s="44"/>
      <c r="R24" s="44"/>
      <c r="S24" s="44"/>
      <c r="T24" s="73"/>
      <c r="U24" s="54"/>
      <c r="V24" s="43"/>
      <c r="W24" s="43"/>
      <c r="X24" s="43"/>
      <c r="Y24" s="81"/>
      <c r="Z24" s="58"/>
      <c r="AA24" s="56"/>
      <c r="AB24" s="61"/>
      <c r="AC24" s="58"/>
      <c r="AD24" s="43"/>
      <c r="AE24" s="86"/>
      <c r="AF24" s="58"/>
      <c r="AG24" s="43"/>
      <c r="AH24" s="43"/>
      <c r="AI24" s="61"/>
      <c r="AJ24" s="81"/>
      <c r="AK24" s="58"/>
      <c r="AL24" s="43"/>
      <c r="AM24" s="43"/>
      <c r="AN24" s="81"/>
      <c r="AO24" s="58"/>
      <c r="AP24" s="43"/>
      <c r="AQ24" s="43"/>
      <c r="AR24" s="43"/>
      <c r="AS24" s="81"/>
      <c r="AT24" s="58"/>
      <c r="AU24" s="43"/>
      <c r="AV24" s="43"/>
      <c r="AW24" s="43"/>
      <c r="AX24" s="43"/>
      <c r="AY24" s="81"/>
    </row>
    <row r="25" spans="2:51" s="8" customFormat="1" ht="15" customHeight="1" outlineLevel="1">
      <c r="B25" s="45" t="s">
        <v>119</v>
      </c>
      <c r="C25" s="46" t="s">
        <v>0</v>
      </c>
      <c r="D25" s="48" t="s">
        <v>25</v>
      </c>
      <c r="E25" s="45" t="s">
        <v>195</v>
      </c>
      <c r="G25" s="44"/>
      <c r="H25" s="44"/>
      <c r="I25" s="44"/>
      <c r="J25" s="76"/>
      <c r="K25" s="71"/>
      <c r="L25" s="44"/>
      <c r="M25" s="44"/>
      <c r="N25" s="44"/>
      <c r="O25" s="73"/>
      <c r="P25" s="54"/>
      <c r="Q25" s="44"/>
      <c r="R25" s="44"/>
      <c r="S25" s="44"/>
      <c r="T25" s="73"/>
      <c r="U25" s="54"/>
      <c r="V25" s="43"/>
      <c r="W25" s="43"/>
      <c r="X25" s="43"/>
      <c r="Y25" s="81"/>
      <c r="Z25" s="58"/>
      <c r="AA25" s="56"/>
      <c r="AB25" s="61"/>
      <c r="AC25" s="58"/>
      <c r="AD25" s="43"/>
      <c r="AE25" s="86"/>
      <c r="AF25" s="58"/>
      <c r="AG25" s="43"/>
      <c r="AH25" s="43"/>
      <c r="AI25" s="61"/>
      <c r="AJ25" s="81"/>
      <c r="AK25" s="58"/>
      <c r="AL25" s="43"/>
      <c r="AM25" s="43"/>
      <c r="AN25" s="81"/>
      <c r="AO25" s="58"/>
      <c r="AP25" s="43"/>
      <c r="AQ25" s="43"/>
      <c r="AR25" s="43"/>
      <c r="AS25" s="81"/>
      <c r="AT25" s="58"/>
      <c r="AU25" s="43"/>
      <c r="AV25" s="43"/>
      <c r="AW25" s="43"/>
      <c r="AX25" s="43"/>
      <c r="AY25" s="81"/>
    </row>
    <row r="26" spans="2:51" s="8" customFormat="1" ht="15" customHeight="1" outlineLevel="1">
      <c r="B26" s="49" t="s">
        <v>120</v>
      </c>
      <c r="C26" s="46" t="s">
        <v>0</v>
      </c>
      <c r="D26" s="48" t="s">
        <v>26</v>
      </c>
      <c r="E26" s="45" t="s">
        <v>195</v>
      </c>
      <c r="G26" s="44"/>
      <c r="H26" s="44"/>
      <c r="I26" s="44"/>
      <c r="J26" s="76"/>
      <c r="K26" s="71"/>
      <c r="L26" s="44"/>
      <c r="M26" s="44"/>
      <c r="N26" s="44"/>
      <c r="O26" s="73"/>
      <c r="P26" s="54"/>
      <c r="Q26" s="44"/>
      <c r="R26" s="44"/>
      <c r="S26" s="44"/>
      <c r="T26" s="73"/>
      <c r="U26" s="54"/>
      <c r="V26" s="43"/>
      <c r="W26" s="43"/>
      <c r="X26" s="43"/>
      <c r="Y26" s="81"/>
      <c r="Z26" s="58"/>
      <c r="AA26" s="56"/>
      <c r="AB26" s="61"/>
      <c r="AC26" s="58"/>
      <c r="AD26" s="43"/>
      <c r="AE26" s="86"/>
      <c r="AF26" s="58"/>
      <c r="AG26" s="43"/>
      <c r="AH26" s="43"/>
      <c r="AI26" s="61"/>
      <c r="AJ26" s="81"/>
      <c r="AK26" s="58"/>
      <c r="AL26" s="43"/>
      <c r="AM26" s="43"/>
      <c r="AN26" s="81"/>
      <c r="AO26" s="58"/>
      <c r="AP26" s="43"/>
      <c r="AQ26" s="43"/>
      <c r="AR26" s="43"/>
      <c r="AS26" s="81"/>
      <c r="AT26" s="58"/>
      <c r="AU26" s="43"/>
      <c r="AV26" s="43"/>
      <c r="AW26" s="43"/>
      <c r="AX26" s="43"/>
      <c r="AY26" s="81"/>
    </row>
    <row r="27" spans="2:51" s="8" customFormat="1" ht="15" customHeight="1" outlineLevel="1">
      <c r="B27" s="45" t="s">
        <v>121</v>
      </c>
      <c r="C27" s="46" t="s">
        <v>0</v>
      </c>
      <c r="D27" s="48" t="s">
        <v>27</v>
      </c>
      <c r="E27" s="45" t="s">
        <v>195</v>
      </c>
      <c r="G27" s="44"/>
      <c r="H27" s="44"/>
      <c r="I27" s="44"/>
      <c r="J27" s="76"/>
      <c r="K27" s="72"/>
      <c r="L27" s="44"/>
      <c r="M27" s="44"/>
      <c r="N27" s="44"/>
      <c r="O27" s="73"/>
      <c r="P27" s="54"/>
      <c r="Q27" s="44"/>
      <c r="R27" s="44"/>
      <c r="S27" s="44"/>
      <c r="T27" s="73"/>
      <c r="U27" s="54"/>
      <c r="V27" s="43"/>
      <c r="W27" s="43"/>
      <c r="X27" s="43"/>
      <c r="Y27" s="81"/>
      <c r="Z27" s="58"/>
      <c r="AA27" s="56"/>
      <c r="AB27" s="61"/>
      <c r="AC27" s="58"/>
      <c r="AD27" s="43"/>
      <c r="AE27" s="86"/>
      <c r="AF27" s="58"/>
      <c r="AG27" s="43"/>
      <c r="AH27" s="43"/>
      <c r="AI27" s="61"/>
      <c r="AJ27" s="81"/>
      <c r="AK27" s="58"/>
      <c r="AL27" s="43"/>
      <c r="AM27" s="43"/>
      <c r="AN27" s="81"/>
      <c r="AO27" s="58"/>
      <c r="AP27" s="43"/>
      <c r="AQ27" s="43"/>
      <c r="AR27" s="43"/>
      <c r="AS27" s="81"/>
      <c r="AT27" s="58"/>
      <c r="AU27" s="43"/>
      <c r="AV27" s="43"/>
      <c r="AW27" s="43"/>
      <c r="AX27" s="43"/>
      <c r="AY27" s="81"/>
    </row>
    <row r="28" spans="2:51" s="8" customFormat="1" ht="15" customHeight="1" outlineLevel="1">
      <c r="B28" s="49" t="s">
        <v>122</v>
      </c>
      <c r="C28" s="46" t="s">
        <v>0</v>
      </c>
      <c r="D28" s="48" t="s">
        <v>28</v>
      </c>
      <c r="E28" s="45" t="s">
        <v>195</v>
      </c>
      <c r="G28" s="44"/>
      <c r="H28" s="44"/>
      <c r="I28" s="44"/>
      <c r="J28" s="73"/>
      <c r="K28" s="72"/>
      <c r="L28" s="44"/>
      <c r="M28" s="44"/>
      <c r="N28" s="44"/>
      <c r="O28" s="73"/>
      <c r="P28" s="54"/>
      <c r="Q28" s="44"/>
      <c r="R28" s="44"/>
      <c r="S28" s="44"/>
      <c r="T28" s="73"/>
      <c r="U28" s="54"/>
      <c r="V28" s="43"/>
      <c r="W28" s="43"/>
      <c r="X28" s="43"/>
      <c r="Y28" s="81"/>
      <c r="Z28" s="58"/>
      <c r="AA28" s="56"/>
      <c r="AB28" s="61"/>
      <c r="AC28" s="58"/>
      <c r="AD28" s="43"/>
      <c r="AE28" s="86"/>
      <c r="AF28" s="58"/>
      <c r="AG28" s="43"/>
      <c r="AH28" s="43"/>
      <c r="AI28" s="61"/>
      <c r="AJ28" s="81"/>
      <c r="AK28" s="58"/>
      <c r="AL28" s="43"/>
      <c r="AM28" s="43"/>
      <c r="AN28" s="81"/>
      <c r="AO28" s="58"/>
      <c r="AP28" s="43"/>
      <c r="AQ28" s="43"/>
      <c r="AR28" s="43"/>
      <c r="AS28" s="81"/>
      <c r="AT28" s="58"/>
      <c r="AU28" s="43"/>
      <c r="AV28" s="43"/>
      <c r="AW28" s="43"/>
      <c r="AX28" s="43"/>
      <c r="AY28" s="81"/>
    </row>
    <row r="29" spans="2:51" s="8" customFormat="1" ht="15" customHeight="1" outlineLevel="1">
      <c r="B29" s="50" t="s">
        <v>123</v>
      </c>
      <c r="C29" s="46" t="s">
        <v>0</v>
      </c>
      <c r="D29" s="48" t="s">
        <v>29</v>
      </c>
      <c r="E29" s="45" t="s">
        <v>195</v>
      </c>
      <c r="G29" s="44"/>
      <c r="H29" s="44"/>
      <c r="I29" s="44"/>
      <c r="J29" s="73"/>
      <c r="K29" s="72"/>
      <c r="L29" s="44"/>
      <c r="M29" s="44"/>
      <c r="N29" s="44"/>
      <c r="O29" s="73"/>
      <c r="P29" s="54"/>
      <c r="Q29" s="44"/>
      <c r="R29" s="44"/>
      <c r="S29" s="44"/>
      <c r="T29" s="73"/>
      <c r="U29" s="54"/>
      <c r="V29" s="43"/>
      <c r="W29" s="43"/>
      <c r="X29" s="43"/>
      <c r="Y29" s="81"/>
      <c r="Z29" s="58"/>
      <c r="AA29" s="56"/>
      <c r="AB29" s="61"/>
      <c r="AC29" s="58"/>
      <c r="AD29" s="43"/>
      <c r="AE29" s="86"/>
      <c r="AF29" s="58"/>
      <c r="AG29" s="43"/>
      <c r="AH29" s="43"/>
      <c r="AI29" s="61"/>
      <c r="AJ29" s="81"/>
      <c r="AK29" s="58"/>
      <c r="AL29" s="43"/>
      <c r="AM29" s="43"/>
      <c r="AN29" s="81"/>
      <c r="AO29" s="58"/>
      <c r="AP29" s="43"/>
      <c r="AQ29" s="43"/>
      <c r="AR29" s="43"/>
      <c r="AS29" s="81"/>
      <c r="AT29" s="58"/>
      <c r="AU29" s="43"/>
      <c r="AV29" s="43"/>
      <c r="AW29" s="43"/>
      <c r="AX29" s="43"/>
      <c r="AY29" s="81"/>
    </row>
    <row r="30" spans="2:51" s="8" customFormat="1" ht="15" customHeight="1" outlineLevel="1">
      <c r="B30" s="45" t="s">
        <v>124</v>
      </c>
      <c r="C30" s="46" t="s">
        <v>0</v>
      </c>
      <c r="D30" s="48" t="s">
        <v>35</v>
      </c>
      <c r="E30" s="45" t="s">
        <v>195</v>
      </c>
      <c r="G30" s="44"/>
      <c r="H30" s="44"/>
      <c r="I30" s="44"/>
      <c r="J30" s="73"/>
      <c r="K30" s="72"/>
      <c r="L30" s="44"/>
      <c r="M30" s="44"/>
      <c r="N30" s="44"/>
      <c r="O30" s="73"/>
      <c r="P30" s="54"/>
      <c r="Q30" s="44"/>
      <c r="R30" s="44"/>
      <c r="S30" s="44"/>
      <c r="T30" s="73"/>
      <c r="U30" s="54"/>
      <c r="V30" s="43"/>
      <c r="W30" s="43"/>
      <c r="X30" s="43"/>
      <c r="Y30" s="81"/>
      <c r="Z30" s="58"/>
      <c r="AA30" s="56"/>
      <c r="AB30" s="61"/>
      <c r="AC30" s="58"/>
      <c r="AD30" s="43"/>
      <c r="AE30" s="86"/>
      <c r="AF30" s="58"/>
      <c r="AG30" s="43"/>
      <c r="AH30" s="43"/>
      <c r="AI30" s="61"/>
      <c r="AJ30" s="81"/>
      <c r="AK30" s="58"/>
      <c r="AL30" s="43"/>
      <c r="AM30" s="43"/>
      <c r="AN30" s="81"/>
      <c r="AO30" s="58"/>
      <c r="AP30" s="43"/>
      <c r="AQ30" s="43"/>
      <c r="AR30" s="43"/>
      <c r="AS30" s="81"/>
      <c r="AT30" s="58"/>
      <c r="AU30" s="43"/>
      <c r="AV30" s="43"/>
      <c r="AW30" s="43"/>
      <c r="AX30" s="43"/>
      <c r="AY30" s="81"/>
    </row>
    <row r="31" spans="2:51" s="8" customFormat="1" ht="15" customHeight="1" outlineLevel="1">
      <c r="B31" s="45" t="s">
        <v>125</v>
      </c>
      <c r="C31" s="46" t="s">
        <v>0</v>
      </c>
      <c r="D31" s="46" t="s">
        <v>50</v>
      </c>
      <c r="E31" s="45" t="s">
        <v>195</v>
      </c>
      <c r="G31" s="44"/>
      <c r="H31" s="44"/>
      <c r="I31" s="44"/>
      <c r="J31" s="73"/>
      <c r="K31" s="71"/>
      <c r="L31" s="44"/>
      <c r="M31" s="69"/>
      <c r="N31" s="44"/>
      <c r="O31" s="73"/>
      <c r="P31" s="54"/>
      <c r="Q31" s="44"/>
      <c r="R31" s="44"/>
      <c r="S31" s="44"/>
      <c r="T31" s="73"/>
      <c r="U31" s="54"/>
      <c r="V31" s="43"/>
      <c r="W31" s="43"/>
      <c r="X31" s="43"/>
      <c r="Y31" s="81"/>
      <c r="Z31" s="58"/>
      <c r="AA31" s="56"/>
      <c r="AB31" s="61"/>
      <c r="AC31" s="58"/>
      <c r="AD31" s="43"/>
      <c r="AE31" s="86"/>
      <c r="AF31" s="58"/>
      <c r="AG31" s="43"/>
      <c r="AH31" s="43"/>
      <c r="AI31" s="61"/>
      <c r="AJ31" s="81"/>
      <c r="AK31" s="58"/>
      <c r="AL31" s="43"/>
      <c r="AM31" s="43"/>
      <c r="AN31" s="81"/>
      <c r="AO31" s="58"/>
      <c r="AP31" s="43"/>
      <c r="AQ31" s="43"/>
      <c r="AR31" s="43"/>
      <c r="AS31" s="81"/>
      <c r="AT31" s="58"/>
      <c r="AU31" s="43"/>
      <c r="AV31" s="43"/>
      <c r="AW31" s="43"/>
      <c r="AX31" s="43"/>
      <c r="AY31" s="81"/>
    </row>
    <row r="32" spans="2:51" s="8" customFormat="1" ht="15" customHeight="1" outlineLevel="1">
      <c r="B32" s="45" t="s">
        <v>126</v>
      </c>
      <c r="C32" s="46" t="s">
        <v>0</v>
      </c>
      <c r="D32" s="46" t="s">
        <v>51</v>
      </c>
      <c r="E32" s="45" t="s">
        <v>195</v>
      </c>
      <c r="G32" s="44"/>
      <c r="H32" s="44"/>
      <c r="I32" s="44"/>
      <c r="J32" s="73"/>
      <c r="K32" s="72"/>
      <c r="L32" s="44"/>
      <c r="M32" s="44"/>
      <c r="N32" s="44"/>
      <c r="O32" s="73"/>
      <c r="P32" s="54"/>
      <c r="Q32" s="44"/>
      <c r="R32" s="44"/>
      <c r="S32" s="44"/>
      <c r="T32" s="73"/>
      <c r="U32" s="54"/>
      <c r="V32" s="43"/>
      <c r="W32" s="43"/>
      <c r="X32" s="43"/>
      <c r="Y32" s="81"/>
      <c r="Z32" s="58"/>
      <c r="AA32" s="56"/>
      <c r="AB32" s="61"/>
      <c r="AC32" s="58"/>
      <c r="AD32" s="43"/>
      <c r="AE32" s="86"/>
      <c r="AF32" s="58"/>
      <c r="AG32" s="43"/>
      <c r="AH32" s="43"/>
      <c r="AI32" s="61"/>
      <c r="AJ32" s="81"/>
      <c r="AK32" s="58"/>
      <c r="AL32" s="43"/>
      <c r="AM32" s="43"/>
      <c r="AN32" s="81"/>
      <c r="AO32" s="58"/>
      <c r="AP32" s="43"/>
      <c r="AQ32" s="43"/>
      <c r="AR32" s="43"/>
      <c r="AS32" s="81"/>
      <c r="AT32" s="58"/>
      <c r="AU32" s="43"/>
      <c r="AV32" s="43"/>
      <c r="AW32" s="43"/>
      <c r="AX32" s="43"/>
      <c r="AY32" s="81"/>
    </row>
    <row r="33" spans="2:51" s="8" customFormat="1" ht="15" customHeight="1">
      <c r="B33" s="42" t="s">
        <v>127</v>
      </c>
      <c r="C33" s="179" t="s">
        <v>128</v>
      </c>
      <c r="D33" s="179"/>
      <c r="E33" s="40"/>
      <c r="G33" s="122" t="s">
        <v>237</v>
      </c>
      <c r="H33" s="41"/>
      <c r="I33" s="41"/>
      <c r="J33" s="78"/>
      <c r="K33" s="41"/>
      <c r="L33" s="41"/>
      <c r="M33" s="41"/>
      <c r="N33" s="68"/>
      <c r="O33" s="75"/>
      <c r="P33" s="68"/>
      <c r="Q33" s="68"/>
      <c r="R33" s="40"/>
      <c r="S33" s="40"/>
      <c r="T33" s="82"/>
      <c r="U33" s="41"/>
      <c r="V33" s="40"/>
      <c r="W33" s="40"/>
      <c r="X33" s="40"/>
      <c r="Y33" s="82"/>
      <c r="Z33" s="40"/>
      <c r="AA33" s="40"/>
      <c r="AB33" s="61"/>
      <c r="AC33" s="40"/>
      <c r="AD33" s="40"/>
      <c r="AE33" s="86"/>
      <c r="AF33" s="40"/>
      <c r="AG33" s="40"/>
      <c r="AH33" s="70"/>
      <c r="AI33" s="61"/>
      <c r="AJ33" s="91"/>
      <c r="AK33" s="70"/>
      <c r="AL33" s="70"/>
      <c r="AM33" s="70"/>
      <c r="AN33" s="84"/>
      <c r="AO33" s="40"/>
      <c r="AP33" s="40"/>
      <c r="AQ33" s="40"/>
      <c r="AR33" s="40"/>
      <c r="AS33" s="82"/>
      <c r="AT33" s="40"/>
      <c r="AU33" s="40"/>
      <c r="AV33" s="40"/>
      <c r="AW33" s="40"/>
      <c r="AX33" s="40"/>
      <c r="AY33" s="82"/>
    </row>
    <row r="34" spans="2:51" s="8" customFormat="1" ht="15" customHeight="1" outlineLevel="1">
      <c r="B34" s="45" t="s">
        <v>132</v>
      </c>
      <c r="C34" s="46" t="s">
        <v>0</v>
      </c>
      <c r="D34" s="46" t="s">
        <v>3</v>
      </c>
      <c r="E34" s="45" t="s">
        <v>195</v>
      </c>
      <c r="G34" s="63"/>
      <c r="H34" s="44"/>
      <c r="I34" s="44"/>
      <c r="J34" s="73"/>
      <c r="K34" s="71"/>
      <c r="L34" s="44"/>
      <c r="M34" s="44"/>
      <c r="N34" s="69"/>
      <c r="O34" s="73"/>
      <c r="P34" s="54"/>
      <c r="Q34" s="44"/>
      <c r="R34" s="44"/>
      <c r="S34" s="44"/>
      <c r="T34" s="73"/>
      <c r="U34" s="54"/>
      <c r="V34" s="43"/>
      <c r="W34" s="43"/>
      <c r="X34" s="43"/>
      <c r="Y34" s="81"/>
      <c r="Z34" s="58"/>
      <c r="AA34" s="56"/>
      <c r="AB34" s="61"/>
      <c r="AC34" s="58"/>
      <c r="AD34" s="43"/>
      <c r="AE34" s="86"/>
      <c r="AF34" s="58"/>
      <c r="AG34" s="43"/>
      <c r="AH34" s="43"/>
      <c r="AI34" s="61"/>
      <c r="AJ34" s="81"/>
      <c r="AK34" s="58"/>
      <c r="AL34" s="43"/>
      <c r="AM34" s="43"/>
      <c r="AN34" s="81"/>
      <c r="AO34" s="58"/>
      <c r="AP34" s="43"/>
      <c r="AQ34" s="43"/>
      <c r="AR34" s="43"/>
      <c r="AS34" s="81"/>
      <c r="AT34" s="58"/>
      <c r="AU34" s="43"/>
      <c r="AV34" s="43"/>
      <c r="AW34" s="43"/>
      <c r="AX34" s="43"/>
      <c r="AY34" s="81"/>
    </row>
    <row r="35" spans="2:51" s="8" customFormat="1" ht="15" customHeight="1" outlineLevel="1">
      <c r="B35" s="45" t="s">
        <v>133</v>
      </c>
      <c r="C35" s="46" t="s">
        <v>0</v>
      </c>
      <c r="D35" s="46" t="s">
        <v>4</v>
      </c>
      <c r="E35" s="45" t="s">
        <v>195</v>
      </c>
      <c r="G35" s="44"/>
      <c r="H35" s="44"/>
      <c r="I35" s="44"/>
      <c r="J35" s="73"/>
      <c r="K35" s="71"/>
      <c r="L35" s="44"/>
      <c r="M35" s="44"/>
      <c r="N35" s="69"/>
      <c r="O35" s="76"/>
      <c r="P35" s="54"/>
      <c r="Q35" s="44"/>
      <c r="R35" s="44"/>
      <c r="S35" s="44"/>
      <c r="T35" s="73"/>
      <c r="U35" s="54"/>
      <c r="V35" s="43"/>
      <c r="W35" s="43"/>
      <c r="X35" s="43"/>
      <c r="Y35" s="81"/>
      <c r="Z35" s="58"/>
      <c r="AA35" s="56"/>
      <c r="AB35" s="61"/>
      <c r="AC35" s="58"/>
      <c r="AD35" s="43"/>
      <c r="AE35" s="86"/>
      <c r="AF35" s="58"/>
      <c r="AG35" s="43"/>
      <c r="AH35" s="43"/>
      <c r="AI35" s="61"/>
      <c r="AJ35" s="81"/>
      <c r="AK35" s="58"/>
      <c r="AL35" s="43"/>
      <c r="AM35" s="43"/>
      <c r="AN35" s="81"/>
      <c r="AO35" s="58"/>
      <c r="AP35" s="43"/>
      <c r="AQ35" s="43"/>
      <c r="AR35" s="43"/>
      <c r="AS35" s="81"/>
      <c r="AT35" s="58"/>
      <c r="AU35" s="43"/>
      <c r="AV35" s="43"/>
      <c r="AW35" s="43"/>
      <c r="AX35" s="43"/>
      <c r="AY35" s="81"/>
    </row>
    <row r="36" spans="2:51" s="8" customFormat="1" ht="15" customHeight="1" outlineLevel="1">
      <c r="B36" s="47" t="s">
        <v>134</v>
      </c>
      <c r="C36" s="46" t="s">
        <v>0</v>
      </c>
      <c r="D36" s="46" t="s">
        <v>9</v>
      </c>
      <c r="E36" s="45" t="s">
        <v>195</v>
      </c>
      <c r="G36" s="44"/>
      <c r="H36" s="44"/>
      <c r="I36" s="44"/>
      <c r="J36" s="73"/>
      <c r="K36" s="71"/>
      <c r="L36" s="44"/>
      <c r="M36" s="44"/>
      <c r="N36" s="44"/>
      <c r="O36" s="76"/>
      <c r="P36" s="72"/>
      <c r="Q36" s="44"/>
      <c r="R36" s="44"/>
      <c r="S36" s="44"/>
      <c r="T36" s="73"/>
      <c r="U36" s="54"/>
      <c r="V36" s="43"/>
      <c r="W36" s="43"/>
      <c r="X36" s="43"/>
      <c r="Y36" s="81"/>
      <c r="Z36" s="58"/>
      <c r="AA36" s="56"/>
      <c r="AB36" s="61"/>
      <c r="AC36" s="58"/>
      <c r="AD36" s="43"/>
      <c r="AE36" s="86"/>
      <c r="AF36" s="58"/>
      <c r="AG36" s="43"/>
      <c r="AH36" s="43"/>
      <c r="AI36" s="61"/>
      <c r="AJ36" s="81"/>
      <c r="AK36" s="58"/>
      <c r="AL36" s="43"/>
      <c r="AM36" s="43"/>
      <c r="AN36" s="81"/>
      <c r="AO36" s="58"/>
      <c r="AP36" s="43"/>
      <c r="AQ36" s="43"/>
      <c r="AR36" s="43"/>
      <c r="AS36" s="81"/>
      <c r="AT36" s="58"/>
      <c r="AU36" s="43"/>
      <c r="AV36" s="43"/>
      <c r="AW36" s="43"/>
      <c r="AX36" s="43"/>
      <c r="AY36" s="81"/>
    </row>
    <row r="37" spans="2:51" s="8" customFormat="1" ht="15" customHeight="1" outlineLevel="1">
      <c r="B37" s="45" t="s">
        <v>135</v>
      </c>
      <c r="C37" s="46" t="s">
        <v>0</v>
      </c>
      <c r="D37" s="46" t="s">
        <v>15</v>
      </c>
      <c r="E37" s="45" t="s">
        <v>195</v>
      </c>
      <c r="G37" s="44"/>
      <c r="H37" s="44"/>
      <c r="I37" s="44"/>
      <c r="J37" s="73"/>
      <c r="K37" s="71"/>
      <c r="L37" s="44"/>
      <c r="M37" s="44"/>
      <c r="N37" s="44"/>
      <c r="O37" s="73"/>
      <c r="P37" s="72"/>
      <c r="Q37" s="44"/>
      <c r="R37" s="44"/>
      <c r="S37" s="44"/>
      <c r="T37" s="73"/>
      <c r="U37" s="54"/>
      <c r="V37" s="43"/>
      <c r="W37" s="43"/>
      <c r="X37" s="43"/>
      <c r="Y37" s="81"/>
      <c r="Z37" s="58"/>
      <c r="AA37" s="56"/>
      <c r="AB37" s="61"/>
      <c r="AC37" s="58"/>
      <c r="AD37" s="43"/>
      <c r="AE37" s="86"/>
      <c r="AF37" s="58"/>
      <c r="AG37" s="43"/>
      <c r="AH37" s="43"/>
      <c r="AI37" s="61"/>
      <c r="AJ37" s="81"/>
      <c r="AK37" s="58"/>
      <c r="AL37" s="43"/>
      <c r="AM37" s="43"/>
      <c r="AN37" s="81"/>
      <c r="AO37" s="58"/>
      <c r="AP37" s="43"/>
      <c r="AQ37" s="43"/>
      <c r="AR37" s="43"/>
      <c r="AS37" s="81"/>
      <c r="AT37" s="58"/>
      <c r="AU37" s="43"/>
      <c r="AV37" s="43"/>
      <c r="AW37" s="43"/>
      <c r="AX37" s="43"/>
      <c r="AY37" s="81"/>
    </row>
    <row r="38" spans="2:51" s="8" customFormat="1" ht="15" customHeight="1" outlineLevel="1">
      <c r="B38" s="49" t="s">
        <v>136</v>
      </c>
      <c r="C38" s="46" t="s">
        <v>0</v>
      </c>
      <c r="D38" s="46" t="s">
        <v>17</v>
      </c>
      <c r="E38" s="45" t="s">
        <v>195</v>
      </c>
      <c r="G38" s="44"/>
      <c r="H38" s="44"/>
      <c r="I38" s="44"/>
      <c r="J38" s="73"/>
      <c r="K38" s="71"/>
      <c r="L38" s="44"/>
      <c r="M38" s="44"/>
      <c r="N38" s="44"/>
      <c r="O38" s="73"/>
      <c r="P38" s="72"/>
      <c r="Q38" s="69"/>
      <c r="R38" s="44"/>
      <c r="S38" s="44"/>
      <c r="T38" s="73"/>
      <c r="U38" s="54"/>
      <c r="V38" s="43"/>
      <c r="W38" s="43"/>
      <c r="X38" s="43"/>
      <c r="Y38" s="81"/>
      <c r="Z38" s="58"/>
      <c r="AA38" s="56"/>
      <c r="AB38" s="61"/>
      <c r="AC38" s="58"/>
      <c r="AD38" s="43"/>
      <c r="AE38" s="86"/>
      <c r="AF38" s="58"/>
      <c r="AG38" s="43"/>
      <c r="AH38" s="43"/>
      <c r="AI38" s="61"/>
      <c r="AJ38" s="81"/>
      <c r="AK38" s="58"/>
      <c r="AL38" s="43"/>
      <c r="AM38" s="43"/>
      <c r="AN38" s="81"/>
      <c r="AO38" s="58"/>
      <c r="AP38" s="43"/>
      <c r="AQ38" s="43"/>
      <c r="AR38" s="43"/>
      <c r="AS38" s="81"/>
      <c r="AT38" s="58"/>
      <c r="AU38" s="43"/>
      <c r="AV38" s="43"/>
      <c r="AW38" s="43"/>
      <c r="AX38" s="43"/>
      <c r="AY38" s="81"/>
    </row>
    <row r="39" spans="2:51" s="8" customFormat="1" ht="15" customHeight="1" outlineLevel="1">
      <c r="B39" s="45" t="s">
        <v>137</v>
      </c>
      <c r="C39" s="46" t="s">
        <v>0</v>
      </c>
      <c r="D39" s="46" t="s">
        <v>18</v>
      </c>
      <c r="E39" s="45" t="s">
        <v>195</v>
      </c>
      <c r="G39" s="44"/>
      <c r="H39" s="44"/>
      <c r="I39" s="44"/>
      <c r="J39" s="73"/>
      <c r="K39" s="71"/>
      <c r="L39" s="44"/>
      <c r="M39" s="44"/>
      <c r="N39" s="44"/>
      <c r="O39" s="73"/>
      <c r="P39" s="54"/>
      <c r="Q39" s="69"/>
      <c r="R39" s="44"/>
      <c r="S39" s="44"/>
      <c r="T39" s="73"/>
      <c r="U39" s="54"/>
      <c r="V39" s="43"/>
      <c r="W39" s="43"/>
      <c r="X39" s="43"/>
      <c r="Y39" s="81"/>
      <c r="Z39" s="58"/>
      <c r="AA39" s="56"/>
      <c r="AB39" s="61"/>
      <c r="AC39" s="58"/>
      <c r="AD39" s="43"/>
      <c r="AE39" s="86"/>
      <c r="AF39" s="58"/>
      <c r="AG39" s="43"/>
      <c r="AH39" s="43"/>
      <c r="AI39" s="61"/>
      <c r="AJ39" s="81"/>
      <c r="AK39" s="58"/>
      <c r="AL39" s="43"/>
      <c r="AM39" s="43"/>
      <c r="AN39" s="81"/>
      <c r="AO39" s="58"/>
      <c r="AP39" s="43"/>
      <c r="AQ39" s="43"/>
      <c r="AR39" s="43"/>
      <c r="AS39" s="81"/>
      <c r="AT39" s="58"/>
      <c r="AU39" s="43"/>
      <c r="AV39" s="43"/>
      <c r="AW39" s="43"/>
      <c r="AX39" s="43"/>
      <c r="AY39" s="81"/>
    </row>
    <row r="40" spans="2:51" s="8" customFormat="1" ht="15" customHeight="1" outlineLevel="1">
      <c r="B40" s="49" t="s">
        <v>138</v>
      </c>
      <c r="C40" s="46" t="s">
        <v>52</v>
      </c>
      <c r="D40" s="46" t="s">
        <v>78</v>
      </c>
      <c r="E40" s="45" t="s">
        <v>195</v>
      </c>
      <c r="G40" s="44"/>
      <c r="H40" s="44"/>
      <c r="I40" s="44"/>
      <c r="J40" s="73"/>
      <c r="K40" s="71"/>
      <c r="L40" s="44"/>
      <c r="M40" s="44"/>
      <c r="N40" s="69"/>
      <c r="O40" s="73"/>
      <c r="P40" s="54"/>
      <c r="Q40" s="44"/>
      <c r="R40" s="44"/>
      <c r="S40" s="44"/>
      <c r="T40" s="73"/>
      <c r="U40" s="54"/>
      <c r="V40" s="43"/>
      <c r="W40" s="43"/>
      <c r="X40" s="43"/>
      <c r="Y40" s="81"/>
      <c r="Z40" s="58"/>
      <c r="AA40" s="56"/>
      <c r="AB40" s="61"/>
      <c r="AC40" s="58"/>
      <c r="AD40" s="43"/>
      <c r="AE40" s="86"/>
      <c r="AF40" s="58"/>
      <c r="AG40" s="43"/>
      <c r="AH40" s="43"/>
      <c r="AI40" s="61"/>
      <c r="AJ40" s="81"/>
      <c r="AK40" s="58"/>
      <c r="AL40" s="43"/>
      <c r="AM40" s="43"/>
      <c r="AN40" s="81"/>
      <c r="AO40" s="58"/>
      <c r="AP40" s="43"/>
      <c r="AQ40" s="43"/>
      <c r="AR40" s="43"/>
      <c r="AS40" s="81"/>
      <c r="AT40" s="58"/>
      <c r="AU40" s="43"/>
      <c r="AV40" s="43"/>
      <c r="AW40" s="43"/>
      <c r="AX40" s="43"/>
      <c r="AY40" s="81"/>
    </row>
    <row r="41" spans="2:51" ht="15" customHeight="1" outlineLevel="1">
      <c r="B41" s="45" t="s">
        <v>139</v>
      </c>
      <c r="C41" s="46" t="s">
        <v>52</v>
      </c>
      <c r="D41" s="46" t="s">
        <v>56</v>
      </c>
      <c r="E41" s="45" t="s">
        <v>195</v>
      </c>
      <c r="G41" s="52"/>
      <c r="H41" s="52"/>
      <c r="I41" s="52"/>
      <c r="J41" s="79"/>
      <c r="K41" s="77"/>
      <c r="L41" s="52"/>
      <c r="M41" s="52"/>
      <c r="N41" s="69"/>
      <c r="O41" s="76"/>
      <c r="P41" s="54"/>
      <c r="Q41" s="44"/>
      <c r="R41" s="44"/>
      <c r="S41" s="44"/>
      <c r="T41" s="73"/>
      <c r="U41" s="54"/>
      <c r="V41" s="53"/>
      <c r="W41" s="53"/>
      <c r="X41" s="53"/>
      <c r="Y41" s="83"/>
      <c r="Z41" s="59"/>
      <c r="AA41" s="57"/>
      <c r="AB41" s="62"/>
      <c r="AC41" s="59"/>
      <c r="AD41" s="53"/>
      <c r="AE41" s="87"/>
      <c r="AF41" s="59"/>
      <c r="AG41" s="53"/>
      <c r="AH41" s="53"/>
      <c r="AI41" s="62"/>
      <c r="AJ41" s="83"/>
      <c r="AK41" s="59"/>
      <c r="AL41" s="53"/>
      <c r="AM41" s="53"/>
      <c r="AN41" s="83"/>
      <c r="AO41" s="59"/>
      <c r="AP41" s="53"/>
      <c r="AQ41" s="53"/>
      <c r="AR41" s="53"/>
      <c r="AS41" s="83"/>
      <c r="AT41" s="59"/>
      <c r="AU41" s="53"/>
      <c r="AV41" s="53"/>
      <c r="AW41" s="53"/>
      <c r="AX41" s="53"/>
      <c r="AY41" s="83"/>
    </row>
    <row r="42" spans="2:51" ht="15" customHeight="1" outlineLevel="1">
      <c r="B42" s="49" t="s">
        <v>140</v>
      </c>
      <c r="C42" s="46" t="s">
        <v>60</v>
      </c>
      <c r="D42" s="46" t="s">
        <v>78</v>
      </c>
      <c r="E42" s="45" t="s">
        <v>195</v>
      </c>
      <c r="G42" s="52"/>
      <c r="H42" s="52"/>
      <c r="I42" s="52"/>
      <c r="J42" s="79"/>
      <c r="K42" s="77"/>
      <c r="L42" s="52"/>
      <c r="M42" s="52"/>
      <c r="N42" s="44"/>
      <c r="O42" s="76"/>
      <c r="P42" s="72"/>
      <c r="Q42" s="69"/>
      <c r="R42" s="44"/>
      <c r="S42" s="44"/>
      <c r="T42" s="73"/>
      <c r="U42" s="54"/>
      <c r="V42" s="53"/>
      <c r="W42" s="53"/>
      <c r="X42" s="53"/>
      <c r="Y42" s="83"/>
      <c r="Z42" s="59"/>
      <c r="AA42" s="57"/>
      <c r="AB42" s="62"/>
      <c r="AC42" s="59"/>
      <c r="AD42" s="53"/>
      <c r="AE42" s="87"/>
      <c r="AF42" s="59"/>
      <c r="AG42" s="53"/>
      <c r="AH42" s="53"/>
      <c r="AI42" s="62"/>
      <c r="AJ42" s="83"/>
      <c r="AK42" s="59"/>
      <c r="AL42" s="53"/>
      <c r="AM42" s="53"/>
      <c r="AN42" s="83"/>
      <c r="AO42" s="59"/>
      <c r="AP42" s="53"/>
      <c r="AQ42" s="53"/>
      <c r="AR42" s="53"/>
      <c r="AS42" s="83"/>
      <c r="AT42" s="59"/>
      <c r="AU42" s="53"/>
      <c r="AV42" s="53"/>
      <c r="AW42" s="53"/>
      <c r="AX42" s="53"/>
      <c r="AY42" s="83"/>
    </row>
    <row r="43" spans="2:51" ht="15" customHeight="1" outlineLevel="1">
      <c r="B43" s="50" t="s">
        <v>141</v>
      </c>
      <c r="C43" s="46" t="s">
        <v>60</v>
      </c>
      <c r="D43" s="46" t="s">
        <v>61</v>
      </c>
      <c r="E43" s="45" t="s">
        <v>195</v>
      </c>
      <c r="G43" s="52"/>
      <c r="H43" s="52"/>
      <c r="I43" s="52"/>
      <c r="J43" s="79"/>
      <c r="K43" s="77"/>
      <c r="L43" s="52"/>
      <c r="M43" s="52"/>
      <c r="N43" s="44"/>
      <c r="O43" s="73"/>
      <c r="P43" s="54"/>
      <c r="Q43" s="44"/>
      <c r="R43" s="69"/>
      <c r="S43" s="69"/>
      <c r="T43" s="73"/>
      <c r="U43" s="54"/>
      <c r="V43" s="53"/>
      <c r="W43" s="53"/>
      <c r="X43" s="53"/>
      <c r="Y43" s="83"/>
      <c r="Z43" s="59"/>
      <c r="AA43" s="57"/>
      <c r="AB43" s="62"/>
      <c r="AC43" s="59"/>
      <c r="AD43" s="53"/>
      <c r="AE43" s="87"/>
      <c r="AF43" s="59"/>
      <c r="AG43" s="53"/>
      <c r="AH43" s="53"/>
      <c r="AI43" s="62"/>
      <c r="AJ43" s="83"/>
      <c r="AK43" s="59"/>
      <c r="AL43" s="53"/>
      <c r="AM43" s="53"/>
      <c r="AN43" s="83"/>
      <c r="AO43" s="59"/>
      <c r="AP43" s="53"/>
      <c r="AQ43" s="53"/>
      <c r="AR43" s="53"/>
      <c r="AS43" s="83"/>
      <c r="AT43" s="59"/>
      <c r="AU43" s="53"/>
      <c r="AV43" s="53"/>
      <c r="AW43" s="53"/>
      <c r="AX43" s="53"/>
      <c r="AY43" s="83"/>
    </row>
    <row r="44" spans="2:51" ht="15" customHeight="1" outlineLevel="1">
      <c r="B44" s="45" t="s">
        <v>129</v>
      </c>
      <c r="C44" s="46" t="s">
        <v>60</v>
      </c>
      <c r="D44" s="46" t="s">
        <v>63</v>
      </c>
      <c r="E44" s="45" t="s">
        <v>195</v>
      </c>
      <c r="G44" s="52"/>
      <c r="H44" s="52"/>
      <c r="I44" s="52"/>
      <c r="J44" s="79"/>
      <c r="K44" s="77"/>
      <c r="L44" s="52"/>
      <c r="M44" s="52"/>
      <c r="N44" s="44"/>
      <c r="O44" s="73"/>
      <c r="P44" s="54"/>
      <c r="Q44" s="44"/>
      <c r="R44" s="44"/>
      <c r="S44" s="69"/>
      <c r="T44" s="76"/>
      <c r="U44" s="54"/>
      <c r="V44" s="53"/>
      <c r="W44" s="53"/>
      <c r="X44" s="53"/>
      <c r="Y44" s="83"/>
      <c r="Z44" s="59"/>
      <c r="AA44" s="57"/>
      <c r="AB44" s="62"/>
      <c r="AC44" s="59"/>
      <c r="AD44" s="53"/>
      <c r="AE44" s="87"/>
      <c r="AF44" s="59"/>
      <c r="AG44" s="53"/>
      <c r="AH44" s="53"/>
      <c r="AI44" s="62"/>
      <c r="AJ44" s="83"/>
      <c r="AK44" s="59"/>
      <c r="AL44" s="53"/>
      <c r="AM44" s="53"/>
      <c r="AN44" s="83"/>
      <c r="AO44" s="59"/>
      <c r="AP44" s="53"/>
      <c r="AQ44" s="53"/>
      <c r="AR44" s="53"/>
      <c r="AS44" s="83"/>
      <c r="AT44" s="59"/>
      <c r="AU44" s="53"/>
      <c r="AV44" s="53"/>
      <c r="AW44" s="53"/>
      <c r="AX44" s="53"/>
      <c r="AY44" s="83"/>
    </row>
    <row r="45" spans="2:51" ht="15" customHeight="1" outlineLevel="1">
      <c r="B45" s="45" t="s">
        <v>130</v>
      </c>
      <c r="C45" s="46" t="s">
        <v>60</v>
      </c>
      <c r="D45" s="46" t="s">
        <v>33</v>
      </c>
      <c r="E45" s="45" t="s">
        <v>195</v>
      </c>
      <c r="G45" s="52"/>
      <c r="H45" s="52"/>
      <c r="I45" s="52"/>
      <c r="J45" s="79"/>
      <c r="K45" s="77"/>
      <c r="L45" s="52"/>
      <c r="M45" s="52"/>
      <c r="N45" s="44"/>
      <c r="O45" s="73"/>
      <c r="P45" s="54"/>
      <c r="Q45" s="44"/>
      <c r="R45" s="69"/>
      <c r="S45" s="44"/>
      <c r="T45" s="73"/>
      <c r="U45" s="54"/>
      <c r="V45" s="53"/>
      <c r="W45" s="53"/>
      <c r="X45" s="53"/>
      <c r="Y45" s="83"/>
      <c r="Z45" s="59"/>
      <c r="AA45" s="57"/>
      <c r="AB45" s="62"/>
      <c r="AC45" s="59"/>
      <c r="AD45" s="53"/>
      <c r="AE45" s="87"/>
      <c r="AF45" s="59"/>
      <c r="AG45" s="53"/>
      <c r="AH45" s="53"/>
      <c r="AI45" s="62"/>
      <c r="AJ45" s="83"/>
      <c r="AK45" s="59"/>
      <c r="AL45" s="53"/>
      <c r="AM45" s="53"/>
      <c r="AN45" s="83"/>
      <c r="AO45" s="59"/>
      <c r="AP45" s="53"/>
      <c r="AQ45" s="53"/>
      <c r="AR45" s="53"/>
      <c r="AS45" s="83"/>
      <c r="AT45" s="59"/>
      <c r="AU45" s="53"/>
      <c r="AV45" s="53"/>
      <c r="AW45" s="53"/>
      <c r="AX45" s="53"/>
      <c r="AY45" s="83"/>
    </row>
    <row r="46" spans="2:51" ht="15" customHeight="1" outlineLevel="1">
      <c r="B46" s="45" t="s">
        <v>131</v>
      </c>
      <c r="C46" s="46" t="s">
        <v>60</v>
      </c>
      <c r="D46" s="46" t="s">
        <v>35</v>
      </c>
      <c r="E46" s="45" t="s">
        <v>195</v>
      </c>
      <c r="G46" s="52"/>
      <c r="H46" s="52"/>
      <c r="I46" s="52"/>
      <c r="J46" s="79"/>
      <c r="K46" s="77"/>
      <c r="L46" s="52"/>
      <c r="M46" s="52"/>
      <c r="N46" s="44"/>
      <c r="O46" s="73"/>
      <c r="P46" s="54"/>
      <c r="Q46" s="44"/>
      <c r="R46" s="69"/>
      <c r="S46" s="44"/>
      <c r="T46" s="73"/>
      <c r="U46" s="54"/>
      <c r="V46" s="53"/>
      <c r="W46" s="53"/>
      <c r="X46" s="53"/>
      <c r="Y46" s="83"/>
      <c r="Z46" s="59"/>
      <c r="AA46" s="57"/>
      <c r="AB46" s="62"/>
      <c r="AC46" s="59"/>
      <c r="AD46" s="53"/>
      <c r="AE46" s="87"/>
      <c r="AF46" s="59"/>
      <c r="AG46" s="53"/>
      <c r="AH46" s="53"/>
      <c r="AI46" s="62"/>
      <c r="AJ46" s="83"/>
      <c r="AK46" s="59"/>
      <c r="AL46" s="53"/>
      <c r="AM46" s="53"/>
      <c r="AN46" s="83"/>
      <c r="AO46" s="59"/>
      <c r="AP46" s="53"/>
      <c r="AQ46" s="53"/>
      <c r="AR46" s="53"/>
      <c r="AS46" s="83"/>
      <c r="AT46" s="59"/>
      <c r="AU46" s="53"/>
      <c r="AV46" s="53"/>
      <c r="AW46" s="53"/>
      <c r="AX46" s="53"/>
      <c r="AY46" s="83"/>
    </row>
    <row r="47" spans="2:51" ht="15" customHeight="1" outlineLevel="1">
      <c r="B47" s="45" t="s">
        <v>142</v>
      </c>
      <c r="C47" s="46" t="s">
        <v>60</v>
      </c>
      <c r="D47" s="46" t="s">
        <v>51</v>
      </c>
      <c r="E47" s="45" t="s">
        <v>195</v>
      </c>
      <c r="G47" s="52"/>
      <c r="H47" s="52"/>
      <c r="I47" s="52"/>
      <c r="J47" s="79"/>
      <c r="K47" s="77"/>
      <c r="L47" s="52"/>
      <c r="M47" s="52"/>
      <c r="N47" s="44"/>
      <c r="O47" s="73"/>
      <c r="P47" s="54"/>
      <c r="Q47" s="69"/>
      <c r="R47" s="69"/>
      <c r="S47" s="44"/>
      <c r="T47" s="73"/>
      <c r="U47" s="54"/>
      <c r="V47" s="53"/>
      <c r="W47" s="53"/>
      <c r="X47" s="53"/>
      <c r="Y47" s="83"/>
      <c r="Z47" s="59"/>
      <c r="AA47" s="57"/>
      <c r="AB47" s="62"/>
      <c r="AC47" s="59"/>
      <c r="AD47" s="53"/>
      <c r="AE47" s="87"/>
      <c r="AF47" s="59"/>
      <c r="AG47" s="53"/>
      <c r="AH47" s="53"/>
      <c r="AI47" s="62"/>
      <c r="AJ47" s="83"/>
      <c r="AK47" s="59"/>
      <c r="AL47" s="53"/>
      <c r="AM47" s="53"/>
      <c r="AN47" s="83"/>
      <c r="AO47" s="59"/>
      <c r="AP47" s="53"/>
      <c r="AQ47" s="53"/>
      <c r="AR47" s="53"/>
      <c r="AS47" s="83"/>
      <c r="AT47" s="59"/>
      <c r="AU47" s="53"/>
      <c r="AV47" s="53"/>
      <c r="AW47" s="53"/>
      <c r="AX47" s="53"/>
      <c r="AY47" s="83"/>
    </row>
    <row r="48" spans="2:51" s="8" customFormat="1" ht="15" customHeight="1">
      <c r="B48" s="42" t="s">
        <v>143</v>
      </c>
      <c r="C48" s="179" t="s">
        <v>144</v>
      </c>
      <c r="D48" s="179"/>
      <c r="E48" s="40"/>
      <c r="G48" s="41"/>
      <c r="H48" s="41"/>
      <c r="I48" s="41"/>
      <c r="J48" s="80"/>
      <c r="K48" s="41"/>
      <c r="L48" s="122" t="s">
        <v>237</v>
      </c>
      <c r="M48" s="41"/>
      <c r="N48" s="68"/>
      <c r="O48" s="75"/>
      <c r="P48" s="68"/>
      <c r="Q48" s="68"/>
      <c r="R48" s="68"/>
      <c r="S48" s="41"/>
      <c r="T48" s="80"/>
      <c r="U48" s="41"/>
      <c r="V48" s="40"/>
      <c r="W48" s="40"/>
      <c r="X48" s="40"/>
      <c r="Y48" s="82"/>
      <c r="Z48" s="40"/>
      <c r="AA48" s="40"/>
      <c r="AB48" s="61"/>
      <c r="AC48" s="40"/>
      <c r="AD48" s="40"/>
      <c r="AE48" s="86"/>
      <c r="AF48" s="40"/>
      <c r="AG48" s="40"/>
      <c r="AH48" s="40"/>
      <c r="AI48" s="61"/>
      <c r="AJ48" s="90"/>
      <c r="AK48" s="40"/>
      <c r="AL48" s="40"/>
      <c r="AM48" s="40"/>
      <c r="AN48" s="82"/>
      <c r="AO48" s="40"/>
      <c r="AP48" s="40"/>
      <c r="AQ48" s="40"/>
      <c r="AR48" s="40"/>
      <c r="AS48" s="82"/>
      <c r="AT48" s="40"/>
      <c r="AU48" s="40"/>
      <c r="AV48" s="40"/>
      <c r="AW48" s="40"/>
      <c r="AX48" s="40"/>
      <c r="AY48" s="82"/>
    </row>
    <row r="49" spans="2:51" ht="15" customHeight="1" outlineLevel="1">
      <c r="B49" s="45" t="s">
        <v>145</v>
      </c>
      <c r="C49" s="46" t="s">
        <v>0</v>
      </c>
      <c r="D49" s="46" t="s">
        <v>1</v>
      </c>
      <c r="E49" s="45" t="s">
        <v>195</v>
      </c>
      <c r="G49" s="52"/>
      <c r="H49" s="52"/>
      <c r="I49" s="52"/>
      <c r="J49" s="79"/>
      <c r="K49" s="77"/>
      <c r="L49" s="52"/>
      <c r="M49" s="52"/>
      <c r="N49" s="52"/>
      <c r="O49" s="79"/>
      <c r="P49" s="55"/>
      <c r="Q49" s="52"/>
      <c r="R49" s="52"/>
      <c r="S49" s="44"/>
      <c r="T49" s="76"/>
      <c r="U49" s="72"/>
      <c r="V49" s="43"/>
      <c r="W49" s="43"/>
      <c r="X49" s="43"/>
      <c r="Y49" s="83"/>
      <c r="Z49" s="59"/>
      <c r="AA49" s="57"/>
      <c r="AB49" s="62"/>
      <c r="AC49" s="59"/>
      <c r="AD49" s="53"/>
      <c r="AE49" s="87"/>
      <c r="AF49" s="59"/>
      <c r="AG49" s="53"/>
      <c r="AH49" s="53"/>
      <c r="AI49" s="62"/>
      <c r="AJ49" s="83"/>
      <c r="AK49" s="59"/>
      <c r="AL49" s="53"/>
      <c r="AM49" s="53"/>
      <c r="AN49" s="83"/>
      <c r="AO49" s="59"/>
      <c r="AP49" s="53"/>
      <c r="AQ49" s="53"/>
      <c r="AR49" s="53"/>
      <c r="AS49" s="83"/>
      <c r="AT49" s="59"/>
      <c r="AU49" s="53"/>
      <c r="AV49" s="53"/>
      <c r="AW49" s="53"/>
      <c r="AX49" s="53"/>
      <c r="AY49" s="83"/>
    </row>
    <row r="50" spans="2:51" ht="15" customHeight="1" outlineLevel="1">
      <c r="B50" s="45" t="s">
        <v>146</v>
      </c>
      <c r="C50" s="46" t="s">
        <v>0</v>
      </c>
      <c r="D50" s="46" t="s">
        <v>5</v>
      </c>
      <c r="E50" s="45" t="s">
        <v>195</v>
      </c>
      <c r="G50" s="52"/>
      <c r="H50" s="52"/>
      <c r="I50" s="52"/>
      <c r="J50" s="79"/>
      <c r="K50" s="77"/>
      <c r="L50" s="52"/>
      <c r="M50" s="52"/>
      <c r="N50" s="52"/>
      <c r="O50" s="79"/>
      <c r="P50" s="55"/>
      <c r="Q50" s="52"/>
      <c r="R50" s="52"/>
      <c r="S50" s="44"/>
      <c r="T50" s="73"/>
      <c r="U50" s="72"/>
      <c r="V50" s="43"/>
      <c r="W50" s="43"/>
      <c r="X50" s="43"/>
      <c r="Y50" s="83"/>
      <c r="Z50" s="59"/>
      <c r="AA50" s="57"/>
      <c r="AB50" s="62"/>
      <c r="AC50" s="59"/>
      <c r="AD50" s="53"/>
      <c r="AE50" s="87"/>
      <c r="AF50" s="59"/>
      <c r="AG50" s="53"/>
      <c r="AH50" s="53"/>
      <c r="AI50" s="62"/>
      <c r="AJ50" s="83"/>
      <c r="AK50" s="59"/>
      <c r="AL50" s="53"/>
      <c r="AM50" s="53"/>
      <c r="AN50" s="83"/>
      <c r="AO50" s="59"/>
      <c r="AP50" s="53"/>
      <c r="AQ50" s="53"/>
      <c r="AR50" s="53"/>
      <c r="AS50" s="83"/>
      <c r="AT50" s="59"/>
      <c r="AU50" s="53"/>
      <c r="AV50" s="53"/>
      <c r="AW50" s="53"/>
      <c r="AX50" s="53"/>
      <c r="AY50" s="83"/>
    </row>
    <row r="51" spans="2:51" ht="15" customHeight="1" outlineLevel="1">
      <c r="B51" s="45" t="s">
        <v>148</v>
      </c>
      <c r="C51" s="46" t="s">
        <v>0</v>
      </c>
      <c r="D51" s="46" t="s">
        <v>6</v>
      </c>
      <c r="E51" s="45" t="s">
        <v>195</v>
      </c>
      <c r="G51" s="52"/>
      <c r="H51" s="52"/>
      <c r="I51" s="52"/>
      <c r="J51" s="79"/>
      <c r="K51" s="77"/>
      <c r="L51" s="52"/>
      <c r="M51" s="52"/>
      <c r="N51" s="52"/>
      <c r="O51" s="79"/>
      <c r="P51" s="55"/>
      <c r="Q51" s="52"/>
      <c r="R51" s="52"/>
      <c r="S51" s="44"/>
      <c r="T51" s="73"/>
      <c r="U51" s="72"/>
      <c r="V51" s="43"/>
      <c r="W51" s="43"/>
      <c r="X51" s="43"/>
      <c r="Y51" s="83"/>
      <c r="Z51" s="59"/>
      <c r="AA51" s="57"/>
      <c r="AB51" s="62"/>
      <c r="AC51" s="59"/>
      <c r="AD51" s="53"/>
      <c r="AE51" s="87"/>
      <c r="AF51" s="59"/>
      <c r="AG51" s="53"/>
      <c r="AH51" s="53"/>
      <c r="AI51" s="62"/>
      <c r="AJ51" s="83"/>
      <c r="AK51" s="59"/>
      <c r="AL51" s="53"/>
      <c r="AM51" s="53"/>
      <c r="AN51" s="83"/>
      <c r="AO51" s="59"/>
      <c r="AP51" s="53"/>
      <c r="AQ51" s="53"/>
      <c r="AR51" s="53"/>
      <c r="AS51" s="83"/>
      <c r="AT51" s="59"/>
      <c r="AU51" s="53"/>
      <c r="AV51" s="53"/>
      <c r="AW51" s="53"/>
      <c r="AX51" s="53"/>
      <c r="AY51" s="83"/>
    </row>
    <row r="52" spans="2:51" ht="15" customHeight="1" outlineLevel="1">
      <c r="B52" s="45" t="s">
        <v>147</v>
      </c>
      <c r="C52" s="46" t="s">
        <v>0</v>
      </c>
      <c r="D52" s="46" t="s">
        <v>8</v>
      </c>
      <c r="E52" s="45" t="s">
        <v>195</v>
      </c>
      <c r="G52" s="52"/>
      <c r="H52" s="52"/>
      <c r="I52" s="52"/>
      <c r="J52" s="79"/>
      <c r="K52" s="77"/>
      <c r="L52" s="52"/>
      <c r="M52" s="52"/>
      <c r="N52" s="52"/>
      <c r="O52" s="79"/>
      <c r="P52" s="55"/>
      <c r="Q52" s="52"/>
      <c r="R52" s="52"/>
      <c r="S52" s="44"/>
      <c r="T52" s="76"/>
      <c r="U52" s="72"/>
      <c r="V52" s="43"/>
      <c r="W52" s="43"/>
      <c r="X52" s="43"/>
      <c r="Y52" s="83"/>
      <c r="Z52" s="59"/>
      <c r="AA52" s="57"/>
      <c r="AB52" s="62"/>
      <c r="AC52" s="59"/>
      <c r="AD52" s="53"/>
      <c r="AE52" s="87"/>
      <c r="AF52" s="59"/>
      <c r="AG52" s="53"/>
      <c r="AH52" s="53"/>
      <c r="AI52" s="62"/>
      <c r="AJ52" s="83"/>
      <c r="AK52" s="59"/>
      <c r="AL52" s="53"/>
      <c r="AM52" s="53"/>
      <c r="AN52" s="83"/>
      <c r="AO52" s="59"/>
      <c r="AP52" s="53"/>
      <c r="AQ52" s="53"/>
      <c r="AR52" s="53"/>
      <c r="AS52" s="83"/>
      <c r="AT52" s="59"/>
      <c r="AU52" s="53"/>
      <c r="AV52" s="53"/>
      <c r="AW52" s="53"/>
      <c r="AX52" s="53"/>
      <c r="AY52" s="83"/>
    </row>
    <row r="53" spans="2:51" ht="15" customHeight="1" outlineLevel="1">
      <c r="B53" s="45" t="s">
        <v>149</v>
      </c>
      <c r="C53" s="46" t="s">
        <v>0</v>
      </c>
      <c r="D53" s="46" t="s">
        <v>10</v>
      </c>
      <c r="E53" s="45" t="s">
        <v>195</v>
      </c>
      <c r="G53" s="52"/>
      <c r="H53" s="52"/>
      <c r="I53" s="52"/>
      <c r="J53" s="79"/>
      <c r="K53" s="77"/>
      <c r="L53" s="52"/>
      <c r="M53" s="52"/>
      <c r="N53" s="52"/>
      <c r="O53" s="79"/>
      <c r="P53" s="55"/>
      <c r="Q53" s="52"/>
      <c r="R53" s="52"/>
      <c r="S53" s="44"/>
      <c r="T53" s="73"/>
      <c r="U53" s="72"/>
      <c r="V53" s="43"/>
      <c r="W53" s="43"/>
      <c r="X53" s="43"/>
      <c r="Y53" s="83"/>
      <c r="Z53" s="59"/>
      <c r="AA53" s="57"/>
      <c r="AB53" s="62"/>
      <c r="AC53" s="59"/>
      <c r="AD53" s="53"/>
      <c r="AE53" s="87"/>
      <c r="AF53" s="59"/>
      <c r="AG53" s="53"/>
      <c r="AH53" s="53"/>
      <c r="AI53" s="62"/>
      <c r="AJ53" s="83"/>
      <c r="AK53" s="59"/>
      <c r="AL53" s="53"/>
      <c r="AM53" s="53"/>
      <c r="AN53" s="83"/>
      <c r="AO53" s="59"/>
      <c r="AP53" s="53"/>
      <c r="AQ53" s="53"/>
      <c r="AR53" s="53"/>
      <c r="AS53" s="83"/>
      <c r="AT53" s="59"/>
      <c r="AU53" s="53"/>
      <c r="AV53" s="53"/>
      <c r="AW53" s="53"/>
      <c r="AX53" s="53"/>
      <c r="AY53" s="83"/>
    </row>
    <row r="54" spans="2:51" ht="15" customHeight="1" outlineLevel="1">
      <c r="B54" s="45" t="s">
        <v>151</v>
      </c>
      <c r="C54" s="46" t="s">
        <v>0</v>
      </c>
      <c r="D54" s="46" t="s">
        <v>11</v>
      </c>
      <c r="E54" s="45" t="s">
        <v>195</v>
      </c>
      <c r="G54" s="52"/>
      <c r="H54" s="52"/>
      <c r="I54" s="52"/>
      <c r="J54" s="79"/>
      <c r="K54" s="77"/>
      <c r="L54" s="52"/>
      <c r="M54" s="52"/>
      <c r="N54" s="52"/>
      <c r="O54" s="79"/>
      <c r="P54" s="55"/>
      <c r="Q54" s="52"/>
      <c r="R54" s="52"/>
      <c r="S54" s="69"/>
      <c r="T54" s="73"/>
      <c r="U54" s="54"/>
      <c r="V54" s="43"/>
      <c r="W54" s="43"/>
      <c r="X54" s="43"/>
      <c r="Y54" s="83"/>
      <c r="Z54" s="59"/>
      <c r="AA54" s="57"/>
      <c r="AB54" s="62"/>
      <c r="AC54" s="59"/>
      <c r="AD54" s="53"/>
      <c r="AE54" s="87"/>
      <c r="AF54" s="59"/>
      <c r="AG54" s="53"/>
      <c r="AH54" s="53"/>
      <c r="AI54" s="62"/>
      <c r="AJ54" s="83"/>
      <c r="AK54" s="59"/>
      <c r="AL54" s="53"/>
      <c r="AM54" s="53"/>
      <c r="AN54" s="83"/>
      <c r="AO54" s="59"/>
      <c r="AP54" s="53"/>
      <c r="AQ54" s="53"/>
      <c r="AR54" s="53"/>
      <c r="AS54" s="83"/>
      <c r="AT54" s="59"/>
      <c r="AU54" s="53"/>
      <c r="AV54" s="53"/>
      <c r="AW54" s="53"/>
      <c r="AX54" s="53"/>
      <c r="AY54" s="83"/>
    </row>
    <row r="55" spans="2:51" ht="15" customHeight="1" outlineLevel="1">
      <c r="B55" s="45" t="s">
        <v>153</v>
      </c>
      <c r="C55" s="46" t="s">
        <v>0</v>
      </c>
      <c r="D55" s="46" t="s">
        <v>12</v>
      </c>
      <c r="E55" s="45" t="s">
        <v>195</v>
      </c>
      <c r="G55" s="52"/>
      <c r="H55" s="52"/>
      <c r="I55" s="52"/>
      <c r="J55" s="79"/>
      <c r="K55" s="77"/>
      <c r="L55" s="52"/>
      <c r="M55" s="52"/>
      <c r="N55" s="52"/>
      <c r="O55" s="79"/>
      <c r="P55" s="55"/>
      <c r="Q55" s="52"/>
      <c r="R55" s="52"/>
      <c r="S55" s="69"/>
      <c r="T55" s="73"/>
      <c r="U55" s="54"/>
      <c r="V55" s="43"/>
      <c r="W55" s="43"/>
      <c r="X55" s="43"/>
      <c r="Y55" s="83"/>
      <c r="Z55" s="59"/>
      <c r="AA55" s="57"/>
      <c r="AB55" s="62"/>
      <c r="AC55" s="59"/>
      <c r="AD55" s="53"/>
      <c r="AE55" s="87"/>
      <c r="AF55" s="59"/>
      <c r="AG55" s="53"/>
      <c r="AH55" s="53"/>
      <c r="AI55" s="62"/>
      <c r="AJ55" s="83"/>
      <c r="AK55" s="59"/>
      <c r="AL55" s="53"/>
      <c r="AM55" s="53"/>
      <c r="AN55" s="83"/>
      <c r="AO55" s="59"/>
      <c r="AP55" s="53"/>
      <c r="AQ55" s="53"/>
      <c r="AR55" s="53"/>
      <c r="AS55" s="83"/>
      <c r="AT55" s="59"/>
      <c r="AU55" s="53"/>
      <c r="AV55" s="53"/>
      <c r="AW55" s="53"/>
      <c r="AX55" s="53"/>
      <c r="AY55" s="83"/>
    </row>
    <row r="56" spans="2:51" ht="15" customHeight="1" outlineLevel="1">
      <c r="B56" s="45" t="s">
        <v>155</v>
      </c>
      <c r="C56" s="46" t="s">
        <v>0</v>
      </c>
      <c r="D56" s="46" t="s">
        <v>13</v>
      </c>
      <c r="E56" s="45" t="s">
        <v>195</v>
      </c>
      <c r="G56" s="52"/>
      <c r="H56" s="52"/>
      <c r="I56" s="52"/>
      <c r="J56" s="79"/>
      <c r="K56" s="77"/>
      <c r="L56" s="52"/>
      <c r="M56" s="52"/>
      <c r="N56" s="52"/>
      <c r="O56" s="79"/>
      <c r="P56" s="55"/>
      <c r="Q56" s="52"/>
      <c r="R56" s="52"/>
      <c r="S56" s="69"/>
      <c r="T56" s="76"/>
      <c r="U56" s="54"/>
      <c r="V56" s="43"/>
      <c r="W56" s="43"/>
      <c r="X56" s="43"/>
      <c r="Y56" s="83"/>
      <c r="Z56" s="59"/>
      <c r="AA56" s="57"/>
      <c r="AB56" s="62"/>
      <c r="AC56" s="59"/>
      <c r="AD56" s="53"/>
      <c r="AE56" s="87"/>
      <c r="AF56" s="59"/>
      <c r="AG56" s="53"/>
      <c r="AH56" s="53"/>
      <c r="AI56" s="62"/>
      <c r="AJ56" s="83"/>
      <c r="AK56" s="59"/>
      <c r="AL56" s="53"/>
      <c r="AM56" s="53"/>
      <c r="AN56" s="83"/>
      <c r="AO56" s="59"/>
      <c r="AP56" s="53"/>
      <c r="AQ56" s="53"/>
      <c r="AR56" s="53"/>
      <c r="AS56" s="83"/>
      <c r="AT56" s="59"/>
      <c r="AU56" s="53"/>
      <c r="AV56" s="53"/>
      <c r="AW56" s="53"/>
      <c r="AX56" s="53"/>
      <c r="AY56" s="83"/>
    </row>
    <row r="57" spans="2:51" ht="15" customHeight="1" outlineLevel="1">
      <c r="B57" s="45" t="s">
        <v>156</v>
      </c>
      <c r="C57" s="46" t="s">
        <v>0</v>
      </c>
      <c r="D57" s="46" t="s">
        <v>14</v>
      </c>
      <c r="E57" s="45" t="s">
        <v>195</v>
      </c>
      <c r="G57" s="52"/>
      <c r="H57" s="52"/>
      <c r="I57" s="52"/>
      <c r="J57" s="79"/>
      <c r="K57" s="77"/>
      <c r="L57" s="52"/>
      <c r="M57" s="52"/>
      <c r="N57" s="52"/>
      <c r="O57" s="79"/>
      <c r="P57" s="55"/>
      <c r="Q57" s="52"/>
      <c r="R57" s="52"/>
      <c r="S57" s="44"/>
      <c r="T57" s="76"/>
      <c r="U57" s="54"/>
      <c r="V57" s="43"/>
      <c r="W57" s="43"/>
      <c r="X57" s="43"/>
      <c r="Y57" s="83"/>
      <c r="Z57" s="59"/>
      <c r="AA57" s="57"/>
      <c r="AB57" s="62"/>
      <c r="AC57" s="59"/>
      <c r="AD57" s="53"/>
      <c r="AE57" s="87"/>
      <c r="AF57" s="59"/>
      <c r="AG57" s="53"/>
      <c r="AH57" s="53"/>
      <c r="AI57" s="62"/>
      <c r="AJ57" s="83"/>
      <c r="AK57" s="59"/>
      <c r="AL57" s="53"/>
      <c r="AM57" s="53"/>
      <c r="AN57" s="83"/>
      <c r="AO57" s="59"/>
      <c r="AP57" s="53"/>
      <c r="AQ57" s="53"/>
      <c r="AR57" s="53"/>
      <c r="AS57" s="83"/>
      <c r="AT57" s="59"/>
      <c r="AU57" s="53"/>
      <c r="AV57" s="53"/>
      <c r="AW57" s="53"/>
      <c r="AX57" s="53"/>
      <c r="AY57" s="83"/>
    </row>
    <row r="58" spans="2:51" ht="15" customHeight="1" outlineLevel="1">
      <c r="B58" s="45" t="s">
        <v>157</v>
      </c>
      <c r="C58" s="46" t="s">
        <v>0</v>
      </c>
      <c r="D58" s="46" t="s">
        <v>16</v>
      </c>
      <c r="E58" s="45" t="s">
        <v>195</v>
      </c>
      <c r="G58" s="52"/>
      <c r="H58" s="52"/>
      <c r="I58" s="52"/>
      <c r="J58" s="79"/>
      <c r="K58" s="77"/>
      <c r="L58" s="52"/>
      <c r="M58" s="52"/>
      <c r="N58" s="52"/>
      <c r="O58" s="79"/>
      <c r="P58" s="55"/>
      <c r="Q58" s="52"/>
      <c r="R58" s="52"/>
      <c r="S58" s="44"/>
      <c r="T58" s="73"/>
      <c r="U58" s="72"/>
      <c r="V58" s="43"/>
      <c r="W58" s="43"/>
      <c r="X58" s="43"/>
      <c r="Y58" s="83"/>
      <c r="Z58" s="59"/>
      <c r="AA58" s="57"/>
      <c r="AB58" s="62"/>
      <c r="AC58" s="59"/>
      <c r="AD58" s="53"/>
      <c r="AE58" s="87"/>
      <c r="AF58" s="59"/>
      <c r="AG58" s="53"/>
      <c r="AH58" s="53"/>
      <c r="AI58" s="62"/>
      <c r="AJ58" s="83"/>
      <c r="AK58" s="59"/>
      <c r="AL58" s="53"/>
      <c r="AM58" s="53"/>
      <c r="AN58" s="83"/>
      <c r="AO58" s="59"/>
      <c r="AP58" s="53"/>
      <c r="AQ58" s="53"/>
      <c r="AR58" s="53"/>
      <c r="AS58" s="83"/>
      <c r="AT58" s="59"/>
      <c r="AU58" s="53"/>
      <c r="AV58" s="53"/>
      <c r="AW58" s="53"/>
      <c r="AX58" s="53"/>
      <c r="AY58" s="83"/>
    </row>
    <row r="59" spans="2:51" ht="15" customHeight="1" outlineLevel="1">
      <c r="B59" s="45" t="s">
        <v>158</v>
      </c>
      <c r="C59" s="46" t="s">
        <v>0</v>
      </c>
      <c r="D59" s="46" t="s">
        <v>20</v>
      </c>
      <c r="E59" s="45" t="s">
        <v>195</v>
      </c>
      <c r="G59" s="52"/>
      <c r="H59" s="52"/>
      <c r="I59" s="52"/>
      <c r="J59" s="79"/>
      <c r="K59" s="77"/>
      <c r="L59" s="52"/>
      <c r="M59" s="52"/>
      <c r="N59" s="52"/>
      <c r="O59" s="79"/>
      <c r="P59" s="55"/>
      <c r="Q59" s="52"/>
      <c r="R59" s="52"/>
      <c r="S59" s="44"/>
      <c r="T59" s="73"/>
      <c r="U59" s="54"/>
      <c r="V59" s="69"/>
      <c r="W59" s="43"/>
      <c r="X59" s="43"/>
      <c r="Y59" s="83"/>
      <c r="Z59" s="59"/>
      <c r="AA59" s="57"/>
      <c r="AB59" s="62"/>
      <c r="AC59" s="59"/>
      <c r="AD59" s="53"/>
      <c r="AE59" s="87"/>
      <c r="AF59" s="59"/>
      <c r="AG59" s="53"/>
      <c r="AH59" s="53"/>
      <c r="AI59" s="62"/>
      <c r="AJ59" s="83"/>
      <c r="AK59" s="59"/>
      <c r="AL59" s="53"/>
      <c r="AM59" s="53"/>
      <c r="AN59" s="83"/>
      <c r="AO59" s="59"/>
      <c r="AP59" s="53"/>
      <c r="AQ59" s="53"/>
      <c r="AR59" s="53"/>
      <c r="AS59" s="83"/>
      <c r="AT59" s="59"/>
      <c r="AU59" s="53"/>
      <c r="AV59" s="53"/>
      <c r="AW59" s="53"/>
      <c r="AX59" s="53"/>
      <c r="AY59" s="83"/>
    </row>
    <row r="60" spans="2:51" ht="15" customHeight="1" outlineLevel="1">
      <c r="B60" s="45" t="s">
        <v>159</v>
      </c>
      <c r="C60" s="46" t="s">
        <v>0</v>
      </c>
      <c r="D60" s="46" t="s">
        <v>47</v>
      </c>
      <c r="E60" s="45" t="s">
        <v>195</v>
      </c>
      <c r="G60" s="52"/>
      <c r="H60" s="52"/>
      <c r="I60" s="52"/>
      <c r="J60" s="79"/>
      <c r="K60" s="77"/>
      <c r="L60" s="52"/>
      <c r="M60" s="52"/>
      <c r="N60" s="52"/>
      <c r="O60" s="79"/>
      <c r="P60" s="55"/>
      <c r="Q60" s="52"/>
      <c r="R60" s="52"/>
      <c r="S60" s="44"/>
      <c r="T60" s="73"/>
      <c r="U60" s="72"/>
      <c r="V60" s="69"/>
      <c r="W60" s="43"/>
      <c r="X60" s="43"/>
      <c r="Y60" s="83"/>
      <c r="Z60" s="59"/>
      <c r="AA60" s="57"/>
      <c r="AB60" s="62"/>
      <c r="AC60" s="59"/>
      <c r="AD60" s="53"/>
      <c r="AE60" s="87"/>
      <c r="AF60" s="59"/>
      <c r="AG60" s="53"/>
      <c r="AH60" s="53"/>
      <c r="AI60" s="62"/>
      <c r="AJ60" s="83"/>
      <c r="AK60" s="59"/>
      <c r="AL60" s="53"/>
      <c r="AM60" s="53"/>
      <c r="AN60" s="83"/>
      <c r="AO60" s="59"/>
      <c r="AP60" s="53"/>
      <c r="AQ60" s="53"/>
      <c r="AR60" s="53"/>
      <c r="AS60" s="83"/>
      <c r="AT60" s="59"/>
      <c r="AU60" s="53"/>
      <c r="AV60" s="53"/>
      <c r="AW60" s="53"/>
      <c r="AX60" s="53"/>
      <c r="AY60" s="83"/>
    </row>
    <row r="61" spans="2:51" s="8" customFormat="1" ht="15" customHeight="1">
      <c r="B61" s="42" t="s">
        <v>160</v>
      </c>
      <c r="C61" s="179" t="s">
        <v>161</v>
      </c>
      <c r="D61" s="179"/>
      <c r="E61" s="40"/>
      <c r="G61" s="41"/>
      <c r="H61" s="41"/>
      <c r="I61" s="41"/>
      <c r="J61" s="80"/>
      <c r="K61" s="41"/>
      <c r="L61" s="41"/>
      <c r="M61" s="41"/>
      <c r="N61" s="41"/>
      <c r="O61" s="80"/>
      <c r="P61" s="41"/>
      <c r="Q61" s="122" t="s">
        <v>237</v>
      </c>
      <c r="R61" s="68"/>
      <c r="S61" s="68"/>
      <c r="T61" s="75"/>
      <c r="U61" s="68"/>
      <c r="V61" s="70"/>
      <c r="W61" s="70"/>
      <c r="X61" s="70"/>
      <c r="Y61" s="84"/>
      <c r="Z61" s="70"/>
      <c r="AA61" s="70"/>
      <c r="AB61" s="61"/>
      <c r="AC61" s="70"/>
      <c r="AD61" s="70"/>
      <c r="AE61" s="86"/>
      <c r="AF61" s="70"/>
      <c r="AG61" s="40"/>
      <c r="AH61" s="40"/>
      <c r="AI61" s="61"/>
      <c r="AJ61" s="90"/>
      <c r="AK61" s="40"/>
      <c r="AL61" s="40"/>
      <c r="AM61" s="40"/>
      <c r="AN61" s="84"/>
      <c r="AO61" s="70"/>
      <c r="AP61" s="40"/>
      <c r="AQ61" s="40"/>
      <c r="AR61" s="40"/>
      <c r="AS61" s="82"/>
      <c r="AT61" s="40"/>
      <c r="AU61" s="40"/>
      <c r="AV61" s="40"/>
      <c r="AW61" s="40"/>
      <c r="AX61" s="40"/>
      <c r="AY61" s="82"/>
    </row>
    <row r="62" spans="2:51" ht="15" customHeight="1" outlineLevel="1">
      <c r="B62" s="45" t="s">
        <v>162</v>
      </c>
      <c r="C62" s="46" t="s">
        <v>0</v>
      </c>
      <c r="D62" s="46" t="s">
        <v>7</v>
      </c>
      <c r="E62" s="45" t="s">
        <v>195</v>
      </c>
      <c r="G62" s="52"/>
      <c r="H62" s="52"/>
      <c r="I62" s="52"/>
      <c r="J62" s="79"/>
      <c r="K62" s="77"/>
      <c r="L62" s="52"/>
      <c r="M62" s="52"/>
      <c r="N62" s="52"/>
      <c r="O62" s="79"/>
      <c r="P62" s="55"/>
      <c r="Q62" s="63"/>
      <c r="R62" s="52"/>
      <c r="S62" s="44"/>
      <c r="T62" s="73"/>
      <c r="U62" s="54"/>
      <c r="V62" s="69"/>
      <c r="W62" s="69"/>
      <c r="X62" s="43"/>
      <c r="Y62" s="83"/>
      <c r="Z62" s="59"/>
      <c r="AA62" s="57"/>
      <c r="AB62" s="62"/>
      <c r="AC62" s="59"/>
      <c r="AD62" s="53"/>
      <c r="AE62" s="87"/>
      <c r="AF62" s="59"/>
      <c r="AG62" s="53"/>
      <c r="AH62" s="53"/>
      <c r="AI62" s="62"/>
      <c r="AJ62" s="83"/>
      <c r="AK62" s="59"/>
      <c r="AL62" s="53"/>
      <c r="AM62" s="53"/>
      <c r="AN62" s="83"/>
      <c r="AO62" s="59"/>
      <c r="AP62" s="53"/>
      <c r="AQ62" s="53"/>
      <c r="AR62" s="53"/>
      <c r="AS62" s="83"/>
      <c r="AT62" s="59"/>
      <c r="AU62" s="53"/>
      <c r="AV62" s="53"/>
      <c r="AW62" s="53"/>
      <c r="AX62" s="53"/>
      <c r="AY62" s="83"/>
    </row>
    <row r="63" spans="2:51" ht="15" customHeight="1" outlineLevel="1">
      <c r="B63" s="45" t="s">
        <v>163</v>
      </c>
      <c r="C63" s="46" t="s">
        <v>0</v>
      </c>
      <c r="D63" s="46" t="s">
        <v>19</v>
      </c>
      <c r="E63" s="45" t="s">
        <v>195</v>
      </c>
      <c r="G63" s="52"/>
      <c r="H63" s="52"/>
      <c r="I63" s="52"/>
      <c r="J63" s="79"/>
      <c r="K63" s="77"/>
      <c r="L63" s="52"/>
      <c r="M63" s="52"/>
      <c r="N63" s="52"/>
      <c r="O63" s="79"/>
      <c r="P63" s="55"/>
      <c r="Q63" s="52"/>
      <c r="R63" s="52"/>
      <c r="S63" s="44"/>
      <c r="T63" s="73"/>
      <c r="U63" s="54"/>
      <c r="V63" s="43"/>
      <c r="W63" s="69"/>
      <c r="X63" s="43"/>
      <c r="Y63" s="81"/>
      <c r="Z63" s="58"/>
      <c r="AA63" s="56"/>
      <c r="AB63" s="61"/>
      <c r="AC63" s="58"/>
      <c r="AD63" s="43"/>
      <c r="AE63" s="86"/>
      <c r="AF63" s="59"/>
      <c r="AG63" s="53"/>
      <c r="AH63" s="53"/>
      <c r="AI63" s="62"/>
      <c r="AJ63" s="83"/>
      <c r="AK63" s="59"/>
      <c r="AL63" s="53"/>
      <c r="AM63" s="53"/>
      <c r="AN63" s="83"/>
      <c r="AO63" s="59"/>
      <c r="AP63" s="53"/>
      <c r="AQ63" s="53"/>
      <c r="AR63" s="53"/>
      <c r="AS63" s="83"/>
      <c r="AT63" s="59"/>
      <c r="AU63" s="53"/>
      <c r="AV63" s="53"/>
      <c r="AW63" s="53"/>
      <c r="AX63" s="53"/>
      <c r="AY63" s="83"/>
    </row>
    <row r="64" spans="2:51" ht="15" customHeight="1" outlineLevel="1">
      <c r="B64" s="45" t="s">
        <v>164</v>
      </c>
      <c r="C64" s="46" t="s">
        <v>0</v>
      </c>
      <c r="D64" s="46" t="s">
        <v>21</v>
      </c>
      <c r="E64" s="45" t="s">
        <v>195</v>
      </c>
      <c r="G64" s="52"/>
      <c r="H64" s="52"/>
      <c r="I64" s="52"/>
      <c r="J64" s="79"/>
      <c r="K64" s="77"/>
      <c r="L64" s="52"/>
      <c r="M64" s="52"/>
      <c r="N64" s="52"/>
      <c r="O64" s="79"/>
      <c r="P64" s="55"/>
      <c r="Q64" s="52"/>
      <c r="R64" s="52"/>
      <c r="S64" s="44"/>
      <c r="T64" s="73"/>
      <c r="U64" s="54"/>
      <c r="V64" s="43"/>
      <c r="W64" s="69"/>
      <c r="X64" s="69"/>
      <c r="Y64" s="81"/>
      <c r="Z64" s="58"/>
      <c r="AA64" s="56"/>
      <c r="AB64" s="61"/>
      <c r="AC64" s="58"/>
      <c r="AD64" s="43"/>
      <c r="AE64" s="86"/>
      <c r="AF64" s="59"/>
      <c r="AG64" s="53"/>
      <c r="AH64" s="53"/>
      <c r="AI64" s="62"/>
      <c r="AJ64" s="83"/>
      <c r="AK64" s="59"/>
      <c r="AL64" s="53"/>
      <c r="AM64" s="53"/>
      <c r="AN64" s="83"/>
      <c r="AO64" s="59"/>
      <c r="AP64" s="53"/>
      <c r="AQ64" s="53"/>
      <c r="AR64" s="53"/>
      <c r="AS64" s="83"/>
      <c r="AT64" s="59"/>
      <c r="AU64" s="53"/>
      <c r="AV64" s="53"/>
      <c r="AW64" s="53"/>
      <c r="AX64" s="53"/>
      <c r="AY64" s="83"/>
    </row>
    <row r="65" spans="2:51" ht="15" customHeight="1" outlineLevel="1">
      <c r="B65" s="45" t="s">
        <v>165</v>
      </c>
      <c r="C65" s="46" t="s">
        <v>0</v>
      </c>
      <c r="D65" s="46" t="s">
        <v>30</v>
      </c>
      <c r="E65" s="45" t="s">
        <v>195</v>
      </c>
      <c r="G65" s="52"/>
      <c r="H65" s="52"/>
      <c r="I65" s="52"/>
      <c r="J65" s="79"/>
      <c r="K65" s="77"/>
      <c r="L65" s="52"/>
      <c r="M65" s="52"/>
      <c r="N65" s="52"/>
      <c r="O65" s="79"/>
      <c r="P65" s="55"/>
      <c r="Q65" s="52"/>
      <c r="R65" s="52"/>
      <c r="S65" s="44"/>
      <c r="T65" s="73"/>
      <c r="U65" s="54"/>
      <c r="V65" s="43"/>
      <c r="W65" s="43"/>
      <c r="X65" s="69"/>
      <c r="Y65" s="81"/>
      <c r="Z65" s="58"/>
      <c r="AA65" s="56"/>
      <c r="AB65" s="61"/>
      <c r="AC65" s="58"/>
      <c r="AD65" s="43"/>
      <c r="AE65" s="86"/>
      <c r="AF65" s="59"/>
      <c r="AG65" s="53"/>
      <c r="AH65" s="53"/>
      <c r="AI65" s="62"/>
      <c r="AJ65" s="83"/>
      <c r="AK65" s="59"/>
      <c r="AL65" s="53"/>
      <c r="AM65" s="53"/>
      <c r="AN65" s="83"/>
      <c r="AO65" s="59"/>
      <c r="AP65" s="53"/>
      <c r="AQ65" s="53"/>
      <c r="AR65" s="53"/>
      <c r="AS65" s="83"/>
      <c r="AT65" s="59"/>
      <c r="AU65" s="53"/>
      <c r="AV65" s="53"/>
      <c r="AW65" s="53"/>
      <c r="AX65" s="53"/>
      <c r="AY65" s="83"/>
    </row>
    <row r="66" spans="2:51" ht="15" customHeight="1" outlineLevel="1">
      <c r="B66" s="45" t="s">
        <v>166</v>
      </c>
      <c r="C66" s="46" t="s">
        <v>0</v>
      </c>
      <c r="D66" s="46" t="s">
        <v>33</v>
      </c>
      <c r="E66" s="45" t="s">
        <v>195</v>
      </c>
      <c r="G66" s="52"/>
      <c r="H66" s="52"/>
      <c r="I66" s="52"/>
      <c r="J66" s="79"/>
      <c r="K66" s="77"/>
      <c r="L66" s="52"/>
      <c r="M66" s="52"/>
      <c r="N66" s="52"/>
      <c r="O66" s="79"/>
      <c r="P66" s="55"/>
      <c r="Q66" s="52"/>
      <c r="R66" s="52"/>
      <c r="S66" s="44"/>
      <c r="T66" s="73"/>
      <c r="U66" s="54"/>
      <c r="V66" s="43"/>
      <c r="W66" s="43"/>
      <c r="X66" s="69"/>
      <c r="Y66" s="76"/>
      <c r="Z66" s="58"/>
      <c r="AA66" s="56"/>
      <c r="AB66" s="61"/>
      <c r="AC66" s="58"/>
      <c r="AD66" s="43"/>
      <c r="AE66" s="86"/>
      <c r="AF66" s="59"/>
      <c r="AG66" s="53"/>
      <c r="AH66" s="53"/>
      <c r="AI66" s="62"/>
      <c r="AJ66" s="83"/>
      <c r="AK66" s="59"/>
      <c r="AL66" s="53"/>
      <c r="AM66" s="53"/>
      <c r="AN66" s="83"/>
      <c r="AO66" s="59"/>
      <c r="AP66" s="53"/>
      <c r="AQ66" s="53"/>
      <c r="AR66" s="53"/>
      <c r="AS66" s="83"/>
      <c r="AT66" s="59"/>
      <c r="AU66" s="53"/>
      <c r="AV66" s="53"/>
      <c r="AW66" s="53"/>
      <c r="AX66" s="53"/>
      <c r="AY66" s="83"/>
    </row>
    <row r="67" spans="2:51" ht="15" customHeight="1" outlineLevel="1">
      <c r="B67" s="45" t="s">
        <v>167</v>
      </c>
      <c r="C67" s="46" t="s">
        <v>0</v>
      </c>
      <c r="D67" s="46" t="s">
        <v>34</v>
      </c>
      <c r="E67" s="45" t="s">
        <v>195</v>
      </c>
      <c r="G67" s="52"/>
      <c r="H67" s="52"/>
      <c r="I67" s="52"/>
      <c r="J67" s="79"/>
      <c r="K67" s="77"/>
      <c r="L67" s="52"/>
      <c r="M67" s="52"/>
      <c r="N67" s="52"/>
      <c r="O67" s="79"/>
      <c r="P67" s="55"/>
      <c r="Q67" s="52"/>
      <c r="R67" s="52"/>
      <c r="S67" s="52"/>
      <c r="T67" s="79"/>
      <c r="U67" s="55"/>
      <c r="V67" s="53"/>
      <c r="W67" s="53"/>
      <c r="X67" s="43"/>
      <c r="Y67" s="76"/>
      <c r="Z67" s="58"/>
      <c r="AA67" s="56"/>
      <c r="AB67" s="61"/>
      <c r="AC67" s="58"/>
      <c r="AD67" s="43"/>
      <c r="AE67" s="86"/>
      <c r="AF67" s="59"/>
      <c r="AG67" s="53"/>
      <c r="AH67" s="53"/>
      <c r="AI67" s="62"/>
      <c r="AJ67" s="83"/>
      <c r="AK67" s="59"/>
      <c r="AL67" s="53"/>
      <c r="AM67" s="53"/>
      <c r="AN67" s="83"/>
      <c r="AO67" s="59"/>
      <c r="AP67" s="53"/>
      <c r="AQ67" s="53"/>
      <c r="AR67" s="53"/>
      <c r="AS67" s="83"/>
      <c r="AT67" s="59"/>
      <c r="AU67" s="53"/>
      <c r="AV67" s="53"/>
      <c r="AW67" s="53"/>
      <c r="AX67" s="53"/>
      <c r="AY67" s="83"/>
    </row>
    <row r="68" spans="2:51" ht="15" customHeight="1" outlineLevel="1">
      <c r="B68" s="45" t="s">
        <v>168</v>
      </c>
      <c r="C68" s="46" t="s">
        <v>0</v>
      </c>
      <c r="D68" s="46" t="s">
        <v>36</v>
      </c>
      <c r="E68" s="45" t="s">
        <v>195</v>
      </c>
      <c r="G68" s="52"/>
      <c r="H68" s="52"/>
      <c r="I68" s="52"/>
      <c r="J68" s="79"/>
      <c r="K68" s="77"/>
      <c r="L68" s="52"/>
      <c r="M68" s="52"/>
      <c r="N68" s="52"/>
      <c r="O68" s="79"/>
      <c r="P68" s="55"/>
      <c r="Q68" s="52"/>
      <c r="R68" s="52"/>
      <c r="S68" s="52"/>
      <c r="T68" s="79"/>
      <c r="U68" s="55"/>
      <c r="V68" s="53"/>
      <c r="W68" s="53"/>
      <c r="X68" s="43"/>
      <c r="Y68" s="76"/>
      <c r="Z68" s="72"/>
      <c r="AA68" s="56"/>
      <c r="AB68" s="61"/>
      <c r="AC68" s="58"/>
      <c r="AD68" s="43"/>
      <c r="AE68" s="86"/>
      <c r="AF68" s="59"/>
      <c r="AG68" s="53"/>
      <c r="AH68" s="53"/>
      <c r="AI68" s="62"/>
      <c r="AJ68" s="83"/>
      <c r="AK68" s="59"/>
      <c r="AL68" s="53"/>
      <c r="AM68" s="53"/>
      <c r="AN68" s="83"/>
      <c r="AO68" s="59"/>
      <c r="AP68" s="53"/>
      <c r="AQ68" s="53"/>
      <c r="AR68" s="53"/>
      <c r="AS68" s="83"/>
      <c r="AT68" s="59"/>
      <c r="AU68" s="53"/>
      <c r="AV68" s="53"/>
      <c r="AW68" s="53"/>
      <c r="AX68" s="53"/>
      <c r="AY68" s="83"/>
    </row>
    <row r="69" spans="2:51" ht="15" customHeight="1" outlineLevel="1">
      <c r="B69" s="45" t="s">
        <v>169</v>
      </c>
      <c r="C69" s="46" t="s">
        <v>0</v>
      </c>
      <c r="D69" s="46" t="s">
        <v>37</v>
      </c>
      <c r="E69" s="45" t="s">
        <v>195</v>
      </c>
      <c r="G69" s="52"/>
      <c r="H69" s="52"/>
      <c r="I69" s="52"/>
      <c r="J69" s="79"/>
      <c r="K69" s="77"/>
      <c r="L69" s="52"/>
      <c r="M69" s="52"/>
      <c r="N69" s="52"/>
      <c r="O69" s="79"/>
      <c r="P69" s="55"/>
      <c r="Q69" s="52"/>
      <c r="R69" s="52"/>
      <c r="S69" s="52"/>
      <c r="T69" s="79"/>
      <c r="U69" s="55"/>
      <c r="V69" s="53"/>
      <c r="W69" s="53"/>
      <c r="X69" s="43"/>
      <c r="Y69" s="81"/>
      <c r="Z69" s="72"/>
      <c r="AA69" s="56"/>
      <c r="AB69" s="61"/>
      <c r="AC69" s="58"/>
      <c r="AD69" s="43"/>
      <c r="AE69" s="86"/>
      <c r="AF69" s="59"/>
      <c r="AG69" s="53"/>
      <c r="AH69" s="53"/>
      <c r="AI69" s="62"/>
      <c r="AJ69" s="83"/>
      <c r="AK69" s="59"/>
      <c r="AL69" s="53"/>
      <c r="AM69" s="53"/>
      <c r="AN69" s="83"/>
      <c r="AO69" s="59"/>
      <c r="AP69" s="53"/>
      <c r="AQ69" s="53"/>
      <c r="AR69" s="53"/>
      <c r="AS69" s="83"/>
      <c r="AT69" s="59"/>
      <c r="AU69" s="53"/>
      <c r="AV69" s="53"/>
      <c r="AW69" s="53"/>
      <c r="AX69" s="53"/>
      <c r="AY69" s="83"/>
    </row>
    <row r="70" spans="2:51" ht="15" customHeight="1" outlineLevel="1">
      <c r="B70" s="45" t="s">
        <v>170</v>
      </c>
      <c r="C70" s="46" t="s">
        <v>0</v>
      </c>
      <c r="D70" s="46" t="s">
        <v>38</v>
      </c>
      <c r="E70" s="45" t="s">
        <v>195</v>
      </c>
      <c r="G70" s="52"/>
      <c r="H70" s="52"/>
      <c r="I70" s="52"/>
      <c r="J70" s="79"/>
      <c r="K70" s="77"/>
      <c r="L70" s="52"/>
      <c r="M70" s="52"/>
      <c r="N70" s="52"/>
      <c r="O70" s="79"/>
      <c r="P70" s="55"/>
      <c r="Q70" s="52"/>
      <c r="R70" s="52"/>
      <c r="S70" s="52"/>
      <c r="T70" s="79"/>
      <c r="U70" s="55"/>
      <c r="V70" s="53"/>
      <c r="W70" s="53"/>
      <c r="X70" s="43"/>
      <c r="Y70" s="81"/>
      <c r="Z70" s="72"/>
      <c r="AA70" s="69"/>
      <c r="AB70" s="61"/>
      <c r="AC70" s="58"/>
      <c r="AD70" s="43"/>
      <c r="AE70" s="86"/>
      <c r="AF70" s="59"/>
      <c r="AG70" s="53"/>
      <c r="AH70" s="53"/>
      <c r="AI70" s="62"/>
      <c r="AJ70" s="83"/>
      <c r="AK70" s="59"/>
      <c r="AL70" s="53"/>
      <c r="AM70" s="53"/>
      <c r="AN70" s="83"/>
      <c r="AO70" s="59"/>
      <c r="AP70" s="53"/>
      <c r="AQ70" s="53"/>
      <c r="AR70" s="53"/>
      <c r="AS70" s="83"/>
      <c r="AT70" s="59"/>
      <c r="AU70" s="53"/>
      <c r="AV70" s="53"/>
      <c r="AW70" s="53"/>
      <c r="AX70" s="53"/>
      <c r="AY70" s="83"/>
    </row>
    <row r="71" spans="2:51" ht="15" customHeight="1" outlineLevel="1">
      <c r="B71" s="45" t="s">
        <v>171</v>
      </c>
      <c r="C71" s="46" t="s">
        <v>0</v>
      </c>
      <c r="D71" s="46" t="s">
        <v>39</v>
      </c>
      <c r="E71" s="45" t="s">
        <v>195</v>
      </c>
      <c r="G71" s="52"/>
      <c r="H71" s="52"/>
      <c r="I71" s="52"/>
      <c r="J71" s="79"/>
      <c r="K71" s="77"/>
      <c r="L71" s="52"/>
      <c r="M71" s="52"/>
      <c r="N71" s="52"/>
      <c r="O71" s="79"/>
      <c r="P71" s="55"/>
      <c r="Q71" s="52"/>
      <c r="R71" s="52"/>
      <c r="S71" s="52"/>
      <c r="T71" s="79"/>
      <c r="U71" s="55"/>
      <c r="V71" s="53"/>
      <c r="W71" s="53"/>
      <c r="X71" s="43"/>
      <c r="Y71" s="81"/>
      <c r="Z71" s="58"/>
      <c r="AA71" s="69"/>
      <c r="AB71" s="61"/>
      <c r="AC71" s="58"/>
      <c r="AD71" s="43"/>
      <c r="AE71" s="86"/>
      <c r="AF71" s="59"/>
      <c r="AG71" s="53"/>
      <c r="AH71" s="53"/>
      <c r="AI71" s="62"/>
      <c r="AJ71" s="83"/>
      <c r="AK71" s="59"/>
      <c r="AL71" s="53"/>
      <c r="AM71" s="53"/>
      <c r="AN71" s="83"/>
      <c r="AO71" s="59"/>
      <c r="AP71" s="53"/>
      <c r="AQ71" s="53"/>
      <c r="AR71" s="53"/>
      <c r="AS71" s="83"/>
      <c r="AT71" s="59"/>
      <c r="AU71" s="53"/>
      <c r="AV71" s="53"/>
      <c r="AW71" s="53"/>
      <c r="AX71" s="53"/>
      <c r="AY71" s="83"/>
    </row>
    <row r="72" spans="2:51" ht="15" customHeight="1" outlineLevel="1">
      <c r="B72" s="45" t="s">
        <v>172</v>
      </c>
      <c r="C72" s="46" t="s">
        <v>0</v>
      </c>
      <c r="D72" s="46" t="s">
        <v>40</v>
      </c>
      <c r="E72" s="45" t="s">
        <v>195</v>
      </c>
      <c r="G72" s="52"/>
      <c r="H72" s="52"/>
      <c r="I72" s="52"/>
      <c r="J72" s="79"/>
      <c r="K72" s="77"/>
      <c r="L72" s="52"/>
      <c r="M72" s="52"/>
      <c r="N72" s="52"/>
      <c r="O72" s="79"/>
      <c r="P72" s="55"/>
      <c r="Q72" s="52"/>
      <c r="R72" s="52"/>
      <c r="S72" s="52"/>
      <c r="T72" s="79"/>
      <c r="U72" s="55"/>
      <c r="V72" s="53"/>
      <c r="W72" s="53"/>
      <c r="X72" s="43"/>
      <c r="Y72" s="81"/>
      <c r="Z72" s="58"/>
      <c r="AA72" s="56"/>
      <c r="AB72" s="61"/>
      <c r="AC72" s="69"/>
      <c r="AD72" s="43"/>
      <c r="AE72" s="86"/>
      <c r="AF72" s="59"/>
      <c r="AG72" s="53"/>
      <c r="AH72" s="53"/>
      <c r="AI72" s="62"/>
      <c r="AJ72" s="83"/>
      <c r="AK72" s="59"/>
      <c r="AL72" s="53"/>
      <c r="AM72" s="53"/>
      <c r="AN72" s="83"/>
      <c r="AO72" s="59"/>
      <c r="AP72" s="53"/>
      <c r="AQ72" s="53"/>
      <c r="AR72" s="53"/>
      <c r="AS72" s="83"/>
      <c r="AT72" s="59"/>
      <c r="AU72" s="53"/>
      <c r="AV72" s="53"/>
      <c r="AW72" s="53"/>
      <c r="AX72" s="53"/>
      <c r="AY72" s="83"/>
    </row>
    <row r="73" spans="2:51" ht="15" customHeight="1" outlineLevel="1">
      <c r="B73" s="45" t="s">
        <v>173</v>
      </c>
      <c r="C73" s="46" t="s">
        <v>0</v>
      </c>
      <c r="D73" s="46" t="s">
        <v>44</v>
      </c>
      <c r="E73" s="45" t="s">
        <v>195</v>
      </c>
      <c r="G73" s="52"/>
      <c r="H73" s="52"/>
      <c r="I73" s="52"/>
      <c r="J73" s="79"/>
      <c r="K73" s="77"/>
      <c r="L73" s="52"/>
      <c r="M73" s="52"/>
      <c r="N73" s="52"/>
      <c r="O73" s="79"/>
      <c r="P73" s="55"/>
      <c r="Q73" s="52"/>
      <c r="R73" s="52"/>
      <c r="S73" s="52"/>
      <c r="T73" s="79"/>
      <c r="U73" s="55"/>
      <c r="V73" s="53"/>
      <c r="W73" s="53"/>
      <c r="X73" s="43"/>
      <c r="Y73" s="81"/>
      <c r="Z73" s="58"/>
      <c r="AA73" s="56"/>
      <c r="AB73" s="61"/>
      <c r="AC73" s="69"/>
      <c r="AD73" s="43"/>
      <c r="AE73" s="86"/>
      <c r="AF73" s="59"/>
      <c r="AG73" s="53"/>
      <c r="AH73" s="53"/>
      <c r="AI73" s="62"/>
      <c r="AJ73" s="83"/>
      <c r="AK73" s="59"/>
      <c r="AL73" s="53"/>
      <c r="AM73" s="53"/>
      <c r="AN73" s="83"/>
      <c r="AO73" s="59"/>
      <c r="AP73" s="53"/>
      <c r="AQ73" s="53"/>
      <c r="AR73" s="53"/>
      <c r="AS73" s="83"/>
      <c r="AT73" s="59"/>
      <c r="AU73" s="53"/>
      <c r="AV73" s="53"/>
      <c r="AW73" s="53"/>
      <c r="AX73" s="53"/>
      <c r="AY73" s="83"/>
    </row>
    <row r="74" spans="2:51" ht="15" customHeight="1" outlineLevel="1">
      <c r="B74" s="45" t="s">
        <v>174</v>
      </c>
      <c r="C74" s="46" t="s">
        <v>0</v>
      </c>
      <c r="D74" s="46" t="s">
        <v>48</v>
      </c>
      <c r="E74" s="45" t="s">
        <v>195</v>
      </c>
      <c r="G74" s="52"/>
      <c r="H74" s="52"/>
      <c r="I74" s="52"/>
      <c r="J74" s="79"/>
      <c r="K74" s="77"/>
      <c r="L74" s="52"/>
      <c r="M74" s="52"/>
      <c r="N74" s="52"/>
      <c r="O74" s="79"/>
      <c r="P74" s="55"/>
      <c r="Q74" s="52"/>
      <c r="R74" s="52"/>
      <c r="S74" s="52"/>
      <c r="T74" s="79"/>
      <c r="U74" s="55"/>
      <c r="V74" s="53"/>
      <c r="W74" s="53"/>
      <c r="X74" s="43"/>
      <c r="Y74" s="81"/>
      <c r="Z74" s="58"/>
      <c r="AA74" s="56"/>
      <c r="AB74" s="61"/>
      <c r="AC74" s="69"/>
      <c r="AD74" s="69"/>
      <c r="AE74" s="86"/>
      <c r="AF74" s="58"/>
      <c r="AG74" s="43"/>
      <c r="AH74" s="43"/>
      <c r="AI74" s="61"/>
      <c r="AJ74" s="83"/>
      <c r="AK74" s="59"/>
      <c r="AL74" s="53"/>
      <c r="AM74" s="53"/>
      <c r="AN74" s="83"/>
      <c r="AO74" s="59"/>
      <c r="AP74" s="53"/>
      <c r="AQ74" s="53"/>
      <c r="AR74" s="53"/>
      <c r="AS74" s="83"/>
      <c r="AT74" s="59"/>
      <c r="AU74" s="53"/>
      <c r="AV74" s="53"/>
      <c r="AW74" s="53"/>
      <c r="AX74" s="53"/>
      <c r="AY74" s="83"/>
    </row>
    <row r="75" spans="2:51" ht="15" customHeight="1" outlineLevel="1">
      <c r="B75" s="45" t="s">
        <v>175</v>
      </c>
      <c r="C75" s="46" t="s">
        <v>52</v>
      </c>
      <c r="D75" s="46" t="s">
        <v>33</v>
      </c>
      <c r="E75" s="45" t="s">
        <v>195</v>
      </c>
      <c r="G75" s="52"/>
      <c r="H75" s="52"/>
      <c r="I75" s="52"/>
      <c r="J75" s="79"/>
      <c r="K75" s="77"/>
      <c r="L75" s="52"/>
      <c r="M75" s="52"/>
      <c r="N75" s="52"/>
      <c r="O75" s="79"/>
      <c r="P75" s="55"/>
      <c r="Q75" s="52"/>
      <c r="R75" s="52"/>
      <c r="S75" s="52"/>
      <c r="T75" s="79"/>
      <c r="U75" s="55"/>
      <c r="V75" s="53"/>
      <c r="W75" s="53"/>
      <c r="X75" s="43"/>
      <c r="Y75" s="81"/>
      <c r="Z75" s="58"/>
      <c r="AA75" s="56"/>
      <c r="AB75" s="61"/>
      <c r="AC75" s="58"/>
      <c r="AD75" s="69"/>
      <c r="AE75" s="86"/>
      <c r="AF75" s="58"/>
      <c r="AG75" s="43"/>
      <c r="AH75" s="43"/>
      <c r="AI75" s="61"/>
      <c r="AJ75" s="83"/>
      <c r="AK75" s="59"/>
      <c r="AL75" s="53"/>
      <c r="AM75" s="53"/>
      <c r="AN75" s="83"/>
      <c r="AO75" s="59"/>
      <c r="AP75" s="53"/>
      <c r="AQ75" s="53"/>
      <c r="AR75" s="53"/>
      <c r="AS75" s="83"/>
      <c r="AT75" s="59"/>
      <c r="AU75" s="53"/>
      <c r="AV75" s="53"/>
      <c r="AW75" s="53"/>
      <c r="AX75" s="53"/>
      <c r="AY75" s="83"/>
    </row>
    <row r="76" spans="2:51" ht="15" customHeight="1" outlineLevel="1">
      <c r="B76" s="45" t="s">
        <v>176</v>
      </c>
      <c r="C76" s="46" t="s">
        <v>52</v>
      </c>
      <c r="D76" s="46" t="s">
        <v>35</v>
      </c>
      <c r="E76" s="45" t="s">
        <v>195</v>
      </c>
      <c r="G76" s="52"/>
      <c r="H76" s="52"/>
      <c r="I76" s="52"/>
      <c r="J76" s="79"/>
      <c r="K76" s="77"/>
      <c r="L76" s="52"/>
      <c r="M76" s="52"/>
      <c r="N76" s="52"/>
      <c r="O76" s="79"/>
      <c r="P76" s="55"/>
      <c r="Q76" s="52"/>
      <c r="R76" s="52"/>
      <c r="S76" s="52"/>
      <c r="T76" s="79"/>
      <c r="U76" s="55"/>
      <c r="V76" s="53"/>
      <c r="W76" s="53"/>
      <c r="X76" s="43"/>
      <c r="Y76" s="81"/>
      <c r="Z76" s="58"/>
      <c r="AA76" s="56"/>
      <c r="AB76" s="61"/>
      <c r="AC76" s="58"/>
      <c r="AD76" s="43"/>
      <c r="AE76" s="86"/>
      <c r="AF76" s="72"/>
      <c r="AG76" s="43"/>
      <c r="AH76" s="43"/>
      <c r="AI76" s="61"/>
      <c r="AJ76" s="83"/>
      <c r="AK76" s="59"/>
      <c r="AL76" s="53"/>
      <c r="AM76" s="53"/>
      <c r="AN76" s="83"/>
      <c r="AO76" s="59"/>
      <c r="AP76" s="53"/>
      <c r="AQ76" s="53"/>
      <c r="AR76" s="53"/>
      <c r="AS76" s="83"/>
      <c r="AT76" s="59"/>
      <c r="AU76" s="53"/>
      <c r="AV76" s="53"/>
      <c r="AW76" s="53"/>
      <c r="AX76" s="53"/>
      <c r="AY76" s="83"/>
    </row>
    <row r="77" spans="2:51" ht="15" customHeight="1" outlineLevel="1">
      <c r="B77" s="45" t="s">
        <v>177</v>
      </c>
      <c r="C77" s="46" t="s">
        <v>52</v>
      </c>
      <c r="D77" s="46" t="s">
        <v>53</v>
      </c>
      <c r="E77" s="45" t="s">
        <v>195</v>
      </c>
      <c r="G77" s="52"/>
      <c r="H77" s="52"/>
      <c r="I77" s="52"/>
      <c r="J77" s="79"/>
      <c r="K77" s="77"/>
      <c r="L77" s="52"/>
      <c r="M77" s="52"/>
      <c r="N77" s="52"/>
      <c r="O77" s="79"/>
      <c r="P77" s="55"/>
      <c r="Q77" s="52"/>
      <c r="R77" s="52"/>
      <c r="S77" s="52"/>
      <c r="T77" s="79"/>
      <c r="U77" s="55"/>
      <c r="V77" s="53"/>
      <c r="W77" s="53"/>
      <c r="X77" s="53"/>
      <c r="Y77" s="83"/>
      <c r="Z77" s="59"/>
      <c r="AA77" s="57"/>
      <c r="AB77" s="62"/>
      <c r="AC77" s="59"/>
      <c r="AD77" s="53"/>
      <c r="AE77" s="87"/>
      <c r="AF77" s="72"/>
      <c r="AG77" s="43"/>
      <c r="AH77" s="43"/>
      <c r="AI77" s="61"/>
      <c r="AJ77" s="83"/>
      <c r="AK77" s="59"/>
      <c r="AL77" s="53"/>
      <c r="AM77" s="53"/>
      <c r="AN77" s="83"/>
      <c r="AO77" s="59"/>
      <c r="AP77" s="53"/>
      <c r="AQ77" s="53"/>
      <c r="AR77" s="53"/>
      <c r="AS77" s="83"/>
      <c r="AT77" s="59"/>
      <c r="AU77" s="53"/>
      <c r="AV77" s="53"/>
      <c r="AW77" s="53"/>
      <c r="AX77" s="53"/>
      <c r="AY77" s="83"/>
    </row>
    <row r="78" spans="2:51" ht="15" customHeight="1" outlineLevel="1">
      <c r="B78" s="45" t="s">
        <v>178</v>
      </c>
      <c r="C78" s="46" t="s">
        <v>52</v>
      </c>
      <c r="D78" s="46" t="s">
        <v>54</v>
      </c>
      <c r="E78" s="45" t="s">
        <v>195</v>
      </c>
      <c r="G78" s="52"/>
      <c r="H78" s="52"/>
      <c r="I78" s="52"/>
      <c r="J78" s="79"/>
      <c r="K78" s="77"/>
      <c r="L78" s="52"/>
      <c r="M78" s="52"/>
      <c r="N78" s="52"/>
      <c r="O78" s="79"/>
      <c r="P78" s="55"/>
      <c r="Q78" s="52"/>
      <c r="R78" s="52"/>
      <c r="S78" s="52"/>
      <c r="T78" s="79"/>
      <c r="U78" s="55"/>
      <c r="V78" s="53"/>
      <c r="W78" s="53"/>
      <c r="X78" s="53"/>
      <c r="Y78" s="83"/>
      <c r="Z78" s="59"/>
      <c r="AA78" s="57"/>
      <c r="AB78" s="62"/>
      <c r="AC78" s="59"/>
      <c r="AD78" s="53"/>
      <c r="AE78" s="87"/>
      <c r="AF78" s="72"/>
      <c r="AG78" s="43"/>
      <c r="AH78" s="43"/>
      <c r="AI78" s="61"/>
      <c r="AJ78" s="83"/>
      <c r="AK78" s="59"/>
      <c r="AL78" s="53"/>
      <c r="AM78" s="53"/>
      <c r="AN78" s="83"/>
      <c r="AO78" s="59"/>
      <c r="AP78" s="53"/>
      <c r="AQ78" s="53"/>
      <c r="AR78" s="53"/>
      <c r="AS78" s="83"/>
      <c r="AT78" s="59"/>
      <c r="AU78" s="53"/>
      <c r="AV78" s="53"/>
      <c r="AW78" s="53"/>
      <c r="AX78" s="53"/>
      <c r="AY78" s="83"/>
    </row>
    <row r="79" spans="2:51" ht="15" customHeight="1" outlineLevel="1">
      <c r="B79" s="45" t="s">
        <v>179</v>
      </c>
      <c r="C79" s="46" t="s">
        <v>52</v>
      </c>
      <c r="D79" s="46" t="s">
        <v>55</v>
      </c>
      <c r="E79" s="45" t="s">
        <v>195</v>
      </c>
      <c r="G79" s="52"/>
      <c r="H79" s="52"/>
      <c r="I79" s="52"/>
      <c r="J79" s="79"/>
      <c r="K79" s="77"/>
      <c r="L79" s="52"/>
      <c r="M79" s="52"/>
      <c r="N79" s="52"/>
      <c r="O79" s="79"/>
      <c r="P79" s="55"/>
      <c r="Q79" s="52"/>
      <c r="R79" s="52"/>
      <c r="S79" s="52"/>
      <c r="T79" s="79"/>
      <c r="U79" s="55"/>
      <c r="V79" s="53"/>
      <c r="W79" s="53"/>
      <c r="X79" s="53"/>
      <c r="Y79" s="83"/>
      <c r="Z79" s="59"/>
      <c r="AA79" s="57"/>
      <c r="AB79" s="62"/>
      <c r="AC79" s="59"/>
      <c r="AD79" s="53"/>
      <c r="AE79" s="87"/>
      <c r="AF79" s="72"/>
      <c r="AG79" s="43"/>
      <c r="AH79" s="43"/>
      <c r="AI79" s="61"/>
      <c r="AJ79" s="83"/>
      <c r="AK79" s="59"/>
      <c r="AL79" s="53"/>
      <c r="AM79" s="53"/>
      <c r="AN79" s="83"/>
      <c r="AO79" s="59"/>
      <c r="AP79" s="53"/>
      <c r="AQ79" s="53"/>
      <c r="AR79" s="53"/>
      <c r="AS79" s="83"/>
      <c r="AT79" s="59"/>
      <c r="AU79" s="53"/>
      <c r="AV79" s="53"/>
      <c r="AW79" s="53"/>
      <c r="AX79" s="53"/>
      <c r="AY79" s="83"/>
    </row>
    <row r="80" spans="2:51" ht="15" customHeight="1" outlineLevel="1">
      <c r="B80" s="45" t="s">
        <v>180</v>
      </c>
      <c r="C80" s="46" t="s">
        <v>52</v>
      </c>
      <c r="D80" s="46" t="s">
        <v>57</v>
      </c>
      <c r="E80" s="45" t="s">
        <v>195</v>
      </c>
      <c r="G80" s="52"/>
      <c r="H80" s="52"/>
      <c r="I80" s="52"/>
      <c r="J80" s="79"/>
      <c r="K80" s="77"/>
      <c r="L80" s="52"/>
      <c r="M80" s="52"/>
      <c r="N80" s="52"/>
      <c r="O80" s="79"/>
      <c r="P80" s="55"/>
      <c r="Q80" s="52"/>
      <c r="R80" s="52"/>
      <c r="S80" s="52"/>
      <c r="T80" s="79"/>
      <c r="U80" s="55"/>
      <c r="V80" s="53"/>
      <c r="W80" s="53"/>
      <c r="X80" s="53"/>
      <c r="Y80" s="83"/>
      <c r="Z80" s="59"/>
      <c r="AA80" s="57"/>
      <c r="AB80" s="62"/>
      <c r="AC80" s="59"/>
      <c r="AD80" s="53"/>
      <c r="AE80" s="87"/>
      <c r="AF80" s="72"/>
      <c r="AG80" s="69"/>
      <c r="AH80" s="43"/>
      <c r="AI80" s="61"/>
      <c r="AJ80" s="83"/>
      <c r="AK80" s="59"/>
      <c r="AL80" s="53"/>
      <c r="AM80" s="53"/>
      <c r="AN80" s="83"/>
      <c r="AO80" s="59"/>
      <c r="AP80" s="53"/>
      <c r="AQ80" s="53"/>
      <c r="AR80" s="53"/>
      <c r="AS80" s="83"/>
      <c r="AT80" s="59"/>
      <c r="AU80" s="53"/>
      <c r="AV80" s="53"/>
      <c r="AW80" s="53"/>
      <c r="AX80" s="53"/>
      <c r="AY80" s="83"/>
    </row>
    <row r="81" spans="2:51" ht="15" customHeight="1" outlineLevel="1">
      <c r="B81" s="45" t="s">
        <v>181</v>
      </c>
      <c r="C81" s="46" t="s">
        <v>58</v>
      </c>
      <c r="D81" s="46" t="s">
        <v>78</v>
      </c>
      <c r="E81" s="45" t="s">
        <v>195</v>
      </c>
      <c r="G81" s="52"/>
      <c r="H81" s="52"/>
      <c r="I81" s="52"/>
      <c r="J81" s="79"/>
      <c r="K81" s="77"/>
      <c r="L81" s="52"/>
      <c r="M81" s="52"/>
      <c r="N81" s="52"/>
      <c r="O81" s="79"/>
      <c r="P81" s="55"/>
      <c r="Q81" s="52"/>
      <c r="R81" s="52"/>
      <c r="S81" s="52"/>
      <c r="T81" s="79"/>
      <c r="U81" s="55"/>
      <c r="V81" s="53"/>
      <c r="W81" s="53"/>
      <c r="X81" s="53"/>
      <c r="Y81" s="83"/>
      <c r="Z81" s="59"/>
      <c r="AA81" s="57"/>
      <c r="AB81" s="62"/>
      <c r="AC81" s="59"/>
      <c r="AD81" s="53"/>
      <c r="AE81" s="87"/>
      <c r="AF81" s="58"/>
      <c r="AG81" s="69"/>
      <c r="AH81" s="43"/>
      <c r="AI81" s="61"/>
      <c r="AJ81" s="83"/>
      <c r="AK81" s="59"/>
      <c r="AL81" s="53"/>
      <c r="AM81" s="53"/>
      <c r="AN81" s="83"/>
      <c r="AO81" s="59"/>
      <c r="AP81" s="53"/>
      <c r="AQ81" s="53"/>
      <c r="AR81" s="53"/>
      <c r="AS81" s="83"/>
      <c r="AT81" s="59"/>
      <c r="AU81" s="53"/>
      <c r="AV81" s="53"/>
      <c r="AW81" s="53"/>
      <c r="AX81" s="53"/>
      <c r="AY81" s="83"/>
    </row>
    <row r="82" spans="2:51" ht="15" customHeight="1" outlineLevel="1">
      <c r="B82" s="45" t="s">
        <v>182</v>
      </c>
      <c r="C82" s="46" t="s">
        <v>58</v>
      </c>
      <c r="D82" s="46" t="s">
        <v>33</v>
      </c>
      <c r="E82" s="45" t="s">
        <v>195</v>
      </c>
      <c r="G82" s="52"/>
      <c r="H82" s="52"/>
      <c r="I82" s="52"/>
      <c r="J82" s="79"/>
      <c r="K82" s="77"/>
      <c r="L82" s="52"/>
      <c r="M82" s="52"/>
      <c r="N82" s="52"/>
      <c r="O82" s="79"/>
      <c r="P82" s="55"/>
      <c r="Q82" s="52"/>
      <c r="R82" s="52"/>
      <c r="S82" s="52"/>
      <c r="T82" s="79"/>
      <c r="U82" s="55"/>
      <c r="V82" s="53"/>
      <c r="W82" s="53"/>
      <c r="X82" s="53"/>
      <c r="Y82" s="83"/>
      <c r="Z82" s="59"/>
      <c r="AA82" s="57"/>
      <c r="AB82" s="62"/>
      <c r="AC82" s="59"/>
      <c r="AD82" s="53"/>
      <c r="AE82" s="87"/>
      <c r="AF82" s="58"/>
      <c r="AG82" s="69"/>
      <c r="AH82" s="43"/>
      <c r="AI82" s="61"/>
      <c r="AJ82" s="83"/>
      <c r="AK82" s="59"/>
      <c r="AL82" s="53"/>
      <c r="AM82" s="53"/>
      <c r="AN82" s="83"/>
      <c r="AO82" s="59"/>
      <c r="AP82" s="53"/>
      <c r="AQ82" s="53"/>
      <c r="AR82" s="53"/>
      <c r="AS82" s="83"/>
      <c r="AT82" s="59"/>
      <c r="AU82" s="53"/>
      <c r="AV82" s="53"/>
      <c r="AW82" s="53"/>
      <c r="AX82" s="53"/>
      <c r="AY82" s="83"/>
    </row>
    <row r="83" spans="2:51" ht="15" customHeight="1" outlineLevel="1">
      <c r="B83" s="45" t="s">
        <v>183</v>
      </c>
      <c r="C83" s="46" t="s">
        <v>58</v>
      </c>
      <c r="D83" s="46" t="s">
        <v>35</v>
      </c>
      <c r="E83" s="45" t="s">
        <v>195</v>
      </c>
      <c r="G83" s="52"/>
      <c r="H83" s="52"/>
      <c r="I83" s="52"/>
      <c r="J83" s="79"/>
      <c r="K83" s="77"/>
      <c r="L83" s="52"/>
      <c r="M83" s="52"/>
      <c r="N83" s="52"/>
      <c r="O83" s="79"/>
      <c r="P83" s="55"/>
      <c r="Q83" s="52"/>
      <c r="R83" s="52"/>
      <c r="S83" s="52"/>
      <c r="T83" s="79"/>
      <c r="U83" s="55"/>
      <c r="V83" s="53"/>
      <c r="W83" s="53"/>
      <c r="X83" s="53"/>
      <c r="Y83" s="83"/>
      <c r="Z83" s="59"/>
      <c r="AA83" s="57"/>
      <c r="AB83" s="62"/>
      <c r="AC83" s="59"/>
      <c r="AD83" s="53"/>
      <c r="AE83" s="87"/>
      <c r="AF83" s="58"/>
      <c r="AG83" s="69"/>
      <c r="AH83" s="69"/>
      <c r="AI83" s="61"/>
      <c r="AJ83" s="83"/>
      <c r="AK83" s="59"/>
      <c r="AL83" s="53"/>
      <c r="AM83" s="53"/>
      <c r="AN83" s="83"/>
      <c r="AO83" s="59"/>
      <c r="AP83" s="53"/>
      <c r="AQ83" s="53"/>
      <c r="AR83" s="53"/>
      <c r="AS83" s="83"/>
      <c r="AT83" s="59"/>
      <c r="AU83" s="53"/>
      <c r="AV83" s="53"/>
      <c r="AW83" s="53"/>
      <c r="AX83" s="53"/>
      <c r="AY83" s="83"/>
    </row>
    <row r="84" spans="2:51" ht="15" customHeight="1" outlineLevel="1">
      <c r="B84" s="45" t="s">
        <v>184</v>
      </c>
      <c r="C84" s="46" t="s">
        <v>58</v>
      </c>
      <c r="D84" s="46" t="s">
        <v>51</v>
      </c>
      <c r="E84" s="45" t="s">
        <v>195</v>
      </c>
      <c r="G84" s="52"/>
      <c r="H84" s="52"/>
      <c r="I84" s="52"/>
      <c r="J84" s="79"/>
      <c r="K84" s="77"/>
      <c r="L84" s="52"/>
      <c r="M84" s="52"/>
      <c r="N84" s="52"/>
      <c r="O84" s="79"/>
      <c r="P84" s="55"/>
      <c r="Q84" s="52"/>
      <c r="R84" s="52"/>
      <c r="S84" s="52"/>
      <c r="T84" s="79"/>
      <c r="U84" s="55"/>
      <c r="V84" s="53"/>
      <c r="W84" s="53"/>
      <c r="X84" s="53"/>
      <c r="Y84" s="83"/>
      <c r="Z84" s="59"/>
      <c r="AA84" s="57"/>
      <c r="AB84" s="62"/>
      <c r="AC84" s="59"/>
      <c r="AD84" s="53"/>
      <c r="AE84" s="87"/>
      <c r="AF84" s="58"/>
      <c r="AG84" s="43"/>
      <c r="AH84" s="69"/>
      <c r="AI84" s="61"/>
      <c r="AJ84" s="83"/>
      <c r="AK84" s="59"/>
      <c r="AL84" s="53"/>
      <c r="AM84" s="53"/>
      <c r="AN84" s="83"/>
      <c r="AO84" s="59"/>
      <c r="AP84" s="53"/>
      <c r="AQ84" s="53"/>
      <c r="AR84" s="53"/>
      <c r="AS84" s="83"/>
      <c r="AT84" s="59"/>
      <c r="AU84" s="53"/>
      <c r="AV84" s="53"/>
      <c r="AW84" s="53"/>
      <c r="AX84" s="53"/>
      <c r="AY84" s="83"/>
    </row>
    <row r="85" spans="2:51" ht="15" customHeight="1" outlineLevel="1">
      <c r="B85" s="45" t="s">
        <v>185</v>
      </c>
      <c r="C85" s="46" t="s">
        <v>58</v>
      </c>
      <c r="D85" s="46" t="s">
        <v>53</v>
      </c>
      <c r="E85" s="45" t="s">
        <v>195</v>
      </c>
      <c r="G85" s="52"/>
      <c r="H85" s="52"/>
      <c r="I85" s="52"/>
      <c r="J85" s="79"/>
      <c r="K85" s="77"/>
      <c r="L85" s="52"/>
      <c r="M85" s="52"/>
      <c r="N85" s="52"/>
      <c r="O85" s="79"/>
      <c r="P85" s="55"/>
      <c r="Q85" s="52"/>
      <c r="R85" s="52"/>
      <c r="S85" s="52"/>
      <c r="T85" s="79"/>
      <c r="U85" s="55"/>
      <c r="V85" s="53"/>
      <c r="W85" s="53"/>
      <c r="X85" s="53"/>
      <c r="Y85" s="83"/>
      <c r="Z85" s="59"/>
      <c r="AA85" s="57"/>
      <c r="AB85" s="62"/>
      <c r="AC85" s="59"/>
      <c r="AD85" s="53"/>
      <c r="AE85" s="87"/>
      <c r="AF85" s="58"/>
      <c r="AG85" s="43"/>
      <c r="AH85" s="69"/>
      <c r="AI85" s="61"/>
      <c r="AJ85" s="81"/>
      <c r="AK85" s="58"/>
      <c r="AL85" s="43"/>
      <c r="AM85" s="43"/>
      <c r="AN85" s="81"/>
      <c r="AO85" s="58"/>
      <c r="AP85" s="53"/>
      <c r="AQ85" s="53"/>
      <c r="AR85" s="53"/>
      <c r="AS85" s="83"/>
      <c r="AT85" s="59"/>
      <c r="AU85" s="53"/>
      <c r="AV85" s="53"/>
      <c r="AW85" s="53"/>
      <c r="AX85" s="53"/>
      <c r="AY85" s="83"/>
    </row>
    <row r="86" spans="2:51" ht="15" customHeight="1" outlineLevel="1">
      <c r="B86" s="45" t="s">
        <v>186</v>
      </c>
      <c r="C86" s="46" t="s">
        <v>58</v>
      </c>
      <c r="D86" s="46" t="s">
        <v>59</v>
      </c>
      <c r="E86" s="45" t="s">
        <v>195</v>
      </c>
      <c r="G86" s="52"/>
      <c r="H86" s="52"/>
      <c r="I86" s="52"/>
      <c r="J86" s="79"/>
      <c r="K86" s="77"/>
      <c r="L86" s="52"/>
      <c r="M86" s="52"/>
      <c r="N86" s="52"/>
      <c r="O86" s="79"/>
      <c r="P86" s="55"/>
      <c r="Q86" s="52"/>
      <c r="R86" s="52"/>
      <c r="S86" s="52"/>
      <c r="T86" s="79"/>
      <c r="U86" s="55"/>
      <c r="V86" s="53"/>
      <c r="W86" s="53"/>
      <c r="X86" s="53"/>
      <c r="Y86" s="83"/>
      <c r="Z86" s="59"/>
      <c r="AA86" s="57"/>
      <c r="AB86" s="62"/>
      <c r="AC86" s="59"/>
      <c r="AD86" s="53"/>
      <c r="AE86" s="87"/>
      <c r="AF86" s="58"/>
      <c r="AG86" s="43"/>
      <c r="AH86" s="69"/>
      <c r="AI86" s="61"/>
      <c r="AJ86" s="76"/>
      <c r="AK86" s="58"/>
      <c r="AL86" s="43"/>
      <c r="AM86" s="43"/>
      <c r="AN86" s="81"/>
      <c r="AO86" s="58"/>
      <c r="AP86" s="53"/>
      <c r="AQ86" s="53"/>
      <c r="AR86" s="53"/>
      <c r="AS86" s="83"/>
      <c r="AT86" s="59"/>
      <c r="AU86" s="53"/>
      <c r="AV86" s="53"/>
      <c r="AW86" s="53"/>
      <c r="AX86" s="53"/>
      <c r="AY86" s="83"/>
    </row>
    <row r="87" spans="2:51" ht="15" customHeight="1" outlineLevel="1">
      <c r="B87" s="45" t="s">
        <v>187</v>
      </c>
      <c r="C87" s="46" t="s">
        <v>60</v>
      </c>
      <c r="D87" s="46" t="s">
        <v>62</v>
      </c>
      <c r="E87" s="45" t="s">
        <v>195</v>
      </c>
      <c r="G87" s="52"/>
      <c r="H87" s="52"/>
      <c r="I87" s="52"/>
      <c r="J87" s="79"/>
      <c r="K87" s="77"/>
      <c r="L87" s="52"/>
      <c r="M87" s="52"/>
      <c r="N87" s="52"/>
      <c r="O87" s="79"/>
      <c r="P87" s="55"/>
      <c r="Q87" s="52"/>
      <c r="R87" s="52"/>
      <c r="S87" s="52"/>
      <c r="T87" s="79"/>
      <c r="U87" s="55"/>
      <c r="V87" s="53"/>
      <c r="W87" s="53"/>
      <c r="X87" s="53"/>
      <c r="Y87" s="83"/>
      <c r="Z87" s="59"/>
      <c r="AA87" s="57"/>
      <c r="AB87" s="62"/>
      <c r="AC87" s="59"/>
      <c r="AD87" s="53"/>
      <c r="AE87" s="87"/>
      <c r="AF87" s="58"/>
      <c r="AG87" s="43"/>
      <c r="AH87" s="43"/>
      <c r="AI87" s="61"/>
      <c r="AJ87" s="81"/>
      <c r="AK87" s="72"/>
      <c r="AL87" s="69"/>
      <c r="AM87" s="43"/>
      <c r="AN87" s="81"/>
      <c r="AO87" s="58"/>
      <c r="AP87" s="53"/>
      <c r="AQ87" s="53"/>
      <c r="AR87" s="53"/>
      <c r="AS87" s="83"/>
      <c r="AT87" s="59"/>
      <c r="AU87" s="53"/>
      <c r="AV87" s="53"/>
      <c r="AW87" s="53"/>
      <c r="AX87" s="53"/>
      <c r="AY87" s="83"/>
    </row>
    <row r="88" spans="2:51" s="8" customFormat="1" ht="15" customHeight="1">
      <c r="B88" s="42" t="s">
        <v>188</v>
      </c>
      <c r="C88" s="179" t="s">
        <v>189</v>
      </c>
      <c r="D88" s="179"/>
      <c r="E88" s="40"/>
      <c r="G88" s="41"/>
      <c r="H88" s="41"/>
      <c r="I88" s="41"/>
      <c r="J88" s="80"/>
      <c r="K88" s="41"/>
      <c r="L88" s="41"/>
      <c r="M88" s="41"/>
      <c r="N88" s="41"/>
      <c r="O88" s="80"/>
      <c r="P88" s="41"/>
      <c r="Q88" s="41"/>
      <c r="R88" s="41"/>
      <c r="S88" s="41"/>
      <c r="T88" s="80"/>
      <c r="U88" s="41"/>
      <c r="V88" s="122" t="s">
        <v>237</v>
      </c>
      <c r="W88" s="40"/>
      <c r="X88" s="40"/>
      <c r="Y88" s="82"/>
      <c r="Z88" s="40"/>
      <c r="AA88" s="40"/>
      <c r="AB88" s="61"/>
      <c r="AC88" s="40"/>
      <c r="AD88" s="40"/>
      <c r="AE88" s="86"/>
      <c r="AF88" s="70"/>
      <c r="AG88" s="70"/>
      <c r="AH88" s="70"/>
      <c r="AI88" s="61"/>
      <c r="AJ88" s="90"/>
      <c r="AK88" s="40"/>
      <c r="AL88" s="40"/>
      <c r="AM88" s="40"/>
      <c r="AN88" s="82"/>
      <c r="AO88" s="40"/>
      <c r="AP88" s="40"/>
      <c r="AQ88" s="40"/>
      <c r="AR88" s="40"/>
      <c r="AS88" s="82"/>
      <c r="AT88" s="40"/>
      <c r="AU88" s="40"/>
      <c r="AV88" s="40"/>
      <c r="AW88" s="40"/>
      <c r="AX88" s="40"/>
      <c r="AY88" s="82"/>
    </row>
    <row r="89" spans="2:51" ht="15" customHeight="1" outlineLevel="1">
      <c r="B89" s="45" t="s">
        <v>190</v>
      </c>
      <c r="C89" s="46" t="s">
        <v>0</v>
      </c>
      <c r="D89" s="46" t="s">
        <v>31</v>
      </c>
      <c r="E89" s="45" t="s">
        <v>195</v>
      </c>
      <c r="G89" s="52"/>
      <c r="H89" s="52"/>
      <c r="I89" s="52"/>
      <c r="J89" s="79"/>
      <c r="K89" s="77"/>
      <c r="L89" s="52"/>
      <c r="M89" s="52"/>
      <c r="N89" s="52"/>
      <c r="O89" s="79"/>
      <c r="P89" s="55"/>
      <c r="Q89" s="52"/>
      <c r="R89" s="52"/>
      <c r="S89" s="52"/>
      <c r="T89" s="79"/>
      <c r="U89" s="55"/>
      <c r="V89" s="63"/>
      <c r="W89" s="53"/>
      <c r="X89" s="53"/>
      <c r="Y89" s="83"/>
      <c r="Z89" s="59"/>
      <c r="AA89" s="57"/>
      <c r="AB89" s="62"/>
      <c r="AC89" s="59"/>
      <c r="AD89" s="53"/>
      <c r="AE89" s="87"/>
      <c r="AF89" s="59"/>
      <c r="AG89" s="53"/>
      <c r="AH89" s="53"/>
      <c r="AI89" s="62"/>
      <c r="AJ89" s="81"/>
      <c r="AK89" s="58"/>
      <c r="AL89" s="69"/>
      <c r="AM89" s="43"/>
      <c r="AN89" s="81"/>
      <c r="AO89" s="58"/>
      <c r="AP89" s="53"/>
      <c r="AQ89" s="53"/>
      <c r="AR89" s="53"/>
      <c r="AS89" s="83"/>
      <c r="AT89" s="59"/>
      <c r="AU89" s="53"/>
      <c r="AV89" s="53"/>
      <c r="AW89" s="53"/>
      <c r="AX89" s="53"/>
      <c r="AY89" s="83"/>
    </row>
    <row r="90" spans="2:51" ht="15" customHeight="1" outlineLevel="1">
      <c r="B90" s="45" t="s">
        <v>191</v>
      </c>
      <c r="C90" s="46" t="s">
        <v>0</v>
      </c>
      <c r="D90" s="46" t="s">
        <v>32</v>
      </c>
      <c r="E90" s="45" t="s">
        <v>195</v>
      </c>
      <c r="G90" s="52"/>
      <c r="H90" s="52"/>
      <c r="I90" s="52"/>
      <c r="J90" s="79"/>
      <c r="K90" s="77"/>
      <c r="L90" s="52"/>
      <c r="M90" s="52"/>
      <c r="N90" s="52"/>
      <c r="O90" s="79"/>
      <c r="P90" s="55"/>
      <c r="Q90" s="52"/>
      <c r="R90" s="52"/>
      <c r="S90" s="52"/>
      <c r="T90" s="79"/>
      <c r="U90" s="55"/>
      <c r="V90" s="53"/>
      <c r="W90" s="53"/>
      <c r="X90" s="53"/>
      <c r="Y90" s="83"/>
      <c r="Z90" s="59"/>
      <c r="AA90" s="57"/>
      <c r="AB90" s="62"/>
      <c r="AC90" s="59"/>
      <c r="AD90" s="53"/>
      <c r="AE90" s="87"/>
      <c r="AF90" s="59"/>
      <c r="AG90" s="53"/>
      <c r="AH90" s="53"/>
      <c r="AI90" s="62"/>
      <c r="AJ90" s="81"/>
      <c r="AK90" s="58"/>
      <c r="AL90" s="43"/>
      <c r="AM90" s="69"/>
      <c r="AN90" s="81"/>
      <c r="AO90" s="58"/>
      <c r="AP90" s="53"/>
      <c r="AQ90" s="53"/>
      <c r="AR90" s="53"/>
      <c r="AS90" s="83"/>
      <c r="AT90" s="59"/>
      <c r="AU90" s="53"/>
      <c r="AV90" s="53"/>
      <c r="AW90" s="53"/>
      <c r="AX90" s="53"/>
      <c r="AY90" s="83"/>
    </row>
    <row r="91" spans="2:51" ht="15" customHeight="1" outlineLevel="1">
      <c r="B91" s="45" t="s">
        <v>192</v>
      </c>
      <c r="C91" s="46" t="s">
        <v>0</v>
      </c>
      <c r="D91" s="46" t="s">
        <v>41</v>
      </c>
      <c r="E91" s="45" t="s">
        <v>195</v>
      </c>
      <c r="G91" s="52"/>
      <c r="H91" s="52"/>
      <c r="I91" s="52"/>
      <c r="J91" s="79"/>
      <c r="K91" s="77"/>
      <c r="L91" s="52"/>
      <c r="M91" s="52"/>
      <c r="N91" s="52"/>
      <c r="O91" s="79"/>
      <c r="P91" s="55"/>
      <c r="Q91" s="52"/>
      <c r="R91" s="52"/>
      <c r="S91" s="52"/>
      <c r="T91" s="79"/>
      <c r="U91" s="55"/>
      <c r="V91" s="53"/>
      <c r="W91" s="53"/>
      <c r="X91" s="53"/>
      <c r="Y91" s="83"/>
      <c r="Z91" s="59"/>
      <c r="AA91" s="57"/>
      <c r="AB91" s="62"/>
      <c r="AC91" s="59"/>
      <c r="AD91" s="53"/>
      <c r="AE91" s="87"/>
      <c r="AF91" s="59"/>
      <c r="AG91" s="53"/>
      <c r="AH91" s="53"/>
      <c r="AI91" s="62"/>
      <c r="AJ91" s="81"/>
      <c r="AK91" s="58"/>
      <c r="AL91" s="43"/>
      <c r="AM91" s="69"/>
      <c r="AN91" s="81"/>
      <c r="AO91" s="58"/>
      <c r="AP91" s="53"/>
      <c r="AQ91" s="53"/>
      <c r="AR91" s="53"/>
      <c r="AS91" s="83"/>
      <c r="AT91" s="59"/>
      <c r="AU91" s="53"/>
      <c r="AV91" s="53"/>
      <c r="AW91" s="53"/>
      <c r="AX91" s="53"/>
      <c r="AY91" s="83"/>
    </row>
    <row r="92" spans="2:51" ht="15" customHeight="1" outlineLevel="1">
      <c r="B92" s="45" t="s">
        <v>193</v>
      </c>
      <c r="C92" s="46" t="s">
        <v>0</v>
      </c>
      <c r="D92" s="46" t="s">
        <v>42</v>
      </c>
      <c r="E92" s="45" t="s">
        <v>195</v>
      </c>
      <c r="G92" s="52"/>
      <c r="H92" s="52"/>
      <c r="I92" s="52"/>
      <c r="J92" s="79"/>
      <c r="K92" s="77"/>
      <c r="L92" s="52"/>
      <c r="M92" s="52"/>
      <c r="N92" s="52"/>
      <c r="O92" s="79"/>
      <c r="P92" s="55"/>
      <c r="Q92" s="52"/>
      <c r="R92" s="52"/>
      <c r="S92" s="52"/>
      <c r="T92" s="79"/>
      <c r="U92" s="55"/>
      <c r="V92" s="53"/>
      <c r="W92" s="53"/>
      <c r="X92" s="53"/>
      <c r="Y92" s="83"/>
      <c r="Z92" s="59"/>
      <c r="AA92" s="57"/>
      <c r="AB92" s="62"/>
      <c r="AC92" s="59"/>
      <c r="AD92" s="53"/>
      <c r="AE92" s="87"/>
      <c r="AF92" s="59"/>
      <c r="AG92" s="53"/>
      <c r="AH92" s="53"/>
      <c r="AI92" s="62"/>
      <c r="AJ92" s="81"/>
      <c r="AK92" s="58"/>
      <c r="AL92" s="43"/>
      <c r="AM92" s="69"/>
      <c r="AN92" s="76"/>
      <c r="AO92" s="58"/>
      <c r="AP92" s="53"/>
      <c r="AQ92" s="53"/>
      <c r="AR92" s="53"/>
      <c r="AS92" s="83"/>
      <c r="AT92" s="59"/>
      <c r="AU92" s="53"/>
      <c r="AV92" s="53"/>
      <c r="AW92" s="53"/>
      <c r="AX92" s="53"/>
      <c r="AY92" s="83"/>
    </row>
    <row r="93" spans="2:51" ht="15" customHeight="1" outlineLevel="1">
      <c r="B93" s="45" t="s">
        <v>150</v>
      </c>
      <c r="C93" s="46" t="s">
        <v>0</v>
      </c>
      <c r="D93" s="46" t="s">
        <v>43</v>
      </c>
      <c r="E93" s="45" t="s">
        <v>195</v>
      </c>
      <c r="G93" s="52"/>
      <c r="H93" s="52"/>
      <c r="I93" s="52"/>
      <c r="J93" s="79"/>
      <c r="K93" s="77"/>
      <c r="L93" s="52"/>
      <c r="M93" s="52"/>
      <c r="N93" s="52"/>
      <c r="O93" s="79"/>
      <c r="P93" s="55"/>
      <c r="Q93" s="52"/>
      <c r="R93" s="52"/>
      <c r="S93" s="52"/>
      <c r="T93" s="79"/>
      <c r="U93" s="55"/>
      <c r="V93" s="53"/>
      <c r="W93" s="53"/>
      <c r="X93" s="53"/>
      <c r="Y93" s="83"/>
      <c r="Z93" s="59"/>
      <c r="AA93" s="57"/>
      <c r="AB93" s="62"/>
      <c r="AC93" s="59"/>
      <c r="AD93" s="53"/>
      <c r="AE93" s="87"/>
      <c r="AF93" s="59"/>
      <c r="AG93" s="53"/>
      <c r="AH93" s="53"/>
      <c r="AI93" s="62"/>
      <c r="AJ93" s="81"/>
      <c r="AK93" s="58"/>
      <c r="AL93" s="43"/>
      <c r="AM93" s="43"/>
      <c r="AN93" s="76"/>
      <c r="AO93" s="58"/>
      <c r="AP93" s="53"/>
      <c r="AQ93" s="53"/>
      <c r="AR93" s="53"/>
      <c r="AS93" s="83"/>
      <c r="AT93" s="59"/>
      <c r="AU93" s="53"/>
      <c r="AV93" s="53"/>
      <c r="AW93" s="53"/>
      <c r="AX93" s="53"/>
      <c r="AY93" s="83"/>
    </row>
    <row r="94" spans="2:51" ht="15" customHeight="1" outlineLevel="1">
      <c r="B94" s="45" t="s">
        <v>152</v>
      </c>
      <c r="C94" s="46" t="s">
        <v>0</v>
      </c>
      <c r="D94" s="46" t="s">
        <v>45</v>
      </c>
      <c r="E94" s="45" t="s">
        <v>195</v>
      </c>
      <c r="G94" s="52"/>
      <c r="H94" s="52"/>
      <c r="I94" s="52"/>
      <c r="J94" s="79"/>
      <c r="K94" s="77"/>
      <c r="L94" s="52"/>
      <c r="M94" s="52"/>
      <c r="N94" s="52"/>
      <c r="O94" s="79"/>
      <c r="P94" s="55"/>
      <c r="Q94" s="52"/>
      <c r="R94" s="52"/>
      <c r="S94" s="52"/>
      <c r="T94" s="79"/>
      <c r="U94" s="55"/>
      <c r="V94" s="53"/>
      <c r="W94" s="53"/>
      <c r="X94" s="53"/>
      <c r="Y94" s="83"/>
      <c r="Z94" s="59"/>
      <c r="AA94" s="57"/>
      <c r="AB94" s="62"/>
      <c r="AC94" s="59"/>
      <c r="AD94" s="53"/>
      <c r="AE94" s="87"/>
      <c r="AF94" s="59"/>
      <c r="AG94" s="53"/>
      <c r="AH94" s="53"/>
      <c r="AI94" s="62"/>
      <c r="AJ94" s="81"/>
      <c r="AK94" s="58"/>
      <c r="AL94" s="43"/>
      <c r="AM94" s="43"/>
      <c r="AN94" s="76"/>
      <c r="AO94" s="72"/>
      <c r="AP94" s="53"/>
      <c r="AQ94" s="53"/>
      <c r="AR94" s="53"/>
      <c r="AS94" s="83"/>
      <c r="AT94" s="59"/>
      <c r="AU94" s="53"/>
      <c r="AV94" s="53"/>
      <c r="AW94" s="53"/>
      <c r="AX94" s="53"/>
      <c r="AY94" s="83"/>
    </row>
    <row r="95" spans="2:51" ht="15" customHeight="1" outlineLevel="1">
      <c r="B95" s="45" t="s">
        <v>154</v>
      </c>
      <c r="C95" s="46" t="s">
        <v>0</v>
      </c>
      <c r="D95" s="46" t="s">
        <v>46</v>
      </c>
      <c r="E95" s="45" t="s">
        <v>195</v>
      </c>
      <c r="G95" s="52"/>
      <c r="H95" s="52"/>
      <c r="I95" s="52"/>
      <c r="J95" s="79"/>
      <c r="K95" s="77"/>
      <c r="L95" s="52"/>
      <c r="M95" s="52"/>
      <c r="N95" s="52"/>
      <c r="O95" s="79"/>
      <c r="P95" s="55"/>
      <c r="Q95" s="52"/>
      <c r="R95" s="52"/>
      <c r="S95" s="52"/>
      <c r="T95" s="79"/>
      <c r="U95" s="55"/>
      <c r="V95" s="53"/>
      <c r="W95" s="53"/>
      <c r="X95" s="53"/>
      <c r="Y95" s="83"/>
      <c r="Z95" s="59"/>
      <c r="AA95" s="57"/>
      <c r="AB95" s="62"/>
      <c r="AC95" s="59"/>
      <c r="AD95" s="53"/>
      <c r="AE95" s="87"/>
      <c r="AF95" s="59"/>
      <c r="AG95" s="53"/>
      <c r="AH95" s="53"/>
      <c r="AI95" s="62"/>
      <c r="AJ95" s="81"/>
      <c r="AK95" s="58"/>
      <c r="AL95" s="43"/>
      <c r="AM95" s="43"/>
      <c r="AN95" s="81"/>
      <c r="AO95" s="72"/>
      <c r="AP95" s="53"/>
      <c r="AQ95" s="53"/>
      <c r="AR95" s="53"/>
      <c r="AS95" s="83"/>
      <c r="AT95" s="59"/>
      <c r="AU95" s="53"/>
      <c r="AV95" s="53"/>
      <c r="AW95" s="53"/>
      <c r="AX95" s="53"/>
      <c r="AY95" s="83"/>
    </row>
    <row r="96" spans="2:51" ht="15" customHeight="1" outlineLevel="1">
      <c r="B96" s="45" t="s">
        <v>194</v>
      </c>
      <c r="C96" s="46" t="s">
        <v>0</v>
      </c>
      <c r="D96" s="46" t="s">
        <v>49</v>
      </c>
      <c r="E96" s="45" t="s">
        <v>195</v>
      </c>
      <c r="G96" s="52"/>
      <c r="H96" s="52"/>
      <c r="I96" s="52"/>
      <c r="J96" s="79"/>
      <c r="K96" s="77"/>
      <c r="L96" s="52"/>
      <c r="M96" s="52"/>
      <c r="N96" s="52"/>
      <c r="O96" s="79"/>
      <c r="P96" s="55"/>
      <c r="Q96" s="52"/>
      <c r="R96" s="52"/>
      <c r="S96" s="52"/>
      <c r="T96" s="79"/>
      <c r="U96" s="55"/>
      <c r="V96" s="53"/>
      <c r="W96" s="53"/>
      <c r="X96" s="53"/>
      <c r="Y96" s="83"/>
      <c r="Z96" s="59"/>
      <c r="AA96" s="57"/>
      <c r="AB96" s="62"/>
      <c r="AC96" s="59"/>
      <c r="AD96" s="53"/>
      <c r="AE96" s="87"/>
      <c r="AF96" s="59"/>
      <c r="AG96" s="53"/>
      <c r="AH96" s="53"/>
      <c r="AI96" s="62"/>
      <c r="AJ96" s="81"/>
      <c r="AK96" s="58"/>
      <c r="AL96" s="43"/>
      <c r="AM96" s="43"/>
      <c r="AN96" s="81"/>
      <c r="AO96" s="72"/>
      <c r="AP96" s="69"/>
      <c r="AQ96" s="53"/>
      <c r="AR96" s="53"/>
      <c r="AS96" s="83"/>
      <c r="AT96" s="59"/>
      <c r="AU96" s="53"/>
      <c r="AV96" s="53"/>
      <c r="AW96" s="53"/>
      <c r="AX96" s="53"/>
      <c r="AY96" s="83"/>
    </row>
    <row r="97" spans="2:51" s="8" customFormat="1" ht="15" customHeight="1">
      <c r="B97" s="42" t="s">
        <v>198</v>
      </c>
      <c r="C97" s="179" t="s">
        <v>199</v>
      </c>
      <c r="D97" s="179"/>
      <c r="E97" s="40"/>
      <c r="G97" s="41"/>
      <c r="H97" s="41"/>
      <c r="I97" s="41"/>
      <c r="J97" s="80"/>
      <c r="K97" s="41"/>
      <c r="L97" s="41"/>
      <c r="M97" s="41"/>
      <c r="N97" s="41"/>
      <c r="O97" s="80"/>
      <c r="P97" s="41"/>
      <c r="Q97" s="41"/>
      <c r="R97" s="41"/>
      <c r="S97" s="41"/>
      <c r="T97" s="80"/>
      <c r="U97" s="41"/>
      <c r="V97" s="40"/>
      <c r="W97" s="40"/>
      <c r="X97" s="40"/>
      <c r="Y97" s="82"/>
      <c r="Z97" s="40"/>
      <c r="AA97" s="40"/>
      <c r="AB97" s="61"/>
      <c r="AC97" s="40"/>
      <c r="AD97" s="40"/>
      <c r="AE97" s="86"/>
      <c r="AF97" s="40"/>
      <c r="AG97" s="40"/>
      <c r="AH97" s="40"/>
      <c r="AI97" s="61"/>
      <c r="AJ97" s="90"/>
      <c r="AK97" s="40"/>
      <c r="AL97" s="40"/>
      <c r="AM97" s="40"/>
      <c r="AN97" s="82"/>
      <c r="AO97" s="40"/>
      <c r="AP97" s="70"/>
      <c r="AQ97" s="70"/>
      <c r="AR97" s="70"/>
      <c r="AS97" s="84"/>
      <c r="AT97" s="70"/>
      <c r="AU97" s="70"/>
      <c r="AV97" s="40"/>
      <c r="AW97" s="40"/>
      <c r="AX97" s="40"/>
      <c r="AY97" s="82"/>
    </row>
    <row r="98" spans="2:51" ht="15" customHeight="1" outlineLevel="1">
      <c r="B98" s="45" t="s">
        <v>200</v>
      </c>
      <c r="C98" s="46" t="s">
        <v>201</v>
      </c>
      <c r="D98" s="46"/>
      <c r="E98" s="45" t="s">
        <v>195</v>
      </c>
      <c r="G98" s="52"/>
      <c r="H98" s="52"/>
      <c r="I98" s="52"/>
      <c r="J98" s="79"/>
      <c r="K98" s="77"/>
      <c r="L98" s="52"/>
      <c r="M98" s="52"/>
      <c r="N98" s="52"/>
      <c r="O98" s="79"/>
      <c r="P98" s="55"/>
      <c r="Q98" s="52"/>
      <c r="R98" s="52"/>
      <c r="S98" s="52"/>
      <c r="T98" s="79"/>
      <c r="U98" s="55"/>
      <c r="V98" s="53"/>
      <c r="W98" s="53"/>
      <c r="X98" s="53"/>
      <c r="Y98" s="83"/>
      <c r="Z98" s="59"/>
      <c r="AA98" s="57"/>
      <c r="AB98" s="62"/>
      <c r="AC98" s="59"/>
      <c r="AD98" s="53"/>
      <c r="AE98" s="87"/>
      <c r="AF98" s="59"/>
      <c r="AG98" s="53"/>
      <c r="AH98" s="53"/>
      <c r="AI98" s="62"/>
      <c r="AJ98" s="83"/>
      <c r="AK98" s="59"/>
      <c r="AL98" s="53"/>
      <c r="AM98" s="53"/>
      <c r="AN98" s="83"/>
      <c r="AO98" s="59"/>
      <c r="AP98" s="69"/>
      <c r="AQ98" s="69"/>
      <c r="AR98" s="69"/>
      <c r="AS98" s="76"/>
      <c r="AT98" s="72"/>
      <c r="AU98" s="69"/>
      <c r="AV98" s="53"/>
      <c r="AW98" s="53"/>
      <c r="AX98" s="53"/>
      <c r="AY98" s="83"/>
    </row>
    <row r="99" spans="2:51" s="8" customFormat="1" ht="15" customHeight="1">
      <c r="B99" s="42" t="s">
        <v>202</v>
      </c>
      <c r="C99" s="179" t="s">
        <v>203</v>
      </c>
      <c r="D99" s="179"/>
      <c r="E99" s="40"/>
      <c r="G99" s="41"/>
      <c r="H99" s="41"/>
      <c r="I99" s="41"/>
      <c r="J99" s="80"/>
      <c r="K99" s="41"/>
      <c r="L99" s="41"/>
      <c r="M99" s="41"/>
      <c r="N99" s="41"/>
      <c r="O99" s="80"/>
      <c r="P99" s="41"/>
      <c r="Q99" s="41"/>
      <c r="R99" s="41"/>
      <c r="S99" s="41"/>
      <c r="T99" s="80"/>
      <c r="U99" s="41"/>
      <c r="V99" s="40"/>
      <c r="W99" s="40"/>
      <c r="X99" s="40"/>
      <c r="Y99" s="82"/>
      <c r="Z99" s="40"/>
      <c r="AA99" s="40"/>
      <c r="AB99" s="61"/>
      <c r="AC99" s="40"/>
      <c r="AD99" s="40"/>
      <c r="AE99" s="86"/>
      <c r="AF99" s="40"/>
      <c r="AG99" s="40"/>
      <c r="AH99" s="40"/>
      <c r="AI99" s="61"/>
      <c r="AJ99" s="90"/>
      <c r="AK99" s="40"/>
      <c r="AL99" s="40"/>
      <c r="AM99" s="40"/>
      <c r="AN99" s="82"/>
      <c r="AO99" s="40"/>
      <c r="AP99" s="40"/>
      <c r="AQ99" s="40"/>
      <c r="AR99" s="40"/>
      <c r="AS99" s="82"/>
      <c r="AT99" s="40"/>
      <c r="AU99" s="70"/>
      <c r="AV99" s="70"/>
      <c r="AW99" s="70"/>
      <c r="AX99" s="70"/>
      <c r="AY99" s="84"/>
    </row>
    <row r="100" spans="2:51" ht="15" customHeight="1" outlineLevel="1">
      <c r="B100" s="45" t="s">
        <v>204</v>
      </c>
      <c r="C100" s="46" t="s">
        <v>205</v>
      </c>
      <c r="D100" s="46"/>
      <c r="E100" s="45" t="s">
        <v>195</v>
      </c>
      <c r="G100" s="52"/>
      <c r="H100" s="52"/>
      <c r="I100" s="52"/>
      <c r="J100" s="79"/>
      <c r="K100" s="77"/>
      <c r="L100" s="52"/>
      <c r="M100" s="52"/>
      <c r="N100" s="52"/>
      <c r="O100" s="79"/>
      <c r="P100" s="55"/>
      <c r="Q100" s="52"/>
      <c r="R100" s="52"/>
      <c r="S100" s="52"/>
      <c r="T100" s="79"/>
      <c r="U100" s="55"/>
      <c r="V100" s="53"/>
      <c r="W100" s="53"/>
      <c r="X100" s="53"/>
      <c r="Y100" s="83"/>
      <c r="Z100" s="59"/>
      <c r="AA100" s="57"/>
      <c r="AB100" s="62"/>
      <c r="AC100" s="59"/>
      <c r="AD100" s="53"/>
      <c r="AE100" s="87"/>
      <c r="AF100" s="59"/>
      <c r="AG100" s="53"/>
      <c r="AH100" s="53"/>
      <c r="AI100" s="62"/>
      <c r="AJ100" s="83"/>
      <c r="AK100" s="59"/>
      <c r="AL100" s="53"/>
      <c r="AM100" s="53"/>
      <c r="AN100" s="83"/>
      <c r="AO100" s="59"/>
      <c r="AP100" s="43"/>
      <c r="AQ100" s="43"/>
      <c r="AR100" s="43"/>
      <c r="AS100" s="83"/>
      <c r="AT100" s="59"/>
      <c r="AU100" s="69"/>
      <c r="AV100" s="69"/>
      <c r="AW100" s="69"/>
      <c r="AX100" s="69"/>
      <c r="AY100" s="76"/>
    </row>
  </sheetData>
  <mergeCells count="29">
    <mergeCell ref="C33:D33"/>
    <mergeCell ref="C15:D15"/>
    <mergeCell ref="C16:D16"/>
    <mergeCell ref="C17:D17"/>
    <mergeCell ref="C18:D18"/>
    <mergeCell ref="C19:D19"/>
    <mergeCell ref="C48:D48"/>
    <mergeCell ref="C61:D61"/>
    <mergeCell ref="C88:D88"/>
    <mergeCell ref="C97:D97"/>
    <mergeCell ref="C99:D99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AK14:AN14"/>
    <mergeCell ref="AO14:AS14"/>
    <mergeCell ref="AT14:AY14"/>
    <mergeCell ref="AO15:AS15"/>
    <mergeCell ref="AT15:AY15"/>
    <mergeCell ref="AK15:AN15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dimension ref="A1:V81"/>
  <sheetViews>
    <sheetView showGridLines="0" zoomScale="90" zoomScaleNormal="90" workbookViewId="0">
      <pane xSplit="3" ySplit="8" topLeftCell="D30" activePane="bottomRight" state="frozen"/>
      <selection pane="topRight" activeCell="D1" sqref="D1"/>
      <selection pane="bottomLeft" activeCell="A9" sqref="A9"/>
      <selection pane="bottomRight" activeCell="F76" sqref="F76"/>
    </sheetView>
  </sheetViews>
  <sheetFormatPr defaultColWidth="0" defaultRowHeight="14.4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16.6640625" style="8" customWidth="1"/>
    <col min="5" max="7" width="15.6640625" style="3" customWidth="1"/>
    <col min="8" max="8" width="2.6640625" customWidth="1"/>
    <col min="9" max="10" width="22.6640625" style="3" customWidth="1"/>
    <col min="11" max="11" width="3.6640625" style="3" customWidth="1"/>
    <col min="12" max="12" width="2.6640625" style="3" hidden="1" customWidth="1"/>
    <col min="13" max="15" width="20.6640625" style="3" hidden="1" customWidth="1"/>
    <col min="16" max="16" width="2.6640625" style="3" hidden="1" customWidth="1"/>
    <col min="17" max="22" width="0" style="3" hidden="1" customWidth="1"/>
    <col min="23" max="16384" width="8.88671875" style="3" hidden="1"/>
  </cols>
  <sheetData>
    <row r="1" spans="1:11" ht="16.2" customHeight="1">
      <c r="H1" s="3"/>
    </row>
    <row r="2" spans="1:11" ht="13.2">
      <c r="A2" s="4"/>
      <c r="B2" s="4"/>
      <c r="C2" s="4"/>
      <c r="D2" s="9"/>
      <c r="E2" s="4"/>
      <c r="F2" s="4"/>
      <c r="G2" s="4"/>
      <c r="H2" s="4"/>
      <c r="I2" s="4"/>
      <c r="J2" s="4"/>
      <c r="K2" s="4"/>
    </row>
    <row r="3" spans="1:11" ht="13.2">
      <c r="A3" s="5"/>
      <c r="B3" s="5"/>
      <c r="C3" s="5"/>
      <c r="D3" s="9"/>
      <c r="E3" s="6"/>
      <c r="F3" s="6"/>
      <c r="G3" s="7"/>
      <c r="H3" s="7"/>
      <c r="I3" s="7"/>
      <c r="J3" s="7"/>
      <c r="K3" s="7"/>
    </row>
    <row r="4" spans="1:11" ht="13.2">
      <c r="A4" s="4"/>
      <c r="B4" s="4"/>
      <c r="C4" s="4"/>
      <c r="D4" s="9"/>
      <c r="E4" s="4"/>
      <c r="F4" s="4"/>
      <c r="G4" s="4"/>
      <c r="H4" s="4"/>
      <c r="I4" s="4"/>
      <c r="J4" s="4"/>
      <c r="K4" s="4"/>
    </row>
    <row r="5" spans="1:1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</row>
    <row r="7" spans="1:11" ht="15" customHeight="1">
      <c r="E7" s="182" t="s">
        <v>66</v>
      </c>
      <c r="F7" s="182"/>
      <c r="G7" s="182"/>
    </row>
    <row r="8" spans="1:11" ht="15" customHeight="1">
      <c r="B8" s="21" t="s">
        <v>76</v>
      </c>
      <c r="C8" s="22" t="s">
        <v>77</v>
      </c>
      <c r="D8" s="22" t="s">
        <v>65</v>
      </c>
      <c r="E8" s="23" t="s">
        <v>64</v>
      </c>
      <c r="F8" s="23" t="s">
        <v>67</v>
      </c>
      <c r="G8" s="24" t="s">
        <v>68</v>
      </c>
      <c r="I8" s="11" t="s">
        <v>80</v>
      </c>
      <c r="J8" s="27" t="s">
        <v>81</v>
      </c>
    </row>
    <row r="9" spans="1:11">
      <c r="B9" s="12" t="s">
        <v>0</v>
      </c>
      <c r="C9" s="12" t="s">
        <v>78</v>
      </c>
      <c r="D9" s="13" t="s">
        <v>69</v>
      </c>
      <c r="E9" s="14">
        <v>45782</v>
      </c>
      <c r="F9" s="15">
        <v>45782</v>
      </c>
      <c r="G9" s="18">
        <f>+IF(F9="","N/A",F9-E9)</f>
        <v>0</v>
      </c>
      <c r="I9" s="26" t="s">
        <v>86</v>
      </c>
      <c r="J9" s="26" t="s">
        <v>86</v>
      </c>
    </row>
    <row r="10" spans="1:11">
      <c r="B10" s="17" t="s">
        <v>0</v>
      </c>
      <c r="C10" s="17" t="s">
        <v>1</v>
      </c>
      <c r="D10" s="18" t="s">
        <v>72</v>
      </c>
      <c r="E10" s="19">
        <v>45796</v>
      </c>
      <c r="F10" s="20">
        <v>45796</v>
      </c>
      <c r="G10" s="18">
        <f>+IF(F10="","N/A",F10-E10)</f>
        <v>0</v>
      </c>
      <c r="I10" s="26" t="s">
        <v>86</v>
      </c>
      <c r="J10" s="26" t="s">
        <v>234</v>
      </c>
    </row>
    <row r="11" spans="1:11">
      <c r="B11" s="12" t="s">
        <v>0</v>
      </c>
      <c r="C11" s="12" t="s">
        <v>2</v>
      </c>
      <c r="D11" s="13" t="s">
        <v>73</v>
      </c>
      <c r="E11" s="14">
        <v>45782</v>
      </c>
      <c r="F11" s="14">
        <v>45782</v>
      </c>
      <c r="G11" s="13">
        <f t="shared" ref="G11:G77" si="0">+IF(F11="","N/A",F11-E11)</f>
        <v>0</v>
      </c>
      <c r="I11" s="26" t="s">
        <v>93</v>
      </c>
      <c r="J11" s="26" t="s">
        <v>93</v>
      </c>
    </row>
    <row r="12" spans="1:11">
      <c r="B12" s="12" t="s">
        <v>0</v>
      </c>
      <c r="C12" s="12" t="s">
        <v>3</v>
      </c>
      <c r="D12" s="13" t="s">
        <v>72</v>
      </c>
      <c r="E12" s="14">
        <v>45789</v>
      </c>
      <c r="F12" s="15">
        <v>45789</v>
      </c>
      <c r="G12" s="13">
        <f t="shared" si="0"/>
        <v>0</v>
      </c>
      <c r="I12" s="26" t="s">
        <v>86</v>
      </c>
      <c r="J12" s="26" t="s">
        <v>93</v>
      </c>
    </row>
    <row r="13" spans="1:11">
      <c r="B13" s="12" t="s">
        <v>0</v>
      </c>
      <c r="C13" s="12" t="s">
        <v>4</v>
      </c>
      <c r="D13" s="13" t="s">
        <v>72</v>
      </c>
      <c r="E13" s="14">
        <v>45789</v>
      </c>
      <c r="F13" s="15">
        <v>45789</v>
      </c>
      <c r="G13" s="13">
        <f t="shared" si="0"/>
        <v>0</v>
      </c>
      <c r="I13" s="26" t="s">
        <v>86</v>
      </c>
      <c r="J13" s="26" t="s">
        <v>93</v>
      </c>
    </row>
    <row r="14" spans="1:11">
      <c r="B14" s="12" t="s">
        <v>0</v>
      </c>
      <c r="C14" s="12" t="s">
        <v>5</v>
      </c>
      <c r="D14" s="13" t="s">
        <v>69</v>
      </c>
      <c r="E14" s="14">
        <v>45796</v>
      </c>
      <c r="F14" s="20">
        <v>45796</v>
      </c>
      <c r="G14" s="13">
        <f t="shared" si="0"/>
        <v>0</v>
      </c>
      <c r="I14" s="26" t="s">
        <v>93</v>
      </c>
      <c r="J14" s="26" t="s">
        <v>234</v>
      </c>
    </row>
    <row r="15" spans="1:11">
      <c r="B15" s="12" t="s">
        <v>0</v>
      </c>
      <c r="C15" s="12" t="s">
        <v>6</v>
      </c>
      <c r="D15" s="13" t="s">
        <v>72</v>
      </c>
      <c r="E15" s="14">
        <v>45796</v>
      </c>
      <c r="F15" s="20">
        <v>45796</v>
      </c>
      <c r="G15" s="13">
        <f t="shared" si="0"/>
        <v>0</v>
      </c>
      <c r="I15" s="26" t="s">
        <v>84</v>
      </c>
      <c r="J15" s="26" t="s">
        <v>234</v>
      </c>
    </row>
    <row r="16" spans="1:11">
      <c r="B16" s="12" t="s">
        <v>0</v>
      </c>
      <c r="C16" s="12" t="s">
        <v>7</v>
      </c>
      <c r="D16" s="13" t="s">
        <v>73</v>
      </c>
      <c r="E16" s="14">
        <v>45803</v>
      </c>
      <c r="F16" s="15"/>
      <c r="G16" s="13" t="str">
        <f t="shared" si="0"/>
        <v>N/A</v>
      </c>
      <c r="I16" s="26" t="s">
        <v>234</v>
      </c>
      <c r="J16" s="26" t="s">
        <v>234</v>
      </c>
    </row>
    <row r="17" spans="2:10">
      <c r="B17" s="12" t="s">
        <v>0</v>
      </c>
      <c r="C17" s="12" t="s">
        <v>8</v>
      </c>
      <c r="D17" s="13" t="s">
        <v>69</v>
      </c>
      <c r="E17" s="14">
        <v>45796</v>
      </c>
      <c r="F17" s="20">
        <v>45796</v>
      </c>
      <c r="G17" s="13">
        <f t="shared" si="0"/>
        <v>0</v>
      </c>
      <c r="I17" s="26" t="s">
        <v>93</v>
      </c>
      <c r="J17" s="26" t="s">
        <v>234</v>
      </c>
    </row>
    <row r="18" spans="2:10">
      <c r="B18" s="12" t="s">
        <v>0</v>
      </c>
      <c r="C18" s="12" t="s">
        <v>9</v>
      </c>
      <c r="D18" s="13" t="s">
        <v>72</v>
      </c>
      <c r="E18" s="14">
        <v>45789</v>
      </c>
      <c r="F18" s="15">
        <v>45789</v>
      </c>
      <c r="G18" s="13">
        <f t="shared" si="0"/>
        <v>0</v>
      </c>
      <c r="I18" s="26" t="s">
        <v>86</v>
      </c>
      <c r="J18" s="26" t="s">
        <v>93</v>
      </c>
    </row>
    <row r="19" spans="2:10">
      <c r="B19" s="12" t="s">
        <v>0</v>
      </c>
      <c r="C19" s="12" t="s">
        <v>10</v>
      </c>
      <c r="D19" s="13" t="s">
        <v>72</v>
      </c>
      <c r="E19" s="14">
        <v>45796</v>
      </c>
      <c r="F19" s="20">
        <v>45796</v>
      </c>
      <c r="G19" s="13">
        <f t="shared" si="0"/>
        <v>0</v>
      </c>
      <c r="I19" s="26" t="s">
        <v>93</v>
      </c>
      <c r="J19" s="26" t="s">
        <v>234</v>
      </c>
    </row>
    <row r="20" spans="2:10">
      <c r="B20" s="12" t="s">
        <v>0</v>
      </c>
      <c r="C20" s="12" t="s">
        <v>11</v>
      </c>
      <c r="D20" s="13" t="s">
        <v>69</v>
      </c>
      <c r="E20" s="14">
        <v>45796</v>
      </c>
      <c r="F20" s="20">
        <v>45796</v>
      </c>
      <c r="G20" s="13">
        <f t="shared" si="0"/>
        <v>0</v>
      </c>
      <c r="I20" s="26" t="s">
        <v>93</v>
      </c>
      <c r="J20" s="26" t="s">
        <v>234</v>
      </c>
    </row>
    <row r="21" spans="2:10">
      <c r="B21" s="12" t="s">
        <v>0</v>
      </c>
      <c r="C21" s="12" t="s">
        <v>12</v>
      </c>
      <c r="D21" s="13" t="s">
        <v>69</v>
      </c>
      <c r="E21" s="14">
        <v>45796</v>
      </c>
      <c r="F21" s="20">
        <v>45796</v>
      </c>
      <c r="G21" s="13">
        <f t="shared" si="0"/>
        <v>0</v>
      </c>
      <c r="I21" s="26" t="s">
        <v>93</v>
      </c>
      <c r="J21" s="26" t="s">
        <v>234</v>
      </c>
    </row>
    <row r="22" spans="2:10">
      <c r="B22" s="12" t="s">
        <v>0</v>
      </c>
      <c r="C22" s="12" t="s">
        <v>13</v>
      </c>
      <c r="D22" s="13" t="s">
        <v>69</v>
      </c>
      <c r="E22" s="14">
        <v>45796</v>
      </c>
      <c r="F22" s="20">
        <v>45796</v>
      </c>
      <c r="G22" s="13">
        <f t="shared" si="0"/>
        <v>0</v>
      </c>
      <c r="I22" s="26" t="s">
        <v>93</v>
      </c>
      <c r="J22" s="26" t="s">
        <v>234</v>
      </c>
    </row>
    <row r="23" spans="2:10">
      <c r="B23" s="12" t="s">
        <v>0</v>
      </c>
      <c r="C23" s="12" t="s">
        <v>14</v>
      </c>
      <c r="D23" s="13" t="s">
        <v>69</v>
      </c>
      <c r="E23" s="14">
        <v>45796</v>
      </c>
      <c r="F23" s="20">
        <v>45796</v>
      </c>
      <c r="G23" s="13">
        <f t="shared" si="0"/>
        <v>0</v>
      </c>
      <c r="I23" s="26" t="s">
        <v>93</v>
      </c>
      <c r="J23" s="26" t="s">
        <v>234</v>
      </c>
    </row>
    <row r="24" spans="2:10">
      <c r="B24" s="12" t="s">
        <v>0</v>
      </c>
      <c r="C24" s="12" t="s">
        <v>15</v>
      </c>
      <c r="D24" s="13" t="s">
        <v>72</v>
      </c>
      <c r="E24" s="14">
        <v>45789</v>
      </c>
      <c r="F24" s="15">
        <v>45789</v>
      </c>
      <c r="G24" s="13">
        <f t="shared" si="0"/>
        <v>0</v>
      </c>
      <c r="I24" s="26" t="s">
        <v>86</v>
      </c>
      <c r="J24" s="26" t="s">
        <v>93</v>
      </c>
    </row>
    <row r="25" spans="2:10">
      <c r="B25" s="12" t="s">
        <v>0</v>
      </c>
      <c r="C25" s="12" t="s">
        <v>16</v>
      </c>
      <c r="D25" s="13" t="s">
        <v>69</v>
      </c>
      <c r="E25" s="14">
        <v>45796</v>
      </c>
      <c r="F25" s="20">
        <v>45796</v>
      </c>
      <c r="G25" s="13">
        <f t="shared" si="0"/>
        <v>0</v>
      </c>
      <c r="I25" s="26" t="s">
        <v>93</v>
      </c>
      <c r="J25" s="26" t="s">
        <v>234</v>
      </c>
    </row>
    <row r="26" spans="2:10">
      <c r="B26" s="12" t="s">
        <v>0</v>
      </c>
      <c r="C26" s="12" t="s">
        <v>17</v>
      </c>
      <c r="D26" s="13" t="s">
        <v>72</v>
      </c>
      <c r="E26" s="14">
        <v>45789</v>
      </c>
      <c r="F26" s="15">
        <v>45789</v>
      </c>
      <c r="G26" s="13">
        <f t="shared" si="0"/>
        <v>0</v>
      </c>
      <c r="I26" s="26" t="s">
        <v>86</v>
      </c>
      <c r="J26" s="26" t="s">
        <v>93</v>
      </c>
    </row>
    <row r="27" spans="2:10">
      <c r="B27" s="12" t="s">
        <v>0</v>
      </c>
      <c r="C27" s="12" t="s">
        <v>18</v>
      </c>
      <c r="D27" s="13" t="s">
        <v>72</v>
      </c>
      <c r="E27" s="14">
        <v>45789</v>
      </c>
      <c r="F27" s="15">
        <v>45789</v>
      </c>
      <c r="G27" s="13">
        <f t="shared" si="0"/>
        <v>0</v>
      </c>
      <c r="I27" s="26" t="s">
        <v>86</v>
      </c>
      <c r="J27" s="26" t="s">
        <v>93</v>
      </c>
    </row>
    <row r="28" spans="2:10">
      <c r="B28" s="12" t="s">
        <v>0</v>
      </c>
      <c r="C28" s="12" t="s">
        <v>19</v>
      </c>
      <c r="D28" s="13" t="s">
        <v>69</v>
      </c>
      <c r="E28" s="14">
        <v>45803</v>
      </c>
      <c r="F28" s="16"/>
      <c r="G28" s="13" t="str">
        <f t="shared" si="0"/>
        <v>N/A</v>
      </c>
      <c r="I28" s="26" t="s">
        <v>234</v>
      </c>
      <c r="J28" s="26" t="s">
        <v>234</v>
      </c>
    </row>
    <row r="29" spans="2:10">
      <c r="B29" s="12" t="s">
        <v>0</v>
      </c>
      <c r="C29" s="12" t="s">
        <v>20</v>
      </c>
      <c r="D29" s="13" t="s">
        <v>72</v>
      </c>
      <c r="E29" s="14">
        <v>45796</v>
      </c>
      <c r="F29" s="20">
        <v>45796</v>
      </c>
      <c r="G29" s="13">
        <f t="shared" si="0"/>
        <v>0</v>
      </c>
      <c r="I29" s="26" t="s">
        <v>86</v>
      </c>
      <c r="J29" s="26" t="s">
        <v>234</v>
      </c>
    </row>
    <row r="30" spans="2:10">
      <c r="B30" s="12" t="s">
        <v>0</v>
      </c>
      <c r="C30" s="12" t="s">
        <v>21</v>
      </c>
      <c r="D30" s="13" t="s">
        <v>72</v>
      </c>
      <c r="E30" s="14">
        <v>45803</v>
      </c>
      <c r="F30" s="16"/>
      <c r="G30" s="13" t="str">
        <f t="shared" si="0"/>
        <v>N/A</v>
      </c>
      <c r="I30" s="26" t="s">
        <v>234</v>
      </c>
      <c r="J30" s="26" t="s">
        <v>234</v>
      </c>
    </row>
    <row r="31" spans="2:10">
      <c r="B31" s="12" t="s">
        <v>0</v>
      </c>
      <c r="C31" s="12" t="s">
        <v>22</v>
      </c>
      <c r="D31" s="13" t="s">
        <v>72</v>
      </c>
      <c r="E31" s="14">
        <v>45782</v>
      </c>
      <c r="F31" s="15">
        <v>45782</v>
      </c>
      <c r="G31" s="13">
        <f t="shared" si="0"/>
        <v>0</v>
      </c>
      <c r="I31" s="26" t="s">
        <v>83</v>
      </c>
      <c r="J31" s="26" t="s">
        <v>93</v>
      </c>
    </row>
    <row r="32" spans="2:10">
      <c r="B32" s="12" t="s">
        <v>0</v>
      </c>
      <c r="C32" s="12" t="s">
        <v>23</v>
      </c>
      <c r="D32" s="13" t="s">
        <v>72</v>
      </c>
      <c r="E32" s="14">
        <v>45782</v>
      </c>
      <c r="F32" s="15">
        <v>45782</v>
      </c>
      <c r="G32" s="13">
        <f t="shared" si="0"/>
        <v>0</v>
      </c>
      <c r="I32" s="26" t="s">
        <v>83</v>
      </c>
      <c r="J32" s="26" t="s">
        <v>93</v>
      </c>
    </row>
    <row r="33" spans="2:10">
      <c r="B33" s="12" t="s">
        <v>0</v>
      </c>
      <c r="C33" s="12" t="s">
        <v>24</v>
      </c>
      <c r="D33" s="13" t="s">
        <v>72</v>
      </c>
      <c r="E33" s="14">
        <v>45782</v>
      </c>
      <c r="F33" s="15">
        <v>45782</v>
      </c>
      <c r="G33" s="13">
        <f t="shared" si="0"/>
        <v>0</v>
      </c>
      <c r="I33" s="26" t="s">
        <v>83</v>
      </c>
      <c r="J33" s="26" t="s">
        <v>93</v>
      </c>
    </row>
    <row r="34" spans="2:10">
      <c r="B34" s="12" t="s">
        <v>0</v>
      </c>
      <c r="C34" s="12" t="s">
        <v>25</v>
      </c>
      <c r="D34" s="13" t="s">
        <v>72</v>
      </c>
      <c r="E34" s="14">
        <v>45782</v>
      </c>
      <c r="F34" s="15">
        <v>45782</v>
      </c>
      <c r="G34" s="13">
        <f t="shared" si="0"/>
        <v>0</v>
      </c>
      <c r="I34" s="26" t="s">
        <v>83</v>
      </c>
      <c r="J34" s="26" t="s">
        <v>93</v>
      </c>
    </row>
    <row r="35" spans="2:10">
      <c r="B35" s="12" t="s">
        <v>0</v>
      </c>
      <c r="C35" s="12" t="s">
        <v>26</v>
      </c>
      <c r="D35" s="13" t="s">
        <v>72</v>
      </c>
      <c r="E35" s="14">
        <v>45782</v>
      </c>
      <c r="F35" s="15">
        <v>45782</v>
      </c>
      <c r="G35" s="13">
        <f t="shared" si="0"/>
        <v>0</v>
      </c>
      <c r="I35" s="26" t="s">
        <v>83</v>
      </c>
      <c r="J35" s="26" t="s">
        <v>93</v>
      </c>
    </row>
    <row r="36" spans="2:10">
      <c r="B36" s="12" t="s">
        <v>0</v>
      </c>
      <c r="C36" s="12" t="s">
        <v>27</v>
      </c>
      <c r="D36" s="13" t="s">
        <v>72</v>
      </c>
      <c r="E36" s="14">
        <v>45782</v>
      </c>
      <c r="F36" s="15">
        <v>45782</v>
      </c>
      <c r="G36" s="13">
        <f t="shared" si="0"/>
        <v>0</v>
      </c>
      <c r="I36" s="26" t="s">
        <v>83</v>
      </c>
      <c r="J36" s="26" t="s">
        <v>93</v>
      </c>
    </row>
    <row r="37" spans="2:10">
      <c r="B37" s="12" t="s">
        <v>0</v>
      </c>
      <c r="C37" s="12" t="s">
        <v>28</v>
      </c>
      <c r="D37" s="13" t="s">
        <v>72</v>
      </c>
      <c r="E37" s="14">
        <v>45782</v>
      </c>
      <c r="F37" s="15">
        <v>45782</v>
      </c>
      <c r="G37" s="13">
        <f t="shared" si="0"/>
        <v>0</v>
      </c>
      <c r="I37" s="26" t="s">
        <v>83</v>
      </c>
      <c r="J37" s="26" t="s">
        <v>93</v>
      </c>
    </row>
    <row r="38" spans="2:10">
      <c r="B38" s="12" t="s">
        <v>0</v>
      </c>
      <c r="C38" s="12" t="s">
        <v>29</v>
      </c>
      <c r="D38" s="13" t="s">
        <v>72</v>
      </c>
      <c r="E38" s="14">
        <v>45782</v>
      </c>
      <c r="F38" s="15">
        <v>45782</v>
      </c>
      <c r="G38" s="13">
        <f t="shared" si="0"/>
        <v>0</v>
      </c>
      <c r="I38" s="26" t="s">
        <v>83</v>
      </c>
      <c r="J38" s="26" t="s">
        <v>93</v>
      </c>
    </row>
    <row r="39" spans="2:10">
      <c r="B39" s="12" t="s">
        <v>0</v>
      </c>
      <c r="C39" s="12" t="s">
        <v>30</v>
      </c>
      <c r="D39" s="13" t="s">
        <v>70</v>
      </c>
      <c r="E39" s="14">
        <v>45803</v>
      </c>
      <c r="F39" s="16"/>
      <c r="G39" s="13" t="str">
        <f t="shared" si="0"/>
        <v>N/A</v>
      </c>
      <c r="I39" s="26" t="s">
        <v>234</v>
      </c>
      <c r="J39" s="26" t="s">
        <v>234</v>
      </c>
    </row>
    <row r="40" spans="2:10">
      <c r="B40" s="12" t="s">
        <v>0</v>
      </c>
      <c r="C40" s="12" t="s">
        <v>31</v>
      </c>
      <c r="D40" s="13" t="s">
        <v>70</v>
      </c>
      <c r="E40" s="14">
        <v>45810</v>
      </c>
      <c r="F40" s="15"/>
      <c r="G40" s="13" t="str">
        <f t="shared" si="0"/>
        <v>N/A</v>
      </c>
      <c r="I40" s="26" t="s">
        <v>234</v>
      </c>
      <c r="J40" s="26" t="s">
        <v>234</v>
      </c>
    </row>
    <row r="41" spans="2:10">
      <c r="B41" s="12" t="s">
        <v>0</v>
      </c>
      <c r="C41" s="12" t="s">
        <v>32</v>
      </c>
      <c r="D41" s="13" t="s">
        <v>70</v>
      </c>
      <c r="E41" s="14">
        <v>45810</v>
      </c>
      <c r="F41" s="15"/>
      <c r="G41" s="13" t="str">
        <f t="shared" si="0"/>
        <v>N/A</v>
      </c>
      <c r="I41" s="26" t="s">
        <v>234</v>
      </c>
      <c r="J41" s="26" t="s">
        <v>234</v>
      </c>
    </row>
    <row r="42" spans="2:10">
      <c r="B42" s="12" t="s">
        <v>0</v>
      </c>
      <c r="C42" s="12" t="s">
        <v>33</v>
      </c>
      <c r="D42" s="13" t="s">
        <v>70</v>
      </c>
      <c r="E42" s="14">
        <v>45803</v>
      </c>
      <c r="F42" s="16"/>
      <c r="G42" s="13" t="str">
        <f t="shared" si="0"/>
        <v>N/A</v>
      </c>
      <c r="I42" s="26" t="s">
        <v>234</v>
      </c>
      <c r="J42" s="26" t="s">
        <v>234</v>
      </c>
    </row>
    <row r="43" spans="2:10">
      <c r="B43" s="12" t="s">
        <v>0</v>
      </c>
      <c r="C43" s="12" t="s">
        <v>34</v>
      </c>
      <c r="D43" s="13" t="s">
        <v>70</v>
      </c>
      <c r="E43" s="14">
        <v>45803</v>
      </c>
      <c r="F43" s="16"/>
      <c r="G43" s="13" t="str">
        <f t="shared" si="0"/>
        <v>N/A</v>
      </c>
      <c r="I43" s="26" t="s">
        <v>234</v>
      </c>
      <c r="J43" s="26" t="s">
        <v>234</v>
      </c>
    </row>
    <row r="44" spans="2:10">
      <c r="B44" s="12" t="s">
        <v>0</v>
      </c>
      <c r="C44" s="12" t="s">
        <v>35</v>
      </c>
      <c r="D44" s="13" t="s">
        <v>70</v>
      </c>
      <c r="E44" s="14">
        <v>45782</v>
      </c>
      <c r="F44" s="15">
        <v>45782</v>
      </c>
      <c r="G44" s="13">
        <f t="shared" si="0"/>
        <v>0</v>
      </c>
      <c r="I44" s="26" t="s">
        <v>83</v>
      </c>
      <c r="J44" s="26" t="s">
        <v>93</v>
      </c>
    </row>
    <row r="45" spans="2:10">
      <c r="B45" s="12" t="s">
        <v>0</v>
      </c>
      <c r="C45" s="12" t="s">
        <v>36</v>
      </c>
      <c r="D45" s="13" t="s">
        <v>70</v>
      </c>
      <c r="E45" s="14">
        <v>45803</v>
      </c>
      <c r="F45" s="16"/>
      <c r="G45" s="13" t="str">
        <f t="shared" si="0"/>
        <v>N/A</v>
      </c>
      <c r="I45" s="26" t="s">
        <v>234</v>
      </c>
      <c r="J45" s="26" t="s">
        <v>234</v>
      </c>
    </row>
    <row r="46" spans="2:10">
      <c r="B46" s="12" t="s">
        <v>0</v>
      </c>
      <c r="C46" s="12" t="s">
        <v>37</v>
      </c>
      <c r="D46" s="13" t="s">
        <v>70</v>
      </c>
      <c r="E46" s="14">
        <v>45803</v>
      </c>
      <c r="F46" s="16"/>
      <c r="G46" s="13" t="str">
        <f t="shared" si="0"/>
        <v>N/A</v>
      </c>
      <c r="I46" s="26" t="s">
        <v>234</v>
      </c>
      <c r="J46" s="26" t="s">
        <v>234</v>
      </c>
    </row>
    <row r="47" spans="2:10">
      <c r="B47" s="12" t="s">
        <v>0</v>
      </c>
      <c r="C47" s="12" t="s">
        <v>38</v>
      </c>
      <c r="D47" s="13" t="s">
        <v>70</v>
      </c>
      <c r="E47" s="14">
        <v>45803</v>
      </c>
      <c r="F47" s="16"/>
      <c r="G47" s="13" t="str">
        <f t="shared" si="0"/>
        <v>N/A</v>
      </c>
      <c r="I47" s="26" t="s">
        <v>234</v>
      </c>
      <c r="J47" s="26" t="s">
        <v>234</v>
      </c>
    </row>
    <row r="48" spans="2:10">
      <c r="B48" s="12" t="s">
        <v>0</v>
      </c>
      <c r="C48" s="12" t="s">
        <v>39</v>
      </c>
      <c r="D48" s="13" t="s">
        <v>70</v>
      </c>
      <c r="E48" s="14">
        <v>45803</v>
      </c>
      <c r="F48" s="16"/>
      <c r="G48" s="13" t="str">
        <f t="shared" si="0"/>
        <v>N/A</v>
      </c>
      <c r="I48" s="26" t="s">
        <v>234</v>
      </c>
      <c r="J48" s="26" t="s">
        <v>234</v>
      </c>
    </row>
    <row r="49" spans="2:10">
      <c r="B49" s="12" t="s">
        <v>0</v>
      </c>
      <c r="C49" s="12" t="s">
        <v>40</v>
      </c>
      <c r="D49" s="13" t="s">
        <v>70</v>
      </c>
      <c r="E49" s="14">
        <v>45803</v>
      </c>
      <c r="F49" s="16"/>
      <c r="G49" s="13" t="str">
        <f t="shared" si="0"/>
        <v>N/A</v>
      </c>
      <c r="I49" s="26" t="s">
        <v>234</v>
      </c>
      <c r="J49" s="26" t="s">
        <v>234</v>
      </c>
    </row>
    <row r="50" spans="2:10">
      <c r="B50" s="12" t="s">
        <v>0</v>
      </c>
      <c r="C50" s="12" t="s">
        <v>41</v>
      </c>
      <c r="D50" s="13" t="s">
        <v>70</v>
      </c>
      <c r="E50" s="14">
        <v>45810</v>
      </c>
      <c r="F50" s="15"/>
      <c r="G50" s="13" t="str">
        <f t="shared" si="0"/>
        <v>N/A</v>
      </c>
      <c r="I50" s="26" t="s">
        <v>234</v>
      </c>
      <c r="J50" s="26" t="s">
        <v>234</v>
      </c>
    </row>
    <row r="51" spans="2:10">
      <c r="B51" s="12" t="s">
        <v>0</v>
      </c>
      <c r="C51" s="12" t="s">
        <v>42</v>
      </c>
      <c r="D51" s="13" t="s">
        <v>70</v>
      </c>
      <c r="E51" s="14">
        <v>45810</v>
      </c>
      <c r="F51" s="15"/>
      <c r="G51" s="13" t="str">
        <f t="shared" si="0"/>
        <v>N/A</v>
      </c>
      <c r="I51" s="26" t="s">
        <v>234</v>
      </c>
      <c r="J51" s="26" t="s">
        <v>234</v>
      </c>
    </row>
    <row r="52" spans="2:10">
      <c r="B52" s="12" t="s">
        <v>0</v>
      </c>
      <c r="C52" s="12" t="s">
        <v>43</v>
      </c>
      <c r="D52" s="13" t="s">
        <v>70</v>
      </c>
      <c r="E52" s="14">
        <v>45810</v>
      </c>
      <c r="F52" s="15"/>
      <c r="G52" s="13" t="str">
        <f t="shared" si="0"/>
        <v>N/A</v>
      </c>
      <c r="I52" s="26" t="s">
        <v>234</v>
      </c>
      <c r="J52" s="26" t="s">
        <v>234</v>
      </c>
    </row>
    <row r="53" spans="2:10">
      <c r="B53" s="12" t="s">
        <v>0</v>
      </c>
      <c r="C53" s="12" t="s">
        <v>44</v>
      </c>
      <c r="D53" s="13" t="s">
        <v>70</v>
      </c>
      <c r="E53" s="14">
        <v>45803</v>
      </c>
      <c r="F53" s="16"/>
      <c r="G53" s="13" t="str">
        <f t="shared" si="0"/>
        <v>N/A</v>
      </c>
      <c r="I53" s="26" t="s">
        <v>234</v>
      </c>
      <c r="J53" s="26" t="s">
        <v>234</v>
      </c>
    </row>
    <row r="54" spans="2:10">
      <c r="B54" s="12" t="s">
        <v>0</v>
      </c>
      <c r="C54" s="12" t="s">
        <v>45</v>
      </c>
      <c r="D54" s="13" t="s">
        <v>70</v>
      </c>
      <c r="E54" s="14">
        <v>45810</v>
      </c>
      <c r="F54" s="15"/>
      <c r="G54" s="13" t="str">
        <f t="shared" si="0"/>
        <v>N/A</v>
      </c>
      <c r="I54" s="26" t="s">
        <v>234</v>
      </c>
      <c r="J54" s="26" t="s">
        <v>234</v>
      </c>
    </row>
    <row r="55" spans="2:10">
      <c r="B55" s="12" t="s">
        <v>0</v>
      </c>
      <c r="C55" s="12" t="s">
        <v>46</v>
      </c>
      <c r="D55" s="13" t="s">
        <v>70</v>
      </c>
      <c r="E55" s="14">
        <v>45810</v>
      </c>
      <c r="F55" s="15"/>
      <c r="G55" s="13" t="str">
        <f t="shared" si="0"/>
        <v>N/A</v>
      </c>
      <c r="I55" s="26" t="s">
        <v>234</v>
      </c>
      <c r="J55" s="26" t="s">
        <v>234</v>
      </c>
    </row>
    <row r="56" spans="2:10">
      <c r="B56" s="12" t="s">
        <v>0</v>
      </c>
      <c r="C56" s="12" t="s">
        <v>47</v>
      </c>
      <c r="D56" s="13" t="s">
        <v>70</v>
      </c>
      <c r="E56" s="14">
        <v>45796</v>
      </c>
      <c r="F56" s="20">
        <v>45796</v>
      </c>
      <c r="G56" s="13">
        <f t="shared" si="0"/>
        <v>0</v>
      </c>
      <c r="I56" s="26" t="s">
        <v>93</v>
      </c>
      <c r="J56" s="26" t="s">
        <v>234</v>
      </c>
    </row>
    <row r="57" spans="2:10">
      <c r="B57" s="12" t="s">
        <v>0</v>
      </c>
      <c r="C57" s="12" t="s">
        <v>48</v>
      </c>
      <c r="D57" s="13" t="s">
        <v>73</v>
      </c>
      <c r="E57" s="14">
        <v>45803</v>
      </c>
      <c r="F57" s="16"/>
      <c r="G57" s="13" t="str">
        <f t="shared" si="0"/>
        <v>N/A</v>
      </c>
      <c r="I57" s="26" t="s">
        <v>234</v>
      </c>
      <c r="J57" s="26" t="s">
        <v>234</v>
      </c>
    </row>
    <row r="58" spans="2:10">
      <c r="B58" s="12" t="s">
        <v>0</v>
      </c>
      <c r="C58" s="12" t="s">
        <v>49</v>
      </c>
      <c r="D58" s="13" t="s">
        <v>75</v>
      </c>
      <c r="E58" s="14">
        <v>45810</v>
      </c>
      <c r="F58" s="15"/>
      <c r="G58" s="13" t="str">
        <f t="shared" si="0"/>
        <v>N/A</v>
      </c>
      <c r="I58" s="26" t="s">
        <v>234</v>
      </c>
      <c r="J58" s="26" t="s">
        <v>234</v>
      </c>
    </row>
    <row r="59" spans="2:10">
      <c r="B59" s="12" t="s">
        <v>0</v>
      </c>
      <c r="C59" s="12" t="s">
        <v>50</v>
      </c>
      <c r="D59" s="13" t="s">
        <v>73</v>
      </c>
      <c r="E59" s="14">
        <v>45782</v>
      </c>
      <c r="F59" s="15">
        <v>45782</v>
      </c>
      <c r="G59" s="13">
        <f t="shared" si="0"/>
        <v>0</v>
      </c>
      <c r="I59" s="26" t="s">
        <v>84</v>
      </c>
      <c r="J59" s="26" t="s">
        <v>93</v>
      </c>
    </row>
    <row r="60" spans="2:10">
      <c r="B60" s="12" t="s">
        <v>0</v>
      </c>
      <c r="C60" s="12" t="s">
        <v>51</v>
      </c>
      <c r="D60" s="13" t="s">
        <v>73</v>
      </c>
      <c r="E60" s="14">
        <v>45782</v>
      </c>
      <c r="F60" s="15">
        <v>45782</v>
      </c>
      <c r="G60" s="13">
        <f t="shared" si="0"/>
        <v>0</v>
      </c>
      <c r="I60" s="26" t="s">
        <v>86</v>
      </c>
      <c r="J60" s="26" t="s">
        <v>86</v>
      </c>
    </row>
    <row r="61" spans="2:10">
      <c r="B61" s="12" t="s">
        <v>52</v>
      </c>
      <c r="C61" s="12" t="s">
        <v>78</v>
      </c>
      <c r="D61" s="13" t="s">
        <v>71</v>
      </c>
      <c r="E61" s="14">
        <v>45789</v>
      </c>
      <c r="F61" s="15">
        <v>45789</v>
      </c>
      <c r="G61" s="13">
        <f t="shared" si="0"/>
        <v>0</v>
      </c>
      <c r="I61" s="26" t="s">
        <v>83</v>
      </c>
      <c r="J61" s="26" t="s">
        <v>83</v>
      </c>
    </row>
    <row r="62" spans="2:10">
      <c r="B62" s="12" t="s">
        <v>52</v>
      </c>
      <c r="C62" s="12" t="s">
        <v>33</v>
      </c>
      <c r="D62" s="13" t="s">
        <v>71</v>
      </c>
      <c r="E62" s="14">
        <v>45803</v>
      </c>
      <c r="F62" s="16"/>
      <c r="G62" s="13" t="str">
        <f t="shared" si="0"/>
        <v>N/A</v>
      </c>
      <c r="I62" s="26" t="s">
        <v>234</v>
      </c>
      <c r="J62" s="26" t="s">
        <v>234</v>
      </c>
    </row>
    <row r="63" spans="2:10">
      <c r="B63" s="12" t="s">
        <v>52</v>
      </c>
      <c r="C63" s="12" t="s">
        <v>35</v>
      </c>
      <c r="D63" s="13" t="s">
        <v>71</v>
      </c>
      <c r="E63" s="14">
        <v>45803</v>
      </c>
      <c r="F63" s="16"/>
      <c r="G63" s="13" t="str">
        <f t="shared" si="0"/>
        <v>N/A</v>
      </c>
      <c r="I63" s="26" t="s">
        <v>234</v>
      </c>
      <c r="J63" s="26" t="s">
        <v>234</v>
      </c>
    </row>
    <row r="64" spans="2:10">
      <c r="B64" s="12" t="s">
        <v>52</v>
      </c>
      <c r="C64" s="12" t="s">
        <v>53</v>
      </c>
      <c r="D64" s="13" t="s">
        <v>71</v>
      </c>
      <c r="E64" s="14">
        <v>45803</v>
      </c>
      <c r="F64" s="16"/>
      <c r="G64" s="13" t="str">
        <f t="shared" si="0"/>
        <v>N/A</v>
      </c>
      <c r="I64" s="26" t="s">
        <v>234</v>
      </c>
      <c r="J64" s="26" t="s">
        <v>234</v>
      </c>
    </row>
    <row r="65" spans="2:10">
      <c r="B65" s="12" t="s">
        <v>52</v>
      </c>
      <c r="C65" s="12" t="s">
        <v>54</v>
      </c>
      <c r="D65" s="13" t="s">
        <v>71</v>
      </c>
      <c r="E65" s="14">
        <v>45803</v>
      </c>
      <c r="F65" s="16"/>
      <c r="G65" s="13" t="str">
        <f t="shared" si="0"/>
        <v>N/A</v>
      </c>
      <c r="I65" s="26" t="s">
        <v>234</v>
      </c>
      <c r="J65" s="26" t="s">
        <v>234</v>
      </c>
    </row>
    <row r="66" spans="2:10">
      <c r="B66" s="12" t="s">
        <v>52</v>
      </c>
      <c r="C66" s="12" t="s">
        <v>55</v>
      </c>
      <c r="D66" s="13" t="s">
        <v>71</v>
      </c>
      <c r="E66" s="14">
        <v>45803</v>
      </c>
      <c r="F66" s="16"/>
      <c r="G66" s="13" t="str">
        <f t="shared" si="0"/>
        <v>N/A</v>
      </c>
      <c r="I66" s="26" t="s">
        <v>234</v>
      </c>
      <c r="J66" s="26" t="s">
        <v>234</v>
      </c>
    </row>
    <row r="67" spans="2:10">
      <c r="B67" s="12" t="s">
        <v>52</v>
      </c>
      <c r="C67" s="12" t="s">
        <v>56</v>
      </c>
      <c r="D67" s="13" t="s">
        <v>75</v>
      </c>
      <c r="E67" s="14">
        <v>45789</v>
      </c>
      <c r="F67" s="15">
        <v>45789</v>
      </c>
      <c r="G67" s="13">
        <f t="shared" si="0"/>
        <v>0</v>
      </c>
      <c r="I67" s="26" t="s">
        <v>86</v>
      </c>
      <c r="J67" s="26" t="s">
        <v>86</v>
      </c>
    </row>
    <row r="68" spans="2:10">
      <c r="B68" s="12" t="s">
        <v>52</v>
      </c>
      <c r="C68" s="12" t="s">
        <v>57</v>
      </c>
      <c r="D68" s="13" t="s">
        <v>75</v>
      </c>
      <c r="E68" s="14">
        <v>45803</v>
      </c>
      <c r="F68" s="16"/>
      <c r="G68" s="13" t="str">
        <f t="shared" si="0"/>
        <v>N/A</v>
      </c>
      <c r="I68" s="26" t="s">
        <v>234</v>
      </c>
      <c r="J68" s="26" t="s">
        <v>234</v>
      </c>
    </row>
    <row r="69" spans="2:10">
      <c r="B69" s="12" t="s">
        <v>58</v>
      </c>
      <c r="C69" s="12" t="s">
        <v>78</v>
      </c>
      <c r="D69" s="13" t="s">
        <v>71</v>
      </c>
      <c r="E69" s="14">
        <v>45803</v>
      </c>
      <c r="F69" s="16"/>
      <c r="G69" s="13" t="str">
        <f t="shared" si="0"/>
        <v>N/A</v>
      </c>
      <c r="I69" s="26" t="s">
        <v>234</v>
      </c>
      <c r="J69" s="26" t="s">
        <v>234</v>
      </c>
    </row>
    <row r="70" spans="2:10">
      <c r="B70" s="12" t="s">
        <v>58</v>
      </c>
      <c r="C70" s="12" t="s">
        <v>33</v>
      </c>
      <c r="D70" s="13" t="s">
        <v>71</v>
      </c>
      <c r="E70" s="14">
        <v>45803</v>
      </c>
      <c r="F70" s="16"/>
      <c r="G70" s="13" t="str">
        <f t="shared" si="0"/>
        <v>N/A</v>
      </c>
      <c r="I70" s="26" t="s">
        <v>234</v>
      </c>
      <c r="J70" s="26" t="s">
        <v>234</v>
      </c>
    </row>
    <row r="71" spans="2:10">
      <c r="B71" s="12" t="s">
        <v>58</v>
      </c>
      <c r="C71" s="12" t="s">
        <v>35</v>
      </c>
      <c r="D71" s="13" t="s">
        <v>71</v>
      </c>
      <c r="E71" s="14">
        <v>45803</v>
      </c>
      <c r="F71" s="16"/>
      <c r="G71" s="13" t="str">
        <f t="shared" si="0"/>
        <v>N/A</v>
      </c>
      <c r="I71" s="26" t="s">
        <v>234</v>
      </c>
      <c r="J71" s="26" t="s">
        <v>234</v>
      </c>
    </row>
    <row r="72" spans="2:10">
      <c r="B72" s="12" t="s">
        <v>58</v>
      </c>
      <c r="C72" s="12" t="s">
        <v>51</v>
      </c>
      <c r="D72" s="13" t="s">
        <v>71</v>
      </c>
      <c r="E72" s="14">
        <v>45803</v>
      </c>
      <c r="F72" s="16"/>
      <c r="G72" s="13" t="str">
        <f t="shared" si="0"/>
        <v>N/A</v>
      </c>
      <c r="I72" s="26" t="s">
        <v>234</v>
      </c>
      <c r="J72" s="26" t="s">
        <v>234</v>
      </c>
    </row>
    <row r="73" spans="2:10">
      <c r="B73" s="12" t="s">
        <v>58</v>
      </c>
      <c r="C73" s="12" t="s">
        <v>53</v>
      </c>
      <c r="D73" s="13" t="s">
        <v>71</v>
      </c>
      <c r="E73" s="14">
        <v>45803</v>
      </c>
      <c r="F73" s="16"/>
      <c r="G73" s="13" t="str">
        <f t="shared" si="0"/>
        <v>N/A</v>
      </c>
      <c r="I73" s="26" t="s">
        <v>234</v>
      </c>
      <c r="J73" s="26" t="s">
        <v>234</v>
      </c>
    </row>
    <row r="74" spans="2:10">
      <c r="B74" s="12" t="s">
        <v>58</v>
      </c>
      <c r="C74" s="12" t="s">
        <v>59</v>
      </c>
      <c r="D74" s="13" t="s">
        <v>75</v>
      </c>
      <c r="E74" s="14">
        <v>45803</v>
      </c>
      <c r="F74" s="16"/>
      <c r="G74" s="13" t="str">
        <f t="shared" si="0"/>
        <v>N/A</v>
      </c>
      <c r="I74" s="26" t="s">
        <v>234</v>
      </c>
      <c r="J74" s="26" t="s">
        <v>234</v>
      </c>
    </row>
    <row r="75" spans="2:10">
      <c r="B75" s="12" t="s">
        <v>60</v>
      </c>
      <c r="C75" s="12" t="s">
        <v>78</v>
      </c>
      <c r="D75" s="13" t="s">
        <v>74</v>
      </c>
      <c r="E75" s="14">
        <v>45789</v>
      </c>
      <c r="F75" s="15">
        <v>45789</v>
      </c>
      <c r="G75" s="13">
        <f t="shared" si="0"/>
        <v>0</v>
      </c>
      <c r="I75" s="26" t="s">
        <v>93</v>
      </c>
      <c r="J75" s="26" t="s">
        <v>93</v>
      </c>
    </row>
    <row r="76" spans="2:10">
      <c r="B76" s="12" t="s">
        <v>60</v>
      </c>
      <c r="C76" s="12" t="s">
        <v>61</v>
      </c>
      <c r="D76" s="13" t="s">
        <v>74</v>
      </c>
      <c r="E76" s="14">
        <v>45789</v>
      </c>
      <c r="F76" s="15">
        <v>45789</v>
      </c>
      <c r="G76" s="13">
        <f t="shared" si="0"/>
        <v>0</v>
      </c>
      <c r="I76" s="26" t="s">
        <v>93</v>
      </c>
      <c r="J76" s="26" t="s">
        <v>93</v>
      </c>
    </row>
    <row r="77" spans="2:10">
      <c r="B77" s="12" t="s">
        <v>60</v>
      </c>
      <c r="C77" s="12" t="s">
        <v>62</v>
      </c>
      <c r="D77" s="13" t="s">
        <v>75</v>
      </c>
      <c r="E77" s="14">
        <v>45803</v>
      </c>
      <c r="F77" s="16"/>
      <c r="G77" s="13" t="str">
        <f t="shared" si="0"/>
        <v>N/A</v>
      </c>
      <c r="I77" s="26" t="s">
        <v>234</v>
      </c>
      <c r="J77" s="26" t="s">
        <v>234</v>
      </c>
    </row>
    <row r="78" spans="2:10">
      <c r="B78" s="12" t="s">
        <v>60</v>
      </c>
      <c r="C78" s="12" t="s">
        <v>63</v>
      </c>
      <c r="D78" s="13" t="s">
        <v>74</v>
      </c>
      <c r="E78" s="14">
        <v>45789</v>
      </c>
      <c r="F78" s="15">
        <v>45789</v>
      </c>
      <c r="G78" s="13">
        <f t="shared" ref="G78:G81" si="1">+IF(F78="","N/A",F78-E78)</f>
        <v>0</v>
      </c>
      <c r="I78" s="26" t="s">
        <v>93</v>
      </c>
      <c r="J78" s="26" t="s">
        <v>93</v>
      </c>
    </row>
    <row r="79" spans="2:10">
      <c r="B79" s="12" t="s">
        <v>60</v>
      </c>
      <c r="C79" s="12" t="s">
        <v>33</v>
      </c>
      <c r="D79" s="13" t="s">
        <v>74</v>
      </c>
      <c r="E79" s="14">
        <v>45789</v>
      </c>
      <c r="F79" s="15">
        <v>45789</v>
      </c>
      <c r="G79" s="13">
        <f t="shared" si="1"/>
        <v>0</v>
      </c>
      <c r="I79" s="26" t="s">
        <v>93</v>
      </c>
      <c r="J79" s="26" t="s">
        <v>93</v>
      </c>
    </row>
    <row r="80" spans="2:10">
      <c r="B80" s="12" t="s">
        <v>60</v>
      </c>
      <c r="C80" s="12" t="s">
        <v>35</v>
      </c>
      <c r="D80" s="13" t="s">
        <v>74</v>
      </c>
      <c r="E80" s="14">
        <v>45789</v>
      </c>
      <c r="F80" s="15">
        <v>45789</v>
      </c>
      <c r="G80" s="13">
        <f t="shared" si="1"/>
        <v>0</v>
      </c>
      <c r="I80" s="26" t="s">
        <v>93</v>
      </c>
      <c r="J80" s="26" t="s">
        <v>93</v>
      </c>
    </row>
    <row r="81" spans="2:10">
      <c r="B81" s="12" t="s">
        <v>60</v>
      </c>
      <c r="C81" s="12" t="s">
        <v>51</v>
      </c>
      <c r="D81" s="13" t="s">
        <v>74</v>
      </c>
      <c r="E81" s="14">
        <v>45789</v>
      </c>
      <c r="F81" s="15">
        <v>45789</v>
      </c>
      <c r="G81" s="13">
        <f t="shared" si="1"/>
        <v>0</v>
      </c>
      <c r="I81" s="26" t="s">
        <v>93</v>
      </c>
      <c r="J81" s="26" t="s">
        <v>93</v>
      </c>
    </row>
  </sheetData>
  <autoFilter ref="B8:J81" xr:uid="{B42690F1-F88C-47BB-A452-DBF1CCF20DAA}"/>
  <mergeCells count="1">
    <mergeCell ref="E7:G7"/>
  </mergeCells>
  <conditionalFormatting sqref="G9:G81">
    <cfRule type="containsText" dxfId="9" priority="10" operator="containsText" text="N/A">
      <formula>NOT(ISERROR(SEARCH("N/A",G9)))</formula>
    </cfRule>
    <cfRule type="cellIs" dxfId="8" priority="11" operator="lessThanOrEqual">
      <formula>0</formula>
    </cfRule>
    <cfRule type="cellIs" dxfId="7" priority="12" operator="greaterThan">
      <formula>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B785BF2A-5AAD-430F-9E56-4DFAE03EE364}">
            <xm:f>'Aux Testes_Status'!$B$16</xm:f>
            <x14:dxf>
              <fill>
                <patternFill>
                  <bgColor rgb="FFFF0000"/>
                </patternFill>
              </fill>
            </x14:dxf>
          </x14:cfRule>
          <x14:cfRule type="cellIs" priority="3" operator="equal" id="{048E2E34-73DA-49F9-8C01-7F5932FF4E31}">
            <xm:f>'Aux Testes_Status'!$B$15</xm:f>
            <x14:dxf>
              <fill>
                <patternFill>
                  <bgColor rgb="FFBFBFBF"/>
                </patternFill>
              </fill>
            </x14:dxf>
          </x14:cfRule>
          <x14:cfRule type="cellIs" priority="4" operator="equal" id="{9AE3713D-4575-4AAF-9155-22A966CD5251}">
            <xm:f>'Aux Testes_Status'!$B$14</xm:f>
            <x14:dxf>
              <fill>
                <patternFill>
                  <bgColor rgb="FF13868C"/>
                </patternFill>
              </fill>
            </x14:dxf>
          </x14:cfRule>
          <x14:cfRule type="cellIs" priority="5" operator="equal" id="{C90BA172-7A14-4377-9B38-F7CECEBBE71D}">
            <xm:f>'Aux Testes_Status'!$B$13</xm:f>
            <x14:dxf>
              <fill>
                <patternFill>
                  <bgColor rgb="FFC00000"/>
                </patternFill>
              </fill>
            </x14:dxf>
          </x14:cfRule>
          <x14:cfRule type="cellIs" priority="6" operator="equal" id="{B3E6262A-4FC0-4B24-B563-4F90B0E6A905}">
            <xm:f>'Aux Testes_Status'!$B$12</xm:f>
            <x14:dxf>
              <fill>
                <patternFill>
                  <bgColor rgb="FFE6AC00"/>
                </patternFill>
              </fill>
            </x14:dxf>
          </x14:cfRule>
          <x14:cfRule type="cellIs" priority="7" operator="equal" id="{48A03413-BE76-4B05-B29D-0FF85E9292B4}">
            <xm:f>'Aux Testes_Status'!$B$11</xm:f>
            <x14:dxf>
              <fill>
                <patternFill>
                  <bgColor rgb="FFFFE084"/>
                </patternFill>
              </fill>
            </x14:dxf>
          </x14:cfRule>
          <x14:cfRule type="cellIs" priority="8" operator="equal" id="{1B7A7465-C1E7-49C6-9394-DBF4EDB8E514}">
            <xm:f>'Aux Testes_Status'!$B$10</xm:f>
            <x14:dxf>
              <fill>
                <patternFill>
                  <bgColor rgb="FF62B967"/>
                </patternFill>
              </fill>
            </x14:dxf>
          </x14:cfRule>
          <xm:sqref>I9:J81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EB6310-AE1A-4092-9C05-8CDEFA12E661}">
          <x14:formula1>
            <xm:f>'Aux Testes_Status'!$B$10:$B$16</xm:f>
          </x14:formula1>
          <xm:sqref>I9:J81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dimension ref="A1:V16"/>
  <sheetViews>
    <sheetView showGridLines="0" zoomScale="90" zoomScaleNormal="90" workbookViewId="0">
      <selection activeCell="B24" sqref="B24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28" t="s">
        <v>95</v>
      </c>
      <c r="C7" s="29"/>
      <c r="D7" s="29"/>
    </row>
    <row r="8" spans="1:4" ht="6.9" customHeight="1"/>
    <row r="9" spans="1:4" ht="15" customHeight="1">
      <c r="B9" s="35" t="s">
        <v>82</v>
      </c>
      <c r="C9" s="11" t="s">
        <v>79</v>
      </c>
    </row>
    <row r="10" spans="1:4" ht="15" customHeight="1">
      <c r="B10" s="30" t="s">
        <v>83</v>
      </c>
      <c r="C10" s="25" t="s">
        <v>87</v>
      </c>
    </row>
    <row r="11" spans="1:4" ht="15" customHeight="1">
      <c r="B11" s="31" t="s">
        <v>86</v>
      </c>
      <c r="C11" s="25" t="s">
        <v>88</v>
      </c>
    </row>
    <row r="12" spans="1:4" ht="15" customHeight="1">
      <c r="B12" s="32" t="s">
        <v>84</v>
      </c>
      <c r="C12" s="25" t="s">
        <v>89</v>
      </c>
    </row>
    <row r="13" spans="1:4" ht="15" customHeight="1">
      <c r="B13" s="33" t="s">
        <v>85</v>
      </c>
      <c r="C13" s="25" t="s">
        <v>90</v>
      </c>
    </row>
    <row r="14" spans="1:4" ht="15" customHeight="1">
      <c r="B14" s="34" t="s">
        <v>91</v>
      </c>
      <c r="C14" s="25" t="s">
        <v>92</v>
      </c>
    </row>
    <row r="15" spans="1:4" ht="15" customHeight="1">
      <c r="B15" s="121" t="s">
        <v>93</v>
      </c>
      <c r="C15" s="25" t="s">
        <v>94</v>
      </c>
    </row>
    <row r="16" spans="1:4">
      <c r="B16" s="153" t="s">
        <v>234</v>
      </c>
      <c r="C16" s="120" t="s">
        <v>235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972A606-41FA-451C-BF37-77F82C7B0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Status Resumo</vt:lpstr>
      <vt:lpstr>Aux Gráficos</vt:lpstr>
      <vt:lpstr>MacroPlano</vt:lpstr>
      <vt:lpstr>Detalhe Entregas e Status</vt:lpstr>
      <vt:lpstr>Aux Testes_Status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2025-05-28T17:45:04Z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