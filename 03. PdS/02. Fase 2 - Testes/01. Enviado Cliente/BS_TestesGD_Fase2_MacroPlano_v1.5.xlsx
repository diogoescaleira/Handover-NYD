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84" documentId="8_{694923C8-B412-48AB-972A-0A04623D8237}" xr6:coauthVersionLast="47" xr6:coauthVersionMax="47" xr10:uidLastSave="{42C2AE1D-AE47-4BAB-8124-6190C03546F1}"/>
  <bookViews>
    <workbookView xWindow="-135" yWindow="-135" windowWidth="29070" windowHeight="15750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Status'!$A$8:$W$81</definedName>
    <definedName name="_xlnm._FilterDatabase" localSheetId="5" hidden="1">'Detalhe Testes'!$A$8:$AF$171</definedName>
    <definedName name="asefadf">#REF!</definedName>
    <definedName name="bn">#REF!</definedName>
  </definedNames>
  <calcPr calcId="191029"/>
  <pivotCaches>
    <pivotCache cacheId="4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1" l="1"/>
  <c r="I81" i="11"/>
  <c r="I64" i="11"/>
  <c r="J88" i="11"/>
  <c r="I88" i="11"/>
  <c r="J71" i="11"/>
  <c r="I71" i="11"/>
  <c r="J54" i="11"/>
  <c r="I54" i="11"/>
  <c r="J78" i="11" l="1"/>
  <c r="J77" i="11"/>
  <c r="J76" i="11"/>
  <c r="J75" i="11"/>
  <c r="J74" i="11"/>
  <c r="J73" i="11"/>
  <c r="J72" i="11"/>
  <c r="I78" i="11"/>
  <c r="I77" i="11"/>
  <c r="I76" i="11"/>
  <c r="I75" i="11"/>
  <c r="I74" i="11"/>
  <c r="I73" i="11"/>
  <c r="I72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78" i="11" l="1"/>
  <c r="K77" i="11"/>
  <c r="K76" i="11"/>
  <c r="K75" i="11"/>
  <c r="K74" i="11"/>
  <c r="J79" i="11"/>
  <c r="K73" i="11"/>
  <c r="I79" i="11"/>
  <c r="K72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95" i="11" l="1"/>
  <c r="J94" i="11"/>
  <c r="J93" i="11"/>
  <c r="J92" i="11"/>
  <c r="J91" i="11"/>
  <c r="J90" i="11"/>
  <c r="J89" i="11"/>
  <c r="I95" i="11"/>
  <c r="I94" i="11"/>
  <c r="I93" i="11"/>
  <c r="I92" i="11"/>
  <c r="I91" i="11"/>
  <c r="I90" i="11"/>
  <c r="I89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4" i="11"/>
  <c r="J43" i="11"/>
  <c r="J42" i="11"/>
  <c r="J41" i="11"/>
  <c r="J40" i="11"/>
  <c r="J39" i="11"/>
  <c r="J38" i="11"/>
  <c r="I61" i="11"/>
  <c r="I60" i="11"/>
  <c r="I59" i="11"/>
  <c r="I58" i="11"/>
  <c r="I57" i="11"/>
  <c r="I56" i="11"/>
  <c r="J61" i="11"/>
  <c r="J60" i="11"/>
  <c r="J59" i="11"/>
  <c r="J58" i="11"/>
  <c r="J57" i="11"/>
  <c r="J56" i="11"/>
  <c r="J55" i="11"/>
  <c r="K94" i="11" l="1"/>
  <c r="K95" i="11"/>
  <c r="J96" i="11"/>
  <c r="K90" i="11"/>
  <c r="K92" i="11"/>
  <c r="K93" i="11"/>
  <c r="K91" i="11"/>
  <c r="I96" i="11"/>
  <c r="K89" i="11"/>
  <c r="I18" i="11"/>
  <c r="L18" i="11"/>
  <c r="F18" i="11"/>
  <c r="J45" i="11"/>
  <c r="K56" i="11"/>
  <c r="K57" i="11"/>
  <c r="K58" i="11"/>
  <c r="K59" i="11"/>
  <c r="K60" i="11"/>
  <c r="K61" i="11"/>
  <c r="J62" i="11"/>
  <c r="I44" i="11" l="1"/>
  <c r="K44" i="11" s="1"/>
  <c r="I55" i="11"/>
  <c r="I43" i="11"/>
  <c r="K43" i="11" s="1"/>
  <c r="I42" i="11"/>
  <c r="K42" i="11" s="1"/>
  <c r="I41" i="11"/>
  <c r="K41" i="11" s="1"/>
  <c r="I40" i="11"/>
  <c r="K40" i="11" s="1"/>
  <c r="I39" i="11"/>
  <c r="K39" i="11" s="1"/>
  <c r="I38" i="11"/>
  <c r="K38" i="11" s="1"/>
  <c r="K55" i="11" l="1"/>
  <c r="I62" i="11"/>
  <c r="I45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<sst xmlns="http://schemas.openxmlformats.org/spreadsheetml/2006/main" count="3380" uniqueCount="390">
  <si>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</si>
  <si>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</si>
  <si>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</si>
  <si>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</si>
  <si>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</si>
  <si>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</si>
  <si>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</si>
  <si>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</si>
  <si>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</si>
  <si>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</si>
  <si>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</si>
  <si>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</si>
  <si>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</si>
  <si>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</si>
  <si>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</si>
  <si>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</si>
  <si>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</si>
  <si>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</si>
  <si>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</si>
  <si>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</si>
  <si>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</si>
  <si>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</si>
  <si>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</si>
  <si>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</si>
  <si>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</si>
  <si>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</si>
  <si>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</si>
  <si>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</si>
  <si>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</si>
  <si>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</si>
  <si>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</si>
  <si>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</si>
  <si>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</si>
  <si>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</si>
  <si>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</si>
  <si>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</si>
  <si>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</si>
  <si>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</si>
  <si>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</si>
  <si>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</si>
  <si>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</si>
  <si>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</si>
  <si>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</si>
  <si>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</si>
  <si>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</si>
  <si>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</si>
  <si>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</si>
  <si>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</si>
  <si>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</si>
  <si>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</si>
  <si>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</si>
  <si>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</si>
  <si>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</si>
  <si>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</si>
  <si>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</si>
  <si>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</si>
  <si>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</si>
  <si>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</si>
  <si>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</si>
  <si>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</si>
  <si>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</si>
  <si>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</si>
  <si>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</si>
  <si>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</si>
  <si>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</si>
  <si>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</si>
  <si>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</si>
  <si>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</si>
  <si>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</si>
  <si>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</si>
  <si>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</si>
  <si>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</si>
  <si>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</si>
  <si>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</si>
  <si>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</si>
  <si>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</si>
  <si>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</si>
  <si>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</si>
  <si>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</si>
  <si>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</si>
  <si>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</si>
  <si>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</si>
  <si>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</si>
  <si>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</si>
  <si>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</si>
  <si>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</si>
  <si>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</si>
  <si>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</si>
  <si>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</si>
  <si>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</si>
  <si>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</si>
  <si>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</si>
  <si>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</si>
  <si>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</si>
  <si>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</si>
  <si>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</si>
  <si>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</si>
  <si>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</si>
  <si>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</si>
  <si>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</si>
  <si>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</si>
  <si>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</si>
  <si>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</si>
  <si>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</si>
  <si>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</si>
  <si>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</si>
  <si>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</si>
  <si>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</si>
  <si>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</si>
  <si>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</si>
  <si>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</si>
  <si>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</si>
  <si>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</si>
  <si>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</si>
  <si>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</si>
  <si>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</si>
  <si>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</si>
  <si>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</si>
  <si>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</si>
  <si>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</si>
  <si>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</si>
  <si>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</si>
  <si>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</si>
  <si>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</si>
  <si>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</si>
  <si>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</si>
  <si>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</si>
  <si>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</si>
  <si>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</si>
  <si>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</si>
  <si>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</si>
  <si>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</si>
  <si>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</si>
  <si>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</si>
  <si>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</si>
  <si>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</si>
  <si>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</si>
  <si>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</si>
  <si>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</si>
  <si>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</si>
  <si>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</si>
  <si>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</si>
  <si>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</si>
  <si>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</si>
  <si>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</si>
  <si>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</si>
  <si>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</si>
  <si>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</si>
  <si>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</si>
  <si>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</si>
  <si>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</si>
  <si>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</si>
  <si>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</si>
  <si>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</si>
  <si>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</si>
  <si>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</si>
  <si>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</si>
  <si>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</si>
  <si>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</si>
  <si>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</si>
  <si>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</si>
  <si>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</si>
  <si>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</si>
  <si>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</si>
  <si>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</si>
  <si>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</si>
  <si>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</si>
  <si>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</si>
  <si>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</si>
  <si>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</si>
  <si>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</si>
  <si>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</si>
  <si>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</si>
  <si>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</si>
  <si>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</si>
  <si>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</si>
  <si>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</si>
  <si>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</si>
  <si>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</si>
  <si>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</si>
  <si>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</si>
  <si>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</si>
  <si>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</si>
  <si>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</si>
  <si>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</si>
  <si>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</si>
  <si>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</si>
  <si>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</si>
  <si>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</si>
  <si>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</si>
  <si>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</si>
  <si>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</si>
  <si>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</si>
  <si>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</si>
  <si>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</si>
  <si>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</si>
  <si>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</si>
  <si>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</si>
  <si>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</si>
  <si>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</si>
  <si>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</si>
  <si>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</si>
  <si>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</si>
  <si>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</si>
  <si>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</si>
  <si>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</si>
  <si>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</si>
  <si>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</si>
  <si>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</si>
  <si>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</si>
  <si>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</si>
  <si>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</si>
  <si>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</si>
  <si>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</si>
  <si>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</si>
  <si>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</si>
  <si>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</si>
  <si>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</si>
  <si>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</si>
  <si>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</si>
  <si>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</si>
  <si>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</si>
  <si>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</si>
  <si>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</si>
  <si>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</si>
  <si>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</si>
  <si>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</si>
  <si>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</si>
  <si>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</si>
  <si>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</si>
  <si>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</si>
  <si>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</si>
  <si>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</si>
  <si>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</si>
  <si>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</si>
  <si>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</si>
  <si>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</si>
  <si>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</si>
  <si>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</si>
  <si>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</si>
  <si>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</si>
  <si>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</si>
  <si>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</si>
  <si>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</si>
  <si>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</si>
  <si>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</si>
  <si>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</si>
  <si>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</si>
  <si>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</si>
  <si>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</si>
  <si>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</si>
  <si>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</si>
  <si>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</si>
  <si>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</si>
  <si>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</si>
  <si>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</si>
  <si>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</si>
  <si>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</si>
  <si>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</si>
  <si>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</si>
  <si>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</si>
  <si>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</si>
  <si>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</si>
  <si>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</si>
  <si>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</si>
  <si>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</si>
  <si>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</si>
  <si>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</si>
  <si>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</si>
  <si>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</si>
  <si>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</si>
  <si>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</si>
  <si>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</si>
  <si>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</si>
  <si>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</si>
  <si>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</si>
  <si>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</si>
  <si>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</si>
  <si>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</si>
  <si>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</si>
  <si>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</si>
  <si>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</si>
  <si>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</si>
  <si>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</si>
  <si>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</si>
  <si>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</si>
  <si>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</si>
  <si>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</si>
  <si>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</si>
  <si>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</si>
  <si>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t>Entregas Semana Seguinte</t>
  </si>
  <si>
    <t>TBD</t>
  </si>
  <si>
    <t>Tema</t>
  </si>
  <si>
    <t>Descritivo</t>
  </si>
  <si>
    <t>Done</t>
  </si>
  <si>
    <t>Resumo das entregas da equipa de IT</t>
  </si>
  <si>
    <t>por iniciar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</si>
  <si>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</si>
  <si>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</si>
  <si>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</si>
  <si>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</si>
  <si>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</si>
  <si>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</si>
  <si>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</si>
  <si>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</si>
  <si>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</si>
  <si>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</si>
  <si>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</si>
  <si>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</si>
  <si>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</si>
  <si>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</si>
  <si>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</si>
  <si>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</si>
  <si>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</si>
  <si>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</si>
  <si>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</si>
  <si>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</si>
  <si>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</si>
  <si>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</si>
  <si>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</si>
  <si>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</si>
  <si>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</si>
  <si>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</si>
  <si>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</si>
  <si>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</si>
  <si>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</si>
  <si>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</si>
  <si>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</si>
  <si>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</si>
  <si>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</si>
  <si>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</si>
  <si>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</si>
  <si>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</si>
  <si>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</si>
  <si>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</si>
  <si>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</si>
  <si>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</si>
  <si>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</si>
  <si>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</si>
  <si>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</si>
  <si>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</si>
  <si>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</si>
  <si>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</si>
  <si>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</si>
  <si>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</si>
  <si>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</si>
  <si>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</si>
  <si>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</si>
  <si>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</si>
  <si>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</si>
  <si>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</si>
  <si>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</si>
  <si>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</si>
  <si>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</si>
  <si>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</si>
  <si>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</si>
  <si>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</si>
  <si>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</si>
  <si>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</si>
  <si>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</si>
  <si>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</si>
  <si>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</si>
  <si>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</si>
  <si>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</si>
  <si>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</si>
  <si>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</si>
  <si>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</si>
  <si>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</si>
  <si>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</si>
  <si>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</si>
  <si>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</si>
  <si>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</si>
  <si>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</si>
  <si>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Por inicial</t>
  </si>
  <si>
    <t>ver especificação com o Diogo</t>
  </si>
  <si>
    <t>Ok, para o universo comum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</si>
  <si>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5/mai, 12/mai e 19/maio, 22/maio e 29/maio</t>
    </r>
  </si>
  <si>
    <t>Sumário Executivo | 29/mai a 05/jun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</si>
  <si>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Todos os campos foram entregues.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• Validação do Univero da </t>
    </r>
    <r>
      <rPr>
        <i/>
        <sz val="10"/>
        <rFont val="Arial"/>
        <family val="2"/>
      </rPr>
      <t>lt002_instrument</t>
    </r>
    <r>
      <rPr>
        <sz val="10"/>
        <rFont val="Arial"/>
        <family val="2"/>
      </rPr>
      <t xml:space="preserve">
    • Validação dos campos da</t>
    </r>
    <r>
      <rPr>
        <i/>
        <sz val="10"/>
        <rFont val="Arial"/>
        <family val="2"/>
      </rPr>
      <t xml:space="preserve"> lt002_instrument
    • </t>
    </r>
    <r>
      <rPr>
        <sz val="10"/>
        <rFont val="Arial"/>
        <family val="2"/>
      </rPr>
      <t xml:space="preserve">Revalidação da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 após incidência detetada na semana passada</t>
    </r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</si>
  <si>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</si>
  <si>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</si>
  <si>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esta foi testada por completo, novamente, esta semana, uma vez que na semana anterior a tabela teve de ser, novamente, gerada pela equipa de IT na sua totalidade.
Encontra-se em 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o </t>
    </r>
    <r>
      <rPr>
        <i/>
        <sz val="10"/>
        <rFont val="Arial"/>
        <family val="2"/>
      </rPr>
      <t>flg_elctrc_vhcl.</t>
    </r>
  </si>
  <si>
    <t>Relativamente à tabela lt006_protection, foram testados todos os campos referentes ao âmbito GD VS Pilar3. Falta agora finalizar o teste da tabela vs a tabela simulada da equipa de testes.</t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</si>
  <si>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</si>
  <si>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</si>
  <si>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</si>
  <si>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</si>
  <si>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</si>
  <si>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</si>
  <si>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r>
      <t xml:space="preserve">Face à semana anterior, </t>
    </r>
    <r>
      <rPr>
        <u/>
        <sz val="10"/>
        <rFont val="Arial"/>
        <family val="2"/>
      </rPr>
      <t>foram entreges para testes mais 8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
    • Universo e construção do </t>
    </r>
    <r>
      <rPr>
        <i/>
        <sz val="10"/>
        <rFont val="Arial"/>
        <family val="2"/>
      </rPr>
      <t xml:space="preserve">instrmnt_id </t>
    </r>
    <r>
      <rPr>
        <sz val="10"/>
        <rFont val="Arial"/>
        <family val="2"/>
      </rPr>
      <t>e</t>
    </r>
    <r>
      <rPr>
        <i/>
        <sz val="10"/>
        <rFont val="Arial"/>
        <family val="2"/>
      </rPr>
      <t xml:space="preserve"> lcl_instrmnt_id</t>
    </r>
    <r>
      <rPr>
        <sz val="10"/>
        <rFont val="Arial"/>
        <family val="2"/>
      </rPr>
      <t xml:space="preserve">
    • Campo </t>
    </r>
    <r>
      <rPr>
        <i/>
        <sz val="10"/>
        <rFont val="Arial"/>
        <family val="2"/>
      </rPr>
      <t>nw_bsnss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 xml:space="preserve">bsnss_area
</t>
    </r>
    <r>
      <rPr>
        <sz val="10"/>
        <rFont val="Arial"/>
        <family val="2"/>
      </rPr>
      <t xml:space="preserve">    • Campos comuns com PM
Até ao final do dia de 06/06 será enviado um email formal com as novas incidências detetadas.
Salienta-se que no dia 26/mai foi enviada uma nova especificação à equipa de IT, a qual tem impacto nos 14 campos classificados como '4. Em Correção'.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</si>
</sst>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rgb="FF00B050"/>
      <name val="Arial"/>
    </font>
    <font>
      <sz val="10"/>
      <color theme="5"/>
      <name val="Arial"/>
    </font>
    <font>
      <sz val="10"/>
      <color theme="0" tint="-0.499984740745262"/>
      <name val="Arial"/>
    </font>
    <font>
      <b/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0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9" fillId="0" borderId="0" xfId="0" applyNumberFormat="1" applyFont="1" applyAlignment="1">
      <alignment horizontal="right" vertical="center"/>
    </xf>
    <xf numFmtId="16" fontId="40" fillId="0" borderId="1" xfId="0" applyNumberFormat="1" applyFont="1" applyBorder="1"/>
    <xf numFmtId="16" fontId="40" fillId="0" borderId="1" xfId="0" applyNumberFormat="1" applyFont="1" applyBorder="1" applyAlignment="1">
      <alignment horizontal="right" vertical="center"/>
    </xf>
    <xf numFmtId="16" fontId="40" fillId="0" borderId="2" xfId="0" applyNumberFormat="1" applyFont="1" applyBorder="1" applyAlignment="1">
      <alignment horizontal="right" vertical="center"/>
    </xf>
    <xf numFmtId="0" fontId="40" fillId="0" borderId="0" xfId="0" applyFont="1"/>
    <xf numFmtId="3" fontId="40" fillId="0" borderId="1" xfId="0" applyNumberFormat="1" applyFont="1" applyBorder="1"/>
    <xf numFmtId="0" fontId="40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3" fontId="3" fillId="16" borderId="2" xfId="0" applyNumberFormat="1" applyFont="1" applyFill="1" applyBorder="1"/>
    <xf numFmtId="0" fontId="18" fillId="3" borderId="51" xfId="0" applyFont="1" applyFill="1" applyBorder="1" applyAlignment="1">
      <alignment vertical="center" wrapText="1"/>
    </xf>
    <xf numFmtId="0" fontId="41" fillId="18" borderId="49" xfId="0" applyFont="1" applyFill="1" applyBorder="1" applyAlignment="1">
      <alignment horizontal="center" vertical="center" wrapText="1"/>
    </xf>
    <xf numFmtId="0" fontId="42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4" fillId="17" borderId="49" xfId="0" applyFont="1" applyFill="1" applyBorder="1" applyAlignment="1">
      <alignment horizontal="center" vertical="center" wrapText="1"/>
    </xf>
    <xf numFmtId="0" fontId="45" fillId="18" borderId="49" xfId="0" applyFont="1" applyFill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7" fillId="0" borderId="0" xfId="0" applyFont="1"/>
    <xf numFmtId="0" fontId="18" fillId="0" borderId="61" xfId="0" applyFont="1" applyBorder="1" applyAlignment="1">
      <alignment horizontal="left" vertical="center" wrapText="1"/>
    </xf>
    <xf numFmtId="0" fontId="5" fillId="19" borderId="49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49" xfId="0" applyFont="1" applyBorder="1" applyAlignment="1">
      <alignment horizontal="left" vertical="center" wrapText="1" indent="1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3" fillId="3" borderId="49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NumberFormat="1"/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084"/>
      <color rgb="FF62B967"/>
      <color rgb="FFFFDDDD"/>
      <color rgb="FFE6AC00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4. Em Correção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1062408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50</xdr:row>
      <xdr:rowOff>0</xdr:rowOff>
    </xdr:from>
    <xdr:to>
      <xdr:col>6</xdr:col>
      <xdr:colOff>542925</xdr:colOff>
      <xdr:row>50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35</xdr:row>
      <xdr:rowOff>169070</xdr:rowOff>
    </xdr:from>
    <xdr:to>
      <xdr:col>5</xdr:col>
      <xdr:colOff>0</xdr:colOff>
      <xdr:row>45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52</xdr:row>
      <xdr:rowOff>186690</xdr:rowOff>
    </xdr:from>
    <xdr:to>
      <xdr:col>5</xdr:col>
      <xdr:colOff>0</xdr:colOff>
      <xdr:row>62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37</xdr:row>
      <xdr:rowOff>60413</xdr:rowOff>
    </xdr:from>
    <xdr:to>
      <xdr:col>5</xdr:col>
      <xdr:colOff>627722</xdr:colOff>
      <xdr:row>43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399038" y="6315163"/>
          <a:ext cx="112767" cy="14426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54</xdr:row>
      <xdr:rowOff>59690</xdr:rowOff>
    </xdr:from>
    <xdr:to>
      <xdr:col>5</xdr:col>
      <xdr:colOff>627722</xdr:colOff>
      <xdr:row>60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399038" y="9923357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88</xdr:row>
      <xdr:rowOff>55880</xdr:rowOff>
    </xdr:from>
    <xdr:to>
      <xdr:col>5</xdr:col>
      <xdr:colOff>631532</xdr:colOff>
      <xdr:row>95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395228" y="17137380"/>
          <a:ext cx="120387" cy="150130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87</xdr:row>
      <xdr:rowOff>22225</xdr:rowOff>
    </xdr:from>
    <xdr:to>
      <xdr:col>5</xdr:col>
      <xdr:colOff>71978</xdr:colOff>
      <xdr:row>97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71</xdr:row>
      <xdr:rowOff>55880</xdr:rowOff>
    </xdr:from>
    <xdr:to>
      <xdr:col>5</xdr:col>
      <xdr:colOff>631532</xdr:colOff>
      <xdr:row>78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395228" y="13528463"/>
          <a:ext cx="120387" cy="150130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69</xdr:row>
      <xdr:rowOff>149227</xdr:rowOff>
    </xdr:from>
    <xdr:to>
      <xdr:col>5</xdr:col>
      <xdr:colOff>531</xdr:colOff>
      <xdr:row>79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Manuel André Gomes" refreshedDate="45813.548087615738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2. Em Teste"/>
        <s v="4. Em Correção"/>
        <s v="6. Por Iniciar"/>
        <s v="1. Concluído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0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1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1"/>
  </r>
  <r>
    <x v="0"/>
    <x v="16"/>
    <x v="3"/>
  </r>
  <r>
    <x v="0"/>
    <x v="17"/>
    <x v="1"/>
  </r>
  <r>
    <x v="0"/>
    <x v="18"/>
    <x v="1"/>
  </r>
  <r>
    <x v="0"/>
    <x v="19"/>
    <x v="2"/>
  </r>
  <r>
    <x v="0"/>
    <x v="20"/>
    <x v="1"/>
  </r>
  <r>
    <x v="0"/>
    <x v="21"/>
    <x v="1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1"/>
  </r>
  <r>
    <x v="0"/>
    <x v="31"/>
    <x v="1"/>
  </r>
  <r>
    <x v="0"/>
    <x v="32"/>
    <x v="2"/>
  </r>
  <r>
    <x v="0"/>
    <x v="33"/>
    <x v="0"/>
  </r>
  <r>
    <x v="0"/>
    <x v="34"/>
    <x v="2"/>
  </r>
  <r>
    <x v="0"/>
    <x v="35"/>
    <x v="3"/>
  </r>
  <r>
    <x v="0"/>
    <x v="36"/>
    <x v="2"/>
  </r>
  <r>
    <x v="0"/>
    <x v="37"/>
    <x v="1"/>
  </r>
  <r>
    <x v="0"/>
    <x v="38"/>
    <x v="1"/>
  </r>
  <r>
    <x v="0"/>
    <x v="39"/>
    <x v="2"/>
  </r>
  <r>
    <x v="0"/>
    <x v="40"/>
    <x v="1"/>
  </r>
  <r>
    <x v="0"/>
    <x v="41"/>
    <x v="1"/>
  </r>
  <r>
    <x v="0"/>
    <x v="42"/>
    <x v="2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2"/>
  </r>
  <r>
    <x v="0"/>
    <x v="48"/>
    <x v="3"/>
  </r>
  <r>
    <x v="0"/>
    <x v="49"/>
    <x v="2"/>
  </r>
  <r>
    <x v="0"/>
    <x v="50"/>
    <x v="1"/>
  </r>
  <r>
    <x v="0"/>
    <x v="51"/>
    <x v="3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0"/>
  </r>
  <r>
    <x v="1"/>
    <x v="55"/>
    <x v="3"/>
  </r>
  <r>
    <x v="1"/>
    <x v="56"/>
    <x v="0"/>
  </r>
  <r>
    <x v="2"/>
    <x v="0"/>
    <x v="0"/>
  </r>
  <r>
    <x v="2"/>
    <x v="33"/>
    <x v="3"/>
  </r>
  <r>
    <x v="2"/>
    <x v="35"/>
    <x v="3"/>
  </r>
  <r>
    <x v="2"/>
    <x v="51"/>
    <x v="0"/>
  </r>
  <r>
    <x v="2"/>
    <x v="52"/>
    <x v="0"/>
  </r>
  <r>
    <x v="2"/>
    <x v="57"/>
    <x v="0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7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05"/>
  <sheetViews>
    <sheetView showGridLines="0" tabSelected="1" zoomScale="90" zoomScaleNormal="90" workbookViewId="0"/>
  </sheetViews>
  <sheetFormatPr defaultColWidth="0" defaultRowHeight="14.25" zeroHeight="1"/>
  <cols>
    <col min="1" max="2" width="4" style="135" customWidth="1"/>
    <col min="3" max="3" width="26.85546875" style="135" customWidth="1"/>
    <col min="4" max="12" width="11.7109375" style="135" customWidth="1"/>
    <col min="13" max="16" width="13.28515625" style="135" customWidth="1"/>
    <col min="17" max="17" width="15" style="135" customWidth="1"/>
    <col min="18" max="18" width="13.28515625" style="135" customWidth="1"/>
    <col min="19" max="20" width="4" style="135" customWidth="1"/>
    <col min="21" max="27" width="4" style="135" hidden="1" customWidth="1"/>
    <col min="28" max="16384" width="9.5703125" style="135" hidden="1"/>
  </cols>
  <sheetData>
    <row r="1" spans="1:50" ht="16.149999999999999" customHeight="1"/>
    <row r="2" spans="1:50" ht="16.149999999999999" customHeight="1"/>
    <row r="3" spans="1:50" ht="16.149999999999999" customHeight="1"/>
    <row r="4" spans="1:50" ht="16.149999999999999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 ht="15">
      <c r="B7" s="154" t="s">
        <v>377</v>
      </c>
    </row>
    <row r="8" spans="1:50" ht="6.95" customHeight="1"/>
    <row r="9" spans="1:50" ht="13.9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" customHeight="1">
      <c r="B10" s="182"/>
      <c r="C10" s="188" t="s">
        <v>295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91" t="s">
        <v>268</v>
      </c>
      <c r="O10" s="177"/>
      <c r="P10" s="177"/>
      <c r="Q10" s="177"/>
      <c r="R10" s="177"/>
      <c r="S10" s="178"/>
    </row>
    <row r="11" spans="1:50" ht="7.15" customHeight="1">
      <c r="B11" s="18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91"/>
      <c r="O11" s="177"/>
      <c r="P11" s="177"/>
      <c r="Q11" s="177"/>
      <c r="R11" s="177"/>
      <c r="S11" s="178"/>
    </row>
    <row r="12" spans="1:50">
      <c r="B12" s="176"/>
      <c r="C12" s="177"/>
      <c r="D12" s="233" t="s">
        <v>289</v>
      </c>
      <c r="E12" s="233"/>
      <c r="F12" s="233"/>
      <c r="G12" s="234" t="s">
        <v>288</v>
      </c>
      <c r="H12" s="234"/>
      <c r="I12" s="234"/>
      <c r="J12" s="234" t="s">
        <v>290</v>
      </c>
      <c r="K12" s="234"/>
      <c r="L12" s="234"/>
      <c r="M12" s="177"/>
      <c r="N12" s="244" t="s">
        <v>378</v>
      </c>
      <c r="O12" s="244"/>
      <c r="P12" s="244"/>
      <c r="Q12" s="244"/>
      <c r="R12" s="244"/>
      <c r="S12" s="178"/>
    </row>
    <row r="13" spans="1:50">
      <c r="B13" s="176"/>
      <c r="C13" s="183" t="s">
        <v>80</v>
      </c>
      <c r="D13" s="187" t="s">
        <v>287</v>
      </c>
      <c r="E13" s="187" t="s">
        <v>248</v>
      </c>
      <c r="F13" s="187" t="s">
        <v>286</v>
      </c>
      <c r="G13" s="186" t="s">
        <v>287</v>
      </c>
      <c r="H13" s="186" t="s">
        <v>248</v>
      </c>
      <c r="I13" s="186" t="s">
        <v>286</v>
      </c>
      <c r="J13" s="186" t="s">
        <v>287</v>
      </c>
      <c r="K13" s="186" t="s">
        <v>248</v>
      </c>
      <c r="L13" s="186" t="s">
        <v>286</v>
      </c>
      <c r="M13" s="177"/>
      <c r="N13" s="244"/>
      <c r="O13" s="244"/>
      <c r="P13" s="244"/>
      <c r="Q13" s="244"/>
      <c r="R13" s="244"/>
      <c r="S13" s="178"/>
    </row>
    <row r="14" spans="1:50">
      <c r="B14" s="176"/>
      <c r="C14" s="184" t="s">
        <v>1</v>
      </c>
      <c r="D14" s="189">
        <v>43</v>
      </c>
      <c r="E14" s="189">
        <v>43</v>
      </c>
      <c r="F14" s="189">
        <f>E14-D14</f>
        <v>0</v>
      </c>
      <c r="G14" s="189">
        <v>8</v>
      </c>
      <c r="H14" s="189">
        <v>8</v>
      </c>
      <c r="I14" s="189">
        <f t="shared" ref="I14:I17" si="0">H14-G14</f>
        <v>0</v>
      </c>
      <c r="J14" s="189">
        <v>0</v>
      </c>
      <c r="K14" s="189" t="s">
        <v>291</v>
      </c>
      <c r="L14" s="189" t="s">
        <v>291</v>
      </c>
      <c r="M14" s="177"/>
      <c r="N14" s="244"/>
      <c r="O14" s="244"/>
      <c r="P14" s="244"/>
      <c r="Q14" s="244"/>
      <c r="R14" s="244"/>
      <c r="S14" s="178"/>
    </row>
    <row r="15" spans="1:50">
      <c r="B15" s="176"/>
      <c r="C15" s="184" t="s">
        <v>55</v>
      </c>
      <c r="D15" s="189">
        <v>7</v>
      </c>
      <c r="E15" s="189">
        <v>6</v>
      </c>
      <c r="F15" s="189">
        <f>E15-D15</f>
        <v>-1</v>
      </c>
      <c r="G15" s="189">
        <v>0</v>
      </c>
      <c r="H15" s="189">
        <v>1</v>
      </c>
      <c r="I15" s="189">
        <f t="shared" si="0"/>
        <v>1</v>
      </c>
      <c r="J15" s="189">
        <v>0</v>
      </c>
      <c r="K15" s="189" t="s">
        <v>291</v>
      </c>
      <c r="L15" s="189" t="s">
        <v>291</v>
      </c>
      <c r="M15" s="177"/>
      <c r="N15" s="244"/>
      <c r="O15" s="244"/>
      <c r="P15" s="244"/>
      <c r="Q15" s="244"/>
      <c r="R15" s="244"/>
      <c r="S15" s="178"/>
    </row>
    <row r="16" spans="1:50">
      <c r="B16" s="176"/>
      <c r="C16" s="184" t="s">
        <v>61</v>
      </c>
      <c r="D16" s="189">
        <v>5</v>
      </c>
      <c r="E16" s="189">
        <v>5</v>
      </c>
      <c r="F16" s="189">
        <f>E16-D16</f>
        <v>0</v>
      </c>
      <c r="G16" s="189">
        <v>0</v>
      </c>
      <c r="H16" s="189">
        <v>0</v>
      </c>
      <c r="I16" s="189">
        <f t="shared" si="0"/>
        <v>0</v>
      </c>
      <c r="J16" s="189">
        <v>0</v>
      </c>
      <c r="K16" s="189" t="s">
        <v>291</v>
      </c>
      <c r="L16" s="189" t="s">
        <v>291</v>
      </c>
      <c r="M16" s="177"/>
      <c r="N16" s="244"/>
      <c r="O16" s="244"/>
      <c r="P16" s="244"/>
      <c r="Q16" s="244"/>
      <c r="R16" s="244"/>
      <c r="S16" s="178"/>
    </row>
    <row r="17" spans="2:19">
      <c r="B17" s="176"/>
      <c r="C17" s="184" t="s">
        <v>63</v>
      </c>
      <c r="D17" s="189">
        <v>6</v>
      </c>
      <c r="E17" s="189">
        <v>6</v>
      </c>
      <c r="F17" s="189">
        <f>E17-D17</f>
        <v>0</v>
      </c>
      <c r="G17" s="189">
        <v>0</v>
      </c>
      <c r="H17" s="189">
        <v>0</v>
      </c>
      <c r="I17" s="189">
        <f t="shared" si="0"/>
        <v>0</v>
      </c>
      <c r="J17" s="189">
        <v>0</v>
      </c>
      <c r="K17" s="189" t="s">
        <v>291</v>
      </c>
      <c r="L17" s="189" t="s">
        <v>291</v>
      </c>
      <c r="M17" s="177"/>
      <c r="N17" s="244"/>
      <c r="O17" s="244"/>
      <c r="P17" s="244"/>
      <c r="Q17" s="244"/>
      <c r="R17" s="244"/>
      <c r="S17" s="178"/>
    </row>
    <row r="18" spans="2:19">
      <c r="B18" s="176"/>
      <c r="C18" s="185" t="s">
        <v>269</v>
      </c>
      <c r="D18" s="187">
        <f>SUM(D14:D17)</f>
        <v>61</v>
      </c>
      <c r="E18" s="187">
        <f t="shared" ref="E18:I18" si="1">SUM(E14:E17)</f>
        <v>60</v>
      </c>
      <c r="F18" s="187">
        <f t="shared" si="1"/>
        <v>-1</v>
      </c>
      <c r="G18" s="187">
        <f t="shared" si="1"/>
        <v>8</v>
      </c>
      <c r="H18" s="187">
        <f t="shared" si="1"/>
        <v>9</v>
      </c>
      <c r="I18" s="187">
        <f t="shared" si="1"/>
        <v>1</v>
      </c>
      <c r="J18" s="187">
        <f t="shared" ref="J18" si="2">SUM(J14:J17)</f>
        <v>0</v>
      </c>
      <c r="K18" s="187">
        <f t="shared" ref="K18" si="3">SUM(K14:K17)</f>
        <v>0</v>
      </c>
      <c r="L18" s="187">
        <f t="shared" ref="L18" si="4">SUM(L14:L17)</f>
        <v>0</v>
      </c>
      <c r="M18" s="177"/>
      <c r="N18" s="244"/>
      <c r="O18" s="244"/>
      <c r="P18" s="244"/>
      <c r="Q18" s="244"/>
      <c r="R18" s="244"/>
      <c r="S18" s="178"/>
    </row>
    <row r="19" spans="2:19" ht="7.15" customHeight="1">
      <c r="B19" s="176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244"/>
      <c r="O19" s="244"/>
      <c r="P19" s="244"/>
      <c r="Q19" s="244"/>
      <c r="R19" s="244"/>
      <c r="S19" s="178"/>
    </row>
    <row r="20" spans="2:19">
      <c r="B20" s="176"/>
      <c r="C20" s="190" t="s">
        <v>376</v>
      </c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244"/>
      <c r="O20" s="244"/>
      <c r="P20" s="244"/>
      <c r="Q20" s="244"/>
      <c r="R20" s="244"/>
      <c r="S20" s="178"/>
    </row>
    <row r="21" spans="2:19">
      <c r="B21" s="176"/>
      <c r="C21" s="190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204"/>
      <c r="S21" s="178"/>
    </row>
    <row r="22" spans="2:19">
      <c r="B22" s="176"/>
      <c r="C22" s="188" t="s">
        <v>310</v>
      </c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8"/>
    </row>
    <row r="23" spans="2:19" ht="7.15" customHeight="1">
      <c r="B23" s="176"/>
      <c r="C23" s="188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8"/>
    </row>
    <row r="24" spans="2:19" ht="13.9" customHeight="1">
      <c r="B24" s="176"/>
      <c r="C24" s="183" t="s">
        <v>80</v>
      </c>
      <c r="D24" s="245" t="s">
        <v>292</v>
      </c>
      <c r="E24" s="245"/>
      <c r="F24" s="245"/>
      <c r="G24" s="245" t="s">
        <v>293</v>
      </c>
      <c r="H24" s="245"/>
      <c r="I24" s="245"/>
      <c r="J24" s="245"/>
      <c r="K24" s="245"/>
      <c r="L24" s="245"/>
      <c r="M24" s="245"/>
      <c r="N24" s="245"/>
      <c r="O24" s="245"/>
      <c r="P24" s="245"/>
      <c r="Q24" s="192" t="s">
        <v>317</v>
      </c>
      <c r="R24" s="192" t="s">
        <v>318</v>
      </c>
      <c r="S24" s="178"/>
    </row>
    <row r="25" spans="2:19" ht="15" customHeight="1">
      <c r="B25" s="176"/>
      <c r="C25" s="206" t="s">
        <v>1</v>
      </c>
      <c r="D25" s="232" t="s">
        <v>314</v>
      </c>
      <c r="E25" s="232"/>
      <c r="F25" s="232"/>
      <c r="G25" s="232" t="s">
        <v>347</v>
      </c>
      <c r="H25" s="232"/>
      <c r="I25" s="232"/>
      <c r="J25" s="232"/>
      <c r="K25" s="232"/>
      <c r="L25" s="232"/>
      <c r="M25" s="232"/>
      <c r="N25" s="232"/>
      <c r="O25" s="232"/>
      <c r="P25" s="232"/>
      <c r="Q25" s="222" t="s">
        <v>315</v>
      </c>
      <c r="R25" s="223" t="s">
        <v>319</v>
      </c>
      <c r="S25" s="178"/>
    </row>
    <row r="26" spans="2:19">
      <c r="B26" s="176"/>
      <c r="C26" s="206" t="s">
        <v>1</v>
      </c>
      <c r="D26" s="232" t="s">
        <v>311</v>
      </c>
      <c r="E26" s="232"/>
      <c r="F26" s="232"/>
      <c r="G26" s="232" t="s">
        <v>349</v>
      </c>
      <c r="H26" s="232"/>
      <c r="I26" s="232"/>
      <c r="J26" s="232"/>
      <c r="K26" s="232"/>
      <c r="L26" s="232"/>
      <c r="M26" s="232"/>
      <c r="N26" s="232"/>
      <c r="O26" s="232"/>
      <c r="P26" s="232"/>
      <c r="Q26" s="193" t="s">
        <v>348</v>
      </c>
      <c r="R26" s="205" t="s">
        <v>316</v>
      </c>
      <c r="S26" s="178"/>
    </row>
    <row r="27" spans="2:19">
      <c r="B27" s="176"/>
      <c r="C27" s="206" t="s">
        <v>1</v>
      </c>
      <c r="D27" s="232" t="s">
        <v>312</v>
      </c>
      <c r="E27" s="232"/>
      <c r="F27" s="232"/>
      <c r="G27" s="232" t="s">
        <v>384</v>
      </c>
      <c r="H27" s="232"/>
      <c r="I27" s="232"/>
      <c r="J27" s="232"/>
      <c r="K27" s="232"/>
      <c r="L27" s="232"/>
      <c r="M27" s="232"/>
      <c r="N27" s="232"/>
      <c r="O27" s="232"/>
      <c r="P27" s="232"/>
      <c r="Q27" s="221" t="s">
        <v>294</v>
      </c>
      <c r="R27" s="193" t="s">
        <v>294</v>
      </c>
      <c r="S27" s="178"/>
    </row>
    <row r="28" spans="2:19" ht="14.25" customHeight="1">
      <c r="B28" s="176"/>
      <c r="C28" s="206" t="s">
        <v>1</v>
      </c>
      <c r="D28" s="246" t="s">
        <v>385</v>
      </c>
      <c r="E28" s="246"/>
      <c r="F28" s="246"/>
      <c r="G28" s="232" t="s">
        <v>383</v>
      </c>
      <c r="H28" s="232"/>
      <c r="I28" s="232"/>
      <c r="J28" s="232"/>
      <c r="K28" s="232"/>
      <c r="L28" s="232"/>
      <c r="M28" s="232"/>
      <c r="N28" s="232"/>
      <c r="O28" s="232"/>
      <c r="P28" s="232"/>
      <c r="Q28" s="193" t="s">
        <v>313</v>
      </c>
      <c r="R28" s="205" t="s">
        <v>316</v>
      </c>
      <c r="S28" s="178"/>
    </row>
    <row r="29" spans="2:19" ht="14.25" customHeight="1">
      <c r="B29" s="176"/>
      <c r="C29" s="206" t="s">
        <v>1</v>
      </c>
      <c r="D29" s="232" t="s">
        <v>379</v>
      </c>
      <c r="E29" s="232"/>
      <c r="F29" s="232"/>
      <c r="G29" s="232" t="s">
        <v>387</v>
      </c>
      <c r="H29" s="232"/>
      <c r="I29" s="232"/>
      <c r="J29" s="232"/>
      <c r="K29" s="232"/>
      <c r="L29" s="232"/>
      <c r="M29" s="232"/>
      <c r="N29" s="232"/>
      <c r="O29" s="232"/>
      <c r="P29" s="232"/>
      <c r="Q29" s="193" t="s">
        <v>313</v>
      </c>
      <c r="R29" s="222" t="s">
        <v>315</v>
      </c>
      <c r="S29" s="178"/>
    </row>
    <row r="30" spans="2:19" ht="14.25" customHeight="1">
      <c r="B30" s="176"/>
      <c r="C30" s="206" t="s">
        <v>1</v>
      </c>
      <c r="D30" s="232" t="s">
        <v>380</v>
      </c>
      <c r="E30" s="232"/>
      <c r="F30" s="232"/>
      <c r="G30" s="232" t="s">
        <v>388</v>
      </c>
      <c r="H30" s="232"/>
      <c r="I30" s="232"/>
      <c r="J30" s="232"/>
      <c r="K30" s="232"/>
      <c r="L30" s="232"/>
      <c r="M30" s="232"/>
      <c r="N30" s="232"/>
      <c r="O30" s="232"/>
      <c r="P30" s="232"/>
      <c r="Q30" s="193" t="s">
        <v>313</v>
      </c>
      <c r="R30" s="222" t="s">
        <v>315</v>
      </c>
      <c r="S30" s="178"/>
    </row>
    <row r="31" spans="2:19" ht="14.25" customHeight="1">
      <c r="B31" s="176"/>
      <c r="C31" s="206" t="s">
        <v>55</v>
      </c>
      <c r="D31" s="246" t="s">
        <v>386</v>
      </c>
      <c r="E31" s="246"/>
      <c r="F31" s="246"/>
      <c r="G31" s="232" t="s">
        <v>320</v>
      </c>
      <c r="H31" s="232"/>
      <c r="I31" s="232"/>
      <c r="J31" s="232"/>
      <c r="K31" s="232"/>
      <c r="L31" s="232"/>
      <c r="M31" s="232"/>
      <c r="N31" s="232"/>
      <c r="O31" s="232"/>
      <c r="P31" s="232"/>
      <c r="Q31" s="193" t="s">
        <v>313</v>
      </c>
      <c r="R31" s="193" t="s">
        <v>294</v>
      </c>
      <c r="S31" s="178"/>
    </row>
    <row r="32" spans="2:19">
      <c r="B32" s="179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1"/>
    </row>
    <row r="33" spans="2:19"/>
    <row r="34" spans="2:19" ht="18" customHeight="1">
      <c r="B34" s="248" t="s">
        <v>270</v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</row>
    <row r="35" spans="2:19" ht="6.95" customHeight="1">
      <c r="G35" s="151"/>
    </row>
    <row r="36" spans="2:19" ht="17.45" customHeight="1">
      <c r="B36" s="136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8"/>
    </row>
    <row r="37" spans="2:19" ht="17.45" customHeight="1">
      <c r="B37" s="139"/>
      <c r="C37" s="140" t="s">
        <v>267</v>
      </c>
      <c r="G37" s="155" t="s">
        <v>277</v>
      </c>
      <c r="H37" s="155"/>
      <c r="I37" s="169">
        <v>45813</v>
      </c>
      <c r="J37" s="169">
        <v>45806</v>
      </c>
      <c r="K37" s="170" t="s">
        <v>286</v>
      </c>
      <c r="M37" s="152" t="s">
        <v>268</v>
      </c>
      <c r="S37" s="141"/>
    </row>
    <row r="38" spans="2:19" ht="17.45" customHeight="1">
      <c r="B38" s="139"/>
      <c r="G38" s="147" t="s">
        <v>115</v>
      </c>
      <c r="I38" s="147">
        <f>COUNTIFS('Detalhe Entregas e Status'!$U:$U,'Status Resumo'!G38,'Detalhe Entregas e Status'!$B:$B,"lt002_instrument",'Detalhe Entregas e Status'!$C:$C,"&lt;&gt;"&amp;"UNIVERSO")</f>
        <v>15</v>
      </c>
      <c r="J38" s="147">
        <f>COUNTIFS('Detalhe Entregas e Status'!$V:$V,'Status Resumo'!G38,'Detalhe Entregas e Status'!$B:$B,"lt002_instrument",'Detalhe Entregas e Status'!$C:$C,"&lt;&gt;"&amp;"UNIVERSO")</f>
        <v>13</v>
      </c>
      <c r="K38" s="171" t="str">
        <f>IF(I38-J38=0,"-",IF(I38-J38&gt;0,_xlfn.CONCAT("+ ",I38-J38),_xlfn.CONCAT("- ",J38-I38)))</f>
        <v>+ 2</v>
      </c>
      <c r="M38" s="235" t="s">
        <v>389</v>
      </c>
      <c r="N38" s="236"/>
      <c r="O38" s="236"/>
      <c r="P38" s="236"/>
      <c r="Q38" s="236"/>
      <c r="R38" s="237"/>
      <c r="S38" s="141"/>
    </row>
    <row r="39" spans="2:19" ht="17.45" customHeight="1">
      <c r="B39" s="139"/>
      <c r="G39" s="147" t="s">
        <v>118</v>
      </c>
      <c r="I39" s="147">
        <f>COUNTIFS('Detalhe Entregas e Status'!$U:$U,'Status Resumo'!G39,'Detalhe Entregas e Status'!$B:$B,"lt002_instrument",'Detalhe Entregas e Status'!$C:$C,"&lt;&gt;"&amp;"UNIVERSO")</f>
        <v>3</v>
      </c>
      <c r="J39" s="147">
        <f>COUNTIFS('Detalhe Entregas e Status'!$V:$V,'Status Resumo'!G39,'Detalhe Entregas e Status'!$B:$B,"lt002_instrument",'Detalhe Entregas e Status'!$C:$C,"&lt;&gt;"&amp;"UNIVERSO")</f>
        <v>4</v>
      </c>
      <c r="K39" s="171" t="str">
        <f t="shared" ref="K39:K44" si="5">IF(I39-J39=0,"-",IF(I39-J39&gt;0,_xlfn.CONCAT("+ ",I39-J39),_xlfn.CONCAT("- ",J39-I39)))</f>
        <v>- 1</v>
      </c>
      <c r="M39" s="238"/>
      <c r="N39" s="239"/>
      <c r="O39" s="239"/>
      <c r="P39" s="239"/>
      <c r="Q39" s="239"/>
      <c r="R39" s="240"/>
      <c r="S39" s="141"/>
    </row>
    <row r="40" spans="2:19" ht="17.45" customHeight="1">
      <c r="B40" s="139"/>
      <c r="G40" s="147" t="s">
        <v>116</v>
      </c>
      <c r="I40" s="147">
        <f>COUNTIFS('Detalhe Entregas e Status'!$U:$U,'Status Resumo'!G40,'Detalhe Entregas e Status'!$B:$B,"lt002_instrument",'Detalhe Entregas e Status'!$C:$C,"&lt;&gt;"&amp;"UNIVERSO")</f>
        <v>0</v>
      </c>
      <c r="J40" s="147">
        <f>COUNTIFS('Detalhe Entregas e Status'!$V:$V,'Status Resumo'!G40,'Detalhe Entregas e Status'!$B:$B,"lt002_instrument",'Detalhe Entregas e Status'!$C:$C,"&lt;&gt;"&amp;"UNIVERSO")</f>
        <v>0</v>
      </c>
      <c r="K40" s="171" t="str">
        <f t="shared" si="5"/>
        <v>-</v>
      </c>
      <c r="M40" s="238"/>
      <c r="N40" s="239"/>
      <c r="O40" s="239"/>
      <c r="P40" s="239"/>
      <c r="Q40" s="239"/>
      <c r="R40" s="240"/>
      <c r="S40" s="141"/>
    </row>
    <row r="41" spans="2:19" ht="17.45" customHeight="1">
      <c r="B41" s="139"/>
      <c r="D41" s="142"/>
      <c r="E41" s="142"/>
      <c r="G41" s="147" t="s">
        <v>117</v>
      </c>
      <c r="I41" s="147">
        <f>COUNTIFS('Detalhe Entregas e Status'!$U:$U,'Status Resumo'!G41,'Detalhe Entregas e Status'!$B:$B,"lt002_instrument",'Detalhe Entregas e Status'!$C:$C,"&lt;&gt;"&amp;"UNIVERSO")</f>
        <v>24</v>
      </c>
      <c r="J41" s="147">
        <f>COUNTIFS('Detalhe Entregas e Status'!$V:$V,'Status Resumo'!G41,'Detalhe Entregas e Status'!$B:$B,"lt002_instrument",'Detalhe Entregas e Status'!$C:$C,"&lt;&gt;"&amp;"UNIVERSO")</f>
        <v>14</v>
      </c>
      <c r="K41" s="171" t="str">
        <f t="shared" si="5"/>
        <v>+ 10</v>
      </c>
      <c r="M41" s="238"/>
      <c r="N41" s="239"/>
      <c r="O41" s="239"/>
      <c r="P41" s="239"/>
      <c r="Q41" s="239"/>
      <c r="R41" s="240"/>
      <c r="S41" s="141"/>
    </row>
    <row r="42" spans="2:19" ht="17.45" customHeight="1">
      <c r="B42" s="139"/>
      <c r="D42" s="142"/>
      <c r="E42" s="142"/>
      <c r="G42" s="147" t="s">
        <v>123</v>
      </c>
      <c r="I42" s="147">
        <f>COUNTIFS('Detalhe Entregas e Status'!$U:$U,'Status Resumo'!G42,'Detalhe Entregas e Status'!$B:$B,"lt002_instrument",'Detalhe Entregas e Status'!$C:$C,"&lt;&gt;"&amp;"UNIVERSO")</f>
        <v>0</v>
      </c>
      <c r="J42" s="147">
        <f>COUNTIFS('Detalhe Entregas e Status'!$V:$V,'Status Resumo'!G42,'Detalhe Entregas e Status'!$B:$B,"lt002_instrument",'Detalhe Entregas e Status'!$C:$C,"&lt;&gt;"&amp;"UNIVERSO")</f>
        <v>0</v>
      </c>
      <c r="K42" s="171" t="str">
        <f t="shared" si="5"/>
        <v>-</v>
      </c>
      <c r="M42" s="238"/>
      <c r="N42" s="239"/>
      <c r="O42" s="239"/>
      <c r="P42" s="239"/>
      <c r="Q42" s="239"/>
      <c r="R42" s="240"/>
      <c r="S42" s="141"/>
    </row>
    <row r="43" spans="2:19" ht="17.45" customHeight="1">
      <c r="B43" s="139"/>
      <c r="D43" s="142"/>
      <c r="E43" s="142"/>
      <c r="G43" s="147" t="s">
        <v>125</v>
      </c>
      <c r="I43" s="147">
        <f>COUNTIFS('Detalhe Entregas e Status'!$U:$U,'Status Resumo'!G43,'Detalhe Entregas e Status'!$B:$B,"lt002_instrument",'Detalhe Entregas e Status'!$C:$C,"&lt;&gt;"&amp;"UNIVERSO")</f>
        <v>9</v>
      </c>
      <c r="J43" s="147">
        <f>COUNTIFS('Detalhe Entregas e Status'!$V:$V,'Status Resumo'!G43,'Detalhe Entregas e Status'!$B:$B,"lt002_instrument",'Detalhe Entregas e Status'!$C:$C,"&lt;&gt;"&amp;"UNIVERSO")</f>
        <v>12</v>
      </c>
      <c r="K43" s="171" t="str">
        <f t="shared" si="5"/>
        <v>- 3</v>
      </c>
      <c r="M43" s="238"/>
      <c r="N43" s="239"/>
      <c r="O43" s="239"/>
      <c r="P43" s="239"/>
      <c r="Q43" s="239"/>
      <c r="R43" s="240"/>
      <c r="S43" s="141"/>
    </row>
    <row r="44" spans="2:19" ht="17.45" customHeight="1">
      <c r="B44" s="139"/>
      <c r="G44" s="147" t="s">
        <v>279</v>
      </c>
      <c r="H44" s="155"/>
      <c r="I44" s="147">
        <f>COUNTIFS('Detalhe Entregas e Status'!$U:$U,'Status Resumo'!G44,'Detalhe Entregas e Status'!$B:$B,"lt002_instrument",'Detalhe Entregas e Status'!$C:$C,"&lt;&gt;"&amp;"UNIVERSO")</f>
        <v>0</v>
      </c>
      <c r="J44" s="147">
        <f>COUNTIFS('Detalhe Entregas e Status'!$V:$V,'Status Resumo'!G44,'Detalhe Entregas e Status'!$B:$B,"lt002_instrument",'Detalhe Entregas e Status'!$C:$C,"&lt;&gt;"&amp;"UNIVERSO")</f>
        <v>8</v>
      </c>
      <c r="K44" s="172" t="str">
        <f t="shared" si="5"/>
        <v>- 8</v>
      </c>
      <c r="M44" s="238"/>
      <c r="N44" s="239"/>
      <c r="O44" s="239"/>
      <c r="P44" s="239"/>
      <c r="Q44" s="239"/>
      <c r="R44" s="240"/>
      <c r="S44" s="141"/>
    </row>
    <row r="45" spans="2:19" ht="17.45" customHeight="1">
      <c r="B45" s="139"/>
      <c r="G45" s="148" t="s">
        <v>269</v>
      </c>
      <c r="I45" s="148">
        <f>SUM(I38:I44)</f>
        <v>51</v>
      </c>
      <c r="J45" s="148">
        <f>SUM(J38:J44)</f>
        <v>51</v>
      </c>
      <c r="K45" s="168"/>
      <c r="L45" s="143"/>
      <c r="M45" s="238"/>
      <c r="N45" s="239"/>
      <c r="O45" s="239"/>
      <c r="P45" s="239"/>
      <c r="Q45" s="239"/>
      <c r="R45" s="240"/>
      <c r="S45" s="141"/>
    </row>
    <row r="46" spans="2:19" ht="17.45" customHeight="1">
      <c r="B46" s="139"/>
      <c r="G46"/>
      <c r="H46"/>
      <c r="I46"/>
      <c r="J46"/>
      <c r="K46"/>
      <c r="L46" s="143"/>
      <c r="M46" s="238"/>
      <c r="N46" s="239"/>
      <c r="O46" s="239"/>
      <c r="P46" s="239"/>
      <c r="Q46" s="239"/>
      <c r="R46" s="240"/>
      <c r="S46" s="141"/>
    </row>
    <row r="47" spans="2:19" ht="17.45" customHeight="1">
      <c r="B47" s="139"/>
      <c r="G47" s="155" t="s">
        <v>276</v>
      </c>
      <c r="H47" s="155"/>
      <c r="I47" s="169">
        <v>45813</v>
      </c>
      <c r="J47" s="167"/>
      <c r="K47" s="167"/>
      <c r="L47" s="143"/>
      <c r="M47" s="238"/>
      <c r="N47" s="239"/>
      <c r="O47" s="239"/>
      <c r="P47" s="239"/>
      <c r="Q47" s="239"/>
      <c r="R47" s="240"/>
      <c r="S47" s="141"/>
    </row>
    <row r="48" spans="2:19" ht="17.45" customHeight="1">
      <c r="B48" s="139"/>
      <c r="G48" s="156" t="s">
        <v>1</v>
      </c>
      <c r="I48" s="157" t="s">
        <v>278</v>
      </c>
      <c r="J48" s="157"/>
      <c r="K48" s="157"/>
      <c r="L48" s="143"/>
      <c r="M48" s="241"/>
      <c r="N48" s="242"/>
      <c r="O48" s="242"/>
      <c r="P48" s="242"/>
      <c r="Q48" s="242"/>
      <c r="R48" s="243"/>
      <c r="S48" s="141"/>
    </row>
    <row r="49" spans="2:19" ht="17.45" customHeight="1">
      <c r="B49" s="144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6"/>
    </row>
    <row r="50" spans="2:19"/>
    <row r="51" spans="2:19" ht="18" customHeight="1">
      <c r="B51" s="248" t="s">
        <v>273</v>
      </c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</row>
    <row r="52" spans="2:19" ht="6.95" customHeight="1">
      <c r="G52" s="151"/>
    </row>
    <row r="53" spans="2:19" ht="17.45" customHeight="1">
      <c r="B53" s="136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8"/>
    </row>
    <row r="54" spans="2:19" ht="17.45" customHeight="1">
      <c r="B54" s="139"/>
      <c r="C54" s="140" t="s">
        <v>267</v>
      </c>
      <c r="G54" s="155" t="s">
        <v>275</v>
      </c>
      <c r="H54" s="155"/>
      <c r="I54" s="169">
        <f>I37</f>
        <v>45813</v>
      </c>
      <c r="J54" s="169">
        <f>J37</f>
        <v>45806</v>
      </c>
      <c r="K54" s="170" t="s">
        <v>286</v>
      </c>
      <c r="M54" s="152" t="s">
        <v>268</v>
      </c>
      <c r="S54" s="141"/>
    </row>
    <row r="55" spans="2:19" ht="17.45" customHeight="1">
      <c r="B55" s="139"/>
      <c r="G55" s="147" t="s">
        <v>115</v>
      </c>
      <c r="I55" s="147">
        <f>COUNTIFS('Detalhe Entregas e Status'!$U:$U,'Status Resumo'!G55,'Detalhe Entregas e Status'!$B:$B,"lt004_protection",'Detalhe Entregas e Status'!$C:$C,"&lt;&gt;"&amp;"UNIVERSO")</f>
        <v>5</v>
      </c>
      <c r="J55" s="147">
        <f>COUNTIFS('Detalhe Entregas e Status'!$V:$V,'Status Resumo'!G55,'Detalhe Entregas e Status'!$B:$B,"lt004_protection",'Detalhe Entregas e Status'!$C:$C,"&lt;&gt;"&amp;"UNIVERSO")</f>
        <v>5</v>
      </c>
      <c r="K55" s="171" t="str">
        <f t="shared" ref="K55:K61" si="6">IF(I55-J55=0,"-",IF(I55-J55&gt;0,_xlfn.CONCAT("+ ",I55-J55),_xlfn.CONCAT("- ",J55-I55)))</f>
        <v>-</v>
      </c>
      <c r="M55" s="247" t="s">
        <v>381</v>
      </c>
      <c r="N55" s="247"/>
      <c r="O55" s="247"/>
      <c r="P55" s="247"/>
      <c r="Q55" s="247"/>
      <c r="R55" s="247"/>
      <c r="S55" s="141"/>
    </row>
    <row r="56" spans="2:19" ht="17.45" customHeight="1">
      <c r="B56" s="139"/>
      <c r="G56" s="147" t="s">
        <v>118</v>
      </c>
      <c r="I56" s="147">
        <f>COUNTIFS('Detalhe Entregas e Status'!$U:$U,'Status Resumo'!G56,'Detalhe Entregas e Status'!$B:$B,"lt004_protection",'Detalhe Entregas e Status'!$C:$C,"&lt;&gt;"&amp;"UNIVERSO")</f>
        <v>2</v>
      </c>
      <c r="J56" s="147">
        <f>COUNTIFS('Detalhe Entregas e Status'!$V:$V,'Status Resumo'!G56,'Detalhe Entregas e Status'!$B:$B,"lt004_protection",'Detalhe Entregas e Status'!$C:$C,"&lt;&gt;"&amp;"UNIVERSO")</f>
        <v>1</v>
      </c>
      <c r="K56" s="171" t="str">
        <f t="shared" si="6"/>
        <v>+ 1</v>
      </c>
      <c r="M56" s="247"/>
      <c r="N56" s="247"/>
      <c r="O56" s="247"/>
      <c r="P56" s="247"/>
      <c r="Q56" s="247"/>
      <c r="R56" s="247"/>
      <c r="S56" s="141"/>
    </row>
    <row r="57" spans="2:19" ht="17.45" customHeight="1">
      <c r="B57" s="139"/>
      <c r="G57" s="147" t="s">
        <v>116</v>
      </c>
      <c r="I57" s="147">
        <f>COUNTIFS('Detalhe Entregas e Status'!$U:$U,'Status Resumo'!G57,'Detalhe Entregas e Status'!$B:$B,"lt004_protection",'Detalhe Entregas e Status'!$C:$C,"&lt;&gt;"&amp;"UNIVERSO")</f>
        <v>0</v>
      </c>
      <c r="J57" s="147">
        <f>COUNTIFS('Detalhe Entregas e Status'!$V:$V,'Status Resumo'!G57,'Detalhe Entregas e Status'!$B:$B,"lt004_protection",'Detalhe Entregas e Status'!$C:$C,"&lt;&gt;"&amp;"UNIVERSO")</f>
        <v>0</v>
      </c>
      <c r="K57" s="171" t="str">
        <f t="shared" si="6"/>
        <v>-</v>
      </c>
      <c r="M57" s="247"/>
      <c r="N57" s="247"/>
      <c r="O57" s="247"/>
      <c r="P57" s="247"/>
      <c r="Q57" s="247"/>
      <c r="R57" s="247"/>
      <c r="S57" s="141"/>
    </row>
    <row r="58" spans="2:19" ht="17.45" customHeight="1">
      <c r="B58" s="139"/>
      <c r="D58" s="142"/>
      <c r="E58" s="142"/>
      <c r="G58" s="147" t="s">
        <v>117</v>
      </c>
      <c r="I58" s="147">
        <f>COUNTIFS('Detalhe Entregas e Status'!$U:$U,'Status Resumo'!G58,'Detalhe Entregas e Status'!$B:$B,"lt004_protection",'Detalhe Entregas e Status'!$C:$C,"&lt;&gt;"&amp;"UNIVERSO")</f>
        <v>0</v>
      </c>
      <c r="J58" s="147">
        <f>COUNTIFS('Detalhe Entregas e Status'!$V:$V,'Status Resumo'!G58,'Detalhe Entregas e Status'!$B:$B,"lt004_protection",'Detalhe Entregas e Status'!$C:$C,"&lt;&gt;"&amp;"UNIVERSO")</f>
        <v>0</v>
      </c>
      <c r="K58" s="171" t="str">
        <f t="shared" si="6"/>
        <v>-</v>
      </c>
      <c r="M58" s="247"/>
      <c r="N58" s="247"/>
      <c r="O58" s="247"/>
      <c r="P58" s="247"/>
      <c r="Q58" s="247"/>
      <c r="R58" s="247"/>
      <c r="S58" s="141"/>
    </row>
    <row r="59" spans="2:19" ht="17.45" customHeight="1">
      <c r="B59" s="139"/>
      <c r="D59" s="142"/>
      <c r="E59" s="142"/>
      <c r="G59" s="147" t="s">
        <v>123</v>
      </c>
      <c r="I59" s="147">
        <f>COUNTIFS('Detalhe Entregas e Status'!$U:$U,'Status Resumo'!G59,'Detalhe Entregas e Status'!$B:$B,"lt004_protection",'Detalhe Entregas e Status'!$C:$C,"&lt;&gt;"&amp;"UNIVERSO")</f>
        <v>0</v>
      </c>
      <c r="J59" s="147">
        <f>COUNTIFS('Detalhe Entregas e Status'!$V:$V,'Status Resumo'!G59,'Detalhe Entregas e Status'!$B:$B,"lt004_protection",'Detalhe Entregas e Status'!$C:$C,"&lt;&gt;"&amp;"UNIVERSO")</f>
        <v>0</v>
      </c>
      <c r="K59" s="171" t="str">
        <f t="shared" si="6"/>
        <v>-</v>
      </c>
      <c r="M59" s="247"/>
      <c r="N59" s="247"/>
      <c r="O59" s="247"/>
      <c r="P59" s="247"/>
      <c r="Q59" s="247"/>
      <c r="R59" s="247"/>
      <c r="S59" s="141"/>
    </row>
    <row r="60" spans="2:19" ht="17.45" customHeight="1">
      <c r="B60" s="139"/>
      <c r="D60" s="142"/>
      <c r="E60" s="142"/>
      <c r="G60" s="147" t="s">
        <v>125</v>
      </c>
      <c r="I60" s="147">
        <f>COUNTIFS('Detalhe Entregas e Status'!$U:$U,'Status Resumo'!G60,'Detalhe Entregas e Status'!$B:$B,"lt004_protection",'Detalhe Entregas e Status'!$C:$C,"&lt;&gt;"&amp;"UNIVERSO")</f>
        <v>0</v>
      </c>
      <c r="J60" s="147">
        <f>COUNTIFS('Detalhe Entregas e Status'!$V:$V,'Status Resumo'!G60,'Detalhe Entregas e Status'!$B:$B,"lt004_protection",'Detalhe Entregas e Status'!$C:$C,"&lt;&gt;"&amp;"UNIVERSO")</f>
        <v>0</v>
      </c>
      <c r="K60" s="171" t="str">
        <f t="shared" si="6"/>
        <v>-</v>
      </c>
      <c r="M60" s="247"/>
      <c r="N60" s="247"/>
      <c r="O60" s="247"/>
      <c r="P60" s="247"/>
      <c r="Q60" s="247"/>
      <c r="R60" s="247"/>
      <c r="S60" s="141"/>
    </row>
    <row r="61" spans="2:19" ht="17.45" customHeight="1">
      <c r="B61" s="139"/>
      <c r="G61" s="147" t="s">
        <v>279</v>
      </c>
      <c r="H61" s="155"/>
      <c r="I61" s="147">
        <f>COUNTIFS('Detalhe Entregas e Status'!$U:$U,'Status Resumo'!G61,'Detalhe Entregas e Status'!$B:$B,"lt004_protection",'Detalhe Entregas e Status'!$C:$C,"&lt;&gt;"&amp;"UNIVERSO")</f>
        <v>0</v>
      </c>
      <c r="J61" s="147">
        <f>COUNTIFS('Detalhe Entregas e Status'!$V:$V,'Status Resumo'!G61,'Detalhe Entregas e Status'!$B:$B,"lt004_protection",'Detalhe Entregas e Status'!$C:$C,"&lt;&gt;"&amp;"UNIVERSO")</f>
        <v>1</v>
      </c>
      <c r="K61" s="172" t="str">
        <f t="shared" si="6"/>
        <v>- 1</v>
      </c>
      <c r="M61" s="247"/>
      <c r="N61" s="247"/>
      <c r="O61" s="247"/>
      <c r="P61" s="247"/>
      <c r="Q61" s="247"/>
      <c r="R61" s="247"/>
      <c r="S61" s="141"/>
    </row>
    <row r="62" spans="2:19" ht="17.45" customHeight="1">
      <c r="B62" s="139"/>
      <c r="G62" s="148" t="s">
        <v>269</v>
      </c>
      <c r="I62" s="148">
        <f>SUM(I55:I61)</f>
        <v>7</v>
      </c>
      <c r="J62" s="148">
        <f>SUM(J55:J61)</f>
        <v>7</v>
      </c>
      <c r="K62" s="168"/>
      <c r="L62" s="143"/>
      <c r="M62" s="247"/>
      <c r="N62" s="247"/>
      <c r="O62" s="247"/>
      <c r="P62" s="247"/>
      <c r="Q62" s="247"/>
      <c r="R62" s="247"/>
      <c r="S62" s="141"/>
    </row>
    <row r="63" spans="2:19" ht="17.45" customHeight="1">
      <c r="B63" s="139"/>
      <c r="C63" s="140"/>
      <c r="F63" s="140"/>
      <c r="L63" s="143"/>
      <c r="M63" s="247"/>
      <c r="N63" s="247"/>
      <c r="O63" s="247"/>
      <c r="P63" s="247"/>
      <c r="Q63" s="247"/>
      <c r="R63" s="247"/>
      <c r="S63" s="141"/>
    </row>
    <row r="64" spans="2:19" ht="17.45" customHeight="1">
      <c r="B64" s="139"/>
      <c r="G64" s="155" t="s">
        <v>276</v>
      </c>
      <c r="H64" s="155"/>
      <c r="I64" s="169">
        <f>I47</f>
        <v>45813</v>
      </c>
      <c r="J64" s="167"/>
      <c r="K64" s="167"/>
      <c r="L64" s="143"/>
      <c r="M64" s="153"/>
      <c r="N64" s="153"/>
      <c r="O64" s="153"/>
      <c r="P64" s="153"/>
      <c r="Q64" s="153"/>
      <c r="R64" s="153"/>
      <c r="S64" s="141"/>
    </row>
    <row r="65" spans="2:19" ht="17.45" customHeight="1">
      <c r="B65" s="139"/>
      <c r="G65" s="158" t="s">
        <v>55</v>
      </c>
      <c r="I65" s="159" t="s">
        <v>274</v>
      </c>
      <c r="J65" s="159"/>
      <c r="K65" s="159"/>
      <c r="L65" s="143"/>
      <c r="M65" s="153"/>
      <c r="N65" s="153"/>
      <c r="O65" s="153"/>
      <c r="P65" s="153"/>
      <c r="Q65" s="153"/>
      <c r="R65" s="153"/>
      <c r="S65" s="141"/>
    </row>
    <row r="66" spans="2:19" ht="17.45" customHeight="1">
      <c r="B66" s="144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6"/>
    </row>
    <row r="67" spans="2:19"/>
    <row r="68" spans="2:19" ht="18" customHeight="1">
      <c r="B68" s="248" t="s">
        <v>308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</row>
    <row r="69" spans="2:19" ht="6.95" customHeight="1">
      <c r="G69" s="151"/>
    </row>
    <row r="70" spans="2:19" ht="17.45" customHeight="1">
      <c r="B70" s="136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8"/>
    </row>
    <row r="71" spans="2:19" ht="17.45" customHeight="1">
      <c r="B71" s="139"/>
      <c r="C71" s="140" t="s">
        <v>267</v>
      </c>
      <c r="G71" s="155" t="s">
        <v>275</v>
      </c>
      <c r="H71" s="155"/>
      <c r="I71" s="169">
        <f>I37</f>
        <v>45813</v>
      </c>
      <c r="J71" s="169">
        <f>J37</f>
        <v>45806</v>
      </c>
      <c r="K71" s="170" t="s">
        <v>286</v>
      </c>
      <c r="M71" s="152" t="s">
        <v>268</v>
      </c>
      <c r="S71" s="141"/>
    </row>
    <row r="72" spans="2:19" ht="17.45" customHeight="1">
      <c r="B72" s="139"/>
      <c r="G72" s="147" t="s">
        <v>115</v>
      </c>
      <c r="I72" s="147">
        <f>COUNTIFS('Detalhe Entregas e Status'!$U:$U,'Status Resumo'!G72,'Detalhe Entregas e Status'!$B:$B,"lt006_instr_protection",'Detalhe Entregas e Status'!$C:$C,"&lt;&gt;"&amp;"UNIVERSO")</f>
        <v>2</v>
      </c>
      <c r="J72" s="147">
        <f>COUNTIFS('Detalhe Entregas e Status'!$V:$V,'Status Resumo'!G72,'Detalhe Entregas e Status'!$B:$B,"lt006_instr_protection",'Detalhe Entregas e Status'!$C:$C,"&lt;&gt;"&amp;"UNIVERSO")</f>
        <v>2</v>
      </c>
      <c r="K72" s="171" t="str">
        <f t="shared" ref="K72:K78" si="7">IF(I72-J72=0,"-",IF(I72-J72&gt;0,_xlfn.CONCAT("+ ",I72-J72),_xlfn.CONCAT("- ",J72-I72)))</f>
        <v>-</v>
      </c>
      <c r="M72" s="247" t="s">
        <v>382</v>
      </c>
      <c r="N72" s="249"/>
      <c r="O72" s="249"/>
      <c r="P72" s="249"/>
      <c r="Q72" s="249"/>
      <c r="R72" s="249"/>
      <c r="S72" s="141"/>
    </row>
    <row r="73" spans="2:19" ht="17.45" customHeight="1">
      <c r="B73" s="139"/>
      <c r="G73" s="147" t="s">
        <v>118</v>
      </c>
      <c r="I73" s="147">
        <f>COUNTIFS('Detalhe Entregas e Status'!$U:$U,'Status Resumo'!G73,'Detalhe Entregas e Status'!$B:$B,"lt006_instr_protection",'Detalhe Entregas e Status'!$C:$C,"&lt;&gt;"&amp;"UNIVERSO")</f>
        <v>3</v>
      </c>
      <c r="J73" s="147">
        <f>COUNTIFS('Detalhe Entregas e Status'!$V:$V,'Status Resumo'!G73,'Detalhe Entregas e Status'!$B:$B,"lt006_instr_protection",'Detalhe Entregas e Status'!$C:$C,"&lt;&gt;"&amp;"UNIVERSO")</f>
        <v>3</v>
      </c>
      <c r="K73" s="171" t="str">
        <f t="shared" si="7"/>
        <v>-</v>
      </c>
      <c r="M73" s="249"/>
      <c r="N73" s="249"/>
      <c r="O73" s="249"/>
      <c r="P73" s="249"/>
      <c r="Q73" s="249"/>
      <c r="R73" s="249"/>
      <c r="S73" s="141"/>
    </row>
    <row r="74" spans="2:19" ht="17.45" customHeight="1">
      <c r="B74" s="139"/>
      <c r="G74" s="147" t="s">
        <v>116</v>
      </c>
      <c r="I74" s="147">
        <f>COUNTIFS('Detalhe Entregas e Status'!$U:$U,'Status Resumo'!G74,'Detalhe Entregas e Status'!$B:$B,"lt006_instr_protection",'Detalhe Entregas e Status'!$C:$C,"&lt;&gt;"&amp;"UNIVERSO")</f>
        <v>0</v>
      </c>
      <c r="J74" s="147">
        <f>COUNTIFS('Detalhe Entregas e Status'!$V:$V,'Status Resumo'!G74,'Detalhe Entregas e Status'!$B:$B,"lt006_instr_protection",'Detalhe Entregas e Status'!$C:$C,"&lt;&gt;"&amp;"UNIVERSO")</f>
        <v>0</v>
      </c>
      <c r="K74" s="171" t="str">
        <f t="shared" si="7"/>
        <v>-</v>
      </c>
      <c r="M74" s="249"/>
      <c r="N74" s="249"/>
      <c r="O74" s="249"/>
      <c r="P74" s="249"/>
      <c r="Q74" s="249"/>
      <c r="R74" s="249"/>
      <c r="S74" s="141"/>
    </row>
    <row r="75" spans="2:19" ht="17.45" customHeight="1">
      <c r="B75" s="139"/>
      <c r="D75" s="142"/>
      <c r="E75" s="142"/>
      <c r="G75" s="147" t="s">
        <v>117</v>
      </c>
      <c r="I75" s="147">
        <f>COUNTIFS('Detalhe Entregas e Status'!$U:$U,'Status Resumo'!G75,'Detalhe Entregas e Status'!$B:$B,"lt006_instr_protection",'Detalhe Entregas e Status'!$C:$C,"&lt;&gt;"&amp;"UNIVERSO")</f>
        <v>0</v>
      </c>
      <c r="J75" s="147">
        <f>COUNTIFS('Detalhe Entregas e Status'!$V:$V,'Status Resumo'!G75,'Detalhe Entregas e Status'!$B:$B,"lt006_instr_protection",'Detalhe Entregas e Status'!$C:$C,"&lt;&gt;"&amp;"UNIVERSO")</f>
        <v>0</v>
      </c>
      <c r="K75" s="171" t="str">
        <f t="shared" si="7"/>
        <v>-</v>
      </c>
      <c r="M75" s="249"/>
      <c r="N75" s="249"/>
      <c r="O75" s="249"/>
      <c r="P75" s="249"/>
      <c r="Q75" s="249"/>
      <c r="R75" s="249"/>
      <c r="S75" s="141"/>
    </row>
    <row r="76" spans="2:19" ht="17.45" customHeight="1">
      <c r="B76" s="139"/>
      <c r="D76" s="142"/>
      <c r="E76" s="142"/>
      <c r="G76" s="147" t="s">
        <v>123</v>
      </c>
      <c r="I76" s="147">
        <f>COUNTIFS('Detalhe Entregas e Status'!$U:$U,'Status Resumo'!G76,'Detalhe Entregas e Status'!$B:$B,"lt006_instr_protection",'Detalhe Entregas e Status'!$C:$C,"&lt;&gt;"&amp;"UNIVERSO")</f>
        <v>0</v>
      </c>
      <c r="J76" s="147">
        <f>COUNTIFS('Detalhe Entregas e Status'!$V:$V,'Status Resumo'!G76,'Detalhe Entregas e Status'!$B:$B,"lt006_instr_protection",'Detalhe Entregas e Status'!$C:$C,"&lt;&gt;"&amp;"UNIVERSO")</f>
        <v>0</v>
      </c>
      <c r="K76" s="171" t="str">
        <f t="shared" si="7"/>
        <v>-</v>
      </c>
      <c r="M76" s="249"/>
      <c r="N76" s="249"/>
      <c r="O76" s="249"/>
      <c r="P76" s="249"/>
      <c r="Q76" s="249"/>
      <c r="R76" s="249"/>
      <c r="S76" s="141"/>
    </row>
    <row r="77" spans="2:19" ht="17.45" customHeight="1">
      <c r="B77" s="139"/>
      <c r="D77" s="142"/>
      <c r="E77" s="142"/>
      <c r="G77" s="147" t="s">
        <v>125</v>
      </c>
      <c r="I77" s="147">
        <f>COUNTIFS('Detalhe Entregas e Status'!$U:$U,'Status Resumo'!G77,'Detalhe Entregas e Status'!$B:$B,"lt006_instr_protection",'Detalhe Entregas e Status'!$C:$C,"&lt;&gt;"&amp;"UNIVERSO")</f>
        <v>0</v>
      </c>
      <c r="J77" s="147">
        <f>COUNTIFS('Detalhe Entregas e Status'!$V:$V,'Status Resumo'!G77,'Detalhe Entregas e Status'!$B:$B,"lt006_instr_protection",'Detalhe Entregas e Status'!$C:$C,"&lt;&gt;"&amp;"UNIVERSO")</f>
        <v>0</v>
      </c>
      <c r="K77" s="171" t="str">
        <f t="shared" si="7"/>
        <v>-</v>
      </c>
      <c r="M77" s="249"/>
      <c r="N77" s="249"/>
      <c r="O77" s="249"/>
      <c r="P77" s="249"/>
      <c r="Q77" s="249"/>
      <c r="R77" s="249"/>
      <c r="S77" s="141"/>
    </row>
    <row r="78" spans="2:19" ht="17.45" customHeight="1">
      <c r="B78" s="139"/>
      <c r="G78" s="147" t="s">
        <v>279</v>
      </c>
      <c r="H78" s="155"/>
      <c r="I78" s="147">
        <f>COUNTIFS('Detalhe Entregas e Status'!$U:$U,'Status Resumo'!G78,'Detalhe Entregas e Status'!$B:$B,"lt006_instr_protection",'Detalhe Entregas e Status'!$C:$C,"&lt;&gt;"&amp;"UNIVERSO")</f>
        <v>0</v>
      </c>
      <c r="J78" s="147">
        <f>COUNTIFS('Detalhe Entregas e Status'!$V:$V,'Status Resumo'!G78,'Detalhe Entregas e Status'!$B:$B,"lt006_instr_protection",'Detalhe Entregas e Status'!$C:$C,"&lt;&gt;"&amp;"UNIVERSO")</f>
        <v>0</v>
      </c>
      <c r="K78" s="172" t="str">
        <f t="shared" si="7"/>
        <v>-</v>
      </c>
      <c r="M78" s="249"/>
      <c r="N78" s="249"/>
      <c r="O78" s="249"/>
      <c r="P78" s="249"/>
      <c r="Q78" s="249"/>
      <c r="R78" s="249"/>
      <c r="S78" s="141"/>
    </row>
    <row r="79" spans="2:19" ht="17.45" customHeight="1">
      <c r="B79" s="139"/>
      <c r="G79" s="148" t="s">
        <v>269</v>
      </c>
      <c r="I79" s="148">
        <f>SUM(I72:I78)</f>
        <v>5</v>
      </c>
      <c r="J79" s="148">
        <f>SUM(J72:J78)</f>
        <v>5</v>
      </c>
      <c r="K79" s="168"/>
      <c r="L79" s="143"/>
      <c r="M79" s="249"/>
      <c r="N79" s="249"/>
      <c r="O79" s="249"/>
      <c r="P79" s="249"/>
      <c r="Q79" s="249"/>
      <c r="R79" s="249"/>
      <c r="S79" s="141"/>
    </row>
    <row r="80" spans="2:19" ht="17.45" customHeight="1">
      <c r="B80" s="139"/>
      <c r="C80" s="140"/>
      <c r="F80" s="140"/>
      <c r="L80" s="143"/>
      <c r="M80" s="249"/>
      <c r="N80" s="249"/>
      <c r="O80" s="249"/>
      <c r="P80" s="249"/>
      <c r="Q80" s="249"/>
      <c r="R80" s="249"/>
      <c r="S80" s="141"/>
    </row>
    <row r="81" spans="2:19" ht="17.45" customHeight="1">
      <c r="B81" s="139"/>
      <c r="G81" s="155" t="s">
        <v>276</v>
      </c>
      <c r="H81" s="155"/>
      <c r="I81" s="169">
        <f>I47</f>
        <v>45813</v>
      </c>
      <c r="J81" s="167"/>
      <c r="K81" s="167"/>
      <c r="L81" s="143"/>
      <c r="M81" s="153"/>
      <c r="N81" s="153"/>
      <c r="O81" s="153"/>
      <c r="P81" s="153"/>
      <c r="Q81" s="153"/>
      <c r="R81" s="153"/>
      <c r="S81" s="141"/>
    </row>
    <row r="82" spans="2:19" ht="17.45" customHeight="1">
      <c r="B82" s="139"/>
      <c r="G82" s="158" t="s">
        <v>61</v>
      </c>
      <c r="I82" s="157" t="s">
        <v>278</v>
      </c>
      <c r="J82" s="159"/>
      <c r="K82" s="159"/>
      <c r="L82" s="143"/>
      <c r="M82" s="153"/>
      <c r="N82" s="153"/>
      <c r="O82" s="153"/>
      <c r="P82" s="153"/>
      <c r="Q82" s="153"/>
      <c r="R82" s="153"/>
      <c r="S82" s="141"/>
    </row>
    <row r="83" spans="2:19" ht="17.45" customHeight="1">
      <c r="B83" s="144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6"/>
    </row>
    <row r="84" spans="2:19"/>
    <row r="85" spans="2:19" ht="18" customHeight="1">
      <c r="B85" s="248" t="s">
        <v>309</v>
      </c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</row>
    <row r="86" spans="2:19" ht="6.95" customHeight="1">
      <c r="G86" s="151"/>
    </row>
    <row r="87" spans="2:19" ht="17.4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8"/>
    </row>
    <row r="88" spans="2:19" ht="17.45" customHeight="1">
      <c r="B88" s="139"/>
      <c r="C88" s="140" t="s">
        <v>267</v>
      </c>
      <c r="G88" s="155" t="s">
        <v>275</v>
      </c>
      <c r="H88" s="155"/>
      <c r="I88" s="169">
        <f>I37</f>
        <v>45813</v>
      </c>
      <c r="J88" s="169">
        <f>J37</f>
        <v>45806</v>
      </c>
      <c r="K88" s="170" t="s">
        <v>286</v>
      </c>
      <c r="M88" s="152" t="s">
        <v>268</v>
      </c>
      <c r="S88" s="141"/>
    </row>
    <row r="89" spans="2:19" ht="17.45" customHeight="1">
      <c r="B89" s="139"/>
      <c r="G89" s="147" t="s">
        <v>115</v>
      </c>
      <c r="I89" s="147">
        <f>COUNTIFS('Detalhe Entregas e Status'!$U:$U,'Status Resumo'!G89,'Detalhe Entregas e Status'!$B:$B,"lt007_instr_activity",'Detalhe Entregas e Status'!$C:$C,"&lt;&gt;"&amp;"UNIVERSO")</f>
        <v>0</v>
      </c>
      <c r="J89" s="147">
        <f>COUNTIFS('Detalhe Entregas e Status'!$V:$V,'Status Resumo'!G89,'Detalhe Entregas e Status'!$B:$B,"lt007_instr_activity",'Detalhe Entregas e Status'!$C:$C,"&lt;&gt;"&amp;"UNIVERSO")</f>
        <v>0</v>
      </c>
      <c r="K89" s="171" t="str">
        <f t="shared" ref="K89:K95" si="8">IF(I89-J89=0,"-",IF(I89-J89&gt;0,_xlfn.CONCAT("+ ",I89-J89),_xlfn.CONCAT("- ",J89-I89)))</f>
        <v>-</v>
      </c>
      <c r="M89" s="247" t="s">
        <v>321</v>
      </c>
      <c r="N89" s="247"/>
      <c r="O89" s="247"/>
      <c r="P89" s="247"/>
      <c r="Q89" s="247"/>
      <c r="R89" s="247"/>
      <c r="S89" s="141"/>
    </row>
    <row r="90" spans="2:19" ht="17.45" customHeight="1">
      <c r="B90" s="139"/>
      <c r="G90" s="147" t="s">
        <v>118</v>
      </c>
      <c r="I90" s="147">
        <f>COUNTIFS('Detalhe Entregas e Status'!$U:$U,'Status Resumo'!G90,'Detalhe Entregas e Status'!$B:$B,"lt007_instr_activity",'Detalhe Entregas e Status'!$C:$C,"&lt;&gt;"&amp;"UNIVERSO")</f>
        <v>0</v>
      </c>
      <c r="J90" s="147">
        <f>COUNTIFS('Detalhe Entregas e Status'!$V:$V,'Status Resumo'!G90,'Detalhe Entregas e Status'!$B:$B,"lt007_instr_activity",'Detalhe Entregas e Status'!$C:$C,"&lt;&gt;"&amp;"UNIVERSO")</f>
        <v>0</v>
      </c>
      <c r="K90" s="171" t="str">
        <f t="shared" si="8"/>
        <v>-</v>
      </c>
      <c r="M90" s="247"/>
      <c r="N90" s="247"/>
      <c r="O90" s="247"/>
      <c r="P90" s="247"/>
      <c r="Q90" s="247"/>
      <c r="R90" s="247"/>
      <c r="S90" s="141"/>
    </row>
    <row r="91" spans="2:19" ht="17.45" customHeight="1">
      <c r="B91" s="139"/>
      <c r="G91" s="147" t="s">
        <v>116</v>
      </c>
      <c r="I91" s="147">
        <f>COUNTIFS('Detalhe Entregas e Status'!$U:$U,'Status Resumo'!G91,'Detalhe Entregas e Status'!$B:$B,"lt007_instr_activity",'Detalhe Entregas e Status'!$C:$C,"&lt;&gt;"&amp;"UNIVERSO")</f>
        <v>0</v>
      </c>
      <c r="J91" s="147">
        <f>COUNTIFS('Detalhe Entregas e Status'!$V:$V,'Status Resumo'!G91,'Detalhe Entregas e Status'!$B:$B,"lt007_instr_activity",'Detalhe Entregas e Status'!$C:$C,"&lt;&gt;"&amp;"UNIVERSO")</f>
        <v>0</v>
      </c>
      <c r="K91" s="171" t="str">
        <f t="shared" si="8"/>
        <v>-</v>
      </c>
      <c r="M91" s="247"/>
      <c r="N91" s="247"/>
      <c r="O91" s="247"/>
      <c r="P91" s="247"/>
      <c r="Q91" s="247"/>
      <c r="R91" s="247"/>
      <c r="S91" s="141"/>
    </row>
    <row r="92" spans="2:19" ht="17.45" customHeight="1">
      <c r="B92" s="139"/>
      <c r="D92" s="142"/>
      <c r="E92" s="142"/>
      <c r="G92" s="147" t="s">
        <v>117</v>
      </c>
      <c r="I92" s="147">
        <f>COUNTIFS('Detalhe Entregas e Status'!$U:$U,'Status Resumo'!G92,'Detalhe Entregas e Status'!$B:$B,"lt007_instr_activity",'Detalhe Entregas e Status'!$C:$C,"&lt;&gt;"&amp;"UNIVERSO")</f>
        <v>0</v>
      </c>
      <c r="J92" s="147">
        <f>COUNTIFS('Detalhe Entregas e Status'!$V:$V,'Status Resumo'!G92,'Detalhe Entregas e Status'!$B:$B,"lt007_instr_activity",'Detalhe Entregas e Status'!$C:$C,"&lt;&gt;"&amp;"UNIVERSO")</f>
        <v>0</v>
      </c>
      <c r="K92" s="171" t="str">
        <f t="shared" si="8"/>
        <v>-</v>
      </c>
      <c r="M92" s="247"/>
      <c r="N92" s="247"/>
      <c r="O92" s="247"/>
      <c r="P92" s="247"/>
      <c r="Q92" s="247"/>
      <c r="R92" s="247"/>
      <c r="S92" s="141"/>
    </row>
    <row r="93" spans="2:19" ht="17.45" customHeight="1">
      <c r="B93" s="139"/>
      <c r="D93" s="142"/>
      <c r="E93" s="142"/>
      <c r="G93" s="147" t="s">
        <v>123</v>
      </c>
      <c r="I93" s="147">
        <f>COUNTIFS('Detalhe Entregas e Status'!$U:$U,'Status Resumo'!G93,'Detalhe Entregas e Status'!$B:$B,"lt007_instr_activity",'Detalhe Entregas e Status'!$C:$C,"&lt;&gt;"&amp;"UNIVERSO")</f>
        <v>0</v>
      </c>
      <c r="J93" s="147">
        <f>COUNTIFS('Detalhe Entregas e Status'!$V:$V,'Status Resumo'!G93,'Detalhe Entregas e Status'!$B:$B,"lt007_instr_activity",'Detalhe Entregas e Status'!$C:$C,"&lt;&gt;"&amp;"UNIVERSO")</f>
        <v>0</v>
      </c>
      <c r="K93" s="171" t="str">
        <f t="shared" si="8"/>
        <v>-</v>
      </c>
      <c r="M93" s="247"/>
      <c r="N93" s="247"/>
      <c r="O93" s="247"/>
      <c r="P93" s="247"/>
      <c r="Q93" s="247"/>
      <c r="R93" s="247"/>
      <c r="S93" s="141"/>
    </row>
    <row r="94" spans="2:19" ht="17.45" customHeight="1">
      <c r="B94" s="139"/>
      <c r="D94" s="142"/>
      <c r="E94" s="142"/>
      <c r="G94" s="147" t="s">
        <v>125</v>
      </c>
      <c r="I94" s="147">
        <f>COUNTIFS('Detalhe Entregas e Status'!$U:$U,'Status Resumo'!G94,'Detalhe Entregas e Status'!$B:$B,"lt007_instr_activity",'Detalhe Entregas e Status'!$C:$C,"&lt;&gt;"&amp;"UNIVERSO")</f>
        <v>6</v>
      </c>
      <c r="J94" s="147">
        <f>COUNTIFS('Detalhe Entregas e Status'!$V:$V,'Status Resumo'!G94,'Detalhe Entregas e Status'!$B:$B,"lt007_instr_activity",'Detalhe Entregas e Status'!$C:$C,"&lt;&gt;"&amp;"UNIVERSO")</f>
        <v>6</v>
      </c>
      <c r="K94" s="171" t="str">
        <f t="shared" si="8"/>
        <v>-</v>
      </c>
      <c r="M94" s="247"/>
      <c r="N94" s="247"/>
      <c r="O94" s="247"/>
      <c r="P94" s="247"/>
      <c r="Q94" s="247"/>
      <c r="R94" s="247"/>
      <c r="S94" s="141"/>
    </row>
    <row r="95" spans="2:19" ht="17.45" customHeight="1">
      <c r="B95" s="139"/>
      <c r="G95" s="147" t="s">
        <v>279</v>
      </c>
      <c r="H95" s="155"/>
      <c r="I95" s="147">
        <f>COUNTIFS('Detalhe Entregas e Status'!$U:$U,'Status Resumo'!G95,'Detalhe Entregas e Status'!$B:$B,"lt007_instr_activity",'Detalhe Entregas e Status'!$C:$C,"&lt;&gt;"&amp;"UNIVERSO")</f>
        <v>0</v>
      </c>
      <c r="J95" s="147">
        <f>COUNTIFS('Detalhe Entregas e Status'!$V:$V,'Status Resumo'!G95,'Detalhe Entregas e Status'!$B:$B,"lt007_instr_activity",'Detalhe Entregas e Status'!$C:$C,"&lt;&gt;"&amp;"UNIVERSO")</f>
        <v>0</v>
      </c>
      <c r="K95" s="172" t="str">
        <f t="shared" si="8"/>
        <v>-</v>
      </c>
      <c r="M95" s="247"/>
      <c r="N95" s="247"/>
      <c r="O95" s="247"/>
      <c r="P95" s="247"/>
      <c r="Q95" s="247"/>
      <c r="R95" s="247"/>
      <c r="S95" s="141"/>
    </row>
    <row r="96" spans="2:19" ht="17.45" customHeight="1">
      <c r="B96" s="139"/>
      <c r="G96" s="148" t="s">
        <v>269</v>
      </c>
      <c r="I96" s="148">
        <f>SUM(I89:I95)</f>
        <v>6</v>
      </c>
      <c r="J96" s="148">
        <f>SUM(J89:J95)</f>
        <v>6</v>
      </c>
      <c r="K96" s="168"/>
      <c r="L96" s="143"/>
      <c r="M96" s="247"/>
      <c r="N96" s="247"/>
      <c r="O96" s="247"/>
      <c r="P96" s="247"/>
      <c r="Q96" s="247"/>
      <c r="R96" s="247"/>
      <c r="S96" s="141"/>
    </row>
    <row r="97" spans="2:19" ht="17.45" customHeight="1">
      <c r="B97" s="139"/>
      <c r="C97" s="140"/>
      <c r="F97" s="140"/>
      <c r="L97" s="143"/>
      <c r="M97" s="247"/>
      <c r="N97" s="247"/>
      <c r="O97" s="247"/>
      <c r="P97" s="247"/>
      <c r="Q97" s="247"/>
      <c r="R97" s="247"/>
      <c r="S97" s="141"/>
    </row>
    <row r="98" spans="2:19" ht="17.45" customHeight="1">
      <c r="B98" s="139"/>
      <c r="G98" s="155" t="s">
        <v>276</v>
      </c>
      <c r="H98" s="155"/>
      <c r="I98" s="169">
        <f>I47</f>
        <v>45813</v>
      </c>
      <c r="J98" s="167"/>
      <c r="K98" s="167"/>
      <c r="L98" s="143"/>
      <c r="M98" s="153"/>
      <c r="N98" s="153"/>
      <c r="O98" s="153"/>
      <c r="P98" s="153"/>
      <c r="Q98" s="153"/>
      <c r="R98" s="153"/>
      <c r="S98" s="141"/>
    </row>
    <row r="99" spans="2:19" ht="17.45" customHeight="1">
      <c r="B99" s="139"/>
      <c r="G99" s="158" t="s">
        <v>63</v>
      </c>
      <c r="I99" s="194" t="s">
        <v>296</v>
      </c>
      <c r="J99" s="159"/>
      <c r="K99" s="159"/>
      <c r="L99" s="143"/>
      <c r="M99" s="153"/>
      <c r="N99" s="153"/>
      <c r="O99" s="153"/>
      <c r="P99" s="153"/>
      <c r="Q99" s="153"/>
      <c r="R99" s="153"/>
      <c r="S99" s="141"/>
    </row>
    <row r="100" spans="2:19" ht="17.45" customHeight="1">
      <c r="B100" s="144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</row>
    <row r="101" spans="2:19"/>
    <row r="102" spans="2:19"/>
    <row r="103" spans="2:19"/>
    <row r="104" spans="2:19"/>
    <row r="105" spans="2:19"/>
  </sheetData>
  <mergeCells count="28">
    <mergeCell ref="M89:R97"/>
    <mergeCell ref="B68:S68"/>
    <mergeCell ref="M72:R80"/>
    <mergeCell ref="D29:F29"/>
    <mergeCell ref="G29:P29"/>
    <mergeCell ref="D30:F30"/>
    <mergeCell ref="G30:P30"/>
    <mergeCell ref="G27:P27"/>
    <mergeCell ref="M55:R63"/>
    <mergeCell ref="B34:S34"/>
    <mergeCell ref="B51:S51"/>
    <mergeCell ref="B85:S85"/>
    <mergeCell ref="G28:P28"/>
    <mergeCell ref="D12:F12"/>
    <mergeCell ref="G12:I12"/>
    <mergeCell ref="J12:L12"/>
    <mergeCell ref="M38:R48"/>
    <mergeCell ref="N12:R20"/>
    <mergeCell ref="D26:F26"/>
    <mergeCell ref="D24:F24"/>
    <mergeCell ref="G31:P31"/>
    <mergeCell ref="D25:F25"/>
    <mergeCell ref="D27:F27"/>
    <mergeCell ref="D28:F28"/>
    <mergeCell ref="D31:F31"/>
    <mergeCell ref="G24:P24"/>
    <mergeCell ref="G25:P25"/>
    <mergeCell ref="G26:P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K75"/>
  <sheetViews>
    <sheetView showGridLines="0" workbookViewId="0"/>
  </sheetViews>
  <sheetFormatPr defaultRowHeight="15"/>
  <cols>
    <col min="1" max="1" width="3.7109375" customWidth="1"/>
    <col min="2" max="2" width="18.42578125" bestFit="1" customWidth="1"/>
    <col min="3" max="3" width="39.7109375" bestFit="1" customWidth="1"/>
    <col min="4" max="4" width="13.7109375" bestFit="1" customWidth="1"/>
    <col min="6" max="6" width="14.28515625" bestFit="1" customWidth="1"/>
    <col min="7" max="7" width="20.28515625" bestFit="1" customWidth="1"/>
    <col min="10" max="10" width="13.42578125" bestFit="1" customWidth="1"/>
    <col min="11" max="11" width="22.42578125" bestFit="1" customWidth="1"/>
  </cols>
  <sheetData>
    <row r="2" spans="2:7">
      <c r="B2" s="22" t="s">
        <v>80</v>
      </c>
      <c r="C2" s="23" t="s">
        <v>81</v>
      </c>
      <c r="D2" s="12" t="s">
        <v>112</v>
      </c>
      <c r="F2" s="149" t="s">
        <v>80</v>
      </c>
      <c r="G2" t="s">
        <v>1</v>
      </c>
    </row>
    <row r="3" spans="2:7">
      <c r="B3" s="13" t="s">
        <v>1</v>
      </c>
      <c r="C3" s="13" t="s">
        <v>90</v>
      </c>
      <c r="D3" s="29" t="s">
        <v>118</v>
      </c>
      <c r="F3" s="149" t="s">
        <v>81</v>
      </c>
      <c r="G3" t="s">
        <v>281</v>
      </c>
    </row>
    <row r="4" spans="2:7">
      <c r="B4" s="18" t="s">
        <v>1</v>
      </c>
      <c r="C4" s="18" t="s">
        <v>2</v>
      </c>
      <c r="D4" s="29" t="s">
        <v>117</v>
      </c>
    </row>
    <row r="5" spans="2:7">
      <c r="B5" s="13" t="s">
        <v>1</v>
      </c>
      <c r="C5" s="13" t="s">
        <v>5</v>
      </c>
      <c r="D5" s="29" t="s">
        <v>118</v>
      </c>
      <c r="F5" s="149" t="s">
        <v>271</v>
      </c>
      <c r="G5" t="s">
        <v>272</v>
      </c>
    </row>
    <row r="6" spans="2:7">
      <c r="B6" s="13" t="s">
        <v>1</v>
      </c>
      <c r="C6" s="13" t="s">
        <v>6</v>
      </c>
      <c r="D6" s="29" t="s">
        <v>117</v>
      </c>
      <c r="F6" s="150" t="s">
        <v>115</v>
      </c>
      <c r="G6" s="269">
        <v>15</v>
      </c>
    </row>
    <row r="7" spans="2:7">
      <c r="B7" s="13" t="s">
        <v>1</v>
      </c>
      <c r="C7" s="13" t="s">
        <v>7</v>
      </c>
      <c r="D7" s="29" t="s">
        <v>117</v>
      </c>
      <c r="F7" s="150" t="s">
        <v>118</v>
      </c>
      <c r="G7" s="269">
        <v>3</v>
      </c>
    </row>
    <row r="8" spans="2:7">
      <c r="B8" s="13" t="s">
        <v>1</v>
      </c>
      <c r="C8" s="13" t="s">
        <v>8</v>
      </c>
      <c r="D8" s="29" t="s">
        <v>117</v>
      </c>
      <c r="F8" s="150" t="s">
        <v>125</v>
      </c>
      <c r="G8" s="269">
        <v>9</v>
      </c>
    </row>
    <row r="9" spans="2:7">
      <c r="B9" s="13" t="s">
        <v>1</v>
      </c>
      <c r="C9" s="13" t="s">
        <v>9</v>
      </c>
      <c r="D9" s="29" t="s">
        <v>117</v>
      </c>
      <c r="F9" s="150" t="s">
        <v>117</v>
      </c>
      <c r="G9" s="269">
        <v>24</v>
      </c>
    </row>
    <row r="10" spans="2:7">
      <c r="B10" s="13" t="s">
        <v>1</v>
      </c>
      <c r="C10" s="13" t="s">
        <v>10</v>
      </c>
      <c r="D10" s="29" t="s">
        <v>118</v>
      </c>
    </row>
    <row r="11" spans="2:7">
      <c r="B11" s="13" t="s">
        <v>1</v>
      </c>
      <c r="C11" s="13" t="s">
        <v>11</v>
      </c>
      <c r="D11" s="29" t="s">
        <v>125</v>
      </c>
    </row>
    <row r="12" spans="2:7">
      <c r="B12" s="13" t="s">
        <v>1</v>
      </c>
      <c r="C12" s="13" t="s">
        <v>12</v>
      </c>
      <c r="D12" s="29" t="s">
        <v>117</v>
      </c>
    </row>
    <row r="13" spans="2:7">
      <c r="B13" s="13" t="s">
        <v>1</v>
      </c>
      <c r="C13" s="13" t="s">
        <v>13</v>
      </c>
      <c r="D13" s="29" t="s">
        <v>117</v>
      </c>
    </row>
    <row r="14" spans="2:7">
      <c r="B14" s="13" t="s">
        <v>1</v>
      </c>
      <c r="C14" s="13" t="s">
        <v>14</v>
      </c>
      <c r="D14" s="29" t="s">
        <v>117</v>
      </c>
    </row>
    <row r="15" spans="2:7">
      <c r="B15" s="13" t="s">
        <v>1</v>
      </c>
      <c r="C15" s="13" t="s">
        <v>15</v>
      </c>
      <c r="D15" s="29" t="s">
        <v>115</v>
      </c>
    </row>
    <row r="16" spans="2:7">
      <c r="B16" s="13" t="s">
        <v>1</v>
      </c>
      <c r="C16" s="13" t="s">
        <v>16</v>
      </c>
      <c r="D16" s="29" t="s">
        <v>115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115</v>
      </c>
      <c r="F17" s="149" t="s">
        <v>81</v>
      </c>
      <c r="G17" t="s">
        <v>281</v>
      </c>
    </row>
    <row r="18" spans="2:11">
      <c r="B18" s="13" t="s">
        <v>1</v>
      </c>
      <c r="C18" s="13" t="s">
        <v>18</v>
      </c>
      <c r="D18" s="29" t="s">
        <v>117</v>
      </c>
    </row>
    <row r="19" spans="2:11">
      <c r="B19" s="13" t="s">
        <v>1</v>
      </c>
      <c r="C19" s="13" t="s">
        <v>19</v>
      </c>
      <c r="D19" s="29" t="s">
        <v>115</v>
      </c>
      <c r="F19" s="149" t="s">
        <v>271</v>
      </c>
      <c r="G19" t="s">
        <v>272</v>
      </c>
    </row>
    <row r="20" spans="2:11">
      <c r="B20" s="13" t="s">
        <v>1</v>
      </c>
      <c r="C20" s="13" t="s">
        <v>20</v>
      </c>
      <c r="D20" s="29" t="s">
        <v>117</v>
      </c>
      <c r="F20" s="150" t="s">
        <v>115</v>
      </c>
      <c r="G20" s="269">
        <v>5</v>
      </c>
    </row>
    <row r="21" spans="2:11">
      <c r="B21" s="13" t="s">
        <v>1</v>
      </c>
      <c r="C21" s="13" t="s">
        <v>21</v>
      </c>
      <c r="D21" s="29" t="s">
        <v>117</v>
      </c>
      <c r="F21" s="150" t="s">
        <v>118</v>
      </c>
      <c r="G21" s="269">
        <v>2</v>
      </c>
    </row>
    <row r="22" spans="2:11">
      <c r="B22" s="13" t="s">
        <v>1</v>
      </c>
      <c r="C22" s="13" t="s">
        <v>22</v>
      </c>
      <c r="D22" s="29" t="s">
        <v>125</v>
      </c>
    </row>
    <row r="23" spans="2:11">
      <c r="B23" s="13" t="s">
        <v>1</v>
      </c>
      <c r="C23" s="13" t="s">
        <v>23</v>
      </c>
      <c r="D23" s="29" t="s">
        <v>117</v>
      </c>
    </row>
    <row r="24" spans="2:11">
      <c r="B24" s="13" t="s">
        <v>1</v>
      </c>
      <c r="C24" s="13" t="s">
        <v>24</v>
      </c>
      <c r="D24" s="29" t="s">
        <v>117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115</v>
      </c>
      <c r="F25" s="149" t="s">
        <v>81</v>
      </c>
      <c r="G25" t="s">
        <v>281</v>
      </c>
      <c r="J25" s="149" t="s">
        <v>81</v>
      </c>
      <c r="K25" t="s">
        <v>281</v>
      </c>
    </row>
    <row r="26" spans="2:11">
      <c r="B26" s="13" t="s">
        <v>1</v>
      </c>
      <c r="C26" s="13" t="s">
        <v>26</v>
      </c>
      <c r="D26" s="29" t="s">
        <v>115</v>
      </c>
    </row>
    <row r="27" spans="2:11">
      <c r="B27" s="13" t="s">
        <v>1</v>
      </c>
      <c r="C27" s="13" t="s">
        <v>27</v>
      </c>
      <c r="D27" s="29" t="s">
        <v>115</v>
      </c>
      <c r="F27" s="149" t="s">
        <v>271</v>
      </c>
      <c r="G27" t="s">
        <v>272</v>
      </c>
      <c r="J27" s="149" t="s">
        <v>271</v>
      </c>
      <c r="K27" t="s">
        <v>272</v>
      </c>
    </row>
    <row r="28" spans="2:11">
      <c r="B28" s="13" t="s">
        <v>1</v>
      </c>
      <c r="C28" s="13" t="s">
        <v>28</v>
      </c>
      <c r="D28" s="29" t="s">
        <v>115</v>
      </c>
      <c r="F28" s="150" t="s">
        <v>125</v>
      </c>
      <c r="G28" s="269">
        <v>6</v>
      </c>
      <c r="J28" s="150" t="s">
        <v>115</v>
      </c>
      <c r="K28" s="269">
        <v>2</v>
      </c>
    </row>
    <row r="29" spans="2:11">
      <c r="B29" s="13" t="s">
        <v>1</v>
      </c>
      <c r="C29" s="13" t="s">
        <v>29</v>
      </c>
      <c r="D29" s="29" t="s">
        <v>115</v>
      </c>
      <c r="J29" s="150" t="s">
        <v>118</v>
      </c>
      <c r="K29" s="269">
        <v>3</v>
      </c>
    </row>
    <row r="30" spans="2:11">
      <c r="B30" s="13" t="s">
        <v>1</v>
      </c>
      <c r="C30" s="13" t="s">
        <v>30</v>
      </c>
      <c r="D30" s="29" t="s">
        <v>115</v>
      </c>
    </row>
    <row r="31" spans="2:11">
      <c r="B31" s="13" t="s">
        <v>1</v>
      </c>
      <c r="C31" s="13" t="s">
        <v>31</v>
      </c>
      <c r="D31" s="29" t="s">
        <v>115</v>
      </c>
    </row>
    <row r="32" spans="2:11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117</v>
      </c>
    </row>
    <row r="34" spans="2:4">
      <c r="B34" s="13" t="s">
        <v>1</v>
      </c>
      <c r="C34" s="13" t="s">
        <v>34</v>
      </c>
      <c r="D34" s="29" t="s">
        <v>117</v>
      </c>
    </row>
    <row r="35" spans="2:4">
      <c r="B35" s="13" t="s">
        <v>1</v>
      </c>
      <c r="C35" s="13" t="s">
        <v>35</v>
      </c>
      <c r="D35" s="29" t="s">
        <v>125</v>
      </c>
    </row>
    <row r="36" spans="2:4">
      <c r="B36" s="13" t="s">
        <v>1</v>
      </c>
      <c r="C36" s="13" t="s">
        <v>36</v>
      </c>
      <c r="D36" s="29" t="s">
        <v>118</v>
      </c>
    </row>
    <row r="37" spans="2:4">
      <c r="B37" s="13" t="s">
        <v>1</v>
      </c>
      <c r="C37" s="13" t="s">
        <v>37</v>
      </c>
      <c r="D37" s="29" t="s">
        <v>125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125</v>
      </c>
    </row>
    <row r="40" spans="2:4">
      <c r="B40" s="13" t="s">
        <v>1</v>
      </c>
      <c r="C40" s="13" t="s">
        <v>40</v>
      </c>
      <c r="D40" s="29" t="s">
        <v>117</v>
      </c>
    </row>
    <row r="41" spans="2:4">
      <c r="B41" s="13" t="s">
        <v>1</v>
      </c>
      <c r="C41" s="13" t="s">
        <v>41</v>
      </c>
      <c r="D41" s="29" t="s">
        <v>117</v>
      </c>
    </row>
    <row r="42" spans="2:4">
      <c r="B42" s="13" t="s">
        <v>1</v>
      </c>
      <c r="C42" s="13" t="s">
        <v>42</v>
      </c>
      <c r="D42" s="29" t="s">
        <v>125</v>
      </c>
    </row>
    <row r="43" spans="2:4">
      <c r="B43" s="13" t="s">
        <v>1</v>
      </c>
      <c r="C43" s="13" t="s">
        <v>43</v>
      </c>
      <c r="D43" s="29" t="s">
        <v>117</v>
      </c>
    </row>
    <row r="44" spans="2:4">
      <c r="B44" s="13" t="s">
        <v>1</v>
      </c>
      <c r="C44" s="13" t="s">
        <v>44</v>
      </c>
      <c r="D44" s="29" t="s">
        <v>117</v>
      </c>
    </row>
    <row r="45" spans="2:4">
      <c r="B45" s="13" t="s">
        <v>1</v>
      </c>
      <c r="C45" s="13" t="s">
        <v>45</v>
      </c>
      <c r="D45" s="29" t="s">
        <v>125</v>
      </c>
    </row>
    <row r="46" spans="2:4">
      <c r="B46" s="13" t="s">
        <v>1</v>
      </c>
      <c r="C46" s="13" t="s">
        <v>46</v>
      </c>
      <c r="D46" s="29" t="s">
        <v>117</v>
      </c>
    </row>
    <row r="47" spans="2:4">
      <c r="B47" s="13" t="s">
        <v>1</v>
      </c>
      <c r="C47" s="13" t="s">
        <v>47</v>
      </c>
      <c r="D47" s="29" t="s">
        <v>117</v>
      </c>
    </row>
    <row r="48" spans="2:4">
      <c r="B48" s="13" t="s">
        <v>1</v>
      </c>
      <c r="C48" s="13" t="s">
        <v>48</v>
      </c>
      <c r="D48" s="29" t="s">
        <v>117</v>
      </c>
    </row>
    <row r="49" spans="2:4">
      <c r="B49" s="13" t="s">
        <v>1</v>
      </c>
      <c r="C49" s="13" t="s">
        <v>49</v>
      </c>
      <c r="D49" s="29" t="s">
        <v>117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125</v>
      </c>
    </row>
    <row r="53" spans="2:4">
      <c r="B53" s="13" t="s">
        <v>1</v>
      </c>
      <c r="C53" s="13" t="s">
        <v>53</v>
      </c>
      <c r="D53" s="29" t="s">
        <v>117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115</v>
      </c>
    </row>
    <row r="57" spans="2:4">
      <c r="B57" s="13" t="s">
        <v>55</v>
      </c>
      <c r="C57" s="13" t="s">
        <v>38</v>
      </c>
      <c r="D57" s="29" t="s">
        <v>115</v>
      </c>
    </row>
    <row r="58" spans="2:4">
      <c r="B58" s="13" t="s">
        <v>55</v>
      </c>
      <c r="C58" s="13" t="s">
        <v>56</v>
      </c>
      <c r="D58" s="29" t="s">
        <v>115</v>
      </c>
    </row>
    <row r="59" spans="2:4">
      <c r="B59" s="13" t="s">
        <v>55</v>
      </c>
      <c r="C59" s="13" t="s">
        <v>57</v>
      </c>
      <c r="D59" s="29" t="s">
        <v>115</v>
      </c>
    </row>
    <row r="60" spans="2:4">
      <c r="B60" s="13" t="s">
        <v>55</v>
      </c>
      <c r="C60" s="13" t="s">
        <v>58</v>
      </c>
      <c r="D60" s="29" t="s">
        <v>118</v>
      </c>
    </row>
    <row r="61" spans="2:4">
      <c r="B61" s="13" t="s">
        <v>55</v>
      </c>
      <c r="C61" s="13" t="s">
        <v>59</v>
      </c>
      <c r="D61" s="29" t="s">
        <v>115</v>
      </c>
    </row>
    <row r="62" spans="2:4">
      <c r="B62" s="13" t="s">
        <v>55</v>
      </c>
      <c r="C62" s="13" t="s">
        <v>60</v>
      </c>
      <c r="D62" s="29" t="s">
        <v>118</v>
      </c>
    </row>
    <row r="63" spans="2:4">
      <c r="B63" s="13" t="s">
        <v>61</v>
      </c>
      <c r="C63" s="13" t="s">
        <v>90</v>
      </c>
      <c r="D63" s="29" t="s">
        <v>118</v>
      </c>
    </row>
    <row r="64" spans="2:4">
      <c r="B64" s="13" t="s">
        <v>61</v>
      </c>
      <c r="C64" s="13" t="s">
        <v>36</v>
      </c>
      <c r="D64" s="29" t="s">
        <v>115</v>
      </c>
    </row>
    <row r="65" spans="2:4">
      <c r="B65" s="13" t="s">
        <v>61</v>
      </c>
      <c r="C65" s="13" t="s">
        <v>38</v>
      </c>
      <c r="D65" s="29" t="s">
        <v>115</v>
      </c>
    </row>
    <row r="66" spans="2:4">
      <c r="B66" s="13" t="s">
        <v>61</v>
      </c>
      <c r="C66" s="13" t="s">
        <v>54</v>
      </c>
      <c r="D66" s="29" t="s">
        <v>118</v>
      </c>
    </row>
    <row r="67" spans="2:4">
      <c r="B67" s="13" t="s">
        <v>61</v>
      </c>
      <c r="C67" s="13" t="s">
        <v>56</v>
      </c>
      <c r="D67" s="29" t="s">
        <v>118</v>
      </c>
    </row>
    <row r="68" spans="2:4">
      <c r="B68" s="13" t="s">
        <v>61</v>
      </c>
      <c r="C68" s="13" t="s">
        <v>62</v>
      </c>
      <c r="D68" s="29" t="s">
        <v>118</v>
      </c>
    </row>
    <row r="69" spans="2:4">
      <c r="B69" s="13" t="s">
        <v>63</v>
      </c>
      <c r="C69" s="13" t="s">
        <v>90</v>
      </c>
      <c r="D69" s="29" t="s">
        <v>125</v>
      </c>
    </row>
    <row r="70" spans="2:4">
      <c r="B70" s="13" t="s">
        <v>63</v>
      </c>
      <c r="C70" s="13" t="s">
        <v>64</v>
      </c>
      <c r="D70" s="29" t="s">
        <v>125</v>
      </c>
    </row>
    <row r="71" spans="2:4">
      <c r="B71" s="13" t="s">
        <v>63</v>
      </c>
      <c r="C71" s="13" t="s">
        <v>65</v>
      </c>
      <c r="D71" s="29" t="s">
        <v>125</v>
      </c>
    </row>
    <row r="72" spans="2:4">
      <c r="B72" s="13" t="s">
        <v>63</v>
      </c>
      <c r="C72" s="13" t="s">
        <v>66</v>
      </c>
      <c r="D72" s="29" t="s">
        <v>125</v>
      </c>
    </row>
    <row r="73" spans="2:4">
      <c r="B73" s="13" t="s">
        <v>63</v>
      </c>
      <c r="C73" s="13" t="s">
        <v>36</v>
      </c>
      <c r="D73" s="29" t="s">
        <v>125</v>
      </c>
    </row>
    <row r="74" spans="2:4">
      <c r="B74" s="13" t="s">
        <v>63</v>
      </c>
      <c r="C74" s="13" t="s">
        <v>38</v>
      </c>
      <c r="D74" s="29" t="s">
        <v>125</v>
      </c>
    </row>
    <row r="75" spans="2:4">
      <c r="B75" s="13" t="s">
        <v>63</v>
      </c>
      <c r="C75" s="13" t="s">
        <v>54</v>
      </c>
      <c r="D75" s="29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0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6" width="0.85546875" style="3" customWidth="1"/>
    <col min="7" max="21" width="3.7109375" style="47" customWidth="1"/>
    <col min="22" max="52" width="3.7109375" style="3" customWidth="1"/>
    <col min="53" max="16384" width="9.140625" style="3" hidden="1"/>
  </cols>
  <sheetData>
    <row r="1" spans="1:52" ht="16.149999999999999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5" customHeight="1"/>
    <row r="9" spans="1:52">
      <c r="B9" s="162" t="s">
        <v>282</v>
      </c>
      <c r="C9" s="105" t="s">
        <v>251</v>
      </c>
    </row>
    <row r="10" spans="1:52" ht="14.25">
      <c r="B10" s="92" t="s">
        <v>246</v>
      </c>
      <c r="C10" s="105" t="s">
        <v>253</v>
      </c>
    </row>
    <row r="11" spans="1:52" ht="15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5">
      <c r="B12" s="16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250" t="s">
        <v>135</v>
      </c>
      <c r="H14" s="251"/>
      <c r="I14" s="251"/>
      <c r="J14" s="252"/>
      <c r="K14" s="250" t="s">
        <v>136</v>
      </c>
      <c r="L14" s="251"/>
      <c r="M14" s="251"/>
      <c r="N14" s="251"/>
      <c r="O14" s="252"/>
      <c r="P14" s="250" t="s">
        <v>137</v>
      </c>
      <c r="Q14" s="251"/>
      <c r="R14" s="251"/>
      <c r="S14" s="251"/>
      <c r="T14" s="252"/>
      <c r="U14" s="250" t="s">
        <v>138</v>
      </c>
      <c r="V14" s="251"/>
      <c r="W14" s="251"/>
      <c r="X14" s="251"/>
      <c r="Y14" s="251"/>
      <c r="Z14" s="250" t="s">
        <v>139</v>
      </c>
      <c r="AA14" s="251"/>
      <c r="AB14" s="251"/>
      <c r="AC14" s="251"/>
      <c r="AD14" s="251"/>
      <c r="AE14" s="252"/>
      <c r="AF14" s="250" t="s">
        <v>140</v>
      </c>
      <c r="AG14" s="251"/>
      <c r="AH14" s="251"/>
      <c r="AI14" s="251"/>
      <c r="AJ14" s="251"/>
      <c r="AK14" s="250" t="s">
        <v>141</v>
      </c>
      <c r="AL14" s="251"/>
      <c r="AM14" s="251"/>
      <c r="AN14" s="252"/>
      <c r="AO14" s="250" t="s">
        <v>142</v>
      </c>
      <c r="AP14" s="251"/>
      <c r="AQ14" s="251"/>
      <c r="AR14" s="251"/>
      <c r="AS14" s="251"/>
      <c r="AT14" s="250" t="s">
        <v>143</v>
      </c>
      <c r="AU14" s="251"/>
      <c r="AV14" s="251"/>
      <c r="AW14" s="251"/>
      <c r="AX14" s="251"/>
      <c r="AY14" s="252"/>
    </row>
    <row r="15" spans="1:52" ht="15" customHeight="1" thickBot="1">
      <c r="B15" s="50" t="s">
        <v>128</v>
      </c>
      <c r="C15" s="250" t="s">
        <v>129</v>
      </c>
      <c r="D15" s="252"/>
      <c r="E15" s="50" t="s">
        <v>130</v>
      </c>
      <c r="G15" s="253" t="s">
        <v>257</v>
      </c>
      <c r="H15" s="254"/>
      <c r="I15" s="254"/>
      <c r="J15" s="255"/>
      <c r="K15" s="253" t="s">
        <v>258</v>
      </c>
      <c r="L15" s="254"/>
      <c r="M15" s="254"/>
      <c r="N15" s="254"/>
      <c r="O15" s="255"/>
      <c r="P15" s="253" t="s">
        <v>259</v>
      </c>
      <c r="Q15" s="254"/>
      <c r="R15" s="254"/>
      <c r="S15" s="254"/>
      <c r="T15" s="255"/>
      <c r="U15" s="253" t="s">
        <v>260</v>
      </c>
      <c r="V15" s="254"/>
      <c r="W15" s="254"/>
      <c r="X15" s="254"/>
      <c r="Y15" s="255"/>
      <c r="Z15" s="256" t="s">
        <v>261</v>
      </c>
      <c r="AA15" s="257"/>
      <c r="AB15" s="257"/>
      <c r="AC15" s="257"/>
      <c r="AD15" s="257"/>
      <c r="AE15" s="258"/>
      <c r="AF15" s="253" t="s">
        <v>262</v>
      </c>
      <c r="AG15" s="254"/>
      <c r="AH15" s="254"/>
      <c r="AI15" s="254"/>
      <c r="AJ15" s="255"/>
      <c r="AK15" s="253" t="s">
        <v>263</v>
      </c>
      <c r="AL15" s="254"/>
      <c r="AM15" s="254"/>
      <c r="AN15" s="255"/>
      <c r="AO15" s="253" t="s">
        <v>264</v>
      </c>
      <c r="AP15" s="254"/>
      <c r="AQ15" s="254"/>
      <c r="AR15" s="254"/>
      <c r="AS15" s="255"/>
      <c r="AT15" s="253" t="s">
        <v>265</v>
      </c>
      <c r="AU15" s="254"/>
      <c r="AV15" s="254"/>
      <c r="AW15" s="254"/>
      <c r="AX15" s="254"/>
      <c r="AY15" s="255"/>
    </row>
    <row r="16" spans="1:52" s="8" customFormat="1" ht="15" customHeight="1">
      <c r="B16" s="55" t="s">
        <v>144</v>
      </c>
      <c r="C16" s="260" t="s">
        <v>145</v>
      </c>
      <c r="D16" s="260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61" t="s">
        <v>236</v>
      </c>
      <c r="D17" s="261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61" t="s">
        <v>148</v>
      </c>
      <c r="D18" s="261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59" t="s">
        <v>150</v>
      </c>
      <c r="D19" s="259"/>
      <c r="E19" s="53"/>
      <c r="G19" s="162" t="s">
        <v>282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59" t="s">
        <v>167</v>
      </c>
      <c r="D33" s="259"/>
      <c r="E33" s="53"/>
      <c r="G33" s="162" t="s">
        <v>282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59" t="s">
        <v>183</v>
      </c>
      <c r="D48" s="259"/>
      <c r="E48" s="53"/>
      <c r="G48" s="54"/>
      <c r="H48" s="54"/>
      <c r="I48" s="54"/>
      <c r="J48" s="119"/>
      <c r="K48" s="54"/>
      <c r="L48" s="162" t="s">
        <v>282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59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59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59" t="s">
        <v>200</v>
      </c>
      <c r="D61" s="259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282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59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59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59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59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59" t="s">
        <v>228</v>
      </c>
      <c r="D88" s="259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282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59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59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59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59" t="s">
        <v>239</v>
      </c>
      <c r="D97" s="259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59" t="s">
        <v>243</v>
      </c>
      <c r="D99" s="259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40625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9" width="8.7109375" style="3" customWidth="1"/>
    <col min="10" max="11" width="8.7109375" style="3" hidden="1" customWidth="1"/>
    <col min="12" max="12" width="10.28515625" style="3" hidden="1" customWidth="1"/>
    <col min="13" max="13" width="6.28515625" style="3" customWidth="1"/>
    <col min="14" max="14" width="0.85546875" style="3" customWidth="1"/>
    <col min="15" max="16" width="6.42578125" style="47" bestFit="1" customWidth="1"/>
    <col min="17" max="17" width="6.7109375" style="47" bestFit="1" customWidth="1"/>
    <col min="18" max="34" width="6.42578125" style="47" bestFit="1" customWidth="1"/>
    <col min="35" max="77" width="5.7109375" style="3" customWidth="1"/>
    <col min="78" max="78" width="3.7109375" style="3" customWidth="1"/>
    <col min="79" max="16384" width="9.140625" style="3"/>
  </cols>
  <sheetData>
    <row r="1" spans="1:78" ht="16.149999999999999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5" customHeight="1"/>
    <row r="9" spans="1:78">
      <c r="B9" s="162" t="s">
        <v>282</v>
      </c>
      <c r="C9" s="105" t="s">
        <v>251</v>
      </c>
    </row>
    <row r="10" spans="1:78" ht="14.25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5" thickBot="1">
      <c r="L14" s="3" t="s">
        <v>256</v>
      </c>
    </row>
    <row r="15" spans="1:78" ht="15" customHeight="1" thickBot="1">
      <c r="F15" s="262" t="s">
        <v>131</v>
      </c>
      <c r="G15" s="262"/>
      <c r="H15" s="262" t="s">
        <v>134</v>
      </c>
      <c r="I15" s="262"/>
      <c r="J15" s="264" t="s">
        <v>114</v>
      </c>
      <c r="K15" s="264"/>
      <c r="L15" s="11"/>
      <c r="M15" s="11"/>
      <c r="O15" s="263" t="s">
        <v>135</v>
      </c>
      <c r="P15" s="263"/>
      <c r="Q15" s="263"/>
      <c r="R15" s="263"/>
      <c r="S15" s="263"/>
      <c r="T15" s="263"/>
      <c r="U15" s="263"/>
      <c r="V15" s="263" t="s">
        <v>136</v>
      </c>
      <c r="W15" s="263"/>
      <c r="X15" s="263"/>
      <c r="Y15" s="263"/>
      <c r="Z15" s="263"/>
      <c r="AA15" s="263"/>
      <c r="AB15" s="263"/>
      <c r="AC15" s="263" t="s">
        <v>137</v>
      </c>
      <c r="AD15" s="263"/>
      <c r="AE15" s="263"/>
      <c r="AF15" s="263"/>
      <c r="AG15" s="263"/>
      <c r="AH15" s="263"/>
      <c r="AI15" s="263"/>
      <c r="AJ15" s="263" t="s">
        <v>138</v>
      </c>
      <c r="AK15" s="263"/>
      <c r="AL15" s="263"/>
      <c r="AM15" s="263"/>
      <c r="AN15" s="263"/>
      <c r="AO15" s="263"/>
      <c r="AP15" s="263"/>
      <c r="AQ15" s="263" t="s">
        <v>139</v>
      </c>
      <c r="AR15" s="263"/>
      <c r="AS15" s="263"/>
      <c r="AT15" s="263"/>
      <c r="AU15" s="263"/>
      <c r="AV15" s="263"/>
      <c r="AW15" s="263"/>
      <c r="AX15" s="263" t="s">
        <v>140</v>
      </c>
      <c r="AY15" s="263"/>
      <c r="AZ15" s="263"/>
      <c r="BA15" s="263"/>
      <c r="BB15" s="263"/>
      <c r="BC15" s="263"/>
      <c r="BD15" s="263"/>
      <c r="BE15" s="263" t="s">
        <v>141</v>
      </c>
      <c r="BF15" s="263"/>
      <c r="BG15" s="263"/>
      <c r="BH15" s="263"/>
      <c r="BI15" s="263"/>
      <c r="BJ15" s="263"/>
      <c r="BK15" s="263"/>
      <c r="BL15" s="263" t="s">
        <v>142</v>
      </c>
      <c r="BM15" s="263"/>
      <c r="BN15" s="263"/>
      <c r="BO15" s="263"/>
      <c r="BP15" s="263"/>
      <c r="BQ15" s="263"/>
      <c r="BR15" s="263"/>
      <c r="BS15" s="263" t="s">
        <v>143</v>
      </c>
      <c r="BT15" s="263"/>
      <c r="BU15" s="263"/>
      <c r="BV15" s="263"/>
      <c r="BW15" s="263"/>
      <c r="BX15" s="263"/>
      <c r="BY15" s="263"/>
    </row>
    <row r="16" spans="1:78" ht="15" customHeight="1" thickBot="1">
      <c r="B16" s="50" t="s">
        <v>128</v>
      </c>
      <c r="C16" s="250" t="s">
        <v>129</v>
      </c>
      <c r="D16" s="252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60" t="s">
        <v>145</v>
      </c>
      <c r="D17" s="260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61" t="s">
        <v>236</v>
      </c>
      <c r="D18" s="261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61" t="s">
        <v>148</v>
      </c>
      <c r="D19" s="261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59" t="s">
        <v>150</v>
      </c>
      <c r="D20" s="259"/>
      <c r="E20" s="53"/>
      <c r="F20" s="53"/>
      <c r="G20" s="53"/>
      <c r="H20" s="53"/>
      <c r="I20" s="96"/>
      <c r="J20" s="96"/>
      <c r="K20" s="96"/>
      <c r="L20" s="53"/>
      <c r="O20" s="162" t="s">
        <v>282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164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164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224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24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224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224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224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224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224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224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224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164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164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59" t="s">
        <v>167</v>
      </c>
      <c r="D34" s="259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282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225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225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225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226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225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225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134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134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0</v>
      </c>
      <c r="I43" s="82">
        <f t="shared" ca="1" si="8"/>
        <v>0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59" t="s">
        <v>183</v>
      </c>
      <c r="D49" s="259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282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227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27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227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164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227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27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134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134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134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134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227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134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59" t="s">
        <v>200</v>
      </c>
      <c r="D62" s="259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282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59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2</v>
      </c>
      <c r="I80" s="82">
        <f t="shared" ca="1" si="11"/>
        <v>0.25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0</v>
      </c>
      <c r="I81" s="82">
        <f t="shared" ca="1" si="11"/>
        <v>0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0</v>
      </c>
      <c r="I82" s="82">
        <f t="shared" ca="1" si="11"/>
        <v>0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0</v>
      </c>
      <c r="I83" s="82">
        <f t="shared" ca="1" si="11"/>
        <v>0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0</v>
      </c>
      <c r="I84" s="82">
        <f t="shared" ca="1" si="11"/>
        <v>0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0</v>
      </c>
      <c r="I85" s="82">
        <f t="shared" ca="1" si="11"/>
        <v>0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0</v>
      </c>
      <c r="I86" s="82">
        <f t="shared" ca="1" si="11"/>
        <v>0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0</v>
      </c>
      <c r="I87" s="82">
        <f t="shared" ca="1" si="11"/>
        <v>0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59" t="s">
        <v>228</v>
      </c>
      <c r="D89" s="259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282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0</v>
      </c>
      <c r="I90" s="82">
        <f t="shared" ref="I90:I97" ca="1" si="14">H90/8</f>
        <v>0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0</v>
      </c>
      <c r="I91" s="82">
        <f t="shared" ca="1" si="14"/>
        <v>0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0</v>
      </c>
      <c r="I92" s="82">
        <f t="shared" ca="1" si="14"/>
        <v>0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0</v>
      </c>
      <c r="I93" s="82">
        <f t="shared" ca="1" si="14"/>
        <v>0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0</v>
      </c>
      <c r="I94" s="82">
        <f t="shared" ca="1" si="14"/>
        <v>0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0</v>
      </c>
      <c r="I95" s="82">
        <f t="shared" ca="1" si="14"/>
        <v>0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0</v>
      </c>
      <c r="I96" s="82">
        <f t="shared" ca="1" si="14"/>
        <v>0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0</v>
      </c>
      <c r="I97" s="82">
        <f t="shared" ca="1" si="14"/>
        <v>0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59" t="s">
        <v>239</v>
      </c>
      <c r="D98" s="259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282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59" t="s">
        <v>243</v>
      </c>
      <c r="D100" s="259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282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Normal="100" workbookViewId="0">
      <pane xSplit="3" ySplit="8" topLeftCell="N9" activePane="bottomRight" state="frozen"/>
      <selection pane="topRight" activeCell="D1" sqref="D1"/>
      <selection pane="bottomLeft" activeCell="A9" sqref="A9"/>
      <selection pane="bottomRight"/>
    </sheetView>
  </sheetViews>
  <sheetFormatPr defaultColWidth="0" defaultRowHeight="15" outlineLevelCol="1"/>
  <cols>
    <col min="1" max="1" width="3.7109375" style="3" customWidth="1"/>
    <col min="2" max="2" width="20.140625" style="3" bestFit="1" customWidth="1"/>
    <col min="3" max="3" width="39.140625" style="3" bestFit="1" customWidth="1"/>
    <col min="4" max="4" width="8.28515625" style="3" hidden="1" customWidth="1"/>
    <col min="5" max="5" width="10.140625" style="3" hidden="1" customWidth="1" outlineLevel="1"/>
    <col min="6" max="6" width="17" style="3" hidden="1" customWidth="1" outlineLevel="1"/>
    <col min="7" max="7" width="12.5703125" style="3" hidden="1" customWidth="1" outlineLevel="1"/>
    <col min="8" max="8" width="16.7109375" style="8" hidden="1" customWidth="1" collapsed="1"/>
    <col min="9" max="11" width="15.7109375" style="3" hidden="1" customWidth="1"/>
    <col min="12" max="12" width="2.7109375" hidden="1" customWidth="1"/>
    <col min="13" max="13" width="13.85546875" style="3" hidden="1" customWidth="1"/>
    <col min="14" max="15" width="24.42578125" style="8" hidden="1" customWidth="1"/>
    <col min="16" max="16" width="2.7109375" style="3" hidden="1" customWidth="1"/>
    <col min="17" max="19" width="20.7109375" style="3" hidden="1" customWidth="1"/>
    <col min="20" max="20" width="2.7109375" style="3" customWidth="1"/>
    <col min="21" max="22" width="22.7109375" style="3" customWidth="1"/>
    <col min="23" max="23" width="3.7109375" style="3" customWidth="1"/>
    <col min="24" max="16384" width="8.85546875" style="3" hidden="1"/>
  </cols>
  <sheetData>
    <row r="1" spans="1:23" ht="16.149999999999999" customHeight="1">
      <c r="L1" s="3"/>
    </row>
    <row r="2" spans="1:23" ht="12.7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2.7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2.7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65" t="s">
        <v>69</v>
      </c>
      <c r="J7" s="265"/>
      <c r="K7" s="265"/>
      <c r="Q7" s="266" t="s">
        <v>89</v>
      </c>
      <c r="R7" s="267"/>
      <c r="S7" s="268"/>
    </row>
    <row r="8" spans="1:23" ht="15" customHeight="1">
      <c r="B8" s="22" t="s">
        <v>80</v>
      </c>
      <c r="C8" s="23" t="s">
        <v>81</v>
      </c>
      <c r="D8" s="23" t="s">
        <v>297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88</v>
      </c>
      <c r="R8" s="24" t="s">
        <v>83</v>
      </c>
      <c r="S8" s="25" t="s">
        <v>87</v>
      </c>
      <c r="U8" s="12" t="s">
        <v>112</v>
      </c>
      <c r="V8" s="30" t="s">
        <v>113</v>
      </c>
    </row>
    <row r="9" spans="1:23">
      <c r="B9" s="13" t="s">
        <v>1</v>
      </c>
      <c r="C9" s="13" t="s">
        <v>90</v>
      </c>
      <c r="D9" s="13" t="str">
        <f t="shared" ref="D9:D40" si="0">_xlfn.CONCAT(B9,C9)</f>
        <v>lt002_instrumentUNIVERSO</v>
      </c>
      <c r="E9" s="14" t="s">
        <v>91</v>
      </c>
      <c r="F9" s="14" t="s">
        <v>91</v>
      </c>
      <c r="G9" s="14" t="s">
        <v>91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/>
      <c r="O9" s="14" t="s">
        <v>283</v>
      </c>
      <c r="Q9" s="15"/>
      <c r="R9" s="15"/>
      <c r="S9" s="15"/>
      <c r="U9" s="29" t="s">
        <v>118</v>
      </c>
      <c r="V9" s="29" t="s">
        <v>118</v>
      </c>
    </row>
    <row r="10" spans="1:23">
      <c r="B10" s="18" t="s">
        <v>1</v>
      </c>
      <c r="C10" s="18" t="s">
        <v>2</v>
      </c>
      <c r="D10" s="200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283</v>
      </c>
      <c r="O10" s="14" t="s">
        <v>283</v>
      </c>
      <c r="Q10" s="20">
        <v>45803</v>
      </c>
      <c r="R10" s="20"/>
      <c r="S10" s="20"/>
      <c r="U10" s="29" t="s">
        <v>117</v>
      </c>
      <c r="V10" s="29" t="s">
        <v>117</v>
      </c>
    </row>
    <row r="11" spans="1:23"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/>
      <c r="S11" s="15"/>
      <c r="U11" s="29" t="s">
        <v>118</v>
      </c>
      <c r="V11" s="29" t="s">
        <v>118</v>
      </c>
    </row>
    <row r="12" spans="1:23"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283</v>
      </c>
      <c r="O12" s="14" t="s">
        <v>283</v>
      </c>
      <c r="Q12" s="197">
        <v>45803</v>
      </c>
      <c r="R12" s="15"/>
      <c r="S12" s="15"/>
      <c r="U12" s="29" t="s">
        <v>117</v>
      </c>
      <c r="V12" s="29" t="s">
        <v>117</v>
      </c>
    </row>
    <row r="13" spans="1:23"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283</v>
      </c>
      <c r="O13" s="14" t="s">
        <v>283</v>
      </c>
      <c r="Q13" s="197">
        <v>45803</v>
      </c>
      <c r="R13" s="15"/>
      <c r="S13" s="15"/>
      <c r="U13" s="29" t="s">
        <v>117</v>
      </c>
      <c r="V13" s="29" t="s">
        <v>117</v>
      </c>
    </row>
    <row r="14" spans="1:23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283</v>
      </c>
      <c r="O14" s="14" t="s">
        <v>283</v>
      </c>
      <c r="Q14" s="20">
        <v>45803</v>
      </c>
      <c r="R14" s="15"/>
      <c r="S14" s="15"/>
      <c r="U14" s="29" t="s">
        <v>117</v>
      </c>
      <c r="V14" s="29" t="s">
        <v>117</v>
      </c>
    </row>
    <row r="15" spans="1:23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283</v>
      </c>
      <c r="O15" s="14" t="s">
        <v>283</v>
      </c>
      <c r="Q15" s="197">
        <v>45803</v>
      </c>
      <c r="R15" s="15"/>
      <c r="S15" s="15"/>
      <c r="U15" s="29" t="s">
        <v>117</v>
      </c>
      <c r="V15" s="29" t="s">
        <v>117</v>
      </c>
    </row>
    <row r="16" spans="1:23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6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/>
      <c r="R16" s="15"/>
      <c r="S16" s="15"/>
      <c r="U16" s="29" t="s">
        <v>118</v>
      </c>
      <c r="V16" s="29" t="s">
        <v>118</v>
      </c>
    </row>
    <row r="17" spans="2:22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/>
      <c r="R17" s="15"/>
      <c r="S17" s="15"/>
      <c r="U17" s="29" t="s">
        <v>125</v>
      </c>
      <c r="V17" s="29" t="s">
        <v>125</v>
      </c>
    </row>
    <row r="18" spans="2:22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283</v>
      </c>
      <c r="O18" s="14" t="s">
        <v>283</v>
      </c>
      <c r="Q18" s="197">
        <v>45803</v>
      </c>
      <c r="R18" s="15"/>
      <c r="S18" s="15"/>
      <c r="U18" s="29" t="s">
        <v>117</v>
      </c>
      <c r="V18" s="29" t="s">
        <v>117</v>
      </c>
    </row>
    <row r="19" spans="2:22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283</v>
      </c>
      <c r="O19" s="14" t="s">
        <v>283</v>
      </c>
      <c r="Q19" s="20">
        <v>45803</v>
      </c>
      <c r="R19" s="15"/>
      <c r="S19" s="15"/>
      <c r="U19" s="29" t="s">
        <v>117</v>
      </c>
      <c r="V19" s="29" t="s">
        <v>117</v>
      </c>
    </row>
    <row r="20" spans="2:22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304</v>
      </c>
      <c r="O20" s="14" t="s">
        <v>283</v>
      </c>
      <c r="Q20" s="20">
        <v>45804</v>
      </c>
      <c r="R20" s="15"/>
      <c r="S20" s="15"/>
      <c r="U20" s="29" t="s">
        <v>117</v>
      </c>
      <c r="V20" s="29" t="s">
        <v>117</v>
      </c>
    </row>
    <row r="21" spans="2:22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115</v>
      </c>
      <c r="V21" s="29" t="s">
        <v>115</v>
      </c>
    </row>
    <row r="22" spans="2:22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115</v>
      </c>
      <c r="V22" s="29" t="s">
        <v>115</v>
      </c>
    </row>
    <row r="23" spans="2:22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115</v>
      </c>
      <c r="V23" s="29" t="s">
        <v>115</v>
      </c>
    </row>
    <row r="24" spans="2:22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283</v>
      </c>
      <c r="O24" s="14" t="s">
        <v>283</v>
      </c>
      <c r="Q24" s="197">
        <v>45803</v>
      </c>
      <c r="R24" s="15"/>
      <c r="S24" s="15"/>
      <c r="U24" s="29" t="s">
        <v>117</v>
      </c>
      <c r="V24" s="29" t="s">
        <v>117</v>
      </c>
    </row>
    <row r="25" spans="2:22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115</v>
      </c>
      <c r="V25" s="29" t="s">
        <v>115</v>
      </c>
    </row>
    <row r="26" spans="2:22"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283</v>
      </c>
      <c r="O26" s="14" t="s">
        <v>283</v>
      </c>
      <c r="Q26" s="197">
        <v>45803</v>
      </c>
      <c r="R26" s="15"/>
      <c r="S26" s="15"/>
      <c r="U26" s="29" t="s">
        <v>117</v>
      </c>
      <c r="V26" s="29" t="s">
        <v>117</v>
      </c>
    </row>
    <row r="27" spans="2:22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283</v>
      </c>
      <c r="O27" s="14" t="s">
        <v>283</v>
      </c>
      <c r="Q27" s="197">
        <v>45803</v>
      </c>
      <c r="R27" s="15"/>
      <c r="S27" s="15"/>
      <c r="U27" s="29" t="s">
        <v>117</v>
      </c>
      <c r="V27" s="29" t="s">
        <v>117</v>
      </c>
    </row>
    <row r="28" spans="2:22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/>
      <c r="R28" s="15"/>
      <c r="S28" s="15"/>
      <c r="U28" s="29" t="s">
        <v>125</v>
      </c>
      <c r="V28" s="29" t="s">
        <v>125</v>
      </c>
    </row>
    <row r="29" spans="2:22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283</v>
      </c>
      <c r="O29" s="14" t="s">
        <v>283</v>
      </c>
      <c r="Q29" s="197">
        <v>45803</v>
      </c>
      <c r="R29" s="15"/>
      <c r="S29" s="15"/>
      <c r="U29" s="29" t="s">
        <v>117</v>
      </c>
      <c r="V29" s="29" t="s">
        <v>117</v>
      </c>
    </row>
    <row r="30" spans="2:22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6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283</v>
      </c>
      <c r="O30" s="14" t="s">
        <v>283</v>
      </c>
      <c r="Q30" s="197">
        <v>45803</v>
      </c>
      <c r="R30" s="15"/>
      <c r="S30" s="15"/>
      <c r="U30" s="29" t="s">
        <v>117</v>
      </c>
      <c r="V30" s="29" t="s">
        <v>117</v>
      </c>
    </row>
    <row r="31" spans="2:22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115</v>
      </c>
      <c r="V31" s="29" t="s">
        <v>115</v>
      </c>
    </row>
    <row r="32" spans="2:22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115</v>
      </c>
      <c r="V32" s="29" t="s">
        <v>115</v>
      </c>
    </row>
    <row r="33" spans="2:22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115</v>
      </c>
      <c r="V33" s="29" t="s">
        <v>115</v>
      </c>
    </row>
    <row r="34" spans="2:22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115</v>
      </c>
      <c r="V34" s="29" t="s">
        <v>115</v>
      </c>
    </row>
    <row r="35" spans="2:22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115</v>
      </c>
      <c r="V35" s="29" t="s">
        <v>115</v>
      </c>
    </row>
    <row r="36" spans="2:22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/>
      <c r="O36" s="14"/>
      <c r="Q36" s="15"/>
      <c r="R36" s="15"/>
      <c r="S36" s="15"/>
      <c r="U36" s="29" t="s">
        <v>115</v>
      </c>
      <c r="V36" s="29" t="s">
        <v>115</v>
      </c>
    </row>
    <row r="37" spans="2:22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115</v>
      </c>
      <c r="V37" s="29" t="s">
        <v>115</v>
      </c>
    </row>
    <row r="38" spans="2:22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115</v>
      </c>
      <c r="V38" s="29" t="s">
        <v>115</v>
      </c>
    </row>
    <row r="39" spans="2:22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6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/>
      <c r="O39" s="14"/>
      <c r="Q39" s="15"/>
      <c r="R39" s="15"/>
      <c r="S39" s="15"/>
      <c r="U39" s="29" t="s">
        <v>117</v>
      </c>
      <c r="V39" s="29" t="s">
        <v>125</v>
      </c>
    </row>
    <row r="40" spans="2:22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/>
      <c r="O40" s="14"/>
      <c r="Q40" s="15"/>
      <c r="R40" s="15"/>
      <c r="S40" s="15"/>
      <c r="U40" s="29" t="s">
        <v>117</v>
      </c>
      <c r="V40" s="29" t="s">
        <v>279</v>
      </c>
    </row>
    <row r="41" spans="2:22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si="1"/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/>
      <c r="R41" s="15"/>
      <c r="S41" s="15"/>
      <c r="U41" s="29" t="s">
        <v>125</v>
      </c>
      <c r="V41" s="29" t="s">
        <v>279</v>
      </c>
    </row>
    <row r="42" spans="2:22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6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118</v>
      </c>
      <c r="V42" s="29" t="s">
        <v>125</v>
      </c>
    </row>
    <row r="43" spans="2:22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6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/>
      <c r="R43" s="15"/>
      <c r="S43" s="15"/>
      <c r="U43" s="29" t="s">
        <v>125</v>
      </c>
      <c r="V43" s="29" t="s">
        <v>125</v>
      </c>
    </row>
    <row r="44" spans="2:22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115</v>
      </c>
      <c r="V44" s="29" t="s">
        <v>115</v>
      </c>
    </row>
    <row r="45" spans="2:22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6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/>
      <c r="R45" s="15"/>
      <c r="S45" s="15"/>
      <c r="U45" s="29" t="s">
        <v>125</v>
      </c>
      <c r="V45" s="29" t="s">
        <v>125</v>
      </c>
    </row>
    <row r="46" spans="2:22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6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/>
      <c r="O46" s="14"/>
      <c r="Q46" s="15"/>
      <c r="R46" s="15"/>
      <c r="S46" s="15"/>
      <c r="U46" s="29" t="s">
        <v>117</v>
      </c>
      <c r="V46" s="29" t="s">
        <v>125</v>
      </c>
    </row>
    <row r="47" spans="2:22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6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/>
      <c r="O47" s="14"/>
      <c r="Q47" s="15"/>
      <c r="R47" s="15"/>
      <c r="S47" s="15"/>
      <c r="U47" s="29" t="s">
        <v>117</v>
      </c>
      <c r="V47" s="29" t="s">
        <v>125</v>
      </c>
    </row>
    <row r="48" spans="2:22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6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/>
      <c r="R48" s="15"/>
      <c r="S48" s="15"/>
      <c r="U48" s="29" t="s">
        <v>125</v>
      </c>
      <c r="V48" s="29" t="s">
        <v>125</v>
      </c>
    </row>
    <row r="49" spans="2:22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6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/>
      <c r="O49" s="14"/>
      <c r="Q49" s="15"/>
      <c r="R49" s="15"/>
      <c r="S49" s="15"/>
      <c r="U49" s="29" t="s">
        <v>117</v>
      </c>
      <c r="V49" s="29" t="s">
        <v>125</v>
      </c>
    </row>
    <row r="50" spans="2:22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1"/>
        <v>0</v>
      </c>
      <c r="M50" s="166">
        <f>SUMIFS('Detalhe Testes'!$H:$H,'Detalhe Testes'!$B:$B,'Detalhe Entregas e Status'!B50,'Detalhe Testes'!$C:$C,'Detalhe Entregas e Status'!C50)</f>
        <v>0</v>
      </c>
      <c r="N50" s="14"/>
      <c r="O50" s="14"/>
      <c r="Q50" s="15"/>
      <c r="R50" s="15"/>
      <c r="S50" s="15"/>
      <c r="U50" s="29" t="s">
        <v>117</v>
      </c>
      <c r="V50" s="29" t="s">
        <v>279</v>
      </c>
    </row>
    <row r="51" spans="2:22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1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/>
      <c r="R51" s="15"/>
      <c r="S51" s="15"/>
      <c r="U51" s="29" t="s">
        <v>125</v>
      </c>
      <c r="V51" s="29" t="s">
        <v>279</v>
      </c>
    </row>
    <row r="52" spans="2:22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1"/>
        <v>0</v>
      </c>
      <c r="M52" s="166">
        <f>SUMIFS('Detalhe Testes'!$H:$H,'Detalhe Testes'!$B:$B,'Detalhe Entregas e Status'!B52,'Detalhe Testes'!$C:$C,'Detalhe Entregas e Status'!C52)</f>
        <v>0</v>
      </c>
      <c r="N52" s="14"/>
      <c r="O52" s="14"/>
      <c r="Q52" s="15"/>
      <c r="R52" s="15"/>
      <c r="S52" s="15"/>
      <c r="U52" s="29" t="s">
        <v>117</v>
      </c>
      <c r="V52" s="29" t="s">
        <v>279</v>
      </c>
    </row>
    <row r="53" spans="2:22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6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/>
      <c r="O53" s="14"/>
      <c r="Q53" s="15"/>
      <c r="R53" s="15"/>
      <c r="S53" s="15"/>
      <c r="U53" s="29" t="s">
        <v>117</v>
      </c>
      <c r="V53" s="29" t="s">
        <v>125</v>
      </c>
    </row>
    <row r="54" spans="2:22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1"/>
        <v>0</v>
      </c>
      <c r="M54" s="166">
        <f>SUMIFS('Detalhe Testes'!$H:$H,'Detalhe Testes'!$B:$B,'Detalhe Entregas e Status'!B54,'Detalhe Testes'!$C:$C,'Detalhe Entregas e Status'!C54)</f>
        <v>0</v>
      </c>
      <c r="N54" s="14"/>
      <c r="O54" s="14"/>
      <c r="Q54" s="15"/>
      <c r="R54" s="15"/>
      <c r="S54" s="15"/>
      <c r="U54" s="29" t="s">
        <v>117</v>
      </c>
      <c r="V54" s="29" t="s">
        <v>279</v>
      </c>
    </row>
    <row r="55" spans="2:22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1"/>
        <v>0</v>
      </c>
      <c r="M55" s="166">
        <f>SUMIFS('Detalhe Testes'!$H:$H,'Detalhe Testes'!$B:$B,'Detalhe Entregas e Status'!B55,'Detalhe Testes'!$C:$C,'Detalhe Entregas e Status'!C55)</f>
        <v>0</v>
      </c>
      <c r="N55" s="14"/>
      <c r="O55" s="14"/>
      <c r="Q55" s="15"/>
      <c r="R55" s="15"/>
      <c r="S55" s="15"/>
      <c r="U55" s="29" t="s">
        <v>117</v>
      </c>
      <c r="V55" s="29" t="s">
        <v>279</v>
      </c>
    </row>
    <row r="56" spans="2:22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125</v>
      </c>
      <c r="V56" s="29" t="s">
        <v>125</v>
      </c>
    </row>
    <row r="57" spans="2:22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6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115</v>
      </c>
      <c r="V57" s="29" t="s">
        <v>118</v>
      </c>
    </row>
    <row r="58" spans="2:22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1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U58" s="29" t="s">
        <v>125</v>
      </c>
      <c r="V58" s="29" t="s">
        <v>279</v>
      </c>
    </row>
    <row r="59" spans="2:22"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283</v>
      </c>
      <c r="O59" s="14" t="s">
        <v>283</v>
      </c>
      <c r="Q59" s="197">
        <v>45803</v>
      </c>
      <c r="R59" s="15"/>
      <c r="S59" s="15"/>
      <c r="U59" s="29" t="s">
        <v>117</v>
      </c>
      <c r="V59" s="29" t="s">
        <v>117</v>
      </c>
    </row>
    <row r="60" spans="2:22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/>
      <c r="O60" s="14" t="s">
        <v>283</v>
      </c>
      <c r="Q60" s="15"/>
      <c r="R60" s="15"/>
      <c r="S60" s="15"/>
      <c r="U60" s="29" t="s">
        <v>115</v>
      </c>
      <c r="V60" s="29" t="s">
        <v>118</v>
      </c>
    </row>
    <row r="61" spans="2:22">
      <c r="B61" s="13" t="s">
        <v>55</v>
      </c>
      <c r="C61" s="13" t="s">
        <v>90</v>
      </c>
      <c r="D61" s="13" t="str">
        <f t="shared" si="2"/>
        <v>lt004_protectionUNIVERSO</v>
      </c>
      <c r="E61" s="14" t="s">
        <v>91</v>
      </c>
      <c r="F61" s="14" t="s">
        <v>91</v>
      </c>
      <c r="G61" s="14" t="s">
        <v>91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115</v>
      </c>
      <c r="V61" s="29" t="s">
        <v>115</v>
      </c>
    </row>
    <row r="62" spans="2:22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115</v>
      </c>
      <c r="V62" s="29" t="s">
        <v>115</v>
      </c>
    </row>
    <row r="63" spans="2:22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5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115</v>
      </c>
      <c r="V63" s="29" t="s">
        <v>115</v>
      </c>
    </row>
    <row r="64" spans="2:22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5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115</v>
      </c>
      <c r="V64" s="29" t="s">
        <v>115</v>
      </c>
    </row>
    <row r="65" spans="2:22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5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115</v>
      </c>
      <c r="V65" s="29" t="s">
        <v>115</v>
      </c>
    </row>
    <row r="66" spans="2:22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5">
        <v>45803</v>
      </c>
      <c r="K66" s="14">
        <f t="shared" si="1"/>
        <v>0</v>
      </c>
      <c r="M66" s="203">
        <f>SUMIFS('Detalhe Testes'!$H:$H,'Detalhe Testes'!$B:$B,'Detalhe Entregas e Status'!B66,'Detalhe Testes'!$C:$C,'Detalhe Entregas e Status'!C66)</f>
        <v>24805</v>
      </c>
      <c r="N66" s="14"/>
      <c r="O66" s="14"/>
      <c r="Q66" s="15"/>
      <c r="R66" s="15"/>
      <c r="S66" s="15"/>
      <c r="U66" s="29" t="s">
        <v>118</v>
      </c>
      <c r="V66" s="29" t="s">
        <v>118</v>
      </c>
    </row>
    <row r="67" spans="2:22"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115</v>
      </c>
      <c r="V67" s="29" t="s">
        <v>115</v>
      </c>
    </row>
    <row r="68" spans="2:22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5">
        <v>45810</v>
      </c>
      <c r="K68" s="14">
        <f t="shared" si="1"/>
        <v>7</v>
      </c>
      <c r="M68" s="166">
        <f>SUMIFS('Detalhe Testes'!$H:$H,'Detalhe Testes'!$B:$B,'Detalhe Entregas e Status'!B68,'Detalhe Testes'!$C:$C,'Detalhe Entregas e Status'!C68)</f>
        <v>5163</v>
      </c>
      <c r="N68" s="14"/>
      <c r="O68" s="14"/>
      <c r="Q68" s="15"/>
      <c r="R68" s="15"/>
      <c r="S68" s="15"/>
      <c r="U68" s="29" t="s">
        <v>118</v>
      </c>
      <c r="V68" s="29" t="s">
        <v>279</v>
      </c>
    </row>
    <row r="69" spans="2:22">
      <c r="B69" s="13" t="s">
        <v>61</v>
      </c>
      <c r="C69" s="13" t="s">
        <v>90</v>
      </c>
      <c r="D69" s="13" t="str">
        <f t="shared" si="2"/>
        <v>lt006_instr_protectionUNIVERSO</v>
      </c>
      <c r="E69" s="14" t="s">
        <v>91</v>
      </c>
      <c r="F69" s="14" t="s">
        <v>91</v>
      </c>
      <c r="G69" s="14" t="s">
        <v>91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118</v>
      </c>
      <c r="V69" s="29" t="s">
        <v>118</v>
      </c>
    </row>
    <row r="70" spans="2:22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5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115</v>
      </c>
      <c r="V70" s="29" t="s">
        <v>115</v>
      </c>
    </row>
    <row r="71" spans="2:22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5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115</v>
      </c>
      <c r="V71" s="29" t="s">
        <v>115</v>
      </c>
    </row>
    <row r="72" spans="2:22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5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118</v>
      </c>
      <c r="V72" s="29" t="s">
        <v>118</v>
      </c>
    </row>
    <row r="73" spans="2:22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5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118</v>
      </c>
      <c r="V73" s="29" t="s">
        <v>118</v>
      </c>
    </row>
    <row r="74" spans="2:22">
      <c r="B74" s="13" t="s">
        <v>61</v>
      </c>
      <c r="C74" s="13" t="s">
        <v>62</v>
      </c>
      <c r="D74" s="200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/>
      <c r="R74" s="15"/>
      <c r="S74" s="15"/>
      <c r="U74" s="29" t="s">
        <v>118</v>
      </c>
      <c r="V74" s="29" t="s">
        <v>118</v>
      </c>
    </row>
    <row r="75" spans="2:22">
      <c r="B75" s="13" t="s">
        <v>63</v>
      </c>
      <c r="C75" s="13" t="s">
        <v>90</v>
      </c>
      <c r="D75" s="13" t="str">
        <f t="shared" si="3"/>
        <v>lt007_instr_activityUNIVERSO</v>
      </c>
      <c r="E75" s="14" t="s">
        <v>91</v>
      </c>
      <c r="F75" s="14" t="s">
        <v>91</v>
      </c>
      <c r="G75" s="14" t="s">
        <v>91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/>
      <c r="R75" s="15"/>
      <c r="S75" s="15"/>
      <c r="U75" s="29" t="s">
        <v>125</v>
      </c>
      <c r="V75" s="29" t="s">
        <v>125</v>
      </c>
    </row>
    <row r="76" spans="2:22"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/>
      <c r="R76" s="15"/>
      <c r="S76" s="15"/>
      <c r="U76" s="29" t="s">
        <v>125</v>
      </c>
      <c r="V76" s="29" t="s">
        <v>125</v>
      </c>
    </row>
    <row r="77" spans="2:22"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6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/>
      <c r="R77" s="15"/>
      <c r="S77" s="15"/>
      <c r="U77" s="29" t="s">
        <v>125</v>
      </c>
      <c r="V77" s="29" t="s">
        <v>125</v>
      </c>
    </row>
    <row r="78" spans="2:22"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/>
      <c r="R78" s="15"/>
      <c r="S78" s="15"/>
      <c r="U78" s="29" t="s">
        <v>125</v>
      </c>
      <c r="V78" s="29" t="s">
        <v>125</v>
      </c>
    </row>
    <row r="79" spans="2:22"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125</v>
      </c>
      <c r="V79" s="29" t="s">
        <v>125</v>
      </c>
    </row>
    <row r="80" spans="2:22"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125</v>
      </c>
      <c r="V80" s="29" t="s">
        <v>125</v>
      </c>
    </row>
    <row r="81" spans="2:22"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/>
      <c r="R81" s="15"/>
      <c r="S81" s="15"/>
      <c r="U81" s="29" t="s">
        <v>125</v>
      </c>
      <c r="V81" s="29" t="s">
        <v>125</v>
      </c>
    </row>
  </sheetData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disablePrompts="1"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Normal="100" workbookViewId="0">
      <pane xSplit="3" ySplit="8" topLeftCell="D12" activePane="bottomRight" state="frozen"/>
      <selection pane="topRight" activeCell="D1" sqref="D1"/>
      <selection pane="bottomLeft" activeCell="A9" sqref="A9"/>
      <selection pane="bottomRight"/>
    </sheetView>
  </sheetViews>
  <sheetFormatPr defaultColWidth="8.85546875" defaultRowHeight="12.75"/>
  <cols>
    <col min="1" max="1" width="3.7109375" style="3" customWidth="1"/>
    <col min="2" max="2" width="20.28515625" style="3" bestFit="1" customWidth="1"/>
    <col min="3" max="3" width="43.85546875" style="3" bestFit="1" customWidth="1"/>
    <col min="4" max="4" width="37.7109375" style="8" bestFit="1" customWidth="1"/>
    <col min="5" max="5" width="15" style="3" customWidth="1"/>
    <col min="6" max="6" width="17.42578125" style="3" bestFit="1" customWidth="1"/>
    <col min="7" max="7" width="2.7109375" style="3" customWidth="1"/>
    <col min="8" max="8" width="13.85546875" style="3" customWidth="1"/>
    <col min="9" max="9" width="15" style="3" customWidth="1"/>
    <col min="10" max="10" width="2.7109375" style="3" customWidth="1"/>
    <col min="11" max="15" width="15.7109375" style="3" customWidth="1"/>
    <col min="16" max="17" width="15.7109375" style="8" customWidth="1"/>
    <col min="18" max="20" width="15.7109375" style="3" customWidth="1"/>
    <col min="21" max="16383" width="8.85546875" style="3"/>
    <col min="16384" max="16384" width="8.85546875" style="3" bestFit="1"/>
  </cols>
  <sheetData>
    <row r="1" spans="1:32" ht="16.149999999999999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307</v>
      </c>
      <c r="K7" s="265" t="s">
        <v>266</v>
      </c>
      <c r="L7" s="265"/>
      <c r="M7" s="265"/>
      <c r="N7" s="265"/>
      <c r="O7" s="265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99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202" t="s">
        <v>299</v>
      </c>
      <c r="K9" s="165">
        <v>534004</v>
      </c>
      <c r="L9" s="165">
        <v>534004</v>
      </c>
      <c r="M9" s="165">
        <v>91804</v>
      </c>
      <c r="N9" s="165"/>
      <c r="O9" s="165"/>
      <c r="P9" s="201"/>
    </row>
    <row r="10" spans="1:32" ht="15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368</v>
      </c>
      <c r="J10" s="202" t="s">
        <v>299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202" t="s">
        <v>299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369</v>
      </c>
      <c r="J12" s="202" t="s">
        <v>299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202" t="s">
        <v>299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284</v>
      </c>
      <c r="J14" s="202" t="s">
        <v>299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202" t="s">
        <v>299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284</v>
      </c>
      <c r="J16" s="202" t="s">
        <v>299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202" t="s">
        <v>299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284</v>
      </c>
      <c r="J18" s="202" t="s">
        <v>299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202" t="s">
        <v>299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368</v>
      </c>
      <c r="J20" s="202" t="s">
        <v>299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202" t="s">
        <v>299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202" t="s">
        <v>299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202" t="s">
        <v>299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370</v>
      </c>
      <c r="J24" s="202" t="s">
        <v>299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202" t="s">
        <v>299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202" t="s">
        <v>299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284</v>
      </c>
      <c r="J27" s="202" t="s">
        <v>299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202" t="s">
        <v>299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284</v>
      </c>
      <c r="J29" s="202" t="s">
        <v>299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202" t="s">
        <v>299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371</v>
      </c>
      <c r="J31" s="202" t="s">
        <v>299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202" t="s">
        <v>299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372</v>
      </c>
      <c r="J33" s="202" t="s">
        <v>299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202" t="s">
        <v>299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372</v>
      </c>
      <c r="J35" s="202" t="s">
        <v>299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202" t="s">
        <v>299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372</v>
      </c>
      <c r="J37" s="202" t="s">
        <v>299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202" t="s">
        <v>299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368</v>
      </c>
      <c r="J39" s="202" t="s">
        <v>299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202" t="s">
        <v>299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284</v>
      </c>
      <c r="J41" s="202" t="s">
        <v>299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202" t="s">
        <v>299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284</v>
      </c>
      <c r="J43" s="202" t="s">
        <v>299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202" t="s">
        <v>299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284</v>
      </c>
      <c r="J45" s="202" t="s">
        <v>299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202" t="s">
        <v>299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373</v>
      </c>
      <c r="J47" s="202" t="s">
        <v>299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202" t="s">
        <v>299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284</v>
      </c>
      <c r="J49" s="202" t="s">
        <v>299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202" t="s">
        <v>299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284</v>
      </c>
      <c r="J51" s="202" t="s">
        <v>299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202" t="s">
        <v>299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372</v>
      </c>
      <c r="J53" s="202" t="s">
        <v>299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202" t="s">
        <v>299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372</v>
      </c>
      <c r="J55" s="202" t="s">
        <v>299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202" t="s">
        <v>299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372</v>
      </c>
      <c r="J57" s="202" t="s">
        <v>299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202" t="s">
        <v>299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372</v>
      </c>
      <c r="J59" s="202" t="s">
        <v>299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202" t="s">
        <v>299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372</v>
      </c>
      <c r="J61" s="202" t="s">
        <v>299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202" t="s">
        <v>299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372</v>
      </c>
      <c r="J63" s="202" t="s">
        <v>299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202" t="s">
        <v>299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372</v>
      </c>
      <c r="J65" s="202" t="s">
        <v>299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202" t="s">
        <v>299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372</v>
      </c>
      <c r="J67" s="202" t="s">
        <v>299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202" t="s">
        <v>299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374</v>
      </c>
      <c r="J69" s="202" t="s">
        <v>299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202" t="s">
        <v>299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202" t="s">
        <v>299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285</v>
      </c>
      <c r="J72" s="202" t="s">
        <v>299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202" t="s">
        <v>299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202" t="s">
        <v>299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369</v>
      </c>
      <c r="J75" s="202" t="s">
        <v>299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202" t="s">
        <v>299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369</v>
      </c>
      <c r="J77" s="202" t="s">
        <v>299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202" t="s">
        <v>299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369</v>
      </c>
      <c r="J79" s="202" t="s">
        <v>299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202" t="s">
        <v>299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369</v>
      </c>
      <c r="J81" s="202" t="s">
        <v>299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202" t="s">
        <v>299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369</v>
      </c>
      <c r="J83" s="202" t="s">
        <v>299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202" t="s">
        <v>299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372</v>
      </c>
      <c r="J85" s="202" t="s">
        <v>299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202" t="s">
        <v>299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369</v>
      </c>
      <c r="J87" s="202" t="s">
        <v>299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202" t="s">
        <v>299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202" t="s">
        <v>299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369</v>
      </c>
      <c r="J90" s="202" t="s">
        <v>299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202" t="s">
        <v>299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202" t="s">
        <v>299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369</v>
      </c>
      <c r="J93" s="202" t="s">
        <v>299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202" t="s">
        <v>299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202" t="s">
        <v>299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369</v>
      </c>
      <c r="J96" s="202" t="s">
        <v>299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202" t="s">
        <v>299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202" t="s">
        <v>299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369</v>
      </c>
      <c r="J99" s="202" t="s">
        <v>299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202" t="s">
        <v>299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369</v>
      </c>
      <c r="J101" s="202" t="s">
        <v>299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202" t="s">
        <v>299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369</v>
      </c>
      <c r="J103" s="202" t="s">
        <v>299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202" t="s">
        <v>299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202" t="s">
        <v>299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369</v>
      </c>
      <c r="J106" s="202" t="s">
        <v>299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202" t="s">
        <v>299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369</v>
      </c>
      <c r="J108" s="202" t="s">
        <v>299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202" t="s">
        <v>299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369</v>
      </c>
      <c r="J110" s="202" t="s">
        <v>299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202" t="s">
        <v>299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369</v>
      </c>
      <c r="J112" s="202" t="s">
        <v>299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202" t="s">
        <v>299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369</v>
      </c>
      <c r="J114" s="202" t="s">
        <v>299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202" t="s">
        <v>299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375</v>
      </c>
      <c r="J116" s="202" t="s">
        <v>299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202" t="s">
        <v>299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202" t="s">
        <v>299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375</v>
      </c>
      <c r="J119" s="202" t="s">
        <v>299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202" t="s">
        <v>299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202" t="s">
        <v>299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202" t="s">
        <v>299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298</v>
      </c>
      <c r="J123" s="202" t="s">
        <v>299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202" t="s">
        <v>299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298</v>
      </c>
      <c r="J125" s="202" t="s">
        <v>299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202" t="s">
        <v>299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298</v>
      </c>
      <c r="J127" s="202" t="s">
        <v>299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202" t="s">
        <v>299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298</v>
      </c>
      <c r="J129" s="202" t="s">
        <v>299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202" t="s">
        <v>299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202" t="s">
        <v>299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298</v>
      </c>
      <c r="J132" s="202" t="s">
        <v>299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202" t="s">
        <v>299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298</v>
      </c>
      <c r="J134" s="202" t="s">
        <v>299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202" t="s">
        <v>299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202" t="s">
        <v>299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202" t="s">
        <v>299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202" t="s">
        <v>299</v>
      </c>
      <c r="K138" s="165"/>
      <c r="L138" s="165"/>
      <c r="M138" s="165"/>
      <c r="N138" s="165">
        <v>0</v>
      </c>
      <c r="O138" s="165"/>
    </row>
    <row r="139" spans="2:15" ht="15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202" t="s">
        <v>299</v>
      </c>
      <c r="K139" s="165"/>
      <c r="L139" s="165"/>
      <c r="M139" s="165"/>
      <c r="N139" s="165">
        <v>0</v>
      </c>
      <c r="O139" s="165"/>
    </row>
    <row r="140" spans="2:15" ht="15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202" t="s">
        <v>299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202" t="s">
        <v>299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306</v>
      </c>
      <c r="J142" s="202" t="s">
        <v>299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202" t="s">
        <v>299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306</v>
      </c>
      <c r="J144" s="202" t="s">
        <v>299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202" t="s">
        <v>299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306</v>
      </c>
      <c r="J146" s="202" t="s">
        <v>299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202" t="s">
        <v>299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306</v>
      </c>
      <c r="J148" s="202" t="s">
        <v>299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202" t="s">
        <v>299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202" t="s">
        <v>299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202" t="s">
        <v>299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202" t="s">
        <v>299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202" t="s">
        <v>299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202" t="s">
        <v>299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202" t="s">
        <v>299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202" t="s">
        <v>299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202" t="s">
        <v>299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202" t="s">
        <v>299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202" t="s">
        <v>299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202" t="s">
        <v>299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202" t="s">
        <v>299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202" t="s">
        <v>299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202" t="s">
        <v>299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202" t="s">
        <v>299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202" t="s">
        <v>299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202" t="s">
        <v>299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202" t="s">
        <v>299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202" t="s">
        <v>299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202" t="s">
        <v>299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202" t="s">
        <v>299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202" t="s">
        <v>299</v>
      </c>
      <c r="K171" s="165"/>
      <c r="L171" s="165"/>
      <c r="M171" s="165"/>
      <c r="N171" s="165"/>
      <c r="O171" s="165"/>
    </row>
    <row r="175" spans="2:15">
      <c r="E175" s="198"/>
    </row>
  </sheetData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/>
  </sheetViews>
  <sheetFormatPr defaultColWidth="0" defaultRowHeight="12.75"/>
  <cols>
    <col min="1" max="1" width="3.7109375" style="3" customWidth="1"/>
    <col min="2" max="2" width="39.5703125" style="3" customWidth="1"/>
    <col min="3" max="3" width="114.7109375" style="3" customWidth="1"/>
    <col min="4" max="4" width="3.7109375" style="3" customWidth="1"/>
    <col min="5" max="22" width="0" style="3" hidden="1" customWidth="1"/>
    <col min="23" max="16384" width="9.1406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5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5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1" t="s">
        <v>125</v>
      </c>
      <c r="C25" s="27" t="s">
        <v>126</v>
      </c>
    </row>
    <row r="26" spans="2:4">
      <c r="B26" s="207" t="s">
        <v>279</v>
      </c>
      <c r="C26" s="160" t="s">
        <v>280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/>
  </sheetViews>
  <sheetFormatPr defaultColWidth="8.85546875" defaultRowHeight="12.75"/>
  <cols>
    <col min="1" max="1" width="3.7109375" style="3" customWidth="1"/>
    <col min="2" max="2" width="18.42578125" style="3" bestFit="1" customWidth="1"/>
    <col min="3" max="3" width="39.7109375" style="3" bestFit="1" customWidth="1"/>
    <col min="4" max="4" width="11" style="3" customWidth="1"/>
    <col min="5" max="5" width="16.5703125" style="3" bestFit="1" customWidth="1"/>
    <col min="6" max="6" width="11.7109375" style="3" bestFit="1" customWidth="1"/>
    <col min="7" max="7" width="21.5703125" style="8" customWidth="1"/>
    <col min="8" max="8" width="24.28515625" style="208" customWidth="1"/>
    <col min="9" max="9" width="58.140625" style="147" customWidth="1"/>
    <col min="10" max="10" width="54.85546875" style="8" customWidth="1"/>
    <col min="11" max="16384" width="8.85546875" style="3"/>
  </cols>
  <sheetData>
    <row r="3" spans="2:10">
      <c r="D3" s="234" t="s">
        <v>343</v>
      </c>
      <c r="E3" s="234"/>
      <c r="F3" s="234"/>
    </row>
    <row r="4" spans="2:10">
      <c r="B4" s="22" t="s">
        <v>80</v>
      </c>
      <c r="C4" s="23" t="s">
        <v>81</v>
      </c>
      <c r="D4" s="215" t="s">
        <v>82</v>
      </c>
      <c r="E4" s="215" t="s">
        <v>86</v>
      </c>
      <c r="F4" s="215" t="s">
        <v>0</v>
      </c>
      <c r="G4" s="216" t="s">
        <v>300</v>
      </c>
      <c r="H4" s="216" t="s">
        <v>327</v>
      </c>
      <c r="I4" s="216" t="s">
        <v>301</v>
      </c>
      <c r="J4" s="216" t="s">
        <v>328</v>
      </c>
    </row>
    <row r="5" spans="2:10" hidden="1">
      <c r="B5" s="13" t="s">
        <v>1</v>
      </c>
      <c r="C5" s="13" t="s">
        <v>90</v>
      </c>
      <c r="D5" s="14" t="s">
        <v>91</v>
      </c>
      <c r="E5" s="14" t="s">
        <v>91</v>
      </c>
      <c r="F5" s="209" t="s">
        <v>91</v>
      </c>
      <c r="G5" s="211" t="s">
        <v>91</v>
      </c>
      <c r="H5" s="211" t="s">
        <v>91</v>
      </c>
      <c r="I5" s="214" t="s">
        <v>91</v>
      </c>
      <c r="J5" s="211" t="s">
        <v>91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10" t="s">
        <v>3</v>
      </c>
      <c r="G6" s="211" t="s">
        <v>283</v>
      </c>
      <c r="H6" s="213" t="s">
        <v>302</v>
      </c>
      <c r="I6" s="212" t="s">
        <v>303</v>
      </c>
      <c r="J6" s="211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9" t="s">
        <v>4</v>
      </c>
      <c r="G7" s="211" t="s">
        <v>283</v>
      </c>
      <c r="H7" s="213" t="s">
        <v>302</v>
      </c>
      <c r="I7" s="212" t="s">
        <v>303</v>
      </c>
      <c r="J7" s="211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9" t="s">
        <v>4</v>
      </c>
      <c r="G8" s="211" t="s">
        <v>283</v>
      </c>
      <c r="H8" s="213" t="s">
        <v>302</v>
      </c>
      <c r="I8" s="212" t="s">
        <v>303</v>
      </c>
      <c r="J8" s="211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9" t="s">
        <v>4</v>
      </c>
      <c r="G9" s="211" t="s">
        <v>283</v>
      </c>
      <c r="H9" s="213" t="s">
        <v>302</v>
      </c>
      <c r="I9" s="212" t="s">
        <v>303</v>
      </c>
      <c r="J9" s="211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9" t="s">
        <v>3</v>
      </c>
      <c r="G10" s="211" t="s">
        <v>283</v>
      </c>
      <c r="H10" s="213" t="s">
        <v>302</v>
      </c>
      <c r="I10" s="212" t="s">
        <v>303</v>
      </c>
      <c r="J10" s="211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9" t="s">
        <v>3</v>
      </c>
      <c r="G11" s="211" t="s">
        <v>283</v>
      </c>
      <c r="H11" s="213" t="s">
        <v>302</v>
      </c>
      <c r="I11" s="212" t="s">
        <v>303</v>
      </c>
      <c r="J11" s="211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9" t="s">
        <v>3</v>
      </c>
      <c r="G12" s="211" t="s">
        <v>283</v>
      </c>
      <c r="H12" s="213" t="s">
        <v>302</v>
      </c>
      <c r="I12" s="212" t="s">
        <v>303</v>
      </c>
      <c r="J12" s="211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9" t="s">
        <v>3</v>
      </c>
      <c r="G13" s="211" t="s">
        <v>283</v>
      </c>
      <c r="H13" s="213" t="s">
        <v>302</v>
      </c>
      <c r="I13" s="212" t="s">
        <v>303</v>
      </c>
      <c r="J13" s="211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9" t="s">
        <v>3</v>
      </c>
      <c r="G14" s="211" t="s">
        <v>283</v>
      </c>
      <c r="H14" s="213" t="s">
        <v>302</v>
      </c>
      <c r="I14" s="212" t="s">
        <v>303</v>
      </c>
      <c r="J14" s="211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9" t="s">
        <v>3</v>
      </c>
      <c r="G15" s="211" t="s">
        <v>283</v>
      </c>
      <c r="H15" s="213" t="s">
        <v>302</v>
      </c>
      <c r="I15" s="212" t="s">
        <v>303</v>
      </c>
      <c r="J15" s="211"/>
    </row>
    <row r="16" spans="2:10" ht="25.5" hidden="1">
      <c r="B16" s="13" t="s">
        <v>1</v>
      </c>
      <c r="C16" s="13" t="s">
        <v>14</v>
      </c>
      <c r="D16" s="14" t="s">
        <v>3</v>
      </c>
      <c r="E16" s="14" t="s">
        <v>4</v>
      </c>
      <c r="F16" s="209" t="s">
        <v>3</v>
      </c>
      <c r="G16" s="211" t="s">
        <v>304</v>
      </c>
      <c r="H16" s="213" t="s">
        <v>91</v>
      </c>
      <c r="I16" s="212" t="s">
        <v>305</v>
      </c>
      <c r="J16" s="211" t="s">
        <v>3</v>
      </c>
    </row>
    <row r="17" spans="2:10" ht="25.5" hidden="1">
      <c r="B17" s="13" t="s">
        <v>1</v>
      </c>
      <c r="C17" s="13" t="s">
        <v>15</v>
      </c>
      <c r="D17" s="14" t="s">
        <v>3</v>
      </c>
      <c r="E17" s="14" t="s">
        <v>4</v>
      </c>
      <c r="F17" s="209" t="s">
        <v>3</v>
      </c>
      <c r="G17" s="211" t="s">
        <v>304</v>
      </c>
      <c r="H17" s="213" t="s">
        <v>91</v>
      </c>
      <c r="I17" s="212" t="s">
        <v>305</v>
      </c>
      <c r="J17" s="211" t="s">
        <v>319</v>
      </c>
    </row>
    <row r="18" spans="2:10" ht="25.5" hidden="1">
      <c r="B18" s="13" t="s">
        <v>1</v>
      </c>
      <c r="C18" s="13" t="s">
        <v>16</v>
      </c>
      <c r="D18" s="14" t="s">
        <v>3</v>
      </c>
      <c r="E18" s="14" t="s">
        <v>4</v>
      </c>
      <c r="F18" s="209" t="s">
        <v>3</v>
      </c>
      <c r="G18" s="211" t="s">
        <v>304</v>
      </c>
      <c r="H18" s="213" t="s">
        <v>91</v>
      </c>
      <c r="I18" s="212" t="s">
        <v>305</v>
      </c>
      <c r="J18" s="211" t="s">
        <v>329</v>
      </c>
    </row>
    <row r="19" spans="2:10" ht="25.5" hidden="1">
      <c r="B19" s="13" t="s">
        <v>1</v>
      </c>
      <c r="C19" s="13" t="s">
        <v>17</v>
      </c>
      <c r="D19" s="14" t="s">
        <v>3</v>
      </c>
      <c r="E19" s="14" t="s">
        <v>4</v>
      </c>
      <c r="F19" s="209" t="s">
        <v>3</v>
      </c>
      <c r="G19" s="211" t="s">
        <v>304</v>
      </c>
      <c r="H19" s="213" t="s">
        <v>91</v>
      </c>
      <c r="I19" s="212" t="s">
        <v>305</v>
      </c>
      <c r="J19" s="211" t="s">
        <v>319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9" t="s">
        <v>3</v>
      </c>
      <c r="G20" s="211" t="s">
        <v>283</v>
      </c>
      <c r="H20" s="213" t="s">
        <v>302</v>
      </c>
      <c r="I20" s="212" t="s">
        <v>303</v>
      </c>
      <c r="J20" s="211"/>
    </row>
    <row r="21" spans="2:10" ht="25.5" hidden="1">
      <c r="B21" s="13" t="s">
        <v>1</v>
      </c>
      <c r="C21" s="13" t="s">
        <v>19</v>
      </c>
      <c r="D21" s="14" t="s">
        <v>3</v>
      </c>
      <c r="E21" s="14" t="s">
        <v>4</v>
      </c>
      <c r="F21" s="209" t="s">
        <v>3</v>
      </c>
      <c r="G21" s="211" t="s">
        <v>304</v>
      </c>
      <c r="H21" s="213" t="s">
        <v>91</v>
      </c>
      <c r="I21" s="212" t="s">
        <v>305</v>
      </c>
      <c r="J21" s="211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9" t="s">
        <v>4</v>
      </c>
      <c r="G22" s="211" t="s">
        <v>283</v>
      </c>
      <c r="H22" s="213" t="s">
        <v>302</v>
      </c>
      <c r="I22" s="212" t="s">
        <v>303</v>
      </c>
      <c r="J22" s="211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9" t="s">
        <v>3</v>
      </c>
      <c r="G23" s="211" t="s">
        <v>283</v>
      </c>
      <c r="H23" s="213" t="s">
        <v>302</v>
      </c>
      <c r="I23" s="212" t="s">
        <v>303</v>
      </c>
      <c r="J23" s="211"/>
    </row>
    <row r="24" spans="2:10" ht="25.5" hidden="1">
      <c r="B24" s="13" t="s">
        <v>1</v>
      </c>
      <c r="C24" s="13" t="s">
        <v>22</v>
      </c>
      <c r="D24" s="14" t="s">
        <v>3</v>
      </c>
      <c r="E24" s="14" t="s">
        <v>4</v>
      </c>
      <c r="F24" s="209" t="s">
        <v>3</v>
      </c>
      <c r="G24" s="211" t="s">
        <v>304</v>
      </c>
      <c r="H24" s="213" t="s">
        <v>91</v>
      </c>
      <c r="I24" s="212" t="s">
        <v>305</v>
      </c>
      <c r="J24" s="211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9" t="s">
        <v>3</v>
      </c>
      <c r="G25" s="211" t="s">
        <v>283</v>
      </c>
      <c r="H25" s="213" t="s">
        <v>302</v>
      </c>
      <c r="I25" s="212" t="s">
        <v>303</v>
      </c>
      <c r="J25" s="211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9" t="s">
        <v>3</v>
      </c>
      <c r="G26" s="211" t="s">
        <v>283</v>
      </c>
      <c r="H26" s="213" t="s">
        <v>302</v>
      </c>
      <c r="I26" s="212" t="s">
        <v>303</v>
      </c>
      <c r="J26" s="211"/>
    </row>
    <row r="27" spans="2:10" ht="25.5" hidden="1">
      <c r="B27" s="13" t="s">
        <v>1</v>
      </c>
      <c r="C27" s="13" t="s">
        <v>25</v>
      </c>
      <c r="D27" s="14" t="s">
        <v>3</v>
      </c>
      <c r="E27" s="14" t="s">
        <v>4</v>
      </c>
      <c r="F27" s="209" t="s">
        <v>3</v>
      </c>
      <c r="G27" s="211" t="s">
        <v>304</v>
      </c>
      <c r="H27" s="213" t="s">
        <v>91</v>
      </c>
      <c r="I27" s="212" t="s">
        <v>305</v>
      </c>
      <c r="J27" s="211">
        <v>11111111111</v>
      </c>
    </row>
    <row r="28" spans="2:10" ht="25.5" hidden="1">
      <c r="B28" s="13" t="s">
        <v>1</v>
      </c>
      <c r="C28" s="13" t="s">
        <v>26</v>
      </c>
      <c r="D28" s="14" t="s">
        <v>3</v>
      </c>
      <c r="E28" s="14" t="s">
        <v>4</v>
      </c>
      <c r="F28" s="209" t="s">
        <v>3</v>
      </c>
      <c r="G28" s="211" t="s">
        <v>304</v>
      </c>
      <c r="H28" s="213" t="s">
        <v>91</v>
      </c>
      <c r="I28" s="212" t="s">
        <v>305</v>
      </c>
      <c r="J28" s="211">
        <v>11111111111</v>
      </c>
    </row>
    <row r="29" spans="2:10" ht="25.5" hidden="1">
      <c r="B29" s="13" t="s">
        <v>1</v>
      </c>
      <c r="C29" s="13" t="s">
        <v>27</v>
      </c>
      <c r="D29" s="14" t="s">
        <v>3</v>
      </c>
      <c r="E29" s="14" t="s">
        <v>4</v>
      </c>
      <c r="F29" s="209" t="s">
        <v>3</v>
      </c>
      <c r="G29" s="211" t="s">
        <v>304</v>
      </c>
      <c r="H29" s="213" t="s">
        <v>91</v>
      </c>
      <c r="I29" s="212" t="s">
        <v>305</v>
      </c>
      <c r="J29" s="211">
        <v>11111111111</v>
      </c>
    </row>
    <row r="30" spans="2:10" ht="25.5" hidden="1">
      <c r="B30" s="13" t="s">
        <v>1</v>
      </c>
      <c r="C30" s="13" t="s">
        <v>28</v>
      </c>
      <c r="D30" s="14" t="s">
        <v>3</v>
      </c>
      <c r="E30" s="14" t="s">
        <v>4</v>
      </c>
      <c r="F30" s="209" t="s">
        <v>3</v>
      </c>
      <c r="G30" s="211" t="s">
        <v>304</v>
      </c>
      <c r="H30" s="213" t="s">
        <v>91</v>
      </c>
      <c r="I30" s="212" t="s">
        <v>305</v>
      </c>
      <c r="J30" s="211">
        <v>11111111111</v>
      </c>
    </row>
    <row r="31" spans="2:10" ht="25.5" hidden="1">
      <c r="B31" s="13" t="s">
        <v>1</v>
      </c>
      <c r="C31" s="13" t="s">
        <v>29</v>
      </c>
      <c r="D31" s="14" t="s">
        <v>3</v>
      </c>
      <c r="E31" s="14" t="s">
        <v>4</v>
      </c>
      <c r="F31" s="209" t="s">
        <v>3</v>
      </c>
      <c r="G31" s="211" t="s">
        <v>304</v>
      </c>
      <c r="H31" s="213" t="s">
        <v>91</v>
      </c>
      <c r="I31" s="212" t="s">
        <v>305</v>
      </c>
      <c r="J31" s="211">
        <v>11111111111</v>
      </c>
    </row>
    <row r="32" spans="2:10" ht="25.5" hidden="1">
      <c r="B32" s="13" t="s">
        <v>1</v>
      </c>
      <c r="C32" s="13" t="s">
        <v>30</v>
      </c>
      <c r="D32" s="14" t="s">
        <v>3</v>
      </c>
      <c r="E32" s="14" t="s">
        <v>4</v>
      </c>
      <c r="F32" s="209" t="s">
        <v>3</v>
      </c>
      <c r="G32" s="211" t="s">
        <v>304</v>
      </c>
      <c r="H32" s="213" t="s">
        <v>91</v>
      </c>
      <c r="I32" s="212" t="s">
        <v>305</v>
      </c>
      <c r="J32" s="211" t="s">
        <v>319</v>
      </c>
    </row>
    <row r="33" spans="2:10" ht="25.5" hidden="1">
      <c r="B33" s="13" t="s">
        <v>1</v>
      </c>
      <c r="C33" s="13" t="s">
        <v>31</v>
      </c>
      <c r="D33" s="14" t="s">
        <v>3</v>
      </c>
      <c r="E33" s="14" t="s">
        <v>4</v>
      </c>
      <c r="F33" s="209" t="s">
        <v>3</v>
      </c>
      <c r="G33" s="211" t="s">
        <v>304</v>
      </c>
      <c r="H33" s="213" t="s">
        <v>91</v>
      </c>
      <c r="I33" s="212" t="s">
        <v>305</v>
      </c>
      <c r="J33" s="211">
        <v>11111111111</v>
      </c>
    </row>
    <row r="34" spans="2:10" ht="25.5" hidden="1">
      <c r="B34" s="13" t="s">
        <v>1</v>
      </c>
      <c r="C34" s="13" t="s">
        <v>32</v>
      </c>
      <c r="D34" s="14" t="s">
        <v>3</v>
      </c>
      <c r="E34" s="14" t="s">
        <v>4</v>
      </c>
      <c r="F34" s="209" t="s">
        <v>3</v>
      </c>
      <c r="G34" s="211" t="s">
        <v>304</v>
      </c>
      <c r="H34" s="213" t="s">
        <v>91</v>
      </c>
      <c r="I34" s="212" t="s">
        <v>305</v>
      </c>
      <c r="J34" s="211">
        <v>11111111111</v>
      </c>
    </row>
    <row r="35" spans="2:10" ht="51">
      <c r="B35" s="13" t="s">
        <v>1</v>
      </c>
      <c r="C35" s="13" t="s">
        <v>33</v>
      </c>
      <c r="D35" s="14" t="s">
        <v>4</v>
      </c>
      <c r="E35" s="14" t="s">
        <v>4</v>
      </c>
      <c r="F35" s="209" t="s">
        <v>3</v>
      </c>
      <c r="G35" s="211" t="s">
        <v>304</v>
      </c>
      <c r="H35" s="213" t="s">
        <v>91</v>
      </c>
      <c r="I35" s="218" t="s">
        <v>323</v>
      </c>
      <c r="J35" s="211" t="s">
        <v>330</v>
      </c>
    </row>
    <row r="36" spans="2:10" ht="51">
      <c r="B36" s="13" t="s">
        <v>1</v>
      </c>
      <c r="C36" s="13" t="s">
        <v>34</v>
      </c>
      <c r="D36" s="14" t="s">
        <v>4</v>
      </c>
      <c r="E36" s="14" t="s">
        <v>4</v>
      </c>
      <c r="F36" s="209" t="s">
        <v>3</v>
      </c>
      <c r="G36" s="211" t="s">
        <v>304</v>
      </c>
      <c r="H36" s="213" t="s">
        <v>91</v>
      </c>
      <c r="I36" s="218" t="s">
        <v>323</v>
      </c>
      <c r="J36" s="211" t="s">
        <v>330</v>
      </c>
    </row>
    <row r="37" spans="2:10" ht="51">
      <c r="B37" s="13" t="s">
        <v>1</v>
      </c>
      <c r="C37" s="13" t="s">
        <v>35</v>
      </c>
      <c r="D37" s="14" t="s">
        <v>4</v>
      </c>
      <c r="E37" s="14" t="s">
        <v>4</v>
      </c>
      <c r="F37" s="209" t="s">
        <v>4</v>
      </c>
      <c r="G37" s="211" t="s">
        <v>283</v>
      </c>
      <c r="H37" s="213" t="s">
        <v>325</v>
      </c>
      <c r="I37" s="218" t="s">
        <v>326</v>
      </c>
      <c r="J37" s="212" t="s">
        <v>331</v>
      </c>
    </row>
    <row r="38" spans="2:10" ht="33" customHeight="1">
      <c r="B38" s="13" t="s">
        <v>1</v>
      </c>
      <c r="C38" s="13" t="s">
        <v>36</v>
      </c>
      <c r="D38" s="14" t="s">
        <v>4</v>
      </c>
      <c r="E38" s="14" t="s">
        <v>4</v>
      </c>
      <c r="F38" s="209" t="s">
        <v>4</v>
      </c>
      <c r="G38" s="211" t="s">
        <v>304</v>
      </c>
      <c r="H38" s="213" t="s">
        <v>91</v>
      </c>
      <c r="I38" s="212" t="s">
        <v>345</v>
      </c>
      <c r="J38" s="219" t="s">
        <v>344</v>
      </c>
    </row>
    <row r="39" spans="2:10" ht="51">
      <c r="B39" s="13" t="s">
        <v>1</v>
      </c>
      <c r="C39" s="13" t="s">
        <v>37</v>
      </c>
      <c r="D39" s="14" t="s">
        <v>4</v>
      </c>
      <c r="E39" s="14" t="s">
        <v>4</v>
      </c>
      <c r="F39" s="209" t="s">
        <v>4</v>
      </c>
      <c r="G39" s="211" t="s">
        <v>283</v>
      </c>
      <c r="H39" s="213" t="s">
        <v>325</v>
      </c>
      <c r="I39" s="218" t="s">
        <v>326</v>
      </c>
      <c r="J39" s="212" t="s">
        <v>332</v>
      </c>
    </row>
    <row r="40" spans="2:10" ht="25.5">
      <c r="B40" s="13" t="s">
        <v>1</v>
      </c>
      <c r="C40" s="13" t="s">
        <v>38</v>
      </c>
      <c r="D40" s="14" t="s">
        <v>4</v>
      </c>
      <c r="E40" s="14" t="s">
        <v>4</v>
      </c>
      <c r="F40" s="209" t="s">
        <v>4</v>
      </c>
      <c r="G40" s="211" t="s">
        <v>304</v>
      </c>
      <c r="H40" s="213" t="s">
        <v>91</v>
      </c>
      <c r="I40" s="218" t="s">
        <v>324</v>
      </c>
      <c r="J40" s="211"/>
    </row>
    <row r="41" spans="2:10" ht="51">
      <c r="B41" s="13" t="s">
        <v>1</v>
      </c>
      <c r="C41" s="13" t="s">
        <v>39</v>
      </c>
      <c r="D41" s="14" t="s">
        <v>4</v>
      </c>
      <c r="E41" s="14" t="s">
        <v>4</v>
      </c>
      <c r="F41" s="209" t="s">
        <v>4</v>
      </c>
      <c r="G41" s="211" t="s">
        <v>283</v>
      </c>
      <c r="H41" s="213" t="s">
        <v>325</v>
      </c>
      <c r="I41" s="218" t="s">
        <v>326</v>
      </c>
      <c r="J41" s="212" t="s">
        <v>333</v>
      </c>
    </row>
    <row r="42" spans="2:10" ht="51">
      <c r="B42" s="13" t="s">
        <v>1</v>
      </c>
      <c r="C42" s="13" t="s">
        <v>40</v>
      </c>
      <c r="D42" s="14" t="s">
        <v>4</v>
      </c>
      <c r="E42" s="14" t="s">
        <v>4</v>
      </c>
      <c r="F42" s="209" t="s">
        <v>4</v>
      </c>
      <c r="G42" s="211" t="s">
        <v>304</v>
      </c>
      <c r="H42" s="213" t="s">
        <v>91</v>
      </c>
      <c r="I42" s="218" t="s">
        <v>323</v>
      </c>
      <c r="J42" s="211" t="s">
        <v>330</v>
      </c>
    </row>
    <row r="43" spans="2:10" ht="51">
      <c r="B43" s="13" t="s">
        <v>1</v>
      </c>
      <c r="C43" s="13" t="s">
        <v>41</v>
      </c>
      <c r="D43" s="14" t="s">
        <v>4</v>
      </c>
      <c r="E43" s="14" t="s">
        <v>4</v>
      </c>
      <c r="F43" s="209" t="s">
        <v>4</v>
      </c>
      <c r="G43" s="211" t="s">
        <v>304</v>
      </c>
      <c r="H43" s="213" t="s">
        <v>91</v>
      </c>
      <c r="I43" s="218" t="s">
        <v>323</v>
      </c>
      <c r="J43" s="211" t="s">
        <v>330</v>
      </c>
    </row>
    <row r="44" spans="2:10" ht="51">
      <c r="B44" s="13" t="s">
        <v>1</v>
      </c>
      <c r="C44" s="13" t="s">
        <v>42</v>
      </c>
      <c r="D44" s="14" t="s">
        <v>4</v>
      </c>
      <c r="E44" s="14" t="s">
        <v>4</v>
      </c>
      <c r="F44" s="209" t="s">
        <v>4</v>
      </c>
      <c r="G44" s="211" t="s">
        <v>283</v>
      </c>
      <c r="H44" s="213" t="s">
        <v>325</v>
      </c>
      <c r="I44" s="218" t="s">
        <v>326</v>
      </c>
      <c r="J44" s="212" t="s">
        <v>334</v>
      </c>
    </row>
    <row r="45" spans="2:10" ht="38.25">
      <c r="B45" s="13" t="s">
        <v>1</v>
      </c>
      <c r="C45" s="13" t="s">
        <v>43</v>
      </c>
      <c r="D45" s="14" t="s">
        <v>4</v>
      </c>
      <c r="E45" s="14" t="s">
        <v>4</v>
      </c>
      <c r="F45" s="209" t="s">
        <v>4</v>
      </c>
      <c r="G45" s="211" t="s">
        <v>304</v>
      </c>
      <c r="H45" s="213" t="s">
        <v>91</v>
      </c>
      <c r="I45" s="218" t="s">
        <v>322</v>
      </c>
      <c r="J45" s="211" t="s">
        <v>346</v>
      </c>
    </row>
    <row r="46" spans="2:10" ht="38.25">
      <c r="B46" s="13" t="s">
        <v>1</v>
      </c>
      <c r="C46" s="13" t="s">
        <v>44</v>
      </c>
      <c r="D46" s="14" t="s">
        <v>4</v>
      </c>
      <c r="E46" s="14" t="s">
        <v>4</v>
      </c>
      <c r="F46" s="209" t="s">
        <v>4</v>
      </c>
      <c r="G46" s="211" t="s">
        <v>304</v>
      </c>
      <c r="H46" s="213" t="s">
        <v>91</v>
      </c>
      <c r="I46" s="218" t="s">
        <v>322</v>
      </c>
      <c r="J46" s="211" t="s">
        <v>346</v>
      </c>
    </row>
    <row r="47" spans="2:10" ht="51">
      <c r="B47" s="13" t="s">
        <v>1</v>
      </c>
      <c r="C47" s="13" t="s">
        <v>45</v>
      </c>
      <c r="D47" s="14" t="s">
        <v>4</v>
      </c>
      <c r="E47" s="14" t="s">
        <v>4</v>
      </c>
      <c r="F47" s="209" t="s">
        <v>4</v>
      </c>
      <c r="G47" s="211" t="s">
        <v>283</v>
      </c>
      <c r="H47" s="213" t="s">
        <v>325</v>
      </c>
      <c r="I47" s="218" t="s">
        <v>326</v>
      </c>
      <c r="J47" s="212" t="s">
        <v>335</v>
      </c>
    </row>
    <row r="48" spans="2:10" ht="38.25">
      <c r="B48" s="13" t="s">
        <v>1</v>
      </c>
      <c r="C48" s="13" t="s">
        <v>46</v>
      </c>
      <c r="D48" s="14" t="s">
        <v>4</v>
      </c>
      <c r="E48" s="14" t="s">
        <v>4</v>
      </c>
      <c r="F48" s="209" t="s">
        <v>3</v>
      </c>
      <c r="G48" s="211" t="s">
        <v>304</v>
      </c>
      <c r="H48" s="213" t="s">
        <v>91</v>
      </c>
      <c r="I48" s="218" t="s">
        <v>322</v>
      </c>
      <c r="J48" s="211" t="s">
        <v>346</v>
      </c>
    </row>
    <row r="49" spans="2:10" ht="38.25">
      <c r="B49" s="13" t="s">
        <v>1</v>
      </c>
      <c r="C49" s="13" t="s">
        <v>47</v>
      </c>
      <c r="D49" s="14" t="s">
        <v>4</v>
      </c>
      <c r="E49" s="14" t="s">
        <v>4</v>
      </c>
      <c r="F49" s="209" t="s">
        <v>3</v>
      </c>
      <c r="G49" s="211" t="s">
        <v>304</v>
      </c>
      <c r="H49" s="213" t="s">
        <v>91</v>
      </c>
      <c r="I49" s="218" t="s">
        <v>322</v>
      </c>
      <c r="J49" s="211" t="s">
        <v>346</v>
      </c>
    </row>
    <row r="50" spans="2:10" ht="38.25">
      <c r="B50" s="13" t="s">
        <v>1</v>
      </c>
      <c r="C50" s="13" t="s">
        <v>48</v>
      </c>
      <c r="D50" s="14" t="s">
        <v>4</v>
      </c>
      <c r="E50" s="14" t="s">
        <v>4</v>
      </c>
      <c r="F50" s="209" t="s">
        <v>4</v>
      </c>
      <c r="G50" s="211" t="s">
        <v>304</v>
      </c>
      <c r="H50" s="213" t="s">
        <v>91</v>
      </c>
      <c r="I50" s="218" t="s">
        <v>322</v>
      </c>
      <c r="J50" s="211" t="s">
        <v>346</v>
      </c>
    </row>
    <row r="51" spans="2:10" ht="38.25">
      <c r="B51" s="13" t="s">
        <v>1</v>
      </c>
      <c r="C51" s="13" t="s">
        <v>49</v>
      </c>
      <c r="D51" s="14" t="s">
        <v>4</v>
      </c>
      <c r="E51" s="14" t="s">
        <v>4</v>
      </c>
      <c r="F51" s="209" t="s">
        <v>4</v>
      </c>
      <c r="G51" s="211" t="s">
        <v>304</v>
      </c>
      <c r="H51" s="213" t="s">
        <v>91</v>
      </c>
      <c r="I51" s="218" t="s">
        <v>322</v>
      </c>
      <c r="J51" s="211" t="s">
        <v>346</v>
      </c>
    </row>
    <row r="52" spans="2:10" ht="51">
      <c r="B52" s="13" t="s">
        <v>1</v>
      </c>
      <c r="C52" s="13" t="s">
        <v>50</v>
      </c>
      <c r="D52" s="14" t="s">
        <v>4</v>
      </c>
      <c r="E52" s="14" t="s">
        <v>4</v>
      </c>
      <c r="F52" s="209" t="s">
        <v>3</v>
      </c>
      <c r="G52" s="211" t="s">
        <v>283</v>
      </c>
      <c r="H52" s="213" t="s">
        <v>325</v>
      </c>
      <c r="I52" s="218" t="s">
        <v>326</v>
      </c>
      <c r="J52" s="212" t="s">
        <v>336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9" t="s">
        <v>4</v>
      </c>
      <c r="G53" s="211" t="s">
        <v>283</v>
      </c>
      <c r="H53" s="213" t="s">
        <v>302</v>
      </c>
      <c r="I53" s="213" t="s">
        <v>303</v>
      </c>
      <c r="J53" s="213" t="s">
        <v>338</v>
      </c>
    </row>
    <row r="54" spans="2:10" ht="51">
      <c r="B54" s="13" t="s">
        <v>1</v>
      </c>
      <c r="C54" s="13" t="s">
        <v>52</v>
      </c>
      <c r="D54" s="14" t="s">
        <v>4</v>
      </c>
      <c r="E54" s="14" t="s">
        <v>4</v>
      </c>
      <c r="F54" s="209" t="s">
        <v>4</v>
      </c>
      <c r="G54" s="211" t="s">
        <v>283</v>
      </c>
      <c r="H54" s="213" t="s">
        <v>325</v>
      </c>
      <c r="I54" s="212" t="s">
        <v>326</v>
      </c>
      <c r="J54" s="213" t="s">
        <v>337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9" t="s">
        <v>4</v>
      </c>
      <c r="G55" s="211" t="s">
        <v>283</v>
      </c>
      <c r="H55" s="213" t="s">
        <v>302</v>
      </c>
      <c r="I55" s="213" t="s">
        <v>303</v>
      </c>
      <c r="J55" s="211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9" t="s">
        <v>4</v>
      </c>
      <c r="G56" s="211" t="s">
        <v>283</v>
      </c>
      <c r="H56" s="213" t="s">
        <v>302</v>
      </c>
      <c r="I56" s="213" t="s">
        <v>303</v>
      </c>
      <c r="J56" s="211"/>
    </row>
    <row r="57" spans="2:10" hidden="1">
      <c r="B57" s="13" t="s">
        <v>55</v>
      </c>
      <c r="C57" s="13" t="s">
        <v>90</v>
      </c>
      <c r="D57" s="14" t="s">
        <v>91</v>
      </c>
      <c r="E57" s="14" t="s">
        <v>91</v>
      </c>
      <c r="F57" s="209" t="s">
        <v>91</v>
      </c>
      <c r="G57" s="211" t="s">
        <v>91</v>
      </c>
      <c r="H57" s="211" t="s">
        <v>91</v>
      </c>
      <c r="I57" s="211" t="s">
        <v>91</v>
      </c>
      <c r="J57" s="211" t="s">
        <v>91</v>
      </c>
    </row>
    <row r="58" spans="2:10" ht="25.5">
      <c r="B58" s="13" t="s">
        <v>55</v>
      </c>
      <c r="C58" s="13" t="s">
        <v>36</v>
      </c>
      <c r="D58" s="14" t="s">
        <v>4</v>
      </c>
      <c r="E58" s="14" t="s">
        <v>4</v>
      </c>
      <c r="F58" s="209" t="s">
        <v>4</v>
      </c>
      <c r="G58" s="211" t="s">
        <v>283</v>
      </c>
      <c r="H58" s="213" t="s">
        <v>339</v>
      </c>
      <c r="I58" s="218" t="s">
        <v>340</v>
      </c>
      <c r="J58" s="211"/>
    </row>
    <row r="59" spans="2:10" ht="25.5">
      <c r="B59" s="13" t="s">
        <v>55</v>
      </c>
      <c r="C59" s="13" t="s">
        <v>38</v>
      </c>
      <c r="D59" s="14" t="s">
        <v>4</v>
      </c>
      <c r="E59" s="14" t="s">
        <v>4</v>
      </c>
      <c r="F59" s="209" t="s">
        <v>4</v>
      </c>
      <c r="G59" s="211" t="s">
        <v>283</v>
      </c>
      <c r="H59" s="213" t="s">
        <v>339</v>
      </c>
      <c r="I59" s="218" t="s">
        <v>340</v>
      </c>
      <c r="J59" s="211"/>
    </row>
    <row r="60" spans="2:10" ht="25.5">
      <c r="B60" s="13" t="s">
        <v>55</v>
      </c>
      <c r="C60" s="13" t="s">
        <v>56</v>
      </c>
      <c r="D60" s="14" t="s">
        <v>4</v>
      </c>
      <c r="E60" s="14" t="s">
        <v>4</v>
      </c>
      <c r="F60" s="209" t="s">
        <v>4</v>
      </c>
      <c r="G60" s="211" t="s">
        <v>283</v>
      </c>
      <c r="H60" s="213" t="s">
        <v>339</v>
      </c>
      <c r="I60" s="218" t="s">
        <v>340</v>
      </c>
      <c r="J60" s="211"/>
    </row>
    <row r="61" spans="2:10" ht="25.5">
      <c r="B61" s="13" t="s">
        <v>55</v>
      </c>
      <c r="C61" s="13" t="s">
        <v>57</v>
      </c>
      <c r="D61" s="14" t="s">
        <v>4</v>
      </c>
      <c r="E61" s="14" t="s">
        <v>4</v>
      </c>
      <c r="F61" s="209" t="s">
        <v>4</v>
      </c>
      <c r="G61" s="211" t="s">
        <v>283</v>
      </c>
      <c r="H61" s="213" t="s">
        <v>339</v>
      </c>
      <c r="I61" s="218" t="s">
        <v>340</v>
      </c>
      <c r="J61" s="211"/>
    </row>
    <row r="62" spans="2:10" ht="25.5">
      <c r="B62" s="13" t="s">
        <v>55</v>
      </c>
      <c r="C62" s="13" t="s">
        <v>58</v>
      </c>
      <c r="D62" s="14" t="s">
        <v>4</v>
      </c>
      <c r="E62" s="14" t="s">
        <v>4</v>
      </c>
      <c r="F62" s="209" t="s">
        <v>4</v>
      </c>
      <c r="G62" s="211" t="s">
        <v>283</v>
      </c>
      <c r="H62" s="213" t="s">
        <v>339</v>
      </c>
      <c r="I62" s="218" t="s">
        <v>340</v>
      </c>
      <c r="J62" s="211"/>
    </row>
    <row r="63" spans="2:10" ht="25.5" hidden="1">
      <c r="B63" s="13" t="s">
        <v>55</v>
      </c>
      <c r="C63" s="13" t="s">
        <v>59</v>
      </c>
      <c r="D63" s="14" t="s">
        <v>3</v>
      </c>
      <c r="E63" s="14" t="s">
        <v>4</v>
      </c>
      <c r="F63" s="209" t="s">
        <v>4</v>
      </c>
      <c r="G63" s="211" t="s">
        <v>283</v>
      </c>
      <c r="H63" s="213" t="s">
        <v>339</v>
      </c>
      <c r="I63" s="218" t="s">
        <v>340</v>
      </c>
      <c r="J63" s="211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9" t="s">
        <v>3</v>
      </c>
      <c r="G64" s="211" t="s">
        <v>283</v>
      </c>
      <c r="H64" s="213" t="s">
        <v>339</v>
      </c>
      <c r="I64" s="218" t="s">
        <v>341</v>
      </c>
      <c r="J64" s="211"/>
    </row>
    <row r="65" spans="2:10" hidden="1">
      <c r="B65" s="13" t="s">
        <v>61</v>
      </c>
      <c r="C65" s="13" t="s">
        <v>90</v>
      </c>
      <c r="D65" s="14" t="s">
        <v>91</v>
      </c>
      <c r="E65" s="14" t="s">
        <v>91</v>
      </c>
      <c r="F65" s="209" t="s">
        <v>91</v>
      </c>
      <c r="G65" s="211" t="s">
        <v>91</v>
      </c>
      <c r="H65" s="213" t="s">
        <v>91</v>
      </c>
      <c r="I65" s="217" t="s">
        <v>91</v>
      </c>
      <c r="J65" s="211" t="s">
        <v>91</v>
      </c>
    </row>
    <row r="66" spans="2:10">
      <c r="B66" s="13" t="s">
        <v>61</v>
      </c>
      <c r="C66" s="13" t="s">
        <v>36</v>
      </c>
      <c r="D66" s="14" t="s">
        <v>4</v>
      </c>
      <c r="E66" s="14" t="s">
        <v>4</v>
      </c>
      <c r="F66" s="209" t="s">
        <v>4</v>
      </c>
      <c r="G66" s="211" t="s">
        <v>304</v>
      </c>
      <c r="H66" s="213" t="s">
        <v>91</v>
      </c>
      <c r="I66" s="217" t="s">
        <v>342</v>
      </c>
      <c r="J66" s="211"/>
    </row>
    <row r="67" spans="2:10">
      <c r="B67" s="13" t="s">
        <v>61</v>
      </c>
      <c r="C67" s="13" t="s">
        <v>38</v>
      </c>
      <c r="D67" s="14" t="s">
        <v>4</v>
      </c>
      <c r="E67" s="14" t="s">
        <v>4</v>
      </c>
      <c r="F67" s="209" t="s">
        <v>4</v>
      </c>
      <c r="G67" s="211" t="s">
        <v>304</v>
      </c>
      <c r="H67" s="213" t="s">
        <v>91</v>
      </c>
      <c r="I67" s="217" t="s">
        <v>342</v>
      </c>
      <c r="J67" s="211"/>
    </row>
    <row r="68" spans="2:10">
      <c r="B68" s="13" t="s">
        <v>61</v>
      </c>
      <c r="C68" s="13" t="s">
        <v>54</v>
      </c>
      <c r="D68" s="14" t="s">
        <v>4</v>
      </c>
      <c r="E68" s="14" t="s">
        <v>4</v>
      </c>
      <c r="F68" s="209" t="s">
        <v>4</v>
      </c>
      <c r="G68" s="211" t="s">
        <v>304</v>
      </c>
      <c r="H68" s="213" t="s">
        <v>91</v>
      </c>
      <c r="I68" s="217" t="s">
        <v>342</v>
      </c>
      <c r="J68" s="211"/>
    </row>
    <row r="69" spans="2:10">
      <c r="B69" s="13" t="s">
        <v>61</v>
      </c>
      <c r="C69" s="13" t="s">
        <v>56</v>
      </c>
      <c r="D69" s="14" t="s">
        <v>4</v>
      </c>
      <c r="E69" s="14" t="s">
        <v>4</v>
      </c>
      <c r="F69" s="209" t="s">
        <v>4</v>
      </c>
      <c r="G69" s="211" t="s">
        <v>304</v>
      </c>
      <c r="H69" s="213" t="s">
        <v>91</v>
      </c>
      <c r="I69" s="217" t="s">
        <v>342</v>
      </c>
      <c r="J69" s="211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9" t="s">
        <v>4</v>
      </c>
      <c r="G70" s="211" t="s">
        <v>304</v>
      </c>
      <c r="H70" s="213" t="s">
        <v>91</v>
      </c>
      <c r="I70" s="217" t="s">
        <v>342</v>
      </c>
      <c r="J70" s="211"/>
    </row>
    <row r="71" spans="2:10" hidden="1">
      <c r="B71" s="13" t="s">
        <v>63</v>
      </c>
      <c r="C71" s="13" t="s">
        <v>90</v>
      </c>
      <c r="D71" s="14" t="s">
        <v>91</v>
      </c>
      <c r="E71" s="14" t="s">
        <v>91</v>
      </c>
      <c r="F71" s="209" t="s">
        <v>91</v>
      </c>
      <c r="G71" s="211" t="s">
        <v>91</v>
      </c>
      <c r="H71" s="213" t="s">
        <v>91</v>
      </c>
      <c r="I71" s="217" t="s">
        <v>91</v>
      </c>
      <c r="J71" s="211" t="s">
        <v>91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9" t="s">
        <v>4</v>
      </c>
      <c r="G72" s="211" t="s">
        <v>304</v>
      </c>
      <c r="H72" s="213" t="s">
        <v>91</v>
      </c>
      <c r="I72" s="217" t="s">
        <v>342</v>
      </c>
      <c r="J72" s="211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9" t="s">
        <v>4</v>
      </c>
      <c r="G73" s="211" t="s">
        <v>304</v>
      </c>
      <c r="H73" s="213" t="s">
        <v>91</v>
      </c>
      <c r="I73" s="217" t="s">
        <v>342</v>
      </c>
      <c r="J73" s="211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9" t="s">
        <v>4</v>
      </c>
      <c r="G74" s="211" t="s">
        <v>304</v>
      </c>
      <c r="H74" s="213" t="s">
        <v>91</v>
      </c>
      <c r="I74" s="217" t="s">
        <v>342</v>
      </c>
      <c r="J74" s="211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9" t="s">
        <v>4</v>
      </c>
      <c r="G75" s="211" t="s">
        <v>304</v>
      </c>
      <c r="H75" s="213" t="s">
        <v>91</v>
      </c>
      <c r="I75" s="217" t="s">
        <v>342</v>
      </c>
      <c r="J75" s="211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9" t="s">
        <v>4</v>
      </c>
      <c r="G76" s="211" t="s">
        <v>304</v>
      </c>
      <c r="H76" s="213" t="s">
        <v>91</v>
      </c>
      <c r="I76" s="217" t="s">
        <v>342</v>
      </c>
      <c r="J76" s="211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9" t="s">
        <v>4</v>
      </c>
      <c r="G77" s="211" t="s">
        <v>304</v>
      </c>
      <c r="H77" s="213" t="s">
        <v>91</v>
      </c>
      <c r="I77" s="217" t="s">
        <v>342</v>
      </c>
      <c r="J77" s="211"/>
    </row>
  </sheetData>
  <autoFilter ref="B4:J77" xr:uid="{385A7360-ED2F-4881-BCA6-8DB957F0124D}"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/>
  </sheetViews>
  <sheetFormatPr defaultRowHeight="15"/>
  <cols>
    <col min="1" max="1" width="3.7109375" customWidth="1"/>
    <col min="2" max="2" width="34.42578125" bestFit="1" customWidth="1"/>
    <col min="3" max="3" width="20.28515625" bestFit="1" customWidth="1"/>
    <col min="4" max="4" width="18.140625" bestFit="1" customWidth="1"/>
    <col min="5" max="5" width="24.28515625" bestFit="1" customWidth="1"/>
  </cols>
  <sheetData>
    <row r="2" spans="2:8">
      <c r="B2" s="228" t="s">
        <v>81</v>
      </c>
      <c r="C2" s="220" t="s">
        <v>112</v>
      </c>
      <c r="D2" s="220" t="s">
        <v>357</v>
      </c>
      <c r="E2" s="220" t="s">
        <v>356</v>
      </c>
      <c r="G2" s="231" t="s">
        <v>353</v>
      </c>
      <c r="H2" t="s">
        <v>354</v>
      </c>
    </row>
    <row r="3" spans="2:8">
      <c r="B3" s="229" t="s">
        <v>33</v>
      </c>
      <c r="C3" s="217" t="s">
        <v>350</v>
      </c>
      <c r="D3" s="230" t="s">
        <v>358</v>
      </c>
      <c r="E3" s="230" t="s">
        <v>355</v>
      </c>
      <c r="G3" s="231" t="s">
        <v>359</v>
      </c>
      <c r="H3" t="s">
        <v>360</v>
      </c>
    </row>
    <row r="4" spans="2:8">
      <c r="B4" s="229" t="s">
        <v>34</v>
      </c>
      <c r="C4" s="217" t="s">
        <v>351</v>
      </c>
      <c r="D4" s="230" t="s">
        <v>358</v>
      </c>
      <c r="E4" s="230" t="s">
        <v>355</v>
      </c>
      <c r="G4" s="231" t="s">
        <v>365</v>
      </c>
      <c r="H4" t="s">
        <v>367</v>
      </c>
    </row>
    <row r="5" spans="2:8">
      <c r="B5" s="229" t="s">
        <v>35</v>
      </c>
      <c r="C5" s="217" t="s">
        <v>351</v>
      </c>
      <c r="D5" s="230" t="s">
        <v>362</v>
      </c>
      <c r="E5" s="230" t="s">
        <v>355</v>
      </c>
      <c r="G5" s="231" t="s">
        <v>363</v>
      </c>
      <c r="H5" t="s">
        <v>364</v>
      </c>
    </row>
    <row r="6" spans="2:8">
      <c r="B6" s="229" t="s">
        <v>36</v>
      </c>
      <c r="C6" s="217" t="s">
        <v>350</v>
      </c>
      <c r="D6" s="230" t="s">
        <v>361</v>
      </c>
      <c r="E6" s="230" t="s">
        <v>355</v>
      </c>
    </row>
    <row r="7" spans="2:8">
      <c r="B7" s="229" t="s">
        <v>37</v>
      </c>
      <c r="C7" s="217" t="s">
        <v>350</v>
      </c>
      <c r="D7" s="230" t="s">
        <v>362</v>
      </c>
      <c r="E7" s="230" t="s">
        <v>355</v>
      </c>
    </row>
    <row r="8" spans="2:8">
      <c r="B8" s="229" t="s">
        <v>39</v>
      </c>
      <c r="C8" s="217" t="s">
        <v>350</v>
      </c>
      <c r="D8" s="230" t="s">
        <v>362</v>
      </c>
      <c r="E8" s="230" t="s">
        <v>355</v>
      </c>
    </row>
    <row r="9" spans="2:8">
      <c r="B9" s="229" t="s">
        <v>40</v>
      </c>
      <c r="C9" s="217" t="s">
        <v>350</v>
      </c>
      <c r="D9" s="230" t="s">
        <v>358</v>
      </c>
      <c r="E9" s="230" t="s">
        <v>355</v>
      </c>
    </row>
    <row r="10" spans="2:8">
      <c r="B10" s="229" t="s">
        <v>41</v>
      </c>
      <c r="C10" s="217" t="s">
        <v>350</v>
      </c>
      <c r="D10" s="230" t="s">
        <v>358</v>
      </c>
      <c r="E10" s="230" t="s">
        <v>355</v>
      </c>
    </row>
    <row r="11" spans="2:8">
      <c r="B11" s="229" t="s">
        <v>42</v>
      </c>
      <c r="C11" s="217" t="s">
        <v>350</v>
      </c>
      <c r="D11" s="230" t="s">
        <v>362</v>
      </c>
      <c r="E11" s="230" t="s">
        <v>355</v>
      </c>
    </row>
    <row r="12" spans="2:8">
      <c r="B12" s="229" t="s">
        <v>43</v>
      </c>
      <c r="C12" s="217" t="s">
        <v>350</v>
      </c>
      <c r="D12" s="230" t="s">
        <v>352</v>
      </c>
      <c r="E12" s="230" t="s">
        <v>355</v>
      </c>
    </row>
    <row r="13" spans="2:8">
      <c r="B13" s="229" t="s">
        <v>44</v>
      </c>
      <c r="C13" s="217" t="s">
        <v>351</v>
      </c>
      <c r="D13" s="230" t="s">
        <v>352</v>
      </c>
      <c r="E13" s="230" t="s">
        <v>355</v>
      </c>
    </row>
    <row r="14" spans="2:8">
      <c r="B14" s="229" t="s">
        <v>45</v>
      </c>
      <c r="C14" s="217" t="s">
        <v>351</v>
      </c>
      <c r="D14" s="230" t="s">
        <v>362</v>
      </c>
      <c r="E14" s="230" t="s">
        <v>355</v>
      </c>
    </row>
    <row r="15" spans="2:8">
      <c r="B15" s="229" t="s">
        <v>46</v>
      </c>
      <c r="C15" s="217" t="s">
        <v>351</v>
      </c>
      <c r="D15" s="230" t="s">
        <v>352</v>
      </c>
      <c r="E15" s="230" t="s">
        <v>355</v>
      </c>
    </row>
    <row r="16" spans="2:8">
      <c r="B16" s="229" t="s">
        <v>47</v>
      </c>
      <c r="C16" s="217" t="s">
        <v>350</v>
      </c>
      <c r="D16" s="230" t="s">
        <v>352</v>
      </c>
      <c r="E16" s="230" t="s">
        <v>355</v>
      </c>
    </row>
    <row r="17" spans="2:5">
      <c r="B17" s="229" t="s">
        <v>48</v>
      </c>
      <c r="C17" s="217" t="s">
        <v>351</v>
      </c>
      <c r="D17" s="230" t="s">
        <v>352</v>
      </c>
      <c r="E17" s="230" t="s">
        <v>355</v>
      </c>
    </row>
    <row r="18" spans="2:5">
      <c r="B18" s="229" t="s">
        <v>49</v>
      </c>
      <c r="C18" s="217" t="s">
        <v>351</v>
      </c>
      <c r="D18" s="230" t="s">
        <v>352</v>
      </c>
      <c r="E18" s="230" t="s">
        <v>355</v>
      </c>
    </row>
    <row r="19" spans="2:5">
      <c r="B19" s="229" t="s">
        <v>50</v>
      </c>
      <c r="C19" s="217" t="s">
        <v>350</v>
      </c>
      <c r="D19" s="230" t="s">
        <v>362</v>
      </c>
      <c r="E19" s="230" t="s">
        <v>355</v>
      </c>
    </row>
    <row r="20" spans="2:5">
      <c r="B20" s="229" t="s">
        <v>52</v>
      </c>
      <c r="C20" s="217" t="s">
        <v>351</v>
      </c>
      <c r="D20" s="230" t="s">
        <v>366</v>
      </c>
      <c r="E20" s="230" t="s">
        <v>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D7912B9-2C3E-4BCA-ABC5-B58501117AC6}"/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Duarte Manuel André Gomes</cp:lastModifiedBy>
  <dcterms:created xsi:type="dcterms:W3CDTF">2025-05-09T17:10:42Z</dcterms:created>
  <dcterms:modified xsi:type="dcterms:W3CDTF">2025-06-05T15:15:24Z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