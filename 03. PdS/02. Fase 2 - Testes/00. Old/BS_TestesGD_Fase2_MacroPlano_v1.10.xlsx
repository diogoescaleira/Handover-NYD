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856" documentId="8_{CF3F4EB0-50C4-4700-A494-62C89AB87AC1}" xr6:coauthVersionLast="47" xr6:coauthVersionMax="47" xr10:uidLastSave="{230036E0-FD05-4872-8834-7A11A9B7EE32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Status'!$A$8:$X$81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9" i="11" l="1"/>
  <c r="K88" i="11"/>
  <c r="K87" i="11"/>
  <c r="K86" i="11"/>
  <c r="K85" i="11"/>
  <c r="J90" i="11"/>
  <c r="K84" i="11"/>
  <c r="I90" i="11"/>
  <c r="K83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<sst xmlns="http://schemas.openxmlformats.org/spreadsheetml/2006/main" count="3461" uniqueCount="410">
  <si>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</si>
  <si>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</si>
  <si>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</si>
  <si>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</si>
  <si>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</si>
  <si>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</si>
  <si>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</si>
  <si>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</si>
  <si>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</si>
  <si>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</si>
  <si>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</si>
  <si>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</si>
  <si>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</si>
  <si>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</si>
  <si>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</si>
  <si>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</si>
  <si>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</si>
  <si>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</si>
  <si>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</si>
  <si>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</si>
  <si>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</si>
  <si>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</si>
  <si>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</si>
  <si>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</si>
  <si>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</si>
  <si>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</si>
  <si>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</si>
  <si>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</si>
  <si>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</si>
  <si>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</si>
  <si>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</si>
  <si>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</si>
  <si>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</si>
  <si>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</si>
  <si>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</si>
  <si>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</si>
  <si>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</si>
  <si>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</si>
  <si>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</si>
  <si>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</si>
  <si>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</si>
  <si>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</si>
  <si>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</si>
  <si>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</si>
  <si>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</si>
  <si>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</si>
  <si>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</si>
  <si>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</si>
  <si>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</si>
  <si>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</si>
  <si>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</si>
  <si>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</si>
  <si>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</si>
  <si>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</si>
  <si>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</si>
  <si>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</si>
  <si>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</si>
  <si>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</si>
  <si>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</si>
  <si>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</si>
  <si>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</si>
  <si>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</si>
  <si>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</si>
  <si>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</si>
  <si>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</si>
  <si>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</si>
  <si>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</si>
  <si>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</si>
  <si>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</si>
  <si>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</si>
  <si>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</si>
  <si>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</si>
  <si>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</si>
  <si>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</si>
  <si>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</si>
  <si>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</si>
  <si>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</si>
  <si>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</si>
  <si>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</si>
  <si>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</si>
  <si>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</si>
  <si>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</si>
  <si>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</si>
  <si>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</si>
  <si>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</si>
  <si>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</si>
  <si>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</si>
  <si>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</si>
  <si>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</si>
  <si>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</si>
  <si>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</si>
  <si>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</si>
  <si>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</si>
  <si>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</si>
  <si>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</si>
  <si>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</si>
  <si>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</si>
  <si>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</si>
  <si>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</si>
  <si>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</si>
  <si>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</si>
  <si>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</si>
  <si>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</si>
  <si>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</si>
  <si>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</si>
  <si>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</si>
  <si>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</si>
  <si>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</si>
  <si>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</si>
  <si>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</si>
  <si>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</si>
  <si>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</si>
  <si>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</si>
  <si>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</si>
  <si>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</si>
  <si>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</si>
  <si>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</si>
  <si>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</si>
  <si>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</si>
  <si>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</si>
  <si>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</si>
  <si>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</si>
  <si>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</si>
  <si>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</si>
  <si>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</si>
  <si>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</si>
  <si>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</si>
  <si>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</si>
  <si>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</si>
  <si>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</si>
  <si>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</si>
  <si>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</si>
  <si>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</si>
  <si>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</si>
  <si>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</si>
  <si>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</si>
  <si>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</si>
  <si>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</si>
  <si>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</si>
  <si>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</si>
  <si>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</si>
  <si>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</si>
  <si>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</si>
  <si>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</si>
  <si>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</si>
  <si>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</si>
  <si>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</si>
  <si>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</si>
  <si>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</si>
  <si>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</si>
  <si>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</si>
  <si>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</si>
  <si>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</si>
  <si>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</si>
  <si>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</si>
  <si>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</si>
  <si>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</si>
  <si>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</si>
  <si>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</si>
  <si>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</si>
  <si>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</si>
  <si>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</si>
  <si>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</si>
  <si>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</si>
  <si>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</si>
  <si>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</si>
  <si>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</si>
  <si>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</si>
  <si>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</si>
  <si>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</si>
  <si>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</si>
  <si>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</si>
  <si>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</si>
  <si>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</si>
  <si>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</si>
  <si>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</si>
  <si>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</si>
  <si>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</si>
  <si>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</si>
  <si>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</si>
  <si>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</si>
  <si>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</si>
  <si>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</si>
  <si>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</si>
  <si>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</si>
  <si>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</si>
  <si>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</si>
  <si>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</si>
  <si>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</si>
  <si>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</si>
  <si>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</si>
  <si>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</si>
  <si>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</si>
  <si>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</si>
  <si>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</si>
  <si>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</si>
  <si>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</si>
  <si>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</si>
  <si>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</si>
  <si>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</si>
  <si>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</si>
  <si>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</si>
  <si>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</si>
  <si>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</si>
  <si>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</si>
  <si>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</si>
  <si>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</si>
  <si>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</si>
  <si>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</si>
  <si>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</si>
  <si>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</si>
  <si>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</si>
  <si>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</si>
  <si>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</si>
  <si>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</si>
  <si>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</si>
  <si>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</si>
  <si>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</si>
  <si>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</si>
  <si>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</si>
  <si>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</si>
  <si>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</si>
  <si>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</si>
  <si>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</si>
  <si>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</si>
  <si>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</si>
  <si>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</si>
  <si>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</si>
  <si>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</si>
  <si>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</si>
  <si>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</si>
  <si>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</si>
  <si>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</si>
  <si>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</si>
  <si>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</si>
  <si>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</si>
  <si>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</si>
  <si>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</si>
  <si>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</si>
  <si>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</si>
  <si>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</si>
  <si>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</si>
  <si>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</si>
  <si>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</si>
  <si>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</si>
  <si>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</si>
  <si>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</si>
  <si>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</si>
  <si>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</si>
  <si>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</si>
  <si>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</si>
  <si>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</si>
  <si>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</si>
  <si>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</si>
  <si>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</si>
  <si>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</si>
  <si>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</si>
  <si>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</si>
  <si>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</si>
  <si>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</si>
  <si>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</si>
  <si>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</si>
  <si>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</si>
  <si>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</si>
  <si>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</si>
  <si>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</si>
  <si>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</si>
  <si>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</si>
  <si>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</si>
  <si>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</si>
  <si>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</si>
  <si>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</si>
  <si>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</si>
  <si>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</si>
  <si>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</si>
  <si>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</si>
  <si>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</si>
  <si>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</si>
  <si>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</si>
  <si>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</si>
  <si>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</si>
  <si>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</si>
  <si>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</si>
  <si>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</si>
  <si>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</si>
  <si>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</si>
  <si>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</si>
  <si>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</si>
  <si>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</si>
  <si>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</si>
  <si>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</si>
  <si>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</si>
  <si>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</si>
  <si>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</si>
  <si>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</si>
  <si>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</si>
  <si>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</si>
  <si>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</si>
  <si>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</si>
  <si>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</si>
  <si>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</si>
  <si>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</si>
  <si>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</si>
  <si>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</si>
  <si>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</si>
  <si>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</si>
  <si>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</si>
  <si>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</si>
  <si>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</si>
  <si>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</si>
  <si>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</si>
  <si>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</si>
  <si>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</si>
  <si>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</si>
  <si>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</si>
  <si>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</si>
  <si>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</si>
  <si>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</si>
  <si>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</si>
  <si>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</si>
  <si>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</si>
  <si>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</si>
  <si>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</si>
  <si>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</si>
  <si>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</si>
  <si>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</si>
  <si>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</si>
  <si>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</si>
  <si>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</si>
  <si>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</si>
  <si>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</si>
  <si>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</si>
  <si>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</si>
  <si>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</si>
  <si>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</si>
  <si>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</si>
  <si>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</si>
  <si>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</si>
  <si>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</si>
  <si>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</si>
  <si>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</si>
  <si>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</si>
  <si>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</si>
  <si>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</si>
  <si>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</si>
  <si>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</si>
  <si>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</si>
  <si>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</si>
  <si>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</si>
  <si>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</si>
  <si>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</si>
  <si>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</si>
  <si>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</si>
  <si>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</si>
  <si>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</si>
  <si>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</si>
  <si>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</si>
  <si>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</si>
  <si>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</si>
  <si>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</si>
  <si>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</si>
  <si>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</si>
  <si>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</si>
  <si>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</si>
  <si>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</si>
  <si>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</si>
  <si>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</si>
  <si>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</si>
  <si>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</si>
  <si>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</si>
  <si>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</si>
  <si>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</si>
  <si>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</si>
  <si>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</si>
  <si>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</si>
  <si>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</si>
  <si>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</si>
  <si>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</si>
  <si>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</si>
  <si>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</si>
  <si>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</si>
  <si>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</si>
  <si>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</si>
  <si>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</si>
  <si>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</si>
  <si>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correção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</si>
  <si>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</si>
  <si>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</si>
  <si>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</si>
  <si>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</si>
  <si>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
Encontram-se em correção 4 campos assim como o universo da tabela.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</si>
  <si>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</si>
  <si>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</si>
  <si>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</si>
  <si>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Dos 51 campos entregues por IT, encontram-se 31 em correção, 1 por iniciar a validação e 2 em re-teste.
Salienta-se que, 4 dos campos que se encontram em correção foi devido a re-especificação, a qual foi enviada no dia 18/jun. Destes 4 campos, 2 são comuns com o âmbito Pilar 3.</t>
  </si>
  <si>
    <t>Sumário Executivo | 27/jun a 03/jul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</si>
  <si>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38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"6. Por Iniciar".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últimas entregas.</t>
    </r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</si>
  <si>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</si>
  <si>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</si>
  <si>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</si>
  <si>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</si>
  <si>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c/ incidências</t>
  </si>
  <si>
    <t>Será disponibilizado no dia 11 no âmbito do projeto LF.</t>
  </si>
  <si>
    <t>Ok do lado de IT, corrigir a nossa simulação</t>
  </si>
  <si>
    <t>Ok do lado de IT</t>
  </si>
  <si>
    <t>Já foi disponibilizado no âmbito Pilar2, por isso já pode ser testado.</t>
  </si>
  <si>
    <t>A aguardar a adição dos cancelados no universo de Pilar 3.</t>
  </si>
  <si>
    <t>TBD</t>
  </si>
  <si>
    <t>está ok</t>
  </si>
  <si>
    <t>7 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</si>
</sst>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4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47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0" fillId="3" borderId="49" xfId="0" applyFont="1" applyFill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62B967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6. Por Iniciar</c:v>
                </c:pt>
                <c:pt idx="2">
                  <c:v>4. Em Correção</c:v>
                </c:pt>
                <c:pt idx="3">
                  <c:v>5. Em Re-teste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17</c:v>
                </c:pt>
                <c:pt idx="1">
                  <c:v>1</c:v>
                </c:pt>
                <c:pt idx="2">
                  <c:v>31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85440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1162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2582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56853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95,7%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40,6%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41.448762731481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5. Em Re-teste"/>
        <s v="1. Concluído"/>
        <s v="6. Por Iniciar"/>
        <s v="2. Em Teste" u="1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1"/>
  </r>
  <r>
    <x v="0"/>
    <x v="11"/>
    <x v="0"/>
  </r>
  <r>
    <x v="0"/>
    <x v="12"/>
    <x v="2"/>
  </r>
  <r>
    <x v="0"/>
    <x v="13"/>
    <x v="2"/>
  </r>
  <r>
    <x v="0"/>
    <x v="14"/>
    <x v="2"/>
  </r>
  <r>
    <x v="0"/>
    <x v="15"/>
    <x v="0"/>
  </r>
  <r>
    <x v="0"/>
    <x v="16"/>
    <x v="2"/>
  </r>
  <r>
    <x v="0"/>
    <x v="17"/>
    <x v="0"/>
  </r>
  <r>
    <x v="0"/>
    <x v="18"/>
    <x v="0"/>
  </r>
  <r>
    <x v="0"/>
    <x v="19"/>
    <x v="0"/>
  </r>
  <r>
    <x v="0"/>
    <x v="20"/>
    <x v="1"/>
  </r>
  <r>
    <x v="0"/>
    <x v="21"/>
    <x v="0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0"/>
  </r>
  <r>
    <x v="0"/>
    <x v="31"/>
    <x v="0"/>
  </r>
  <r>
    <x v="0"/>
    <x v="32"/>
    <x v="0"/>
  </r>
  <r>
    <x v="0"/>
    <x v="33"/>
    <x v="2"/>
  </r>
  <r>
    <x v="0"/>
    <x v="34"/>
    <x v="0"/>
  </r>
  <r>
    <x v="0"/>
    <x v="35"/>
    <x v="2"/>
  </r>
  <r>
    <x v="0"/>
    <x v="36"/>
    <x v="0"/>
  </r>
  <r>
    <x v="0"/>
    <x v="37"/>
    <x v="0"/>
  </r>
  <r>
    <x v="0"/>
    <x v="38"/>
    <x v="0"/>
  </r>
  <r>
    <x v="0"/>
    <x v="39"/>
    <x v="0"/>
  </r>
  <r>
    <x v="0"/>
    <x v="40"/>
    <x v="0"/>
  </r>
  <r>
    <x v="0"/>
    <x v="41"/>
    <x v="0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2"/>
  </r>
  <r>
    <x v="0"/>
    <x v="49"/>
    <x v="3"/>
  </r>
  <r>
    <x v="0"/>
    <x v="50"/>
    <x v="0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0"/>
  </r>
  <r>
    <x v="1"/>
    <x v="55"/>
    <x v="2"/>
  </r>
  <r>
    <x v="1"/>
    <x v="56"/>
    <x v="0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2"/>
  </r>
  <r>
    <x v="3"/>
    <x v="35"/>
    <x v="2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4">
    <i>
      <x/>
    </i>
    <i>
      <x v="2"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topLeftCell="A16" zoomScale="90" zoomScaleNormal="90" workbookViewId="0">
      <selection activeCell="I52" sqref="I52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395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5" customHeight="1">
      <c r="B11" s="182"/>
      <c r="C11" s="177"/>
      <c r="D11" s="177"/>
      <c r="E11" s="177"/>
      <c r="F11" s="177"/>
      <c r="G11" s="177"/>
      <c r="H11" s="177"/>
      <c r="I11" s="177"/>
      <c r="J11" s="189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5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5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5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5" customHeight="1">
      <c r="B15" s="182"/>
      <c r="C15" s="237" t="s">
        <v>382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5" customHeight="1">
      <c r="B16" s="182"/>
      <c r="C16" s="237" t="s">
        <v>383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5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5" customHeight="1">
      <c r="B18" s="182"/>
      <c r="C18" s="186" t="s">
        <v>289</v>
      </c>
      <c r="D18" s="177"/>
      <c r="E18" s="177"/>
      <c r="F18" s="177"/>
      <c r="G18" s="177"/>
      <c r="H18" s="177"/>
      <c r="I18" s="189" t="s">
        <v>267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2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81" t="s">
        <v>378</v>
      </c>
      <c r="E20" s="281"/>
      <c r="F20" s="281"/>
      <c r="G20" s="270" t="s">
        <v>379</v>
      </c>
      <c r="H20" s="177"/>
      <c r="I20" s="272" t="s">
        <v>396</v>
      </c>
      <c r="J20" s="273"/>
      <c r="K20" s="273"/>
      <c r="L20" s="273"/>
      <c r="M20" s="273"/>
      <c r="N20" s="273"/>
      <c r="O20" s="273"/>
      <c r="P20" s="273"/>
      <c r="Q20" s="273"/>
      <c r="R20" s="274"/>
      <c r="S20" s="178"/>
    </row>
    <row r="21" spans="2:19">
      <c r="B21" s="176"/>
      <c r="C21" s="183" t="s">
        <v>80</v>
      </c>
      <c r="D21" s="185" t="s">
        <v>285</v>
      </c>
      <c r="E21" s="185" t="s">
        <v>247</v>
      </c>
      <c r="F21" s="185" t="s">
        <v>284</v>
      </c>
      <c r="G21" s="271"/>
      <c r="H21" s="177"/>
      <c r="I21" s="275"/>
      <c r="J21" s="276"/>
      <c r="K21" s="276"/>
      <c r="L21" s="276"/>
      <c r="M21" s="276"/>
      <c r="N21" s="276"/>
      <c r="O21" s="276"/>
      <c r="P21" s="276"/>
      <c r="Q21" s="276"/>
      <c r="R21" s="277"/>
      <c r="S21" s="178"/>
    </row>
    <row r="22" spans="2:19">
      <c r="B22" s="176"/>
      <c r="C22" s="201" t="s">
        <v>1</v>
      </c>
      <c r="D22" s="187">
        <f>43+8</f>
        <v>51</v>
      </c>
      <c r="E22" s="187">
        <f>43+8</f>
        <v>51</v>
      </c>
      <c r="F22" s="187">
        <f>E22-D22</f>
        <v>0</v>
      </c>
      <c r="G22" s="187">
        <f>COUNTIFS('Aux Gráficos'!$D$3:$D$75,"4. Em Correção",'Aux Gráficos'!$B$3:$B$75,'Status Resumo'!C22,'Aux Gráficos'!$C$3:$C$75,"&lt;&gt;"&amp;"UNIVERSO")</f>
        <v>31</v>
      </c>
      <c r="H22" s="177"/>
      <c r="I22" s="275"/>
      <c r="J22" s="276"/>
      <c r="K22" s="276"/>
      <c r="L22" s="276"/>
      <c r="M22" s="276"/>
      <c r="N22" s="276"/>
      <c r="O22" s="276"/>
      <c r="P22" s="276"/>
      <c r="Q22" s="276"/>
      <c r="R22" s="277"/>
      <c r="S22" s="178"/>
    </row>
    <row r="23" spans="2:19">
      <c r="B23" s="176"/>
      <c r="C23" s="201" t="s">
        <v>55</v>
      </c>
      <c r="D23" s="187">
        <v>7</v>
      </c>
      <c r="E23" s="187">
        <v>7</v>
      </c>
      <c r="F23" s="187">
        <f>E23-D23</f>
        <v>0</v>
      </c>
      <c r="G23" s="187">
        <f>COUNTIFS('Aux Gráficos'!$D$3:$D$75,"4. Em Correção",'Aux Gráficos'!$B$3:$B$75,'Status Resumo'!C23,'Aux Gráficos'!$C$3:$C$75,"&lt;&gt;"&amp;"UNIVERSO")</f>
        <v>2</v>
      </c>
      <c r="H23" s="177"/>
      <c r="I23" s="275"/>
      <c r="J23" s="276"/>
      <c r="K23" s="276"/>
      <c r="L23" s="276"/>
      <c r="M23" s="276"/>
      <c r="N23" s="276"/>
      <c r="O23" s="276"/>
      <c r="P23" s="276"/>
      <c r="Q23" s="276"/>
      <c r="R23" s="277"/>
      <c r="S23" s="178"/>
    </row>
    <row r="24" spans="2:19">
      <c r="B24" s="176"/>
      <c r="C24" s="201" t="s">
        <v>61</v>
      </c>
      <c r="D24" s="187">
        <v>5</v>
      </c>
      <c r="E24" s="187">
        <v>5</v>
      </c>
      <c r="F24" s="187">
        <f>E24-D24</f>
        <v>0</v>
      </c>
      <c r="G24" s="187">
        <f>COUNTIFS('Aux Gráficos'!$D$3:$D$75,"4. Em Correção",'Aux Gráficos'!$B$3:$B$75,'Status Resumo'!C24,'Aux Gráficos'!$C$3:$C$75,"&lt;&gt;"&amp;"UNIVERSO")</f>
        <v>1</v>
      </c>
      <c r="H24" s="177"/>
      <c r="I24" s="275"/>
      <c r="J24" s="276"/>
      <c r="K24" s="276"/>
      <c r="L24" s="276"/>
      <c r="M24" s="276"/>
      <c r="N24" s="276"/>
      <c r="O24" s="276"/>
      <c r="P24" s="276"/>
      <c r="Q24" s="276"/>
      <c r="R24" s="277"/>
      <c r="S24" s="178"/>
    </row>
    <row r="25" spans="2:19">
      <c r="B25" s="176"/>
      <c r="C25" s="201" t="s">
        <v>63</v>
      </c>
      <c r="D25" s="187">
        <v>6</v>
      </c>
      <c r="E25" s="187">
        <v>6</v>
      </c>
      <c r="F25" s="187">
        <f>E25-D25</f>
        <v>0</v>
      </c>
      <c r="G25" s="187">
        <f>COUNTIFS('Aux Gráficos'!$D$3:$D$75,"4. Em Correção",'Aux Gráficos'!$B$3:$B$75,'Status Resumo'!C25,'Aux Gráficos'!$C$3:$C$75,"&lt;&gt;"&amp;"UNIVERSO")</f>
        <v>4</v>
      </c>
      <c r="H25" s="177"/>
      <c r="I25" s="275"/>
      <c r="J25" s="276"/>
      <c r="K25" s="276"/>
      <c r="L25" s="276"/>
      <c r="M25" s="276"/>
      <c r="N25" s="276"/>
      <c r="O25" s="276"/>
      <c r="P25" s="276"/>
      <c r="Q25" s="276"/>
      <c r="R25" s="277"/>
      <c r="S25" s="178"/>
    </row>
    <row r="26" spans="2:19">
      <c r="B26" s="176"/>
      <c r="C26" s="184" t="s">
        <v>268</v>
      </c>
      <c r="D26" s="185">
        <f>SUM(D22:D25)</f>
        <v>69</v>
      </c>
      <c r="E26" s="185">
        <f t="shared" ref="E26:G26" si="0">SUM(E22:E25)</f>
        <v>69</v>
      </c>
      <c r="F26" s="185">
        <f t="shared" si="0"/>
        <v>0</v>
      </c>
      <c r="G26" s="185">
        <f t="shared" si="0"/>
        <v>38</v>
      </c>
      <c r="H26" s="177"/>
      <c r="I26" s="278"/>
      <c r="J26" s="279"/>
      <c r="K26" s="279"/>
      <c r="L26" s="279"/>
      <c r="M26" s="279"/>
      <c r="N26" s="279"/>
      <c r="O26" s="279"/>
      <c r="P26" s="279"/>
      <c r="Q26" s="279"/>
      <c r="R26" s="280"/>
      <c r="S26" s="178"/>
    </row>
    <row r="27" spans="2:19">
      <c r="B27" s="176"/>
      <c r="C27" s="188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6" t="s">
        <v>303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2" customHeight="1">
      <c r="B29" s="176"/>
      <c r="C29" s="18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5" customHeight="1">
      <c r="B30" s="176"/>
      <c r="C30" s="183" t="s">
        <v>80</v>
      </c>
      <c r="D30" s="282" t="s">
        <v>286</v>
      </c>
      <c r="E30" s="282"/>
      <c r="F30" s="282"/>
      <c r="G30" s="282" t="s">
        <v>287</v>
      </c>
      <c r="H30" s="282"/>
      <c r="I30" s="282"/>
      <c r="J30" s="282"/>
      <c r="K30" s="282"/>
      <c r="L30" s="282"/>
      <c r="M30" s="282"/>
      <c r="N30" s="282"/>
      <c r="O30" s="282"/>
      <c r="P30" s="282"/>
      <c r="Q30" s="190" t="s">
        <v>310</v>
      </c>
      <c r="R30" s="190" t="s">
        <v>311</v>
      </c>
      <c r="S30" s="178"/>
    </row>
    <row r="31" spans="2:19" ht="15" customHeight="1">
      <c r="B31" s="176"/>
      <c r="C31" s="201" t="s">
        <v>1</v>
      </c>
      <c r="D31" s="255" t="s">
        <v>307</v>
      </c>
      <c r="E31" s="255"/>
      <c r="F31" s="255"/>
      <c r="G31" s="255" t="s">
        <v>339</v>
      </c>
      <c r="H31" s="255"/>
      <c r="I31" s="255"/>
      <c r="J31" s="255"/>
      <c r="K31" s="255"/>
      <c r="L31" s="255"/>
      <c r="M31" s="255"/>
      <c r="N31" s="255"/>
      <c r="O31" s="255"/>
      <c r="P31" s="255"/>
      <c r="Q31" s="191" t="s">
        <v>306</v>
      </c>
      <c r="R31" s="200" t="s">
        <v>309</v>
      </c>
      <c r="S31" s="178"/>
    </row>
    <row r="32" spans="2:19">
      <c r="B32" s="176"/>
      <c r="C32" s="201" t="s">
        <v>1</v>
      </c>
      <c r="D32" s="255" t="s">
        <v>304</v>
      </c>
      <c r="E32" s="255"/>
      <c r="F32" s="255"/>
      <c r="G32" s="255" t="s">
        <v>341</v>
      </c>
      <c r="H32" s="255"/>
      <c r="I32" s="255"/>
      <c r="J32" s="255"/>
      <c r="K32" s="255"/>
      <c r="L32" s="255"/>
      <c r="M32" s="255"/>
      <c r="N32" s="255"/>
      <c r="O32" s="255"/>
      <c r="P32" s="255"/>
      <c r="Q32" s="191" t="s">
        <v>340</v>
      </c>
      <c r="R32" s="191" t="s">
        <v>288</v>
      </c>
      <c r="S32" s="178"/>
    </row>
    <row r="33" spans="2:19">
      <c r="B33" s="176"/>
      <c r="C33" s="201" t="s">
        <v>1</v>
      </c>
      <c r="D33" s="255" t="s">
        <v>305</v>
      </c>
      <c r="E33" s="255"/>
      <c r="F33" s="255"/>
      <c r="G33" s="255" t="s">
        <v>370</v>
      </c>
      <c r="H33" s="255"/>
      <c r="I33" s="255"/>
      <c r="J33" s="255"/>
      <c r="K33" s="255"/>
      <c r="L33" s="255"/>
      <c r="M33" s="255"/>
      <c r="N33" s="255"/>
      <c r="O33" s="255"/>
      <c r="P33" s="255"/>
      <c r="Q33" s="216" t="s">
        <v>288</v>
      </c>
      <c r="R33" s="191" t="s">
        <v>288</v>
      </c>
      <c r="S33" s="178"/>
    </row>
    <row r="34" spans="2:19" ht="14.25" customHeight="1">
      <c r="B34" s="176"/>
      <c r="C34" s="201" t="s">
        <v>1</v>
      </c>
      <c r="D34" s="267" t="s">
        <v>371</v>
      </c>
      <c r="E34" s="267"/>
      <c r="F34" s="267"/>
      <c r="G34" s="255" t="s">
        <v>369</v>
      </c>
      <c r="H34" s="255"/>
      <c r="I34" s="255"/>
      <c r="J34" s="255"/>
      <c r="K34" s="255"/>
      <c r="L34" s="255"/>
      <c r="M34" s="255"/>
      <c r="N34" s="255"/>
      <c r="O34" s="255"/>
      <c r="P34" s="255"/>
      <c r="Q34" s="191" t="s">
        <v>306</v>
      </c>
      <c r="R34" s="200" t="s">
        <v>309</v>
      </c>
      <c r="S34" s="178"/>
    </row>
    <row r="35" spans="2:19" ht="14.25" customHeight="1">
      <c r="B35" s="176"/>
      <c r="C35" s="201" t="s">
        <v>1</v>
      </c>
      <c r="D35" s="255" t="s">
        <v>367</v>
      </c>
      <c r="E35" s="255"/>
      <c r="F35" s="255"/>
      <c r="G35" s="255" t="s">
        <v>373</v>
      </c>
      <c r="H35" s="255"/>
      <c r="I35" s="255"/>
      <c r="J35" s="255"/>
      <c r="K35" s="255"/>
      <c r="L35" s="255"/>
      <c r="M35" s="255"/>
      <c r="N35" s="255"/>
      <c r="O35" s="255"/>
      <c r="P35" s="255"/>
      <c r="Q35" s="191" t="s">
        <v>306</v>
      </c>
      <c r="R35" s="200" t="s">
        <v>309</v>
      </c>
      <c r="S35" s="178"/>
    </row>
    <row r="36" spans="2:19" ht="14.25" customHeight="1">
      <c r="B36" s="176"/>
      <c r="C36" s="201" t="s">
        <v>1</v>
      </c>
      <c r="D36" s="255" t="s">
        <v>368</v>
      </c>
      <c r="E36" s="255"/>
      <c r="F36" s="255"/>
      <c r="G36" s="255" t="s">
        <v>374</v>
      </c>
      <c r="H36" s="255"/>
      <c r="I36" s="255"/>
      <c r="J36" s="255"/>
      <c r="K36" s="255"/>
      <c r="L36" s="255"/>
      <c r="M36" s="255"/>
      <c r="N36" s="255"/>
      <c r="O36" s="255"/>
      <c r="P36" s="255"/>
      <c r="Q36" s="191" t="s">
        <v>306</v>
      </c>
      <c r="R36" s="200" t="s">
        <v>309</v>
      </c>
      <c r="S36" s="178"/>
    </row>
    <row r="37" spans="2:19" ht="14.25" customHeight="1">
      <c r="B37" s="176"/>
      <c r="C37" s="201" t="s">
        <v>55</v>
      </c>
      <c r="D37" s="267" t="s">
        <v>372</v>
      </c>
      <c r="E37" s="268"/>
      <c r="F37" s="269"/>
      <c r="G37" s="255" t="s">
        <v>313</v>
      </c>
      <c r="H37" s="265"/>
      <c r="I37" s="265"/>
      <c r="J37" s="265"/>
      <c r="K37" s="265"/>
      <c r="L37" s="265"/>
      <c r="M37" s="265"/>
      <c r="N37" s="265"/>
      <c r="O37" s="265"/>
      <c r="P37" s="266"/>
      <c r="Q37" s="191" t="s">
        <v>306</v>
      </c>
      <c r="R37" s="191" t="s">
        <v>288</v>
      </c>
      <c r="S37" s="178"/>
    </row>
    <row r="38" spans="2:19" ht="14.25" customHeight="1">
      <c r="B38" s="176"/>
      <c r="C38" s="201" t="s">
        <v>55</v>
      </c>
      <c r="D38" s="255" t="s">
        <v>387</v>
      </c>
      <c r="E38" s="265"/>
      <c r="F38" s="266"/>
      <c r="G38" s="255" t="s">
        <v>388</v>
      </c>
      <c r="H38" s="265"/>
      <c r="I38" s="265"/>
      <c r="J38" s="265"/>
      <c r="K38" s="265"/>
      <c r="L38" s="265"/>
      <c r="M38" s="265"/>
      <c r="N38" s="265"/>
      <c r="O38" s="265"/>
      <c r="P38" s="266"/>
      <c r="Q38" s="191" t="s">
        <v>306</v>
      </c>
      <c r="R38" s="200" t="s">
        <v>309</v>
      </c>
      <c r="S38" s="178"/>
    </row>
    <row r="39" spans="2:19" ht="14.25" customHeight="1">
      <c r="B39" s="176"/>
      <c r="C39" s="201" t="s">
        <v>61</v>
      </c>
      <c r="D39" s="255" t="s">
        <v>387</v>
      </c>
      <c r="E39" s="265"/>
      <c r="F39" s="266"/>
      <c r="G39" s="255" t="s">
        <v>389</v>
      </c>
      <c r="H39" s="265"/>
      <c r="I39" s="265"/>
      <c r="J39" s="265"/>
      <c r="K39" s="265"/>
      <c r="L39" s="265"/>
      <c r="M39" s="265"/>
      <c r="N39" s="265"/>
      <c r="O39" s="265"/>
      <c r="P39" s="266"/>
      <c r="Q39" s="191" t="s">
        <v>306</v>
      </c>
      <c r="R39" s="200" t="s">
        <v>309</v>
      </c>
      <c r="S39" s="178"/>
    </row>
    <row r="40" spans="2:19" ht="14.25" customHeight="1">
      <c r="B40" s="176"/>
      <c r="C40" s="201" t="s">
        <v>63</v>
      </c>
      <c r="D40" s="255" t="s">
        <v>307</v>
      </c>
      <c r="E40" s="265"/>
      <c r="F40" s="266"/>
      <c r="G40" s="255" t="s">
        <v>391</v>
      </c>
      <c r="H40" s="265"/>
      <c r="I40" s="265"/>
      <c r="J40" s="265"/>
      <c r="K40" s="265"/>
      <c r="L40" s="265"/>
      <c r="M40" s="265"/>
      <c r="N40" s="265"/>
      <c r="O40" s="265"/>
      <c r="P40" s="266"/>
      <c r="Q40" s="191" t="s">
        <v>306</v>
      </c>
      <c r="R40" s="200" t="s">
        <v>309</v>
      </c>
      <c r="S40" s="178"/>
    </row>
    <row r="41" spans="2:19" ht="14.25" customHeight="1">
      <c r="B41" s="176"/>
      <c r="C41" s="201" t="s">
        <v>63</v>
      </c>
      <c r="D41" s="255" t="s">
        <v>387</v>
      </c>
      <c r="E41" s="265"/>
      <c r="F41" s="266"/>
      <c r="G41" s="255" t="s">
        <v>392</v>
      </c>
      <c r="H41" s="265"/>
      <c r="I41" s="265"/>
      <c r="J41" s="265"/>
      <c r="K41" s="265"/>
      <c r="L41" s="265"/>
      <c r="M41" s="265"/>
      <c r="N41" s="265"/>
      <c r="O41" s="265"/>
      <c r="P41" s="266"/>
      <c r="Q41" s="191" t="s">
        <v>306</v>
      </c>
      <c r="R41" s="200" t="s">
        <v>309</v>
      </c>
      <c r="S41" s="178"/>
    </row>
    <row r="42" spans="2:19" ht="27" customHeight="1">
      <c r="B42" s="176"/>
      <c r="C42" s="201" t="s">
        <v>1</v>
      </c>
      <c r="D42" s="255" t="s">
        <v>387</v>
      </c>
      <c r="E42" s="265"/>
      <c r="F42" s="266"/>
      <c r="G42" s="255" t="s">
        <v>397</v>
      </c>
      <c r="H42" s="255"/>
      <c r="I42" s="255"/>
      <c r="J42" s="255"/>
      <c r="K42" s="255"/>
      <c r="L42" s="255"/>
      <c r="M42" s="255"/>
      <c r="N42" s="255"/>
      <c r="O42" s="255"/>
      <c r="P42" s="255"/>
      <c r="Q42" s="191" t="s">
        <v>306</v>
      </c>
      <c r="R42" s="217" t="s">
        <v>308</v>
      </c>
      <c r="S42" s="178"/>
    </row>
    <row r="43" spans="2:19">
      <c r="B43" s="179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1"/>
    </row>
    <row r="44" spans="2:19"/>
    <row r="45" spans="2:19" ht="18" customHeight="1">
      <c r="B45" s="253" t="s">
        <v>269</v>
      </c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266</v>
      </c>
      <c r="G48" s="155" t="s">
        <v>276</v>
      </c>
      <c r="H48" s="155"/>
      <c r="I48" s="169">
        <v>45834</v>
      </c>
      <c r="J48" s="169">
        <v>45825</v>
      </c>
      <c r="K48" s="170" t="s">
        <v>284</v>
      </c>
      <c r="M48" s="152" t="s">
        <v>267</v>
      </c>
      <c r="S48" s="141"/>
    </row>
    <row r="49" spans="2:19" ht="17.399999999999999" customHeight="1">
      <c r="B49" s="139"/>
      <c r="G49" s="147" t="s">
        <v>114</v>
      </c>
      <c r="I49" s="147">
        <f>COUNTIFS('Detalhe Entregas e Status'!$V:$V,'Status Resumo'!G49,'Detalhe Entregas e Status'!$B:$B,"lt002_instrument",'Detalhe Entregas e Status'!$C:$C,"&lt;&gt;"&amp;"UNIVERSO")</f>
        <v>17</v>
      </c>
      <c r="J49" s="147">
        <f>COUNTIFS('Detalhe Entregas e Status'!$W:$W,'Status Resumo'!G49,'Detalhe Entregas e Status'!$B:$B,"lt002_instrument",'Detalhe Entregas e Status'!$C:$C,"&lt;&gt;"&amp;"UNIVERSO")</f>
        <v>17</v>
      </c>
      <c r="K49" s="171" t="str">
        <f>IF(I49-J49=0,"-",IF(I49-J49&gt;0,_xlfn.CONCAT("+ ",I49-J49),_xlfn.CONCAT("- ",J49-I49)))</f>
        <v>-</v>
      </c>
      <c r="M49" s="256" t="s">
        <v>394</v>
      </c>
      <c r="N49" s="257"/>
      <c r="O49" s="257"/>
      <c r="P49" s="257"/>
      <c r="Q49" s="257"/>
      <c r="R49" s="258"/>
      <c r="S49" s="141"/>
    </row>
    <row r="50" spans="2:19" ht="17.399999999999999" customHeight="1">
      <c r="B50" s="139"/>
      <c r="G50" s="147" t="s">
        <v>117</v>
      </c>
      <c r="I50" s="147">
        <f>COUNTIFS('Detalhe Entregas e Status'!$V:$V,'Status Resumo'!G50,'Detalhe Entregas e Status'!$B:$B,"lt002_instrument",'Detalhe Entregas e Status'!$C:$C,"&lt;&gt;"&amp;"UNIVERSO")</f>
        <v>1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1" t="str">
        <f t="shared" ref="K50:K55" si="1">IF(I50-J50=0,"-",IF(I50-J50&gt;0,_xlfn.CONCAT("+ ",I50-J50),_xlfn.CONCAT("- ",J50-I50)))</f>
        <v>+ 1</v>
      </c>
      <c r="M50" s="259"/>
      <c r="N50" s="260"/>
      <c r="O50" s="260"/>
      <c r="P50" s="260"/>
      <c r="Q50" s="260"/>
      <c r="R50" s="261"/>
      <c r="S50" s="141"/>
    </row>
    <row r="51" spans="2:19" ht="17.399999999999999" customHeight="1">
      <c r="B51" s="139"/>
      <c r="G51" s="147" t="s">
        <v>115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1" t="str">
        <f t="shared" si="1"/>
        <v>-</v>
      </c>
      <c r="M51" s="259"/>
      <c r="N51" s="260"/>
      <c r="O51" s="260"/>
      <c r="P51" s="260"/>
      <c r="Q51" s="260"/>
      <c r="R51" s="261"/>
      <c r="S51" s="141"/>
    </row>
    <row r="52" spans="2:19" ht="17.399999999999999" customHeight="1">
      <c r="B52" s="139"/>
      <c r="D52" s="142"/>
      <c r="E52" s="142"/>
      <c r="G52" s="147" t="s">
        <v>116</v>
      </c>
      <c r="I52" s="147">
        <f>COUNTIFS('Detalhe Entregas e Status'!$V:$V,'Status Resumo'!G52,'Detalhe Entregas e Status'!$B:$B,"lt002_instrument",'Detalhe Entregas e Status'!$C:$C,"&lt;&gt;"&amp;"UNIVERSO")</f>
        <v>18</v>
      </c>
      <c r="J52" s="147">
        <f>COUNTIFS('Detalhe Entregas e Status'!$W:$W,'Status Resumo'!G52,'Detalhe Entregas e Status'!$B:$B,"lt002_instrument",'Detalhe Entregas e Status'!$C:$C,"&lt;&gt;"&amp;"UNIVERSO")</f>
        <v>31</v>
      </c>
      <c r="K52" s="171" t="str">
        <f t="shared" si="1"/>
        <v>- 13</v>
      </c>
      <c r="M52" s="259"/>
      <c r="N52" s="260"/>
      <c r="O52" s="260"/>
      <c r="P52" s="260"/>
      <c r="Q52" s="260"/>
      <c r="R52" s="261"/>
      <c r="S52" s="141"/>
    </row>
    <row r="53" spans="2:19" ht="17.399999999999999" customHeight="1">
      <c r="B53" s="139"/>
      <c r="D53" s="142"/>
      <c r="E53" s="142"/>
      <c r="G53" s="147" t="s">
        <v>122</v>
      </c>
      <c r="I53" s="147">
        <f>COUNTIFS('Detalhe Entregas e Status'!$V:$V,'Status Resumo'!G53,'Detalhe Entregas e Status'!$B:$B,"lt002_instrument",'Detalhe Entregas e Status'!$C:$C,"&lt;&gt;"&amp;"UNIVERSO")</f>
        <v>15</v>
      </c>
      <c r="J53" s="147">
        <f>COUNTIFS('Detalhe Entregas e Status'!$W:$W,'Status Resumo'!G53,'Detalhe Entregas e Status'!$B:$B,"lt002_instrument",'Detalhe Entregas e Status'!$C:$C,"&lt;&gt;"&amp;"UNIVERSO")</f>
        <v>2</v>
      </c>
      <c r="K53" s="171" t="str">
        <f t="shared" si="1"/>
        <v>+ 13</v>
      </c>
      <c r="M53" s="259"/>
      <c r="N53" s="260"/>
      <c r="O53" s="260"/>
      <c r="P53" s="260"/>
      <c r="Q53" s="260"/>
      <c r="R53" s="261"/>
      <c r="S53" s="141"/>
    </row>
    <row r="54" spans="2:19" ht="17.399999999999999" customHeight="1">
      <c r="B54" s="139"/>
      <c r="D54" s="142"/>
      <c r="E54" s="142"/>
      <c r="G54" s="147" t="s">
        <v>124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1</v>
      </c>
      <c r="K54" s="171" t="str">
        <f t="shared" si="1"/>
        <v>- 1</v>
      </c>
      <c r="M54" s="259"/>
      <c r="N54" s="260"/>
      <c r="O54" s="260"/>
      <c r="P54" s="260"/>
      <c r="Q54" s="260"/>
      <c r="R54" s="261"/>
      <c r="S54" s="141"/>
    </row>
    <row r="55" spans="2:19" ht="17.399999999999999" customHeight="1">
      <c r="B55" s="139"/>
      <c r="G55" s="147" t="s">
        <v>277</v>
      </c>
      <c r="H55" s="155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2" t="str">
        <f t="shared" si="1"/>
        <v>-</v>
      </c>
      <c r="M55" s="259"/>
      <c r="N55" s="260"/>
      <c r="O55" s="260"/>
      <c r="P55" s="260"/>
      <c r="Q55" s="260"/>
      <c r="R55" s="261"/>
      <c r="S55" s="141"/>
    </row>
    <row r="56" spans="2:19" ht="17.399999999999999" customHeight="1">
      <c r="B56" s="139"/>
      <c r="G56" s="148" t="s">
        <v>268</v>
      </c>
      <c r="I56" s="148">
        <f>SUM(I49:I55)</f>
        <v>51</v>
      </c>
      <c r="J56" s="148">
        <f>SUM(J49:J55)</f>
        <v>51</v>
      </c>
      <c r="K56" s="168"/>
      <c r="L56" s="143"/>
      <c r="M56" s="259"/>
      <c r="N56" s="260"/>
      <c r="O56" s="260"/>
      <c r="P56" s="260"/>
      <c r="Q56" s="260"/>
      <c r="R56" s="261"/>
      <c r="S56" s="141"/>
    </row>
    <row r="57" spans="2:19" ht="17.399999999999999" customHeight="1">
      <c r="B57" s="139"/>
      <c r="G57"/>
      <c r="H57"/>
      <c r="I57"/>
      <c r="J57"/>
      <c r="K57"/>
      <c r="L57" s="143"/>
      <c r="M57" s="259"/>
      <c r="N57" s="260"/>
      <c r="O57" s="260"/>
      <c r="P57" s="260"/>
      <c r="Q57" s="260"/>
      <c r="R57" s="261"/>
      <c r="S57" s="141"/>
    </row>
    <row r="58" spans="2:19" ht="17.399999999999999" customHeight="1">
      <c r="B58" s="139"/>
      <c r="G58" s="155" t="s">
        <v>275</v>
      </c>
      <c r="H58" s="155"/>
      <c r="I58" s="169">
        <f>I48</f>
        <v>45834</v>
      </c>
      <c r="K58" s="167"/>
      <c r="L58" s="143"/>
      <c r="M58" s="259"/>
      <c r="N58" s="260"/>
      <c r="O58" s="260"/>
      <c r="P58" s="260"/>
      <c r="Q58" s="260"/>
      <c r="R58" s="261"/>
      <c r="S58" s="141"/>
    </row>
    <row r="59" spans="2:19" ht="17.399999999999999" customHeight="1">
      <c r="B59" s="139"/>
      <c r="G59" s="156" t="s">
        <v>1</v>
      </c>
      <c r="I59" s="226" t="s">
        <v>376</v>
      </c>
      <c r="J59" s="167"/>
      <c r="K59" s="157"/>
      <c r="L59" s="143"/>
      <c r="M59" s="262"/>
      <c r="N59" s="263"/>
      <c r="O59" s="263"/>
      <c r="P59" s="263"/>
      <c r="Q59" s="263"/>
      <c r="R59" s="264"/>
      <c r="S59" s="141"/>
    </row>
    <row r="60" spans="2:19" ht="17.399999999999999" customHeight="1">
      <c r="B60" s="144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6"/>
    </row>
    <row r="61" spans="2:19"/>
    <row r="62" spans="2:19" ht="18" customHeight="1">
      <c r="B62" s="253" t="s">
        <v>272</v>
      </c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</row>
    <row r="63" spans="2:19" ht="6.9" customHeight="1">
      <c r="G63" s="151"/>
    </row>
    <row r="64" spans="2:19" ht="17.399999999999999" customHeight="1">
      <c r="B64" s="136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8"/>
    </row>
    <row r="65" spans="2:19" ht="17.399999999999999" customHeight="1">
      <c r="B65" s="139"/>
      <c r="C65" s="140" t="s">
        <v>266</v>
      </c>
      <c r="G65" s="155" t="s">
        <v>274</v>
      </c>
      <c r="H65" s="155"/>
      <c r="I65" s="169">
        <f>I48</f>
        <v>45834</v>
      </c>
      <c r="J65" s="169">
        <f>J48</f>
        <v>45825</v>
      </c>
      <c r="K65" s="170" t="s">
        <v>284</v>
      </c>
      <c r="M65" s="152" t="s">
        <v>267</v>
      </c>
      <c r="S65" s="141"/>
    </row>
    <row r="66" spans="2:19" ht="17.399999999999999" customHeight="1">
      <c r="B66" s="139"/>
      <c r="G66" s="147" t="s">
        <v>114</v>
      </c>
      <c r="I66" s="147">
        <f>COUNTIFS('Detalhe Entregas e Status'!$V:$V,'Status Resumo'!G66,'Detalhe Entregas e Status'!$B:$B,"lt004_protection",'Detalhe Entregas e Status'!$C:$C,"&lt;&gt;"&amp;"UNIVERSO")</f>
        <v>5</v>
      </c>
      <c r="J66" s="147">
        <f>COUNTIFS('Detalhe Entregas e Status'!$W:$W,'Status Resumo'!G66,'Detalhe Entregas e Status'!$B:$B,"lt004_protection",'Detalhe Entregas e Status'!$C:$C,"&lt;&gt;"&amp;"UNIVERSO")</f>
        <v>5</v>
      </c>
      <c r="K66" s="171" t="str">
        <f t="shared" ref="K66:K72" si="2">IF(I66-J66=0,"-",IF(I66-J66&gt;0,_xlfn.CONCAT("+ ",I66-J66),_xlfn.CONCAT("- ",J66-I66)))</f>
        <v>-</v>
      </c>
      <c r="M66" s="251" t="s">
        <v>386</v>
      </c>
      <c r="N66" s="251"/>
      <c r="O66" s="251"/>
      <c r="P66" s="251"/>
      <c r="Q66" s="251"/>
      <c r="R66" s="251"/>
      <c r="S66" s="141"/>
    </row>
    <row r="67" spans="2:19" ht="17.399999999999999" customHeight="1">
      <c r="B67" s="139"/>
      <c r="G67" s="147" t="s">
        <v>117</v>
      </c>
      <c r="I67" s="147">
        <f>COUNTIFS('Detalhe Entregas e Status'!$V:$V,'Status Resumo'!G67,'Detalhe Entregas e Status'!$B:$B,"lt004_protection",'Detalhe Entregas e Status'!$C:$C,"&lt;&gt;"&amp;"UNIVERSO")</f>
        <v>0</v>
      </c>
      <c r="J67" s="147">
        <f>COUNTIFS('Detalhe Entregas e Status'!$W:$W,'Status Resumo'!G67,'Detalhe Entregas e Status'!$B:$B,"lt004_protection",'Detalhe Entregas e Status'!$C:$C,"&lt;&gt;"&amp;"UNIVERSO")</f>
        <v>0</v>
      </c>
      <c r="K67" s="171" t="str">
        <f t="shared" si="2"/>
        <v>-</v>
      </c>
      <c r="M67" s="251"/>
      <c r="N67" s="251"/>
      <c r="O67" s="251"/>
      <c r="P67" s="251"/>
      <c r="Q67" s="251"/>
      <c r="R67" s="251"/>
      <c r="S67" s="141"/>
    </row>
    <row r="68" spans="2:19" ht="17.399999999999999" customHeight="1">
      <c r="B68" s="139"/>
      <c r="G68" s="147" t="s">
        <v>115</v>
      </c>
      <c r="I68" s="147">
        <f>COUNTIFS('Detalhe Entregas e Status'!$V:$V,'Status Resumo'!G68,'Detalhe Entregas e Status'!$B:$B,"lt004_protection",'Detalhe Entregas e Status'!$C:$C,"&lt;&gt;"&amp;"UNIVERSO")</f>
        <v>0</v>
      </c>
      <c r="J68" s="147">
        <f>COUNTIFS('Detalhe Entregas e Status'!$W:$W,'Status Resumo'!G68,'Detalhe Entregas e Status'!$B:$B,"lt004_protection",'Detalhe Entregas e Status'!$C:$C,"&lt;&gt;"&amp;"UNIVERSO")</f>
        <v>0</v>
      </c>
      <c r="K68" s="171" t="str">
        <f t="shared" si="2"/>
        <v>-</v>
      </c>
      <c r="M68" s="251"/>
      <c r="N68" s="251"/>
      <c r="O68" s="251"/>
      <c r="P68" s="251"/>
      <c r="Q68" s="251"/>
      <c r="R68" s="251"/>
      <c r="S68" s="141"/>
    </row>
    <row r="69" spans="2:19" ht="17.399999999999999" customHeight="1">
      <c r="B69" s="139"/>
      <c r="D69" s="142"/>
      <c r="E69" s="142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2</v>
      </c>
      <c r="J69" s="147">
        <f>COUNTIFS('Detalhe Entregas e Status'!$W:$W,'Status Resumo'!G69,'Detalhe Entregas e Status'!$B:$B,"lt004_protection",'Detalhe Entregas e Status'!$C:$C,"&lt;&gt;"&amp;"UNIVERSO")</f>
        <v>2</v>
      </c>
      <c r="K69" s="171" t="str">
        <f t="shared" si="2"/>
        <v>-</v>
      </c>
      <c r="M69" s="251"/>
      <c r="N69" s="251"/>
      <c r="O69" s="251"/>
      <c r="P69" s="251"/>
      <c r="Q69" s="251"/>
      <c r="R69" s="251"/>
      <c r="S69" s="141"/>
    </row>
    <row r="70" spans="2:19" ht="17.399999999999999" customHeight="1">
      <c r="B70" s="139"/>
      <c r="D70" s="142"/>
      <c r="E70" s="142"/>
      <c r="G70" s="147" t="s">
        <v>122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1" t="str">
        <f t="shared" si="2"/>
        <v>-</v>
      </c>
      <c r="M70" s="251"/>
      <c r="N70" s="251"/>
      <c r="O70" s="251"/>
      <c r="P70" s="251"/>
      <c r="Q70" s="251"/>
      <c r="R70" s="251"/>
      <c r="S70" s="141"/>
    </row>
    <row r="71" spans="2:19" ht="17.399999999999999" customHeight="1">
      <c r="B71" s="139"/>
      <c r="D71" s="142"/>
      <c r="E71" s="142"/>
      <c r="G71" s="147" t="s">
        <v>124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71" t="str">
        <f t="shared" si="2"/>
        <v>-</v>
      </c>
      <c r="M71" s="251"/>
      <c r="N71" s="251"/>
      <c r="O71" s="251"/>
      <c r="P71" s="251"/>
      <c r="Q71" s="251"/>
      <c r="R71" s="251"/>
      <c r="S71" s="141"/>
    </row>
    <row r="72" spans="2:19" ht="17.399999999999999" customHeight="1">
      <c r="B72" s="139"/>
      <c r="G72" s="147" t="s">
        <v>277</v>
      </c>
      <c r="H72" s="155"/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2" t="str">
        <f t="shared" si="2"/>
        <v>-</v>
      </c>
      <c r="M72" s="251"/>
      <c r="N72" s="251"/>
      <c r="O72" s="251"/>
      <c r="P72" s="251"/>
      <c r="Q72" s="251"/>
      <c r="R72" s="251"/>
      <c r="S72" s="141"/>
    </row>
    <row r="73" spans="2:19" ht="17.399999999999999" customHeight="1">
      <c r="B73" s="139"/>
      <c r="G73" s="148" t="s">
        <v>268</v>
      </c>
      <c r="I73" s="148">
        <f>SUM(I66:I72)</f>
        <v>7</v>
      </c>
      <c r="J73" s="148">
        <f>SUM(J66:J72)</f>
        <v>7</v>
      </c>
      <c r="K73" s="168"/>
      <c r="L73" s="143"/>
      <c r="M73" s="251"/>
      <c r="N73" s="251"/>
      <c r="O73" s="251"/>
      <c r="P73" s="251"/>
      <c r="Q73" s="251"/>
      <c r="R73" s="251"/>
      <c r="S73" s="141"/>
    </row>
    <row r="74" spans="2:19" ht="17.399999999999999" customHeight="1">
      <c r="B74" s="139"/>
      <c r="C74" s="140"/>
      <c r="F74" s="140"/>
      <c r="L74" s="143"/>
      <c r="M74" s="251"/>
      <c r="N74" s="251"/>
      <c r="O74" s="251"/>
      <c r="P74" s="251"/>
      <c r="Q74" s="251"/>
      <c r="R74" s="251"/>
      <c r="S74" s="141"/>
    </row>
    <row r="75" spans="2:19" ht="17.399999999999999" customHeight="1">
      <c r="B75" s="139"/>
      <c r="G75" s="155" t="s">
        <v>275</v>
      </c>
      <c r="H75" s="155"/>
      <c r="I75" s="169">
        <f>I58</f>
        <v>45834</v>
      </c>
      <c r="J75" s="167"/>
      <c r="K75" s="167"/>
      <c r="L75" s="143"/>
      <c r="M75" s="153"/>
      <c r="N75" s="153"/>
      <c r="O75" s="153"/>
      <c r="P75" s="153"/>
      <c r="Q75" s="153"/>
      <c r="R75" s="153"/>
      <c r="S75" s="141"/>
    </row>
    <row r="76" spans="2:19" ht="17.399999999999999" customHeight="1">
      <c r="B76" s="139"/>
      <c r="G76" s="158" t="s">
        <v>55</v>
      </c>
      <c r="I76" s="159" t="s">
        <v>273</v>
      </c>
      <c r="J76" s="159"/>
      <c r="K76" s="159"/>
      <c r="L76" s="143"/>
      <c r="M76" s="153"/>
      <c r="N76" s="153"/>
      <c r="O76" s="153"/>
      <c r="P76" s="153"/>
      <c r="Q76" s="153"/>
      <c r="R76" s="153"/>
      <c r="S76" s="141"/>
    </row>
    <row r="77" spans="2:19" ht="17.399999999999999" customHeight="1">
      <c r="B77" s="144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6"/>
    </row>
    <row r="78" spans="2:19"/>
    <row r="79" spans="2:19" ht="18" customHeight="1">
      <c r="B79" s="253" t="s">
        <v>301</v>
      </c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</row>
    <row r="80" spans="2:19" ht="6.9" customHeight="1">
      <c r="G80" s="151"/>
    </row>
    <row r="81" spans="2:19" ht="17.399999999999999" customHeight="1">
      <c r="B81" s="136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</row>
    <row r="82" spans="2:19" ht="17.399999999999999" customHeight="1">
      <c r="B82" s="139"/>
      <c r="C82" s="140" t="s">
        <v>266</v>
      </c>
      <c r="G82" s="155" t="s">
        <v>274</v>
      </c>
      <c r="H82" s="155"/>
      <c r="I82" s="169">
        <f>I48</f>
        <v>45834</v>
      </c>
      <c r="J82" s="169">
        <f>J48</f>
        <v>45825</v>
      </c>
      <c r="K82" s="170" t="s">
        <v>284</v>
      </c>
      <c r="M82" s="152" t="s">
        <v>267</v>
      </c>
      <c r="S82" s="141"/>
    </row>
    <row r="83" spans="2:19" ht="17.399999999999999" customHeight="1">
      <c r="B83" s="139"/>
      <c r="G83" s="147" t="s">
        <v>114</v>
      </c>
      <c r="I83" s="147">
        <f>COUNTIFS('Detalhe Entregas e Status'!$V:$V,'Status Resumo'!G83,'Detalhe Entregas e Status'!$B:$B,"lt006_instr_protection",'Detalhe Entregas e Status'!$C:$C,"&lt;&gt;"&amp;"UNIVERSO")</f>
        <v>4</v>
      </c>
      <c r="J83" s="147">
        <f>COUNTIFS('Detalhe Entregas e Status'!$W:$W,'Status Resumo'!G83,'Detalhe Entregas e Status'!$B:$B,"lt006_instr_protection",'Detalhe Entregas e Status'!$C:$C,"&lt;&gt;"&amp;"UNIVERSO")</f>
        <v>4</v>
      </c>
      <c r="K83" s="171" t="str">
        <f t="shared" ref="K83:K89" si="3">IF(I83-J83=0,"-",IF(I83-J83&gt;0,_xlfn.CONCAT("+ ",I83-J83),_xlfn.CONCAT("- ",J83-I83)))</f>
        <v>-</v>
      </c>
      <c r="M83" s="251" t="s">
        <v>385</v>
      </c>
      <c r="N83" s="254"/>
      <c r="O83" s="254"/>
      <c r="P83" s="254"/>
      <c r="Q83" s="254"/>
      <c r="R83" s="254"/>
      <c r="S83" s="141"/>
    </row>
    <row r="84" spans="2:19" ht="17.399999999999999" customHeight="1">
      <c r="B84" s="139"/>
      <c r="G84" s="147" t="s">
        <v>117</v>
      </c>
      <c r="I84" s="147">
        <f>COUNTIFS('Detalhe Entregas e Status'!$V:$V,'Status Resumo'!G84,'Detalhe Entregas e Status'!$B:$B,"lt006_instr_protection",'Detalhe Entregas e Status'!$C:$C,"&lt;&gt;"&amp;"UNIVERSO")</f>
        <v>0</v>
      </c>
      <c r="J84" s="147">
        <f>COUNTIFS('Detalhe Entregas e Status'!$W:$W,'Status Resumo'!G84,'Detalhe Entregas e Status'!$B:$B,"lt006_instr_protection",'Detalhe Entregas e Status'!$C:$C,"&lt;&gt;"&amp;"UNIVERSO")</f>
        <v>0</v>
      </c>
      <c r="K84" s="171" t="str">
        <f t="shared" si="3"/>
        <v>-</v>
      </c>
      <c r="M84" s="254"/>
      <c r="N84" s="254"/>
      <c r="O84" s="254"/>
      <c r="P84" s="254"/>
      <c r="Q84" s="254"/>
      <c r="R84" s="254"/>
      <c r="S84" s="141"/>
    </row>
    <row r="85" spans="2:19" ht="17.399999999999999" customHeight="1">
      <c r="B85" s="139"/>
      <c r="G85" s="147" t="s">
        <v>115</v>
      </c>
      <c r="I85" s="147">
        <f>COUNTIFS('Detalhe Entregas e Status'!$V:$V,'Status Resumo'!G85,'Detalhe Entregas e Status'!$B:$B,"lt006_instr_protection",'Detalhe Entregas e Status'!$C:$C,"&lt;&gt;"&amp;"UNIVERSO")</f>
        <v>0</v>
      </c>
      <c r="J85" s="147">
        <f>COUNTIFS('Detalhe Entregas e Status'!$W:$W,'Status Resumo'!G85,'Detalhe Entregas e Status'!$B:$B,"lt006_instr_protection",'Detalhe Entregas e Status'!$C:$C,"&lt;&gt;"&amp;"UNIVERSO")</f>
        <v>0</v>
      </c>
      <c r="K85" s="171" t="str">
        <f t="shared" si="3"/>
        <v>-</v>
      </c>
      <c r="M85" s="254"/>
      <c r="N85" s="254"/>
      <c r="O85" s="254"/>
      <c r="P85" s="254"/>
      <c r="Q85" s="254"/>
      <c r="R85" s="254"/>
      <c r="S85" s="141"/>
    </row>
    <row r="86" spans="2:19" ht="17.399999999999999" customHeight="1">
      <c r="B86" s="139"/>
      <c r="D86" s="142"/>
      <c r="E86" s="142"/>
      <c r="G86" s="147" t="s">
        <v>116</v>
      </c>
      <c r="I86" s="147">
        <f>COUNTIFS('Detalhe Entregas e Status'!$V:$V,'Status Resumo'!G86,'Detalhe Entregas e Status'!$B:$B,"lt006_instr_protection",'Detalhe Entregas e Status'!$C:$C,"&lt;&gt;"&amp;"UNIVERSO")</f>
        <v>0</v>
      </c>
      <c r="J86" s="147">
        <f>COUNTIFS('Detalhe Entregas e Status'!$W:$W,'Status Resumo'!G86,'Detalhe Entregas e Status'!$B:$B,"lt006_instr_protection",'Detalhe Entregas e Status'!$C:$C,"&lt;&gt;"&amp;"UNIVERSO")</f>
        <v>1</v>
      </c>
      <c r="K86" s="171" t="str">
        <f t="shared" si="3"/>
        <v>- 1</v>
      </c>
      <c r="M86" s="254"/>
      <c r="N86" s="254"/>
      <c r="O86" s="254"/>
      <c r="P86" s="254"/>
      <c r="Q86" s="254"/>
      <c r="R86" s="254"/>
      <c r="S86" s="141"/>
    </row>
    <row r="87" spans="2:19" ht="17.399999999999999" customHeight="1">
      <c r="B87" s="139"/>
      <c r="D87" s="142"/>
      <c r="E87" s="142"/>
      <c r="G87" s="147" t="s">
        <v>122</v>
      </c>
      <c r="I87" s="147">
        <f>COUNTIFS('Detalhe Entregas e Status'!$V:$V,'Status Resumo'!G87,'Detalhe Entregas e Status'!$B:$B,"lt006_instr_protection",'Detalhe Entregas e Status'!$C:$C,"&lt;&gt;"&amp;"UNIVERSO")</f>
        <v>1</v>
      </c>
      <c r="J87" s="147">
        <f>COUNTIFS('Detalhe Entregas e Status'!$W:$W,'Status Resumo'!G87,'Detalhe Entregas e Status'!$B:$B,"lt006_instr_protection",'Detalhe Entregas e Status'!$C:$C,"&lt;&gt;"&amp;"UNIVERSO")</f>
        <v>0</v>
      </c>
      <c r="K87" s="171" t="str">
        <f t="shared" si="3"/>
        <v>+ 1</v>
      </c>
      <c r="M87" s="254"/>
      <c r="N87" s="254"/>
      <c r="O87" s="254"/>
      <c r="P87" s="254"/>
      <c r="Q87" s="254"/>
      <c r="R87" s="254"/>
      <c r="S87" s="141"/>
    </row>
    <row r="88" spans="2:19" ht="17.399999999999999" customHeight="1">
      <c r="B88" s="139"/>
      <c r="D88" s="142"/>
      <c r="E88" s="142"/>
      <c r="G88" s="147" t="s">
        <v>124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1" t="str">
        <f t="shared" si="3"/>
        <v>-</v>
      </c>
      <c r="M88" s="254"/>
      <c r="N88" s="254"/>
      <c r="O88" s="254"/>
      <c r="P88" s="254"/>
      <c r="Q88" s="254"/>
      <c r="R88" s="254"/>
      <c r="S88" s="141"/>
    </row>
    <row r="89" spans="2:19" ht="17.399999999999999" customHeight="1">
      <c r="B89" s="139"/>
      <c r="G89" s="147" t="s">
        <v>277</v>
      </c>
      <c r="H89" s="155"/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72" t="str">
        <f t="shared" si="3"/>
        <v>-</v>
      </c>
      <c r="M89" s="254"/>
      <c r="N89" s="254"/>
      <c r="O89" s="254"/>
      <c r="P89" s="254"/>
      <c r="Q89" s="254"/>
      <c r="R89" s="254"/>
      <c r="S89" s="141"/>
    </row>
    <row r="90" spans="2:19" ht="17.399999999999999" customHeight="1">
      <c r="B90" s="139"/>
      <c r="G90" s="148" t="s">
        <v>268</v>
      </c>
      <c r="I90" s="148">
        <f>SUM(I83:I89)</f>
        <v>5</v>
      </c>
      <c r="J90" s="148">
        <f>SUM(J83:J89)</f>
        <v>5</v>
      </c>
      <c r="K90" s="168"/>
      <c r="L90" s="143"/>
      <c r="M90" s="254"/>
      <c r="N90" s="254"/>
      <c r="O90" s="254"/>
      <c r="P90" s="254"/>
      <c r="Q90" s="254"/>
      <c r="R90" s="254"/>
      <c r="S90" s="141"/>
    </row>
    <row r="91" spans="2:19" ht="17.399999999999999" customHeight="1">
      <c r="B91" s="139"/>
      <c r="C91" s="140"/>
      <c r="F91" s="140"/>
      <c r="L91" s="143"/>
      <c r="M91" s="254"/>
      <c r="N91" s="254"/>
      <c r="O91" s="254"/>
      <c r="P91" s="254"/>
      <c r="Q91" s="254"/>
      <c r="R91" s="254"/>
      <c r="S91" s="141"/>
    </row>
    <row r="92" spans="2:19" ht="17.399999999999999" customHeight="1">
      <c r="B92" s="139"/>
      <c r="G92" s="155" t="s">
        <v>275</v>
      </c>
      <c r="H92" s="155"/>
      <c r="I92" s="169">
        <f>I58</f>
        <v>45834</v>
      </c>
      <c r="J92" s="167"/>
      <c r="K92" s="167"/>
      <c r="L92" s="143"/>
      <c r="M92" s="153"/>
      <c r="N92" s="153"/>
      <c r="O92" s="153"/>
      <c r="P92" s="153"/>
      <c r="Q92" s="153"/>
      <c r="R92" s="153"/>
      <c r="S92" s="141"/>
    </row>
    <row r="93" spans="2:19" ht="17.399999999999999" customHeight="1">
      <c r="B93" s="139"/>
      <c r="G93" s="158" t="s">
        <v>61</v>
      </c>
      <c r="I93" s="159" t="s">
        <v>273</v>
      </c>
      <c r="J93" s="159"/>
      <c r="K93" s="159"/>
      <c r="L93" s="143"/>
      <c r="M93" s="153"/>
      <c r="N93" s="153"/>
      <c r="O93" s="153"/>
      <c r="P93" s="153"/>
      <c r="Q93" s="153"/>
      <c r="R93" s="153"/>
      <c r="S93" s="141"/>
    </row>
    <row r="94" spans="2:19" ht="17.399999999999999" customHeight="1">
      <c r="B94" s="144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6"/>
    </row>
    <row r="95" spans="2:19"/>
    <row r="96" spans="2:19" ht="18" customHeight="1">
      <c r="B96" s="253" t="s">
        <v>302</v>
      </c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</row>
    <row r="97" spans="2:19" ht="6.9" customHeight="1">
      <c r="G97" s="151"/>
    </row>
    <row r="98" spans="2:19" ht="17.399999999999999" customHeight="1">
      <c r="B98" s="136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8"/>
    </row>
    <row r="99" spans="2:19" ht="17.399999999999999" customHeight="1">
      <c r="B99" s="139"/>
      <c r="C99" s="140" t="s">
        <v>266</v>
      </c>
      <c r="G99" s="155" t="s">
        <v>274</v>
      </c>
      <c r="H99" s="155"/>
      <c r="I99" s="169">
        <f>I48</f>
        <v>45834</v>
      </c>
      <c r="J99" s="169">
        <f>J48</f>
        <v>45825</v>
      </c>
      <c r="K99" s="170" t="s">
        <v>284</v>
      </c>
      <c r="M99" s="152" t="s">
        <v>267</v>
      </c>
      <c r="S99" s="141"/>
    </row>
    <row r="100" spans="2:19" ht="17.399999999999999" customHeight="1">
      <c r="B100" s="139"/>
      <c r="G100" s="147" t="s">
        <v>114</v>
      </c>
      <c r="I100" s="147">
        <f>COUNTIFS('Detalhe Entregas e Status'!$V:$V,'Status Resumo'!G100,'Detalhe Entregas e Status'!$B:$B,"lt007_instr_activity",'Detalhe Entregas e Status'!$C:$C,"&lt;&gt;"&amp;"UNIVERSO")</f>
        <v>2</v>
      </c>
      <c r="J100" s="147">
        <f>COUNTIFS('Detalhe Entregas e Status'!$W:$W,'Status Resumo'!G100,'Detalhe Entregas e Status'!$B:$B,"lt007_instr_activity",'Detalhe Entregas e Status'!$C:$C,"&lt;&gt;"&amp;"UNIVERSO")</f>
        <v>2</v>
      </c>
      <c r="K100" s="171" t="str">
        <f t="shared" ref="K100:K106" si="4">IF(I100-J100=0,"-",IF(I100-J100&gt;0,_xlfn.CONCAT("+ ",I100-J100),_xlfn.CONCAT("- ",J100-I100)))</f>
        <v>-</v>
      </c>
      <c r="M100" s="251" t="s">
        <v>390</v>
      </c>
      <c r="N100" s="252"/>
      <c r="O100" s="252"/>
      <c r="P100" s="252"/>
      <c r="Q100" s="252"/>
      <c r="R100" s="252"/>
      <c r="S100" s="141"/>
    </row>
    <row r="101" spans="2:19" ht="17.399999999999999" customHeight="1">
      <c r="B101" s="139"/>
      <c r="G101" s="147" t="s">
        <v>117</v>
      </c>
      <c r="I101" s="147">
        <f>COUNTIFS('Detalhe Entregas e Status'!$V:$V,'Status Resumo'!G101,'Detalhe Entregas e Status'!$B:$B,"lt007_instr_activity",'Detalhe Entregas e Status'!$C:$C,"&lt;&gt;"&amp;"UNIVERSO")</f>
        <v>0</v>
      </c>
      <c r="J101" s="147">
        <f>COUNTIFS('Detalhe Entregas e Status'!$W:$W,'Status Resumo'!G101,'Detalhe Entregas e Status'!$B:$B,"lt007_instr_activity",'Detalhe Entregas e Status'!$C:$C,"&lt;&gt;"&amp;"UNIVERSO")</f>
        <v>0</v>
      </c>
      <c r="K101" s="171" t="str">
        <f t="shared" si="4"/>
        <v>-</v>
      </c>
      <c r="M101" s="252"/>
      <c r="N101" s="252"/>
      <c r="O101" s="252"/>
      <c r="P101" s="252"/>
      <c r="Q101" s="252"/>
      <c r="R101" s="252"/>
      <c r="S101" s="141"/>
    </row>
    <row r="102" spans="2:19" ht="17.399999999999999" customHeight="1">
      <c r="B102" s="139"/>
      <c r="G102" s="147" t="s">
        <v>115</v>
      </c>
      <c r="I102" s="147">
        <f>COUNTIFS('Detalhe Entregas e Status'!$V:$V,'Status Resumo'!G102,'Detalhe Entregas e Status'!$B:$B,"lt007_instr_activity",'Detalhe Entregas e Status'!$C:$C,"&lt;&gt;"&amp;"UNIVERSO")</f>
        <v>0</v>
      </c>
      <c r="J102" s="147">
        <f>COUNTIFS('Detalhe Entregas e Status'!$W:$W,'Status Resumo'!G102,'Detalhe Entregas e Status'!$B:$B,"lt007_instr_activity",'Detalhe Entregas e Status'!$C:$C,"&lt;&gt;"&amp;"UNIVERSO")</f>
        <v>0</v>
      </c>
      <c r="K102" s="171" t="str">
        <f t="shared" si="4"/>
        <v>-</v>
      </c>
      <c r="M102" s="252"/>
      <c r="N102" s="252"/>
      <c r="O102" s="252"/>
      <c r="P102" s="252"/>
      <c r="Q102" s="252"/>
      <c r="R102" s="252"/>
      <c r="S102" s="141"/>
    </row>
    <row r="103" spans="2:19" ht="17.399999999999999" customHeight="1">
      <c r="B103" s="139"/>
      <c r="D103" s="142"/>
      <c r="E103" s="142"/>
      <c r="G103" s="147" t="s">
        <v>116</v>
      </c>
      <c r="I103" s="147">
        <f>COUNTIFS('Detalhe Entregas e Status'!$V:$V,'Status Resumo'!G103,'Detalhe Entregas e Status'!$B:$B,"lt007_instr_activity",'Detalhe Entregas e Status'!$C:$C,"&lt;&gt;"&amp;"UNIVERSO")</f>
        <v>1</v>
      </c>
      <c r="J103" s="147">
        <f>COUNTIFS('Detalhe Entregas e Status'!$W:$W,'Status Resumo'!G103,'Detalhe Entregas e Status'!$B:$B,"lt007_instr_activity",'Detalhe Entregas e Status'!$C:$C,"&lt;&gt;"&amp;"UNIVERSO")</f>
        <v>4</v>
      </c>
      <c r="K103" s="171" t="str">
        <f t="shared" si="4"/>
        <v>- 3</v>
      </c>
      <c r="M103" s="252"/>
      <c r="N103" s="252"/>
      <c r="O103" s="252"/>
      <c r="P103" s="252"/>
      <c r="Q103" s="252"/>
      <c r="R103" s="252"/>
      <c r="S103" s="141"/>
    </row>
    <row r="104" spans="2:19" ht="17.399999999999999" customHeight="1">
      <c r="B104" s="139"/>
      <c r="D104" s="142"/>
      <c r="E104" s="142"/>
      <c r="G104" s="147" t="s">
        <v>122</v>
      </c>
      <c r="I104" s="147">
        <f>COUNTIFS('Detalhe Entregas e Status'!$V:$V,'Status Resumo'!G104,'Detalhe Entregas e Status'!$B:$B,"lt007_instr_activity",'Detalhe Entregas e Status'!$C:$C,"&lt;&gt;"&amp;"UNIVERSO")</f>
        <v>3</v>
      </c>
      <c r="J104" s="147">
        <f>COUNTIFS('Detalhe Entregas e Status'!$W:$W,'Status Resumo'!G104,'Detalhe Entregas e Status'!$B:$B,"lt007_instr_activity",'Detalhe Entregas e Status'!$C:$C,"&lt;&gt;"&amp;"UNIVERSO")</f>
        <v>0</v>
      </c>
      <c r="K104" s="171" t="str">
        <f t="shared" si="4"/>
        <v>+ 3</v>
      </c>
      <c r="M104" s="252"/>
      <c r="N104" s="252"/>
      <c r="O104" s="252"/>
      <c r="P104" s="252"/>
      <c r="Q104" s="252"/>
      <c r="R104" s="252"/>
      <c r="S104" s="141"/>
    </row>
    <row r="105" spans="2:19" ht="17.399999999999999" customHeight="1">
      <c r="B105" s="139"/>
      <c r="D105" s="142"/>
      <c r="E105" s="142"/>
      <c r="G105" s="147" t="s">
        <v>124</v>
      </c>
      <c r="I105" s="147">
        <f>COUNTIFS('Detalhe Entregas e Status'!$V:$V,'Status Resumo'!G105,'Detalhe Entregas e Status'!$B:$B,"lt007_instr_activity",'Detalhe Entregas e Status'!$C:$C,"&lt;&gt;"&amp;"UNIVERSO")</f>
        <v>0</v>
      </c>
      <c r="J105" s="147">
        <f>COUNTIFS('Detalhe Entregas e Status'!$W:$W,'Status Resumo'!G105,'Detalhe Entregas e Status'!$B:$B,"lt007_instr_activity",'Detalhe Entregas e Status'!$C:$C,"&lt;&gt;"&amp;"UNIVERSO")</f>
        <v>0</v>
      </c>
      <c r="K105" s="171" t="str">
        <f t="shared" si="4"/>
        <v>-</v>
      </c>
      <c r="M105" s="252"/>
      <c r="N105" s="252"/>
      <c r="O105" s="252"/>
      <c r="P105" s="252"/>
      <c r="Q105" s="252"/>
      <c r="R105" s="252"/>
      <c r="S105" s="141"/>
    </row>
    <row r="106" spans="2:19" ht="17.399999999999999" customHeight="1">
      <c r="B106" s="139"/>
      <c r="G106" s="147" t="s">
        <v>277</v>
      </c>
      <c r="H106" s="155"/>
      <c r="I106" s="147">
        <f>COUNTIFS('Detalhe Entregas e Status'!$V:$V,'Status Resumo'!G106,'Detalhe Entregas e Status'!$B:$B,"lt007_instr_activity",'Detalhe Entregas e Status'!$C:$C,"&lt;&gt;"&amp;"UNIVERSO")</f>
        <v>0</v>
      </c>
      <c r="J106" s="147">
        <f>COUNTIFS('Detalhe Entregas e Status'!$W:$W,'Status Resumo'!G106,'Detalhe Entregas e Status'!$B:$B,"lt007_instr_activity",'Detalhe Entregas e Status'!$C:$C,"&lt;&gt;"&amp;"UNIVERSO")</f>
        <v>0</v>
      </c>
      <c r="K106" s="172" t="str">
        <f t="shared" si="4"/>
        <v>-</v>
      </c>
      <c r="M106" s="252"/>
      <c r="N106" s="252"/>
      <c r="O106" s="252"/>
      <c r="P106" s="252"/>
      <c r="Q106" s="252"/>
      <c r="R106" s="252"/>
      <c r="S106" s="141"/>
    </row>
    <row r="107" spans="2:19" ht="17.399999999999999" customHeight="1">
      <c r="B107" s="139"/>
      <c r="G107" s="148" t="s">
        <v>268</v>
      </c>
      <c r="I107" s="148">
        <f>SUM(I100:I106)</f>
        <v>6</v>
      </c>
      <c r="J107" s="148">
        <f>SUM(J100:J106)</f>
        <v>6</v>
      </c>
      <c r="K107" s="168"/>
      <c r="L107" s="143"/>
      <c r="M107" s="252"/>
      <c r="N107" s="252"/>
      <c r="O107" s="252"/>
      <c r="P107" s="252"/>
      <c r="Q107" s="252"/>
      <c r="R107" s="252"/>
      <c r="S107" s="141"/>
    </row>
    <row r="108" spans="2:19" ht="17.399999999999999" customHeight="1">
      <c r="B108" s="139"/>
      <c r="C108" s="140"/>
      <c r="F108" s="140"/>
      <c r="L108" s="143"/>
      <c r="M108" s="252"/>
      <c r="N108" s="252"/>
      <c r="O108" s="252"/>
      <c r="P108" s="252"/>
      <c r="Q108" s="252"/>
      <c r="R108" s="252"/>
      <c r="S108" s="141"/>
    </row>
    <row r="109" spans="2:19" ht="17.399999999999999" customHeight="1">
      <c r="B109" s="139"/>
      <c r="G109" s="155" t="s">
        <v>275</v>
      </c>
      <c r="H109" s="155"/>
      <c r="I109" s="169">
        <f>I58</f>
        <v>45834</v>
      </c>
      <c r="J109" s="167"/>
      <c r="K109" s="167"/>
      <c r="L109" s="143"/>
      <c r="M109" s="153"/>
      <c r="N109" s="153"/>
      <c r="O109" s="153"/>
      <c r="P109" s="153"/>
      <c r="Q109" s="153"/>
      <c r="R109" s="153"/>
      <c r="S109" s="141"/>
    </row>
    <row r="110" spans="2:19" ht="17.399999999999999" customHeight="1">
      <c r="B110" s="139"/>
      <c r="G110" s="158" t="s">
        <v>63</v>
      </c>
      <c r="I110" s="226" t="s">
        <v>376</v>
      </c>
      <c r="J110" s="159"/>
      <c r="K110" s="159"/>
      <c r="L110" s="143"/>
      <c r="M110" s="153"/>
      <c r="N110" s="153"/>
      <c r="O110" s="153"/>
      <c r="P110" s="153"/>
      <c r="Q110" s="153"/>
      <c r="R110" s="153"/>
      <c r="S110" s="141"/>
    </row>
    <row r="111" spans="2:19" ht="17.399999999999999" customHeight="1">
      <c r="B111" s="144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6"/>
    </row>
    <row r="112" spans="2:19"/>
    <row r="113"/>
    <row r="114"/>
    <row r="115"/>
    <row r="116"/>
    <row r="117"/>
    <row r="118"/>
  </sheetData>
  <mergeCells count="37">
    <mergeCell ref="D42:F42"/>
    <mergeCell ref="G42:P42"/>
    <mergeCell ref="G40:P40"/>
    <mergeCell ref="G41:P41"/>
    <mergeCell ref="D38:F38"/>
    <mergeCell ref="D39:F39"/>
    <mergeCell ref="D40:F40"/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D2" sqref="D2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8.33203125" bestFit="1" customWidth="1"/>
    <col min="10" max="10" width="13.44140625" bestFit="1" customWidth="1"/>
    <col min="11" max="11" width="20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7" t="s">
        <v>377</v>
      </c>
      <c r="O3" s="227">
        <v>69</v>
      </c>
      <c r="P3" s="228">
        <f>P4+P7+P8</f>
        <v>0.97101449275362317</v>
      </c>
    </row>
    <row r="4" spans="2:16">
      <c r="B4" s="18" t="s">
        <v>1</v>
      </c>
      <c r="C4" s="18" t="s">
        <v>2</v>
      </c>
      <c r="D4" s="29" t="s">
        <v>116</v>
      </c>
      <c r="N4" s="229" t="s">
        <v>380</v>
      </c>
      <c r="O4" s="229">
        <f>COUNTIFS($D$3:$D$75,"&lt;&gt;"&amp;"6. Por Iniciar",$D$3:$D$75,"&lt;&gt;"&amp;"2. Em Teste",$C$3:$C$75,"&lt;&gt;"&amp;"UNIVERSO",$D$3:$D$75,"&lt;&gt;"&amp;"5. Em Re-teste")</f>
        <v>66</v>
      </c>
      <c r="P4" s="230">
        <f>O4/$O$3</f>
        <v>0.95652173913043481</v>
      </c>
    </row>
    <row r="5" spans="2:16">
      <c r="B5" s="13" t="s">
        <v>1</v>
      </c>
      <c r="C5" s="13" t="s">
        <v>5</v>
      </c>
      <c r="D5" s="29" t="s">
        <v>116</v>
      </c>
      <c r="F5" s="149" t="s">
        <v>270</v>
      </c>
      <c r="G5" t="s">
        <v>271</v>
      </c>
      <c r="N5" s="231" t="s">
        <v>381</v>
      </c>
      <c r="O5" s="232">
        <f>COUNTIFS($D$3:$D$75,"1. Concluído",$C$3:$C$75,"&lt;&gt;"&amp;"UNIVERSO")</f>
        <v>28</v>
      </c>
      <c r="P5" s="233">
        <f t="shared" ref="P5:P8" si="0">O5/$O$3</f>
        <v>0.40579710144927539</v>
      </c>
    </row>
    <row r="6" spans="2:16">
      <c r="B6" s="13" t="s">
        <v>1</v>
      </c>
      <c r="C6" s="13" t="s">
        <v>6</v>
      </c>
      <c r="D6" s="29" t="s">
        <v>116</v>
      </c>
      <c r="F6" s="150" t="s">
        <v>114</v>
      </c>
      <c r="G6">
        <v>17</v>
      </c>
      <c r="N6" s="105" t="s">
        <v>309</v>
      </c>
      <c r="O6" s="147">
        <f>COUNTIFS($D$3:$D$75,"4. Em Correção",$C$3:$C$75,"&lt;&gt;"&amp;"UNIVERSO")</f>
        <v>38</v>
      </c>
      <c r="P6" s="234">
        <f t="shared" si="0"/>
        <v>0.55072463768115942</v>
      </c>
    </row>
    <row r="7" spans="2:16">
      <c r="B7" s="13" t="s">
        <v>1</v>
      </c>
      <c r="C7" s="13" t="s">
        <v>7</v>
      </c>
      <c r="D7" s="29" t="s">
        <v>116</v>
      </c>
      <c r="F7" s="150" t="s">
        <v>124</v>
      </c>
      <c r="G7">
        <v>1</v>
      </c>
      <c r="N7" s="235" t="s">
        <v>361</v>
      </c>
      <c r="O7" s="235">
        <f>COUNTIFS($D$3:$D$75,"2. Em Teste",$C$3:$C$75,"&lt;&gt;"&amp;"UNIVERSO")</f>
        <v>0</v>
      </c>
      <c r="P7" s="236">
        <f t="shared" si="0"/>
        <v>0</v>
      </c>
    </row>
    <row r="8" spans="2:16">
      <c r="B8" s="13" t="s">
        <v>1</v>
      </c>
      <c r="C8" s="13" t="s">
        <v>8</v>
      </c>
      <c r="D8" s="29" t="s">
        <v>116</v>
      </c>
      <c r="F8" s="150" t="s">
        <v>116</v>
      </c>
      <c r="G8">
        <v>31</v>
      </c>
      <c r="N8" s="235" t="s">
        <v>362</v>
      </c>
      <c r="O8" s="235">
        <f>COUNTIFS($D$3:$D$75,"6. Por Iniciar",$C$3:$C$75,"&lt;&gt;"&amp;"UNIVERSO")</f>
        <v>1</v>
      </c>
      <c r="P8" s="236">
        <f t="shared" si="0"/>
        <v>1.4492753623188406E-2</v>
      </c>
    </row>
    <row r="9" spans="2:16">
      <c r="B9" s="13" t="s">
        <v>1</v>
      </c>
      <c r="C9" s="13" t="s">
        <v>9</v>
      </c>
      <c r="D9" s="29" t="s">
        <v>116</v>
      </c>
      <c r="F9" s="150" t="s">
        <v>122</v>
      </c>
      <c r="G9">
        <v>2</v>
      </c>
      <c r="N9" s="235" t="s">
        <v>398</v>
      </c>
      <c r="O9" s="235">
        <f>COUNTIFS($D$3:$D$75,"5. Em Re-teste",$C$3:$C$75,"&lt;&gt;"&amp;"UNIVERSO")</f>
        <v>2</v>
      </c>
      <c r="P9" s="236">
        <f t="shared" ref="P9" si="1">O9/$O$3</f>
        <v>2.8985507246376812E-2</v>
      </c>
    </row>
    <row r="10" spans="2:16">
      <c r="B10" s="13" t="s">
        <v>1</v>
      </c>
      <c r="C10" s="13" t="s">
        <v>10</v>
      </c>
      <c r="D10" s="29" t="s">
        <v>116</v>
      </c>
    </row>
    <row r="11" spans="2:16">
      <c r="B11" s="13" t="s">
        <v>1</v>
      </c>
      <c r="C11" s="13" t="s">
        <v>11</v>
      </c>
      <c r="D11" s="29" t="s">
        <v>116</v>
      </c>
    </row>
    <row r="12" spans="2:16">
      <c r="B12" s="13" t="s">
        <v>1</v>
      </c>
      <c r="C12" s="13" t="s">
        <v>12</v>
      </c>
      <c r="D12" s="29" t="s">
        <v>116</v>
      </c>
    </row>
    <row r="13" spans="2:16">
      <c r="B13" s="13" t="s">
        <v>1</v>
      </c>
      <c r="C13" s="13" t="s">
        <v>13</v>
      </c>
      <c r="D13" s="29" t="s">
        <v>122</v>
      </c>
    </row>
    <row r="14" spans="2:16">
      <c r="B14" s="13" t="s">
        <v>1</v>
      </c>
      <c r="C14" s="13" t="s">
        <v>14</v>
      </c>
      <c r="D14" s="29" t="s">
        <v>116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116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116</v>
      </c>
      <c r="F20" s="150" t="s">
        <v>114</v>
      </c>
      <c r="G20">
        <v>5</v>
      </c>
    </row>
    <row r="21" spans="2:11">
      <c r="B21" s="13" t="s">
        <v>1</v>
      </c>
      <c r="C21" s="13" t="s">
        <v>21</v>
      </c>
      <c r="D21" s="29" t="s">
        <v>116</v>
      </c>
      <c r="F21" s="150" t="s">
        <v>116</v>
      </c>
      <c r="G21">
        <v>2</v>
      </c>
    </row>
    <row r="22" spans="2:11">
      <c r="B22" s="13" t="s">
        <v>1</v>
      </c>
      <c r="C22" s="13" t="s">
        <v>22</v>
      </c>
      <c r="D22" s="29" t="s">
        <v>116</v>
      </c>
    </row>
    <row r="23" spans="2:11">
      <c r="B23" s="13" t="s">
        <v>1</v>
      </c>
      <c r="C23" s="13" t="s">
        <v>23</v>
      </c>
      <c r="D23" s="29" t="s">
        <v>122</v>
      </c>
    </row>
    <row r="24" spans="2:11">
      <c r="B24" s="13" t="s">
        <v>1</v>
      </c>
      <c r="C24" s="13" t="s">
        <v>24</v>
      </c>
      <c r="D24" s="29" t="s">
        <v>116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>
        <v>2</v>
      </c>
      <c r="J28" s="150" t="s">
        <v>114</v>
      </c>
      <c r="K28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116</v>
      </c>
      <c r="G29">
        <v>4</v>
      </c>
      <c r="J29" s="150" t="s">
        <v>116</v>
      </c>
      <c r="K29">
        <v>1</v>
      </c>
    </row>
    <row r="30" spans="2:11">
      <c r="B30" s="13" t="s">
        <v>1</v>
      </c>
      <c r="C30" s="13" t="s">
        <v>30</v>
      </c>
      <c r="D30" s="29" t="s">
        <v>114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116</v>
      </c>
    </row>
    <row r="34" spans="2:4">
      <c r="B34" s="13" t="s">
        <v>1</v>
      </c>
      <c r="C34" s="13" t="s">
        <v>34</v>
      </c>
      <c r="D34" s="29" t="s">
        <v>116</v>
      </c>
    </row>
    <row r="35" spans="2:4">
      <c r="B35" s="13" t="s">
        <v>1</v>
      </c>
      <c r="C35" s="13" t="s">
        <v>35</v>
      </c>
      <c r="D35" s="29" t="s">
        <v>116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116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116</v>
      </c>
    </row>
    <row r="40" spans="2:4">
      <c r="B40" s="13" t="s">
        <v>1</v>
      </c>
      <c r="C40" s="13" t="s">
        <v>40</v>
      </c>
      <c r="D40" s="29" t="s">
        <v>116</v>
      </c>
    </row>
    <row r="41" spans="2:4">
      <c r="B41" s="13" t="s">
        <v>1</v>
      </c>
      <c r="C41" s="13" t="s">
        <v>41</v>
      </c>
      <c r="D41" s="29" t="s">
        <v>116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116</v>
      </c>
    </row>
    <row r="44" spans="2:4">
      <c r="B44" s="13" t="s">
        <v>1</v>
      </c>
      <c r="C44" s="13" t="s">
        <v>44</v>
      </c>
      <c r="D44" s="29" t="s">
        <v>116</v>
      </c>
    </row>
    <row r="45" spans="2:4">
      <c r="B45" s="13" t="s">
        <v>1</v>
      </c>
      <c r="C45" s="13" t="s">
        <v>45</v>
      </c>
      <c r="D45" s="29" t="s">
        <v>116</v>
      </c>
    </row>
    <row r="46" spans="2:4">
      <c r="B46" s="13" t="s">
        <v>1</v>
      </c>
      <c r="C46" s="13" t="s">
        <v>46</v>
      </c>
      <c r="D46" s="29" t="s">
        <v>116</v>
      </c>
    </row>
    <row r="47" spans="2:4">
      <c r="B47" s="13" t="s">
        <v>1</v>
      </c>
      <c r="C47" s="13" t="s">
        <v>47</v>
      </c>
      <c r="D47" s="29" t="s">
        <v>116</v>
      </c>
    </row>
    <row r="48" spans="2:4">
      <c r="B48" s="13" t="s">
        <v>1</v>
      </c>
      <c r="C48" s="13" t="s">
        <v>48</v>
      </c>
      <c r="D48" s="29" t="s">
        <v>116</v>
      </c>
    </row>
    <row r="49" spans="2:4">
      <c r="B49" s="13" t="s">
        <v>1</v>
      </c>
      <c r="C49" s="13" t="s">
        <v>49</v>
      </c>
      <c r="D49" s="29" t="s">
        <v>116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124</v>
      </c>
    </row>
    <row r="53" spans="2:4">
      <c r="B53" s="13" t="s">
        <v>1</v>
      </c>
      <c r="C53" s="13" t="s">
        <v>53</v>
      </c>
      <c r="D53" s="29" t="s">
        <v>116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116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116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116</v>
      </c>
    </row>
    <row r="69" spans="2:4">
      <c r="B69" s="13" t="s">
        <v>63</v>
      </c>
      <c r="C69" s="13" t="s">
        <v>89</v>
      </c>
      <c r="D69" s="29" t="s">
        <v>116</v>
      </c>
    </row>
    <row r="70" spans="2:4">
      <c r="B70" s="13" t="s">
        <v>63</v>
      </c>
      <c r="C70" s="13" t="s">
        <v>64</v>
      </c>
      <c r="D70" s="29" t="s">
        <v>116</v>
      </c>
    </row>
    <row r="71" spans="2:4">
      <c r="B71" s="13" t="s">
        <v>63</v>
      </c>
      <c r="C71" s="13" t="s">
        <v>65</v>
      </c>
      <c r="D71" s="29" t="s">
        <v>116</v>
      </c>
    </row>
    <row r="72" spans="2:4">
      <c r="B72" s="13" t="s">
        <v>63</v>
      </c>
      <c r="C72" s="13" t="s">
        <v>66</v>
      </c>
      <c r="D72" s="29" t="s">
        <v>116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116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7F8C122-EE38-46AB-B46B-1ADE735E22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6ED935F5-AC2B-4721-B535-CDEA4C652409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CFBA8AC3-7F3C-4458-B910-EBCC0F8BB8BF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56E67AB8-6C2E-4DF9-B6D2-13E0D7D58AC7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4EC070E9-BAE8-4ADC-8C34-334CDDBC506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0FC72AA-E452-4F37-BECA-6F4BD7570840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7E9D35D9-09DC-4DCE-AF3C-032488F21D50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369F2E-205B-48A6-99B7-12DC46F8B2FE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" customHeight="1"/>
    <row r="9" spans="1:52">
      <c r="B9" s="162" t="s">
        <v>280</v>
      </c>
      <c r="C9" s="105" t="s">
        <v>250</v>
      </c>
    </row>
    <row r="10" spans="1:52" ht="13.8">
      <c r="B10" s="92" t="s">
        <v>245</v>
      </c>
      <c r="C10" s="105" t="s">
        <v>252</v>
      </c>
    </row>
    <row r="11" spans="1:52" ht="14.4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84" t="s">
        <v>134</v>
      </c>
      <c r="H14" s="294"/>
      <c r="I14" s="294"/>
      <c r="J14" s="285"/>
      <c r="K14" s="284" t="s">
        <v>135</v>
      </c>
      <c r="L14" s="294"/>
      <c r="M14" s="294"/>
      <c r="N14" s="294"/>
      <c r="O14" s="285"/>
      <c r="P14" s="284" t="s">
        <v>136</v>
      </c>
      <c r="Q14" s="294"/>
      <c r="R14" s="294"/>
      <c r="S14" s="294"/>
      <c r="T14" s="285"/>
      <c r="U14" s="284" t="s">
        <v>137</v>
      </c>
      <c r="V14" s="294"/>
      <c r="W14" s="294"/>
      <c r="X14" s="294"/>
      <c r="Y14" s="294"/>
      <c r="Z14" s="284" t="s">
        <v>138</v>
      </c>
      <c r="AA14" s="294"/>
      <c r="AB14" s="294"/>
      <c r="AC14" s="294"/>
      <c r="AD14" s="294"/>
      <c r="AE14" s="285"/>
      <c r="AF14" s="284" t="s">
        <v>139</v>
      </c>
      <c r="AG14" s="294"/>
      <c r="AH14" s="294"/>
      <c r="AI14" s="294"/>
      <c r="AJ14" s="294"/>
      <c r="AK14" s="284" t="s">
        <v>140</v>
      </c>
      <c r="AL14" s="294"/>
      <c r="AM14" s="294"/>
      <c r="AN14" s="285"/>
      <c r="AO14" s="284" t="s">
        <v>141</v>
      </c>
      <c r="AP14" s="294"/>
      <c r="AQ14" s="294"/>
      <c r="AR14" s="294"/>
      <c r="AS14" s="294"/>
      <c r="AT14" s="284" t="s">
        <v>142</v>
      </c>
      <c r="AU14" s="294"/>
      <c r="AV14" s="294"/>
      <c r="AW14" s="294"/>
      <c r="AX14" s="294"/>
      <c r="AY14" s="285"/>
    </row>
    <row r="15" spans="1:52" ht="15" customHeight="1" thickBot="1">
      <c r="B15" s="50" t="s">
        <v>127</v>
      </c>
      <c r="C15" s="284" t="s">
        <v>128</v>
      </c>
      <c r="D15" s="285"/>
      <c r="E15" s="50" t="s">
        <v>129</v>
      </c>
      <c r="G15" s="291" t="s">
        <v>256</v>
      </c>
      <c r="H15" s="292"/>
      <c r="I15" s="292"/>
      <c r="J15" s="293"/>
      <c r="K15" s="291" t="s">
        <v>257</v>
      </c>
      <c r="L15" s="292"/>
      <c r="M15" s="292"/>
      <c r="N15" s="292"/>
      <c r="O15" s="293"/>
      <c r="P15" s="291" t="s">
        <v>258</v>
      </c>
      <c r="Q15" s="292"/>
      <c r="R15" s="292"/>
      <c r="S15" s="292"/>
      <c r="T15" s="293"/>
      <c r="U15" s="291" t="s">
        <v>259</v>
      </c>
      <c r="V15" s="292"/>
      <c r="W15" s="292"/>
      <c r="X15" s="292"/>
      <c r="Y15" s="293"/>
      <c r="Z15" s="288" t="s">
        <v>260</v>
      </c>
      <c r="AA15" s="289"/>
      <c r="AB15" s="289"/>
      <c r="AC15" s="289"/>
      <c r="AD15" s="289"/>
      <c r="AE15" s="290"/>
      <c r="AF15" s="291" t="s">
        <v>261</v>
      </c>
      <c r="AG15" s="292"/>
      <c r="AH15" s="292"/>
      <c r="AI15" s="292"/>
      <c r="AJ15" s="293"/>
      <c r="AK15" s="291" t="s">
        <v>262</v>
      </c>
      <c r="AL15" s="292"/>
      <c r="AM15" s="292"/>
      <c r="AN15" s="293"/>
      <c r="AO15" s="291" t="s">
        <v>263</v>
      </c>
      <c r="AP15" s="292"/>
      <c r="AQ15" s="292"/>
      <c r="AR15" s="292"/>
      <c r="AS15" s="293"/>
      <c r="AT15" s="291" t="s">
        <v>264</v>
      </c>
      <c r="AU15" s="292"/>
      <c r="AV15" s="292"/>
      <c r="AW15" s="292"/>
      <c r="AX15" s="292"/>
      <c r="AY15" s="293"/>
    </row>
    <row r="16" spans="1:52" s="8" customFormat="1" ht="15" customHeight="1">
      <c r="B16" s="55" t="s">
        <v>143</v>
      </c>
      <c r="C16" s="286" t="s">
        <v>144</v>
      </c>
      <c r="D16" s="286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87" t="s">
        <v>235</v>
      </c>
      <c r="D17" s="287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87" t="s">
        <v>147</v>
      </c>
      <c r="D18" s="287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83" t="s">
        <v>149</v>
      </c>
      <c r="D19" s="283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83" t="s">
        <v>166</v>
      </c>
      <c r="D33" s="283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83" t="s">
        <v>182</v>
      </c>
      <c r="D48" s="283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83" t="s">
        <v>199</v>
      </c>
      <c r="D61" s="283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83" t="s">
        <v>227</v>
      </c>
      <c r="D88" s="283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83" t="s">
        <v>238</v>
      </c>
      <c r="D97" s="283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83" t="s">
        <v>242</v>
      </c>
      <c r="D99" s="283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" customHeight="1"/>
    <row r="9" spans="1:78">
      <c r="B9" s="162" t="s">
        <v>280</v>
      </c>
      <c r="C9" s="105" t="s">
        <v>250</v>
      </c>
    </row>
    <row r="10" spans="1:78" ht="13.8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255</v>
      </c>
    </row>
    <row r="15" spans="1:78" ht="15" customHeight="1" thickBot="1">
      <c r="F15" s="297" t="s">
        <v>130</v>
      </c>
      <c r="G15" s="297"/>
      <c r="H15" s="297" t="s">
        <v>133</v>
      </c>
      <c r="I15" s="297"/>
      <c r="J15" s="296" t="s">
        <v>113</v>
      </c>
      <c r="K15" s="296"/>
      <c r="L15" s="11"/>
      <c r="M15" s="11"/>
      <c r="O15" s="295" t="s">
        <v>134</v>
      </c>
      <c r="P15" s="295"/>
      <c r="Q15" s="295"/>
      <c r="R15" s="295"/>
      <c r="S15" s="295"/>
      <c r="T15" s="295"/>
      <c r="U15" s="295"/>
      <c r="V15" s="295" t="s">
        <v>135</v>
      </c>
      <c r="W15" s="295"/>
      <c r="X15" s="295"/>
      <c r="Y15" s="295"/>
      <c r="Z15" s="295"/>
      <c r="AA15" s="295"/>
      <c r="AB15" s="295"/>
      <c r="AC15" s="295" t="s">
        <v>136</v>
      </c>
      <c r="AD15" s="295"/>
      <c r="AE15" s="295"/>
      <c r="AF15" s="295"/>
      <c r="AG15" s="295"/>
      <c r="AH15" s="295"/>
      <c r="AI15" s="295"/>
      <c r="AJ15" s="295" t="s">
        <v>137</v>
      </c>
      <c r="AK15" s="295"/>
      <c r="AL15" s="295"/>
      <c r="AM15" s="295"/>
      <c r="AN15" s="295"/>
      <c r="AO15" s="295"/>
      <c r="AP15" s="295"/>
      <c r="AQ15" s="295" t="s">
        <v>138</v>
      </c>
      <c r="AR15" s="295"/>
      <c r="AS15" s="295"/>
      <c r="AT15" s="295"/>
      <c r="AU15" s="295"/>
      <c r="AV15" s="295"/>
      <c r="AW15" s="295"/>
      <c r="AX15" s="295" t="s">
        <v>139</v>
      </c>
      <c r="AY15" s="295"/>
      <c r="AZ15" s="295"/>
      <c r="BA15" s="295"/>
      <c r="BB15" s="295"/>
      <c r="BC15" s="295"/>
      <c r="BD15" s="295"/>
      <c r="BE15" s="295" t="s">
        <v>140</v>
      </c>
      <c r="BF15" s="295"/>
      <c r="BG15" s="295"/>
      <c r="BH15" s="295"/>
      <c r="BI15" s="295"/>
      <c r="BJ15" s="295"/>
      <c r="BK15" s="295"/>
      <c r="BL15" s="295" t="s">
        <v>141</v>
      </c>
      <c r="BM15" s="295"/>
      <c r="BN15" s="295"/>
      <c r="BO15" s="295"/>
      <c r="BP15" s="295"/>
      <c r="BQ15" s="295"/>
      <c r="BR15" s="295"/>
      <c r="BS15" s="295" t="s">
        <v>142</v>
      </c>
      <c r="BT15" s="295"/>
      <c r="BU15" s="295"/>
      <c r="BV15" s="295"/>
      <c r="BW15" s="295"/>
      <c r="BX15" s="295"/>
      <c r="BY15" s="295"/>
    </row>
    <row r="16" spans="1:78" ht="15" customHeight="1" thickBot="1">
      <c r="B16" s="50" t="s">
        <v>127</v>
      </c>
      <c r="C16" s="284" t="s">
        <v>128</v>
      </c>
      <c r="D16" s="285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86" t="s">
        <v>144</v>
      </c>
      <c r="D17" s="286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87" t="s">
        <v>235</v>
      </c>
      <c r="D18" s="287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87" t="s">
        <v>147</v>
      </c>
      <c r="D19" s="287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83" t="s">
        <v>149</v>
      </c>
      <c r="D20" s="283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8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8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8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8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8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8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8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8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8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83" t="s">
        <v>166</v>
      </c>
      <c r="D34" s="283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9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9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9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20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9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9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83" t="s">
        <v>182</v>
      </c>
      <c r="D49" s="283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21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21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21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21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21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21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83" t="s">
        <v>199</v>
      </c>
      <c r="D62" s="283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83" t="s">
        <v>227</v>
      </c>
      <c r="D89" s="283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83" t="s">
        <v>238</v>
      </c>
      <c r="D98" s="283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83" t="s">
        <v>242</v>
      </c>
      <c r="D100" s="283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39.6</v>
      </c>
      <c r="I101" s="82">
        <f ca="1">H101/8</f>
        <v>4.95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X81"/>
  <sheetViews>
    <sheetView showGridLines="0" tabSelected="1" zoomScale="90" zoomScaleNormal="100" workbookViewId="0">
      <pane xSplit="3" ySplit="8" topLeftCell="E10" activePane="bottomRight" state="frozen"/>
      <selection pane="topRight" activeCell="D1" sqref="D1"/>
      <selection pane="bottomLeft" activeCell="A9" sqref="A9"/>
      <selection pane="bottomRight" activeCell="R55" sqref="R55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203" bestFit="1" customWidth="1"/>
    <col min="21" max="21" width="2.6640625" style="3" customWidth="1"/>
    <col min="22" max="23" width="22.6640625" style="3" customWidth="1"/>
    <col min="24" max="24" width="3.6640625" style="3" customWidth="1"/>
    <col min="25" max="16384" width="8.88671875" style="3" hidden="1"/>
  </cols>
  <sheetData>
    <row r="1" spans="1:24" ht="16.2" customHeight="1">
      <c r="L1" s="3"/>
    </row>
    <row r="2" spans="1:24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7"/>
      <c r="U2" s="4"/>
      <c r="V2" s="4"/>
      <c r="W2" s="4"/>
      <c r="X2" s="4"/>
    </row>
    <row r="3" spans="1:24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8"/>
      <c r="U3" s="7"/>
      <c r="V3" s="7"/>
      <c r="W3" s="7"/>
      <c r="X3" s="7"/>
    </row>
    <row r="4" spans="1:24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7"/>
      <c r="U4" s="4"/>
      <c r="V4" s="4"/>
      <c r="W4" s="4"/>
      <c r="X4" s="4"/>
    </row>
    <row r="5" spans="1:24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9"/>
      <c r="U5" s="2"/>
      <c r="V5" s="2"/>
      <c r="W5" s="2"/>
      <c r="X5" s="2"/>
    </row>
    <row r="7" spans="1:24" ht="15" customHeight="1">
      <c r="I7" s="298" t="s">
        <v>69</v>
      </c>
      <c r="J7" s="298"/>
      <c r="K7" s="298"/>
      <c r="Q7" s="299" t="s">
        <v>88</v>
      </c>
      <c r="R7" s="300"/>
      <c r="S7" s="301"/>
    </row>
    <row r="8" spans="1:24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393</v>
      </c>
      <c r="T8" s="244" t="s">
        <v>400</v>
      </c>
      <c r="V8" s="12" t="s">
        <v>111</v>
      </c>
      <c r="W8" s="30" t="s">
        <v>112</v>
      </c>
    </row>
    <row r="9" spans="1:24" hidden="1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 t="s">
        <v>297</v>
      </c>
      <c r="O9" s="14" t="s">
        <v>281</v>
      </c>
      <c r="Q9" s="15">
        <v>45814</v>
      </c>
      <c r="R9" s="15">
        <v>45849</v>
      </c>
      <c r="S9" s="15"/>
      <c r="T9" s="245"/>
      <c r="V9" s="29" t="s">
        <v>116</v>
      </c>
      <c r="W9" s="29" t="s">
        <v>116</v>
      </c>
    </row>
    <row r="10" spans="1:24">
      <c r="B10" s="18" t="s">
        <v>1</v>
      </c>
      <c r="C10" s="18" t="s">
        <v>2</v>
      </c>
      <c r="D10" s="197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281</v>
      </c>
      <c r="O10" s="14" t="s">
        <v>281</v>
      </c>
      <c r="Q10" s="20">
        <v>45803</v>
      </c>
      <c r="R10" s="15">
        <v>45846</v>
      </c>
      <c r="S10" s="20"/>
      <c r="T10" s="246"/>
      <c r="V10" s="29" t="s">
        <v>122</v>
      </c>
      <c r="W10" s="29" t="s">
        <v>116</v>
      </c>
    </row>
    <row r="11" spans="1:24" hidden="1">
      <c r="A11" s="3" t="s">
        <v>399</v>
      </c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>
        <v>45849</v>
      </c>
      <c r="S11" s="15"/>
      <c r="T11" s="245"/>
      <c r="V11" s="29" t="s">
        <v>116</v>
      </c>
      <c r="W11" s="29" t="s">
        <v>116</v>
      </c>
    </row>
    <row r="12" spans="1:24" hidden="1">
      <c r="A12" s="3" t="s">
        <v>399</v>
      </c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281</v>
      </c>
      <c r="O12" s="14" t="s">
        <v>281</v>
      </c>
      <c r="Q12" s="194">
        <v>45803</v>
      </c>
      <c r="R12" s="250">
        <v>45849</v>
      </c>
      <c r="S12" s="15"/>
      <c r="T12" s="245"/>
      <c r="V12" s="29" t="s">
        <v>116</v>
      </c>
      <c r="W12" s="29" t="s">
        <v>116</v>
      </c>
    </row>
    <row r="13" spans="1:24" hidden="1">
      <c r="A13" s="3" t="s">
        <v>399</v>
      </c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281</v>
      </c>
      <c r="O13" s="14" t="s">
        <v>281</v>
      </c>
      <c r="Q13" s="194">
        <v>45803</v>
      </c>
      <c r="R13" s="250">
        <v>45849</v>
      </c>
      <c r="S13" s="15"/>
      <c r="T13" s="245"/>
      <c r="V13" s="29" t="s">
        <v>116</v>
      </c>
      <c r="W13" s="29" t="s">
        <v>116</v>
      </c>
    </row>
    <row r="14" spans="1:24" hidden="1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281</v>
      </c>
      <c r="O14" s="14" t="s">
        <v>281</v>
      </c>
      <c r="Q14" s="20">
        <v>45803</v>
      </c>
      <c r="R14" s="250">
        <v>45849</v>
      </c>
      <c r="S14" s="15"/>
      <c r="T14" s="245"/>
      <c r="V14" s="29" t="s">
        <v>116</v>
      </c>
      <c r="W14" s="29" t="s">
        <v>116</v>
      </c>
    </row>
    <row r="15" spans="1:24" hidden="1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281</v>
      </c>
      <c r="O15" s="14" t="s">
        <v>281</v>
      </c>
      <c r="Q15" s="194">
        <v>45803</v>
      </c>
      <c r="R15" s="250">
        <v>45854</v>
      </c>
      <c r="S15" s="15"/>
      <c r="T15" s="245"/>
      <c r="V15" s="29" t="s">
        <v>116</v>
      </c>
      <c r="W15" s="29" t="s">
        <v>116</v>
      </c>
    </row>
    <row r="16" spans="1:24" hidden="1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3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>
        <v>45833</v>
      </c>
      <c r="R16" s="15">
        <v>45849</v>
      </c>
      <c r="S16" s="15"/>
      <c r="T16" s="245"/>
      <c r="V16" s="29" t="s">
        <v>116</v>
      </c>
      <c r="W16" s="29" t="s">
        <v>116</v>
      </c>
    </row>
    <row r="17" spans="1:23" hidden="1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>
        <v>45833</v>
      </c>
      <c r="R17" s="15">
        <v>45849</v>
      </c>
      <c r="S17" s="15"/>
      <c r="T17" s="245" t="s">
        <v>403</v>
      </c>
      <c r="V17" s="29" t="s">
        <v>116</v>
      </c>
      <c r="W17" s="29" t="s">
        <v>116</v>
      </c>
    </row>
    <row r="18" spans="1:23" hidden="1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281</v>
      </c>
      <c r="O18" s="14" t="s">
        <v>281</v>
      </c>
      <c r="Q18" s="194">
        <v>45803</v>
      </c>
      <c r="R18" s="250">
        <v>45849</v>
      </c>
      <c r="S18" s="15"/>
      <c r="T18" s="245"/>
      <c r="V18" s="29" t="s">
        <v>116</v>
      </c>
      <c r="W18" s="29" t="s">
        <v>116</v>
      </c>
    </row>
    <row r="19" spans="1:23" hidden="1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281</v>
      </c>
      <c r="O19" s="14" t="s">
        <v>281</v>
      </c>
      <c r="Q19" s="20">
        <v>45803</v>
      </c>
      <c r="R19" s="250" t="s">
        <v>375</v>
      </c>
      <c r="S19" s="15"/>
      <c r="T19" s="245" t="s">
        <v>401</v>
      </c>
      <c r="V19" s="29" t="s">
        <v>122</v>
      </c>
      <c r="W19" s="29" t="s">
        <v>122</v>
      </c>
    </row>
    <row r="20" spans="1:23" hidden="1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297</v>
      </c>
      <c r="O20" s="14" t="s">
        <v>281</v>
      </c>
      <c r="Q20" s="20">
        <v>45804</v>
      </c>
      <c r="R20" s="15">
        <v>45854</v>
      </c>
      <c r="S20" s="15"/>
      <c r="T20" s="245"/>
      <c r="V20" s="29" t="s">
        <v>116</v>
      </c>
      <c r="W20" s="29" t="s">
        <v>116</v>
      </c>
    </row>
    <row r="21" spans="1:23" hidden="1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T21" s="15"/>
      <c r="V21" s="29" t="s">
        <v>114</v>
      </c>
      <c r="W21" s="29" t="s">
        <v>114</v>
      </c>
    </row>
    <row r="22" spans="1:23" hidden="1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T22" s="15"/>
      <c r="V22" s="29" t="s">
        <v>114</v>
      </c>
      <c r="W22" s="29" t="s">
        <v>114</v>
      </c>
    </row>
    <row r="23" spans="1:23" hidden="1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T23" s="15"/>
      <c r="V23" s="29" t="s">
        <v>114</v>
      </c>
      <c r="W23" s="29" t="s">
        <v>114</v>
      </c>
    </row>
    <row r="24" spans="1:23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281</v>
      </c>
      <c r="O24" s="14" t="s">
        <v>281</v>
      </c>
      <c r="Q24" s="194">
        <v>45803</v>
      </c>
      <c r="R24" s="15">
        <v>45846</v>
      </c>
      <c r="S24" s="15"/>
      <c r="T24" s="245"/>
      <c r="V24" s="29" t="s">
        <v>122</v>
      </c>
      <c r="W24" s="29" t="s">
        <v>116</v>
      </c>
    </row>
    <row r="25" spans="1:23" hidden="1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T25" s="15"/>
      <c r="V25" s="29" t="s">
        <v>114</v>
      </c>
      <c r="W25" s="29" t="s">
        <v>114</v>
      </c>
    </row>
    <row r="26" spans="1:23" hidden="1">
      <c r="A26" s="3" t="s">
        <v>399</v>
      </c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281</v>
      </c>
      <c r="O26" s="14" t="s">
        <v>281</v>
      </c>
      <c r="Q26" s="194">
        <v>45803</v>
      </c>
      <c r="R26" s="250">
        <v>45849</v>
      </c>
      <c r="S26" s="15"/>
      <c r="T26" s="245"/>
      <c r="V26" s="29" t="s">
        <v>116</v>
      </c>
      <c r="W26" s="29" t="s">
        <v>116</v>
      </c>
    </row>
    <row r="27" spans="1:23" hidden="1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281</v>
      </c>
      <c r="O27" s="14" t="s">
        <v>281</v>
      </c>
      <c r="Q27" s="194">
        <v>45803</v>
      </c>
      <c r="R27" s="250">
        <v>45849</v>
      </c>
      <c r="S27" s="15"/>
      <c r="T27" s="245"/>
      <c r="V27" s="29" t="s">
        <v>116</v>
      </c>
      <c r="W27" s="29" t="s">
        <v>116</v>
      </c>
    </row>
    <row r="28" spans="1:23" hidden="1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>
        <v>45833</v>
      </c>
      <c r="R28" s="15">
        <v>45849</v>
      </c>
      <c r="S28" s="15"/>
      <c r="T28" s="245" t="s">
        <v>404</v>
      </c>
      <c r="V28" s="29" t="s">
        <v>116</v>
      </c>
      <c r="W28" s="29" t="s">
        <v>116</v>
      </c>
    </row>
    <row r="29" spans="1:23" hidden="1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281</v>
      </c>
      <c r="O29" s="14" t="s">
        <v>281</v>
      </c>
      <c r="Q29" s="194">
        <v>45803</v>
      </c>
      <c r="R29" s="250" t="s">
        <v>375</v>
      </c>
      <c r="S29" s="15"/>
      <c r="T29" s="245" t="s">
        <v>401</v>
      </c>
      <c r="V29" s="29" t="s">
        <v>122</v>
      </c>
      <c r="W29" s="29" t="s">
        <v>122</v>
      </c>
    </row>
    <row r="30" spans="1:23" hidden="1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3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281</v>
      </c>
      <c r="O30" s="14" t="s">
        <v>281</v>
      </c>
      <c r="Q30" s="194">
        <v>45803</v>
      </c>
      <c r="R30" s="250">
        <v>45854</v>
      </c>
      <c r="S30" s="15"/>
      <c r="T30" s="245"/>
      <c r="V30" s="29" t="s">
        <v>116</v>
      </c>
      <c r="W30" s="29" t="s">
        <v>116</v>
      </c>
    </row>
    <row r="31" spans="1:23" hidden="1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T31" s="15"/>
      <c r="V31" s="29" t="s">
        <v>114</v>
      </c>
      <c r="W31" s="29" t="s">
        <v>114</v>
      </c>
    </row>
    <row r="32" spans="1:23" hidden="1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T32" s="15"/>
      <c r="V32" s="29" t="s">
        <v>114</v>
      </c>
      <c r="W32" s="29" t="s">
        <v>114</v>
      </c>
    </row>
    <row r="33" spans="2:23" hidden="1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T33" s="15"/>
      <c r="V33" s="29" t="s">
        <v>114</v>
      </c>
      <c r="W33" s="29" t="s">
        <v>114</v>
      </c>
    </row>
    <row r="34" spans="2:23" hidden="1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T34" s="15"/>
      <c r="V34" s="29" t="s">
        <v>114</v>
      </c>
      <c r="W34" s="29" t="s">
        <v>114</v>
      </c>
    </row>
    <row r="35" spans="2:23" hidden="1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T35" s="15"/>
      <c r="V35" s="29" t="s">
        <v>114</v>
      </c>
      <c r="W35" s="29" t="s">
        <v>114</v>
      </c>
    </row>
    <row r="36" spans="2:23" hidden="1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 t="s">
        <v>297</v>
      </c>
      <c r="O36" s="14" t="s">
        <v>281</v>
      </c>
      <c r="Q36" s="15">
        <v>45825</v>
      </c>
      <c r="R36" s="15"/>
      <c r="S36" s="15"/>
      <c r="T36" s="15"/>
      <c r="V36" s="29" t="s">
        <v>114</v>
      </c>
      <c r="W36" s="29" t="s">
        <v>114</v>
      </c>
    </row>
    <row r="37" spans="2:23" hidden="1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T37" s="15"/>
      <c r="V37" s="29" t="s">
        <v>114</v>
      </c>
      <c r="W37" s="29" t="s">
        <v>114</v>
      </c>
    </row>
    <row r="38" spans="2:23" hidden="1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T38" s="15"/>
      <c r="V38" s="29" t="s">
        <v>114</v>
      </c>
      <c r="W38" s="29" t="s">
        <v>114</v>
      </c>
    </row>
    <row r="39" spans="2:23">
      <c r="B39" s="13" t="s">
        <v>1</v>
      </c>
      <c r="C39" s="30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3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 t="s">
        <v>297</v>
      </c>
      <c r="O39" s="14" t="s">
        <v>281</v>
      </c>
      <c r="Q39" s="15">
        <v>45814</v>
      </c>
      <c r="R39" s="15">
        <v>45846</v>
      </c>
      <c r="S39" s="15"/>
      <c r="T39" s="245" t="s">
        <v>408</v>
      </c>
      <c r="V39" s="29" t="s">
        <v>122</v>
      </c>
      <c r="W39" s="29" t="s">
        <v>116</v>
      </c>
    </row>
    <row r="40" spans="2:23">
      <c r="B40" s="13" t="s">
        <v>1</v>
      </c>
      <c r="C40" s="30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 t="s">
        <v>297</v>
      </c>
      <c r="O40" s="14" t="s">
        <v>281</v>
      </c>
      <c r="Q40" s="15">
        <v>45814</v>
      </c>
      <c r="R40" s="15">
        <v>45846</v>
      </c>
      <c r="S40" s="15"/>
      <c r="T40" s="245" t="s">
        <v>409</v>
      </c>
      <c r="V40" s="29" t="s">
        <v>122</v>
      </c>
      <c r="W40" s="29" t="s">
        <v>116</v>
      </c>
    </row>
    <row r="41" spans="2:23" hidden="1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>
        <v>45841</v>
      </c>
      <c r="R41" s="15">
        <v>45854</v>
      </c>
      <c r="S41" s="15"/>
      <c r="T41" s="245"/>
      <c r="V41" s="29" t="s">
        <v>116</v>
      </c>
      <c r="W41" s="29" t="s">
        <v>116</v>
      </c>
    </row>
    <row r="42" spans="2:23" hidden="1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3">
        <v>45803</v>
      </c>
      <c r="K42" s="14">
        <f t="shared" si="3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T42" s="15"/>
      <c r="V42" s="29" t="s">
        <v>114</v>
      </c>
      <c r="W42" s="29" t="s">
        <v>114</v>
      </c>
    </row>
    <row r="43" spans="2:23" hidden="1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3">
        <v>45803</v>
      </c>
      <c r="K43" s="14">
        <f t="shared" si="3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>
        <v>45841</v>
      </c>
      <c r="R43" s="15">
        <v>45854</v>
      </c>
      <c r="S43" s="15"/>
      <c r="T43" s="245"/>
      <c r="V43" s="29" t="s">
        <v>116</v>
      </c>
      <c r="W43" s="29" t="s">
        <v>116</v>
      </c>
    </row>
    <row r="44" spans="2:23" hidden="1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T44" s="15"/>
      <c r="V44" s="29" t="s">
        <v>114</v>
      </c>
      <c r="W44" s="29" t="s">
        <v>114</v>
      </c>
    </row>
    <row r="45" spans="2:23" hidden="1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3">
        <v>45803</v>
      </c>
      <c r="K45" s="14">
        <f t="shared" si="3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>
        <v>45841</v>
      </c>
      <c r="R45" s="15">
        <v>45849</v>
      </c>
      <c r="S45" s="15"/>
      <c r="T45" s="245" t="s">
        <v>402</v>
      </c>
      <c r="V45" s="29" t="s">
        <v>116</v>
      </c>
      <c r="W45" s="29" t="s">
        <v>116</v>
      </c>
    </row>
    <row r="46" spans="2:23">
      <c r="B46" s="13" t="s">
        <v>1</v>
      </c>
      <c r="C46" s="30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3">
        <v>45803</v>
      </c>
      <c r="K46" s="14">
        <f t="shared" si="3"/>
        <v>0</v>
      </c>
      <c r="M46" s="166">
        <f>SUMIFS('Detalhe Testes'!$H:$H,'Detalhe Testes'!$B:$B,'Detalhe Entregas e Status'!B46,'Detalhe Testes'!$C:$C,'Detalhe Entregas e Status'!C46)</f>
        <v>0</v>
      </c>
      <c r="N46" s="14" t="s">
        <v>297</v>
      </c>
      <c r="O46" s="14" t="s">
        <v>281</v>
      </c>
      <c r="Q46" s="15">
        <v>45814</v>
      </c>
      <c r="R46" s="15">
        <v>45846</v>
      </c>
      <c r="S46" s="15"/>
      <c r="T46" s="245" t="s">
        <v>401</v>
      </c>
      <c r="V46" s="29" t="s">
        <v>122</v>
      </c>
      <c r="W46" s="29" t="s">
        <v>116</v>
      </c>
    </row>
    <row r="47" spans="2:23">
      <c r="B47" s="13" t="s">
        <v>1</v>
      </c>
      <c r="C47" s="30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3">
        <v>45803</v>
      </c>
      <c r="K47" s="14">
        <f t="shared" si="3"/>
        <v>0</v>
      </c>
      <c r="M47" s="166">
        <f>SUMIFS('Detalhe Testes'!$H:$H,'Detalhe Testes'!$B:$B,'Detalhe Entregas e Status'!B47,'Detalhe Testes'!$C:$C,'Detalhe Entregas e Status'!C47)</f>
        <v>0</v>
      </c>
      <c r="N47" s="14" t="s">
        <v>297</v>
      </c>
      <c r="O47" s="14" t="s">
        <v>281</v>
      </c>
      <c r="Q47" s="15">
        <v>45814</v>
      </c>
      <c r="R47" s="15">
        <v>45846</v>
      </c>
      <c r="S47" s="15"/>
      <c r="T47" s="245" t="s">
        <v>401</v>
      </c>
      <c r="V47" s="29" t="s">
        <v>122</v>
      </c>
      <c r="W47" s="29" t="s">
        <v>116</v>
      </c>
    </row>
    <row r="48" spans="2:23" hidden="1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3">
        <v>45803</v>
      </c>
      <c r="K48" s="14">
        <f t="shared" si="3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>
        <v>45841</v>
      </c>
      <c r="R48" s="15">
        <v>45854</v>
      </c>
      <c r="S48" s="15"/>
      <c r="T48" s="245"/>
      <c r="V48" s="29" t="s">
        <v>116</v>
      </c>
      <c r="W48" s="29" t="s">
        <v>116</v>
      </c>
    </row>
    <row r="49" spans="1:23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3">
        <v>45803</v>
      </c>
      <c r="K49" s="14">
        <f t="shared" si="3"/>
        <v>0</v>
      </c>
      <c r="M49" s="166">
        <f>SUMIFS('Detalhe Testes'!$H:$H,'Detalhe Testes'!$B:$B,'Detalhe Entregas e Status'!B49,'Detalhe Testes'!$C:$C,'Detalhe Entregas e Status'!C49)</f>
        <v>0</v>
      </c>
      <c r="N49" s="14" t="s">
        <v>297</v>
      </c>
      <c r="O49" s="14" t="s">
        <v>281</v>
      </c>
      <c r="Q49" s="15">
        <v>45814</v>
      </c>
      <c r="R49" s="15">
        <v>45846</v>
      </c>
      <c r="S49" s="15"/>
      <c r="T49" s="245" t="s">
        <v>401</v>
      </c>
      <c r="V49" s="29" t="s">
        <v>122</v>
      </c>
      <c r="W49" s="29" t="s">
        <v>116</v>
      </c>
    </row>
    <row r="50" spans="1:23">
      <c r="B50" s="13" t="s">
        <v>1</v>
      </c>
      <c r="C50" s="30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>
        <f>SUMIFS('Detalhe Testes'!$H:$H,'Detalhe Testes'!$B:$B,'Detalhe Entregas e Status'!B50,'Detalhe Testes'!$C:$C,'Detalhe Entregas e Status'!C50)</f>
        <v>0</v>
      </c>
      <c r="N50" s="14" t="s">
        <v>297</v>
      </c>
      <c r="O50" s="14" t="s">
        <v>281</v>
      </c>
      <c r="Q50" s="15">
        <v>45814</v>
      </c>
      <c r="R50" s="15">
        <v>45846</v>
      </c>
      <c r="S50" s="15"/>
      <c r="T50" s="245"/>
      <c r="V50" s="29" t="s">
        <v>122</v>
      </c>
      <c r="W50" s="29" t="s">
        <v>116</v>
      </c>
    </row>
    <row r="51" spans="1:23" hidden="1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>
        <v>45841</v>
      </c>
      <c r="R51" s="15">
        <v>45854</v>
      </c>
      <c r="S51" s="15"/>
      <c r="T51" s="245"/>
      <c r="V51" s="29" t="s">
        <v>116</v>
      </c>
      <c r="W51" s="29" t="s">
        <v>116</v>
      </c>
    </row>
    <row r="52" spans="1:23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>
        <f>SUMIFS('Detalhe Testes'!$H:$H,'Detalhe Testes'!$B:$B,'Detalhe Entregas e Status'!B52,'Detalhe Testes'!$C:$C,'Detalhe Entregas e Status'!C52)</f>
        <v>0</v>
      </c>
      <c r="N52" s="14" t="s">
        <v>297</v>
      </c>
      <c r="O52" s="14" t="s">
        <v>281</v>
      </c>
      <c r="Q52" s="15">
        <v>45814</v>
      </c>
      <c r="R52" s="15">
        <v>45846</v>
      </c>
      <c r="S52" s="15"/>
      <c r="T52" s="245" t="s">
        <v>401</v>
      </c>
      <c r="V52" s="29" t="s">
        <v>122</v>
      </c>
      <c r="W52" s="29" t="s">
        <v>116</v>
      </c>
    </row>
    <row r="53" spans="1:23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3">
        <v>45803</v>
      </c>
      <c r="K53" s="14">
        <f t="shared" si="3"/>
        <v>0</v>
      </c>
      <c r="M53" s="166">
        <f>SUMIFS('Detalhe Testes'!$H:$H,'Detalhe Testes'!$B:$B,'Detalhe Entregas e Status'!B53,'Detalhe Testes'!$C:$C,'Detalhe Entregas e Status'!C53)</f>
        <v>0</v>
      </c>
      <c r="N53" s="14" t="s">
        <v>297</v>
      </c>
      <c r="O53" s="14" t="s">
        <v>281</v>
      </c>
      <c r="Q53" s="15">
        <v>45814</v>
      </c>
      <c r="R53" s="15">
        <v>45846</v>
      </c>
      <c r="S53" s="15"/>
      <c r="T53" s="245" t="s">
        <v>401</v>
      </c>
      <c r="V53" s="29" t="s">
        <v>122</v>
      </c>
      <c r="W53" s="29" t="s">
        <v>116</v>
      </c>
    </row>
    <row r="54" spans="1:23">
      <c r="B54" s="13" t="s">
        <v>1</v>
      </c>
      <c r="C54" s="30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>
        <f>SUMIFS('Detalhe Testes'!$H:$H,'Detalhe Testes'!$B:$B,'Detalhe Entregas e Status'!B54,'Detalhe Testes'!$C:$C,'Detalhe Entregas e Status'!C54)</f>
        <v>0</v>
      </c>
      <c r="N54" s="14" t="s">
        <v>297</v>
      </c>
      <c r="O54" s="14" t="s">
        <v>281</v>
      </c>
      <c r="Q54" s="15">
        <v>45814</v>
      </c>
      <c r="R54" s="15">
        <v>45846</v>
      </c>
      <c r="S54" s="15"/>
      <c r="T54" s="245"/>
      <c r="V54" s="29" t="s">
        <v>122</v>
      </c>
      <c r="W54" s="29" t="s">
        <v>116</v>
      </c>
    </row>
    <row r="55" spans="1:23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>
        <f>SUMIFS('Detalhe Testes'!$H:$H,'Detalhe Testes'!$B:$B,'Detalhe Entregas e Status'!B55,'Detalhe Testes'!$C:$C,'Detalhe Entregas e Status'!C55)</f>
        <v>0</v>
      </c>
      <c r="N55" s="14" t="s">
        <v>297</v>
      </c>
      <c r="O55" s="14" t="s">
        <v>281</v>
      </c>
      <c r="Q55" s="15">
        <v>45814</v>
      </c>
      <c r="R55" s="15">
        <v>45846</v>
      </c>
      <c r="S55" s="15"/>
      <c r="T55" s="245" t="s">
        <v>401</v>
      </c>
      <c r="V55" s="29" t="s">
        <v>122</v>
      </c>
      <c r="W55" s="29" t="s">
        <v>116</v>
      </c>
    </row>
    <row r="56" spans="1:23" hidden="1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T56" s="15"/>
      <c r="V56" s="29" t="s">
        <v>114</v>
      </c>
      <c r="W56" s="29" t="s">
        <v>114</v>
      </c>
    </row>
    <row r="57" spans="1:23" hidden="1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3">
        <v>45803</v>
      </c>
      <c r="K57" s="14">
        <f t="shared" si="3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T57" s="15"/>
      <c r="V57" s="29" t="s">
        <v>114</v>
      </c>
      <c r="W57" s="29" t="s">
        <v>114</v>
      </c>
    </row>
    <row r="58" spans="1:23" hidden="1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T58" s="15"/>
      <c r="V58" s="29" t="s">
        <v>117</v>
      </c>
      <c r="W58" s="29" t="s">
        <v>124</v>
      </c>
    </row>
    <row r="59" spans="1:23">
      <c r="A59" s="3" t="s">
        <v>399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281</v>
      </c>
      <c r="O59" s="14" t="s">
        <v>281</v>
      </c>
      <c r="Q59" s="194">
        <v>45803</v>
      </c>
      <c r="R59" s="15">
        <v>45846</v>
      </c>
      <c r="S59" s="15"/>
      <c r="T59" s="245"/>
      <c r="V59" s="29" t="s">
        <v>122</v>
      </c>
      <c r="W59" s="29" t="s">
        <v>116</v>
      </c>
    </row>
    <row r="60" spans="1:23" hidden="1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>
        <f>SUMIFS('Detalhe Testes'!$H:$H,'Detalhe Testes'!$B:$B,'Detalhe Entregas e Status'!B60,'Detalhe Testes'!$C:$C,'Detalhe Entregas e Status'!C60)</f>
        <v>0</v>
      </c>
      <c r="N60" s="14" t="s">
        <v>297</v>
      </c>
      <c r="O60" s="14" t="s">
        <v>281</v>
      </c>
      <c r="Q60" s="15"/>
      <c r="R60" s="15"/>
      <c r="S60" s="15"/>
      <c r="T60" s="15"/>
      <c r="V60" s="29" t="s">
        <v>114</v>
      </c>
      <c r="W60" s="29" t="s">
        <v>114</v>
      </c>
    </row>
    <row r="61" spans="1:23" hidden="1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T61" s="15"/>
      <c r="V61" s="29" t="s">
        <v>114</v>
      </c>
      <c r="W61" s="29" t="s">
        <v>114</v>
      </c>
    </row>
    <row r="62" spans="1:23" hidden="1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T62" s="15"/>
      <c r="V62" s="29" t="s">
        <v>114</v>
      </c>
      <c r="W62" s="29" t="s">
        <v>114</v>
      </c>
    </row>
    <row r="63" spans="1:23" hidden="1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2">
        <v>45803</v>
      </c>
      <c r="K63" s="14">
        <f t="shared" si="3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T63" s="15"/>
      <c r="V63" s="29" t="s">
        <v>114</v>
      </c>
      <c r="W63" s="29" t="s">
        <v>114</v>
      </c>
    </row>
    <row r="64" spans="1:23" hidden="1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2">
        <v>45803</v>
      </c>
      <c r="K64" s="14">
        <f t="shared" si="3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T64" s="15"/>
      <c r="V64" s="29" t="s">
        <v>114</v>
      </c>
      <c r="W64" s="29" t="s">
        <v>114</v>
      </c>
    </row>
    <row r="65" spans="1:23" hidden="1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2">
        <v>45803</v>
      </c>
      <c r="K65" s="14">
        <f t="shared" si="3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T65" s="15"/>
      <c r="V65" s="29" t="s">
        <v>114</v>
      </c>
      <c r="W65" s="29" t="s">
        <v>114</v>
      </c>
    </row>
    <row r="66" spans="1:23" hidden="1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2">
        <v>45803</v>
      </c>
      <c r="K66" s="14">
        <f t="shared" si="3"/>
        <v>0</v>
      </c>
      <c r="M66" s="166">
        <f>SUMIFS('Detalhe Testes'!$H:$H,'Detalhe Testes'!$B:$B,'Detalhe Entregas e Status'!B66,'Detalhe Testes'!$C:$C,'Detalhe Entregas e Status'!C66)</f>
        <v>24805</v>
      </c>
      <c r="N66" s="14" t="s">
        <v>297</v>
      </c>
      <c r="O66" s="14" t="s">
        <v>281</v>
      </c>
      <c r="Q66" s="15">
        <v>45825</v>
      </c>
      <c r="R66" s="15">
        <v>45849</v>
      </c>
      <c r="S66" s="15"/>
      <c r="T66" s="15"/>
      <c r="V66" s="29" t="s">
        <v>116</v>
      </c>
      <c r="W66" s="29" t="s">
        <v>116</v>
      </c>
    </row>
    <row r="67" spans="1:23" hidden="1">
      <c r="A67" s="3" t="s">
        <v>399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T67" s="15"/>
      <c r="V67" s="29" t="s">
        <v>114</v>
      </c>
      <c r="W67" s="29" t="s">
        <v>114</v>
      </c>
    </row>
    <row r="68" spans="1:23" hidden="1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2">
        <v>45810</v>
      </c>
      <c r="K68" s="14">
        <f t="shared" si="3"/>
        <v>7</v>
      </c>
      <c r="M68" s="166">
        <f>SUMIFS('Detalhe Testes'!$H:$H,'Detalhe Testes'!$B:$B,'Detalhe Entregas e Status'!B68,'Detalhe Testes'!$C:$C,'Detalhe Entregas e Status'!C68)</f>
        <v>5163</v>
      </c>
      <c r="N68" s="14" t="s">
        <v>297</v>
      </c>
      <c r="O68" s="14" t="s">
        <v>281</v>
      </c>
      <c r="Q68" s="15">
        <v>45825</v>
      </c>
      <c r="R68" s="15">
        <v>45849</v>
      </c>
      <c r="S68" s="15"/>
      <c r="T68" s="15"/>
      <c r="V68" s="29" t="s">
        <v>116</v>
      </c>
      <c r="W68" s="29" t="s">
        <v>116</v>
      </c>
    </row>
    <row r="69" spans="1:23" hidden="1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T69" s="15"/>
      <c r="V69" s="29" t="s">
        <v>114</v>
      </c>
      <c r="W69" s="29" t="s">
        <v>114</v>
      </c>
    </row>
    <row r="70" spans="1:23" hidden="1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2">
        <v>45803</v>
      </c>
      <c r="K70" s="14">
        <f t="shared" si="3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T70" s="15"/>
      <c r="V70" s="29" t="s">
        <v>114</v>
      </c>
      <c r="W70" s="29" t="s">
        <v>114</v>
      </c>
    </row>
    <row r="71" spans="1:23" hidden="1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2">
        <v>45803</v>
      </c>
      <c r="K71" s="14">
        <f t="shared" si="3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T71" s="15"/>
      <c r="V71" s="29" t="s">
        <v>114</v>
      </c>
      <c r="W71" s="29" t="s">
        <v>114</v>
      </c>
    </row>
    <row r="72" spans="1:23" hidden="1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2">
        <v>45803</v>
      </c>
      <c r="K72" s="14">
        <f t="shared" si="3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T72" s="15"/>
      <c r="V72" s="29" t="s">
        <v>114</v>
      </c>
      <c r="W72" s="29" t="s">
        <v>114</v>
      </c>
    </row>
    <row r="73" spans="1:23" hidden="1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2">
        <v>45803</v>
      </c>
      <c r="K73" s="14">
        <f t="shared" ref="K73:K81" si="5">+IF(J73="","N/A",J73-I73)</f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T73" s="15"/>
      <c r="V73" s="29" t="s">
        <v>114</v>
      </c>
      <c r="W73" s="29" t="s">
        <v>114</v>
      </c>
    </row>
    <row r="74" spans="1:23">
      <c r="A74" s="3" t="s">
        <v>399</v>
      </c>
      <c r="B74" s="13" t="s">
        <v>61</v>
      </c>
      <c r="C74" s="13" t="s">
        <v>62</v>
      </c>
      <c r="D74" s="197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>
        <v>45826</v>
      </c>
      <c r="R74" s="15">
        <v>45846</v>
      </c>
      <c r="S74" s="15"/>
      <c r="T74" s="15"/>
      <c r="V74" s="29" t="s">
        <v>122</v>
      </c>
      <c r="W74" s="29" t="s">
        <v>116</v>
      </c>
    </row>
    <row r="75" spans="1:23" hidden="1">
      <c r="A75" s="3" t="s">
        <v>399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>
        <v>45832</v>
      </c>
      <c r="R75" s="15" t="s">
        <v>407</v>
      </c>
      <c r="S75" s="15"/>
      <c r="T75" s="245" t="s">
        <v>406</v>
      </c>
      <c r="V75" s="29" t="s">
        <v>116</v>
      </c>
      <c r="W75" s="29" t="s">
        <v>116</v>
      </c>
    </row>
    <row r="76" spans="1:23">
      <c r="A76" s="3" t="s">
        <v>399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>
        <v>45832</v>
      </c>
      <c r="R76" s="15">
        <v>45846</v>
      </c>
      <c r="S76" s="15"/>
      <c r="T76" s="15"/>
      <c r="V76" s="29" t="s">
        <v>122</v>
      </c>
      <c r="W76" s="29" t="s">
        <v>116</v>
      </c>
    </row>
    <row r="77" spans="1:23" hidden="1">
      <c r="A77" s="3" t="s">
        <v>399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3">
        <v>45803</v>
      </c>
      <c r="K77" s="14">
        <f t="shared" si="5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>
        <v>45832</v>
      </c>
      <c r="R77" s="15"/>
      <c r="S77" s="15"/>
      <c r="T77" s="245" t="s">
        <v>405</v>
      </c>
      <c r="V77" s="29" t="s">
        <v>122</v>
      </c>
      <c r="W77" s="29" t="s">
        <v>116</v>
      </c>
    </row>
    <row r="78" spans="1:23">
      <c r="A78" s="3" t="s">
        <v>399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>
        <v>45832</v>
      </c>
      <c r="R78" s="15">
        <v>45846</v>
      </c>
      <c r="S78" s="15"/>
      <c r="T78" s="15"/>
      <c r="V78" s="29" t="s">
        <v>122</v>
      </c>
      <c r="W78" s="29" t="s">
        <v>116</v>
      </c>
    </row>
    <row r="79" spans="1:23" hidden="1">
      <c r="A79" s="3" t="s">
        <v>399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T79" s="15"/>
      <c r="V79" s="29" t="s">
        <v>114</v>
      </c>
      <c r="W79" s="29" t="s">
        <v>114</v>
      </c>
    </row>
    <row r="80" spans="1:23" hidden="1">
      <c r="A80" s="3" t="s">
        <v>399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T80" s="15"/>
      <c r="V80" s="29" t="s">
        <v>114</v>
      </c>
      <c r="W80" s="29" t="s">
        <v>114</v>
      </c>
    </row>
    <row r="81" spans="1:23" hidden="1">
      <c r="A81" s="3" t="s">
        <v>399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>
        <v>45832</v>
      </c>
      <c r="R81" s="15" t="s">
        <v>407</v>
      </c>
      <c r="S81" s="15"/>
      <c r="T81" s="15"/>
      <c r="V81" s="29" t="s">
        <v>116</v>
      </c>
      <c r="W81" s="29" t="s">
        <v>116</v>
      </c>
    </row>
  </sheetData>
  <autoFilter ref="A8:X81" xr:uid="{B42690F1-F88C-47BB-A452-DBF1CCF20DAA}">
    <filterColumn colId="2">
      <filters>
        <filter val="ACCMLTD_CHNGS_FV_CR_INSTRMNT"/>
        <filter val="ACCMLTD_IMPRMNT_INSTRMNT"/>
        <filter val="ACCNTNG_CLSSFCTN"/>
        <filter val="AVRG_BLNC"/>
        <filter val="AVRG_BLNC_OFF_BLNC"/>
        <filter val="BSNSS_AREA"/>
        <filter val="BSNSS_AREA_CCRR"/>
        <filter val="BSNSS_AREA_DSTNTN"/>
        <filter val="CCF"/>
        <filter val="CNCLLD_INSTRMNT_STTS"/>
        <filter val="COD_SOC"/>
        <filter val="COD_SOC_DSTNTN"/>
        <filter val="COD_SOC_INTRGRP"/>
        <filter val="DFLT_STTS_INSTRMNT"/>
        <filter val="DT_RFRNC"/>
        <filter val="EAD"/>
        <filter val="FLG_ELCTRC_VHCL"/>
        <filter val="FLG_INTRBSNSS"/>
        <filter val="GNS_FNNCL_TRNSCTN_EXCHNG_CCRR"/>
        <filter val="GNS_FNNCL_TRNSCTN_EXCHNG_DFFRNCS"/>
        <filter val="GRSS_CMMSSN_EXPNS"/>
        <filter val="GRSS_CMMSSN_EXPNS_CCRR"/>
        <filter val="GRSS_CMMSSN_EXPNS_OFF_BLNC"/>
        <filter val="GRSS_CMMSSN_EXPNS_OFF_BLNC_CCRR"/>
        <filter val="GRSS_CMMSSN_INCM"/>
        <filter val="GRSS_CMMSSN_INCM_CCRR"/>
        <filter val="GRSS_CMMSSN_INCM_OFF_BLNC"/>
        <filter val="GRSS_CMMSSN_INCM_OFF_BLNC_CCRR"/>
        <filter val="GRSS_CRRYNG_AMNT_INSTRMNT"/>
        <filter val="GRSS_INTRST_EXPNS"/>
        <filter val="GRSS_INTRST_EXPNS_CCRR"/>
        <filter val="GRSS_INTRST_INCM"/>
        <filter val="GRSS_INTRST_INCM_CCRR"/>
        <filter val="IDCMB"/>
        <filter val="IMPRMNT_STTS"/>
        <filter val="INSTRMNT_ID"/>
        <filter val="INTRBSNSS_ADJ_COD"/>
        <filter val="INTRNL_TRNSFR_RT"/>
        <filter val="INTRNL_TRNSFR_RT_OFF_BLNC"/>
        <filter val="LCL_INSTMRNT_ID"/>
        <filter val="MNGMNT_PRDCT"/>
        <filter val="NT_LN_LSS_PRVSN"/>
        <filter val="NT_LN_LSS_PRVSN_OFF_BLNC"/>
        <filter val="NW_BSNSS"/>
        <filter val="OFF_BLNC_SHT_AMNT_INSTRMNT"/>
        <filter val="PRCNTG_ACTVTY"/>
        <filter val="PRFRMNG_STTS"/>
        <filter val="PRTCTN_ID"/>
        <filter val="PRTCTN_VL"/>
        <filter val="PRVSNS_OFF_BLNC_SHT"/>
        <filter val="RWA"/>
        <filter val="RWA_OFF_BLNC"/>
        <filter val="SSTNBL_CTGRY"/>
        <filter val="SSTNBL_INDCTR"/>
        <filter val="SUBPORTFOLIO_ID"/>
        <filter val="TYP_INSTRMNT"/>
        <filter val="TYP_OFF_BLNC_PRDCT"/>
        <filter val="TYP_PRTCTN"/>
        <filter val="TYP_RLTN"/>
        <filter val="TYP_VHCL"/>
      </filters>
    </filterColumn>
    <filterColumn colId="17">
      <filters>
        <dateGroupItem year="2025" month="7" day="8" dateTimeGrouping="day"/>
      </filters>
    </filterColumn>
  </autoFilter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V9:W81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V9:W81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300</v>
      </c>
      <c r="K7" s="298" t="s">
        <v>265</v>
      </c>
      <c r="L7" s="298"/>
      <c r="M7" s="298"/>
      <c r="N7" s="298"/>
      <c r="O7" s="298"/>
    </row>
    <row r="8" spans="1:32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6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199" t="s">
        <v>292</v>
      </c>
      <c r="K9" s="165">
        <v>534004</v>
      </c>
      <c r="L9" s="165">
        <v>534004</v>
      </c>
      <c r="M9" s="165">
        <v>91804</v>
      </c>
      <c r="N9" s="165"/>
      <c r="O9" s="165"/>
      <c r="P9" s="198"/>
    </row>
    <row r="10" spans="1:32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360</v>
      </c>
      <c r="J10" s="199" t="s">
        <v>292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199" t="s">
        <v>292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361</v>
      </c>
      <c r="J12" s="199" t="s">
        <v>292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199" t="s">
        <v>292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282</v>
      </c>
      <c r="J14" s="199" t="s">
        <v>292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199" t="s">
        <v>292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282</v>
      </c>
      <c r="J16" s="199" t="s">
        <v>292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199" t="s">
        <v>292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282</v>
      </c>
      <c r="J18" s="199" t="s">
        <v>292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199" t="s">
        <v>292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360</v>
      </c>
      <c r="J20" s="199" t="s">
        <v>292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199" t="s">
        <v>292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199" t="s">
        <v>292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199" t="s">
        <v>292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362</v>
      </c>
      <c r="J24" s="199" t="s">
        <v>292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199" t="s">
        <v>292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199" t="s">
        <v>292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282</v>
      </c>
      <c r="J27" s="199" t="s">
        <v>292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199" t="s">
        <v>292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282</v>
      </c>
      <c r="J29" s="199" t="s">
        <v>292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199" t="s">
        <v>292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363</v>
      </c>
      <c r="J31" s="199" t="s">
        <v>292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199" t="s">
        <v>292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364</v>
      </c>
      <c r="J33" s="199" t="s">
        <v>292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199" t="s">
        <v>292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364</v>
      </c>
      <c r="J35" s="199" t="s">
        <v>292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199" t="s">
        <v>292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364</v>
      </c>
      <c r="J37" s="199" t="s">
        <v>292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199" t="s">
        <v>292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360</v>
      </c>
      <c r="J39" s="199" t="s">
        <v>292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199" t="s">
        <v>292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282</v>
      </c>
      <c r="J41" s="199" t="s">
        <v>292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199" t="s">
        <v>292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282</v>
      </c>
      <c r="J43" s="199" t="s">
        <v>292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199" t="s">
        <v>292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282</v>
      </c>
      <c r="J45" s="199" t="s">
        <v>292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199" t="s">
        <v>292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384</v>
      </c>
      <c r="J47" s="199" t="s">
        <v>292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199" t="s">
        <v>292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282</v>
      </c>
      <c r="J49" s="199" t="s">
        <v>292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199" t="s">
        <v>292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282</v>
      </c>
      <c r="J51" s="199" t="s">
        <v>292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199" t="s">
        <v>292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364</v>
      </c>
      <c r="J53" s="199" t="s">
        <v>292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199" t="s">
        <v>292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364</v>
      </c>
      <c r="J55" s="199" t="s">
        <v>292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199" t="s">
        <v>292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364</v>
      </c>
      <c r="J57" s="199" t="s">
        <v>292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199" t="s">
        <v>292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364</v>
      </c>
      <c r="J59" s="199" t="s">
        <v>292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199" t="s">
        <v>292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364</v>
      </c>
      <c r="J61" s="199" t="s">
        <v>292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199" t="s">
        <v>292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364</v>
      </c>
      <c r="J63" s="199" t="s">
        <v>292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199" t="s">
        <v>292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364</v>
      </c>
      <c r="J65" s="199" t="s">
        <v>292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199" t="s">
        <v>292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364</v>
      </c>
      <c r="J67" s="199" t="s">
        <v>292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199" t="s">
        <v>292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365</v>
      </c>
      <c r="J69" s="199" t="s">
        <v>292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199" t="s">
        <v>292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199" t="s">
        <v>292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283</v>
      </c>
      <c r="J72" s="199" t="s">
        <v>292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199" t="s">
        <v>292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199" t="s">
        <v>292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361</v>
      </c>
      <c r="J75" s="199" t="s">
        <v>292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199" t="s">
        <v>292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361</v>
      </c>
      <c r="J77" s="199" t="s">
        <v>292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199" t="s">
        <v>292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361</v>
      </c>
      <c r="J79" s="199" t="s">
        <v>292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199" t="s">
        <v>292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361</v>
      </c>
      <c r="J81" s="199" t="s">
        <v>292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199" t="s">
        <v>292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361</v>
      </c>
      <c r="J83" s="199" t="s">
        <v>292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199" t="s">
        <v>292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364</v>
      </c>
      <c r="J85" s="199" t="s">
        <v>292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199" t="s">
        <v>292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361</v>
      </c>
      <c r="J87" s="199" t="s">
        <v>292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199" t="s">
        <v>292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199" t="s">
        <v>292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361</v>
      </c>
      <c r="J90" s="199" t="s">
        <v>292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199" t="s">
        <v>292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199" t="s">
        <v>292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361</v>
      </c>
      <c r="J93" s="199" t="s">
        <v>292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199" t="s">
        <v>292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199" t="s">
        <v>292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361</v>
      </c>
      <c r="J96" s="199" t="s">
        <v>292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199" t="s">
        <v>292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199" t="s">
        <v>292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361</v>
      </c>
      <c r="J99" s="199" t="s">
        <v>292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199" t="s">
        <v>292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361</v>
      </c>
      <c r="J101" s="199" t="s">
        <v>292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199" t="s">
        <v>292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361</v>
      </c>
      <c r="J103" s="199" t="s">
        <v>292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199" t="s">
        <v>292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199" t="s">
        <v>292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361</v>
      </c>
      <c r="J106" s="199" t="s">
        <v>292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199" t="s">
        <v>292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361</v>
      </c>
      <c r="J108" s="199" t="s">
        <v>292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199" t="s">
        <v>292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361</v>
      </c>
      <c r="J110" s="199" t="s">
        <v>292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199" t="s">
        <v>292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361</v>
      </c>
      <c r="J112" s="199" t="s">
        <v>292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199" t="s">
        <v>292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361</v>
      </c>
      <c r="J114" s="199" t="s">
        <v>292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199" t="s">
        <v>292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366</v>
      </c>
      <c r="J116" s="199" t="s">
        <v>292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199" t="s">
        <v>292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199" t="s">
        <v>292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366</v>
      </c>
      <c r="J119" s="199" t="s">
        <v>292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199" t="s">
        <v>292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199" t="s">
        <v>292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199" t="s">
        <v>292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291</v>
      </c>
      <c r="J123" s="199" t="s">
        <v>292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199" t="s">
        <v>292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291</v>
      </c>
      <c r="J125" s="199" t="s">
        <v>292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199" t="s">
        <v>292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291</v>
      </c>
      <c r="J127" s="199" t="s">
        <v>292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199" t="s">
        <v>292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291</v>
      </c>
      <c r="J129" s="199" t="s">
        <v>292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199" t="s">
        <v>292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199" t="s">
        <v>292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291</v>
      </c>
      <c r="J132" s="199" t="s">
        <v>292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199" t="s">
        <v>292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291</v>
      </c>
      <c r="J134" s="199" t="s">
        <v>292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199" t="s">
        <v>292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199" t="s">
        <v>292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199" t="s">
        <v>292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199" t="s">
        <v>292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199" t="s">
        <v>292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199" t="s">
        <v>292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199" t="s">
        <v>292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299</v>
      </c>
      <c r="J142" s="199" t="s">
        <v>292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199" t="s">
        <v>292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299</v>
      </c>
      <c r="J144" s="199" t="s">
        <v>292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199" t="s">
        <v>292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299</v>
      </c>
      <c r="J146" s="199" t="s">
        <v>292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199" t="s">
        <v>292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299</v>
      </c>
      <c r="J148" s="199" t="s">
        <v>292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199" t="s">
        <v>292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199" t="s">
        <v>292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199" t="s">
        <v>292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199" t="s">
        <v>292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199" t="s">
        <v>292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199" t="s">
        <v>292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199" t="s">
        <v>292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199" t="s">
        <v>292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199" t="s">
        <v>292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199" t="s">
        <v>292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199" t="s">
        <v>292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199" t="s">
        <v>292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199" t="s">
        <v>292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199" t="s">
        <v>292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199" t="s">
        <v>292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199" t="s">
        <v>292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199" t="s">
        <v>292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199" t="s">
        <v>292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199" t="s">
        <v>292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199" t="s">
        <v>292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199" t="s">
        <v>292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199" t="s">
        <v>292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199" t="s">
        <v>292</v>
      </c>
      <c r="K171" s="165"/>
      <c r="L171" s="165"/>
      <c r="M171" s="165"/>
      <c r="N171" s="165"/>
      <c r="O171" s="165"/>
    </row>
    <row r="175" spans="2:15">
      <c r="E175" s="195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>
      <selection activeCell="C41" sqref="C41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202" t="s">
        <v>277</v>
      </c>
      <c r="C26" s="160" t="s">
        <v>278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3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2" t="s">
        <v>335</v>
      </c>
      <c r="E3" s="302"/>
      <c r="F3" s="302"/>
    </row>
    <row r="4" spans="2:10">
      <c r="B4" s="22" t="s">
        <v>80</v>
      </c>
      <c r="C4" s="23" t="s">
        <v>81</v>
      </c>
      <c r="D4" s="210" t="s">
        <v>82</v>
      </c>
      <c r="E4" s="210" t="s">
        <v>86</v>
      </c>
      <c r="F4" s="210" t="s">
        <v>0</v>
      </c>
      <c r="G4" s="211" t="s">
        <v>293</v>
      </c>
      <c r="H4" s="211" t="s">
        <v>319</v>
      </c>
      <c r="I4" s="211" t="s">
        <v>294</v>
      </c>
      <c r="J4" s="211" t="s">
        <v>320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4" t="s">
        <v>90</v>
      </c>
      <c r="G5" s="206" t="s">
        <v>90</v>
      </c>
      <c r="H5" s="206" t="s">
        <v>90</v>
      </c>
      <c r="I5" s="209" t="s">
        <v>90</v>
      </c>
      <c r="J5" s="206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5" t="s">
        <v>3</v>
      </c>
      <c r="G6" s="206" t="s">
        <v>281</v>
      </c>
      <c r="H6" s="208" t="s">
        <v>295</v>
      </c>
      <c r="I6" s="207" t="s">
        <v>296</v>
      </c>
      <c r="J6" s="206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4" t="s">
        <v>4</v>
      </c>
      <c r="G7" s="206" t="s">
        <v>281</v>
      </c>
      <c r="H7" s="208" t="s">
        <v>295</v>
      </c>
      <c r="I7" s="207" t="s">
        <v>296</v>
      </c>
      <c r="J7" s="206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4" t="s">
        <v>4</v>
      </c>
      <c r="G8" s="206" t="s">
        <v>281</v>
      </c>
      <c r="H8" s="208" t="s">
        <v>295</v>
      </c>
      <c r="I8" s="207" t="s">
        <v>296</v>
      </c>
      <c r="J8" s="206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4" t="s">
        <v>4</v>
      </c>
      <c r="G9" s="206" t="s">
        <v>281</v>
      </c>
      <c r="H9" s="208" t="s">
        <v>295</v>
      </c>
      <c r="I9" s="207" t="s">
        <v>296</v>
      </c>
      <c r="J9" s="206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4" t="s">
        <v>3</v>
      </c>
      <c r="G10" s="206" t="s">
        <v>281</v>
      </c>
      <c r="H10" s="208" t="s">
        <v>295</v>
      </c>
      <c r="I10" s="207" t="s">
        <v>296</v>
      </c>
      <c r="J10" s="206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4" t="s">
        <v>3</v>
      </c>
      <c r="G11" s="206" t="s">
        <v>281</v>
      </c>
      <c r="H11" s="208" t="s">
        <v>295</v>
      </c>
      <c r="I11" s="207" t="s">
        <v>296</v>
      </c>
      <c r="J11" s="206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4" t="s">
        <v>3</v>
      </c>
      <c r="G12" s="206" t="s">
        <v>281</v>
      </c>
      <c r="H12" s="208" t="s">
        <v>295</v>
      </c>
      <c r="I12" s="207" t="s">
        <v>296</v>
      </c>
      <c r="J12" s="206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4" t="s">
        <v>3</v>
      </c>
      <c r="G13" s="206" t="s">
        <v>281</v>
      </c>
      <c r="H13" s="208" t="s">
        <v>295</v>
      </c>
      <c r="I13" s="207" t="s">
        <v>296</v>
      </c>
      <c r="J13" s="206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4" t="s">
        <v>3</v>
      </c>
      <c r="G14" s="206" t="s">
        <v>281</v>
      </c>
      <c r="H14" s="208" t="s">
        <v>295</v>
      </c>
      <c r="I14" s="207" t="s">
        <v>296</v>
      </c>
      <c r="J14" s="206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4" t="s">
        <v>3</v>
      </c>
      <c r="G15" s="206" t="s">
        <v>281</v>
      </c>
      <c r="H15" s="208" t="s">
        <v>295</v>
      </c>
      <c r="I15" s="207" t="s">
        <v>296</v>
      </c>
      <c r="J15" s="206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4" t="s">
        <v>3</v>
      </c>
      <c r="G16" s="206" t="s">
        <v>297</v>
      </c>
      <c r="H16" s="208" t="s">
        <v>90</v>
      </c>
      <c r="I16" s="207" t="s">
        <v>298</v>
      </c>
      <c r="J16" s="206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4" t="s">
        <v>3</v>
      </c>
      <c r="G17" s="206" t="s">
        <v>297</v>
      </c>
      <c r="H17" s="208" t="s">
        <v>90</v>
      </c>
      <c r="I17" s="207" t="s">
        <v>298</v>
      </c>
      <c r="J17" s="206" t="s">
        <v>312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4" t="s">
        <v>3</v>
      </c>
      <c r="G18" s="206" t="s">
        <v>297</v>
      </c>
      <c r="H18" s="208" t="s">
        <v>90</v>
      </c>
      <c r="I18" s="207" t="s">
        <v>298</v>
      </c>
      <c r="J18" s="206" t="s">
        <v>321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4" t="s">
        <v>3</v>
      </c>
      <c r="G19" s="206" t="s">
        <v>297</v>
      </c>
      <c r="H19" s="208" t="s">
        <v>90</v>
      </c>
      <c r="I19" s="207" t="s">
        <v>298</v>
      </c>
      <c r="J19" s="206" t="s">
        <v>312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4" t="s">
        <v>3</v>
      </c>
      <c r="G20" s="206" t="s">
        <v>281</v>
      </c>
      <c r="H20" s="208" t="s">
        <v>295</v>
      </c>
      <c r="I20" s="207" t="s">
        <v>296</v>
      </c>
      <c r="J20" s="206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4" t="s">
        <v>3</v>
      </c>
      <c r="G21" s="206" t="s">
        <v>297</v>
      </c>
      <c r="H21" s="208" t="s">
        <v>90</v>
      </c>
      <c r="I21" s="207" t="s">
        <v>298</v>
      </c>
      <c r="J21" s="206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4" t="s">
        <v>4</v>
      </c>
      <c r="G22" s="206" t="s">
        <v>281</v>
      </c>
      <c r="H22" s="208" t="s">
        <v>295</v>
      </c>
      <c r="I22" s="207" t="s">
        <v>296</v>
      </c>
      <c r="J22" s="206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4" t="s">
        <v>3</v>
      </c>
      <c r="G23" s="206" t="s">
        <v>281</v>
      </c>
      <c r="H23" s="208" t="s">
        <v>295</v>
      </c>
      <c r="I23" s="207" t="s">
        <v>296</v>
      </c>
      <c r="J23" s="206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4" t="s">
        <v>3</v>
      </c>
      <c r="G24" s="206" t="s">
        <v>297</v>
      </c>
      <c r="H24" s="208" t="s">
        <v>90</v>
      </c>
      <c r="I24" s="207" t="s">
        <v>298</v>
      </c>
      <c r="J24" s="206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4" t="s">
        <v>3</v>
      </c>
      <c r="G25" s="206" t="s">
        <v>281</v>
      </c>
      <c r="H25" s="208" t="s">
        <v>295</v>
      </c>
      <c r="I25" s="207" t="s">
        <v>296</v>
      </c>
      <c r="J25" s="206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4" t="s">
        <v>3</v>
      </c>
      <c r="G26" s="206" t="s">
        <v>281</v>
      </c>
      <c r="H26" s="208" t="s">
        <v>295</v>
      </c>
      <c r="I26" s="207" t="s">
        <v>296</v>
      </c>
      <c r="J26" s="206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4" t="s">
        <v>3</v>
      </c>
      <c r="G27" s="206" t="s">
        <v>297</v>
      </c>
      <c r="H27" s="208" t="s">
        <v>90</v>
      </c>
      <c r="I27" s="207" t="s">
        <v>298</v>
      </c>
      <c r="J27" s="206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4" t="s">
        <v>3</v>
      </c>
      <c r="G28" s="206" t="s">
        <v>297</v>
      </c>
      <c r="H28" s="208" t="s">
        <v>90</v>
      </c>
      <c r="I28" s="207" t="s">
        <v>298</v>
      </c>
      <c r="J28" s="206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4" t="s">
        <v>3</v>
      </c>
      <c r="G29" s="206" t="s">
        <v>297</v>
      </c>
      <c r="H29" s="208" t="s">
        <v>90</v>
      </c>
      <c r="I29" s="207" t="s">
        <v>298</v>
      </c>
      <c r="J29" s="206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4" t="s">
        <v>3</v>
      </c>
      <c r="G30" s="206" t="s">
        <v>297</v>
      </c>
      <c r="H30" s="208" t="s">
        <v>90</v>
      </c>
      <c r="I30" s="207" t="s">
        <v>298</v>
      </c>
      <c r="J30" s="206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4" t="s">
        <v>3</v>
      </c>
      <c r="G31" s="206" t="s">
        <v>297</v>
      </c>
      <c r="H31" s="208" t="s">
        <v>90</v>
      </c>
      <c r="I31" s="207" t="s">
        <v>298</v>
      </c>
      <c r="J31" s="206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4" t="s">
        <v>3</v>
      </c>
      <c r="G32" s="206" t="s">
        <v>297</v>
      </c>
      <c r="H32" s="208" t="s">
        <v>90</v>
      </c>
      <c r="I32" s="207" t="s">
        <v>298</v>
      </c>
      <c r="J32" s="206" t="s">
        <v>312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4" t="s">
        <v>3</v>
      </c>
      <c r="G33" s="206" t="s">
        <v>297</v>
      </c>
      <c r="H33" s="208" t="s">
        <v>90</v>
      </c>
      <c r="I33" s="207" t="s">
        <v>298</v>
      </c>
      <c r="J33" s="206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4" t="s">
        <v>3</v>
      </c>
      <c r="G34" s="206" t="s">
        <v>297</v>
      </c>
      <c r="H34" s="208" t="s">
        <v>90</v>
      </c>
      <c r="I34" s="207" t="s">
        <v>298</v>
      </c>
      <c r="J34" s="206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4" t="s">
        <v>3</v>
      </c>
      <c r="G35" s="206" t="s">
        <v>297</v>
      </c>
      <c r="H35" s="208" t="s">
        <v>90</v>
      </c>
      <c r="I35" s="213" t="s">
        <v>315</v>
      </c>
      <c r="J35" s="206" t="s">
        <v>322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4" t="s">
        <v>3</v>
      </c>
      <c r="G36" s="206" t="s">
        <v>297</v>
      </c>
      <c r="H36" s="208" t="s">
        <v>90</v>
      </c>
      <c r="I36" s="213" t="s">
        <v>315</v>
      </c>
      <c r="J36" s="206" t="s">
        <v>322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4" t="s">
        <v>4</v>
      </c>
      <c r="G37" s="206" t="s">
        <v>281</v>
      </c>
      <c r="H37" s="208" t="s">
        <v>317</v>
      </c>
      <c r="I37" s="213" t="s">
        <v>318</v>
      </c>
      <c r="J37" s="207" t="s">
        <v>323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4" t="s">
        <v>4</v>
      </c>
      <c r="G38" s="206" t="s">
        <v>297</v>
      </c>
      <c r="H38" s="208" t="s">
        <v>90</v>
      </c>
      <c r="I38" s="207" t="s">
        <v>337</v>
      </c>
      <c r="J38" s="214" t="s">
        <v>336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4" t="s">
        <v>4</v>
      </c>
      <c r="G39" s="206" t="s">
        <v>281</v>
      </c>
      <c r="H39" s="208" t="s">
        <v>317</v>
      </c>
      <c r="I39" s="213" t="s">
        <v>318</v>
      </c>
      <c r="J39" s="207" t="s">
        <v>324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4" t="s">
        <v>4</v>
      </c>
      <c r="G40" s="206" t="s">
        <v>297</v>
      </c>
      <c r="H40" s="208" t="s">
        <v>90</v>
      </c>
      <c r="I40" s="213" t="s">
        <v>316</v>
      </c>
      <c r="J40" s="206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4" t="s">
        <v>4</v>
      </c>
      <c r="G41" s="206" t="s">
        <v>281</v>
      </c>
      <c r="H41" s="208" t="s">
        <v>317</v>
      </c>
      <c r="I41" s="213" t="s">
        <v>318</v>
      </c>
      <c r="J41" s="207" t="s">
        <v>325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4" t="s">
        <v>4</v>
      </c>
      <c r="G42" s="206" t="s">
        <v>297</v>
      </c>
      <c r="H42" s="208" t="s">
        <v>90</v>
      </c>
      <c r="I42" s="213" t="s">
        <v>315</v>
      </c>
      <c r="J42" s="206" t="s">
        <v>322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4" t="s">
        <v>4</v>
      </c>
      <c r="G43" s="206" t="s">
        <v>297</v>
      </c>
      <c r="H43" s="208" t="s">
        <v>90</v>
      </c>
      <c r="I43" s="213" t="s">
        <v>315</v>
      </c>
      <c r="J43" s="206" t="s">
        <v>322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4" t="s">
        <v>4</v>
      </c>
      <c r="G44" s="206" t="s">
        <v>281</v>
      </c>
      <c r="H44" s="208" t="s">
        <v>317</v>
      </c>
      <c r="I44" s="213" t="s">
        <v>318</v>
      </c>
      <c r="J44" s="207" t="s">
        <v>326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4" t="s">
        <v>4</v>
      </c>
      <c r="G45" s="206" t="s">
        <v>297</v>
      </c>
      <c r="H45" s="208" t="s">
        <v>90</v>
      </c>
      <c r="I45" s="213" t="s">
        <v>314</v>
      </c>
      <c r="J45" s="206" t="s">
        <v>338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4" t="s">
        <v>4</v>
      </c>
      <c r="G46" s="206" t="s">
        <v>297</v>
      </c>
      <c r="H46" s="208" t="s">
        <v>90</v>
      </c>
      <c r="I46" s="213" t="s">
        <v>314</v>
      </c>
      <c r="J46" s="206" t="s">
        <v>338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4" t="s">
        <v>4</v>
      </c>
      <c r="G47" s="206" t="s">
        <v>281</v>
      </c>
      <c r="H47" s="208" t="s">
        <v>317</v>
      </c>
      <c r="I47" s="213" t="s">
        <v>318</v>
      </c>
      <c r="J47" s="207" t="s">
        <v>327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4" t="s">
        <v>3</v>
      </c>
      <c r="G48" s="206" t="s">
        <v>297</v>
      </c>
      <c r="H48" s="208" t="s">
        <v>90</v>
      </c>
      <c r="I48" s="213" t="s">
        <v>314</v>
      </c>
      <c r="J48" s="206" t="s">
        <v>338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4" t="s">
        <v>3</v>
      </c>
      <c r="G49" s="206" t="s">
        <v>297</v>
      </c>
      <c r="H49" s="208" t="s">
        <v>90</v>
      </c>
      <c r="I49" s="213" t="s">
        <v>314</v>
      </c>
      <c r="J49" s="206" t="s">
        <v>338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4" t="s">
        <v>4</v>
      </c>
      <c r="G50" s="206" t="s">
        <v>297</v>
      </c>
      <c r="H50" s="208" t="s">
        <v>90</v>
      </c>
      <c r="I50" s="213" t="s">
        <v>314</v>
      </c>
      <c r="J50" s="206" t="s">
        <v>338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4" t="s">
        <v>4</v>
      </c>
      <c r="G51" s="206" t="s">
        <v>297</v>
      </c>
      <c r="H51" s="208" t="s">
        <v>90</v>
      </c>
      <c r="I51" s="213" t="s">
        <v>314</v>
      </c>
      <c r="J51" s="206" t="s">
        <v>338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4" t="s">
        <v>3</v>
      </c>
      <c r="G52" s="206" t="s">
        <v>281</v>
      </c>
      <c r="H52" s="208" t="s">
        <v>317</v>
      </c>
      <c r="I52" s="213" t="s">
        <v>318</v>
      </c>
      <c r="J52" s="207" t="s">
        <v>328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4" t="s">
        <v>4</v>
      </c>
      <c r="G53" s="206" t="s">
        <v>281</v>
      </c>
      <c r="H53" s="208" t="s">
        <v>295</v>
      </c>
      <c r="I53" s="208" t="s">
        <v>296</v>
      </c>
      <c r="J53" s="208" t="s">
        <v>330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4" t="s">
        <v>4</v>
      </c>
      <c r="G54" s="206" t="s">
        <v>281</v>
      </c>
      <c r="H54" s="208" t="s">
        <v>317</v>
      </c>
      <c r="I54" s="207" t="s">
        <v>318</v>
      </c>
      <c r="J54" s="208" t="s">
        <v>329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4" t="s">
        <v>4</v>
      </c>
      <c r="G55" s="206" t="s">
        <v>281</v>
      </c>
      <c r="H55" s="208" t="s">
        <v>295</v>
      </c>
      <c r="I55" s="208" t="s">
        <v>296</v>
      </c>
      <c r="J55" s="206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4" t="s">
        <v>4</v>
      </c>
      <c r="G56" s="206" t="s">
        <v>281</v>
      </c>
      <c r="H56" s="208" t="s">
        <v>295</v>
      </c>
      <c r="I56" s="208" t="s">
        <v>296</v>
      </c>
      <c r="J56" s="206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4" t="s">
        <v>90</v>
      </c>
      <c r="G57" s="206" t="s">
        <v>90</v>
      </c>
      <c r="H57" s="206" t="s">
        <v>90</v>
      </c>
      <c r="I57" s="206" t="s">
        <v>90</v>
      </c>
      <c r="J57" s="206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4" t="s">
        <v>4</v>
      </c>
      <c r="G58" s="206" t="s">
        <v>281</v>
      </c>
      <c r="H58" s="208" t="s">
        <v>331</v>
      </c>
      <c r="I58" s="213" t="s">
        <v>332</v>
      </c>
      <c r="J58" s="206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4" t="s">
        <v>4</v>
      </c>
      <c r="G59" s="206" t="s">
        <v>281</v>
      </c>
      <c r="H59" s="208" t="s">
        <v>331</v>
      </c>
      <c r="I59" s="213" t="s">
        <v>332</v>
      </c>
      <c r="J59" s="206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4" t="s">
        <v>4</v>
      </c>
      <c r="G60" s="206" t="s">
        <v>281</v>
      </c>
      <c r="H60" s="208" t="s">
        <v>331</v>
      </c>
      <c r="I60" s="213" t="s">
        <v>332</v>
      </c>
      <c r="J60" s="206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4" t="s">
        <v>4</v>
      </c>
      <c r="G61" s="206" t="s">
        <v>281</v>
      </c>
      <c r="H61" s="208" t="s">
        <v>331</v>
      </c>
      <c r="I61" s="213" t="s">
        <v>332</v>
      </c>
      <c r="J61" s="206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4" t="s">
        <v>4</v>
      </c>
      <c r="G62" s="206" t="s">
        <v>281</v>
      </c>
      <c r="H62" s="208" t="s">
        <v>331</v>
      </c>
      <c r="I62" s="213" t="s">
        <v>332</v>
      </c>
      <c r="J62" s="206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4" t="s">
        <v>4</v>
      </c>
      <c r="G63" s="206" t="s">
        <v>281</v>
      </c>
      <c r="H63" s="208" t="s">
        <v>331</v>
      </c>
      <c r="I63" s="213" t="s">
        <v>332</v>
      </c>
      <c r="J63" s="206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4" t="s">
        <v>3</v>
      </c>
      <c r="G64" s="206" t="s">
        <v>281</v>
      </c>
      <c r="H64" s="208" t="s">
        <v>331</v>
      </c>
      <c r="I64" s="213" t="s">
        <v>333</v>
      </c>
      <c r="J64" s="206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4" t="s">
        <v>90</v>
      </c>
      <c r="G65" s="206" t="s">
        <v>90</v>
      </c>
      <c r="H65" s="208" t="s">
        <v>90</v>
      </c>
      <c r="I65" s="212" t="s">
        <v>90</v>
      </c>
      <c r="J65" s="206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4" t="s">
        <v>4</v>
      </c>
      <c r="G66" s="206" t="s">
        <v>297</v>
      </c>
      <c r="H66" s="208" t="s">
        <v>90</v>
      </c>
      <c r="I66" s="212" t="s">
        <v>334</v>
      </c>
      <c r="J66" s="206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4" t="s">
        <v>4</v>
      </c>
      <c r="G67" s="206" t="s">
        <v>297</v>
      </c>
      <c r="H67" s="208" t="s">
        <v>90</v>
      </c>
      <c r="I67" s="212" t="s">
        <v>334</v>
      </c>
      <c r="J67" s="206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4" t="s">
        <v>4</v>
      </c>
      <c r="G68" s="206" t="s">
        <v>297</v>
      </c>
      <c r="H68" s="208" t="s">
        <v>90</v>
      </c>
      <c r="I68" s="212" t="s">
        <v>334</v>
      </c>
      <c r="J68" s="206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4" t="s">
        <v>4</v>
      </c>
      <c r="G69" s="206" t="s">
        <v>297</v>
      </c>
      <c r="H69" s="208" t="s">
        <v>90</v>
      </c>
      <c r="I69" s="212" t="s">
        <v>334</v>
      </c>
      <c r="J69" s="206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4" t="s">
        <v>4</v>
      </c>
      <c r="G70" s="206" t="s">
        <v>297</v>
      </c>
      <c r="H70" s="208" t="s">
        <v>90</v>
      </c>
      <c r="I70" s="212" t="s">
        <v>334</v>
      </c>
      <c r="J70" s="206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4" t="s">
        <v>90</v>
      </c>
      <c r="G71" s="206" t="s">
        <v>90</v>
      </c>
      <c r="H71" s="208" t="s">
        <v>90</v>
      </c>
      <c r="I71" s="212" t="s">
        <v>90</v>
      </c>
      <c r="J71" s="206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4" t="s">
        <v>4</v>
      </c>
      <c r="G72" s="206" t="s">
        <v>297</v>
      </c>
      <c r="H72" s="208" t="s">
        <v>90</v>
      </c>
      <c r="I72" s="212" t="s">
        <v>334</v>
      </c>
      <c r="J72" s="206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4" t="s">
        <v>4</v>
      </c>
      <c r="G73" s="206" t="s">
        <v>297</v>
      </c>
      <c r="H73" s="208" t="s">
        <v>90</v>
      </c>
      <c r="I73" s="212" t="s">
        <v>334</v>
      </c>
      <c r="J73" s="206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4" t="s">
        <v>4</v>
      </c>
      <c r="G74" s="206" t="s">
        <v>297</v>
      </c>
      <c r="H74" s="208" t="s">
        <v>90</v>
      </c>
      <c r="I74" s="212" t="s">
        <v>334</v>
      </c>
      <c r="J74" s="206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4" t="s">
        <v>4</v>
      </c>
      <c r="G75" s="206" t="s">
        <v>297</v>
      </c>
      <c r="H75" s="208" t="s">
        <v>90</v>
      </c>
      <c r="I75" s="212" t="s">
        <v>334</v>
      </c>
      <c r="J75" s="206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4" t="s">
        <v>4</v>
      </c>
      <c r="G76" s="206" t="s">
        <v>297</v>
      </c>
      <c r="H76" s="208" t="s">
        <v>90</v>
      </c>
      <c r="I76" s="212" t="s">
        <v>334</v>
      </c>
      <c r="J76" s="206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4" t="s">
        <v>4</v>
      </c>
      <c r="G77" s="206" t="s">
        <v>297</v>
      </c>
      <c r="H77" s="208" t="s">
        <v>90</v>
      </c>
      <c r="I77" s="212" t="s">
        <v>334</v>
      </c>
      <c r="J77" s="206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2" t="s">
        <v>81</v>
      </c>
      <c r="C2" s="215" t="s">
        <v>111</v>
      </c>
      <c r="D2" s="215" t="s">
        <v>349</v>
      </c>
      <c r="E2" s="215" t="s">
        <v>348</v>
      </c>
      <c r="G2" s="225" t="s">
        <v>345</v>
      </c>
      <c r="H2" t="s">
        <v>346</v>
      </c>
    </row>
    <row r="3" spans="2:8">
      <c r="B3" s="223" t="s">
        <v>33</v>
      </c>
      <c r="C3" s="212" t="s">
        <v>342</v>
      </c>
      <c r="D3" s="224" t="s">
        <v>350</v>
      </c>
      <c r="E3" s="224" t="s">
        <v>347</v>
      </c>
      <c r="G3" s="225" t="s">
        <v>351</v>
      </c>
      <c r="H3" t="s">
        <v>352</v>
      </c>
    </row>
    <row r="4" spans="2:8">
      <c r="B4" s="223" t="s">
        <v>34</v>
      </c>
      <c r="C4" s="212" t="s">
        <v>343</v>
      </c>
      <c r="D4" s="224" t="s">
        <v>350</v>
      </c>
      <c r="E4" s="224" t="s">
        <v>347</v>
      </c>
      <c r="G4" s="225" t="s">
        <v>357</v>
      </c>
      <c r="H4" t="s">
        <v>359</v>
      </c>
    </row>
    <row r="5" spans="2:8">
      <c r="B5" s="238" t="s">
        <v>35</v>
      </c>
      <c r="C5" s="239" t="s">
        <v>343</v>
      </c>
      <c r="D5" s="240" t="s">
        <v>354</v>
      </c>
      <c r="E5" s="240" t="s">
        <v>347</v>
      </c>
      <c r="G5" s="225" t="s">
        <v>355</v>
      </c>
      <c r="H5" t="s">
        <v>356</v>
      </c>
    </row>
    <row r="6" spans="2:8">
      <c r="B6" s="223" t="s">
        <v>36</v>
      </c>
      <c r="C6" s="212" t="s">
        <v>342</v>
      </c>
      <c r="D6" s="224" t="s">
        <v>353</v>
      </c>
      <c r="E6" s="224" t="s">
        <v>347</v>
      </c>
    </row>
    <row r="7" spans="2:8">
      <c r="B7" s="238" t="s">
        <v>37</v>
      </c>
      <c r="C7" s="239" t="s">
        <v>342</v>
      </c>
      <c r="D7" s="240" t="s">
        <v>354</v>
      </c>
      <c r="E7" s="240" t="s">
        <v>347</v>
      </c>
    </row>
    <row r="8" spans="2:8">
      <c r="B8" s="238" t="s">
        <v>39</v>
      </c>
      <c r="C8" s="239" t="s">
        <v>342</v>
      </c>
      <c r="D8" s="240" t="s">
        <v>354</v>
      </c>
      <c r="E8" s="240" t="s">
        <v>347</v>
      </c>
    </row>
    <row r="9" spans="2:8">
      <c r="B9" s="223" t="s">
        <v>40</v>
      </c>
      <c r="C9" s="212" t="s">
        <v>342</v>
      </c>
      <c r="D9" s="224" t="s">
        <v>350</v>
      </c>
      <c r="E9" s="224" t="s">
        <v>347</v>
      </c>
    </row>
    <row r="10" spans="2:8">
      <c r="B10" s="223" t="s">
        <v>41</v>
      </c>
      <c r="C10" s="212" t="s">
        <v>342</v>
      </c>
      <c r="D10" s="224" t="s">
        <v>350</v>
      </c>
      <c r="E10" s="224" t="s">
        <v>347</v>
      </c>
    </row>
    <row r="11" spans="2:8">
      <c r="B11" s="238" t="s">
        <v>42</v>
      </c>
      <c r="C11" s="239" t="s">
        <v>342</v>
      </c>
      <c r="D11" s="240" t="s">
        <v>354</v>
      </c>
      <c r="E11" s="240" t="s">
        <v>347</v>
      </c>
    </row>
    <row r="12" spans="2:8">
      <c r="B12" s="223" t="s">
        <v>43</v>
      </c>
      <c r="C12" s="212" t="s">
        <v>342</v>
      </c>
      <c r="D12" s="224" t="s">
        <v>344</v>
      </c>
      <c r="E12" s="224" t="s">
        <v>347</v>
      </c>
    </row>
    <row r="13" spans="2:8">
      <c r="B13" s="223" t="s">
        <v>44</v>
      </c>
      <c r="C13" s="212" t="s">
        <v>343</v>
      </c>
      <c r="D13" s="224" t="s">
        <v>344</v>
      </c>
      <c r="E13" s="224" t="s">
        <v>347</v>
      </c>
    </row>
    <row r="14" spans="2:8">
      <c r="B14" s="238" t="s">
        <v>45</v>
      </c>
      <c r="C14" s="239" t="s">
        <v>343</v>
      </c>
      <c r="D14" s="240" t="s">
        <v>354</v>
      </c>
      <c r="E14" s="240" t="s">
        <v>347</v>
      </c>
    </row>
    <row r="15" spans="2:8">
      <c r="B15" s="223" t="s">
        <v>46</v>
      </c>
      <c r="C15" s="212" t="s">
        <v>343</v>
      </c>
      <c r="D15" s="224" t="s">
        <v>344</v>
      </c>
      <c r="E15" s="224" t="s">
        <v>347</v>
      </c>
    </row>
    <row r="16" spans="2:8">
      <c r="B16" s="223" t="s">
        <v>47</v>
      </c>
      <c r="C16" s="212" t="s">
        <v>342</v>
      </c>
      <c r="D16" s="224" t="s">
        <v>344</v>
      </c>
      <c r="E16" s="224" t="s">
        <v>347</v>
      </c>
    </row>
    <row r="17" spans="2:5">
      <c r="B17" s="223" t="s">
        <v>48</v>
      </c>
      <c r="C17" s="212" t="s">
        <v>343</v>
      </c>
      <c r="D17" s="224" t="s">
        <v>344</v>
      </c>
      <c r="E17" s="224" t="s">
        <v>347</v>
      </c>
    </row>
    <row r="18" spans="2:5">
      <c r="B18" s="223" t="s">
        <v>49</v>
      </c>
      <c r="C18" s="212" t="s">
        <v>343</v>
      </c>
      <c r="D18" s="224" t="s">
        <v>344</v>
      </c>
      <c r="E18" s="224" t="s">
        <v>347</v>
      </c>
    </row>
    <row r="19" spans="2:5">
      <c r="B19" s="238" t="s">
        <v>50</v>
      </c>
      <c r="C19" s="239" t="s">
        <v>342</v>
      </c>
      <c r="D19" s="240" t="s">
        <v>354</v>
      </c>
      <c r="E19" s="240" t="s">
        <v>347</v>
      </c>
    </row>
    <row r="20" spans="2:5">
      <c r="B20" s="241" t="s">
        <v>52</v>
      </c>
      <c r="C20" s="242" t="s">
        <v>343</v>
      </c>
      <c r="D20" s="243" t="s">
        <v>358</v>
      </c>
      <c r="E20" s="243" t="s">
        <v>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0B152D-16D7-4F46-B048-3B7EAE9819F4}"/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2025-07-09T12:02:57Z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