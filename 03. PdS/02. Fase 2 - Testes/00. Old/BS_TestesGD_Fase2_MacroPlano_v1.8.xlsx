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namedSheetViews/namedSheetView2.xml" ContentType="application/vnd.ms-excel.namedsheetviews+xml"/>
  <Override PartName="/xl/drawings/drawing6.xml" ContentType="application/vnd.openxmlformats-officedocument.drawing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03" documentId="8_{CF3F4EB0-50C4-4700-A494-62C89AB87AC1}" xr6:coauthVersionLast="47" xr6:coauthVersionMax="47" xr10:uidLastSave="{FDDD9107-D922-463C-B81A-214C20DB6935}"/>
  <bookViews>
    <workbookView xWindow="-120" yWindow="-16320" windowWidth="29040" windowHeight="15720" tabRatio="849" activeTab="4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state="hidden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Status'!$A$8:$W$81</definedName>
    <definedName name="_xlnm._FilterDatabase" localSheetId="5" hidden="1">'Detalhe Testes'!$A$8:$XFC$171</definedName>
    <definedName name="asefadf">#REF!</definedName>
    <definedName name="bn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O4" i="10"/>
  <c r="P4" i="10" s="1"/>
  <c r="J48" i="11"/>
  <c r="I48" i="11"/>
  <c r="P3" i="10" l="1"/>
  <c r="E22" i="11"/>
  <c r="D22" i="11"/>
  <c r="I108" i="11"/>
  <c r="I91" i="11"/>
  <c r="I74" i="11"/>
  <c r="J98" i="11"/>
  <c r="I98" i="11"/>
  <c r="J81" i="11"/>
  <c r="I81" i="11"/>
  <c r="J64" i="11"/>
  <c r="I64" i="11"/>
  <c r="J88" i="11" l="1"/>
  <c r="J87" i="11"/>
  <c r="J86" i="11"/>
  <c r="J85" i="11"/>
  <c r="J84" i="11"/>
  <c r="J83" i="11"/>
  <c r="J82" i="11"/>
  <c r="I88" i="11"/>
  <c r="I87" i="11"/>
  <c r="I86" i="11"/>
  <c r="I85" i="11"/>
  <c r="I84" i="11"/>
  <c r="I83" i="11"/>
  <c r="I82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8" i="11" l="1"/>
  <c r="K87" i="11"/>
  <c r="K86" i="11"/>
  <c r="K85" i="11"/>
  <c r="K84" i="11"/>
  <c r="J89" i="11"/>
  <c r="K83" i="11"/>
  <c r="I89" i="11"/>
  <c r="K82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105" i="11" l="1"/>
  <c r="J104" i="11"/>
  <c r="J103" i="11"/>
  <c r="J102" i="11"/>
  <c r="J101" i="11"/>
  <c r="J100" i="11"/>
  <c r="J99" i="11"/>
  <c r="I105" i="11"/>
  <c r="I104" i="11"/>
  <c r="I103" i="11"/>
  <c r="I102" i="11"/>
  <c r="I101" i="11"/>
  <c r="I100" i="11"/>
  <c r="I99" i="11"/>
  <c r="F25" i="11"/>
  <c r="F24" i="11"/>
  <c r="F23" i="11"/>
  <c r="F22" i="11"/>
  <c r="G26" i="11"/>
  <c r="E26" i="11"/>
  <c r="D26" i="11"/>
  <c r="J54" i="11"/>
  <c r="J53" i="11"/>
  <c r="J52" i="11"/>
  <c r="J51" i="11"/>
  <c r="J50" i="11"/>
  <c r="J49" i="11"/>
  <c r="I71" i="11"/>
  <c r="I70" i="11"/>
  <c r="I69" i="11"/>
  <c r="I68" i="11"/>
  <c r="I67" i="11"/>
  <c r="I66" i="11"/>
  <c r="J71" i="11"/>
  <c r="J70" i="11"/>
  <c r="J69" i="11"/>
  <c r="J68" i="11"/>
  <c r="J67" i="11"/>
  <c r="J66" i="11"/>
  <c r="J65" i="11"/>
  <c r="K104" i="11" l="1"/>
  <c r="K105" i="11"/>
  <c r="J106" i="11"/>
  <c r="K100" i="11"/>
  <c r="K102" i="11"/>
  <c r="K103" i="11"/>
  <c r="K101" i="11"/>
  <c r="I106" i="11"/>
  <c r="K99" i="11"/>
  <c r="F26" i="11"/>
  <c r="J55" i="11"/>
  <c r="K66" i="11"/>
  <c r="K67" i="11"/>
  <c r="K68" i="11"/>
  <c r="K69" i="11"/>
  <c r="K70" i="11"/>
  <c r="K71" i="11"/>
  <c r="J72" i="11"/>
  <c r="I54" i="11" l="1"/>
  <c r="K54" i="11" s="1"/>
  <c r="I65" i="11"/>
  <c r="I53" i="11"/>
  <c r="K53" i="11" s="1"/>
  <c r="I52" i="11"/>
  <c r="K52" i="11" s="1"/>
  <c r="I51" i="11"/>
  <c r="K51" i="11" s="1"/>
  <c r="I50" i="11"/>
  <c r="K50" i="11" s="1"/>
  <c r="I49" i="11"/>
  <c r="K49" i="11" s="1"/>
  <c r="K48" i="11"/>
  <c r="K65" i="11" l="1"/>
  <c r="I72" i="11"/>
  <c r="I55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<sst xmlns="http://schemas.openxmlformats.org/spreadsheetml/2006/main" count="3425" uniqueCount="397">
  <si>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</si>
  <si>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</si>
  <si>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</si>
  <si>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</si>
  <si>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</si>
  <si>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</si>
  <si>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</si>
  <si>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</si>
  <si>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</si>
  <si>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</si>
  <si>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</si>
  <si>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</si>
  <si>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</si>
  <si>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</si>
  <si>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</si>
  <si>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</si>
  <si>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</si>
  <si>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</si>
  <si>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</si>
  <si>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</si>
  <si>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</si>
  <si>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</si>
  <si>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</si>
  <si>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</si>
  <si>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</si>
  <si>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</si>
  <si>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</si>
  <si>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</si>
  <si>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</si>
  <si>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</si>
  <si>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</si>
  <si>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</si>
  <si>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</si>
  <si>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</si>
  <si>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</si>
  <si>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</si>
  <si>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</si>
  <si>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</si>
  <si>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</si>
  <si>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</si>
  <si>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</si>
  <si>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</si>
  <si>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</si>
  <si>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</si>
  <si>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</si>
  <si>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</si>
  <si>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</si>
  <si>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</si>
  <si>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</si>
  <si>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</si>
  <si>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</si>
  <si>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</si>
  <si>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</si>
  <si>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</si>
  <si>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</si>
  <si>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</si>
  <si>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</si>
  <si>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</si>
  <si>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</si>
  <si>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</si>
  <si>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</si>
  <si>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</si>
  <si>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</si>
  <si>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</si>
  <si>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</si>
  <si>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</si>
  <si>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</si>
  <si>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</si>
  <si>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</si>
  <si>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</si>
  <si>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</si>
  <si>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</si>
  <si>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</si>
  <si>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</si>
  <si>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</si>
  <si>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</si>
  <si>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</si>
  <si>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</si>
  <si>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</si>
  <si>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</si>
  <si>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</si>
  <si>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</si>
  <si>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</si>
  <si>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</si>
  <si>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</si>
  <si>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</si>
  <si>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</si>
  <si>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</si>
  <si>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</si>
  <si>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</si>
  <si>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</si>
  <si>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</si>
  <si>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</si>
  <si>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</si>
  <si>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</si>
  <si>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</si>
  <si>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</si>
  <si>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</si>
  <si>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</si>
  <si>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</si>
  <si>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</si>
  <si>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</si>
  <si>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</si>
  <si>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</si>
  <si>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</si>
  <si>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</si>
  <si>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</si>
  <si>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</si>
  <si>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</si>
  <si>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</si>
  <si>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</si>
  <si>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</si>
  <si>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</si>
  <si>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</si>
  <si>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</si>
  <si>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</si>
  <si>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</si>
  <si>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</si>
  <si>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</si>
  <si>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</si>
  <si>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</si>
  <si>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</si>
  <si>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</si>
  <si>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</si>
  <si>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</si>
  <si>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</si>
  <si>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</si>
  <si>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</si>
  <si>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</si>
  <si>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</si>
  <si>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</si>
  <si>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</si>
  <si>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</si>
  <si>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</si>
  <si>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</si>
  <si>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</si>
  <si>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</si>
  <si>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</si>
  <si>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</si>
  <si>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</si>
  <si>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</si>
  <si>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</si>
  <si>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</si>
  <si>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</si>
  <si>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</si>
  <si>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</si>
  <si>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</si>
  <si>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</si>
  <si>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</si>
  <si>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</si>
  <si>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</si>
  <si>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</si>
  <si>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</si>
  <si>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</si>
  <si>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</si>
  <si>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</si>
  <si>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</si>
  <si>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</si>
  <si>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</si>
  <si>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</si>
  <si>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</si>
  <si>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</si>
  <si>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</si>
  <si>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</si>
  <si>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</si>
  <si>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</si>
  <si>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</si>
  <si>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</si>
  <si>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</si>
  <si>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</si>
  <si>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</si>
  <si>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</si>
  <si>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</si>
  <si>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</si>
  <si>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</si>
  <si>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</si>
  <si>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</si>
  <si>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</si>
  <si>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</si>
  <si>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</si>
  <si>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</si>
  <si>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</si>
  <si>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</si>
  <si>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</si>
  <si>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</si>
  <si>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</si>
  <si>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</si>
  <si>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</si>
  <si>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</si>
  <si>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</si>
  <si>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</si>
  <si>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</si>
  <si>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</si>
  <si>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</si>
  <si>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</si>
  <si>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</si>
  <si>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</si>
  <si>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</si>
  <si>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</si>
  <si>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</si>
  <si>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</si>
  <si>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</si>
  <si>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</si>
  <si>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</si>
  <si>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</si>
  <si>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</si>
  <si>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</si>
  <si>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</si>
  <si>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</si>
  <si>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</si>
  <si>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</si>
  <si>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</si>
  <si>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</si>
  <si>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</si>
  <si>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</si>
  <si>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</si>
  <si>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</si>
  <si>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</si>
  <si>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</si>
  <si>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</si>
  <si>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</si>
  <si>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</si>
  <si>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</si>
  <si>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</si>
  <si>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</si>
  <si>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</si>
  <si>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</si>
  <si>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</si>
  <si>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</si>
  <si>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</si>
  <si>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</si>
  <si>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</si>
  <si>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</si>
  <si>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</si>
  <si>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</si>
  <si>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</si>
  <si>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</si>
  <si>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</si>
  <si>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</si>
  <si>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</si>
  <si>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</si>
  <si>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</si>
  <si>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</si>
  <si>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</si>
  <si>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</si>
  <si>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</si>
  <si>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</si>
  <si>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</si>
  <si>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</si>
  <si>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</si>
  <si>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</si>
  <si>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</si>
  <si>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</si>
  <si>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</si>
  <si>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</si>
  <si>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</si>
  <si>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</si>
  <si>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</si>
  <si>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</si>
  <si>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</si>
  <si>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</si>
  <si>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</si>
  <si>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</si>
  <si>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</si>
  <si>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</si>
  <si>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</si>
  <si>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</si>
  <si>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</si>
  <si>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</si>
  <si>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</si>
  <si>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</si>
  <si>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</si>
  <si>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</si>
  <si>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</si>
  <si>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</si>
  <si>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</si>
  <si>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</si>
  <si>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</si>
  <si>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</si>
  <si>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</si>
  <si>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</si>
  <si>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</si>
  <si>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</si>
  <si>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</si>
  <si>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</si>
  <si>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</si>
  <si>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</si>
  <si>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</si>
  <si>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</si>
  <si>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</si>
  <si>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</si>
  <si>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</si>
  <si>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</si>
  <si>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</si>
  <si>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</si>
  <si>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</si>
  <si>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</si>
  <si>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</si>
  <si>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</si>
  <si>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</si>
  <si>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</si>
  <si>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</si>
  <si>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</si>
  <si>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</si>
  <si>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</si>
  <si>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</si>
  <si>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</si>
  <si>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</si>
  <si>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</si>
  <si>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</si>
  <si>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</si>
  <si>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</si>
  <si>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</si>
  <si>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</si>
  <si>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</si>
  <si>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</si>
  <si>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</si>
  <si>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</si>
  <si>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</si>
  <si>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</si>
  <si>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</si>
  <si>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</si>
  <si>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</si>
  <si>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</si>
  <si>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</si>
  <si>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</si>
  <si>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</si>
  <si>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</si>
  <si>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</si>
  <si>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</si>
  <si>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</si>
  <si>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</si>
  <si>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</si>
  <si>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</si>
  <si>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</si>
  <si>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</si>
  <si>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</si>
  <si>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</si>
  <si>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</si>
  <si>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</si>
  <si>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</si>
  <si>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</si>
  <si>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</si>
  <si>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</si>
  <si>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</si>
  <si>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</si>
  <si>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</si>
  <si>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</si>
  <si>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</si>
  <si>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</si>
  <si>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</si>
  <si>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</si>
  <si>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</si>
  <si>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</si>
  <si>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</si>
  <si>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</si>
  <si>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</si>
  <si>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</si>
  <si>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</si>
  <si>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</si>
  <si>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</si>
  <si>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</si>
  <si>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</si>
  <si>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</si>
  <si>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</si>
  <si>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</si>
  <si>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</si>
  <si>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</si>
  <si>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</si>
  <si>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</si>
  <si>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</si>
  <si>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</si>
  <si>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</si>
  <si>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</si>
  <si>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</si>
  <si>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</si>
  <si>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</si>
  <si>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</si>
  <si>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</si>
  <si>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</si>
  <si>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</si>
  <si>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</si>
  <si>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</si>
  <si>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</si>
  <si>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</si>
  <si>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</si>
  <si>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correção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</si>
  <si>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</si>
  <si>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Dos 51 campos entregues por IT, encontram-se 29 em correção e 7 por iniciar a validação.
Foram detetadas incidências nos campos NW_BSNSS, MNGMNT_PRDCT, BSNSS_AREA, RWA_OFF_BLNC e BSNSS_AREA_CRR, as quais já foram comunicadas à equipa de IT.
Salienta-se que, 4 dos campos que se encontram em correção foi devido a re-especificação, a qual foi enviada no dia 18/jun. Destes 4 campos, 2 são comuns com o âmbito Pilar 3.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</si>
  <si>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36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"6. Por Iniciar".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do universo e campos da</t>
    </r>
    <r>
      <rPr>
        <i/>
        <sz val="10"/>
        <rFont val="Arial"/>
        <family val="2"/>
      </rPr>
      <t xml:space="preserve"> lt007_instr_activity.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</si>
  <si>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</si>
  <si>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</si>
  <si>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</si>
  <si>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
Encontram-se em correção 4 campos assim como o universo da tabela.</t>
    </r>
  </si>
  <si>
    <t>Diferenças detetadas entre o universo GD e o universo Pilar3.</t>
  </si>
  <si>
    <t>Diferenças detetadas entre o preenchimento dos campos para o âmbito GD e Pilar3.</t>
  </si>
  <si>
    <t>Sumário Executivo | 18/jun a 26/jun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</si>
</sst>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98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1" fillId="17" borderId="49" xfId="0" applyFont="1" applyFill="1" applyBorder="1" applyAlignment="1">
      <alignment horizontal="center" vertical="center" wrapText="1"/>
    </xf>
    <xf numFmtId="0" fontId="42" fillId="18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3" fillId="0" borderId="0" xfId="0" applyFont="1"/>
    <xf numFmtId="16" fontId="3" fillId="0" borderId="1" xfId="0" quotePrefix="1" applyNumberFormat="1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4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47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40" fillId="3" borderId="49" xfId="0" applyFont="1" applyFill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25" fillId="0" borderId="61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0" fillId="0" borderId="0" xfId="0" applyNumberFormat="1"/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2B967"/>
      <color rgb="FF13868C"/>
      <color rgb="FF1CC6CE"/>
      <color rgb="FFFFE084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[BS_TestesGD_Fase2_MacroPlano_v1.8.xlsx]Aux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6. Por Iniciar</c:v>
                </c:pt>
                <c:pt idx="2">
                  <c:v>4. Em Correção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15</c:v>
                </c:pt>
                <c:pt idx="1">
                  <c:v>7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[BS_TestesGD_Fase2_MacroPlano_v1.8.xlsx]Aux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[BS_TestesGD_Fase2_MacroPlano_v1.8.xlsx]Aux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[BS_TestesGD_Fase2_MacroPlano_v1.8.xlsx]Aux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60</xdr:row>
      <xdr:rowOff>0</xdr:rowOff>
    </xdr:from>
    <xdr:to>
      <xdr:col>6</xdr:col>
      <xdr:colOff>542925</xdr:colOff>
      <xdr:row>60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45</xdr:row>
      <xdr:rowOff>169070</xdr:rowOff>
    </xdr:from>
    <xdr:to>
      <xdr:col>5</xdr:col>
      <xdr:colOff>0</xdr:colOff>
      <xdr:row>55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62</xdr:row>
      <xdr:rowOff>186690</xdr:rowOff>
    </xdr:from>
    <xdr:to>
      <xdr:col>5</xdr:col>
      <xdr:colOff>0</xdr:colOff>
      <xdr:row>72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47</xdr:row>
      <xdr:rowOff>60413</xdr:rowOff>
    </xdr:from>
    <xdr:to>
      <xdr:col>5</xdr:col>
      <xdr:colOff>627722</xdr:colOff>
      <xdr:row>53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2228" y="7962353"/>
          <a:ext cx="120387" cy="145029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64</xdr:row>
      <xdr:rowOff>59690</xdr:rowOff>
    </xdr:from>
    <xdr:to>
      <xdr:col>5</xdr:col>
      <xdr:colOff>627722</xdr:colOff>
      <xdr:row>70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2228" y="11559963"/>
          <a:ext cx="12038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98</xdr:row>
      <xdr:rowOff>55880</xdr:rowOff>
    </xdr:from>
    <xdr:to>
      <xdr:col>5</xdr:col>
      <xdr:colOff>631532</xdr:colOff>
      <xdr:row>105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26038" y="18760440"/>
          <a:ext cx="112767" cy="149749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97</xdr:row>
      <xdr:rowOff>22225</xdr:rowOff>
    </xdr:from>
    <xdr:to>
      <xdr:col>5</xdr:col>
      <xdr:colOff>71978</xdr:colOff>
      <xdr:row>107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81</xdr:row>
      <xdr:rowOff>55880</xdr:rowOff>
    </xdr:from>
    <xdr:to>
      <xdr:col>5</xdr:col>
      <xdr:colOff>631532</xdr:colOff>
      <xdr:row>88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26038" y="15162107"/>
          <a:ext cx="112767" cy="149749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79</xdr:row>
      <xdr:rowOff>149227</xdr:rowOff>
    </xdr:from>
    <xdr:to>
      <xdr:col>5</xdr:col>
      <xdr:colOff>531</xdr:colOff>
      <xdr:row>89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42205" y="1481668"/>
          <a:ext cx="1584000" cy="864657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89,9%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58880" y="1481668"/>
          <a:ext cx="1587810" cy="864657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37,7%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34.45695925926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4. Em Correção"/>
        <s v="1. Concluído"/>
        <s v="6. Por Iniciar"/>
        <s v="2. Em Teste" u="1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0"/>
  </r>
  <r>
    <x v="0"/>
    <x v="11"/>
    <x v="0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0"/>
  </r>
  <r>
    <x v="0"/>
    <x v="20"/>
    <x v="0"/>
  </r>
  <r>
    <x v="0"/>
    <x v="21"/>
    <x v="0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0"/>
  </r>
  <r>
    <x v="0"/>
    <x v="28"/>
    <x v="1"/>
  </r>
  <r>
    <x v="0"/>
    <x v="29"/>
    <x v="1"/>
  </r>
  <r>
    <x v="0"/>
    <x v="30"/>
    <x v="0"/>
  </r>
  <r>
    <x v="0"/>
    <x v="31"/>
    <x v="0"/>
  </r>
  <r>
    <x v="0"/>
    <x v="32"/>
    <x v="2"/>
  </r>
  <r>
    <x v="0"/>
    <x v="33"/>
    <x v="1"/>
  </r>
  <r>
    <x v="0"/>
    <x v="34"/>
    <x v="2"/>
  </r>
  <r>
    <x v="0"/>
    <x v="35"/>
    <x v="1"/>
  </r>
  <r>
    <x v="0"/>
    <x v="36"/>
    <x v="2"/>
  </r>
  <r>
    <x v="0"/>
    <x v="37"/>
    <x v="0"/>
  </r>
  <r>
    <x v="0"/>
    <x v="38"/>
    <x v="0"/>
  </r>
  <r>
    <x v="0"/>
    <x v="39"/>
    <x v="2"/>
  </r>
  <r>
    <x v="0"/>
    <x v="40"/>
    <x v="0"/>
  </r>
  <r>
    <x v="0"/>
    <x v="41"/>
    <x v="0"/>
  </r>
  <r>
    <x v="0"/>
    <x v="42"/>
    <x v="2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1"/>
  </r>
  <r>
    <x v="0"/>
    <x v="49"/>
    <x v="2"/>
  </r>
  <r>
    <x v="0"/>
    <x v="50"/>
    <x v="0"/>
  </r>
  <r>
    <x v="0"/>
    <x v="51"/>
    <x v="1"/>
  </r>
  <r>
    <x v="1"/>
    <x v="0"/>
    <x v="1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0"/>
  </r>
  <r>
    <x v="1"/>
    <x v="55"/>
    <x v="1"/>
  </r>
  <r>
    <x v="1"/>
    <x v="56"/>
    <x v="0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1"/>
  </r>
  <r>
    <x v="3"/>
    <x v="35"/>
    <x v="1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0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3">
    <i>
      <x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1"/>
        <item m="1" x="3"/>
        <item x="2"/>
        <item m="1" x="4"/>
        <item m="1" x="5"/>
        <item x="0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0"/>
  <sheetViews>
    <sheetView showGridLines="0" topLeftCell="A3" zoomScale="90" zoomScaleNormal="90" workbookViewId="0">
      <selection activeCell="J42" sqref="J42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396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8"/>
    </row>
    <row r="11" spans="1:50" ht="13.95" customHeight="1">
      <c r="B11" s="182"/>
      <c r="C11" s="177"/>
      <c r="D11" s="177"/>
      <c r="E11" s="177"/>
      <c r="F11" s="177"/>
      <c r="G11" s="177"/>
      <c r="H11" s="177"/>
      <c r="I11" s="177"/>
      <c r="J11" s="189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50" ht="13.95" customHeight="1">
      <c r="B12" s="182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50" ht="13.95" customHeight="1">
      <c r="B13" s="182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50" ht="13.95" customHeight="1">
      <c r="B14" s="1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50" ht="13.95" customHeight="1">
      <c r="B15" s="182"/>
      <c r="C15" s="238" t="s">
        <v>383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50" ht="13.95" customHeight="1">
      <c r="B16" s="182"/>
      <c r="C16" s="238" t="s">
        <v>384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8"/>
    </row>
    <row r="17" spans="2:19" ht="13.95" customHeight="1">
      <c r="B17" s="182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8"/>
    </row>
    <row r="18" spans="2:19" ht="13.95" customHeight="1">
      <c r="B18" s="182"/>
      <c r="C18" s="186" t="s">
        <v>290</v>
      </c>
      <c r="D18" s="177"/>
      <c r="E18" s="177"/>
      <c r="F18" s="177"/>
      <c r="G18" s="177"/>
      <c r="H18" s="177"/>
      <c r="I18" s="189" t="s">
        <v>268</v>
      </c>
      <c r="J18" s="177"/>
      <c r="K18" s="177"/>
      <c r="L18" s="177"/>
      <c r="M18" s="177"/>
      <c r="N18" s="177"/>
      <c r="O18" s="177"/>
      <c r="P18" s="177"/>
      <c r="Q18" s="177"/>
      <c r="R18" s="177"/>
      <c r="S18" s="178"/>
    </row>
    <row r="19" spans="2:19" ht="7.2" customHeight="1">
      <c r="B19" s="182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8"/>
    </row>
    <row r="20" spans="2:19" ht="15.6" customHeight="1">
      <c r="B20" s="176"/>
      <c r="C20" s="177"/>
      <c r="D20" s="271" t="s">
        <v>379</v>
      </c>
      <c r="E20" s="271"/>
      <c r="F20" s="271"/>
      <c r="G20" s="260" t="s">
        <v>380</v>
      </c>
      <c r="H20" s="177"/>
      <c r="I20" s="262" t="s">
        <v>389</v>
      </c>
      <c r="J20" s="263"/>
      <c r="K20" s="263"/>
      <c r="L20" s="263"/>
      <c r="M20" s="263"/>
      <c r="N20" s="263"/>
      <c r="O20" s="263"/>
      <c r="P20" s="263"/>
      <c r="Q20" s="263"/>
      <c r="R20" s="264"/>
      <c r="S20" s="178"/>
    </row>
    <row r="21" spans="2:19">
      <c r="B21" s="176"/>
      <c r="C21" s="183" t="s">
        <v>80</v>
      </c>
      <c r="D21" s="185" t="s">
        <v>286</v>
      </c>
      <c r="E21" s="185" t="s">
        <v>248</v>
      </c>
      <c r="F21" s="185" t="s">
        <v>285</v>
      </c>
      <c r="G21" s="261"/>
      <c r="H21" s="177"/>
      <c r="I21" s="265"/>
      <c r="J21" s="266"/>
      <c r="K21" s="266"/>
      <c r="L21" s="266"/>
      <c r="M21" s="266"/>
      <c r="N21" s="266"/>
      <c r="O21" s="266"/>
      <c r="P21" s="266"/>
      <c r="Q21" s="266"/>
      <c r="R21" s="267"/>
      <c r="S21" s="178"/>
    </row>
    <row r="22" spans="2:19">
      <c r="B22" s="176"/>
      <c r="C22" s="201" t="s">
        <v>1</v>
      </c>
      <c r="D22" s="187">
        <f>43+8</f>
        <v>51</v>
      </c>
      <c r="E22" s="187">
        <f>43+8</f>
        <v>51</v>
      </c>
      <c r="F22" s="187">
        <f>E22-D22</f>
        <v>0</v>
      </c>
      <c r="G22" s="187">
        <f>COUNTIFS('Aux Gráficos'!$D$3:$D$75,"4. Em Correção",'Aux Gráficos'!$B$3:$B$75,'Status Resumo'!C22,'Aux Gráficos'!$C$3:$C$75,"&lt;&gt;"&amp;"UNIVERSO")</f>
        <v>29</v>
      </c>
      <c r="H22" s="177"/>
      <c r="I22" s="265"/>
      <c r="J22" s="266"/>
      <c r="K22" s="266"/>
      <c r="L22" s="266"/>
      <c r="M22" s="266"/>
      <c r="N22" s="266"/>
      <c r="O22" s="266"/>
      <c r="P22" s="266"/>
      <c r="Q22" s="266"/>
      <c r="R22" s="267"/>
      <c r="S22" s="178"/>
    </row>
    <row r="23" spans="2:19">
      <c r="B23" s="176"/>
      <c r="C23" s="201" t="s">
        <v>55</v>
      </c>
      <c r="D23" s="187">
        <v>7</v>
      </c>
      <c r="E23" s="187">
        <v>7</v>
      </c>
      <c r="F23" s="187">
        <f>E23-D23</f>
        <v>0</v>
      </c>
      <c r="G23" s="187">
        <f>COUNTIFS('Aux Gráficos'!$D$3:$D$75,"4. Em Correção",'Aux Gráficos'!$B$3:$B$75,'Status Resumo'!C23,'Aux Gráficos'!$C$3:$C$75,"&lt;&gt;"&amp;"UNIVERSO")</f>
        <v>2</v>
      </c>
      <c r="H23" s="177"/>
      <c r="I23" s="265"/>
      <c r="J23" s="266"/>
      <c r="K23" s="266"/>
      <c r="L23" s="266"/>
      <c r="M23" s="266"/>
      <c r="N23" s="266"/>
      <c r="O23" s="266"/>
      <c r="P23" s="266"/>
      <c r="Q23" s="266"/>
      <c r="R23" s="267"/>
      <c r="S23" s="178"/>
    </row>
    <row r="24" spans="2:19">
      <c r="B24" s="176"/>
      <c r="C24" s="201" t="s">
        <v>61</v>
      </c>
      <c r="D24" s="187">
        <v>5</v>
      </c>
      <c r="E24" s="187">
        <v>5</v>
      </c>
      <c r="F24" s="187">
        <f>E24-D24</f>
        <v>0</v>
      </c>
      <c r="G24" s="187">
        <f>COUNTIFS('Aux Gráficos'!$D$3:$D$75,"4. Em Correção",'Aux Gráficos'!$B$3:$B$75,'Status Resumo'!C24,'Aux Gráficos'!$C$3:$C$75,"&lt;&gt;"&amp;"UNIVERSO")</f>
        <v>1</v>
      </c>
      <c r="H24" s="177"/>
      <c r="I24" s="265"/>
      <c r="J24" s="266"/>
      <c r="K24" s="266"/>
      <c r="L24" s="266"/>
      <c r="M24" s="266"/>
      <c r="N24" s="266"/>
      <c r="O24" s="266"/>
      <c r="P24" s="266"/>
      <c r="Q24" s="266"/>
      <c r="R24" s="267"/>
      <c r="S24" s="178"/>
    </row>
    <row r="25" spans="2:19">
      <c r="B25" s="176"/>
      <c r="C25" s="201" t="s">
        <v>63</v>
      </c>
      <c r="D25" s="187">
        <v>6</v>
      </c>
      <c r="E25" s="187">
        <v>6</v>
      </c>
      <c r="F25" s="187">
        <f>E25-D25</f>
        <v>0</v>
      </c>
      <c r="G25" s="187">
        <f>COUNTIFS('Aux Gráficos'!$D$3:$D$75,"4. Em Correção",'Aux Gráficos'!$B$3:$B$75,'Status Resumo'!C25,'Aux Gráficos'!$C$3:$C$75,"&lt;&gt;"&amp;"UNIVERSO")</f>
        <v>4</v>
      </c>
      <c r="H25" s="177"/>
      <c r="I25" s="265"/>
      <c r="J25" s="266"/>
      <c r="K25" s="266"/>
      <c r="L25" s="266"/>
      <c r="M25" s="266"/>
      <c r="N25" s="266"/>
      <c r="O25" s="266"/>
      <c r="P25" s="266"/>
      <c r="Q25" s="266"/>
      <c r="R25" s="267"/>
      <c r="S25" s="178"/>
    </row>
    <row r="26" spans="2:19">
      <c r="B26" s="176"/>
      <c r="C26" s="184" t="s">
        <v>269</v>
      </c>
      <c r="D26" s="185">
        <f>SUM(D22:D25)</f>
        <v>69</v>
      </c>
      <c r="E26" s="185">
        <f t="shared" ref="E26:G26" si="0">SUM(E22:E25)</f>
        <v>69</v>
      </c>
      <c r="F26" s="185">
        <f t="shared" si="0"/>
        <v>0</v>
      </c>
      <c r="G26" s="185">
        <f t="shared" si="0"/>
        <v>36</v>
      </c>
      <c r="H26" s="177"/>
      <c r="I26" s="268"/>
      <c r="J26" s="269"/>
      <c r="K26" s="269"/>
      <c r="L26" s="269"/>
      <c r="M26" s="269"/>
      <c r="N26" s="269"/>
      <c r="O26" s="269"/>
      <c r="P26" s="269"/>
      <c r="Q26" s="269"/>
      <c r="R26" s="270"/>
      <c r="S26" s="178"/>
    </row>
    <row r="27" spans="2:19">
      <c r="B27" s="176"/>
      <c r="C27" s="188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8"/>
    </row>
    <row r="28" spans="2:19">
      <c r="B28" s="176"/>
      <c r="C28" s="186" t="s">
        <v>304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8"/>
    </row>
    <row r="29" spans="2:19" ht="7.2" customHeight="1">
      <c r="B29" s="176"/>
      <c r="C29" s="186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8"/>
    </row>
    <row r="30" spans="2:19" ht="13.95" customHeight="1">
      <c r="B30" s="176"/>
      <c r="C30" s="183" t="s">
        <v>80</v>
      </c>
      <c r="D30" s="272" t="s">
        <v>287</v>
      </c>
      <c r="E30" s="272"/>
      <c r="F30" s="272"/>
      <c r="G30" s="272" t="s">
        <v>288</v>
      </c>
      <c r="H30" s="272"/>
      <c r="I30" s="272"/>
      <c r="J30" s="272"/>
      <c r="K30" s="272"/>
      <c r="L30" s="272"/>
      <c r="M30" s="272"/>
      <c r="N30" s="272"/>
      <c r="O30" s="272"/>
      <c r="P30" s="272"/>
      <c r="Q30" s="190" t="s">
        <v>311</v>
      </c>
      <c r="R30" s="190" t="s">
        <v>312</v>
      </c>
      <c r="S30" s="178"/>
    </row>
    <row r="31" spans="2:19" ht="15" customHeight="1">
      <c r="B31" s="176"/>
      <c r="C31" s="201" t="s">
        <v>1</v>
      </c>
      <c r="D31" s="249" t="s">
        <v>308</v>
      </c>
      <c r="E31" s="249"/>
      <c r="F31" s="249"/>
      <c r="G31" s="249" t="s">
        <v>340</v>
      </c>
      <c r="H31" s="249"/>
      <c r="I31" s="249"/>
      <c r="J31" s="249"/>
      <c r="K31" s="249"/>
      <c r="L31" s="249"/>
      <c r="M31" s="249"/>
      <c r="N31" s="249"/>
      <c r="O31" s="249"/>
      <c r="P31" s="249"/>
      <c r="Q31" s="191" t="s">
        <v>307</v>
      </c>
      <c r="R31" s="200" t="s">
        <v>310</v>
      </c>
      <c r="S31" s="178"/>
    </row>
    <row r="32" spans="2:19">
      <c r="B32" s="176"/>
      <c r="C32" s="201" t="s">
        <v>1</v>
      </c>
      <c r="D32" s="249" t="s">
        <v>305</v>
      </c>
      <c r="E32" s="249"/>
      <c r="F32" s="249"/>
      <c r="G32" s="249" t="s">
        <v>342</v>
      </c>
      <c r="H32" s="249"/>
      <c r="I32" s="249"/>
      <c r="J32" s="249"/>
      <c r="K32" s="249"/>
      <c r="L32" s="249"/>
      <c r="M32" s="249"/>
      <c r="N32" s="249"/>
      <c r="O32" s="249"/>
      <c r="P32" s="249"/>
      <c r="Q32" s="191" t="s">
        <v>341</v>
      </c>
      <c r="R32" s="200" t="s">
        <v>310</v>
      </c>
      <c r="S32" s="178"/>
    </row>
    <row r="33" spans="2:19">
      <c r="B33" s="176"/>
      <c r="C33" s="201" t="s">
        <v>1</v>
      </c>
      <c r="D33" s="249" t="s">
        <v>306</v>
      </c>
      <c r="E33" s="249"/>
      <c r="F33" s="249"/>
      <c r="G33" s="249" t="s">
        <v>371</v>
      </c>
      <c r="H33" s="249"/>
      <c r="I33" s="249"/>
      <c r="J33" s="249"/>
      <c r="K33" s="249"/>
      <c r="L33" s="249"/>
      <c r="M33" s="249"/>
      <c r="N33" s="249"/>
      <c r="O33" s="249"/>
      <c r="P33" s="249"/>
      <c r="Q33" s="216" t="s">
        <v>289</v>
      </c>
      <c r="R33" s="191" t="s">
        <v>289</v>
      </c>
      <c r="S33" s="178"/>
    </row>
    <row r="34" spans="2:19" ht="14.25" customHeight="1">
      <c r="B34" s="176"/>
      <c r="C34" s="201" t="s">
        <v>1</v>
      </c>
      <c r="D34" s="259" t="s">
        <v>372</v>
      </c>
      <c r="E34" s="259"/>
      <c r="F34" s="259"/>
      <c r="G34" s="249" t="s">
        <v>370</v>
      </c>
      <c r="H34" s="249"/>
      <c r="I34" s="249"/>
      <c r="J34" s="249"/>
      <c r="K34" s="249"/>
      <c r="L34" s="249"/>
      <c r="M34" s="249"/>
      <c r="N34" s="249"/>
      <c r="O34" s="249"/>
      <c r="P34" s="249"/>
      <c r="Q34" s="191" t="s">
        <v>307</v>
      </c>
      <c r="R34" s="200" t="s">
        <v>310</v>
      </c>
      <c r="S34" s="178"/>
    </row>
    <row r="35" spans="2:19" ht="14.25" customHeight="1">
      <c r="B35" s="176"/>
      <c r="C35" s="201" t="s">
        <v>1</v>
      </c>
      <c r="D35" s="249" t="s">
        <v>368</v>
      </c>
      <c r="E35" s="249"/>
      <c r="F35" s="249"/>
      <c r="G35" s="249" t="s">
        <v>374</v>
      </c>
      <c r="H35" s="249"/>
      <c r="I35" s="249"/>
      <c r="J35" s="249"/>
      <c r="K35" s="249"/>
      <c r="L35" s="249"/>
      <c r="M35" s="249"/>
      <c r="N35" s="249"/>
      <c r="O35" s="249"/>
      <c r="P35" s="249"/>
      <c r="Q35" s="191" t="s">
        <v>307</v>
      </c>
      <c r="R35" s="217" t="s">
        <v>309</v>
      </c>
      <c r="S35" s="178"/>
    </row>
    <row r="36" spans="2:19" ht="14.25" customHeight="1">
      <c r="B36" s="176"/>
      <c r="C36" s="201" t="s">
        <v>1</v>
      </c>
      <c r="D36" s="249" t="s">
        <v>369</v>
      </c>
      <c r="E36" s="249"/>
      <c r="F36" s="249"/>
      <c r="G36" s="249" t="s">
        <v>375</v>
      </c>
      <c r="H36" s="249"/>
      <c r="I36" s="249"/>
      <c r="J36" s="249"/>
      <c r="K36" s="249"/>
      <c r="L36" s="249"/>
      <c r="M36" s="249"/>
      <c r="N36" s="249"/>
      <c r="O36" s="249"/>
      <c r="P36" s="249"/>
      <c r="Q36" s="191" t="s">
        <v>307</v>
      </c>
      <c r="R36" s="200" t="s">
        <v>310</v>
      </c>
      <c r="S36" s="178"/>
    </row>
    <row r="37" spans="2:19" ht="14.25" customHeight="1">
      <c r="B37" s="176"/>
      <c r="C37" s="201" t="s">
        <v>55</v>
      </c>
      <c r="D37" s="259" t="s">
        <v>373</v>
      </c>
      <c r="E37" s="295"/>
      <c r="F37" s="296"/>
      <c r="G37" s="249" t="s">
        <v>314</v>
      </c>
      <c r="H37" s="293"/>
      <c r="I37" s="293"/>
      <c r="J37" s="293"/>
      <c r="K37" s="293"/>
      <c r="L37" s="293"/>
      <c r="M37" s="293"/>
      <c r="N37" s="293"/>
      <c r="O37" s="293"/>
      <c r="P37" s="294"/>
      <c r="Q37" s="191" t="s">
        <v>307</v>
      </c>
      <c r="R37" s="191" t="s">
        <v>289</v>
      </c>
      <c r="S37" s="178"/>
    </row>
    <row r="38" spans="2:19" ht="14.25" customHeight="1">
      <c r="B38" s="176"/>
      <c r="C38" s="201" t="s">
        <v>55</v>
      </c>
      <c r="D38" s="249" t="s">
        <v>390</v>
      </c>
      <c r="E38" s="293"/>
      <c r="F38" s="294"/>
      <c r="G38" s="249" t="s">
        <v>391</v>
      </c>
      <c r="H38" s="293"/>
      <c r="I38" s="293"/>
      <c r="J38" s="293"/>
      <c r="K38" s="293"/>
      <c r="L38" s="293"/>
      <c r="M38" s="293"/>
      <c r="N38" s="293"/>
      <c r="O38" s="293"/>
      <c r="P38" s="294"/>
      <c r="Q38" s="191" t="s">
        <v>307</v>
      </c>
      <c r="R38" s="200" t="s">
        <v>310</v>
      </c>
      <c r="S38" s="178"/>
    </row>
    <row r="39" spans="2:19" ht="14.25" customHeight="1">
      <c r="B39" s="176"/>
      <c r="C39" s="201" t="s">
        <v>61</v>
      </c>
      <c r="D39" s="249" t="s">
        <v>390</v>
      </c>
      <c r="E39" s="293"/>
      <c r="F39" s="294"/>
      <c r="G39" s="249" t="s">
        <v>392</v>
      </c>
      <c r="H39" s="293"/>
      <c r="I39" s="293"/>
      <c r="J39" s="293"/>
      <c r="K39" s="293"/>
      <c r="L39" s="293"/>
      <c r="M39" s="293"/>
      <c r="N39" s="293"/>
      <c r="O39" s="293"/>
      <c r="P39" s="294"/>
      <c r="Q39" s="191" t="s">
        <v>307</v>
      </c>
      <c r="R39" s="200" t="s">
        <v>310</v>
      </c>
      <c r="S39" s="178"/>
    </row>
    <row r="40" spans="2:19" ht="14.25" customHeight="1">
      <c r="B40" s="176"/>
      <c r="C40" s="201" t="s">
        <v>63</v>
      </c>
      <c r="D40" s="249" t="s">
        <v>308</v>
      </c>
      <c r="E40" s="293"/>
      <c r="F40" s="294"/>
      <c r="G40" s="249" t="s">
        <v>394</v>
      </c>
      <c r="H40" s="293"/>
      <c r="I40" s="293"/>
      <c r="J40" s="293"/>
      <c r="K40" s="293"/>
      <c r="L40" s="293"/>
      <c r="M40" s="293"/>
      <c r="N40" s="293"/>
      <c r="O40" s="293"/>
      <c r="P40" s="294"/>
      <c r="Q40" s="191" t="s">
        <v>307</v>
      </c>
      <c r="R40" s="200" t="s">
        <v>310</v>
      </c>
      <c r="S40" s="178"/>
    </row>
    <row r="41" spans="2:19" ht="14.25" customHeight="1">
      <c r="B41" s="176"/>
      <c r="C41" s="201" t="s">
        <v>63</v>
      </c>
      <c r="D41" s="249" t="s">
        <v>390</v>
      </c>
      <c r="E41" s="293"/>
      <c r="F41" s="294"/>
      <c r="G41" s="249" t="s">
        <v>395</v>
      </c>
      <c r="H41" s="293"/>
      <c r="I41" s="293"/>
      <c r="J41" s="293"/>
      <c r="K41" s="293"/>
      <c r="L41" s="293"/>
      <c r="M41" s="293"/>
      <c r="N41" s="293"/>
      <c r="O41" s="293"/>
      <c r="P41" s="294"/>
      <c r="Q41" s="191" t="s">
        <v>307</v>
      </c>
      <c r="R41" s="200" t="s">
        <v>310</v>
      </c>
      <c r="S41" s="178"/>
    </row>
    <row r="42" spans="2:19">
      <c r="B42" s="179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1"/>
    </row>
    <row r="43" spans="2:19"/>
    <row r="44" spans="2:19" ht="18" customHeight="1">
      <c r="B44" s="246" t="s">
        <v>270</v>
      </c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</row>
    <row r="45" spans="2:19" ht="6.9" customHeight="1">
      <c r="G45" s="151"/>
    </row>
    <row r="46" spans="2:19" ht="17.399999999999999" customHeight="1">
      <c r="B46" s="136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8"/>
    </row>
    <row r="47" spans="2:19" ht="17.399999999999999" customHeight="1">
      <c r="B47" s="139"/>
      <c r="C47" s="140" t="s">
        <v>267</v>
      </c>
      <c r="G47" s="155" t="s">
        <v>277</v>
      </c>
      <c r="H47" s="155"/>
      <c r="I47" s="169">
        <v>45834</v>
      </c>
      <c r="J47" s="169">
        <v>45825</v>
      </c>
      <c r="K47" s="170" t="s">
        <v>285</v>
      </c>
      <c r="M47" s="152" t="s">
        <v>268</v>
      </c>
      <c r="S47" s="141"/>
    </row>
    <row r="48" spans="2:19" ht="17.399999999999999" customHeight="1">
      <c r="B48" s="139"/>
      <c r="G48" s="147" t="s">
        <v>115</v>
      </c>
      <c r="I48" s="147">
        <f>COUNTIFS('Detalhe Entregas e Status'!$U:$U,'Status Resumo'!G48,'Detalhe Entregas e Status'!$B:$B,"lt002_instrument",'Detalhe Entregas e Status'!$C:$C,"&lt;&gt;"&amp;"UNIVERSO")</f>
        <v>15</v>
      </c>
      <c r="J48" s="147">
        <f>COUNTIFS('Detalhe Entregas e Status'!$V:$V,'Status Resumo'!G48,'Detalhe Entregas e Status'!$B:$B,"lt002_instrument",'Detalhe Entregas e Status'!$C:$C,"&lt;&gt;"&amp;"UNIVERSO")</f>
        <v>15</v>
      </c>
      <c r="K48" s="171" t="str">
        <f>IF(I48-J48=0,"-",IF(I48-J48&gt;0,_xlfn.CONCAT("+ ",I48-J48),_xlfn.CONCAT("- ",J48-I48)))</f>
        <v>-</v>
      </c>
      <c r="M48" s="250" t="s">
        <v>388</v>
      </c>
      <c r="N48" s="251"/>
      <c r="O48" s="251"/>
      <c r="P48" s="251"/>
      <c r="Q48" s="251"/>
      <c r="R48" s="252"/>
      <c r="S48" s="141"/>
    </row>
    <row r="49" spans="2:19" ht="17.399999999999999" customHeight="1">
      <c r="B49" s="139"/>
      <c r="G49" s="147" t="s">
        <v>118</v>
      </c>
      <c r="I49" s="147">
        <f>COUNTIFS('Detalhe Entregas e Status'!$U:$U,'Status Resumo'!G49,'Detalhe Entregas e Status'!$B:$B,"lt002_instrument",'Detalhe Entregas e Status'!$C:$C,"&lt;&gt;"&amp;"UNIVERSO")</f>
        <v>0</v>
      </c>
      <c r="J49" s="147">
        <f>COUNTIFS('Detalhe Entregas e Status'!$V:$V,'Status Resumo'!G49,'Detalhe Entregas e Status'!$B:$B,"lt002_instrument",'Detalhe Entregas e Status'!$C:$C,"&lt;&gt;"&amp;"UNIVERSO")</f>
        <v>3</v>
      </c>
      <c r="K49" s="171" t="str">
        <f t="shared" ref="K49:K54" si="1">IF(I49-J49=0,"-",IF(I49-J49&gt;0,_xlfn.CONCAT("+ ",I49-J49),_xlfn.CONCAT("- ",J49-I49)))</f>
        <v>- 3</v>
      </c>
      <c r="M49" s="253"/>
      <c r="N49" s="254"/>
      <c r="O49" s="254"/>
      <c r="P49" s="254"/>
      <c r="Q49" s="254"/>
      <c r="R49" s="255"/>
      <c r="S49" s="141"/>
    </row>
    <row r="50" spans="2:19" ht="17.399999999999999" customHeight="1">
      <c r="B50" s="139"/>
      <c r="G50" s="147" t="s">
        <v>116</v>
      </c>
      <c r="I50" s="147">
        <f>COUNTIFS('Detalhe Entregas e Status'!$U:$U,'Status Resumo'!G50,'Detalhe Entregas e Status'!$B:$B,"lt002_instrument",'Detalhe Entregas e Status'!$C:$C,"&lt;&gt;"&amp;"UNIVERSO")</f>
        <v>0</v>
      </c>
      <c r="J50" s="147">
        <f>COUNTIFS('Detalhe Entregas e Status'!$V:$V,'Status Resumo'!G50,'Detalhe Entregas e Status'!$B:$B,"lt002_instrument",'Detalhe Entregas e Status'!$C:$C,"&lt;&gt;"&amp;"UNIVERSO")</f>
        <v>0</v>
      </c>
      <c r="K50" s="171" t="str">
        <f t="shared" si="1"/>
        <v>-</v>
      </c>
      <c r="M50" s="253"/>
      <c r="N50" s="254"/>
      <c r="O50" s="254"/>
      <c r="P50" s="254"/>
      <c r="Q50" s="254"/>
      <c r="R50" s="255"/>
      <c r="S50" s="141"/>
    </row>
    <row r="51" spans="2:19" ht="17.399999999999999" customHeight="1">
      <c r="B51" s="139"/>
      <c r="D51" s="142"/>
      <c r="E51" s="142"/>
      <c r="G51" s="147" t="s">
        <v>117</v>
      </c>
      <c r="I51" s="147">
        <f>COUNTIFS('Detalhe Entregas e Status'!$U:$U,'Status Resumo'!G51,'Detalhe Entregas e Status'!$B:$B,"lt002_instrument",'Detalhe Entregas e Status'!$C:$C,"&lt;&gt;"&amp;"UNIVERSO")</f>
        <v>29</v>
      </c>
      <c r="J51" s="147">
        <f>COUNTIFS('Detalhe Entregas e Status'!$V:$V,'Status Resumo'!G51,'Detalhe Entregas e Status'!$B:$B,"lt002_instrument",'Detalhe Entregas e Status'!$C:$C,"&lt;&gt;"&amp;"UNIVERSO")</f>
        <v>24</v>
      </c>
      <c r="K51" s="171" t="str">
        <f t="shared" si="1"/>
        <v>+ 5</v>
      </c>
      <c r="M51" s="253"/>
      <c r="N51" s="254"/>
      <c r="O51" s="254"/>
      <c r="P51" s="254"/>
      <c r="Q51" s="254"/>
      <c r="R51" s="255"/>
      <c r="S51" s="141"/>
    </row>
    <row r="52" spans="2:19" ht="17.399999999999999" customHeight="1">
      <c r="B52" s="139"/>
      <c r="D52" s="142"/>
      <c r="E52" s="142"/>
      <c r="G52" s="147" t="s">
        <v>123</v>
      </c>
      <c r="I52" s="147">
        <f>COUNTIFS('Detalhe Entregas e Status'!$U:$U,'Status Resumo'!G52,'Detalhe Entregas e Status'!$B:$B,"lt002_instrument",'Detalhe Entregas e Status'!$C:$C,"&lt;&gt;"&amp;"UNIVERSO")</f>
        <v>0</v>
      </c>
      <c r="J52" s="147">
        <f>COUNTIFS('Detalhe Entregas e Status'!$V:$V,'Status Resumo'!G52,'Detalhe Entregas e Status'!$B:$B,"lt002_instrument",'Detalhe Entregas e Status'!$C:$C,"&lt;&gt;"&amp;"UNIVERSO")</f>
        <v>0</v>
      </c>
      <c r="K52" s="171" t="str">
        <f t="shared" si="1"/>
        <v>-</v>
      </c>
      <c r="M52" s="253"/>
      <c r="N52" s="254"/>
      <c r="O52" s="254"/>
      <c r="P52" s="254"/>
      <c r="Q52" s="254"/>
      <c r="R52" s="255"/>
      <c r="S52" s="141"/>
    </row>
    <row r="53" spans="2:19" ht="17.399999999999999" customHeight="1">
      <c r="B53" s="139"/>
      <c r="D53" s="142"/>
      <c r="E53" s="142"/>
      <c r="G53" s="147" t="s">
        <v>125</v>
      </c>
      <c r="I53" s="147">
        <f>COUNTIFS('Detalhe Entregas e Status'!$U:$U,'Status Resumo'!G53,'Detalhe Entregas e Status'!$B:$B,"lt002_instrument",'Detalhe Entregas e Status'!$C:$C,"&lt;&gt;"&amp;"UNIVERSO")</f>
        <v>7</v>
      </c>
      <c r="J53" s="147">
        <f>COUNTIFS('Detalhe Entregas e Status'!$V:$V,'Status Resumo'!G53,'Detalhe Entregas e Status'!$B:$B,"lt002_instrument",'Detalhe Entregas e Status'!$C:$C,"&lt;&gt;"&amp;"UNIVERSO")</f>
        <v>9</v>
      </c>
      <c r="K53" s="171" t="str">
        <f t="shared" si="1"/>
        <v>- 2</v>
      </c>
      <c r="M53" s="253"/>
      <c r="N53" s="254"/>
      <c r="O53" s="254"/>
      <c r="P53" s="254"/>
      <c r="Q53" s="254"/>
      <c r="R53" s="255"/>
      <c r="S53" s="141"/>
    </row>
    <row r="54" spans="2:19" ht="17.399999999999999" customHeight="1">
      <c r="B54" s="139"/>
      <c r="G54" s="147" t="s">
        <v>278</v>
      </c>
      <c r="H54" s="155"/>
      <c r="I54" s="147">
        <f>COUNTIFS('Detalhe Entregas e Status'!$U:$U,'Status Resumo'!G54,'Detalhe Entregas e Status'!$B:$B,"lt002_instrument",'Detalhe Entregas e Status'!$C:$C,"&lt;&gt;"&amp;"UNIVERSO")</f>
        <v>0</v>
      </c>
      <c r="J54" s="147">
        <f>COUNTIFS('Detalhe Entregas e Status'!$V:$V,'Status Resumo'!G54,'Detalhe Entregas e Status'!$B:$B,"lt002_instrument",'Detalhe Entregas e Status'!$C:$C,"&lt;&gt;"&amp;"UNIVERSO")</f>
        <v>0</v>
      </c>
      <c r="K54" s="172" t="str">
        <f t="shared" si="1"/>
        <v>-</v>
      </c>
      <c r="M54" s="253"/>
      <c r="N54" s="254"/>
      <c r="O54" s="254"/>
      <c r="P54" s="254"/>
      <c r="Q54" s="254"/>
      <c r="R54" s="255"/>
      <c r="S54" s="141"/>
    </row>
    <row r="55" spans="2:19" ht="17.399999999999999" customHeight="1">
      <c r="B55" s="139"/>
      <c r="G55" s="148" t="s">
        <v>269</v>
      </c>
      <c r="I55" s="148">
        <f>SUM(I48:I54)</f>
        <v>51</v>
      </c>
      <c r="J55" s="148">
        <f>SUM(J48:J54)</f>
        <v>51</v>
      </c>
      <c r="K55" s="168"/>
      <c r="L55" s="143"/>
      <c r="M55" s="253"/>
      <c r="N55" s="254"/>
      <c r="O55" s="254"/>
      <c r="P55" s="254"/>
      <c r="Q55" s="254"/>
      <c r="R55" s="255"/>
      <c r="S55" s="141"/>
    </row>
    <row r="56" spans="2:19" ht="17.399999999999999" customHeight="1">
      <c r="B56" s="139"/>
      <c r="G56"/>
      <c r="H56"/>
      <c r="I56"/>
      <c r="J56"/>
      <c r="K56"/>
      <c r="L56" s="143"/>
      <c r="M56" s="253"/>
      <c r="N56" s="254"/>
      <c r="O56" s="254"/>
      <c r="P56" s="254"/>
      <c r="Q56" s="254"/>
      <c r="R56" s="255"/>
      <c r="S56" s="141"/>
    </row>
    <row r="57" spans="2:19" ht="17.399999999999999" customHeight="1">
      <c r="B57" s="139"/>
      <c r="G57" s="155" t="s">
        <v>276</v>
      </c>
      <c r="H57" s="155"/>
      <c r="I57" s="169">
        <f>I47</f>
        <v>45834</v>
      </c>
      <c r="K57" s="167"/>
      <c r="L57" s="143"/>
      <c r="M57" s="253"/>
      <c r="N57" s="254"/>
      <c r="O57" s="254"/>
      <c r="P57" s="254"/>
      <c r="Q57" s="254"/>
      <c r="R57" s="255"/>
      <c r="S57" s="141"/>
    </row>
    <row r="58" spans="2:19" ht="17.399999999999999" customHeight="1">
      <c r="B58" s="139"/>
      <c r="G58" s="156" t="s">
        <v>1</v>
      </c>
      <c r="I58" s="227" t="s">
        <v>377</v>
      </c>
      <c r="J58" s="167"/>
      <c r="K58" s="157"/>
      <c r="L58" s="143"/>
      <c r="M58" s="256"/>
      <c r="N58" s="257"/>
      <c r="O58" s="257"/>
      <c r="P58" s="257"/>
      <c r="Q58" s="257"/>
      <c r="R58" s="258"/>
      <c r="S58" s="141"/>
    </row>
    <row r="59" spans="2:19" ht="17.399999999999999" customHeight="1">
      <c r="B59" s="144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6"/>
    </row>
    <row r="60" spans="2:19"/>
    <row r="61" spans="2:19" ht="18" customHeight="1">
      <c r="B61" s="246" t="s">
        <v>273</v>
      </c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</row>
    <row r="62" spans="2:19" ht="6.9" customHeight="1">
      <c r="G62" s="151"/>
    </row>
    <row r="63" spans="2:19" ht="17.399999999999999" customHeight="1">
      <c r="B63" s="136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8"/>
    </row>
    <row r="64" spans="2:19" ht="17.399999999999999" customHeight="1">
      <c r="B64" s="139"/>
      <c r="C64" s="140" t="s">
        <v>267</v>
      </c>
      <c r="G64" s="155" t="s">
        <v>275</v>
      </c>
      <c r="H64" s="155"/>
      <c r="I64" s="169">
        <f>I47</f>
        <v>45834</v>
      </c>
      <c r="J64" s="169">
        <f>J47</f>
        <v>45825</v>
      </c>
      <c r="K64" s="170" t="s">
        <v>285</v>
      </c>
      <c r="M64" s="152" t="s">
        <v>268</v>
      </c>
      <c r="S64" s="141"/>
    </row>
    <row r="65" spans="2:19" ht="17.399999999999999" customHeight="1">
      <c r="B65" s="139"/>
      <c r="G65" s="147" t="s">
        <v>115</v>
      </c>
      <c r="I65" s="147">
        <f>COUNTIFS('Detalhe Entregas e Status'!$U:$U,'Status Resumo'!G65,'Detalhe Entregas e Status'!$B:$B,"lt004_protection",'Detalhe Entregas e Status'!$C:$C,"&lt;&gt;"&amp;"UNIVERSO")</f>
        <v>5</v>
      </c>
      <c r="J65" s="147">
        <f>COUNTIFS('Detalhe Entregas e Status'!$V:$V,'Status Resumo'!G65,'Detalhe Entregas e Status'!$B:$B,"lt004_protection",'Detalhe Entregas e Status'!$C:$C,"&lt;&gt;"&amp;"UNIVERSO")</f>
        <v>5</v>
      </c>
      <c r="K65" s="171" t="str">
        <f t="shared" ref="K65:K71" si="2">IF(I65-J65=0,"-",IF(I65-J65&gt;0,_xlfn.CONCAT("+ ",I65-J65),_xlfn.CONCAT("- ",J65-I65)))</f>
        <v>-</v>
      </c>
      <c r="M65" s="247" t="s">
        <v>387</v>
      </c>
      <c r="N65" s="247"/>
      <c r="O65" s="247"/>
      <c r="P65" s="247"/>
      <c r="Q65" s="247"/>
      <c r="R65" s="247"/>
      <c r="S65" s="141"/>
    </row>
    <row r="66" spans="2:19" ht="17.399999999999999" customHeight="1">
      <c r="B66" s="139"/>
      <c r="G66" s="147" t="s">
        <v>118</v>
      </c>
      <c r="I66" s="147">
        <f>COUNTIFS('Detalhe Entregas e Status'!$U:$U,'Status Resumo'!G66,'Detalhe Entregas e Status'!$B:$B,"lt004_protection",'Detalhe Entregas e Status'!$C:$C,"&lt;&gt;"&amp;"UNIVERSO")</f>
        <v>0</v>
      </c>
      <c r="J66" s="147">
        <f>COUNTIFS('Detalhe Entregas e Status'!$V:$V,'Status Resumo'!G66,'Detalhe Entregas e Status'!$B:$B,"lt004_protection",'Detalhe Entregas e Status'!$C:$C,"&lt;&gt;"&amp;"UNIVERSO")</f>
        <v>2</v>
      </c>
      <c r="K66" s="171" t="str">
        <f t="shared" si="2"/>
        <v>- 2</v>
      </c>
      <c r="M66" s="247"/>
      <c r="N66" s="247"/>
      <c r="O66" s="247"/>
      <c r="P66" s="247"/>
      <c r="Q66" s="247"/>
      <c r="R66" s="247"/>
      <c r="S66" s="141"/>
    </row>
    <row r="67" spans="2:19" ht="17.399999999999999" customHeight="1">
      <c r="B67" s="139"/>
      <c r="G67" s="147" t="s">
        <v>116</v>
      </c>
      <c r="I67" s="147">
        <f>COUNTIFS('Detalhe Entregas e Status'!$U:$U,'Status Resumo'!G67,'Detalhe Entregas e Status'!$B:$B,"lt004_protection",'Detalhe Entregas e Status'!$C:$C,"&lt;&gt;"&amp;"UNIVERSO")</f>
        <v>0</v>
      </c>
      <c r="J67" s="147">
        <f>COUNTIFS('Detalhe Entregas e Status'!$V:$V,'Status Resumo'!G67,'Detalhe Entregas e Status'!$B:$B,"lt004_protection",'Detalhe Entregas e Status'!$C:$C,"&lt;&gt;"&amp;"UNIVERSO")</f>
        <v>0</v>
      </c>
      <c r="K67" s="171" t="str">
        <f t="shared" si="2"/>
        <v>-</v>
      </c>
      <c r="M67" s="247"/>
      <c r="N67" s="247"/>
      <c r="O67" s="247"/>
      <c r="P67" s="247"/>
      <c r="Q67" s="247"/>
      <c r="R67" s="247"/>
      <c r="S67" s="141"/>
    </row>
    <row r="68" spans="2:19" ht="17.399999999999999" customHeight="1">
      <c r="B68" s="139"/>
      <c r="D68" s="142"/>
      <c r="E68" s="142"/>
      <c r="G68" s="147" t="s">
        <v>117</v>
      </c>
      <c r="I68" s="147">
        <f>COUNTIFS('Detalhe Entregas e Status'!$U:$U,'Status Resumo'!G68,'Detalhe Entregas e Status'!$B:$B,"lt004_protection",'Detalhe Entregas e Status'!$C:$C,"&lt;&gt;"&amp;"UNIVERSO")</f>
        <v>2</v>
      </c>
      <c r="J68" s="147">
        <f>COUNTIFS('Detalhe Entregas e Status'!$V:$V,'Status Resumo'!G68,'Detalhe Entregas e Status'!$B:$B,"lt004_protection",'Detalhe Entregas e Status'!$C:$C,"&lt;&gt;"&amp;"UNIVERSO")</f>
        <v>0</v>
      </c>
      <c r="K68" s="171" t="str">
        <f t="shared" si="2"/>
        <v>+ 2</v>
      </c>
      <c r="M68" s="247"/>
      <c r="N68" s="247"/>
      <c r="O68" s="247"/>
      <c r="P68" s="247"/>
      <c r="Q68" s="247"/>
      <c r="R68" s="247"/>
      <c r="S68" s="141"/>
    </row>
    <row r="69" spans="2:19" ht="17.399999999999999" customHeight="1">
      <c r="B69" s="139"/>
      <c r="D69" s="142"/>
      <c r="E69" s="142"/>
      <c r="G69" s="147" t="s">
        <v>123</v>
      </c>
      <c r="I69" s="147">
        <f>COUNTIFS('Detalhe Entregas e Status'!$U:$U,'Status Resumo'!G69,'Detalhe Entregas e Status'!$B:$B,"lt004_protection",'Detalhe Entregas e Status'!$C:$C,"&lt;&gt;"&amp;"UNIVERSO")</f>
        <v>0</v>
      </c>
      <c r="J69" s="147">
        <f>COUNTIFS('Detalhe Entregas e Status'!$V:$V,'Status Resumo'!G69,'Detalhe Entregas e Status'!$B:$B,"lt004_protection",'Detalhe Entregas e Status'!$C:$C,"&lt;&gt;"&amp;"UNIVERSO")</f>
        <v>0</v>
      </c>
      <c r="K69" s="171" t="str">
        <f t="shared" si="2"/>
        <v>-</v>
      </c>
      <c r="M69" s="247"/>
      <c r="N69" s="247"/>
      <c r="O69" s="247"/>
      <c r="P69" s="247"/>
      <c r="Q69" s="247"/>
      <c r="R69" s="247"/>
      <c r="S69" s="141"/>
    </row>
    <row r="70" spans="2:19" ht="17.399999999999999" customHeight="1">
      <c r="B70" s="139"/>
      <c r="D70" s="142"/>
      <c r="E70" s="142"/>
      <c r="G70" s="147" t="s">
        <v>125</v>
      </c>
      <c r="I70" s="147">
        <f>COUNTIFS('Detalhe Entregas e Status'!$U:$U,'Status Resumo'!G70,'Detalhe Entregas e Status'!$B:$B,"lt004_protection",'Detalhe Entregas e Status'!$C:$C,"&lt;&gt;"&amp;"UNIVERSO")</f>
        <v>0</v>
      </c>
      <c r="J70" s="147">
        <f>COUNTIFS('Detalhe Entregas e Status'!$V:$V,'Status Resumo'!G70,'Detalhe Entregas e Status'!$B:$B,"lt004_protection",'Detalhe Entregas e Status'!$C:$C,"&lt;&gt;"&amp;"UNIVERSO")</f>
        <v>0</v>
      </c>
      <c r="K70" s="171" t="str">
        <f t="shared" si="2"/>
        <v>-</v>
      </c>
      <c r="M70" s="247"/>
      <c r="N70" s="247"/>
      <c r="O70" s="247"/>
      <c r="P70" s="247"/>
      <c r="Q70" s="247"/>
      <c r="R70" s="247"/>
      <c r="S70" s="141"/>
    </row>
    <row r="71" spans="2:19" ht="17.399999999999999" customHeight="1">
      <c r="B71" s="139"/>
      <c r="G71" s="147" t="s">
        <v>278</v>
      </c>
      <c r="H71" s="155"/>
      <c r="I71" s="147">
        <f>COUNTIFS('Detalhe Entregas e Status'!$U:$U,'Status Resumo'!G71,'Detalhe Entregas e Status'!$B:$B,"lt004_protection",'Detalhe Entregas e Status'!$C:$C,"&lt;&gt;"&amp;"UNIVERSO")</f>
        <v>0</v>
      </c>
      <c r="J71" s="147">
        <f>COUNTIFS('Detalhe Entregas e Status'!$V:$V,'Status Resumo'!G71,'Detalhe Entregas e Status'!$B:$B,"lt004_protection",'Detalhe Entregas e Status'!$C:$C,"&lt;&gt;"&amp;"UNIVERSO")</f>
        <v>0</v>
      </c>
      <c r="K71" s="172" t="str">
        <f t="shared" si="2"/>
        <v>-</v>
      </c>
      <c r="M71" s="247"/>
      <c r="N71" s="247"/>
      <c r="O71" s="247"/>
      <c r="P71" s="247"/>
      <c r="Q71" s="247"/>
      <c r="R71" s="247"/>
      <c r="S71" s="141"/>
    </row>
    <row r="72" spans="2:19" ht="17.399999999999999" customHeight="1">
      <c r="B72" s="139"/>
      <c r="G72" s="148" t="s">
        <v>269</v>
      </c>
      <c r="I72" s="148">
        <f>SUM(I65:I71)</f>
        <v>7</v>
      </c>
      <c r="J72" s="148">
        <f>SUM(J65:J71)</f>
        <v>7</v>
      </c>
      <c r="K72" s="168"/>
      <c r="L72" s="143"/>
      <c r="M72" s="247"/>
      <c r="N72" s="247"/>
      <c r="O72" s="247"/>
      <c r="P72" s="247"/>
      <c r="Q72" s="247"/>
      <c r="R72" s="247"/>
      <c r="S72" s="141"/>
    </row>
    <row r="73" spans="2:19" ht="17.399999999999999" customHeight="1">
      <c r="B73" s="139"/>
      <c r="C73" s="140"/>
      <c r="F73" s="140"/>
      <c r="L73" s="143"/>
      <c r="M73" s="247"/>
      <c r="N73" s="247"/>
      <c r="O73" s="247"/>
      <c r="P73" s="247"/>
      <c r="Q73" s="247"/>
      <c r="R73" s="247"/>
      <c r="S73" s="141"/>
    </row>
    <row r="74" spans="2:19" ht="17.399999999999999" customHeight="1">
      <c r="B74" s="139"/>
      <c r="G74" s="155" t="s">
        <v>276</v>
      </c>
      <c r="H74" s="155"/>
      <c r="I74" s="169">
        <f>I57</f>
        <v>45834</v>
      </c>
      <c r="J74" s="167"/>
      <c r="K74" s="167"/>
      <c r="L74" s="143"/>
      <c r="M74" s="153"/>
      <c r="N74" s="153"/>
      <c r="O74" s="153"/>
      <c r="P74" s="153"/>
      <c r="Q74" s="153"/>
      <c r="R74" s="153"/>
      <c r="S74" s="141"/>
    </row>
    <row r="75" spans="2:19" ht="17.399999999999999" customHeight="1">
      <c r="B75" s="139"/>
      <c r="G75" s="158" t="s">
        <v>55</v>
      </c>
      <c r="I75" s="159" t="s">
        <v>274</v>
      </c>
      <c r="J75" s="159"/>
      <c r="K75" s="159"/>
      <c r="L75" s="143"/>
      <c r="M75" s="153"/>
      <c r="N75" s="153"/>
      <c r="O75" s="153"/>
      <c r="P75" s="153"/>
      <c r="Q75" s="153"/>
      <c r="R75" s="153"/>
      <c r="S75" s="141"/>
    </row>
    <row r="76" spans="2:19" ht="17.399999999999999" customHeight="1">
      <c r="B76" s="144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6"/>
    </row>
    <row r="77" spans="2:19"/>
    <row r="78" spans="2:19" ht="18" customHeight="1">
      <c r="B78" s="246" t="s">
        <v>302</v>
      </c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</row>
    <row r="79" spans="2:19" ht="6.9" customHeight="1">
      <c r="G79" s="151"/>
    </row>
    <row r="80" spans="2:19" ht="17.399999999999999" customHeight="1">
      <c r="B80" s="136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8"/>
    </row>
    <row r="81" spans="2:19" ht="17.399999999999999" customHeight="1">
      <c r="B81" s="139"/>
      <c r="C81" s="140" t="s">
        <v>267</v>
      </c>
      <c r="G81" s="155" t="s">
        <v>275</v>
      </c>
      <c r="H81" s="155"/>
      <c r="I81" s="169">
        <f>I47</f>
        <v>45834</v>
      </c>
      <c r="J81" s="169">
        <f>J47</f>
        <v>45825</v>
      </c>
      <c r="K81" s="170" t="s">
        <v>285</v>
      </c>
      <c r="M81" s="152" t="s">
        <v>268</v>
      </c>
      <c r="S81" s="141"/>
    </row>
    <row r="82" spans="2:19" ht="17.399999999999999" customHeight="1">
      <c r="B82" s="139"/>
      <c r="G82" s="147" t="s">
        <v>115</v>
      </c>
      <c r="I82" s="147">
        <f>COUNTIFS('Detalhe Entregas e Status'!$U:$U,'Status Resumo'!G82,'Detalhe Entregas e Status'!$B:$B,"lt006_instr_protection",'Detalhe Entregas e Status'!$C:$C,"&lt;&gt;"&amp;"UNIVERSO")</f>
        <v>4</v>
      </c>
      <c r="J82" s="147">
        <f>COUNTIFS('Detalhe Entregas e Status'!$V:$V,'Status Resumo'!G82,'Detalhe Entregas e Status'!$B:$B,"lt006_instr_protection",'Detalhe Entregas e Status'!$C:$C,"&lt;&gt;"&amp;"UNIVERSO")</f>
        <v>4</v>
      </c>
      <c r="K82" s="171" t="str">
        <f t="shared" ref="K82:K88" si="3">IF(I82-J82=0,"-",IF(I82-J82&gt;0,_xlfn.CONCAT("+ ",I82-J82),_xlfn.CONCAT("- ",J82-I82)))</f>
        <v>-</v>
      </c>
      <c r="M82" s="247" t="s">
        <v>386</v>
      </c>
      <c r="N82" s="248"/>
      <c r="O82" s="248"/>
      <c r="P82" s="248"/>
      <c r="Q82" s="248"/>
      <c r="R82" s="248"/>
      <c r="S82" s="141"/>
    </row>
    <row r="83" spans="2:19" ht="17.399999999999999" customHeight="1">
      <c r="B83" s="139"/>
      <c r="G83" s="147" t="s">
        <v>118</v>
      </c>
      <c r="I83" s="147">
        <f>COUNTIFS('Detalhe Entregas e Status'!$U:$U,'Status Resumo'!G83,'Detalhe Entregas e Status'!$B:$B,"lt006_instr_protection",'Detalhe Entregas e Status'!$C:$C,"&lt;&gt;"&amp;"UNIVERSO")</f>
        <v>0</v>
      </c>
      <c r="J83" s="147">
        <f>COUNTIFS('Detalhe Entregas e Status'!$V:$V,'Status Resumo'!G83,'Detalhe Entregas e Status'!$B:$B,"lt006_instr_protection",'Detalhe Entregas e Status'!$C:$C,"&lt;&gt;"&amp;"UNIVERSO")</f>
        <v>1</v>
      </c>
      <c r="K83" s="171" t="str">
        <f t="shared" si="3"/>
        <v>- 1</v>
      </c>
      <c r="M83" s="248"/>
      <c r="N83" s="248"/>
      <c r="O83" s="248"/>
      <c r="P83" s="248"/>
      <c r="Q83" s="248"/>
      <c r="R83" s="248"/>
      <c r="S83" s="141"/>
    </row>
    <row r="84" spans="2:19" ht="17.399999999999999" customHeight="1">
      <c r="B84" s="139"/>
      <c r="G84" s="147" t="s">
        <v>116</v>
      </c>
      <c r="I84" s="147">
        <f>COUNTIFS('Detalhe Entregas e Status'!$U:$U,'Status Resumo'!G84,'Detalhe Entregas e Status'!$B:$B,"lt006_instr_protection",'Detalhe Entregas e Status'!$C:$C,"&lt;&gt;"&amp;"UNIVERSO")</f>
        <v>0</v>
      </c>
      <c r="J84" s="147">
        <f>COUNTIFS('Detalhe Entregas e Status'!$V:$V,'Status Resumo'!G84,'Detalhe Entregas e Status'!$B:$B,"lt006_instr_protection",'Detalhe Entregas e Status'!$C:$C,"&lt;&gt;"&amp;"UNIVERSO")</f>
        <v>0</v>
      </c>
      <c r="K84" s="171" t="str">
        <f t="shared" si="3"/>
        <v>-</v>
      </c>
      <c r="M84" s="248"/>
      <c r="N84" s="248"/>
      <c r="O84" s="248"/>
      <c r="P84" s="248"/>
      <c r="Q84" s="248"/>
      <c r="R84" s="248"/>
      <c r="S84" s="141"/>
    </row>
    <row r="85" spans="2:19" ht="17.399999999999999" customHeight="1">
      <c r="B85" s="139"/>
      <c r="D85" s="142"/>
      <c r="E85" s="142"/>
      <c r="G85" s="147" t="s">
        <v>117</v>
      </c>
      <c r="I85" s="147">
        <f>COUNTIFS('Detalhe Entregas e Status'!$U:$U,'Status Resumo'!G85,'Detalhe Entregas e Status'!$B:$B,"lt006_instr_protection",'Detalhe Entregas e Status'!$C:$C,"&lt;&gt;"&amp;"UNIVERSO")</f>
        <v>1</v>
      </c>
      <c r="J85" s="147">
        <f>COUNTIFS('Detalhe Entregas e Status'!$V:$V,'Status Resumo'!G85,'Detalhe Entregas e Status'!$B:$B,"lt006_instr_protection",'Detalhe Entregas e Status'!$C:$C,"&lt;&gt;"&amp;"UNIVERSO")</f>
        <v>0</v>
      </c>
      <c r="K85" s="171" t="str">
        <f t="shared" si="3"/>
        <v>+ 1</v>
      </c>
      <c r="M85" s="248"/>
      <c r="N85" s="248"/>
      <c r="O85" s="248"/>
      <c r="P85" s="248"/>
      <c r="Q85" s="248"/>
      <c r="R85" s="248"/>
      <c r="S85" s="141"/>
    </row>
    <row r="86" spans="2:19" ht="17.399999999999999" customHeight="1">
      <c r="B86" s="139"/>
      <c r="D86" s="142"/>
      <c r="E86" s="142"/>
      <c r="G86" s="147" t="s">
        <v>123</v>
      </c>
      <c r="I86" s="147">
        <f>COUNTIFS('Detalhe Entregas e Status'!$U:$U,'Status Resumo'!G86,'Detalhe Entregas e Status'!$B:$B,"lt006_instr_protection",'Detalhe Entregas e Status'!$C:$C,"&lt;&gt;"&amp;"UNIVERSO")</f>
        <v>0</v>
      </c>
      <c r="J86" s="147">
        <f>COUNTIFS('Detalhe Entregas e Status'!$V:$V,'Status Resumo'!G86,'Detalhe Entregas e Status'!$B:$B,"lt006_instr_protection",'Detalhe Entregas e Status'!$C:$C,"&lt;&gt;"&amp;"UNIVERSO")</f>
        <v>0</v>
      </c>
      <c r="K86" s="171" t="str">
        <f t="shared" si="3"/>
        <v>-</v>
      </c>
      <c r="M86" s="248"/>
      <c r="N86" s="248"/>
      <c r="O86" s="248"/>
      <c r="P86" s="248"/>
      <c r="Q86" s="248"/>
      <c r="R86" s="248"/>
      <c r="S86" s="141"/>
    </row>
    <row r="87" spans="2:19" ht="17.399999999999999" customHeight="1">
      <c r="B87" s="139"/>
      <c r="D87" s="142"/>
      <c r="E87" s="142"/>
      <c r="G87" s="147" t="s">
        <v>125</v>
      </c>
      <c r="I87" s="147">
        <f>COUNTIFS('Detalhe Entregas e Status'!$U:$U,'Status Resumo'!G87,'Detalhe Entregas e Status'!$B:$B,"lt006_instr_protection",'Detalhe Entregas e Status'!$C:$C,"&lt;&gt;"&amp;"UNIVERSO")</f>
        <v>0</v>
      </c>
      <c r="J87" s="147">
        <f>COUNTIFS('Detalhe Entregas e Status'!$V:$V,'Status Resumo'!G87,'Detalhe Entregas e Status'!$B:$B,"lt006_instr_protection",'Detalhe Entregas e Status'!$C:$C,"&lt;&gt;"&amp;"UNIVERSO")</f>
        <v>0</v>
      </c>
      <c r="K87" s="171" t="str">
        <f t="shared" si="3"/>
        <v>-</v>
      </c>
      <c r="M87" s="248"/>
      <c r="N87" s="248"/>
      <c r="O87" s="248"/>
      <c r="P87" s="248"/>
      <c r="Q87" s="248"/>
      <c r="R87" s="248"/>
      <c r="S87" s="141"/>
    </row>
    <row r="88" spans="2:19" ht="17.399999999999999" customHeight="1">
      <c r="B88" s="139"/>
      <c r="G88" s="147" t="s">
        <v>278</v>
      </c>
      <c r="H88" s="155"/>
      <c r="I88" s="147">
        <f>COUNTIFS('Detalhe Entregas e Status'!$U:$U,'Status Resumo'!G88,'Detalhe Entregas e Status'!$B:$B,"lt006_instr_protection",'Detalhe Entregas e Status'!$C:$C,"&lt;&gt;"&amp;"UNIVERSO")</f>
        <v>0</v>
      </c>
      <c r="J88" s="147">
        <f>COUNTIFS('Detalhe Entregas e Status'!$V:$V,'Status Resumo'!G88,'Detalhe Entregas e Status'!$B:$B,"lt006_instr_protection",'Detalhe Entregas e Status'!$C:$C,"&lt;&gt;"&amp;"UNIVERSO")</f>
        <v>0</v>
      </c>
      <c r="K88" s="172" t="str">
        <f t="shared" si="3"/>
        <v>-</v>
      </c>
      <c r="M88" s="248"/>
      <c r="N88" s="248"/>
      <c r="O88" s="248"/>
      <c r="P88" s="248"/>
      <c r="Q88" s="248"/>
      <c r="R88" s="248"/>
      <c r="S88" s="141"/>
    </row>
    <row r="89" spans="2:19" ht="17.399999999999999" customHeight="1">
      <c r="B89" s="139"/>
      <c r="G89" s="148" t="s">
        <v>269</v>
      </c>
      <c r="I89" s="148">
        <f>SUM(I82:I88)</f>
        <v>5</v>
      </c>
      <c r="J89" s="148">
        <f>SUM(J82:J88)</f>
        <v>5</v>
      </c>
      <c r="K89" s="168"/>
      <c r="L89" s="143"/>
      <c r="M89" s="248"/>
      <c r="N89" s="248"/>
      <c r="O89" s="248"/>
      <c r="P89" s="248"/>
      <c r="Q89" s="248"/>
      <c r="R89" s="248"/>
      <c r="S89" s="141"/>
    </row>
    <row r="90" spans="2:19" ht="17.399999999999999" customHeight="1">
      <c r="B90" s="139"/>
      <c r="C90" s="140"/>
      <c r="F90" s="140"/>
      <c r="L90" s="143"/>
      <c r="M90" s="248"/>
      <c r="N90" s="248"/>
      <c r="O90" s="248"/>
      <c r="P90" s="248"/>
      <c r="Q90" s="248"/>
      <c r="R90" s="248"/>
      <c r="S90" s="141"/>
    </row>
    <row r="91" spans="2:19" ht="17.399999999999999" customHeight="1">
      <c r="B91" s="139"/>
      <c r="G91" s="155" t="s">
        <v>276</v>
      </c>
      <c r="H91" s="155"/>
      <c r="I91" s="169">
        <f>I57</f>
        <v>45834</v>
      </c>
      <c r="J91" s="167"/>
      <c r="K91" s="167"/>
      <c r="L91" s="143"/>
      <c r="M91" s="153"/>
      <c r="N91" s="153"/>
      <c r="O91" s="153"/>
      <c r="P91" s="153"/>
      <c r="Q91" s="153"/>
      <c r="R91" s="153"/>
      <c r="S91" s="141"/>
    </row>
    <row r="92" spans="2:19" ht="17.399999999999999" customHeight="1">
      <c r="B92" s="139"/>
      <c r="G92" s="158" t="s">
        <v>61</v>
      </c>
      <c r="I92" s="159" t="s">
        <v>274</v>
      </c>
      <c r="J92" s="159"/>
      <c r="K92" s="159"/>
      <c r="L92" s="143"/>
      <c r="M92" s="153"/>
      <c r="N92" s="153"/>
      <c r="O92" s="153"/>
      <c r="P92" s="153"/>
      <c r="Q92" s="153"/>
      <c r="R92" s="153"/>
      <c r="S92" s="141"/>
    </row>
    <row r="93" spans="2:19" ht="17.399999999999999" customHeight="1">
      <c r="B93" s="144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6"/>
    </row>
    <row r="94" spans="2:19"/>
    <row r="95" spans="2:19" ht="18" customHeight="1">
      <c r="B95" s="246" t="s">
        <v>303</v>
      </c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</row>
    <row r="96" spans="2:19" ht="6.9" customHeight="1">
      <c r="G96" s="151"/>
    </row>
    <row r="97" spans="2:19" ht="17.399999999999999" customHeight="1">
      <c r="B97" s="136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8"/>
    </row>
    <row r="98" spans="2:19" ht="17.399999999999999" customHeight="1">
      <c r="B98" s="139"/>
      <c r="C98" s="140" t="s">
        <v>267</v>
      </c>
      <c r="G98" s="155" t="s">
        <v>275</v>
      </c>
      <c r="H98" s="155"/>
      <c r="I98" s="169">
        <f>I47</f>
        <v>45834</v>
      </c>
      <c r="J98" s="169">
        <f>J47</f>
        <v>45825</v>
      </c>
      <c r="K98" s="170" t="s">
        <v>285</v>
      </c>
      <c r="M98" s="152" t="s">
        <v>268</v>
      </c>
      <c r="S98" s="141"/>
    </row>
    <row r="99" spans="2:19" ht="17.399999999999999" customHeight="1">
      <c r="B99" s="139"/>
      <c r="G99" s="147" t="s">
        <v>115</v>
      </c>
      <c r="I99" s="147">
        <f>COUNTIFS('Detalhe Entregas e Status'!$U:$U,'Status Resumo'!G99,'Detalhe Entregas e Status'!$B:$B,"lt007_instr_activity",'Detalhe Entregas e Status'!$C:$C,"&lt;&gt;"&amp;"UNIVERSO")</f>
        <v>2</v>
      </c>
      <c r="J99" s="147">
        <f>COUNTIFS('Detalhe Entregas e Status'!$V:$V,'Status Resumo'!G99,'Detalhe Entregas e Status'!$B:$B,"lt007_instr_activity",'Detalhe Entregas e Status'!$C:$C,"&lt;&gt;"&amp;"UNIVERSO")</f>
        <v>0</v>
      </c>
      <c r="K99" s="171" t="str">
        <f t="shared" ref="K99:K105" si="4">IF(I99-J99=0,"-",IF(I99-J99&gt;0,_xlfn.CONCAT("+ ",I99-J99),_xlfn.CONCAT("- ",J99-I99)))</f>
        <v>+ 2</v>
      </c>
      <c r="M99" s="247" t="s">
        <v>393</v>
      </c>
      <c r="N99" s="245"/>
      <c r="O99" s="245"/>
      <c r="P99" s="245"/>
      <c r="Q99" s="245"/>
      <c r="R99" s="245"/>
      <c r="S99" s="141"/>
    </row>
    <row r="100" spans="2:19" ht="17.399999999999999" customHeight="1">
      <c r="B100" s="139"/>
      <c r="G100" s="147" t="s">
        <v>118</v>
      </c>
      <c r="I100" s="147">
        <f>COUNTIFS('Detalhe Entregas e Status'!$U:$U,'Status Resumo'!G100,'Detalhe Entregas e Status'!$B:$B,"lt007_instr_activity",'Detalhe Entregas e Status'!$C:$C,"&lt;&gt;"&amp;"UNIVERSO")</f>
        <v>0</v>
      </c>
      <c r="J100" s="147">
        <f>COUNTIFS('Detalhe Entregas e Status'!$V:$V,'Status Resumo'!G100,'Detalhe Entregas e Status'!$B:$B,"lt007_instr_activity",'Detalhe Entregas e Status'!$C:$C,"&lt;&gt;"&amp;"UNIVERSO")</f>
        <v>0</v>
      </c>
      <c r="K100" s="171" t="str">
        <f t="shared" si="4"/>
        <v>-</v>
      </c>
      <c r="M100" s="245"/>
      <c r="N100" s="245"/>
      <c r="O100" s="245"/>
      <c r="P100" s="245"/>
      <c r="Q100" s="245"/>
      <c r="R100" s="245"/>
      <c r="S100" s="141"/>
    </row>
    <row r="101" spans="2:19" ht="17.399999999999999" customHeight="1">
      <c r="B101" s="139"/>
      <c r="G101" s="147" t="s">
        <v>116</v>
      </c>
      <c r="I101" s="147">
        <f>COUNTIFS('Detalhe Entregas e Status'!$U:$U,'Status Resumo'!G101,'Detalhe Entregas e Status'!$B:$B,"lt007_instr_activity",'Detalhe Entregas e Status'!$C:$C,"&lt;&gt;"&amp;"UNIVERSO")</f>
        <v>0</v>
      </c>
      <c r="J101" s="147">
        <f>COUNTIFS('Detalhe Entregas e Status'!$V:$V,'Status Resumo'!G101,'Detalhe Entregas e Status'!$B:$B,"lt007_instr_activity",'Detalhe Entregas e Status'!$C:$C,"&lt;&gt;"&amp;"UNIVERSO")</f>
        <v>0</v>
      </c>
      <c r="K101" s="171" t="str">
        <f t="shared" si="4"/>
        <v>-</v>
      </c>
      <c r="M101" s="245"/>
      <c r="N101" s="245"/>
      <c r="O101" s="245"/>
      <c r="P101" s="245"/>
      <c r="Q101" s="245"/>
      <c r="R101" s="245"/>
      <c r="S101" s="141"/>
    </row>
    <row r="102" spans="2:19" ht="17.399999999999999" customHeight="1">
      <c r="B102" s="139"/>
      <c r="D102" s="142"/>
      <c r="E102" s="142"/>
      <c r="G102" s="147" t="s">
        <v>117</v>
      </c>
      <c r="I102" s="147">
        <f>COUNTIFS('Detalhe Entregas e Status'!$U:$U,'Status Resumo'!G102,'Detalhe Entregas e Status'!$B:$B,"lt007_instr_activity",'Detalhe Entregas e Status'!$C:$C,"&lt;&gt;"&amp;"UNIVERSO")</f>
        <v>4</v>
      </c>
      <c r="J102" s="147">
        <f>COUNTIFS('Detalhe Entregas e Status'!$V:$V,'Status Resumo'!G102,'Detalhe Entregas e Status'!$B:$B,"lt007_instr_activity",'Detalhe Entregas e Status'!$C:$C,"&lt;&gt;"&amp;"UNIVERSO")</f>
        <v>0</v>
      </c>
      <c r="K102" s="171" t="str">
        <f t="shared" si="4"/>
        <v>+ 4</v>
      </c>
      <c r="M102" s="245"/>
      <c r="N102" s="245"/>
      <c r="O102" s="245"/>
      <c r="P102" s="245"/>
      <c r="Q102" s="245"/>
      <c r="R102" s="245"/>
      <c r="S102" s="141"/>
    </row>
    <row r="103" spans="2:19" ht="17.399999999999999" customHeight="1">
      <c r="B103" s="139"/>
      <c r="D103" s="142"/>
      <c r="E103" s="142"/>
      <c r="G103" s="147" t="s">
        <v>123</v>
      </c>
      <c r="I103" s="147">
        <f>COUNTIFS('Detalhe Entregas e Status'!$U:$U,'Status Resumo'!G103,'Detalhe Entregas e Status'!$B:$B,"lt007_instr_activity",'Detalhe Entregas e Status'!$C:$C,"&lt;&gt;"&amp;"UNIVERSO")</f>
        <v>0</v>
      </c>
      <c r="J103" s="147">
        <f>COUNTIFS('Detalhe Entregas e Status'!$V:$V,'Status Resumo'!G103,'Detalhe Entregas e Status'!$B:$B,"lt007_instr_activity",'Detalhe Entregas e Status'!$C:$C,"&lt;&gt;"&amp;"UNIVERSO")</f>
        <v>0</v>
      </c>
      <c r="K103" s="171" t="str">
        <f t="shared" si="4"/>
        <v>-</v>
      </c>
      <c r="M103" s="245"/>
      <c r="N103" s="245"/>
      <c r="O103" s="245"/>
      <c r="P103" s="245"/>
      <c r="Q103" s="245"/>
      <c r="R103" s="245"/>
      <c r="S103" s="141"/>
    </row>
    <row r="104" spans="2:19" ht="17.399999999999999" customHeight="1">
      <c r="B104" s="139"/>
      <c r="D104" s="142"/>
      <c r="E104" s="142"/>
      <c r="G104" s="147" t="s">
        <v>125</v>
      </c>
      <c r="I104" s="147">
        <f>COUNTIFS('Detalhe Entregas e Status'!$U:$U,'Status Resumo'!G104,'Detalhe Entregas e Status'!$B:$B,"lt007_instr_activity",'Detalhe Entregas e Status'!$C:$C,"&lt;&gt;"&amp;"UNIVERSO")</f>
        <v>0</v>
      </c>
      <c r="J104" s="147">
        <f>COUNTIFS('Detalhe Entregas e Status'!$V:$V,'Status Resumo'!G104,'Detalhe Entregas e Status'!$B:$B,"lt007_instr_activity",'Detalhe Entregas e Status'!$C:$C,"&lt;&gt;"&amp;"UNIVERSO")</f>
        <v>6</v>
      </c>
      <c r="K104" s="171" t="str">
        <f t="shared" si="4"/>
        <v>- 6</v>
      </c>
      <c r="M104" s="245"/>
      <c r="N104" s="245"/>
      <c r="O104" s="245"/>
      <c r="P104" s="245"/>
      <c r="Q104" s="245"/>
      <c r="R104" s="245"/>
      <c r="S104" s="141"/>
    </row>
    <row r="105" spans="2:19" ht="17.399999999999999" customHeight="1">
      <c r="B105" s="139"/>
      <c r="G105" s="147" t="s">
        <v>278</v>
      </c>
      <c r="H105" s="155"/>
      <c r="I105" s="147">
        <f>COUNTIFS('Detalhe Entregas e Status'!$U:$U,'Status Resumo'!G105,'Detalhe Entregas e Status'!$B:$B,"lt007_instr_activity",'Detalhe Entregas e Status'!$C:$C,"&lt;&gt;"&amp;"UNIVERSO")</f>
        <v>0</v>
      </c>
      <c r="J105" s="147">
        <f>COUNTIFS('Detalhe Entregas e Status'!$V:$V,'Status Resumo'!G105,'Detalhe Entregas e Status'!$B:$B,"lt007_instr_activity",'Detalhe Entregas e Status'!$C:$C,"&lt;&gt;"&amp;"UNIVERSO")</f>
        <v>0</v>
      </c>
      <c r="K105" s="172" t="str">
        <f t="shared" si="4"/>
        <v>-</v>
      </c>
      <c r="M105" s="245"/>
      <c r="N105" s="245"/>
      <c r="O105" s="245"/>
      <c r="P105" s="245"/>
      <c r="Q105" s="245"/>
      <c r="R105" s="245"/>
      <c r="S105" s="141"/>
    </row>
    <row r="106" spans="2:19" ht="17.399999999999999" customHeight="1">
      <c r="B106" s="139"/>
      <c r="G106" s="148" t="s">
        <v>269</v>
      </c>
      <c r="I106" s="148">
        <f>SUM(I99:I105)</f>
        <v>6</v>
      </c>
      <c r="J106" s="148">
        <f>SUM(J99:J105)</f>
        <v>6</v>
      </c>
      <c r="K106" s="168"/>
      <c r="L106" s="143"/>
      <c r="M106" s="245"/>
      <c r="N106" s="245"/>
      <c r="O106" s="245"/>
      <c r="P106" s="245"/>
      <c r="Q106" s="245"/>
      <c r="R106" s="245"/>
      <c r="S106" s="141"/>
    </row>
    <row r="107" spans="2:19" ht="17.399999999999999" customHeight="1">
      <c r="B107" s="139"/>
      <c r="C107" s="140"/>
      <c r="F107" s="140"/>
      <c r="L107" s="143"/>
      <c r="M107" s="245"/>
      <c r="N107" s="245"/>
      <c r="O107" s="245"/>
      <c r="P107" s="245"/>
      <c r="Q107" s="245"/>
      <c r="R107" s="245"/>
      <c r="S107" s="141"/>
    </row>
    <row r="108" spans="2:19" ht="17.399999999999999" customHeight="1">
      <c r="B108" s="139"/>
      <c r="G108" s="155" t="s">
        <v>276</v>
      </c>
      <c r="H108" s="155"/>
      <c r="I108" s="169">
        <f>I57</f>
        <v>45834</v>
      </c>
      <c r="J108" s="167"/>
      <c r="K108" s="167"/>
      <c r="L108" s="143"/>
      <c r="M108" s="153"/>
      <c r="N108" s="153"/>
      <c r="O108" s="153"/>
      <c r="P108" s="153"/>
      <c r="Q108" s="153"/>
      <c r="R108" s="153"/>
      <c r="S108" s="141"/>
    </row>
    <row r="109" spans="2:19" ht="17.399999999999999" customHeight="1">
      <c r="B109" s="139"/>
      <c r="G109" s="158" t="s">
        <v>63</v>
      </c>
      <c r="I109" s="227" t="s">
        <v>377</v>
      </c>
      <c r="J109" s="159"/>
      <c r="K109" s="159"/>
      <c r="L109" s="143"/>
      <c r="M109" s="153"/>
      <c r="N109" s="153"/>
      <c r="O109" s="153"/>
      <c r="P109" s="153"/>
      <c r="Q109" s="153"/>
      <c r="R109" s="153"/>
      <c r="S109" s="141"/>
    </row>
    <row r="110" spans="2:19" ht="17.399999999999999" customHeight="1">
      <c r="B110" s="144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6"/>
    </row>
    <row r="111" spans="2:19"/>
    <row r="112" spans="2:19"/>
    <row r="113" s="135" customFormat="1"/>
    <row r="114" s="135" customFormat="1" hidden="1"/>
    <row r="115" s="135" customFormat="1" hidden="1"/>
    <row r="116" s="135" customFormat="1" hidden="1"/>
    <row r="117" s="135" customFormat="1" hidden="1"/>
    <row r="118" s="135" customFormat="1" hidden="1"/>
    <row r="119" s="135" customFormat="1" hidden="1"/>
    <row r="120" s="135" customFormat="1" hidden="1"/>
  </sheetData>
  <mergeCells count="35">
    <mergeCell ref="G40:P40"/>
    <mergeCell ref="G41:P41"/>
    <mergeCell ref="D38:F38"/>
    <mergeCell ref="D39:F39"/>
    <mergeCell ref="D40:F40"/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M99:R107"/>
    <mergeCell ref="B78:S78"/>
    <mergeCell ref="M82:R90"/>
    <mergeCell ref="D35:F35"/>
    <mergeCell ref="G35:P35"/>
    <mergeCell ref="D36:F36"/>
    <mergeCell ref="G36:P36"/>
    <mergeCell ref="M65:R73"/>
    <mergeCell ref="B44:S44"/>
    <mergeCell ref="B61:S61"/>
    <mergeCell ref="B95:S95"/>
    <mergeCell ref="M48:R58"/>
    <mergeCell ref="G37:P37"/>
    <mergeCell ref="D37:F37"/>
    <mergeCell ref="G38:P38"/>
    <mergeCell ref="G39:P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workbookViewId="0">
      <selection activeCell="I14" sqref="I14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.88671875" bestFit="1" customWidth="1"/>
    <col min="7" max="7" width="19.6640625" bestFit="1" customWidth="1"/>
    <col min="10" max="10" width="13.88671875" bestFit="1" customWidth="1"/>
    <col min="11" max="11" width="21.777343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112</v>
      </c>
      <c r="F2" s="149" t="s">
        <v>80</v>
      </c>
      <c r="G2" t="s">
        <v>1</v>
      </c>
    </row>
    <row r="3" spans="2:16">
      <c r="B3" s="13" t="s">
        <v>1</v>
      </c>
      <c r="C3" s="13" t="s">
        <v>90</v>
      </c>
      <c r="D3" s="29" t="s">
        <v>117</v>
      </c>
      <c r="F3" s="149" t="s">
        <v>81</v>
      </c>
      <c r="G3" t="s">
        <v>280</v>
      </c>
      <c r="N3" s="228" t="s">
        <v>378</v>
      </c>
      <c r="O3" s="228">
        <v>69</v>
      </c>
      <c r="P3" s="229">
        <f>P4+P7+P8</f>
        <v>1</v>
      </c>
    </row>
    <row r="4" spans="2:16">
      <c r="B4" s="18" t="s">
        <v>1</v>
      </c>
      <c r="C4" s="18" t="s">
        <v>2</v>
      </c>
      <c r="D4" s="29" t="s">
        <v>117</v>
      </c>
      <c r="N4" s="230" t="s">
        <v>381</v>
      </c>
      <c r="O4" s="230">
        <f>COUNTIFS($D$3:$D$75,"&lt;&gt;"&amp;"6. Por Iniciar",$D$3:$D$75,"&lt;&gt;"&amp;"2. Em Teste",$C$3:$C$75,"&lt;&gt;"&amp;"UNIVERSO")</f>
        <v>62</v>
      </c>
      <c r="P4" s="231">
        <f>O4/$O$3</f>
        <v>0.89855072463768115</v>
      </c>
    </row>
    <row r="5" spans="2:16">
      <c r="B5" s="13" t="s">
        <v>1</v>
      </c>
      <c r="C5" s="13" t="s">
        <v>5</v>
      </c>
      <c r="D5" s="29" t="s">
        <v>117</v>
      </c>
      <c r="F5" s="149" t="s">
        <v>271</v>
      </c>
      <c r="G5" t="s">
        <v>272</v>
      </c>
      <c r="N5" s="232" t="s">
        <v>382</v>
      </c>
      <c r="O5" s="233">
        <f>COUNTIFS($D$3:$D$75,"1. Concluído",$C$3:$C$75,"&lt;&gt;"&amp;"UNIVERSO")</f>
        <v>26</v>
      </c>
      <c r="P5" s="234">
        <f t="shared" ref="P5:P8" si="0">O5/$O$3</f>
        <v>0.37681159420289856</v>
      </c>
    </row>
    <row r="6" spans="2:16">
      <c r="B6" s="13" t="s">
        <v>1</v>
      </c>
      <c r="C6" s="13" t="s">
        <v>6</v>
      </c>
      <c r="D6" s="29" t="s">
        <v>117</v>
      </c>
      <c r="F6" s="150" t="s">
        <v>115</v>
      </c>
      <c r="G6" s="297">
        <v>15</v>
      </c>
      <c r="N6" s="105" t="s">
        <v>310</v>
      </c>
      <c r="O6" s="147">
        <f>COUNTIFS($D$3:$D$75,"4. Em Correção",$C$3:$C$75,"&lt;&gt;"&amp;"UNIVERSO")</f>
        <v>36</v>
      </c>
      <c r="P6" s="235">
        <f t="shared" si="0"/>
        <v>0.52173913043478259</v>
      </c>
    </row>
    <row r="7" spans="2:16">
      <c r="B7" s="13" t="s">
        <v>1</v>
      </c>
      <c r="C7" s="13" t="s">
        <v>7</v>
      </c>
      <c r="D7" s="29" t="s">
        <v>117</v>
      </c>
      <c r="F7" s="150" t="s">
        <v>125</v>
      </c>
      <c r="G7" s="297">
        <v>7</v>
      </c>
      <c r="N7" s="236" t="s">
        <v>362</v>
      </c>
      <c r="O7" s="236">
        <f>COUNTIFS($D$3:$D$75,"2. Em Teste",$C$3:$C$75,"&lt;&gt;"&amp;"UNIVERSO")</f>
        <v>0</v>
      </c>
      <c r="P7" s="237">
        <f t="shared" si="0"/>
        <v>0</v>
      </c>
    </row>
    <row r="8" spans="2:16">
      <c r="B8" s="13" t="s">
        <v>1</v>
      </c>
      <c r="C8" s="13" t="s">
        <v>8</v>
      </c>
      <c r="D8" s="29" t="s">
        <v>117</v>
      </c>
      <c r="F8" s="150" t="s">
        <v>117</v>
      </c>
      <c r="G8" s="297">
        <v>29</v>
      </c>
      <c r="N8" s="236" t="s">
        <v>363</v>
      </c>
      <c r="O8" s="236">
        <f>COUNTIFS($D$3:$D$75,"6. Por Iniciar",$C$3:$C$75,"&lt;&gt;"&amp;"UNIVERSO")</f>
        <v>7</v>
      </c>
      <c r="P8" s="237">
        <f t="shared" si="0"/>
        <v>0.10144927536231885</v>
      </c>
    </row>
    <row r="9" spans="2:16">
      <c r="B9" s="13" t="s">
        <v>1</v>
      </c>
      <c r="C9" s="13" t="s">
        <v>9</v>
      </c>
      <c r="D9" s="29" t="s">
        <v>117</v>
      </c>
    </row>
    <row r="10" spans="2:16">
      <c r="B10" s="13" t="s">
        <v>1</v>
      </c>
      <c r="C10" s="13" t="s">
        <v>10</v>
      </c>
      <c r="D10" s="29" t="s">
        <v>117</v>
      </c>
    </row>
    <row r="11" spans="2:16">
      <c r="B11" s="13" t="s">
        <v>1</v>
      </c>
      <c r="C11" s="13" t="s">
        <v>11</v>
      </c>
      <c r="D11" s="29" t="s">
        <v>117</v>
      </c>
    </row>
    <row r="12" spans="2:16">
      <c r="B12" s="13" t="s">
        <v>1</v>
      </c>
      <c r="C12" s="13" t="s">
        <v>12</v>
      </c>
      <c r="D12" s="29" t="s">
        <v>117</v>
      </c>
    </row>
    <row r="13" spans="2:16">
      <c r="B13" s="13" t="s">
        <v>1</v>
      </c>
      <c r="C13" s="13" t="s">
        <v>13</v>
      </c>
      <c r="D13" s="29" t="s">
        <v>117</v>
      </c>
    </row>
    <row r="14" spans="2:16">
      <c r="B14" s="13" t="s">
        <v>1</v>
      </c>
      <c r="C14" s="13" t="s">
        <v>14</v>
      </c>
      <c r="D14" s="29" t="s">
        <v>117</v>
      </c>
    </row>
    <row r="15" spans="2:16">
      <c r="B15" s="13" t="s">
        <v>1</v>
      </c>
      <c r="C15" s="13" t="s">
        <v>15</v>
      </c>
      <c r="D15" s="29" t="s">
        <v>115</v>
      </c>
    </row>
    <row r="16" spans="2:16">
      <c r="B16" s="13" t="s">
        <v>1</v>
      </c>
      <c r="C16" s="13" t="s">
        <v>16</v>
      </c>
      <c r="D16" s="29" t="s">
        <v>115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115</v>
      </c>
      <c r="F17" s="149" t="s">
        <v>81</v>
      </c>
      <c r="G17" t="s">
        <v>280</v>
      </c>
    </row>
    <row r="18" spans="2:11">
      <c r="B18" s="13" t="s">
        <v>1</v>
      </c>
      <c r="C18" s="13" t="s">
        <v>18</v>
      </c>
      <c r="D18" s="29" t="s">
        <v>117</v>
      </c>
    </row>
    <row r="19" spans="2:11">
      <c r="B19" s="13" t="s">
        <v>1</v>
      </c>
      <c r="C19" s="13" t="s">
        <v>19</v>
      </c>
      <c r="D19" s="29" t="s">
        <v>115</v>
      </c>
      <c r="F19" s="149" t="s">
        <v>271</v>
      </c>
      <c r="G19" t="s">
        <v>272</v>
      </c>
    </row>
    <row r="20" spans="2:11">
      <c r="B20" s="13" t="s">
        <v>1</v>
      </c>
      <c r="C20" s="13" t="s">
        <v>20</v>
      </c>
      <c r="D20" s="29" t="s">
        <v>117</v>
      </c>
      <c r="F20" s="150" t="s">
        <v>115</v>
      </c>
      <c r="G20" s="297">
        <v>5</v>
      </c>
    </row>
    <row r="21" spans="2:11">
      <c r="B21" s="13" t="s">
        <v>1</v>
      </c>
      <c r="C21" s="13" t="s">
        <v>21</v>
      </c>
      <c r="D21" s="29" t="s">
        <v>117</v>
      </c>
      <c r="F21" s="150" t="s">
        <v>117</v>
      </c>
      <c r="G21" s="297">
        <v>2</v>
      </c>
    </row>
    <row r="22" spans="2:11">
      <c r="B22" s="13" t="s">
        <v>1</v>
      </c>
      <c r="C22" s="13" t="s">
        <v>22</v>
      </c>
      <c r="D22" s="29" t="s">
        <v>117</v>
      </c>
    </row>
    <row r="23" spans="2:11">
      <c r="B23" s="13" t="s">
        <v>1</v>
      </c>
      <c r="C23" s="13" t="s">
        <v>23</v>
      </c>
      <c r="D23" s="29" t="s">
        <v>117</v>
      </c>
    </row>
    <row r="24" spans="2:11">
      <c r="B24" s="13" t="s">
        <v>1</v>
      </c>
      <c r="C24" s="13" t="s">
        <v>24</v>
      </c>
      <c r="D24" s="29" t="s">
        <v>117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115</v>
      </c>
      <c r="F25" s="149" t="s">
        <v>81</v>
      </c>
      <c r="G25" t="s">
        <v>280</v>
      </c>
      <c r="J25" s="149" t="s">
        <v>81</v>
      </c>
      <c r="K25" t="s">
        <v>280</v>
      </c>
    </row>
    <row r="26" spans="2:11">
      <c r="B26" s="13" t="s">
        <v>1</v>
      </c>
      <c r="C26" s="13" t="s">
        <v>26</v>
      </c>
      <c r="D26" s="29" t="s">
        <v>115</v>
      </c>
    </row>
    <row r="27" spans="2:11">
      <c r="B27" s="13" t="s">
        <v>1</v>
      </c>
      <c r="C27" s="13" t="s">
        <v>27</v>
      </c>
      <c r="D27" s="29" t="s">
        <v>115</v>
      </c>
      <c r="F27" s="149" t="s">
        <v>271</v>
      </c>
      <c r="G27" t="s">
        <v>272</v>
      </c>
      <c r="J27" s="149" t="s">
        <v>271</v>
      </c>
      <c r="K27" t="s">
        <v>272</v>
      </c>
    </row>
    <row r="28" spans="2:11">
      <c r="B28" s="13" t="s">
        <v>1</v>
      </c>
      <c r="C28" s="13" t="s">
        <v>28</v>
      </c>
      <c r="D28" s="29" t="s">
        <v>115</v>
      </c>
      <c r="F28" s="150" t="s">
        <v>115</v>
      </c>
      <c r="G28" s="297">
        <v>2</v>
      </c>
      <c r="J28" s="150" t="s">
        <v>115</v>
      </c>
      <c r="K28" s="297">
        <v>4</v>
      </c>
    </row>
    <row r="29" spans="2:11">
      <c r="B29" s="13" t="s">
        <v>1</v>
      </c>
      <c r="C29" s="13" t="s">
        <v>29</v>
      </c>
      <c r="D29" s="29" t="s">
        <v>115</v>
      </c>
      <c r="F29" s="150" t="s">
        <v>117</v>
      </c>
      <c r="G29" s="297">
        <v>4</v>
      </c>
      <c r="J29" s="150" t="s">
        <v>117</v>
      </c>
      <c r="K29" s="297">
        <v>1</v>
      </c>
    </row>
    <row r="30" spans="2:11">
      <c r="B30" s="13" t="s">
        <v>1</v>
      </c>
      <c r="C30" s="13" t="s">
        <v>30</v>
      </c>
      <c r="D30" s="29" t="s">
        <v>117</v>
      </c>
    </row>
    <row r="31" spans="2:11">
      <c r="B31" s="13" t="s">
        <v>1</v>
      </c>
      <c r="C31" s="13" t="s">
        <v>31</v>
      </c>
      <c r="D31" s="29" t="s">
        <v>115</v>
      </c>
    </row>
    <row r="32" spans="2:11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117</v>
      </c>
    </row>
    <row r="34" spans="2:4">
      <c r="B34" s="13" t="s">
        <v>1</v>
      </c>
      <c r="C34" s="13" t="s">
        <v>34</v>
      </c>
      <c r="D34" s="29" t="s">
        <v>117</v>
      </c>
    </row>
    <row r="35" spans="2:4">
      <c r="B35" s="13" t="s">
        <v>1</v>
      </c>
      <c r="C35" s="13" t="s">
        <v>35</v>
      </c>
      <c r="D35" s="29" t="s">
        <v>125</v>
      </c>
    </row>
    <row r="36" spans="2:4">
      <c r="B36" s="13" t="s">
        <v>1</v>
      </c>
      <c r="C36" s="13" t="s">
        <v>36</v>
      </c>
      <c r="D36" s="29" t="s">
        <v>115</v>
      </c>
    </row>
    <row r="37" spans="2:4">
      <c r="B37" s="13" t="s">
        <v>1</v>
      </c>
      <c r="C37" s="13" t="s">
        <v>37</v>
      </c>
      <c r="D37" s="29" t="s">
        <v>125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125</v>
      </c>
    </row>
    <row r="40" spans="2:4">
      <c r="B40" s="13" t="s">
        <v>1</v>
      </c>
      <c r="C40" s="13" t="s">
        <v>40</v>
      </c>
      <c r="D40" s="29" t="s">
        <v>117</v>
      </c>
    </row>
    <row r="41" spans="2:4">
      <c r="B41" s="13" t="s">
        <v>1</v>
      </c>
      <c r="C41" s="13" t="s">
        <v>41</v>
      </c>
      <c r="D41" s="29" t="s">
        <v>117</v>
      </c>
    </row>
    <row r="42" spans="2:4">
      <c r="B42" s="13" t="s">
        <v>1</v>
      </c>
      <c r="C42" s="13" t="s">
        <v>42</v>
      </c>
      <c r="D42" s="29" t="s">
        <v>125</v>
      </c>
    </row>
    <row r="43" spans="2:4">
      <c r="B43" s="13" t="s">
        <v>1</v>
      </c>
      <c r="C43" s="13" t="s">
        <v>43</v>
      </c>
      <c r="D43" s="29" t="s">
        <v>117</v>
      </c>
    </row>
    <row r="44" spans="2:4">
      <c r="B44" s="13" t="s">
        <v>1</v>
      </c>
      <c r="C44" s="13" t="s">
        <v>44</v>
      </c>
      <c r="D44" s="29" t="s">
        <v>117</v>
      </c>
    </row>
    <row r="45" spans="2:4">
      <c r="B45" s="13" t="s">
        <v>1</v>
      </c>
      <c r="C45" s="13" t="s">
        <v>45</v>
      </c>
      <c r="D45" s="29" t="s">
        <v>125</v>
      </c>
    </row>
    <row r="46" spans="2:4">
      <c r="B46" s="13" t="s">
        <v>1</v>
      </c>
      <c r="C46" s="13" t="s">
        <v>46</v>
      </c>
      <c r="D46" s="29" t="s">
        <v>117</v>
      </c>
    </row>
    <row r="47" spans="2:4">
      <c r="B47" s="13" t="s">
        <v>1</v>
      </c>
      <c r="C47" s="13" t="s">
        <v>47</v>
      </c>
      <c r="D47" s="29" t="s">
        <v>117</v>
      </c>
    </row>
    <row r="48" spans="2:4">
      <c r="B48" s="13" t="s">
        <v>1</v>
      </c>
      <c r="C48" s="13" t="s">
        <v>48</v>
      </c>
      <c r="D48" s="29" t="s">
        <v>117</v>
      </c>
    </row>
    <row r="49" spans="2:4">
      <c r="B49" s="13" t="s">
        <v>1</v>
      </c>
      <c r="C49" s="13" t="s">
        <v>49</v>
      </c>
      <c r="D49" s="29" t="s">
        <v>117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125</v>
      </c>
    </row>
    <row r="53" spans="2:4">
      <c r="B53" s="13" t="s">
        <v>1</v>
      </c>
      <c r="C53" s="13" t="s">
        <v>53</v>
      </c>
      <c r="D53" s="29" t="s">
        <v>117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115</v>
      </c>
    </row>
    <row r="57" spans="2:4">
      <c r="B57" s="13" t="s">
        <v>55</v>
      </c>
      <c r="C57" s="13" t="s">
        <v>38</v>
      </c>
      <c r="D57" s="29" t="s">
        <v>115</v>
      </c>
    </row>
    <row r="58" spans="2:4">
      <c r="B58" s="13" t="s">
        <v>55</v>
      </c>
      <c r="C58" s="13" t="s">
        <v>56</v>
      </c>
      <c r="D58" s="29" t="s">
        <v>115</v>
      </c>
    </row>
    <row r="59" spans="2:4">
      <c r="B59" s="13" t="s">
        <v>55</v>
      </c>
      <c r="C59" s="13" t="s">
        <v>57</v>
      </c>
      <c r="D59" s="29" t="s">
        <v>115</v>
      </c>
    </row>
    <row r="60" spans="2:4">
      <c r="B60" s="13" t="s">
        <v>55</v>
      </c>
      <c r="C60" s="13" t="s">
        <v>58</v>
      </c>
      <c r="D60" s="29" t="s">
        <v>117</v>
      </c>
    </row>
    <row r="61" spans="2:4">
      <c r="B61" s="13" t="s">
        <v>55</v>
      </c>
      <c r="C61" s="13" t="s">
        <v>59</v>
      </c>
      <c r="D61" s="29" t="s">
        <v>115</v>
      </c>
    </row>
    <row r="62" spans="2:4">
      <c r="B62" s="13" t="s">
        <v>55</v>
      </c>
      <c r="C62" s="13" t="s">
        <v>60</v>
      </c>
      <c r="D62" s="29" t="s">
        <v>117</v>
      </c>
    </row>
    <row r="63" spans="2:4">
      <c r="B63" s="13" t="s">
        <v>61</v>
      </c>
      <c r="C63" s="13" t="s">
        <v>90</v>
      </c>
      <c r="D63" s="29" t="s">
        <v>115</v>
      </c>
    </row>
    <row r="64" spans="2:4">
      <c r="B64" s="13" t="s">
        <v>61</v>
      </c>
      <c r="C64" s="13" t="s">
        <v>36</v>
      </c>
      <c r="D64" s="29" t="s">
        <v>115</v>
      </c>
    </row>
    <row r="65" spans="2:4">
      <c r="B65" s="13" t="s">
        <v>61</v>
      </c>
      <c r="C65" s="13" t="s">
        <v>38</v>
      </c>
      <c r="D65" s="29" t="s">
        <v>115</v>
      </c>
    </row>
    <row r="66" spans="2:4">
      <c r="B66" s="13" t="s">
        <v>61</v>
      </c>
      <c r="C66" s="13" t="s">
        <v>54</v>
      </c>
      <c r="D66" s="29" t="s">
        <v>115</v>
      </c>
    </row>
    <row r="67" spans="2:4">
      <c r="B67" s="13" t="s">
        <v>61</v>
      </c>
      <c r="C67" s="13" t="s">
        <v>56</v>
      </c>
      <c r="D67" s="29" t="s">
        <v>115</v>
      </c>
    </row>
    <row r="68" spans="2:4">
      <c r="B68" s="13" t="s">
        <v>61</v>
      </c>
      <c r="C68" s="13" t="s">
        <v>62</v>
      </c>
      <c r="D68" s="29" t="s">
        <v>117</v>
      </c>
    </row>
    <row r="69" spans="2:4">
      <c r="B69" s="13" t="s">
        <v>63</v>
      </c>
      <c r="C69" s="13" t="s">
        <v>90</v>
      </c>
      <c r="D69" s="29" t="s">
        <v>117</v>
      </c>
    </row>
    <row r="70" spans="2:4">
      <c r="B70" s="13" t="s">
        <v>63</v>
      </c>
      <c r="C70" s="13" t="s">
        <v>64</v>
      </c>
      <c r="D70" s="29" t="s">
        <v>117</v>
      </c>
    </row>
    <row r="71" spans="2:4">
      <c r="B71" s="13" t="s">
        <v>63</v>
      </c>
      <c r="C71" s="13" t="s">
        <v>65</v>
      </c>
      <c r="D71" s="29" t="s">
        <v>117</v>
      </c>
    </row>
    <row r="72" spans="2:4">
      <c r="B72" s="13" t="s">
        <v>63</v>
      </c>
      <c r="C72" s="13" t="s">
        <v>66</v>
      </c>
      <c r="D72" s="29" t="s">
        <v>117</v>
      </c>
    </row>
    <row r="73" spans="2:4">
      <c r="B73" s="13" t="s">
        <v>63</v>
      </c>
      <c r="C73" s="13" t="s">
        <v>36</v>
      </c>
      <c r="D73" s="29" t="s">
        <v>115</v>
      </c>
    </row>
    <row r="74" spans="2:4">
      <c r="B74" s="13" t="s">
        <v>63</v>
      </c>
      <c r="C74" s="13" t="s">
        <v>38</v>
      </c>
      <c r="D74" s="29" t="s">
        <v>115</v>
      </c>
    </row>
    <row r="75" spans="2:4">
      <c r="B75" s="13" t="s">
        <v>63</v>
      </c>
      <c r="C75" s="13" t="s">
        <v>54</v>
      </c>
      <c r="D75" s="29" t="s">
        <v>117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925BCB2-FC3F-4A74-8C63-0E65A577F9ED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548C09C8-3090-42BB-86ED-4BDC3EB4ACC5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85F513D6-6824-448C-AB32-7726A9FBFF6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604BE10A-8360-4832-9B65-3DC6B2B5931E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32980024-D5E4-40D1-B85E-B8EAF3897610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77AA6C34-7CBA-484E-9B0A-0F751166EF25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608D243-4F86-402D-960C-B38CB3C32A56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886A7F-7E83-41E4-B48C-3BAF765EFE54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" customHeight="1"/>
    <row r="9" spans="1:52">
      <c r="B9" s="162" t="s">
        <v>281</v>
      </c>
      <c r="C9" s="105" t="s">
        <v>251</v>
      </c>
    </row>
    <row r="10" spans="1:52" ht="13.8">
      <c r="B10" s="92" t="s">
        <v>246</v>
      </c>
      <c r="C10" s="105" t="s">
        <v>253</v>
      </c>
    </row>
    <row r="11" spans="1:52" ht="14.4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74" t="s">
        <v>135</v>
      </c>
      <c r="H14" s="284"/>
      <c r="I14" s="284"/>
      <c r="J14" s="275"/>
      <c r="K14" s="274" t="s">
        <v>136</v>
      </c>
      <c r="L14" s="284"/>
      <c r="M14" s="284"/>
      <c r="N14" s="284"/>
      <c r="O14" s="275"/>
      <c r="P14" s="274" t="s">
        <v>137</v>
      </c>
      <c r="Q14" s="284"/>
      <c r="R14" s="284"/>
      <c r="S14" s="284"/>
      <c r="T14" s="275"/>
      <c r="U14" s="274" t="s">
        <v>138</v>
      </c>
      <c r="V14" s="284"/>
      <c r="W14" s="284"/>
      <c r="X14" s="284"/>
      <c r="Y14" s="284"/>
      <c r="Z14" s="274" t="s">
        <v>139</v>
      </c>
      <c r="AA14" s="284"/>
      <c r="AB14" s="284"/>
      <c r="AC14" s="284"/>
      <c r="AD14" s="284"/>
      <c r="AE14" s="275"/>
      <c r="AF14" s="274" t="s">
        <v>140</v>
      </c>
      <c r="AG14" s="284"/>
      <c r="AH14" s="284"/>
      <c r="AI14" s="284"/>
      <c r="AJ14" s="284"/>
      <c r="AK14" s="274" t="s">
        <v>141</v>
      </c>
      <c r="AL14" s="284"/>
      <c r="AM14" s="284"/>
      <c r="AN14" s="275"/>
      <c r="AO14" s="274" t="s">
        <v>142</v>
      </c>
      <c r="AP14" s="284"/>
      <c r="AQ14" s="284"/>
      <c r="AR14" s="284"/>
      <c r="AS14" s="284"/>
      <c r="AT14" s="274" t="s">
        <v>143</v>
      </c>
      <c r="AU14" s="284"/>
      <c r="AV14" s="284"/>
      <c r="AW14" s="284"/>
      <c r="AX14" s="284"/>
      <c r="AY14" s="275"/>
    </row>
    <row r="15" spans="1:52" ht="15" customHeight="1" thickBot="1">
      <c r="B15" s="50" t="s">
        <v>128</v>
      </c>
      <c r="C15" s="274" t="s">
        <v>129</v>
      </c>
      <c r="D15" s="275"/>
      <c r="E15" s="50" t="s">
        <v>130</v>
      </c>
      <c r="G15" s="281" t="s">
        <v>257</v>
      </c>
      <c r="H15" s="282"/>
      <c r="I15" s="282"/>
      <c r="J15" s="283"/>
      <c r="K15" s="281" t="s">
        <v>258</v>
      </c>
      <c r="L15" s="282"/>
      <c r="M15" s="282"/>
      <c r="N15" s="282"/>
      <c r="O15" s="283"/>
      <c r="P15" s="281" t="s">
        <v>259</v>
      </c>
      <c r="Q15" s="282"/>
      <c r="R15" s="282"/>
      <c r="S15" s="282"/>
      <c r="T15" s="283"/>
      <c r="U15" s="281" t="s">
        <v>260</v>
      </c>
      <c r="V15" s="282"/>
      <c r="W15" s="282"/>
      <c r="X15" s="282"/>
      <c r="Y15" s="283"/>
      <c r="Z15" s="278" t="s">
        <v>261</v>
      </c>
      <c r="AA15" s="279"/>
      <c r="AB15" s="279"/>
      <c r="AC15" s="279"/>
      <c r="AD15" s="279"/>
      <c r="AE15" s="280"/>
      <c r="AF15" s="281" t="s">
        <v>262</v>
      </c>
      <c r="AG15" s="282"/>
      <c r="AH15" s="282"/>
      <c r="AI15" s="282"/>
      <c r="AJ15" s="283"/>
      <c r="AK15" s="281" t="s">
        <v>263</v>
      </c>
      <c r="AL15" s="282"/>
      <c r="AM15" s="282"/>
      <c r="AN15" s="283"/>
      <c r="AO15" s="281" t="s">
        <v>264</v>
      </c>
      <c r="AP15" s="282"/>
      <c r="AQ15" s="282"/>
      <c r="AR15" s="282"/>
      <c r="AS15" s="283"/>
      <c r="AT15" s="281" t="s">
        <v>265</v>
      </c>
      <c r="AU15" s="282"/>
      <c r="AV15" s="282"/>
      <c r="AW15" s="282"/>
      <c r="AX15" s="282"/>
      <c r="AY15" s="283"/>
    </row>
    <row r="16" spans="1:52" s="8" customFormat="1" ht="15" customHeight="1">
      <c r="B16" s="55" t="s">
        <v>144</v>
      </c>
      <c r="C16" s="276" t="s">
        <v>145</v>
      </c>
      <c r="D16" s="276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77" t="s">
        <v>236</v>
      </c>
      <c r="D17" s="277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77" t="s">
        <v>148</v>
      </c>
      <c r="D18" s="277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73" t="s">
        <v>150</v>
      </c>
      <c r="D19" s="273"/>
      <c r="E19" s="53"/>
      <c r="G19" s="162" t="s">
        <v>281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73" t="s">
        <v>167</v>
      </c>
      <c r="D33" s="273"/>
      <c r="E33" s="53"/>
      <c r="G33" s="162" t="s">
        <v>281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73" t="s">
        <v>183</v>
      </c>
      <c r="D48" s="273"/>
      <c r="E48" s="53"/>
      <c r="G48" s="54"/>
      <c r="H48" s="54"/>
      <c r="I48" s="54"/>
      <c r="J48" s="119"/>
      <c r="K48" s="54"/>
      <c r="L48" s="162" t="s">
        <v>281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164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164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73" t="s">
        <v>200</v>
      </c>
      <c r="D61" s="273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281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164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164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164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164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73" t="s">
        <v>228</v>
      </c>
      <c r="D88" s="273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281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164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164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164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73" t="s">
        <v>239</v>
      </c>
      <c r="D97" s="273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73" t="s">
        <v>243</v>
      </c>
      <c r="D99" s="273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9" width="8.6640625" style="3" customWidth="1"/>
    <col min="10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" customHeight="1"/>
    <row r="9" spans="1:78">
      <c r="B9" s="162" t="s">
        <v>281</v>
      </c>
      <c r="C9" s="105" t="s">
        <v>251</v>
      </c>
    </row>
    <row r="10" spans="1:78" ht="13.8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256</v>
      </c>
    </row>
    <row r="15" spans="1:78" ht="15" customHeight="1" thickBot="1">
      <c r="F15" s="287" t="s">
        <v>131</v>
      </c>
      <c r="G15" s="287"/>
      <c r="H15" s="287" t="s">
        <v>134</v>
      </c>
      <c r="I15" s="287"/>
      <c r="J15" s="286" t="s">
        <v>114</v>
      </c>
      <c r="K15" s="286"/>
      <c r="L15" s="11"/>
      <c r="M15" s="11"/>
      <c r="O15" s="285" t="s">
        <v>135</v>
      </c>
      <c r="P15" s="285"/>
      <c r="Q15" s="285"/>
      <c r="R15" s="285"/>
      <c r="S15" s="285"/>
      <c r="T15" s="285"/>
      <c r="U15" s="285"/>
      <c r="V15" s="285" t="s">
        <v>136</v>
      </c>
      <c r="W15" s="285"/>
      <c r="X15" s="285"/>
      <c r="Y15" s="285"/>
      <c r="Z15" s="285"/>
      <c r="AA15" s="285"/>
      <c r="AB15" s="285"/>
      <c r="AC15" s="285" t="s">
        <v>137</v>
      </c>
      <c r="AD15" s="285"/>
      <c r="AE15" s="285"/>
      <c r="AF15" s="285"/>
      <c r="AG15" s="285"/>
      <c r="AH15" s="285"/>
      <c r="AI15" s="285"/>
      <c r="AJ15" s="285" t="s">
        <v>138</v>
      </c>
      <c r="AK15" s="285"/>
      <c r="AL15" s="285"/>
      <c r="AM15" s="285"/>
      <c r="AN15" s="285"/>
      <c r="AO15" s="285"/>
      <c r="AP15" s="285"/>
      <c r="AQ15" s="285" t="s">
        <v>139</v>
      </c>
      <c r="AR15" s="285"/>
      <c r="AS15" s="285"/>
      <c r="AT15" s="285"/>
      <c r="AU15" s="285"/>
      <c r="AV15" s="285"/>
      <c r="AW15" s="285"/>
      <c r="AX15" s="285" t="s">
        <v>140</v>
      </c>
      <c r="AY15" s="285"/>
      <c r="AZ15" s="285"/>
      <c r="BA15" s="285"/>
      <c r="BB15" s="285"/>
      <c r="BC15" s="285"/>
      <c r="BD15" s="285"/>
      <c r="BE15" s="285" t="s">
        <v>141</v>
      </c>
      <c r="BF15" s="285"/>
      <c r="BG15" s="285"/>
      <c r="BH15" s="285"/>
      <c r="BI15" s="285"/>
      <c r="BJ15" s="285"/>
      <c r="BK15" s="285"/>
      <c r="BL15" s="285" t="s">
        <v>142</v>
      </c>
      <c r="BM15" s="285"/>
      <c r="BN15" s="285"/>
      <c r="BO15" s="285"/>
      <c r="BP15" s="285"/>
      <c r="BQ15" s="285"/>
      <c r="BR15" s="285"/>
      <c r="BS15" s="285" t="s">
        <v>143</v>
      </c>
      <c r="BT15" s="285"/>
      <c r="BU15" s="285"/>
      <c r="BV15" s="285"/>
      <c r="BW15" s="285"/>
      <c r="BX15" s="285"/>
      <c r="BY15" s="285"/>
    </row>
    <row r="16" spans="1:78" ht="15" customHeight="1" thickBot="1">
      <c r="B16" s="50" t="s">
        <v>128</v>
      </c>
      <c r="C16" s="274" t="s">
        <v>129</v>
      </c>
      <c r="D16" s="275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76" t="s">
        <v>145</v>
      </c>
      <c r="D17" s="276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77" t="s">
        <v>236</v>
      </c>
      <c r="D18" s="277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77" t="s">
        <v>148</v>
      </c>
      <c r="D19" s="277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73" t="s">
        <v>150</v>
      </c>
      <c r="D20" s="273"/>
      <c r="E20" s="53"/>
      <c r="F20" s="53"/>
      <c r="G20" s="53"/>
      <c r="H20" s="53"/>
      <c r="I20" s="96"/>
      <c r="J20" s="96"/>
      <c r="K20" s="96"/>
      <c r="L20" s="53"/>
      <c r="O20" s="162" t="s">
        <v>281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164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164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218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8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218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218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218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218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218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218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218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164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164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73" t="s">
        <v>167</v>
      </c>
      <c r="D34" s="273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281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219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219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219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220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219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219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134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134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7</v>
      </c>
      <c r="I45" s="82">
        <f t="shared" ca="1" si="8"/>
        <v>0.875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73" t="s">
        <v>183</v>
      </c>
      <c r="D49" s="273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281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221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21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221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164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221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21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134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134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134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134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221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134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73" t="s">
        <v>200</v>
      </c>
      <c r="D62" s="273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281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59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73" t="s">
        <v>228</v>
      </c>
      <c r="D89" s="273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281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73" t="s">
        <v>239</v>
      </c>
      <c r="D98" s="273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281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73" t="s">
        <v>243</v>
      </c>
      <c r="D100" s="273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281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W81"/>
  <sheetViews>
    <sheetView showGridLines="0" tabSelected="1" zoomScale="9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85" sqref="C85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9" width="20.6640625" style="3" customWidth="1"/>
    <col min="20" max="20" width="2.6640625" style="3" customWidth="1"/>
    <col min="21" max="22" width="22.6640625" style="3" customWidth="1"/>
    <col min="23" max="23" width="3.6640625" style="3" customWidth="1"/>
    <col min="24" max="16384" width="8.88671875" style="3" hidden="1"/>
  </cols>
  <sheetData>
    <row r="1" spans="1:23" ht="16.2" customHeight="1">
      <c r="L1" s="3"/>
    </row>
    <row r="2" spans="1:23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88" t="s">
        <v>69</v>
      </c>
      <c r="J7" s="288"/>
      <c r="K7" s="288"/>
      <c r="Q7" s="289" t="s">
        <v>89</v>
      </c>
      <c r="R7" s="290"/>
      <c r="S7" s="291"/>
    </row>
    <row r="8" spans="1:23" ht="15" customHeight="1">
      <c r="B8" s="22" t="s">
        <v>80</v>
      </c>
      <c r="C8" s="23" t="s">
        <v>81</v>
      </c>
      <c r="D8" s="23" t="s">
        <v>291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88</v>
      </c>
      <c r="R8" s="24" t="s">
        <v>83</v>
      </c>
      <c r="S8" s="25" t="s">
        <v>87</v>
      </c>
      <c r="U8" s="12" t="s">
        <v>112</v>
      </c>
      <c r="V8" s="30" t="s">
        <v>113</v>
      </c>
    </row>
    <row r="9" spans="1:23" hidden="1">
      <c r="B9" s="13" t="s">
        <v>1</v>
      </c>
      <c r="C9" s="13" t="s">
        <v>90</v>
      </c>
      <c r="D9" s="13" t="str">
        <f t="shared" ref="D9:D40" si="0">_xlfn.CONCAT(B9,C9)</f>
        <v>lt002_instrumentUNIVERSO</v>
      </c>
      <c r="E9" s="14" t="s">
        <v>91</v>
      </c>
      <c r="F9" s="14" t="s">
        <v>91</v>
      </c>
      <c r="G9" s="14" t="s">
        <v>91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 t="s">
        <v>298</v>
      </c>
      <c r="O9" s="14" t="s">
        <v>282</v>
      </c>
      <c r="Q9" s="15">
        <v>45814</v>
      </c>
      <c r="R9" s="15">
        <v>45841</v>
      </c>
      <c r="S9" s="15"/>
      <c r="U9" s="29" t="s">
        <v>117</v>
      </c>
      <c r="V9" s="29" t="s">
        <v>117</v>
      </c>
    </row>
    <row r="10" spans="1:23" hidden="1">
      <c r="B10" s="18" t="s">
        <v>1</v>
      </c>
      <c r="C10" s="18" t="s">
        <v>2</v>
      </c>
      <c r="D10" s="197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282</v>
      </c>
      <c r="O10" s="14" t="s">
        <v>282</v>
      </c>
      <c r="Q10" s="20">
        <v>45803</v>
      </c>
      <c r="R10" s="226">
        <v>45841</v>
      </c>
      <c r="S10" s="20"/>
      <c r="U10" s="29" t="s">
        <v>117</v>
      </c>
      <c r="V10" s="29" t="s">
        <v>117</v>
      </c>
    </row>
    <row r="11" spans="1:23" hidden="1"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>
        <v>45834</v>
      </c>
      <c r="S11" s="15"/>
      <c r="U11" s="29" t="s">
        <v>117</v>
      </c>
      <c r="V11" s="29" t="s">
        <v>118</v>
      </c>
    </row>
    <row r="12" spans="1:23" hidden="1"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282</v>
      </c>
      <c r="O12" s="14" t="s">
        <v>282</v>
      </c>
      <c r="Q12" s="194">
        <v>45803</v>
      </c>
      <c r="R12" s="226" t="s">
        <v>376</v>
      </c>
      <c r="S12" s="15"/>
      <c r="U12" s="29" t="s">
        <v>117</v>
      </c>
      <c r="V12" s="29" t="s">
        <v>117</v>
      </c>
    </row>
    <row r="13" spans="1:23" hidden="1"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282</v>
      </c>
      <c r="O13" s="14" t="s">
        <v>282</v>
      </c>
      <c r="Q13" s="194">
        <v>45803</v>
      </c>
      <c r="R13" s="226"/>
      <c r="S13" s="15"/>
      <c r="U13" s="29" t="s">
        <v>117</v>
      </c>
      <c r="V13" s="29" t="s">
        <v>117</v>
      </c>
    </row>
    <row r="14" spans="1:23" hidden="1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282</v>
      </c>
      <c r="O14" s="14" t="s">
        <v>282</v>
      </c>
      <c r="Q14" s="20">
        <v>45803</v>
      </c>
      <c r="R14" s="226" t="s">
        <v>376</v>
      </c>
      <c r="S14" s="15"/>
      <c r="U14" s="29" t="s">
        <v>117</v>
      </c>
      <c r="V14" s="29" t="s">
        <v>117</v>
      </c>
    </row>
    <row r="15" spans="1:23" hidden="1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282</v>
      </c>
      <c r="O15" s="14" t="s">
        <v>282</v>
      </c>
      <c r="Q15" s="194">
        <v>45803</v>
      </c>
      <c r="R15" s="226">
        <v>45845</v>
      </c>
      <c r="S15" s="15"/>
      <c r="U15" s="29" t="s">
        <v>117</v>
      </c>
      <c r="V15" s="29" t="s">
        <v>117</v>
      </c>
    </row>
    <row r="16" spans="1:23" hidden="1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3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>
        <v>45833</v>
      </c>
      <c r="R16" s="15"/>
      <c r="S16" s="15"/>
      <c r="U16" s="29" t="s">
        <v>117</v>
      </c>
      <c r="V16" s="29" t="s">
        <v>118</v>
      </c>
    </row>
    <row r="17" spans="2:22" hidden="1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>
        <v>45833</v>
      </c>
      <c r="R17" s="15"/>
      <c r="S17" s="15"/>
      <c r="U17" s="29" t="s">
        <v>117</v>
      </c>
      <c r="V17" s="29" t="s">
        <v>125</v>
      </c>
    </row>
    <row r="18" spans="2:22" hidden="1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282</v>
      </c>
      <c r="O18" s="14" t="s">
        <v>282</v>
      </c>
      <c r="Q18" s="194">
        <v>45803</v>
      </c>
      <c r="R18" s="226"/>
      <c r="S18" s="15"/>
      <c r="U18" s="29" t="s">
        <v>117</v>
      </c>
      <c r="V18" s="29" t="s">
        <v>117</v>
      </c>
    </row>
    <row r="19" spans="2:22" hidden="1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282</v>
      </c>
      <c r="O19" s="14" t="s">
        <v>282</v>
      </c>
      <c r="Q19" s="20">
        <v>45803</v>
      </c>
      <c r="R19" s="226" t="s">
        <v>376</v>
      </c>
      <c r="S19" s="15"/>
      <c r="U19" s="29" t="s">
        <v>117</v>
      </c>
      <c r="V19" s="29" t="s">
        <v>117</v>
      </c>
    </row>
    <row r="20" spans="2:22" hidden="1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298</v>
      </c>
      <c r="O20" s="14" t="s">
        <v>282</v>
      </c>
      <c r="Q20" s="20">
        <v>45804</v>
      </c>
      <c r="R20" s="15">
        <v>45845</v>
      </c>
      <c r="S20" s="15"/>
      <c r="U20" s="29" t="s">
        <v>117</v>
      </c>
      <c r="V20" s="29" t="s">
        <v>117</v>
      </c>
    </row>
    <row r="21" spans="2:22" hidden="1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115</v>
      </c>
      <c r="V21" s="29" t="s">
        <v>115</v>
      </c>
    </row>
    <row r="22" spans="2:22" hidden="1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115</v>
      </c>
      <c r="V22" s="29" t="s">
        <v>115</v>
      </c>
    </row>
    <row r="23" spans="2:22" hidden="1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115</v>
      </c>
      <c r="V23" s="29" t="s">
        <v>115</v>
      </c>
    </row>
    <row r="24" spans="2:22" hidden="1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282</v>
      </c>
      <c r="O24" s="14" t="s">
        <v>282</v>
      </c>
      <c r="Q24" s="194">
        <v>45803</v>
      </c>
      <c r="R24" s="226">
        <v>45841</v>
      </c>
      <c r="S24" s="15"/>
      <c r="U24" s="29" t="s">
        <v>117</v>
      </c>
      <c r="V24" s="29" t="s">
        <v>117</v>
      </c>
    </row>
    <row r="25" spans="2:22" hidden="1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115</v>
      </c>
      <c r="V25" s="29" t="s">
        <v>115</v>
      </c>
    </row>
    <row r="26" spans="2:22" hidden="1"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282</v>
      </c>
      <c r="O26" s="14" t="s">
        <v>282</v>
      </c>
      <c r="Q26" s="194">
        <v>45803</v>
      </c>
      <c r="R26" s="226"/>
      <c r="S26" s="15"/>
      <c r="U26" s="29" t="s">
        <v>117</v>
      </c>
      <c r="V26" s="29" t="s">
        <v>117</v>
      </c>
    </row>
    <row r="27" spans="2:22" hidden="1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282</v>
      </c>
      <c r="O27" s="14" t="s">
        <v>282</v>
      </c>
      <c r="Q27" s="194">
        <v>45803</v>
      </c>
      <c r="R27" s="226"/>
      <c r="S27" s="15"/>
      <c r="U27" s="29" t="s">
        <v>117</v>
      </c>
      <c r="V27" s="29" t="s">
        <v>117</v>
      </c>
    </row>
    <row r="28" spans="2:22" hidden="1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>
        <v>45833</v>
      </c>
      <c r="R28" s="15"/>
      <c r="S28" s="15"/>
      <c r="U28" s="29" t="s">
        <v>117</v>
      </c>
      <c r="V28" s="29" t="s">
        <v>125</v>
      </c>
    </row>
    <row r="29" spans="2:22" hidden="1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282</v>
      </c>
      <c r="O29" s="14" t="s">
        <v>282</v>
      </c>
      <c r="Q29" s="194">
        <v>45803</v>
      </c>
      <c r="R29" s="226" t="s">
        <v>376</v>
      </c>
      <c r="S29" s="15"/>
      <c r="U29" s="29" t="s">
        <v>117</v>
      </c>
      <c r="V29" s="29" t="s">
        <v>117</v>
      </c>
    </row>
    <row r="30" spans="2:22" hidden="1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3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282</v>
      </c>
      <c r="O30" s="14" t="s">
        <v>282</v>
      </c>
      <c r="Q30" s="194">
        <v>45803</v>
      </c>
      <c r="R30" s="226">
        <v>45845</v>
      </c>
      <c r="S30" s="15"/>
      <c r="U30" s="29" t="s">
        <v>117</v>
      </c>
      <c r="V30" s="29" t="s">
        <v>117</v>
      </c>
    </row>
    <row r="31" spans="2:22" hidden="1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115</v>
      </c>
      <c r="V31" s="29" t="s">
        <v>115</v>
      </c>
    </row>
    <row r="32" spans="2:22" hidden="1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115</v>
      </c>
      <c r="V32" s="29" t="s">
        <v>115</v>
      </c>
    </row>
    <row r="33" spans="2:22" hidden="1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115</v>
      </c>
      <c r="V33" s="29" t="s">
        <v>115</v>
      </c>
    </row>
    <row r="34" spans="2:22" hidden="1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115</v>
      </c>
      <c r="V34" s="29" t="s">
        <v>115</v>
      </c>
    </row>
    <row r="35" spans="2:22" hidden="1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115</v>
      </c>
      <c r="V35" s="29" t="s">
        <v>115</v>
      </c>
    </row>
    <row r="36" spans="2:22" hidden="1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 t="s">
        <v>298</v>
      </c>
      <c r="O36" s="14" t="s">
        <v>282</v>
      </c>
      <c r="Q36" s="15">
        <v>45825</v>
      </c>
      <c r="R36" s="15"/>
      <c r="S36" s="15"/>
      <c r="U36" s="29" t="s">
        <v>117</v>
      </c>
      <c r="V36" s="29" t="s">
        <v>118</v>
      </c>
    </row>
    <row r="37" spans="2:22" hidden="1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115</v>
      </c>
      <c r="V37" s="29" t="s">
        <v>115</v>
      </c>
    </row>
    <row r="38" spans="2:22" hidden="1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115</v>
      </c>
      <c r="V38" s="29" t="s">
        <v>115</v>
      </c>
    </row>
    <row r="39" spans="2:22" hidden="1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3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 t="s">
        <v>298</v>
      </c>
      <c r="O39" s="14" t="s">
        <v>282</v>
      </c>
      <c r="Q39" s="15">
        <v>45814</v>
      </c>
      <c r="R39" s="15">
        <v>45841</v>
      </c>
      <c r="S39" s="15"/>
      <c r="U39" s="29" t="s">
        <v>117</v>
      </c>
      <c r="V39" s="29" t="s">
        <v>117</v>
      </c>
    </row>
    <row r="40" spans="2:22" hidden="1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 t="s">
        <v>298</v>
      </c>
      <c r="O40" s="14" t="s">
        <v>282</v>
      </c>
      <c r="Q40" s="15">
        <v>45814</v>
      </c>
      <c r="R40" s="15">
        <v>45841</v>
      </c>
      <c r="S40" s="15"/>
      <c r="U40" s="29" t="s">
        <v>117</v>
      </c>
      <c r="V40" s="29" t="s">
        <v>117</v>
      </c>
    </row>
    <row r="41" spans="2:22" hidden="1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si="1"/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/>
      <c r="R41" s="15"/>
      <c r="S41" s="15"/>
      <c r="U41" s="29" t="s">
        <v>125</v>
      </c>
      <c r="V41" s="29" t="s">
        <v>125</v>
      </c>
    </row>
    <row r="42" spans="2:22" hidden="1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3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115</v>
      </c>
      <c r="V42" s="29" t="s">
        <v>115</v>
      </c>
    </row>
    <row r="43" spans="2:22" hidden="1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3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/>
      <c r="R43" s="15"/>
      <c r="S43" s="15"/>
      <c r="U43" s="29" t="s">
        <v>125</v>
      </c>
      <c r="V43" s="29" t="s">
        <v>125</v>
      </c>
    </row>
    <row r="44" spans="2:22" hidden="1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115</v>
      </c>
      <c r="V44" s="29" t="s">
        <v>115</v>
      </c>
    </row>
    <row r="45" spans="2:22" hidden="1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3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/>
      <c r="R45" s="15"/>
      <c r="S45" s="15"/>
      <c r="U45" s="29" t="s">
        <v>125</v>
      </c>
      <c r="V45" s="29" t="s">
        <v>125</v>
      </c>
    </row>
    <row r="46" spans="2:22" hidden="1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3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 t="s">
        <v>298</v>
      </c>
      <c r="O46" s="14" t="s">
        <v>282</v>
      </c>
      <c r="Q46" s="15">
        <v>45814</v>
      </c>
      <c r="R46" s="15">
        <v>45841</v>
      </c>
      <c r="S46" s="15"/>
      <c r="U46" s="29" t="s">
        <v>117</v>
      </c>
      <c r="V46" s="29" t="s">
        <v>117</v>
      </c>
    </row>
    <row r="47" spans="2:22" hidden="1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3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 t="s">
        <v>298</v>
      </c>
      <c r="O47" s="14" t="s">
        <v>282</v>
      </c>
      <c r="Q47" s="15">
        <v>45814</v>
      </c>
      <c r="R47" s="15">
        <v>45841</v>
      </c>
      <c r="S47" s="15"/>
      <c r="U47" s="29" t="s">
        <v>117</v>
      </c>
      <c r="V47" s="29" t="s">
        <v>117</v>
      </c>
    </row>
    <row r="48" spans="2:22" hidden="1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3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/>
      <c r="R48" s="15"/>
      <c r="S48" s="15"/>
      <c r="U48" s="29" t="s">
        <v>125</v>
      </c>
      <c r="V48" s="29" t="s">
        <v>125</v>
      </c>
    </row>
    <row r="49" spans="2:22" hidden="1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3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 t="s">
        <v>298</v>
      </c>
      <c r="O49" s="14" t="s">
        <v>282</v>
      </c>
      <c r="Q49" s="15">
        <v>45814</v>
      </c>
      <c r="R49" s="15">
        <v>45841</v>
      </c>
      <c r="S49" s="15"/>
      <c r="U49" s="29" t="s">
        <v>117</v>
      </c>
      <c r="V49" s="29" t="s">
        <v>117</v>
      </c>
    </row>
    <row r="50" spans="2:22" hidden="1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1"/>
        <v>0</v>
      </c>
      <c r="M50" s="166">
        <f>SUMIFS('Detalhe Testes'!$H:$H,'Detalhe Testes'!$B:$B,'Detalhe Entregas e Status'!B50,'Detalhe Testes'!$C:$C,'Detalhe Entregas e Status'!C50)</f>
        <v>0</v>
      </c>
      <c r="N50" s="14" t="s">
        <v>298</v>
      </c>
      <c r="O50" s="14" t="s">
        <v>282</v>
      </c>
      <c r="Q50" s="15">
        <v>45814</v>
      </c>
      <c r="R50" s="15">
        <v>45841</v>
      </c>
      <c r="S50" s="15"/>
      <c r="U50" s="29" t="s">
        <v>117</v>
      </c>
      <c r="V50" s="29" t="s">
        <v>117</v>
      </c>
    </row>
    <row r="51" spans="2:22" hidden="1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1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/>
      <c r="R51" s="15"/>
      <c r="S51" s="15"/>
      <c r="U51" s="29" t="s">
        <v>125</v>
      </c>
      <c r="V51" s="29" t="s">
        <v>125</v>
      </c>
    </row>
    <row r="52" spans="2:22" hidden="1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1"/>
        <v>0</v>
      </c>
      <c r="M52" s="166">
        <f>SUMIFS('Detalhe Testes'!$H:$H,'Detalhe Testes'!$B:$B,'Detalhe Entregas e Status'!B52,'Detalhe Testes'!$C:$C,'Detalhe Entregas e Status'!C52)</f>
        <v>0</v>
      </c>
      <c r="N52" s="14" t="s">
        <v>298</v>
      </c>
      <c r="O52" s="14" t="s">
        <v>282</v>
      </c>
      <c r="Q52" s="15">
        <v>45814</v>
      </c>
      <c r="R52" s="15">
        <v>45841</v>
      </c>
      <c r="S52" s="15"/>
      <c r="U52" s="29" t="s">
        <v>117</v>
      </c>
      <c r="V52" s="29" t="s">
        <v>117</v>
      </c>
    </row>
    <row r="53" spans="2:22" hidden="1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3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 t="s">
        <v>298</v>
      </c>
      <c r="O53" s="14" t="s">
        <v>282</v>
      </c>
      <c r="Q53" s="15">
        <v>45814</v>
      </c>
      <c r="R53" s="15">
        <v>45841</v>
      </c>
      <c r="S53" s="15"/>
      <c r="U53" s="29" t="s">
        <v>117</v>
      </c>
      <c r="V53" s="29" t="s">
        <v>117</v>
      </c>
    </row>
    <row r="54" spans="2:22" hidden="1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1"/>
        <v>0</v>
      </c>
      <c r="M54" s="166">
        <f>SUMIFS('Detalhe Testes'!$H:$H,'Detalhe Testes'!$B:$B,'Detalhe Entregas e Status'!B54,'Detalhe Testes'!$C:$C,'Detalhe Entregas e Status'!C54)</f>
        <v>0</v>
      </c>
      <c r="N54" s="14" t="s">
        <v>298</v>
      </c>
      <c r="O54" s="14" t="s">
        <v>282</v>
      </c>
      <c r="Q54" s="15">
        <v>45814</v>
      </c>
      <c r="R54" s="15">
        <v>45841</v>
      </c>
      <c r="S54" s="15"/>
      <c r="U54" s="29" t="s">
        <v>117</v>
      </c>
      <c r="V54" s="29" t="s">
        <v>117</v>
      </c>
    </row>
    <row r="55" spans="2:22" hidden="1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1"/>
        <v>0</v>
      </c>
      <c r="M55" s="166">
        <f>SUMIFS('Detalhe Testes'!$H:$H,'Detalhe Testes'!$B:$B,'Detalhe Entregas e Status'!B55,'Detalhe Testes'!$C:$C,'Detalhe Entregas e Status'!C55)</f>
        <v>0</v>
      </c>
      <c r="N55" s="14" t="s">
        <v>298</v>
      </c>
      <c r="O55" s="14" t="s">
        <v>282</v>
      </c>
      <c r="Q55" s="15">
        <v>45814</v>
      </c>
      <c r="R55" s="15">
        <v>45841</v>
      </c>
      <c r="S55" s="15"/>
      <c r="U55" s="29" t="s">
        <v>117</v>
      </c>
      <c r="V55" s="29" t="s">
        <v>117</v>
      </c>
    </row>
    <row r="56" spans="2:22" hidden="1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125</v>
      </c>
      <c r="V56" s="29" t="s">
        <v>125</v>
      </c>
    </row>
    <row r="57" spans="2:22" hidden="1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3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115</v>
      </c>
      <c r="V57" s="29" t="s">
        <v>115</v>
      </c>
    </row>
    <row r="58" spans="2:22" hidden="1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1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U58" s="29" t="s">
        <v>125</v>
      </c>
      <c r="V58" s="29" t="s">
        <v>125</v>
      </c>
    </row>
    <row r="59" spans="2:22" hidden="1"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282</v>
      </c>
      <c r="O59" s="14" t="s">
        <v>282</v>
      </c>
      <c r="Q59" s="194">
        <v>45803</v>
      </c>
      <c r="R59" s="226" t="s">
        <v>376</v>
      </c>
      <c r="S59" s="15"/>
      <c r="U59" s="29" t="s">
        <v>117</v>
      </c>
      <c r="V59" s="29" t="s">
        <v>117</v>
      </c>
    </row>
    <row r="60" spans="2:22" hidden="1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 t="s">
        <v>298</v>
      </c>
      <c r="O60" s="14" t="s">
        <v>282</v>
      </c>
      <c r="Q60" s="15"/>
      <c r="R60" s="15"/>
      <c r="S60" s="15"/>
      <c r="U60" s="29" t="s">
        <v>115</v>
      </c>
      <c r="V60" s="29" t="s">
        <v>115</v>
      </c>
    </row>
    <row r="61" spans="2:22" hidden="1">
      <c r="B61" s="13" t="s">
        <v>55</v>
      </c>
      <c r="C61" s="13" t="s">
        <v>90</v>
      </c>
      <c r="D61" s="13" t="str">
        <f t="shared" si="2"/>
        <v>lt004_protectionUNIVERSO</v>
      </c>
      <c r="E61" s="14" t="s">
        <v>91</v>
      </c>
      <c r="F61" s="14" t="s">
        <v>91</v>
      </c>
      <c r="G61" s="14" t="s">
        <v>91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115</v>
      </c>
      <c r="V61" s="29" t="s">
        <v>115</v>
      </c>
    </row>
    <row r="62" spans="2:22" hidden="1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115</v>
      </c>
      <c r="V62" s="29" t="s">
        <v>115</v>
      </c>
    </row>
    <row r="63" spans="2:22" hidden="1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2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115</v>
      </c>
      <c r="V63" s="29" t="s">
        <v>115</v>
      </c>
    </row>
    <row r="64" spans="2:22" hidden="1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2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115</v>
      </c>
      <c r="V64" s="29" t="s">
        <v>115</v>
      </c>
    </row>
    <row r="65" spans="2:22" hidden="1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2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115</v>
      </c>
      <c r="V65" s="29" t="s">
        <v>115</v>
      </c>
    </row>
    <row r="66" spans="2:22" hidden="1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2">
        <v>45803</v>
      </c>
      <c r="K66" s="14">
        <f t="shared" si="1"/>
        <v>0</v>
      </c>
      <c r="M66" s="166">
        <f>SUMIFS('Detalhe Testes'!$H:$H,'Detalhe Testes'!$B:$B,'Detalhe Entregas e Status'!B66,'Detalhe Testes'!$C:$C,'Detalhe Entregas e Status'!C66)</f>
        <v>24805</v>
      </c>
      <c r="N66" s="14" t="s">
        <v>298</v>
      </c>
      <c r="O66" s="14" t="s">
        <v>282</v>
      </c>
      <c r="Q66" s="15">
        <v>45825</v>
      </c>
      <c r="R66" s="15"/>
      <c r="S66" s="15"/>
      <c r="U66" s="29" t="s">
        <v>117</v>
      </c>
      <c r="V66" s="29" t="s">
        <v>118</v>
      </c>
    </row>
    <row r="67" spans="2:22" hidden="1"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115</v>
      </c>
      <c r="V67" s="29" t="s">
        <v>115</v>
      </c>
    </row>
    <row r="68" spans="2:22" hidden="1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2">
        <v>45810</v>
      </c>
      <c r="K68" s="14">
        <f t="shared" si="1"/>
        <v>7</v>
      </c>
      <c r="M68" s="166">
        <f>SUMIFS('Detalhe Testes'!$H:$H,'Detalhe Testes'!$B:$B,'Detalhe Entregas e Status'!B68,'Detalhe Testes'!$C:$C,'Detalhe Entregas e Status'!C68)</f>
        <v>5163</v>
      </c>
      <c r="N68" s="14" t="s">
        <v>298</v>
      </c>
      <c r="O68" s="14" t="s">
        <v>282</v>
      </c>
      <c r="Q68" s="15">
        <v>45825</v>
      </c>
      <c r="R68" s="15"/>
      <c r="S68" s="15"/>
      <c r="U68" s="29" t="s">
        <v>117</v>
      </c>
      <c r="V68" s="29" t="s">
        <v>118</v>
      </c>
    </row>
    <row r="69" spans="2:22" hidden="1">
      <c r="B69" s="13" t="s">
        <v>61</v>
      </c>
      <c r="C69" s="13" t="s">
        <v>90</v>
      </c>
      <c r="D69" s="13" t="str">
        <f t="shared" si="2"/>
        <v>lt006_instr_protectionUNIVERSO</v>
      </c>
      <c r="E69" s="14" t="s">
        <v>91</v>
      </c>
      <c r="F69" s="14" t="s">
        <v>91</v>
      </c>
      <c r="G69" s="14" t="s">
        <v>91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115</v>
      </c>
      <c r="V69" s="29" t="s">
        <v>115</v>
      </c>
    </row>
    <row r="70" spans="2:22" hidden="1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2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115</v>
      </c>
      <c r="V70" s="29" t="s">
        <v>115</v>
      </c>
    </row>
    <row r="71" spans="2:22" hidden="1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2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115</v>
      </c>
      <c r="V71" s="29" t="s">
        <v>115</v>
      </c>
    </row>
    <row r="72" spans="2:22" hidden="1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2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115</v>
      </c>
      <c r="V72" s="29" t="s">
        <v>115</v>
      </c>
    </row>
    <row r="73" spans="2:22" hidden="1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2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115</v>
      </c>
      <c r="V73" s="29" t="s">
        <v>115</v>
      </c>
    </row>
    <row r="74" spans="2:22" hidden="1">
      <c r="B74" s="13" t="s">
        <v>61</v>
      </c>
      <c r="C74" s="13" t="s">
        <v>62</v>
      </c>
      <c r="D74" s="197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>
        <v>45826</v>
      </c>
      <c r="R74" s="15"/>
      <c r="S74" s="15"/>
      <c r="U74" s="29" t="s">
        <v>117</v>
      </c>
      <c r="V74" s="29" t="s">
        <v>118</v>
      </c>
    </row>
    <row r="75" spans="2:22">
      <c r="B75" s="13" t="s">
        <v>63</v>
      </c>
      <c r="C75" s="13" t="s">
        <v>90</v>
      </c>
      <c r="D75" s="13" t="str">
        <f t="shared" si="3"/>
        <v>lt007_instr_activityUNIVERSO</v>
      </c>
      <c r="E75" s="14" t="s">
        <v>91</v>
      </c>
      <c r="F75" s="14" t="s">
        <v>91</v>
      </c>
      <c r="G75" s="14" t="s">
        <v>91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>
        <v>45832</v>
      </c>
      <c r="R75" s="15"/>
      <c r="S75" s="15"/>
      <c r="U75" s="29" t="s">
        <v>117</v>
      </c>
      <c r="V75" s="29" t="s">
        <v>125</v>
      </c>
    </row>
    <row r="76" spans="2:22"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>
        <v>45832</v>
      </c>
      <c r="R76" s="15"/>
      <c r="S76" s="15"/>
      <c r="U76" s="29" t="s">
        <v>117</v>
      </c>
      <c r="V76" s="29" t="s">
        <v>125</v>
      </c>
    </row>
    <row r="77" spans="2:22"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3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>
        <v>45832</v>
      </c>
      <c r="R77" s="15"/>
      <c r="S77" s="15"/>
      <c r="U77" s="29" t="s">
        <v>117</v>
      </c>
      <c r="V77" s="29" t="s">
        <v>125</v>
      </c>
    </row>
    <row r="78" spans="2:22"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>
        <v>45832</v>
      </c>
      <c r="R78" s="15"/>
      <c r="S78" s="15"/>
      <c r="U78" s="29" t="s">
        <v>117</v>
      </c>
      <c r="V78" s="29" t="s">
        <v>125</v>
      </c>
    </row>
    <row r="79" spans="2:22" hidden="1"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115</v>
      </c>
      <c r="V79" s="29" t="s">
        <v>125</v>
      </c>
    </row>
    <row r="80" spans="2:22" hidden="1"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115</v>
      </c>
      <c r="V80" s="29" t="s">
        <v>125</v>
      </c>
    </row>
    <row r="81" spans="2:22"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>
        <v>45832</v>
      </c>
      <c r="R81" s="15"/>
      <c r="S81" s="15"/>
      <c r="U81" s="29" t="s">
        <v>117</v>
      </c>
      <c r="V81" s="29" t="s">
        <v>125</v>
      </c>
    </row>
  </sheetData>
  <autoFilter ref="A8:W81" xr:uid="{B42690F1-F88C-47BB-A452-DBF1CCF20DAA}">
    <filterColumn colId="1">
      <filters>
        <filter val="lt007_instr_activity"/>
      </filters>
    </filterColumn>
    <filterColumn colId="20">
      <filters>
        <filter val="4. Em Correção"/>
      </filters>
    </filterColumn>
  </autoFilter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3" width="8.88671875" style="3"/>
    <col min="16384" max="16384" width="8.88671875" style="3" bestFit="1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301</v>
      </c>
      <c r="K7" s="288" t="s">
        <v>266</v>
      </c>
      <c r="L7" s="288"/>
      <c r="M7" s="288"/>
      <c r="N7" s="288"/>
      <c r="O7" s="288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96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199" t="s">
        <v>293</v>
      </c>
      <c r="K9" s="165">
        <v>534004</v>
      </c>
      <c r="L9" s="165">
        <v>534004</v>
      </c>
      <c r="M9" s="165">
        <v>91804</v>
      </c>
      <c r="N9" s="165"/>
      <c r="O9" s="165"/>
      <c r="P9" s="198"/>
    </row>
    <row r="10" spans="1:32" ht="15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361</v>
      </c>
      <c r="J10" s="199" t="s">
        <v>293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199" t="s">
        <v>293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362</v>
      </c>
      <c r="J12" s="199" t="s">
        <v>293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199" t="s">
        <v>293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283</v>
      </c>
      <c r="J14" s="199" t="s">
        <v>293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199" t="s">
        <v>293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283</v>
      </c>
      <c r="J16" s="199" t="s">
        <v>293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199" t="s">
        <v>293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283</v>
      </c>
      <c r="J18" s="199" t="s">
        <v>293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199" t="s">
        <v>293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361</v>
      </c>
      <c r="J20" s="199" t="s">
        <v>293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199" t="s">
        <v>293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199" t="s">
        <v>293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199" t="s">
        <v>293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363</v>
      </c>
      <c r="J24" s="199" t="s">
        <v>293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199" t="s">
        <v>293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199" t="s">
        <v>293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283</v>
      </c>
      <c r="J27" s="199" t="s">
        <v>293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199" t="s">
        <v>293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283</v>
      </c>
      <c r="J29" s="199" t="s">
        <v>293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199" t="s">
        <v>293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364</v>
      </c>
      <c r="J31" s="199" t="s">
        <v>293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199" t="s">
        <v>293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365</v>
      </c>
      <c r="J33" s="199" t="s">
        <v>293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199" t="s">
        <v>293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365</v>
      </c>
      <c r="J35" s="199" t="s">
        <v>293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199" t="s">
        <v>293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365</v>
      </c>
      <c r="J37" s="199" t="s">
        <v>293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199" t="s">
        <v>293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361</v>
      </c>
      <c r="J39" s="199" t="s">
        <v>293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199" t="s">
        <v>293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283</v>
      </c>
      <c r="J41" s="199" t="s">
        <v>293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199" t="s">
        <v>293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283</v>
      </c>
      <c r="J43" s="199" t="s">
        <v>293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199" t="s">
        <v>293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283</v>
      </c>
      <c r="J45" s="199" t="s">
        <v>293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199" t="s">
        <v>293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385</v>
      </c>
      <c r="J47" s="199" t="s">
        <v>293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199" t="s">
        <v>293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283</v>
      </c>
      <c r="J49" s="199" t="s">
        <v>293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199" t="s">
        <v>293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283</v>
      </c>
      <c r="J51" s="199" t="s">
        <v>293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199" t="s">
        <v>293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365</v>
      </c>
      <c r="J53" s="199" t="s">
        <v>293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199" t="s">
        <v>293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365</v>
      </c>
      <c r="J55" s="199" t="s">
        <v>293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199" t="s">
        <v>293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365</v>
      </c>
      <c r="J57" s="199" t="s">
        <v>293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199" t="s">
        <v>293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365</v>
      </c>
      <c r="J59" s="199" t="s">
        <v>293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199" t="s">
        <v>293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365</v>
      </c>
      <c r="J61" s="199" t="s">
        <v>293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199" t="s">
        <v>293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365</v>
      </c>
      <c r="J63" s="199" t="s">
        <v>293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199" t="s">
        <v>293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365</v>
      </c>
      <c r="J65" s="199" t="s">
        <v>293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199" t="s">
        <v>293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365</v>
      </c>
      <c r="J67" s="199" t="s">
        <v>293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199" t="s">
        <v>293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366</v>
      </c>
      <c r="J69" s="199" t="s">
        <v>293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199" t="s">
        <v>293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199" t="s">
        <v>293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284</v>
      </c>
      <c r="J72" s="199" t="s">
        <v>293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199" t="s">
        <v>293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199" t="s">
        <v>293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362</v>
      </c>
      <c r="J75" s="199" t="s">
        <v>293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199" t="s">
        <v>293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362</v>
      </c>
      <c r="J77" s="199" t="s">
        <v>293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199" t="s">
        <v>293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362</v>
      </c>
      <c r="J79" s="199" t="s">
        <v>293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199" t="s">
        <v>293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362</v>
      </c>
      <c r="J81" s="199" t="s">
        <v>293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199" t="s">
        <v>293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362</v>
      </c>
      <c r="J83" s="199" t="s">
        <v>293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199" t="s">
        <v>293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365</v>
      </c>
      <c r="J85" s="199" t="s">
        <v>293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199" t="s">
        <v>293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362</v>
      </c>
      <c r="J87" s="199" t="s">
        <v>293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199" t="s">
        <v>293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199" t="s">
        <v>293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362</v>
      </c>
      <c r="J90" s="199" t="s">
        <v>293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199" t="s">
        <v>293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199" t="s">
        <v>293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362</v>
      </c>
      <c r="J93" s="199" t="s">
        <v>293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199" t="s">
        <v>293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199" t="s">
        <v>293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362</v>
      </c>
      <c r="J96" s="199" t="s">
        <v>293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199" t="s">
        <v>293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199" t="s">
        <v>293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362</v>
      </c>
      <c r="J99" s="199" t="s">
        <v>293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199" t="s">
        <v>293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362</v>
      </c>
      <c r="J101" s="199" t="s">
        <v>293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199" t="s">
        <v>293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362</v>
      </c>
      <c r="J103" s="199" t="s">
        <v>293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199" t="s">
        <v>293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199" t="s">
        <v>293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362</v>
      </c>
      <c r="J106" s="199" t="s">
        <v>293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199" t="s">
        <v>293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362</v>
      </c>
      <c r="J108" s="199" t="s">
        <v>293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199" t="s">
        <v>293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362</v>
      </c>
      <c r="J110" s="199" t="s">
        <v>293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199" t="s">
        <v>293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362</v>
      </c>
      <c r="J112" s="199" t="s">
        <v>293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199" t="s">
        <v>293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362</v>
      </c>
      <c r="J114" s="199" t="s">
        <v>293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199" t="s">
        <v>293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367</v>
      </c>
      <c r="J116" s="199" t="s">
        <v>293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199" t="s">
        <v>293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199" t="s">
        <v>293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367</v>
      </c>
      <c r="J119" s="199" t="s">
        <v>293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199" t="s">
        <v>293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199" t="s">
        <v>293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199" t="s">
        <v>293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292</v>
      </c>
      <c r="J123" s="199" t="s">
        <v>293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199" t="s">
        <v>293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292</v>
      </c>
      <c r="J125" s="199" t="s">
        <v>293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199" t="s">
        <v>293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292</v>
      </c>
      <c r="J127" s="199" t="s">
        <v>293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199" t="s">
        <v>293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292</v>
      </c>
      <c r="J129" s="199" t="s">
        <v>293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199" t="s">
        <v>293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199" t="s">
        <v>293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292</v>
      </c>
      <c r="J132" s="199" t="s">
        <v>293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199" t="s">
        <v>293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292</v>
      </c>
      <c r="J134" s="199" t="s">
        <v>293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199" t="s">
        <v>293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199" t="s">
        <v>293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199" t="s">
        <v>293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199" t="s">
        <v>293</v>
      </c>
      <c r="K138" s="165"/>
      <c r="L138" s="165"/>
      <c r="M138" s="165"/>
      <c r="N138" s="165">
        <v>0</v>
      </c>
      <c r="O138" s="165"/>
    </row>
    <row r="139" spans="2:15" ht="15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199" t="s">
        <v>293</v>
      </c>
      <c r="K139" s="165"/>
      <c r="L139" s="165"/>
      <c r="M139" s="165"/>
      <c r="N139" s="165">
        <v>0</v>
      </c>
      <c r="O139" s="165"/>
    </row>
    <row r="140" spans="2:15" ht="15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199" t="s">
        <v>293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199" t="s">
        <v>293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300</v>
      </c>
      <c r="J142" s="199" t="s">
        <v>293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199" t="s">
        <v>293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300</v>
      </c>
      <c r="J144" s="199" t="s">
        <v>293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199" t="s">
        <v>293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300</v>
      </c>
      <c r="J146" s="199" t="s">
        <v>293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199" t="s">
        <v>293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300</v>
      </c>
      <c r="J148" s="199" t="s">
        <v>293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199" t="s">
        <v>293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199" t="s">
        <v>293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199" t="s">
        <v>293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199" t="s">
        <v>293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199" t="s">
        <v>293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199" t="s">
        <v>293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199" t="s">
        <v>293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199" t="s">
        <v>293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199" t="s">
        <v>293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199" t="s">
        <v>293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199" t="s">
        <v>293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199" t="s">
        <v>293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199" t="s">
        <v>293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199" t="s">
        <v>293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199" t="s">
        <v>293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199" t="s">
        <v>293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199" t="s">
        <v>293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199" t="s">
        <v>293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199" t="s">
        <v>293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199" t="s">
        <v>293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199" t="s">
        <v>293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199" t="s">
        <v>293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199" t="s">
        <v>293</v>
      </c>
      <c r="K171" s="165"/>
      <c r="L171" s="165"/>
      <c r="M171" s="165"/>
      <c r="N171" s="165"/>
      <c r="O171" s="165"/>
    </row>
    <row r="175" spans="2:15">
      <c r="E175" s="195"/>
    </row>
  </sheetData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>
      <selection activeCell="C41" sqref="C41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1" t="s">
        <v>125</v>
      </c>
      <c r="C25" s="27" t="s">
        <v>126</v>
      </c>
    </row>
    <row r="26" spans="2:4">
      <c r="B26" s="202" t="s">
        <v>278</v>
      </c>
      <c r="C26" s="160" t="s">
        <v>279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3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292" t="s">
        <v>336</v>
      </c>
      <c r="E3" s="292"/>
      <c r="F3" s="292"/>
    </row>
    <row r="4" spans="2:10">
      <c r="B4" s="22" t="s">
        <v>80</v>
      </c>
      <c r="C4" s="23" t="s">
        <v>81</v>
      </c>
      <c r="D4" s="210" t="s">
        <v>82</v>
      </c>
      <c r="E4" s="210" t="s">
        <v>86</v>
      </c>
      <c r="F4" s="210" t="s">
        <v>0</v>
      </c>
      <c r="G4" s="211" t="s">
        <v>294</v>
      </c>
      <c r="H4" s="211" t="s">
        <v>320</v>
      </c>
      <c r="I4" s="211" t="s">
        <v>295</v>
      </c>
      <c r="J4" s="211" t="s">
        <v>321</v>
      </c>
    </row>
    <row r="5" spans="2:10" hidden="1">
      <c r="B5" s="13" t="s">
        <v>1</v>
      </c>
      <c r="C5" s="13" t="s">
        <v>90</v>
      </c>
      <c r="D5" s="14" t="s">
        <v>91</v>
      </c>
      <c r="E5" s="14" t="s">
        <v>91</v>
      </c>
      <c r="F5" s="204" t="s">
        <v>91</v>
      </c>
      <c r="G5" s="206" t="s">
        <v>91</v>
      </c>
      <c r="H5" s="206" t="s">
        <v>91</v>
      </c>
      <c r="I5" s="209" t="s">
        <v>91</v>
      </c>
      <c r="J5" s="206" t="s">
        <v>91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5" t="s">
        <v>3</v>
      </c>
      <c r="G6" s="206" t="s">
        <v>282</v>
      </c>
      <c r="H6" s="208" t="s">
        <v>296</v>
      </c>
      <c r="I6" s="207" t="s">
        <v>297</v>
      </c>
      <c r="J6" s="206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4" t="s">
        <v>4</v>
      </c>
      <c r="G7" s="206" t="s">
        <v>282</v>
      </c>
      <c r="H7" s="208" t="s">
        <v>296</v>
      </c>
      <c r="I7" s="207" t="s">
        <v>297</v>
      </c>
      <c r="J7" s="206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4" t="s">
        <v>4</v>
      </c>
      <c r="G8" s="206" t="s">
        <v>282</v>
      </c>
      <c r="H8" s="208" t="s">
        <v>296</v>
      </c>
      <c r="I8" s="207" t="s">
        <v>297</v>
      </c>
      <c r="J8" s="206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4" t="s">
        <v>4</v>
      </c>
      <c r="G9" s="206" t="s">
        <v>282</v>
      </c>
      <c r="H9" s="208" t="s">
        <v>296</v>
      </c>
      <c r="I9" s="207" t="s">
        <v>297</v>
      </c>
      <c r="J9" s="206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4" t="s">
        <v>3</v>
      </c>
      <c r="G10" s="206" t="s">
        <v>282</v>
      </c>
      <c r="H10" s="208" t="s">
        <v>296</v>
      </c>
      <c r="I10" s="207" t="s">
        <v>297</v>
      </c>
      <c r="J10" s="206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4" t="s">
        <v>3</v>
      </c>
      <c r="G11" s="206" t="s">
        <v>282</v>
      </c>
      <c r="H11" s="208" t="s">
        <v>296</v>
      </c>
      <c r="I11" s="207" t="s">
        <v>297</v>
      </c>
      <c r="J11" s="206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4" t="s">
        <v>3</v>
      </c>
      <c r="G12" s="206" t="s">
        <v>282</v>
      </c>
      <c r="H12" s="208" t="s">
        <v>296</v>
      </c>
      <c r="I12" s="207" t="s">
        <v>297</v>
      </c>
      <c r="J12" s="206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4" t="s">
        <v>3</v>
      </c>
      <c r="G13" s="206" t="s">
        <v>282</v>
      </c>
      <c r="H13" s="208" t="s">
        <v>296</v>
      </c>
      <c r="I13" s="207" t="s">
        <v>297</v>
      </c>
      <c r="J13" s="206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4" t="s">
        <v>3</v>
      </c>
      <c r="G14" s="206" t="s">
        <v>282</v>
      </c>
      <c r="H14" s="208" t="s">
        <v>296</v>
      </c>
      <c r="I14" s="207" t="s">
        <v>297</v>
      </c>
      <c r="J14" s="206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4" t="s">
        <v>3</v>
      </c>
      <c r="G15" s="206" t="s">
        <v>282</v>
      </c>
      <c r="H15" s="208" t="s">
        <v>296</v>
      </c>
      <c r="I15" s="207" t="s">
        <v>297</v>
      </c>
      <c r="J15" s="206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4" t="s">
        <v>3</v>
      </c>
      <c r="G16" s="206" t="s">
        <v>298</v>
      </c>
      <c r="H16" s="208" t="s">
        <v>91</v>
      </c>
      <c r="I16" s="207" t="s">
        <v>299</v>
      </c>
      <c r="J16" s="206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4" t="s">
        <v>3</v>
      </c>
      <c r="G17" s="206" t="s">
        <v>298</v>
      </c>
      <c r="H17" s="208" t="s">
        <v>91</v>
      </c>
      <c r="I17" s="207" t="s">
        <v>299</v>
      </c>
      <c r="J17" s="206" t="s">
        <v>313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4" t="s">
        <v>3</v>
      </c>
      <c r="G18" s="206" t="s">
        <v>298</v>
      </c>
      <c r="H18" s="208" t="s">
        <v>91</v>
      </c>
      <c r="I18" s="207" t="s">
        <v>299</v>
      </c>
      <c r="J18" s="206" t="s">
        <v>322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4" t="s">
        <v>3</v>
      </c>
      <c r="G19" s="206" t="s">
        <v>298</v>
      </c>
      <c r="H19" s="208" t="s">
        <v>91</v>
      </c>
      <c r="I19" s="207" t="s">
        <v>299</v>
      </c>
      <c r="J19" s="206" t="s">
        <v>313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4" t="s">
        <v>3</v>
      </c>
      <c r="G20" s="206" t="s">
        <v>282</v>
      </c>
      <c r="H20" s="208" t="s">
        <v>296</v>
      </c>
      <c r="I20" s="207" t="s">
        <v>297</v>
      </c>
      <c r="J20" s="206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4" t="s">
        <v>3</v>
      </c>
      <c r="G21" s="206" t="s">
        <v>298</v>
      </c>
      <c r="H21" s="208" t="s">
        <v>91</v>
      </c>
      <c r="I21" s="207" t="s">
        <v>299</v>
      </c>
      <c r="J21" s="206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4" t="s">
        <v>4</v>
      </c>
      <c r="G22" s="206" t="s">
        <v>282</v>
      </c>
      <c r="H22" s="208" t="s">
        <v>296</v>
      </c>
      <c r="I22" s="207" t="s">
        <v>297</v>
      </c>
      <c r="J22" s="206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4" t="s">
        <v>3</v>
      </c>
      <c r="G23" s="206" t="s">
        <v>282</v>
      </c>
      <c r="H23" s="208" t="s">
        <v>296</v>
      </c>
      <c r="I23" s="207" t="s">
        <v>297</v>
      </c>
      <c r="J23" s="206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4" t="s">
        <v>3</v>
      </c>
      <c r="G24" s="206" t="s">
        <v>298</v>
      </c>
      <c r="H24" s="208" t="s">
        <v>91</v>
      </c>
      <c r="I24" s="207" t="s">
        <v>299</v>
      </c>
      <c r="J24" s="206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4" t="s">
        <v>3</v>
      </c>
      <c r="G25" s="206" t="s">
        <v>282</v>
      </c>
      <c r="H25" s="208" t="s">
        <v>296</v>
      </c>
      <c r="I25" s="207" t="s">
        <v>297</v>
      </c>
      <c r="J25" s="206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4" t="s">
        <v>3</v>
      </c>
      <c r="G26" s="206" t="s">
        <v>282</v>
      </c>
      <c r="H26" s="208" t="s">
        <v>296</v>
      </c>
      <c r="I26" s="207" t="s">
        <v>297</v>
      </c>
      <c r="J26" s="206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4" t="s">
        <v>3</v>
      </c>
      <c r="G27" s="206" t="s">
        <v>298</v>
      </c>
      <c r="H27" s="208" t="s">
        <v>91</v>
      </c>
      <c r="I27" s="207" t="s">
        <v>299</v>
      </c>
      <c r="J27" s="206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4" t="s">
        <v>3</v>
      </c>
      <c r="G28" s="206" t="s">
        <v>298</v>
      </c>
      <c r="H28" s="208" t="s">
        <v>91</v>
      </c>
      <c r="I28" s="207" t="s">
        <v>299</v>
      </c>
      <c r="J28" s="206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4" t="s">
        <v>3</v>
      </c>
      <c r="G29" s="206" t="s">
        <v>298</v>
      </c>
      <c r="H29" s="208" t="s">
        <v>91</v>
      </c>
      <c r="I29" s="207" t="s">
        <v>299</v>
      </c>
      <c r="J29" s="206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4" t="s">
        <v>3</v>
      </c>
      <c r="G30" s="206" t="s">
        <v>298</v>
      </c>
      <c r="H30" s="208" t="s">
        <v>91</v>
      </c>
      <c r="I30" s="207" t="s">
        <v>299</v>
      </c>
      <c r="J30" s="206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4" t="s">
        <v>3</v>
      </c>
      <c r="G31" s="206" t="s">
        <v>298</v>
      </c>
      <c r="H31" s="208" t="s">
        <v>91</v>
      </c>
      <c r="I31" s="207" t="s">
        <v>299</v>
      </c>
      <c r="J31" s="206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4" t="s">
        <v>3</v>
      </c>
      <c r="G32" s="206" t="s">
        <v>298</v>
      </c>
      <c r="H32" s="208" t="s">
        <v>91</v>
      </c>
      <c r="I32" s="207" t="s">
        <v>299</v>
      </c>
      <c r="J32" s="206" t="s">
        <v>313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4" t="s">
        <v>3</v>
      </c>
      <c r="G33" s="206" t="s">
        <v>298</v>
      </c>
      <c r="H33" s="208" t="s">
        <v>91</v>
      </c>
      <c r="I33" s="207" t="s">
        <v>299</v>
      </c>
      <c r="J33" s="206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4" t="s">
        <v>3</v>
      </c>
      <c r="G34" s="206" t="s">
        <v>298</v>
      </c>
      <c r="H34" s="208" t="s">
        <v>91</v>
      </c>
      <c r="I34" s="207" t="s">
        <v>299</v>
      </c>
      <c r="J34" s="206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4" t="s">
        <v>3</v>
      </c>
      <c r="G35" s="206" t="s">
        <v>298</v>
      </c>
      <c r="H35" s="208" t="s">
        <v>91</v>
      </c>
      <c r="I35" s="213" t="s">
        <v>316</v>
      </c>
      <c r="J35" s="206" t="s">
        <v>323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4" t="s">
        <v>3</v>
      </c>
      <c r="G36" s="206" t="s">
        <v>298</v>
      </c>
      <c r="H36" s="208" t="s">
        <v>91</v>
      </c>
      <c r="I36" s="213" t="s">
        <v>316</v>
      </c>
      <c r="J36" s="206" t="s">
        <v>323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4" t="s">
        <v>4</v>
      </c>
      <c r="G37" s="206" t="s">
        <v>282</v>
      </c>
      <c r="H37" s="208" t="s">
        <v>318</v>
      </c>
      <c r="I37" s="213" t="s">
        <v>319</v>
      </c>
      <c r="J37" s="207" t="s">
        <v>324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4" t="s">
        <v>4</v>
      </c>
      <c r="G38" s="206" t="s">
        <v>298</v>
      </c>
      <c r="H38" s="208" t="s">
        <v>91</v>
      </c>
      <c r="I38" s="207" t="s">
        <v>338</v>
      </c>
      <c r="J38" s="214" t="s">
        <v>337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4" t="s">
        <v>4</v>
      </c>
      <c r="G39" s="206" t="s">
        <v>282</v>
      </c>
      <c r="H39" s="208" t="s">
        <v>318</v>
      </c>
      <c r="I39" s="213" t="s">
        <v>319</v>
      </c>
      <c r="J39" s="207" t="s">
        <v>325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4" t="s">
        <v>4</v>
      </c>
      <c r="G40" s="206" t="s">
        <v>298</v>
      </c>
      <c r="H40" s="208" t="s">
        <v>91</v>
      </c>
      <c r="I40" s="213" t="s">
        <v>317</v>
      </c>
      <c r="J40" s="206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4" t="s">
        <v>4</v>
      </c>
      <c r="G41" s="206" t="s">
        <v>282</v>
      </c>
      <c r="H41" s="208" t="s">
        <v>318</v>
      </c>
      <c r="I41" s="213" t="s">
        <v>319</v>
      </c>
      <c r="J41" s="207" t="s">
        <v>326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4" t="s">
        <v>4</v>
      </c>
      <c r="G42" s="206" t="s">
        <v>298</v>
      </c>
      <c r="H42" s="208" t="s">
        <v>91</v>
      </c>
      <c r="I42" s="213" t="s">
        <v>316</v>
      </c>
      <c r="J42" s="206" t="s">
        <v>323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4" t="s">
        <v>4</v>
      </c>
      <c r="G43" s="206" t="s">
        <v>298</v>
      </c>
      <c r="H43" s="208" t="s">
        <v>91</v>
      </c>
      <c r="I43" s="213" t="s">
        <v>316</v>
      </c>
      <c r="J43" s="206" t="s">
        <v>323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4" t="s">
        <v>4</v>
      </c>
      <c r="G44" s="206" t="s">
        <v>282</v>
      </c>
      <c r="H44" s="208" t="s">
        <v>318</v>
      </c>
      <c r="I44" s="213" t="s">
        <v>319</v>
      </c>
      <c r="J44" s="207" t="s">
        <v>327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4" t="s">
        <v>4</v>
      </c>
      <c r="G45" s="206" t="s">
        <v>298</v>
      </c>
      <c r="H45" s="208" t="s">
        <v>91</v>
      </c>
      <c r="I45" s="213" t="s">
        <v>315</v>
      </c>
      <c r="J45" s="206" t="s">
        <v>339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4" t="s">
        <v>4</v>
      </c>
      <c r="G46" s="206" t="s">
        <v>298</v>
      </c>
      <c r="H46" s="208" t="s">
        <v>91</v>
      </c>
      <c r="I46" s="213" t="s">
        <v>315</v>
      </c>
      <c r="J46" s="206" t="s">
        <v>339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4" t="s">
        <v>4</v>
      </c>
      <c r="G47" s="206" t="s">
        <v>282</v>
      </c>
      <c r="H47" s="208" t="s">
        <v>318</v>
      </c>
      <c r="I47" s="213" t="s">
        <v>319</v>
      </c>
      <c r="J47" s="207" t="s">
        <v>328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4" t="s">
        <v>3</v>
      </c>
      <c r="G48" s="206" t="s">
        <v>298</v>
      </c>
      <c r="H48" s="208" t="s">
        <v>91</v>
      </c>
      <c r="I48" s="213" t="s">
        <v>315</v>
      </c>
      <c r="J48" s="206" t="s">
        <v>339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4" t="s">
        <v>3</v>
      </c>
      <c r="G49" s="206" t="s">
        <v>298</v>
      </c>
      <c r="H49" s="208" t="s">
        <v>91</v>
      </c>
      <c r="I49" s="213" t="s">
        <v>315</v>
      </c>
      <c r="J49" s="206" t="s">
        <v>339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4" t="s">
        <v>4</v>
      </c>
      <c r="G50" s="206" t="s">
        <v>298</v>
      </c>
      <c r="H50" s="208" t="s">
        <v>91</v>
      </c>
      <c r="I50" s="213" t="s">
        <v>315</v>
      </c>
      <c r="J50" s="206" t="s">
        <v>339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4" t="s">
        <v>4</v>
      </c>
      <c r="G51" s="206" t="s">
        <v>298</v>
      </c>
      <c r="H51" s="208" t="s">
        <v>91</v>
      </c>
      <c r="I51" s="213" t="s">
        <v>315</v>
      </c>
      <c r="J51" s="206" t="s">
        <v>339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4" t="s">
        <v>3</v>
      </c>
      <c r="G52" s="206" t="s">
        <v>282</v>
      </c>
      <c r="H52" s="208" t="s">
        <v>318</v>
      </c>
      <c r="I52" s="213" t="s">
        <v>319</v>
      </c>
      <c r="J52" s="207" t="s">
        <v>329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4" t="s">
        <v>4</v>
      </c>
      <c r="G53" s="206" t="s">
        <v>282</v>
      </c>
      <c r="H53" s="208" t="s">
        <v>296</v>
      </c>
      <c r="I53" s="208" t="s">
        <v>297</v>
      </c>
      <c r="J53" s="208" t="s">
        <v>331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4" t="s">
        <v>4</v>
      </c>
      <c r="G54" s="206" t="s">
        <v>282</v>
      </c>
      <c r="H54" s="208" t="s">
        <v>318</v>
      </c>
      <c r="I54" s="207" t="s">
        <v>319</v>
      </c>
      <c r="J54" s="208" t="s">
        <v>330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4" t="s">
        <v>4</v>
      </c>
      <c r="G55" s="206" t="s">
        <v>282</v>
      </c>
      <c r="H55" s="208" t="s">
        <v>296</v>
      </c>
      <c r="I55" s="208" t="s">
        <v>297</v>
      </c>
      <c r="J55" s="206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4" t="s">
        <v>4</v>
      </c>
      <c r="G56" s="206" t="s">
        <v>282</v>
      </c>
      <c r="H56" s="208" t="s">
        <v>296</v>
      </c>
      <c r="I56" s="208" t="s">
        <v>297</v>
      </c>
      <c r="J56" s="206"/>
    </row>
    <row r="57" spans="2:10" hidden="1">
      <c r="B57" s="13" t="s">
        <v>55</v>
      </c>
      <c r="C57" s="13" t="s">
        <v>90</v>
      </c>
      <c r="D57" s="14" t="s">
        <v>91</v>
      </c>
      <c r="E57" s="14" t="s">
        <v>91</v>
      </c>
      <c r="F57" s="204" t="s">
        <v>91</v>
      </c>
      <c r="G57" s="206" t="s">
        <v>91</v>
      </c>
      <c r="H57" s="206" t="s">
        <v>91</v>
      </c>
      <c r="I57" s="206" t="s">
        <v>91</v>
      </c>
      <c r="J57" s="206" t="s">
        <v>91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4" t="s">
        <v>4</v>
      </c>
      <c r="G58" s="206" t="s">
        <v>282</v>
      </c>
      <c r="H58" s="208" t="s">
        <v>332</v>
      </c>
      <c r="I58" s="213" t="s">
        <v>333</v>
      </c>
      <c r="J58" s="206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4" t="s">
        <v>4</v>
      </c>
      <c r="G59" s="206" t="s">
        <v>282</v>
      </c>
      <c r="H59" s="208" t="s">
        <v>332</v>
      </c>
      <c r="I59" s="213" t="s">
        <v>333</v>
      </c>
      <c r="J59" s="206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4" t="s">
        <v>4</v>
      </c>
      <c r="G60" s="206" t="s">
        <v>282</v>
      </c>
      <c r="H60" s="208" t="s">
        <v>332</v>
      </c>
      <c r="I60" s="213" t="s">
        <v>333</v>
      </c>
      <c r="J60" s="206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4" t="s">
        <v>4</v>
      </c>
      <c r="G61" s="206" t="s">
        <v>282</v>
      </c>
      <c r="H61" s="208" t="s">
        <v>332</v>
      </c>
      <c r="I61" s="213" t="s">
        <v>333</v>
      </c>
      <c r="J61" s="206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4" t="s">
        <v>4</v>
      </c>
      <c r="G62" s="206" t="s">
        <v>282</v>
      </c>
      <c r="H62" s="208" t="s">
        <v>332</v>
      </c>
      <c r="I62" s="213" t="s">
        <v>333</v>
      </c>
      <c r="J62" s="206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4" t="s">
        <v>4</v>
      </c>
      <c r="G63" s="206" t="s">
        <v>282</v>
      </c>
      <c r="H63" s="208" t="s">
        <v>332</v>
      </c>
      <c r="I63" s="213" t="s">
        <v>333</v>
      </c>
      <c r="J63" s="206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4" t="s">
        <v>3</v>
      </c>
      <c r="G64" s="206" t="s">
        <v>282</v>
      </c>
      <c r="H64" s="208" t="s">
        <v>332</v>
      </c>
      <c r="I64" s="213" t="s">
        <v>334</v>
      </c>
      <c r="J64" s="206"/>
    </row>
    <row r="65" spans="2:10" hidden="1">
      <c r="B65" s="13" t="s">
        <v>61</v>
      </c>
      <c r="C65" s="13" t="s">
        <v>90</v>
      </c>
      <c r="D65" s="14" t="s">
        <v>91</v>
      </c>
      <c r="E65" s="14" t="s">
        <v>91</v>
      </c>
      <c r="F65" s="204" t="s">
        <v>91</v>
      </c>
      <c r="G65" s="206" t="s">
        <v>91</v>
      </c>
      <c r="H65" s="208" t="s">
        <v>91</v>
      </c>
      <c r="I65" s="212" t="s">
        <v>91</v>
      </c>
      <c r="J65" s="206" t="s">
        <v>91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4" t="s">
        <v>4</v>
      </c>
      <c r="G66" s="206" t="s">
        <v>298</v>
      </c>
      <c r="H66" s="208" t="s">
        <v>91</v>
      </c>
      <c r="I66" s="212" t="s">
        <v>335</v>
      </c>
      <c r="J66" s="206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4" t="s">
        <v>4</v>
      </c>
      <c r="G67" s="206" t="s">
        <v>298</v>
      </c>
      <c r="H67" s="208" t="s">
        <v>91</v>
      </c>
      <c r="I67" s="212" t="s">
        <v>335</v>
      </c>
      <c r="J67" s="206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4" t="s">
        <v>4</v>
      </c>
      <c r="G68" s="206" t="s">
        <v>298</v>
      </c>
      <c r="H68" s="208" t="s">
        <v>91</v>
      </c>
      <c r="I68" s="212" t="s">
        <v>335</v>
      </c>
      <c r="J68" s="206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4" t="s">
        <v>4</v>
      </c>
      <c r="G69" s="206" t="s">
        <v>298</v>
      </c>
      <c r="H69" s="208" t="s">
        <v>91</v>
      </c>
      <c r="I69" s="212" t="s">
        <v>335</v>
      </c>
      <c r="J69" s="206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4" t="s">
        <v>4</v>
      </c>
      <c r="G70" s="206" t="s">
        <v>298</v>
      </c>
      <c r="H70" s="208" t="s">
        <v>91</v>
      </c>
      <c r="I70" s="212" t="s">
        <v>335</v>
      </c>
      <c r="J70" s="206"/>
    </row>
    <row r="71" spans="2:10" hidden="1">
      <c r="B71" s="13" t="s">
        <v>63</v>
      </c>
      <c r="C71" s="13" t="s">
        <v>90</v>
      </c>
      <c r="D71" s="14" t="s">
        <v>91</v>
      </c>
      <c r="E71" s="14" t="s">
        <v>91</v>
      </c>
      <c r="F71" s="204" t="s">
        <v>91</v>
      </c>
      <c r="G71" s="206" t="s">
        <v>91</v>
      </c>
      <c r="H71" s="208" t="s">
        <v>91</v>
      </c>
      <c r="I71" s="212" t="s">
        <v>91</v>
      </c>
      <c r="J71" s="206" t="s">
        <v>91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4" t="s">
        <v>4</v>
      </c>
      <c r="G72" s="206" t="s">
        <v>298</v>
      </c>
      <c r="H72" s="208" t="s">
        <v>91</v>
      </c>
      <c r="I72" s="212" t="s">
        <v>335</v>
      </c>
      <c r="J72" s="206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4" t="s">
        <v>4</v>
      </c>
      <c r="G73" s="206" t="s">
        <v>298</v>
      </c>
      <c r="H73" s="208" t="s">
        <v>91</v>
      </c>
      <c r="I73" s="212" t="s">
        <v>335</v>
      </c>
      <c r="J73" s="206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4" t="s">
        <v>4</v>
      </c>
      <c r="G74" s="206" t="s">
        <v>298</v>
      </c>
      <c r="H74" s="208" t="s">
        <v>91</v>
      </c>
      <c r="I74" s="212" t="s">
        <v>335</v>
      </c>
      <c r="J74" s="206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4" t="s">
        <v>4</v>
      </c>
      <c r="G75" s="206" t="s">
        <v>298</v>
      </c>
      <c r="H75" s="208" t="s">
        <v>91</v>
      </c>
      <c r="I75" s="212" t="s">
        <v>335</v>
      </c>
      <c r="J75" s="206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4" t="s">
        <v>4</v>
      </c>
      <c r="G76" s="206" t="s">
        <v>298</v>
      </c>
      <c r="H76" s="208" t="s">
        <v>91</v>
      </c>
      <c r="I76" s="212" t="s">
        <v>335</v>
      </c>
      <c r="J76" s="206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4" t="s">
        <v>4</v>
      </c>
      <c r="G77" s="206" t="s">
        <v>298</v>
      </c>
      <c r="H77" s="208" t="s">
        <v>91</v>
      </c>
      <c r="I77" s="212" t="s">
        <v>335</v>
      </c>
      <c r="J77" s="206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22" t="s">
        <v>81</v>
      </c>
      <c r="C2" s="215" t="s">
        <v>112</v>
      </c>
      <c r="D2" s="215" t="s">
        <v>350</v>
      </c>
      <c r="E2" s="215" t="s">
        <v>349</v>
      </c>
      <c r="G2" s="225" t="s">
        <v>346</v>
      </c>
      <c r="H2" t="s">
        <v>347</v>
      </c>
    </row>
    <row r="3" spans="2:8">
      <c r="B3" s="223" t="s">
        <v>33</v>
      </c>
      <c r="C3" s="212" t="s">
        <v>343</v>
      </c>
      <c r="D3" s="224" t="s">
        <v>351</v>
      </c>
      <c r="E3" s="224" t="s">
        <v>348</v>
      </c>
      <c r="G3" s="225" t="s">
        <v>352</v>
      </c>
      <c r="H3" t="s">
        <v>353</v>
      </c>
    </row>
    <row r="4" spans="2:8">
      <c r="B4" s="223" t="s">
        <v>34</v>
      </c>
      <c r="C4" s="212" t="s">
        <v>344</v>
      </c>
      <c r="D4" s="224" t="s">
        <v>351</v>
      </c>
      <c r="E4" s="224" t="s">
        <v>348</v>
      </c>
      <c r="G4" s="225" t="s">
        <v>358</v>
      </c>
      <c r="H4" t="s">
        <v>360</v>
      </c>
    </row>
    <row r="5" spans="2:8">
      <c r="B5" s="239" t="s">
        <v>35</v>
      </c>
      <c r="C5" s="240" t="s">
        <v>344</v>
      </c>
      <c r="D5" s="241" t="s">
        <v>355</v>
      </c>
      <c r="E5" s="241" t="s">
        <v>348</v>
      </c>
      <c r="G5" s="225" t="s">
        <v>356</v>
      </c>
      <c r="H5" t="s">
        <v>357</v>
      </c>
    </row>
    <row r="6" spans="2:8">
      <c r="B6" s="223" t="s">
        <v>36</v>
      </c>
      <c r="C6" s="212" t="s">
        <v>343</v>
      </c>
      <c r="D6" s="224" t="s">
        <v>354</v>
      </c>
      <c r="E6" s="224" t="s">
        <v>348</v>
      </c>
    </row>
    <row r="7" spans="2:8">
      <c r="B7" s="239" t="s">
        <v>37</v>
      </c>
      <c r="C7" s="240" t="s">
        <v>343</v>
      </c>
      <c r="D7" s="241" t="s">
        <v>355</v>
      </c>
      <c r="E7" s="241" t="s">
        <v>348</v>
      </c>
    </row>
    <row r="8" spans="2:8">
      <c r="B8" s="239" t="s">
        <v>39</v>
      </c>
      <c r="C8" s="240" t="s">
        <v>343</v>
      </c>
      <c r="D8" s="241" t="s">
        <v>355</v>
      </c>
      <c r="E8" s="241" t="s">
        <v>348</v>
      </c>
    </row>
    <row r="9" spans="2:8">
      <c r="B9" s="223" t="s">
        <v>40</v>
      </c>
      <c r="C9" s="212" t="s">
        <v>343</v>
      </c>
      <c r="D9" s="224" t="s">
        <v>351</v>
      </c>
      <c r="E9" s="224" t="s">
        <v>348</v>
      </c>
    </row>
    <row r="10" spans="2:8">
      <c r="B10" s="223" t="s">
        <v>41</v>
      </c>
      <c r="C10" s="212" t="s">
        <v>343</v>
      </c>
      <c r="D10" s="224" t="s">
        <v>351</v>
      </c>
      <c r="E10" s="224" t="s">
        <v>348</v>
      </c>
    </row>
    <row r="11" spans="2:8">
      <c r="B11" s="239" t="s">
        <v>42</v>
      </c>
      <c r="C11" s="240" t="s">
        <v>343</v>
      </c>
      <c r="D11" s="241" t="s">
        <v>355</v>
      </c>
      <c r="E11" s="241" t="s">
        <v>348</v>
      </c>
    </row>
    <row r="12" spans="2:8">
      <c r="B12" s="223" t="s">
        <v>43</v>
      </c>
      <c r="C12" s="212" t="s">
        <v>343</v>
      </c>
      <c r="D12" s="224" t="s">
        <v>345</v>
      </c>
      <c r="E12" s="224" t="s">
        <v>348</v>
      </c>
    </row>
    <row r="13" spans="2:8">
      <c r="B13" s="223" t="s">
        <v>44</v>
      </c>
      <c r="C13" s="212" t="s">
        <v>344</v>
      </c>
      <c r="D13" s="224" t="s">
        <v>345</v>
      </c>
      <c r="E13" s="224" t="s">
        <v>348</v>
      </c>
    </row>
    <row r="14" spans="2:8">
      <c r="B14" s="239" t="s">
        <v>45</v>
      </c>
      <c r="C14" s="240" t="s">
        <v>344</v>
      </c>
      <c r="D14" s="241" t="s">
        <v>355</v>
      </c>
      <c r="E14" s="241" t="s">
        <v>348</v>
      </c>
    </row>
    <row r="15" spans="2:8">
      <c r="B15" s="223" t="s">
        <v>46</v>
      </c>
      <c r="C15" s="212" t="s">
        <v>344</v>
      </c>
      <c r="D15" s="224" t="s">
        <v>345</v>
      </c>
      <c r="E15" s="224" t="s">
        <v>348</v>
      </c>
    </row>
    <row r="16" spans="2:8">
      <c r="B16" s="223" t="s">
        <v>47</v>
      </c>
      <c r="C16" s="212" t="s">
        <v>343</v>
      </c>
      <c r="D16" s="224" t="s">
        <v>345</v>
      </c>
      <c r="E16" s="224" t="s">
        <v>348</v>
      </c>
    </row>
    <row r="17" spans="2:5">
      <c r="B17" s="223" t="s">
        <v>48</v>
      </c>
      <c r="C17" s="212" t="s">
        <v>344</v>
      </c>
      <c r="D17" s="224" t="s">
        <v>345</v>
      </c>
      <c r="E17" s="224" t="s">
        <v>348</v>
      </c>
    </row>
    <row r="18" spans="2:5">
      <c r="B18" s="223" t="s">
        <v>49</v>
      </c>
      <c r="C18" s="212" t="s">
        <v>344</v>
      </c>
      <c r="D18" s="224" t="s">
        <v>345</v>
      </c>
      <c r="E18" s="224" t="s">
        <v>348</v>
      </c>
    </row>
    <row r="19" spans="2:5">
      <c r="B19" s="239" t="s">
        <v>50</v>
      </c>
      <c r="C19" s="240" t="s">
        <v>343</v>
      </c>
      <c r="D19" s="241" t="s">
        <v>355</v>
      </c>
      <c r="E19" s="241" t="s">
        <v>348</v>
      </c>
    </row>
    <row r="20" spans="2:5">
      <c r="B20" s="242" t="s">
        <v>52</v>
      </c>
      <c r="C20" s="243" t="s">
        <v>344</v>
      </c>
      <c r="D20" s="244" t="s">
        <v>359</v>
      </c>
      <c r="E20" s="244" t="s">
        <v>348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A46947-222E-41A3-9E52-7A8B8B25DBEB}"/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2025-06-26T17:04:02Z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