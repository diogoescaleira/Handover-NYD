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309" documentId="8_{513B776A-4747-4502-85D1-8DE19FA17A06}" xr6:coauthVersionLast="47" xr6:coauthVersionMax="47" xr10:uidLastSave="{5CB0C22B-4E92-4D3A-A719-55F07BA58BF3}"/>
  <bookViews>
    <workbookView xWindow="-120" yWindow="-120" windowWidth="29040" windowHeight="15720" firstSheet="1" activeTab="4" xr2:uid="{98B4704B-8397-4F36-BA6C-DBF8269E9D42}"/>
  </bookViews>
  <sheets>
    <sheet name="1. Status Resumo old" sheetId="9" state="hidden" r:id="rId1"/>
    <sheet name="Status Resumo" sheetId="11" r:id="rId2"/>
    <sheet name="Aux Gráficos" sheetId="10" state="hidden" r:id="rId3"/>
    <sheet name="MacroPlano" sheetId="8" r:id="rId4"/>
    <sheet name="MacroPlano Equipa" sheetId="1" r:id="rId5"/>
    <sheet name="Detalhe Entregas e Status" sheetId="2" r:id="rId6"/>
    <sheet name="Detalhe Testes" sheetId="6" r:id="rId7"/>
    <sheet name="Aux Testes_Status" sheetId="7" r:id="rId8"/>
  </sheets>
  <definedNames>
    <definedName name="_xlnm._FilterDatabase" localSheetId="5" hidden="1">'Detalhe Entregas e Status'!$B$8:$U$81</definedName>
    <definedName name="_xlnm._FilterDatabase" localSheetId="6" hidden="1">'Detalhe Testes'!$B$8:$F$171</definedName>
    <definedName name="asefadf">#REF!</definedName>
    <definedName name="bn">#REF!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1" l="1"/>
  <c r="H42" i="11"/>
  <c r="H25" i="11"/>
  <c r="H41" i="11"/>
  <c r="H40" i="11"/>
  <c r="H39" i="11"/>
  <c r="H38" i="11"/>
  <c r="H37" i="11"/>
  <c r="H36" i="11"/>
  <c r="H24" i="11"/>
  <c r="H23" i="11"/>
  <c r="H22" i="11"/>
  <c r="H21" i="11"/>
  <c r="H20" i="11"/>
  <c r="H19" i="11"/>
  <c r="J39" i="9"/>
  <c r="J38" i="9"/>
  <c r="J37" i="9"/>
  <c r="J36" i="9"/>
  <c r="J35" i="9"/>
  <c r="J34" i="9"/>
  <c r="J24" i="9"/>
  <c r="J23" i="9"/>
  <c r="J22" i="9"/>
  <c r="J21" i="9"/>
  <c r="J20" i="9"/>
  <c r="J19" i="9"/>
  <c r="H26" i="11" l="1"/>
  <c r="J40" i="9"/>
  <c r="J25" i="9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H7" i="6"/>
  <c r="J75" i="2"/>
  <c r="J69" i="2"/>
  <c r="J61" i="2"/>
  <c r="J9" i="2"/>
  <c r="H170" i="6" l="1" a="1"/>
  <c r="H170" i="6" s="1"/>
  <c r="H169" i="6" a="1"/>
  <c r="H169" i="6" s="1"/>
  <c r="H168" i="6" a="1"/>
  <c r="H168" i="6" s="1"/>
  <c r="H160" i="6" a="1"/>
  <c r="H160" i="6" s="1"/>
  <c r="H152" i="6" a="1"/>
  <c r="H152" i="6" s="1"/>
  <c r="H144" i="6" a="1"/>
  <c r="H144" i="6" s="1"/>
  <c r="H136" i="6" a="1"/>
  <c r="H136" i="6" s="1"/>
  <c r="H128" i="6" a="1"/>
  <c r="H128" i="6" s="1"/>
  <c r="H167" i="6" a="1"/>
  <c r="H167" i="6" s="1"/>
  <c r="H166" i="6" a="1"/>
  <c r="H166" i="6" s="1"/>
  <c r="H165" i="6" a="1"/>
  <c r="H165" i="6" s="1"/>
  <c r="H157" i="6" a="1"/>
  <c r="H157" i="6" s="1"/>
  <c r="H149" i="6" a="1"/>
  <c r="H149" i="6" s="1"/>
  <c r="H141" i="6" a="1"/>
  <c r="H141" i="6" s="1"/>
  <c r="L69" i="2" s="1"/>
  <c r="H133" i="6" a="1"/>
  <c r="H133" i="6" s="1"/>
  <c r="H125" i="6" a="1"/>
  <c r="H125" i="6" s="1"/>
  <c r="H117" i="6" a="1"/>
  <c r="H117" i="6" s="1"/>
  <c r="H109" i="6" a="1"/>
  <c r="H109" i="6" s="1"/>
  <c r="H101" i="6" a="1"/>
  <c r="H101" i="6" s="1"/>
  <c r="H93" i="6" a="1"/>
  <c r="H93" i="6" s="1"/>
  <c r="H85" i="6" a="1"/>
  <c r="H85" i="6" s="1"/>
  <c r="H77" i="6" a="1"/>
  <c r="H77" i="6" s="1"/>
  <c r="H69" i="6" a="1"/>
  <c r="H69" i="6" s="1"/>
  <c r="H61" i="6" a="1"/>
  <c r="H61" i="6" s="1"/>
  <c r="H53" i="6" a="1"/>
  <c r="H53" i="6" s="1"/>
  <c r="H45" i="6" a="1"/>
  <c r="H45" i="6" s="1"/>
  <c r="H37" i="6" a="1"/>
  <c r="H37" i="6" s="1"/>
  <c r="H29" i="6" a="1"/>
  <c r="H29" i="6" s="1"/>
  <c r="H21" i="6" a="1"/>
  <c r="H21" i="6" s="1"/>
  <c r="H13" i="6" a="1"/>
  <c r="H13" i="6" s="1"/>
  <c r="H156" i="6" a="1"/>
  <c r="H156" i="6" s="1"/>
  <c r="H148" i="6" a="1"/>
  <c r="H148" i="6" s="1"/>
  <c r="H140" i="6" a="1"/>
  <c r="H140" i="6" s="1"/>
  <c r="H132" i="6" a="1"/>
  <c r="H132" i="6" s="1"/>
  <c r="H124" i="6" a="1"/>
  <c r="H124" i="6" s="1"/>
  <c r="H116" i="6" a="1"/>
  <c r="H116" i="6" s="1"/>
  <c r="H108" i="6" a="1"/>
  <c r="H108" i="6" s="1"/>
  <c r="H100" i="6" a="1"/>
  <c r="H100" i="6" s="1"/>
  <c r="H92" i="6" a="1"/>
  <c r="H92" i="6" s="1"/>
  <c r="H84" i="6" a="1"/>
  <c r="H84" i="6" s="1"/>
  <c r="H76" i="6" a="1"/>
  <c r="H76" i="6" s="1"/>
  <c r="H68" i="6" a="1"/>
  <c r="H68" i="6" s="1"/>
  <c r="H60" i="6" a="1"/>
  <c r="H60" i="6" s="1"/>
  <c r="H52" i="6" a="1"/>
  <c r="H52" i="6" s="1"/>
  <c r="H44" i="6" a="1"/>
  <c r="H44" i="6" s="1"/>
  <c r="H36" i="6" a="1"/>
  <c r="H36" i="6" s="1"/>
  <c r="H28" i="6" a="1"/>
  <c r="H28" i="6" s="1"/>
  <c r="H20" i="6" a="1"/>
  <c r="H20" i="6" s="1"/>
  <c r="L15" i="2" s="1"/>
  <c r="H12" i="6" a="1"/>
  <c r="H12" i="6" s="1"/>
  <c r="H81" i="6" a="1"/>
  <c r="H81" i="6" s="1"/>
  <c r="H65" i="6" a="1"/>
  <c r="H65" i="6" s="1"/>
  <c r="H57" i="6" a="1"/>
  <c r="H57" i="6" s="1"/>
  <c r="H41" i="6" a="1"/>
  <c r="H41" i="6" s="1"/>
  <c r="H33" i="6" a="1"/>
  <c r="H33" i="6" s="1"/>
  <c r="H17" i="6" a="1"/>
  <c r="H17" i="6" s="1"/>
  <c r="H120" i="6" a="1"/>
  <c r="H120" i="6" s="1"/>
  <c r="H104" i="6" a="1"/>
  <c r="H104" i="6" s="1"/>
  <c r="H96" i="6" a="1"/>
  <c r="H96" i="6" s="1"/>
  <c r="H88" i="6" a="1"/>
  <c r="H88" i="6" s="1"/>
  <c r="H72" i="6" a="1"/>
  <c r="H72" i="6" s="1"/>
  <c r="H64" i="6" a="1"/>
  <c r="H64" i="6" s="1"/>
  <c r="H56" i="6" a="1"/>
  <c r="H56" i="6" s="1"/>
  <c r="H40" i="6" a="1"/>
  <c r="H40" i="6" s="1"/>
  <c r="H32" i="6" a="1"/>
  <c r="H32" i="6" s="1"/>
  <c r="H16" i="6" a="1"/>
  <c r="H16" i="6" s="1"/>
  <c r="H159" i="6" a="1"/>
  <c r="H159" i="6" s="1"/>
  <c r="H143" i="6" a="1"/>
  <c r="H143" i="6" s="1"/>
  <c r="H127" i="6" a="1"/>
  <c r="H127" i="6" s="1"/>
  <c r="H111" i="6" a="1"/>
  <c r="H111" i="6" s="1"/>
  <c r="H95" i="6" a="1"/>
  <c r="H95" i="6" s="1"/>
  <c r="H87" i="6" a="1"/>
  <c r="H87" i="6" s="1"/>
  <c r="H71" i="6" a="1"/>
  <c r="H71" i="6" s="1"/>
  <c r="H63" i="6" a="1"/>
  <c r="H63" i="6" s="1"/>
  <c r="H47" i="6" a="1"/>
  <c r="H47" i="6" s="1"/>
  <c r="H39" i="6" a="1"/>
  <c r="H39" i="6" s="1"/>
  <c r="H23" i="6" a="1"/>
  <c r="H23" i="6" s="1"/>
  <c r="H158" i="6" a="1"/>
  <c r="H158" i="6" s="1"/>
  <c r="H142" i="6" a="1"/>
  <c r="H142" i="6" s="1"/>
  <c r="H134" i="6" a="1"/>
  <c r="H134" i="6" s="1"/>
  <c r="H126" i="6" a="1"/>
  <c r="H126" i="6" s="1"/>
  <c r="H118" i="6" a="1"/>
  <c r="H118" i="6" s="1"/>
  <c r="H102" i="6" a="1"/>
  <c r="H102" i="6" s="1"/>
  <c r="H94" i="6" a="1"/>
  <c r="H94" i="6" s="1"/>
  <c r="H78" i="6" a="1"/>
  <c r="H78" i="6" s="1"/>
  <c r="H70" i="6" a="1"/>
  <c r="H70" i="6" s="1"/>
  <c r="H54" i="6" a="1"/>
  <c r="H54" i="6" s="1"/>
  <c r="H46" i="6" a="1"/>
  <c r="H46" i="6" s="1"/>
  <c r="H30" i="6" a="1"/>
  <c r="H30" i="6" s="1"/>
  <c r="H22" i="6" a="1"/>
  <c r="H22" i="6" s="1"/>
  <c r="H164" i="6" a="1"/>
  <c r="H164" i="6" s="1"/>
  <c r="H171" i="6" a="1"/>
  <c r="H171" i="6" s="1"/>
  <c r="H163" i="6" a="1"/>
  <c r="H163" i="6" s="1"/>
  <c r="H155" i="6" a="1"/>
  <c r="H155" i="6" s="1"/>
  <c r="H147" i="6" a="1"/>
  <c r="H147" i="6" s="1"/>
  <c r="H139" i="6" a="1"/>
  <c r="H139" i="6" s="1"/>
  <c r="H131" i="6" a="1"/>
  <c r="H131" i="6" s="1"/>
  <c r="H123" i="6" a="1"/>
  <c r="H123" i="6" s="1"/>
  <c r="H115" i="6" a="1"/>
  <c r="H115" i="6" s="1"/>
  <c r="H107" i="6" a="1"/>
  <c r="H107" i="6" s="1"/>
  <c r="H99" i="6" a="1"/>
  <c r="H99" i="6" s="1"/>
  <c r="H91" i="6" a="1"/>
  <c r="H91" i="6" s="1"/>
  <c r="H83" i="6" a="1"/>
  <c r="H83" i="6" s="1"/>
  <c r="H75" i="6" a="1"/>
  <c r="H75" i="6" s="1"/>
  <c r="H67" i="6" a="1"/>
  <c r="H67" i="6" s="1"/>
  <c r="H59" i="6" a="1"/>
  <c r="H59" i="6" s="1"/>
  <c r="H51" i="6" a="1"/>
  <c r="H51" i="6" s="1"/>
  <c r="H43" i="6" a="1"/>
  <c r="H43" i="6" s="1"/>
  <c r="H35" i="6" a="1"/>
  <c r="H35" i="6" s="1"/>
  <c r="H27" i="6" a="1"/>
  <c r="H27" i="6" s="1"/>
  <c r="H19" i="6" a="1"/>
  <c r="H19" i="6" s="1"/>
  <c r="H11" i="6" a="1"/>
  <c r="H11" i="6" s="1"/>
  <c r="H162" i="6" a="1"/>
  <c r="H162" i="6" s="1"/>
  <c r="H154" i="6" a="1"/>
  <c r="H154" i="6" s="1"/>
  <c r="H146" i="6" a="1"/>
  <c r="H146" i="6" s="1"/>
  <c r="H138" i="6" a="1"/>
  <c r="H138" i="6" s="1"/>
  <c r="H130" i="6" a="1"/>
  <c r="H130" i="6" s="1"/>
  <c r="H122" i="6" a="1"/>
  <c r="H122" i="6" s="1"/>
  <c r="L61" i="2" s="1"/>
  <c r="H114" i="6" a="1"/>
  <c r="H114" i="6" s="1"/>
  <c r="H106" i="6" a="1"/>
  <c r="H106" i="6" s="1"/>
  <c r="H98" i="6" a="1"/>
  <c r="H98" i="6" s="1"/>
  <c r="H90" i="6" a="1"/>
  <c r="H90" i="6" s="1"/>
  <c r="H82" i="6" a="1"/>
  <c r="H82" i="6" s="1"/>
  <c r="H74" i="6" a="1"/>
  <c r="H74" i="6" s="1"/>
  <c r="H66" i="6" a="1"/>
  <c r="H66" i="6" s="1"/>
  <c r="H58" i="6" a="1"/>
  <c r="H58" i="6" s="1"/>
  <c r="H50" i="6" a="1"/>
  <c r="H50" i="6" s="1"/>
  <c r="H42" i="6" a="1"/>
  <c r="H42" i="6" s="1"/>
  <c r="H34" i="6" a="1"/>
  <c r="H34" i="6" s="1"/>
  <c r="H26" i="6" a="1"/>
  <c r="H26" i="6" s="1"/>
  <c r="H18" i="6" a="1"/>
  <c r="H18" i="6" s="1"/>
  <c r="H10" i="6" a="1"/>
  <c r="H10" i="6" s="1"/>
  <c r="H161" i="6" a="1"/>
  <c r="H161" i="6" s="1"/>
  <c r="H153" i="6" a="1"/>
  <c r="H153" i="6" s="1"/>
  <c r="H145" i="6" a="1"/>
  <c r="H145" i="6" s="1"/>
  <c r="H137" i="6" a="1"/>
  <c r="H137" i="6" s="1"/>
  <c r="H129" i="6" a="1"/>
  <c r="H129" i="6" s="1"/>
  <c r="H121" i="6" a="1"/>
  <c r="H121" i="6" s="1"/>
  <c r="H113" i="6" a="1"/>
  <c r="H113" i="6" s="1"/>
  <c r="H105" i="6" a="1"/>
  <c r="H105" i="6" s="1"/>
  <c r="H97" i="6" a="1"/>
  <c r="H97" i="6" s="1"/>
  <c r="H89" i="6" a="1"/>
  <c r="H89" i="6" s="1"/>
  <c r="H73" i="6" a="1"/>
  <c r="H73" i="6" s="1"/>
  <c r="H49" i="6" a="1"/>
  <c r="H49" i="6" s="1"/>
  <c r="H25" i="6" a="1"/>
  <c r="H25" i="6" s="1"/>
  <c r="H9" i="6" a="1"/>
  <c r="H9" i="6" s="1"/>
  <c r="L9" i="2" s="1"/>
  <c r="H112" i="6" a="1"/>
  <c r="H112" i="6" s="1"/>
  <c r="H80" i="6" a="1"/>
  <c r="H80" i="6" s="1"/>
  <c r="H48" i="6" a="1"/>
  <c r="H48" i="6" s="1"/>
  <c r="H24" i="6" a="1"/>
  <c r="H24" i="6" s="1"/>
  <c r="H151" i="6" a="1"/>
  <c r="H151" i="6" s="1"/>
  <c r="H135" i="6" a="1"/>
  <c r="H135" i="6" s="1"/>
  <c r="H119" i="6" a="1"/>
  <c r="H119" i="6" s="1"/>
  <c r="H103" i="6" a="1"/>
  <c r="H103" i="6" s="1"/>
  <c r="H79" i="6" a="1"/>
  <c r="H79" i="6" s="1"/>
  <c r="H55" i="6" a="1"/>
  <c r="H55" i="6" s="1"/>
  <c r="H31" i="6" a="1"/>
  <c r="H31" i="6" s="1"/>
  <c r="H15" i="6" a="1"/>
  <c r="H15" i="6" s="1"/>
  <c r="H150" i="6" a="1"/>
  <c r="H150" i="6" s="1"/>
  <c r="H110" i="6" a="1"/>
  <c r="H110" i="6" s="1"/>
  <c r="H86" i="6" a="1"/>
  <c r="H86" i="6" s="1"/>
  <c r="H62" i="6" a="1"/>
  <c r="H62" i="6" s="1"/>
  <c r="H38" i="6" a="1"/>
  <c r="H38" i="6" s="1"/>
  <c r="H14" i="6" a="1"/>
  <c r="H14" i="6" s="1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L75" i="2"/>
  <c r="L28" i="2" l="1"/>
  <c r="L11" i="2"/>
  <c r="L81" i="2"/>
  <c r="L63" i="2"/>
  <c r="L33" i="2"/>
  <c r="L71" i="2"/>
  <c r="L30" i="2"/>
  <c r="L25" i="2"/>
  <c r="L35" i="2"/>
  <c r="L54" i="2"/>
  <c r="L43" i="2"/>
  <c r="L51" i="2"/>
  <c r="L48" i="2"/>
  <c r="L23" i="2"/>
  <c r="L42" i="2"/>
  <c r="L57" i="2"/>
  <c r="L56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26" i="2"/>
  <c r="L16" i="2"/>
  <c r="L62" i="2"/>
  <c r="L46" i="2"/>
  <c r="L12" i="2"/>
  <c r="L70" i="2"/>
  <c r="L13" i="2"/>
  <c r="L17" i="2"/>
  <c r="L59" i="2"/>
  <c r="L24" i="2"/>
  <c r="L38" i="2"/>
  <c r="L32" i="2"/>
  <c r="L55" i="2"/>
  <c r="L78" i="2"/>
  <c r="L22" i="2"/>
  <c r="L58" i="2"/>
  <c r="L47" i="2"/>
  <c r="L41" i="2"/>
  <c r="L74" i="2"/>
  <c r="L18" i="2"/>
  <c r="L64" i="2"/>
  <c r="L65" i="2"/>
  <c r="L68" i="2"/>
  <c r="L45" i="2"/>
  <c r="L37" i="2"/>
  <c r="L31" i="2"/>
  <c r="L27" i="2"/>
  <c r="L29" i="2"/>
  <c r="L44" i="2"/>
  <c r="L60" i="2"/>
  <c r="L67" i="2"/>
  <c r="L49" i="2"/>
  <c r="L40" i="2"/>
  <c r="L20" i="2"/>
  <c r="L34" i="2"/>
  <c r="L76" i="2"/>
  <c r="L50" i="2"/>
  <c r="L72" i="2"/>
  <c r="L77" i="2"/>
  <c r="L14" i="2"/>
  <c r="L19" i="2"/>
  <c r="L80" i="2"/>
  <c r="L36" i="2"/>
  <c r="L39" i="2"/>
  <c r="L53" i="2"/>
  <c r="L79" i="2"/>
  <c r="L73" i="2"/>
  <c r="L21" i="2"/>
  <c r="L66" i="2"/>
  <c r="L52" i="2"/>
  <c r="L10" i="2"/>
  <c r="L18" i="1" l="1"/>
  <c r="I18" i="1"/>
  <c r="J81" i="2"/>
  <c r="J80" i="2"/>
  <c r="J79" i="2"/>
  <c r="J78" i="2"/>
  <c r="J77" i="2"/>
  <c r="J76" i="2"/>
  <c r="J74" i="2"/>
  <c r="J73" i="2"/>
  <c r="J72" i="2"/>
  <c r="J71" i="2"/>
  <c r="J70" i="2"/>
  <c r="J68" i="2"/>
  <c r="J67" i="2"/>
  <c r="J66" i="2"/>
  <c r="J65" i="2"/>
  <c r="J64" i="2"/>
  <c r="J63" i="2"/>
  <c r="J62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<sst xmlns="http://schemas.openxmlformats.org/spreadsheetml/2006/main" count="2257" uniqueCount="296">
  <si>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</si>
  <si>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</si>
  <si>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</si>
  <si>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</si>
  <si>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</si>
  <si>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</si>
  <si>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</si>
  <si>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</si>
  <si>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</si>
  <si>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</si>
  <si>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</si>
  <si>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</si>
  <si>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</si>
  <si>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</si>
  <si>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</si>
  <si>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</si>
  <si>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</si>
  <si>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</si>
  <si>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</si>
  <si>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</si>
  <si>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</si>
  <si>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</si>
  <si>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</si>
  <si>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</si>
  <si>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</si>
  <si>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</si>
  <si>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</si>
  <si>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</si>
  <si>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</si>
  <si>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</si>
  <si>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</si>
  <si>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</si>
  <si>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</si>
  <si>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</si>
  <si>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</si>
  <si>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</si>
  <si>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</si>
  <si>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</si>
  <si>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</si>
  <si>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</si>
  <si>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</si>
  <si>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</si>
  <si>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</si>
  <si>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</si>
  <si>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</si>
  <si>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</si>
  <si>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</si>
  <si>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</si>
  <si>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</si>
  <si>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</si>
  <si>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</si>
  <si>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</si>
  <si>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</si>
  <si>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</si>
  <si>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</si>
  <si>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</si>
  <si>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</si>
  <si>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</si>
  <si>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</si>
  <si>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</si>
  <si>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</si>
  <si>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</si>
  <si>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</si>
  <si>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</si>
  <si>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</si>
  <si>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</si>
  <si>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</si>
  <si>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</si>
  <si>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</si>
  <si>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</si>
  <si>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</si>
  <si>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</si>
  <si>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</si>
  <si>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</si>
  <si>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</si>
  <si>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</si>
  <si>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</si>
  <si>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</si>
  <si>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</si>
  <si>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</si>
  <si>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</si>
  <si>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</si>
  <si>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</si>
  <si>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</si>
  <si>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</si>
  <si>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</si>
  <si>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</si>
  <si>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Efetiva Correção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</si>
  <si>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</si>
  <si>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</si>
  <si>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</si>
  <si>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</si>
  <si>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</si>
  <si>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</si>
  <si>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</si>
  <si>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</si>
  <si>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</si>
  <si>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</si>
  <si>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</si>
  <si>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</si>
  <si>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</si>
  <si>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</si>
  <si>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</si>
  <si>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</si>
  <si>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</si>
  <si>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</si>
  <si>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</si>
  <si>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</si>
  <si>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</si>
  <si>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</si>
  <si>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</si>
  <si>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</si>
  <si>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</si>
  <si>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</si>
  <si>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</si>
  <si>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</si>
  <si>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</si>
  <si>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</si>
  <si>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</si>
  <si>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</si>
  <si>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</si>
  <si>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</si>
  <si>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</si>
  <si>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</si>
  <si>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</si>
  <si>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</si>
  <si>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</si>
  <si>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</si>
  <si>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</si>
  <si>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</si>
  <si>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</si>
  <si>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</si>
  <si>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</si>
  <si>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</si>
  <si>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</si>
  <si>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</si>
  <si>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</si>
  <si>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</si>
  <si>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</si>
  <si>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</si>
  <si>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</si>
  <si>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</si>
  <si>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</si>
  <si>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</si>
  <si>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</si>
  <si>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</si>
  <si>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</si>
  <si>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</si>
  <si>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</si>
  <si>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</si>
  <si>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</si>
  <si>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</si>
  <si>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</si>
  <si>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</si>
  <si>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</si>
  <si>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</si>
  <si>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</si>
  <si>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</si>
  <si>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</si>
  <si>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</si>
  <si>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</si>
  <si>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</si>
  <si>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</si>
  <si>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</si>
  <si>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</si>
  <si>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</si>
  <si>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</si>
  <si>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</si>
  <si>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</si>
  <si>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</si>
  <si>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</si>
  <si>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</si>
  <si>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</si>
  <si>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</si>
  <si>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</si>
  <si>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</si>
  <si>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</si>
  <si>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</si>
  <si>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</si>
  <si>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</si>
  <si>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</si>
  <si>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</si>
  <si>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</si>
  <si>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</si>
  <si>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</si>
  <si>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</si>
  <si>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</si>
  <si>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</si>
  <si>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</si>
  <si>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</si>
  <si>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</si>
  <si>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</si>
  <si>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</si>
  <si>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</si>
  <si>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</si>
  <si>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</si>
  <si>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</si>
  <si>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</si>
  <si>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</si>
  <si>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</si>
  <si>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</si>
  <si>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</si>
  <si>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</si>
  <si>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</si>
  <si>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</si>
  <si>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</si>
  <si>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</si>
  <si>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</si>
  <si>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</si>
  <si>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</si>
  <si>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</si>
  <si>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</si>
  <si>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</si>
  <si>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</si>
  <si>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</si>
  <si>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</si>
  <si>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</si>
  <si>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</si>
  <si>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</si>
  <si>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</si>
  <si>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</si>
  <si>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</si>
  <si>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</si>
  <si>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</si>
  <si>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</si>
  <si>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</si>
  <si>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</si>
  <si>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</si>
  <si>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</si>
  <si>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</si>
  <si>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</si>
  <si>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</si>
  <si>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</si>
  <si>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</si>
  <si>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</si>
  <si>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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</si>
  <si>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</si>
  <si>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</si>
  <si>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</si>
  <si>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</si>
  <si>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</si>
  <si>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</si>
  <si>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</si>
  <si>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</si>
  <si>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</si>
  <si>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</si>
  <si>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</si>
  <si>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</si>
  <si>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</si>
  <si>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</si>
  <si>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</si>
  <si>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</si>
  <si>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</si>
  <si>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</si>
  <si>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</si>
  <si>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</si>
  <si>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</si>
  <si>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</si>
  <si>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</si>
  <si>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</si>
  <si>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</si>
  <si>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</si>
  <si>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</si>
  <si>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</si>
  <si>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</si>
  <si>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</si>
  <si>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</si>
  <si>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</si>
  <si>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</si>
  <si>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</si>
  <si>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</si>
  <si>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</si>
  <si>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(campos)</t>
    </r>
  </si>
  <si>
    <t>Row Labels</t>
  </si>
  <si>
    <t>Count of Status Atual</t>
  </si>
  <si>
    <t>2. LT004_PROTECTION</t>
  </si>
  <si>
    <t>Sumário Executivo | 12/mai a 15/mai</t>
  </si>
  <si>
    <r>
      <rPr>
        <u/>
        <sz val="9"/>
        <color theme="1"/>
        <rFont val="Arial"/>
        <family val="2"/>
      </rPr>
      <t>Nota:</t>
    </r>
    <r>
      <rPr>
        <sz val="9"/>
        <color theme="1"/>
        <rFont val="Arial"/>
        <family val="2"/>
      </rPr>
      <t xml:space="preserve"> O total = 52 inclui os 51 campos âmbito 'GD' assim como o universo da tabela.</t>
    </r>
  </si>
  <si>
    <r>
      <t xml:space="preserve">Relativamente à tabela </t>
    </r>
    <r>
      <rPr>
        <i/>
        <sz val="10"/>
        <rFont val="Arial"/>
        <family val="2"/>
      </rPr>
      <t xml:space="preserve">lt002_instrument </t>
    </r>
    <r>
      <rPr>
        <sz val="10"/>
        <rFont val="Arial"/>
        <family val="2"/>
      </rPr>
      <t xml:space="preserve">foram entregues para testes, à data de 12/mai, um total de 18 campos assim como o universo da tabela. Desta amostra encontra-se em análise por parte da equipa de testes:
</t>
    </r>
    <r>
      <rPr>
        <sz val="10"/>
        <rFont val="Aptos Narrow"/>
        <family val="2"/>
      </rPr>
      <t xml:space="preserve">         • </t>
    </r>
    <r>
      <rPr>
        <sz val="10"/>
        <rFont val="Arial"/>
        <family val="2"/>
      </rPr>
      <t xml:space="preserve">Universo (inclui contratos de 'PM' assim como cancelados)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Campo: INSTRMNT_ID</t>
    </r>
  </si>
  <si>
    <r>
      <t xml:space="preserve">Relativamente à tabela </t>
    </r>
    <r>
      <rPr>
        <i/>
        <sz val="10"/>
        <rFont val="Arial"/>
        <family val="2"/>
      </rPr>
      <t xml:space="preserve">lt004_protection </t>
    </r>
    <r>
      <rPr>
        <sz val="10"/>
        <rFont val="Arial"/>
        <family val="2"/>
      </rPr>
      <t xml:space="preserve">foi entregue para testes, à data de 12/mai, o universo da tabela assim como o campo </t>
    </r>
    <r>
      <rPr>
        <i/>
        <sz val="10"/>
        <rFont val="Arial"/>
        <family val="2"/>
      </rPr>
      <t>typ_vhcl</t>
    </r>
    <r>
      <rPr>
        <sz val="10"/>
        <rFont val="Arial"/>
        <family val="2"/>
      </rPr>
      <t xml:space="preserve">. Foi concluida a análise de ambos e verificou-se o seguinte:
</t>
    </r>
    <r>
      <rPr>
        <sz val="10"/>
        <rFont val="Aptos Narrow"/>
        <family val="2"/>
      </rPr>
      <t xml:space="preserve">         • </t>
    </r>
    <r>
      <rPr>
        <sz val="10"/>
        <rFont val="Arial"/>
        <family val="2"/>
      </rPr>
      <t xml:space="preserve">Universo: universo comum entre a simulação da equipa de testes e a execução efetuada pela equipa de IT.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TYP_VHCL: todas as proteções apresentam o mesmo valor entre a simulação da equipa de testes e a execução da equipa de IT.</t>
    </r>
  </si>
  <si>
    <t>Comum</t>
  </si>
  <si>
    <t>Exclusivo Simulação</t>
  </si>
  <si>
    <t>Exclusivo IT</t>
  </si>
  <si>
    <t>Validação Universo</t>
  </si>
  <si>
    <t>Validação Campos</t>
  </si>
  <si>
    <r>
      <rPr>
        <u/>
        <sz val="9"/>
        <color theme="1"/>
        <rFont val="Arial"/>
        <family val="2"/>
      </rPr>
      <t>Nota:</t>
    </r>
    <r>
      <rPr>
        <sz val="9"/>
        <color theme="1"/>
        <rFont val="Arial"/>
        <family val="2"/>
      </rPr>
      <t xml:space="preserve"> O total = 8 inclui os 7 campos âmbito 'GD' assim como o universo da tabela.</t>
    </r>
  </si>
  <si>
    <r>
      <t xml:space="preserve">- </t>
    </r>
    <r>
      <rPr>
        <i/>
        <sz val="10"/>
        <rFont val="Arial"/>
        <family val="2"/>
      </rPr>
      <t>Setup</t>
    </r>
    <r>
      <rPr>
        <sz val="10"/>
        <rFont val="Arial"/>
        <family val="2"/>
      </rPr>
      <t xml:space="preserve"> do projeto;
- Inicio dos testes aos campos entregues no dia 12/mai, referentes às tabelas</t>
    </r>
    <r>
      <rPr>
        <i/>
        <sz val="10"/>
        <rFont val="Arial"/>
        <family val="2"/>
      </rPr>
      <t xml:space="preserve"> lt002_instrument</t>
    </r>
    <r>
      <rPr>
        <sz val="10"/>
        <rFont val="Arial"/>
        <family val="2"/>
      </rPr>
      <t xml:space="preserve"> e</t>
    </r>
    <r>
      <rPr>
        <i/>
        <sz val="10"/>
        <rFont val="Arial"/>
        <family val="2"/>
      </rPr>
      <t xml:space="preserve"> lt004_protection</t>
    </r>
    <r>
      <rPr>
        <sz val="10"/>
        <rFont val="Arial"/>
        <family val="2"/>
      </rPr>
      <t>.
- Os testes são realizados para a data de referência de 28-02-2025.</t>
    </r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</si>
  <si>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</si>
  <si>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</si>
  <si>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</si>
  <si>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</si>
  <si>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wip</t>
  </si>
  <si>
    <t>7. Por Entregar</t>
  </si>
  <si>
    <t>Campo ainda não entregue para testes por parte da equipa de IT.</t>
  </si>
  <si>
    <t>(Multiple Items)</t>
  </si>
  <si>
    <t>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</si>
</sst>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b/>
      <sz val="9"/>
      <color rgb="FFFF0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u/>
      <sz val="9"/>
      <color theme="1"/>
      <name val="Arial"/>
      <family val="2"/>
    </font>
    <font>
      <sz val="10"/>
      <name val="Aptos Narrow"/>
      <family val="2"/>
    </font>
    <font>
      <sz val="10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3366"/>
        <bgColor indexed="64"/>
      </patternFill>
    </fill>
  </fills>
  <borders count="5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10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3" fillId="0" borderId="2" xfId="0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4" fillId="15" borderId="13" xfId="0" applyFont="1" applyFill="1" applyBorder="1" applyAlignment="1">
      <alignment horizontal="center" vertical="center"/>
    </xf>
    <xf numFmtId="0" fontId="14" fillId="15" borderId="21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6" fillId="12" borderId="23" xfId="0" applyFont="1" applyFill="1" applyBorder="1" applyAlignment="1">
      <alignment horizontal="center" vertical="center"/>
    </xf>
    <xf numFmtId="0" fontId="16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7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3" fillId="18" borderId="14" xfId="0" applyFont="1" applyFill="1" applyBorder="1" applyAlignment="1">
      <alignment horizontal="left" vertical="center"/>
    </xf>
    <xf numFmtId="0" fontId="21" fillId="0" borderId="0" xfId="0" applyFont="1"/>
    <xf numFmtId="0" fontId="21" fillId="19" borderId="0" xfId="0" applyFont="1" applyFill="1"/>
    <xf numFmtId="0" fontId="21" fillId="0" borderId="41" xfId="0" applyFont="1" applyBorder="1"/>
    <xf numFmtId="0" fontId="21" fillId="0" borderId="42" xfId="0" applyFont="1" applyBorder="1"/>
    <xf numFmtId="0" fontId="21" fillId="0" borderId="43" xfId="0" applyFont="1" applyBorder="1"/>
    <xf numFmtId="0" fontId="21" fillId="0" borderId="44" xfId="0" applyFont="1" applyBorder="1"/>
    <xf numFmtId="0" fontId="23" fillId="0" borderId="0" xfId="0" applyFont="1"/>
    <xf numFmtId="0" fontId="21" fillId="0" borderId="32" xfId="0" applyFont="1" applyBorder="1"/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65" fontId="21" fillId="0" borderId="0" xfId="2" applyNumberFormat="1" applyFont="1" applyFill="1" applyBorder="1" applyAlignment="1">
      <alignment vertical="center"/>
    </xf>
    <xf numFmtId="0" fontId="21" fillId="0" borderId="45" xfId="0" applyFont="1" applyBorder="1"/>
    <xf numFmtId="0" fontId="21" fillId="0" borderId="46" xfId="0" applyFont="1" applyBorder="1"/>
    <xf numFmtId="0" fontId="21" fillId="0" borderId="47" xfId="0" applyFont="1" applyBorder="1"/>
    <xf numFmtId="16" fontId="4" fillId="0" borderId="8" xfId="0" applyNumberFormat="1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3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2" fillId="0" borderId="0" xfId="0" applyFont="1"/>
    <xf numFmtId="0" fontId="25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4" fillId="20" borderId="51" xfId="0" applyFont="1" applyFill="1" applyBorder="1" applyAlignment="1">
      <alignment vertical="center"/>
    </xf>
    <xf numFmtId="3" fontId="3" fillId="20" borderId="50" xfId="0" applyNumberFormat="1" applyFont="1" applyFill="1" applyBorder="1"/>
    <xf numFmtId="0" fontId="4" fillId="17" borderId="51" xfId="0" applyFont="1" applyFill="1" applyBorder="1" applyAlignment="1">
      <alignment vertical="center"/>
    </xf>
    <xf numFmtId="3" fontId="3" fillId="17" borderId="51" xfId="0" applyNumberFormat="1" applyFont="1" applyFill="1" applyBorder="1"/>
    <xf numFmtId="0" fontId="31" fillId="0" borderId="0" xfId="0" applyFont="1"/>
    <xf numFmtId="0" fontId="7" fillId="0" borderId="8" xfId="0" applyFont="1" applyBorder="1" applyAlignment="1">
      <alignment vertical="center"/>
    </xf>
    <xf numFmtId="0" fontId="19" fillId="0" borderId="0" xfId="0" applyFont="1" applyAlignment="1">
      <alignment horizontal="left" vertical="center" wrapText="1" indent="1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0" fontId="34" fillId="0" borderId="0" xfId="0" applyFont="1" applyAlignment="1">
      <alignment vertical="center"/>
    </xf>
    <xf numFmtId="16" fontId="35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2" xfId="0" applyFont="1" applyFill="1" applyBorder="1" applyAlignment="1">
      <alignment vertical="center"/>
    </xf>
    <xf numFmtId="0" fontId="4" fillId="21" borderId="49" xfId="0" applyFont="1" applyFill="1" applyBorder="1"/>
    <xf numFmtId="0" fontId="36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19" fillId="3" borderId="41" xfId="0" quotePrefix="1" applyFont="1" applyFill="1" applyBorder="1" applyAlignment="1">
      <alignment horizontal="left" vertical="center" wrapText="1" indent="1"/>
    </xf>
    <xf numFmtId="0" fontId="19" fillId="3" borderId="42" xfId="0" applyFont="1" applyFill="1" applyBorder="1" applyAlignment="1">
      <alignment horizontal="left" vertical="center" wrapText="1" indent="1"/>
    </xf>
    <xf numFmtId="0" fontId="19" fillId="3" borderId="43" xfId="0" applyFont="1" applyFill="1" applyBorder="1" applyAlignment="1">
      <alignment horizontal="left" vertical="center" wrapText="1" indent="1"/>
    </xf>
    <xf numFmtId="0" fontId="19" fillId="3" borderId="44" xfId="0" applyFont="1" applyFill="1" applyBorder="1" applyAlignment="1">
      <alignment horizontal="left" vertical="center" wrapText="1" indent="1"/>
    </xf>
    <xf numFmtId="0" fontId="19" fillId="3" borderId="0" xfId="0" applyFont="1" applyFill="1" applyAlignment="1">
      <alignment horizontal="left" vertical="center" wrapText="1" indent="1"/>
    </xf>
    <xf numFmtId="0" fontId="19" fillId="3" borderId="32" xfId="0" applyFont="1" applyFill="1" applyBorder="1" applyAlignment="1">
      <alignment horizontal="left" vertical="center" wrapText="1" indent="1"/>
    </xf>
    <xf numFmtId="0" fontId="19" fillId="3" borderId="45" xfId="0" applyFont="1" applyFill="1" applyBorder="1" applyAlignment="1">
      <alignment horizontal="left" vertical="center" wrapText="1" indent="1"/>
    </xf>
    <xf numFmtId="0" fontId="19" fillId="3" borderId="46" xfId="0" applyFont="1" applyFill="1" applyBorder="1" applyAlignment="1">
      <alignment horizontal="left" vertical="center" wrapText="1" indent="1"/>
    </xf>
    <xf numFmtId="0" fontId="19" fillId="3" borderId="47" xfId="0" applyFont="1" applyFill="1" applyBorder="1" applyAlignment="1">
      <alignment horizontal="left" vertical="center" wrapText="1" indent="1"/>
    </xf>
    <xf numFmtId="0" fontId="19" fillId="3" borderId="49" xfId="0" applyFont="1" applyFill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 wrapText="1"/>
    </xf>
    <xf numFmtId="0" fontId="30" fillId="5" borderId="0" xfId="0" applyFont="1" applyFill="1" applyAlignment="1">
      <alignment horizontal="center" vertical="center"/>
    </xf>
    <xf numFmtId="0" fontId="4" fillId="13" borderId="2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19" fillId="5" borderId="40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9" fillId="5" borderId="30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0" fillId="20" borderId="14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993366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993366"/>
        </patternFill>
      </fill>
    </dxf>
  </dxfs>
  <tableStyles count="0" defaultTableStyle="TableStyleMedium2" defaultPivotStyle="PivotStyleLight16"/>
  <colors>
    <mruColors>
      <color rgb="FF993366"/>
      <color rgb="FFFFE084"/>
      <color rgb="FF13868C"/>
      <color rgb="FFC00000"/>
      <color rgb="FFE6AC00"/>
      <color rgb="FFFFDDDD"/>
      <color rgb="FF62B967"/>
      <color rgb="FF1CC6CE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C09-4221-B0EA-2A6822990A86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5C09-4221-B0EA-2A6822990A86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C09-4221-B0EA-2A6822990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17-4FD4-B152-6C40DC584410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17-4FD4-B152-6C40DC584410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AB-4548-A424-4919EAF89F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2. Em Teste</c:v>
              </c:pt>
              <c:pt idx="1">
                <c:v>6. Por Iniciar</c:v>
              </c:pt>
              <c:pt idx="2">
                <c:v>7. Por Entregar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25</c:v>
              </c:pt>
              <c:pt idx="2">
                <c:v>25</c:v>
              </c:pt>
            </c:numLit>
          </c:val>
          <c:extLst>
            <c:ext xmlns:c16="http://schemas.microsoft.com/office/drawing/2014/chart" uri="{C3380CC4-5D6E-409C-BE32-E72D297353CC}">
              <c16:uniqueId val="{00000004-1517-4FD4-B152-6C40DC5844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74-4829-A6E9-9B3DB91435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74-4829-A6E9-9B3DB91435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2. Em Teste</c:v>
              </c:pt>
              <c:pt idx="1">
                <c:v>7. Por Entregar</c:v>
              </c:pt>
            </c:strLit>
          </c:cat>
          <c:val>
            <c:numLit>
              <c:formatCode>General</c:formatCode>
              <c:ptCount val="2"/>
              <c:pt idx="0">
                <c:v>1</c:v>
              </c:pt>
              <c:pt idx="1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4-1274-4829-A6E9-9B3DB91435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'Aux Gráficos'!#REF!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'Aux Gráficos'!#REF!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D28-4E73-A0DA-A81D6F6964A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'Aux Gráficos'!#REF!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'Aux Gráficos'!#REF!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D28-4E73-A0DA-A81D6F6964A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'Aux Gráficos'!#REF!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'Aux Gráficos'!#REF!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D28-4E73-A0DA-A81D6F6964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2696847"/>
        <c:axId val="752697327"/>
      </c:barChart>
      <c:catAx>
        <c:axId val="7526968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2697327"/>
        <c:crosses val="autoZero"/>
        <c:auto val="1"/>
        <c:lblAlgn val="ctr"/>
        <c:lblOffset val="100"/>
        <c:noMultiLvlLbl val="0"/>
      </c:catAx>
      <c:valAx>
        <c:axId val="75269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75269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Gráficos'!$F$5:$F$7</c:f>
              <c:strCache>
                <c:ptCount val="3"/>
                <c:pt idx="0">
                  <c:v>2. Em Teste</c:v>
                </c:pt>
                <c:pt idx="1">
                  <c:v>6. Por Iniciar</c:v>
                </c:pt>
                <c:pt idx="2">
                  <c:v>7. Por Entregar</c:v>
                </c:pt>
              </c:strCache>
            </c:strRef>
          </c:cat>
          <c:val>
            <c:numRef>
              <c:f>'Aux Gráficos'!$G$5:$G$7</c:f>
              <c:numCache>
                <c:formatCode>General</c:formatCode>
                <c:ptCount val="3"/>
                <c:pt idx="0">
                  <c:v>1</c:v>
                </c:pt>
                <c:pt idx="1">
                  <c:v>17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Gráficos'!$F$13:$F$14</c:f>
              <c:strCache>
                <c:ptCount val="2"/>
                <c:pt idx="0">
                  <c:v>2. Em Teste</c:v>
                </c:pt>
                <c:pt idx="1">
                  <c:v>7. Por Entregar</c:v>
                </c:pt>
              </c:strCache>
            </c:strRef>
          </c:cat>
          <c:val>
            <c:numRef>
              <c:f>'Aux Gráficos'!$G$13:$G$14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806696</xdr:colOff>
      <xdr:row>0</xdr:row>
      <xdr:rowOff>86611</xdr:rowOff>
    </xdr:from>
    <xdr:to>
      <xdr:col>4</xdr:col>
      <xdr:colOff>1085820</xdr:colOff>
      <xdr:row>2</xdr:row>
      <xdr:rowOff>190500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3196" y="86611"/>
          <a:ext cx="1231624" cy="527222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/>
        </xdr:cNvSpPr>
      </xdr:nvSpPr>
      <xdr:spPr>
        <a:xfrm>
          <a:off x="5136544" y="3708488"/>
          <a:ext cx="111180" cy="111180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60143</xdr:rowOff>
    </xdr:from>
    <xdr:to>
      <xdr:col>6</xdr:col>
      <xdr:colOff>628099</xdr:colOff>
      <xdr:row>19</xdr:row>
      <xdr:rowOff>171323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/>
        </xdr:cNvSpPr>
      </xdr:nvSpPr>
      <xdr:spPr>
        <a:xfrm>
          <a:off x="5124638" y="3501049"/>
          <a:ext cx="111180" cy="11118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/>
        </xdr:cNvSpPr>
      </xdr:nvSpPr>
      <xdr:spPr>
        <a:xfrm>
          <a:off x="5132734" y="4165148"/>
          <a:ext cx="118800" cy="111180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/>
        </xdr:cNvSpPr>
      </xdr:nvSpPr>
      <xdr:spPr>
        <a:xfrm>
          <a:off x="5132734" y="4598946"/>
          <a:ext cx="112993" cy="118800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/>
        </xdr:cNvSpPr>
      </xdr:nvSpPr>
      <xdr:spPr>
        <a:xfrm>
          <a:off x="5136544" y="4818845"/>
          <a:ext cx="111180" cy="11880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168115</xdr:colOff>
      <xdr:row>0</xdr:row>
      <xdr:rowOff>210130</xdr:rowOff>
    </xdr:from>
    <xdr:to>
      <xdr:col>3</xdr:col>
      <xdr:colOff>400526</xdr:colOff>
      <xdr:row>2</xdr:row>
      <xdr:rowOff>113823</xdr:rowOff>
    </xdr:to>
    <xdr:pic>
      <xdr:nvPicPr>
        <xdr:cNvPr id="9" name="Gráfic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8115" y="210130"/>
          <a:ext cx="1427322" cy="332318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21</xdr:row>
      <xdr:rowOff>45791</xdr:rowOff>
    </xdr:from>
    <xdr:to>
      <xdr:col>6</xdr:col>
      <xdr:colOff>631909</xdr:colOff>
      <xdr:row>21</xdr:row>
      <xdr:rowOff>156971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/>
        </xdr:cNvSpPr>
      </xdr:nvSpPr>
      <xdr:spPr>
        <a:xfrm>
          <a:off x="5120828" y="3796260"/>
          <a:ext cx="118800" cy="111180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29</xdr:row>
      <xdr:rowOff>0</xdr:rowOff>
    </xdr:from>
    <xdr:to>
      <xdr:col>7</xdr:col>
      <xdr:colOff>542925</xdr:colOff>
      <xdr:row>29</xdr:row>
      <xdr:rowOff>0</xdr:rowOff>
    </xdr:to>
    <xdr:graphicFrame macro="">
      <xdr:nvGraphicFramePr>
        <xdr:cNvPr id="18" name="Chart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16</xdr:row>
      <xdr:rowOff>169070</xdr:rowOff>
    </xdr:from>
    <xdr:to>
      <xdr:col>5</xdr:col>
      <xdr:colOff>1025126</xdr:colOff>
      <xdr:row>26</xdr:row>
      <xdr:rowOff>174515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513109</xdr:colOff>
      <xdr:row>33</xdr:row>
      <xdr:rowOff>56603</xdr:rowOff>
    </xdr:from>
    <xdr:to>
      <xdr:col>6</xdr:col>
      <xdr:colOff>631909</xdr:colOff>
      <xdr:row>33</xdr:row>
      <xdr:rowOff>167783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/>
        </xdr:cNvSpPr>
      </xdr:nvSpPr>
      <xdr:spPr>
        <a:xfrm>
          <a:off x="5124638" y="3287007"/>
          <a:ext cx="111180" cy="111180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34</xdr:row>
      <xdr:rowOff>60143</xdr:rowOff>
    </xdr:from>
    <xdr:to>
      <xdr:col>6</xdr:col>
      <xdr:colOff>628099</xdr:colOff>
      <xdr:row>34</xdr:row>
      <xdr:rowOff>171323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/>
        </xdr:cNvSpPr>
      </xdr:nvSpPr>
      <xdr:spPr>
        <a:xfrm>
          <a:off x="5124638" y="6691924"/>
          <a:ext cx="111180" cy="11118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35</xdr:row>
      <xdr:rowOff>56063</xdr:rowOff>
    </xdr:from>
    <xdr:to>
      <xdr:col>6</xdr:col>
      <xdr:colOff>628099</xdr:colOff>
      <xdr:row>35</xdr:row>
      <xdr:rowOff>167243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/>
        </xdr:cNvSpPr>
      </xdr:nvSpPr>
      <xdr:spPr>
        <a:xfrm>
          <a:off x="5120828" y="3715092"/>
          <a:ext cx="118800" cy="111180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37</xdr:row>
      <xdr:rowOff>59331</xdr:rowOff>
    </xdr:from>
    <xdr:to>
      <xdr:col>6</xdr:col>
      <xdr:colOff>629912</xdr:colOff>
      <xdr:row>37</xdr:row>
      <xdr:rowOff>178131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/>
        </xdr:cNvSpPr>
      </xdr:nvSpPr>
      <xdr:spPr>
        <a:xfrm>
          <a:off x="5120828" y="4139365"/>
          <a:ext cx="112993" cy="118800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38</xdr:row>
      <xdr:rowOff>60155</xdr:rowOff>
    </xdr:from>
    <xdr:to>
      <xdr:col>6</xdr:col>
      <xdr:colOff>631909</xdr:colOff>
      <xdr:row>38</xdr:row>
      <xdr:rowOff>171335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/>
        </xdr:cNvSpPr>
      </xdr:nvSpPr>
      <xdr:spPr>
        <a:xfrm>
          <a:off x="5124638" y="4354501"/>
          <a:ext cx="111180" cy="11880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513109</xdr:colOff>
      <xdr:row>36</xdr:row>
      <xdr:rowOff>45791</xdr:rowOff>
    </xdr:from>
    <xdr:to>
      <xdr:col>6</xdr:col>
      <xdr:colOff>631909</xdr:colOff>
      <xdr:row>36</xdr:row>
      <xdr:rowOff>156971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/>
        </xdr:cNvSpPr>
      </xdr:nvSpPr>
      <xdr:spPr>
        <a:xfrm>
          <a:off x="5124638" y="3917227"/>
          <a:ext cx="111180" cy="111180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73342</xdr:colOff>
      <xdr:row>31</xdr:row>
      <xdr:rowOff>186690</xdr:rowOff>
    </xdr:from>
    <xdr:to>
      <xdr:col>5</xdr:col>
      <xdr:colOff>1021316</xdr:colOff>
      <xdr:row>41</xdr:row>
      <xdr:rowOff>207375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73342</xdr:colOff>
      <xdr:row>42</xdr:row>
      <xdr:rowOff>21167</xdr:rowOff>
    </xdr:from>
    <xdr:to>
      <xdr:col>5</xdr:col>
      <xdr:colOff>699134</xdr:colOff>
      <xdr:row>49</xdr:row>
      <xdr:rowOff>130810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168115</xdr:colOff>
      <xdr:row>0</xdr:row>
      <xdr:rowOff>210130</xdr:rowOff>
    </xdr:from>
    <xdr:to>
      <xdr:col>2</xdr:col>
      <xdr:colOff>1050978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925" y="206320"/>
          <a:ext cx="1434466" cy="326603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31</xdr:row>
      <xdr:rowOff>0</xdr:rowOff>
    </xdr:from>
    <xdr:to>
      <xdr:col>6</xdr:col>
      <xdr:colOff>542925</xdr:colOff>
      <xdr:row>31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16</xdr:row>
      <xdr:rowOff>169070</xdr:rowOff>
    </xdr:from>
    <xdr:to>
      <xdr:col>5</xdr:col>
      <xdr:colOff>0</xdr:colOff>
      <xdr:row>26</xdr:row>
      <xdr:rowOff>174515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33</xdr:row>
      <xdr:rowOff>186690</xdr:rowOff>
    </xdr:from>
    <xdr:to>
      <xdr:col>5</xdr:col>
      <xdr:colOff>0</xdr:colOff>
      <xdr:row>43</xdr:row>
      <xdr:rowOff>207375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18</xdr:row>
      <xdr:rowOff>60413</xdr:rowOff>
    </xdr:from>
    <xdr:to>
      <xdr:col>5</xdr:col>
      <xdr:colOff>627722</xdr:colOff>
      <xdr:row>24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47205" y="3203663"/>
          <a:ext cx="112767" cy="144267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99336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35</xdr:row>
      <xdr:rowOff>59690</xdr:rowOff>
    </xdr:from>
    <xdr:to>
      <xdr:col>5</xdr:col>
      <xdr:colOff>627722</xdr:colOff>
      <xdr:row>41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47205" y="6811857"/>
          <a:ext cx="11276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99336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  <xdr:twoCellAnchor>
    <xdr:from>
      <xdr:col>5</xdr:col>
      <xdr:colOff>137583</xdr:colOff>
      <xdr:row>38</xdr:row>
      <xdr:rowOff>95250</xdr:rowOff>
    </xdr:from>
    <xdr:to>
      <xdr:col>9</xdr:col>
      <xdr:colOff>518584</xdr:colOff>
      <xdr:row>42</xdr:row>
      <xdr:rowOff>74084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032500" y="6868583"/>
          <a:ext cx="2751667" cy="74083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100"/>
            <a:t>colocar</a:t>
          </a:r>
          <a:r>
            <a:rPr lang="pt-PT" sz="1100" baseline="0"/>
            <a:t> a lt007 mais para a frente pois no pilar 3 ainda estão a validar erros</a:t>
          </a:r>
          <a:endParaRPr lang="pt-PT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792.661579050924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4">
        <s v="2. Em Teste"/>
        <s v="7. Por Entregar"/>
        <s v="6. Por Iniciar"/>
        <s v="1. Concluí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2"/>
  </r>
  <r>
    <x v="0"/>
    <x v="3"/>
    <x v="2"/>
  </r>
  <r>
    <x v="0"/>
    <x v="4"/>
    <x v="2"/>
  </r>
  <r>
    <x v="0"/>
    <x v="5"/>
    <x v="1"/>
  </r>
  <r>
    <x v="0"/>
    <x v="6"/>
    <x v="1"/>
  </r>
  <r>
    <x v="0"/>
    <x v="7"/>
    <x v="1"/>
  </r>
  <r>
    <x v="0"/>
    <x v="8"/>
    <x v="1"/>
  </r>
  <r>
    <x v="0"/>
    <x v="9"/>
    <x v="2"/>
  </r>
  <r>
    <x v="0"/>
    <x v="10"/>
    <x v="1"/>
  </r>
  <r>
    <x v="0"/>
    <x v="11"/>
    <x v="1"/>
  </r>
  <r>
    <x v="0"/>
    <x v="12"/>
    <x v="1"/>
  </r>
  <r>
    <x v="0"/>
    <x v="13"/>
    <x v="1"/>
  </r>
  <r>
    <x v="0"/>
    <x v="14"/>
    <x v="1"/>
  </r>
  <r>
    <x v="0"/>
    <x v="15"/>
    <x v="2"/>
  </r>
  <r>
    <x v="0"/>
    <x v="16"/>
    <x v="1"/>
  </r>
  <r>
    <x v="0"/>
    <x v="17"/>
    <x v="2"/>
  </r>
  <r>
    <x v="0"/>
    <x v="18"/>
    <x v="2"/>
  </r>
  <r>
    <x v="0"/>
    <x v="19"/>
    <x v="1"/>
  </r>
  <r>
    <x v="0"/>
    <x v="20"/>
    <x v="1"/>
  </r>
  <r>
    <x v="0"/>
    <x v="21"/>
    <x v="1"/>
  </r>
  <r>
    <x v="0"/>
    <x v="22"/>
    <x v="2"/>
  </r>
  <r>
    <x v="0"/>
    <x v="23"/>
    <x v="2"/>
  </r>
  <r>
    <x v="0"/>
    <x v="24"/>
    <x v="2"/>
  </r>
  <r>
    <x v="0"/>
    <x v="25"/>
    <x v="2"/>
  </r>
  <r>
    <x v="0"/>
    <x v="26"/>
    <x v="2"/>
  </r>
  <r>
    <x v="0"/>
    <x v="27"/>
    <x v="2"/>
  </r>
  <r>
    <x v="0"/>
    <x v="28"/>
    <x v="2"/>
  </r>
  <r>
    <x v="0"/>
    <x v="29"/>
    <x v="2"/>
  </r>
  <r>
    <x v="0"/>
    <x v="30"/>
    <x v="1"/>
  </r>
  <r>
    <x v="0"/>
    <x v="31"/>
    <x v="1"/>
  </r>
  <r>
    <x v="0"/>
    <x v="32"/>
    <x v="1"/>
  </r>
  <r>
    <x v="0"/>
    <x v="33"/>
    <x v="1"/>
  </r>
  <r>
    <x v="0"/>
    <x v="34"/>
    <x v="1"/>
  </r>
  <r>
    <x v="0"/>
    <x v="35"/>
    <x v="2"/>
  </r>
  <r>
    <x v="0"/>
    <x v="36"/>
    <x v="1"/>
  </r>
  <r>
    <x v="0"/>
    <x v="37"/>
    <x v="1"/>
  </r>
  <r>
    <x v="0"/>
    <x v="38"/>
    <x v="1"/>
  </r>
  <r>
    <x v="0"/>
    <x v="39"/>
    <x v="1"/>
  </r>
  <r>
    <x v="0"/>
    <x v="40"/>
    <x v="1"/>
  </r>
  <r>
    <x v="0"/>
    <x v="41"/>
    <x v="1"/>
  </r>
  <r>
    <x v="0"/>
    <x v="42"/>
    <x v="1"/>
  </r>
  <r>
    <x v="0"/>
    <x v="43"/>
    <x v="1"/>
  </r>
  <r>
    <x v="0"/>
    <x v="44"/>
    <x v="1"/>
  </r>
  <r>
    <x v="0"/>
    <x v="45"/>
    <x v="1"/>
  </r>
  <r>
    <x v="0"/>
    <x v="46"/>
    <x v="1"/>
  </r>
  <r>
    <x v="0"/>
    <x v="47"/>
    <x v="1"/>
  </r>
  <r>
    <x v="0"/>
    <x v="48"/>
    <x v="1"/>
  </r>
  <r>
    <x v="0"/>
    <x v="49"/>
    <x v="1"/>
  </r>
  <r>
    <x v="0"/>
    <x v="50"/>
    <x v="2"/>
  </r>
  <r>
    <x v="0"/>
    <x v="51"/>
    <x v="0"/>
  </r>
  <r>
    <x v="1"/>
    <x v="0"/>
    <x v="3"/>
  </r>
  <r>
    <x v="1"/>
    <x v="33"/>
    <x v="1"/>
  </r>
  <r>
    <x v="1"/>
    <x v="35"/>
    <x v="1"/>
  </r>
  <r>
    <x v="1"/>
    <x v="52"/>
    <x v="1"/>
  </r>
  <r>
    <x v="1"/>
    <x v="53"/>
    <x v="1"/>
  </r>
  <r>
    <x v="1"/>
    <x v="54"/>
    <x v="1"/>
  </r>
  <r>
    <x v="1"/>
    <x v="55"/>
    <x v="0"/>
  </r>
  <r>
    <x v="1"/>
    <x v="56"/>
    <x v="1"/>
  </r>
  <r>
    <x v="2"/>
    <x v="0"/>
    <x v="1"/>
  </r>
  <r>
    <x v="2"/>
    <x v="33"/>
    <x v="1"/>
  </r>
  <r>
    <x v="2"/>
    <x v="35"/>
    <x v="1"/>
  </r>
  <r>
    <x v="2"/>
    <x v="51"/>
    <x v="1"/>
  </r>
  <r>
    <x v="2"/>
    <x v="52"/>
    <x v="1"/>
  </r>
  <r>
    <x v="2"/>
    <x v="57"/>
    <x v="1"/>
  </r>
  <r>
    <x v="3"/>
    <x v="0"/>
    <x v="2"/>
  </r>
  <r>
    <x v="3"/>
    <x v="58"/>
    <x v="2"/>
  </r>
  <r>
    <x v="3"/>
    <x v="59"/>
    <x v="1"/>
  </r>
  <r>
    <x v="3"/>
    <x v="60"/>
    <x v="2"/>
  </r>
  <r>
    <x v="3"/>
    <x v="33"/>
    <x v="2"/>
  </r>
  <r>
    <x v="3"/>
    <x v="35"/>
    <x v="2"/>
  </r>
  <r>
    <x v="3"/>
    <x v="5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>
  <location ref="F12:G14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5">
        <item x="3"/>
        <item x="0"/>
        <item x="2"/>
        <item x="1"/>
        <item t="default"/>
      </items>
    </pivotField>
  </pivotFields>
  <rowFields count="1">
    <field x="2"/>
  </rowFields>
  <rowItems count="2">
    <i>
      <x v="1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3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>
  <location ref="F4:G7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5">
        <item x="3"/>
        <item x="0"/>
        <item x="2"/>
        <item x="1"/>
        <item t="default"/>
      </items>
    </pivotField>
  </pivotFields>
  <rowFields count="1">
    <field x="2"/>
  </rowFields>
  <rowItems count="3">
    <i>
      <x v="1"/>
    </i>
    <i>
      <x v="2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4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502C-CD6E-4AFA-91F6-0C8209B16569}">
  <sheetPr>
    <tabColor rgb="FFFF0000"/>
  </sheetPr>
  <dimension ref="A1:AW50"/>
  <sheetViews>
    <sheetView showGridLines="0" topLeftCell="A15" zoomScale="90" zoomScaleNormal="90" workbookViewId="0">
      <selection activeCell="E68" sqref="E68"/>
    </sheetView>
  </sheetViews>
  <sheetFormatPr defaultColWidth="0" defaultRowHeight="14.25"/>
  <cols>
    <col min="1" max="2" width="4" style="138" customWidth="1"/>
    <col min="3" max="3" width="9.5703125" style="138" customWidth="1"/>
    <col min="4" max="4" width="13.85546875" style="138" customWidth="1"/>
    <col min="5" max="5" width="17.85546875" style="138" customWidth="1"/>
    <col min="6" max="6" width="11.140625" style="138" customWidth="1"/>
    <col min="7" max="7" width="11.7109375" style="138" customWidth="1"/>
    <col min="8" max="8" width="21.5703125" style="138" bestFit="1" customWidth="1"/>
    <col min="9" max="10" width="13.42578125" style="138" customWidth="1"/>
    <col min="11" max="11" width="8.5703125" style="138" customWidth="1"/>
    <col min="12" max="17" width="13.28515625" style="138" customWidth="1"/>
    <col min="18" max="19" width="4" style="138" customWidth="1"/>
    <col min="20" max="26" width="4" style="138" hidden="1" customWidth="1"/>
    <col min="27" max="16384" width="9.5703125" style="138" hidden="1"/>
  </cols>
  <sheetData>
    <row r="1" spans="1:49" ht="16.149999999999999" customHeight="1"/>
    <row r="2" spans="1:49" ht="16.149999999999999" customHeight="1">
      <c r="F2" s="139"/>
    </row>
    <row r="3" spans="1:49" ht="16.149999999999999" customHeight="1">
      <c r="F3" s="139"/>
    </row>
    <row r="4" spans="1:49" ht="16.149999999999999" customHeight="1"/>
    <row r="5" spans="1:49" s="3" customFormat="1" ht="3" customHeight="1">
      <c r="A5" s="2"/>
      <c r="B5" s="2"/>
      <c r="C5" s="2"/>
      <c r="D5" s="2"/>
      <c r="E5" s="2"/>
      <c r="F5" s="2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</row>
    <row r="7" spans="1:49" ht="15">
      <c r="B7" s="165" t="s">
        <v>276</v>
      </c>
    </row>
    <row r="8" spans="1:49" ht="6.95" customHeight="1"/>
    <row r="9" spans="1:49">
      <c r="B9" s="177" t="s">
        <v>286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9"/>
    </row>
    <row r="10" spans="1:49">
      <c r="B10" s="180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2"/>
    </row>
    <row r="11" spans="1:49">
      <c r="B11" s="180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</row>
    <row r="12" spans="1:49">
      <c r="B12" s="180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2"/>
    </row>
    <row r="13" spans="1:49">
      <c r="B13" s="183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5"/>
    </row>
    <row r="15" spans="1:49" ht="18" customHeight="1">
      <c r="B15" s="188" t="s">
        <v>271</v>
      </c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</row>
    <row r="16" spans="1:49" ht="6.95" customHeight="1">
      <c r="H16" s="158"/>
    </row>
    <row r="17" spans="2:18" ht="17.45" customHeight="1">
      <c r="B17" s="140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2"/>
    </row>
    <row r="18" spans="2:18" ht="17.45" customHeight="1">
      <c r="B18" s="143"/>
      <c r="C18" s="144" t="s">
        <v>268</v>
      </c>
      <c r="H18" s="36" t="s">
        <v>272</v>
      </c>
      <c r="I18" s="35"/>
      <c r="J18" s="152">
        <v>45792</v>
      </c>
      <c r="L18" s="159" t="s">
        <v>269</v>
      </c>
      <c r="R18" s="145"/>
    </row>
    <row r="19" spans="2:18" ht="17.45" customHeight="1">
      <c r="B19" s="143"/>
      <c r="H19" s="153" t="s">
        <v>115</v>
      </c>
      <c r="I19" s="153"/>
      <c r="J19" s="153">
        <f>COUNTIFS('Detalhe Entregas e Status'!$T:$T,'1. Status Resumo old'!H19,'Detalhe Entregas e Status'!$B:$B,"lt002_instrument")</f>
        <v>0</v>
      </c>
      <c r="L19" s="186" t="s">
        <v>278</v>
      </c>
      <c r="M19" s="186"/>
      <c r="N19" s="186"/>
      <c r="O19" s="186"/>
      <c r="P19" s="186"/>
      <c r="Q19" s="186"/>
      <c r="R19" s="145"/>
    </row>
    <row r="20" spans="2:18" ht="17.45" customHeight="1">
      <c r="B20" s="143"/>
      <c r="H20" s="153" t="s">
        <v>118</v>
      </c>
      <c r="I20" s="153"/>
      <c r="J20" s="153">
        <f>COUNTIFS('Detalhe Entregas e Status'!$T:$T,'1. Status Resumo old'!H20,'Detalhe Entregas e Status'!$B:$B,"lt002_instrument")</f>
        <v>2</v>
      </c>
      <c r="L20" s="186"/>
      <c r="M20" s="186"/>
      <c r="N20" s="186"/>
      <c r="O20" s="186"/>
      <c r="P20" s="186"/>
      <c r="Q20" s="186"/>
      <c r="R20" s="145"/>
    </row>
    <row r="21" spans="2:18" ht="17.45" customHeight="1">
      <c r="B21" s="143"/>
      <c r="H21" s="153" t="s">
        <v>116</v>
      </c>
      <c r="I21" s="153"/>
      <c r="J21" s="153">
        <f>COUNTIFS('Detalhe Entregas e Status'!$T:$T,'1. Status Resumo old'!H21,'Detalhe Entregas e Status'!$B:$B,"lt002_instrument")</f>
        <v>0</v>
      </c>
      <c r="L21" s="186"/>
      <c r="M21" s="186"/>
      <c r="N21" s="186"/>
      <c r="O21" s="186"/>
      <c r="P21" s="186"/>
      <c r="Q21" s="186"/>
      <c r="R21" s="145"/>
    </row>
    <row r="22" spans="2:18" ht="17.45" customHeight="1">
      <c r="B22" s="143"/>
      <c r="D22" s="147"/>
      <c r="E22" s="147"/>
      <c r="H22" s="153" t="s">
        <v>117</v>
      </c>
      <c r="I22" s="153"/>
      <c r="J22" s="153">
        <f>COUNTIFS('Detalhe Entregas e Status'!$T:$T,'1. Status Resumo old'!H22,'Detalhe Entregas e Status'!$B:$B,"lt002_instrument")</f>
        <v>0</v>
      </c>
      <c r="L22" s="186"/>
      <c r="M22" s="186"/>
      <c r="N22" s="186"/>
      <c r="O22" s="186"/>
      <c r="P22" s="186"/>
      <c r="Q22" s="186"/>
      <c r="R22" s="145"/>
    </row>
    <row r="23" spans="2:18" ht="17.45" customHeight="1">
      <c r="B23" s="143"/>
      <c r="D23" s="147"/>
      <c r="E23" s="147"/>
      <c r="H23" s="153" t="s">
        <v>123</v>
      </c>
      <c r="I23" s="153"/>
      <c r="J23" s="153">
        <f>COUNTIFS('Detalhe Entregas e Status'!$T:$T,'1. Status Resumo old'!H23,'Detalhe Entregas e Status'!$B:$B,"lt002_instrument")</f>
        <v>0</v>
      </c>
      <c r="L23" s="186"/>
      <c r="M23" s="186"/>
      <c r="N23" s="186"/>
      <c r="O23" s="186"/>
      <c r="P23" s="186"/>
      <c r="Q23" s="186"/>
      <c r="R23" s="145"/>
    </row>
    <row r="24" spans="2:18" ht="17.45" customHeight="1">
      <c r="B24" s="143"/>
      <c r="D24" s="147"/>
      <c r="E24" s="147"/>
      <c r="H24" s="153" t="s">
        <v>125</v>
      </c>
      <c r="I24" s="153"/>
      <c r="J24" s="153">
        <f>COUNTIFS('Detalhe Entregas e Status'!$T:$T,'1. Status Resumo old'!H24,'Detalhe Entregas e Status'!$B:$B,"lt002_instrument")</f>
        <v>17</v>
      </c>
      <c r="L24" s="186"/>
      <c r="M24" s="186"/>
      <c r="N24" s="186"/>
      <c r="O24" s="186"/>
      <c r="P24" s="186"/>
      <c r="Q24" s="186"/>
      <c r="R24" s="145"/>
    </row>
    <row r="25" spans="2:18" ht="17.45" customHeight="1">
      <c r="B25" s="143"/>
      <c r="H25" s="154" t="s">
        <v>270</v>
      </c>
      <c r="I25" s="155"/>
      <c r="J25" s="154">
        <f>SUM(J19:J24)</f>
        <v>19</v>
      </c>
      <c r="L25" s="186"/>
      <c r="M25" s="186"/>
      <c r="N25" s="186"/>
      <c r="O25" s="186"/>
      <c r="P25" s="186"/>
      <c r="Q25" s="186"/>
      <c r="R25" s="145"/>
    </row>
    <row r="26" spans="2:18" ht="17.45" customHeight="1">
      <c r="B26" s="143"/>
      <c r="H26" s="187" t="s">
        <v>277</v>
      </c>
      <c r="I26" s="187"/>
      <c r="J26" s="187"/>
      <c r="K26" s="148"/>
      <c r="L26" s="186"/>
      <c r="M26" s="186"/>
      <c r="N26" s="186"/>
      <c r="O26" s="186"/>
      <c r="P26" s="186"/>
      <c r="Q26" s="186"/>
      <c r="R26" s="145"/>
    </row>
    <row r="27" spans="2:18" ht="17.45" customHeight="1">
      <c r="B27" s="143"/>
      <c r="H27" s="187"/>
      <c r="I27" s="187"/>
      <c r="J27" s="187"/>
      <c r="K27" s="148"/>
      <c r="L27" s="186"/>
      <c r="M27" s="186"/>
      <c r="N27" s="186"/>
      <c r="O27" s="186"/>
      <c r="P27" s="186"/>
      <c r="Q27" s="186"/>
      <c r="R27" s="145"/>
    </row>
    <row r="28" spans="2:18" ht="17.45" customHeight="1">
      <c r="B28" s="149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1"/>
    </row>
    <row r="30" spans="2:18" ht="18" customHeight="1">
      <c r="B30" s="188" t="s">
        <v>275</v>
      </c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</row>
    <row r="31" spans="2:18" ht="6.95" customHeight="1">
      <c r="H31" s="158"/>
    </row>
    <row r="32" spans="2:18" ht="17.45" customHeight="1">
      <c r="B32" s="140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2"/>
    </row>
    <row r="33" spans="2:18" ht="17.45" customHeight="1">
      <c r="B33" s="143"/>
      <c r="C33" s="144" t="s">
        <v>268</v>
      </c>
      <c r="H33" s="36" t="s">
        <v>272</v>
      </c>
      <c r="I33" s="35"/>
      <c r="J33" s="152">
        <v>45792</v>
      </c>
      <c r="L33" s="159" t="s">
        <v>269</v>
      </c>
      <c r="R33" s="145"/>
    </row>
    <row r="34" spans="2:18" ht="17.45" customHeight="1">
      <c r="B34" s="143"/>
      <c r="H34" s="153" t="s">
        <v>115</v>
      </c>
      <c r="I34" s="153"/>
      <c r="J34" s="153">
        <f>COUNTIFS('Detalhe Entregas e Status'!$T:$T,'1. Status Resumo old'!H34,'Detalhe Entregas e Status'!$B:$B,"lt004_protection")</f>
        <v>1</v>
      </c>
      <c r="L34" s="186" t="s">
        <v>279</v>
      </c>
      <c r="M34" s="186"/>
      <c r="N34" s="186"/>
      <c r="O34" s="186"/>
      <c r="P34" s="186"/>
      <c r="Q34" s="186"/>
      <c r="R34" s="145"/>
    </row>
    <row r="35" spans="2:18" ht="17.45" customHeight="1">
      <c r="B35" s="143"/>
      <c r="H35" s="153" t="s">
        <v>118</v>
      </c>
      <c r="I35" s="153"/>
      <c r="J35" s="153">
        <f>COUNTIFS('Detalhe Entregas e Status'!$T:$T,'1. Status Resumo old'!H35,'Detalhe Entregas e Status'!$B:$B,"lt004_protection")</f>
        <v>1</v>
      </c>
      <c r="L35" s="186"/>
      <c r="M35" s="186"/>
      <c r="N35" s="186"/>
      <c r="O35" s="186"/>
      <c r="P35" s="186"/>
      <c r="Q35" s="186"/>
      <c r="R35" s="145"/>
    </row>
    <row r="36" spans="2:18" ht="17.45" customHeight="1">
      <c r="B36" s="143"/>
      <c r="H36" s="153" t="s">
        <v>116</v>
      </c>
      <c r="I36" s="153"/>
      <c r="J36" s="153">
        <f>COUNTIFS('Detalhe Entregas e Status'!$T:$T,'1. Status Resumo old'!H36,'Detalhe Entregas e Status'!$B:$B,"lt004_protection")</f>
        <v>0</v>
      </c>
      <c r="L36" s="186"/>
      <c r="M36" s="186"/>
      <c r="N36" s="186"/>
      <c r="O36" s="186"/>
      <c r="P36" s="186"/>
      <c r="Q36" s="186"/>
      <c r="R36" s="145"/>
    </row>
    <row r="37" spans="2:18" ht="17.45" customHeight="1">
      <c r="B37" s="143"/>
      <c r="D37" s="147"/>
      <c r="E37" s="147"/>
      <c r="H37" s="153" t="s">
        <v>117</v>
      </c>
      <c r="I37" s="153"/>
      <c r="J37" s="153">
        <f>COUNTIFS('Detalhe Entregas e Status'!$T:$T,'1. Status Resumo old'!H37,'Detalhe Entregas e Status'!$B:$B,"lt004_protection")</f>
        <v>0</v>
      </c>
      <c r="L37" s="186"/>
      <c r="M37" s="186"/>
      <c r="N37" s="186"/>
      <c r="O37" s="186"/>
      <c r="P37" s="186"/>
      <c r="Q37" s="186"/>
      <c r="R37" s="145"/>
    </row>
    <row r="38" spans="2:18" ht="17.45" customHeight="1">
      <c r="B38" s="143"/>
      <c r="D38" s="147"/>
      <c r="E38" s="147"/>
      <c r="H38" s="153" t="s">
        <v>123</v>
      </c>
      <c r="I38" s="153"/>
      <c r="J38" s="153">
        <f>COUNTIFS('Detalhe Entregas e Status'!$T:$T,'1. Status Resumo old'!H38,'Detalhe Entregas e Status'!$B:$B,"lt004_protection")</f>
        <v>0</v>
      </c>
      <c r="L38" s="186"/>
      <c r="M38" s="186"/>
      <c r="N38" s="186"/>
      <c r="O38" s="186"/>
      <c r="P38" s="186"/>
      <c r="Q38" s="186"/>
      <c r="R38" s="145"/>
    </row>
    <row r="39" spans="2:18" ht="17.45" customHeight="1">
      <c r="B39" s="143"/>
      <c r="D39" s="147"/>
      <c r="E39" s="147"/>
      <c r="H39" s="153" t="s">
        <v>125</v>
      </c>
      <c r="I39" s="153"/>
      <c r="J39" s="153">
        <f>COUNTIFS('Detalhe Entregas e Status'!$T:$T,'1. Status Resumo old'!H39,'Detalhe Entregas e Status'!$B:$B,"lt004_protection")</f>
        <v>0</v>
      </c>
      <c r="L39" s="186"/>
      <c r="M39" s="186"/>
      <c r="N39" s="186"/>
      <c r="O39" s="186"/>
      <c r="P39" s="186"/>
      <c r="Q39" s="186"/>
      <c r="R39" s="145"/>
    </row>
    <row r="40" spans="2:18" ht="17.45" customHeight="1">
      <c r="B40" s="143"/>
      <c r="H40" s="154" t="s">
        <v>270</v>
      </c>
      <c r="I40" s="155"/>
      <c r="J40" s="154">
        <f>SUM(J34:J39)</f>
        <v>2</v>
      </c>
      <c r="L40" s="186"/>
      <c r="M40" s="186"/>
      <c r="N40" s="186"/>
      <c r="O40" s="186"/>
      <c r="P40" s="186"/>
      <c r="Q40" s="186"/>
      <c r="R40" s="145"/>
    </row>
    <row r="41" spans="2:18" ht="17.45" customHeight="1">
      <c r="B41" s="143"/>
      <c r="H41" s="187" t="s">
        <v>285</v>
      </c>
      <c r="I41" s="187"/>
      <c r="J41" s="187"/>
      <c r="K41" s="148"/>
      <c r="L41" s="186"/>
      <c r="M41" s="186"/>
      <c r="N41" s="186"/>
      <c r="O41" s="186"/>
      <c r="P41" s="186"/>
      <c r="Q41" s="186"/>
      <c r="R41" s="145"/>
    </row>
    <row r="42" spans="2:18" ht="17.45" customHeight="1">
      <c r="B42" s="143"/>
      <c r="C42" s="144" t="s">
        <v>284</v>
      </c>
      <c r="G42" s="144"/>
      <c r="H42" s="187"/>
      <c r="I42" s="187"/>
      <c r="J42" s="187"/>
      <c r="K42" s="148"/>
      <c r="L42" s="186"/>
      <c r="M42" s="186"/>
      <c r="N42" s="186"/>
      <c r="O42" s="186"/>
      <c r="P42" s="186"/>
      <c r="Q42" s="186"/>
      <c r="R42" s="145"/>
    </row>
    <row r="43" spans="2:18" ht="17.45" customHeight="1">
      <c r="B43" s="143"/>
      <c r="I43" s="146"/>
      <c r="J43" s="148"/>
      <c r="K43" s="148"/>
      <c r="L43" s="160"/>
      <c r="M43" s="160"/>
      <c r="N43" s="160"/>
      <c r="O43" s="160"/>
      <c r="P43" s="160"/>
      <c r="Q43" s="160"/>
      <c r="R43" s="145"/>
    </row>
    <row r="44" spans="2:18" ht="17.45" customHeight="1">
      <c r="B44" s="143"/>
      <c r="H44" s="144" t="s">
        <v>283</v>
      </c>
      <c r="J44"/>
      <c r="K44" s="148"/>
      <c r="L44" s="160"/>
      <c r="M44" s="160"/>
      <c r="N44" s="160"/>
      <c r="O44" s="160"/>
      <c r="P44" s="160"/>
      <c r="Q44" s="160"/>
      <c r="R44" s="145"/>
    </row>
    <row r="45" spans="2:18" ht="7.15" customHeight="1">
      <c r="B45" s="143"/>
      <c r="H45" s="146"/>
      <c r="J45"/>
      <c r="K45" s="148"/>
      <c r="L45"/>
      <c r="M45"/>
      <c r="O45" s="160"/>
      <c r="P45" s="160"/>
      <c r="Q45" s="160"/>
      <c r="R45" s="145"/>
    </row>
    <row r="46" spans="2:18" ht="17.45" customHeight="1">
      <c r="B46" s="143"/>
      <c r="H46" s="163" t="s">
        <v>280</v>
      </c>
      <c r="I46" s="164">
        <v>469321</v>
      </c>
      <c r="J46"/>
      <c r="K46" s="148"/>
      <c r="L46"/>
      <c r="M46"/>
      <c r="N46" s="160"/>
      <c r="O46" s="160"/>
      <c r="P46" s="160"/>
      <c r="Q46" s="160"/>
      <c r="R46" s="145"/>
    </row>
    <row r="47" spans="2:18" ht="17.45" customHeight="1">
      <c r="B47" s="143"/>
      <c r="H47" s="161" t="s">
        <v>281</v>
      </c>
      <c r="I47" s="162">
        <v>0</v>
      </c>
      <c r="J47"/>
      <c r="K47" s="148"/>
      <c r="L47"/>
      <c r="N47" s="160"/>
      <c r="O47" s="160"/>
      <c r="P47" s="160"/>
      <c r="Q47" s="160"/>
      <c r="R47" s="145"/>
    </row>
    <row r="48" spans="2:18" ht="17.45" customHeight="1">
      <c r="B48" s="143"/>
      <c r="H48" s="161" t="s">
        <v>282</v>
      </c>
      <c r="I48" s="162">
        <v>0</v>
      </c>
      <c r="J48"/>
      <c r="K48" s="148"/>
      <c r="L48"/>
      <c r="M48"/>
      <c r="N48" s="160"/>
      <c r="O48" s="160"/>
      <c r="P48" s="160"/>
      <c r="Q48" s="160"/>
      <c r="R48" s="145"/>
    </row>
    <row r="49" spans="2:18" ht="17.45" customHeight="1">
      <c r="B49" s="143"/>
      <c r="H49"/>
      <c r="I49"/>
      <c r="J49"/>
      <c r="K49" s="148"/>
      <c r="L49" s="160"/>
      <c r="M49" s="160"/>
      <c r="N49" s="160"/>
      <c r="O49" s="160"/>
      <c r="P49" s="160"/>
      <c r="Q49" s="160"/>
      <c r="R49" s="145"/>
    </row>
    <row r="50" spans="2:18" ht="17.45" customHeight="1">
      <c r="B50" s="149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1"/>
    </row>
  </sheetData>
  <mergeCells count="7">
    <mergeCell ref="B9:R13"/>
    <mergeCell ref="L19:Q27"/>
    <mergeCell ref="L34:Q42"/>
    <mergeCell ref="H26:J27"/>
    <mergeCell ref="H41:J42"/>
    <mergeCell ref="B15:R15"/>
    <mergeCell ref="B30:R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U56"/>
  <sheetViews>
    <sheetView showGridLines="0" topLeftCell="A3" zoomScale="90" zoomScaleNormal="90" workbookViewId="0">
      <selection activeCell="J19" sqref="J19:O27"/>
    </sheetView>
  </sheetViews>
  <sheetFormatPr defaultColWidth="0" defaultRowHeight="14.25" zeroHeight="1"/>
  <cols>
    <col min="1" max="2" width="4" style="138" customWidth="1"/>
    <col min="3" max="3" width="20.7109375" style="138" bestFit="1" customWidth="1"/>
    <col min="4" max="4" width="13.85546875" style="138" customWidth="1"/>
    <col min="5" max="5" width="17.85546875" style="138" customWidth="1"/>
    <col min="6" max="6" width="11.7109375" style="138" customWidth="1"/>
    <col min="7" max="7" width="21.5703125" style="138" bestFit="1" customWidth="1"/>
    <col min="8" max="8" width="14.85546875" style="138" customWidth="1"/>
    <col min="9" max="9" width="8.5703125" style="138" customWidth="1"/>
    <col min="10" max="15" width="13.28515625" style="138" customWidth="1"/>
    <col min="16" max="17" width="4" style="138" customWidth="1"/>
    <col min="18" max="24" width="4" style="138" hidden="1" customWidth="1"/>
    <col min="25" max="16384" width="9.5703125" style="138" hidden="1"/>
  </cols>
  <sheetData>
    <row r="1" spans="1:47" ht="16.149999999999999" customHeight="1"/>
    <row r="2" spans="1:47" ht="16.149999999999999" customHeight="1"/>
    <row r="3" spans="1:47" ht="16.149999999999999" customHeight="1"/>
    <row r="4" spans="1:47" ht="16.149999999999999" customHeight="1"/>
    <row r="5" spans="1:47" s="3" customFormat="1" ht="3" customHeight="1">
      <c r="A5" s="2"/>
      <c r="B5" s="2"/>
      <c r="C5" s="2"/>
      <c r="D5" s="2"/>
      <c r="E5" s="2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</row>
    <row r="6" spans="1:47"/>
    <row r="7" spans="1:47" ht="15">
      <c r="B7" s="165" t="s">
        <v>276</v>
      </c>
    </row>
    <row r="8" spans="1:47" ht="6.95" customHeight="1"/>
    <row r="9" spans="1:47">
      <c r="B9" s="177" t="s">
        <v>286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9"/>
    </row>
    <row r="10" spans="1:47">
      <c r="B10" s="180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2"/>
    </row>
    <row r="11" spans="1:47">
      <c r="B11" s="180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2"/>
    </row>
    <row r="12" spans="1:47">
      <c r="B12" s="180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2"/>
    </row>
    <row r="13" spans="1:47">
      <c r="B13" s="183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5"/>
    </row>
    <row r="14" spans="1:47"/>
    <row r="15" spans="1:47" ht="18" customHeight="1">
      <c r="B15" s="188" t="s">
        <v>271</v>
      </c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</row>
    <row r="16" spans="1:47" ht="6.95" customHeight="1">
      <c r="G16" s="158"/>
    </row>
    <row r="17" spans="2:16" ht="17.45" customHeight="1">
      <c r="B17" s="140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2"/>
    </row>
    <row r="18" spans="2:16" ht="17.45" customHeight="1">
      <c r="B18" s="143"/>
      <c r="C18" s="144" t="s">
        <v>268</v>
      </c>
      <c r="G18" s="166" t="s">
        <v>290</v>
      </c>
      <c r="H18" s="152">
        <v>45792</v>
      </c>
      <c r="J18" s="159" t="s">
        <v>269</v>
      </c>
      <c r="P18" s="145"/>
    </row>
    <row r="19" spans="2:16" ht="17.45" customHeight="1">
      <c r="B19" s="143"/>
      <c r="G19" s="153" t="s">
        <v>115</v>
      </c>
      <c r="H19" s="153">
        <f>COUNTIFS('Detalhe Entregas e Status'!$T:$T,'Status Resumo'!G19,'Detalhe Entregas e Status'!$B:$B,"lt002_instrument",'Detalhe Entregas e Status'!$C:$C,"&lt;&gt;"&amp;"UNIVERSO")</f>
        <v>0</v>
      </c>
      <c r="J19" s="186" t="s">
        <v>278</v>
      </c>
      <c r="K19" s="186"/>
      <c r="L19" s="186"/>
      <c r="M19" s="186"/>
      <c r="N19" s="186"/>
      <c r="O19" s="186"/>
      <c r="P19" s="145"/>
    </row>
    <row r="20" spans="2:16" ht="17.45" customHeight="1">
      <c r="B20" s="143"/>
      <c r="G20" s="153" t="s">
        <v>118</v>
      </c>
      <c r="H20" s="153">
        <f>COUNTIFS('Detalhe Entregas e Status'!$T:$T,'Status Resumo'!G20,'Detalhe Entregas e Status'!$B:$B,"lt002_instrument",'Detalhe Entregas e Status'!$C:$C,"&lt;&gt;"&amp;"UNIVERSO")</f>
        <v>1</v>
      </c>
      <c r="J20" s="186"/>
      <c r="K20" s="186"/>
      <c r="L20" s="186"/>
      <c r="M20" s="186"/>
      <c r="N20" s="186"/>
      <c r="O20" s="186"/>
      <c r="P20" s="145"/>
    </row>
    <row r="21" spans="2:16" ht="17.45" customHeight="1">
      <c r="B21" s="143"/>
      <c r="G21" s="153" t="s">
        <v>116</v>
      </c>
      <c r="H21" s="153">
        <f>COUNTIFS('Detalhe Entregas e Status'!$T:$T,'Status Resumo'!G21,'Detalhe Entregas e Status'!$B:$B,"lt002_instrument",'Detalhe Entregas e Status'!$C:$C,"&lt;&gt;"&amp;"UNIVERSO")</f>
        <v>0</v>
      </c>
      <c r="J21" s="186"/>
      <c r="K21" s="186"/>
      <c r="L21" s="186"/>
      <c r="M21" s="186"/>
      <c r="N21" s="186"/>
      <c r="O21" s="186"/>
      <c r="P21" s="145"/>
    </row>
    <row r="22" spans="2:16" ht="17.45" customHeight="1">
      <c r="B22" s="143"/>
      <c r="D22" s="147"/>
      <c r="E22" s="147"/>
      <c r="G22" s="153" t="s">
        <v>117</v>
      </c>
      <c r="H22" s="153">
        <f>COUNTIFS('Detalhe Entregas e Status'!$T:$T,'Status Resumo'!G22,'Detalhe Entregas e Status'!$B:$B,"lt002_instrument",'Detalhe Entregas e Status'!$C:$C,"&lt;&gt;"&amp;"UNIVERSO")</f>
        <v>0</v>
      </c>
      <c r="J22" s="186"/>
      <c r="K22" s="186"/>
      <c r="L22" s="186"/>
      <c r="M22" s="186"/>
      <c r="N22" s="186"/>
      <c r="O22" s="186"/>
      <c r="P22" s="145"/>
    </row>
    <row r="23" spans="2:16" ht="17.45" customHeight="1">
      <c r="B23" s="143"/>
      <c r="D23" s="147"/>
      <c r="E23" s="147"/>
      <c r="G23" s="153" t="s">
        <v>123</v>
      </c>
      <c r="H23" s="153">
        <f>COUNTIFS('Detalhe Entregas e Status'!$T:$T,'Status Resumo'!G23,'Detalhe Entregas e Status'!$B:$B,"lt002_instrument",'Detalhe Entregas e Status'!$C:$C,"&lt;&gt;"&amp;"UNIVERSO")</f>
        <v>0</v>
      </c>
      <c r="J23" s="186"/>
      <c r="K23" s="186"/>
      <c r="L23" s="186"/>
      <c r="M23" s="186"/>
      <c r="N23" s="186"/>
      <c r="O23" s="186"/>
      <c r="P23" s="145"/>
    </row>
    <row r="24" spans="2:16" ht="17.45" customHeight="1">
      <c r="B24" s="143"/>
      <c r="D24" s="147"/>
      <c r="E24" s="147"/>
      <c r="G24" s="153" t="s">
        <v>125</v>
      </c>
      <c r="H24" s="153">
        <f>COUNTIFS('Detalhe Entregas e Status'!$T:$T,'Status Resumo'!G24,'Detalhe Entregas e Status'!$B:$B,"lt002_instrument",'Detalhe Entregas e Status'!$C:$C,"&lt;&gt;"&amp;"UNIVERSO")</f>
        <v>17</v>
      </c>
      <c r="J24" s="186"/>
      <c r="K24" s="186"/>
      <c r="L24" s="186"/>
      <c r="M24" s="186"/>
      <c r="N24" s="186"/>
      <c r="O24" s="186"/>
      <c r="P24" s="145"/>
    </row>
    <row r="25" spans="2:16" ht="17.45" customHeight="1">
      <c r="B25" s="143"/>
      <c r="G25" s="153" t="s">
        <v>292</v>
      </c>
      <c r="H25" s="153">
        <f>COUNTIFS('Detalhe Entregas e Status'!$T:$T,'Status Resumo'!G25,'Detalhe Entregas e Status'!$B:$B,"lt002_instrument",'Detalhe Entregas e Status'!$C:$C,"&lt;&gt;"&amp;"UNIVERSO")</f>
        <v>33</v>
      </c>
      <c r="J25" s="186"/>
      <c r="K25" s="186"/>
      <c r="L25" s="186"/>
      <c r="M25" s="186"/>
      <c r="N25" s="186"/>
      <c r="O25" s="186"/>
      <c r="P25" s="145"/>
    </row>
    <row r="26" spans="2:16" ht="17.45" customHeight="1">
      <c r="B26" s="143"/>
      <c r="G26" s="154" t="s">
        <v>270</v>
      </c>
      <c r="H26" s="154">
        <f>SUM(H19:H25)</f>
        <v>51</v>
      </c>
      <c r="I26" s="148"/>
      <c r="J26" s="186"/>
      <c r="K26" s="186"/>
      <c r="L26" s="186"/>
      <c r="M26" s="186"/>
      <c r="N26" s="186"/>
      <c r="O26" s="186"/>
      <c r="P26" s="145"/>
    </row>
    <row r="27" spans="2:16" ht="17.45" customHeight="1">
      <c r="B27" s="143"/>
      <c r="G27"/>
      <c r="H27"/>
      <c r="I27" s="148"/>
      <c r="J27" s="186"/>
      <c r="K27" s="186"/>
      <c r="L27" s="186"/>
      <c r="M27" s="186"/>
      <c r="N27" s="186"/>
      <c r="O27" s="186"/>
      <c r="P27" s="145"/>
    </row>
    <row r="28" spans="2:16" ht="17.45" customHeight="1">
      <c r="B28" s="143"/>
      <c r="G28" s="166" t="s">
        <v>289</v>
      </c>
      <c r="H28" s="152">
        <v>45792</v>
      </c>
      <c r="I28" s="148"/>
      <c r="J28" s="167"/>
      <c r="K28" s="167"/>
      <c r="L28" s="167"/>
      <c r="M28" s="167"/>
      <c r="N28" s="167"/>
      <c r="O28" s="167"/>
      <c r="P28" s="145"/>
    </row>
    <row r="29" spans="2:16" ht="17.45" customHeight="1">
      <c r="B29" s="143"/>
      <c r="G29" s="168" t="s">
        <v>1</v>
      </c>
      <c r="H29" s="169" t="s">
        <v>291</v>
      </c>
      <c r="I29" s="148"/>
      <c r="J29" s="167"/>
      <c r="K29" s="167"/>
      <c r="L29" s="167"/>
      <c r="M29" s="167"/>
      <c r="N29" s="167"/>
      <c r="O29" s="167"/>
      <c r="P29" s="145"/>
    </row>
    <row r="30" spans="2:16" ht="17.45" customHeight="1">
      <c r="B30" s="149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1"/>
    </row>
    <row r="31" spans="2:16"/>
    <row r="32" spans="2:16" ht="18" customHeight="1">
      <c r="B32" s="188" t="s">
        <v>275</v>
      </c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</row>
    <row r="33" spans="2:16" ht="6.95" customHeight="1">
      <c r="G33" s="158"/>
    </row>
    <row r="34" spans="2:16" ht="17.45" customHeight="1">
      <c r="B34" s="140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2"/>
    </row>
    <row r="35" spans="2:16" ht="17.45" customHeight="1">
      <c r="B35" s="143"/>
      <c r="C35" s="144" t="s">
        <v>268</v>
      </c>
      <c r="G35" s="166" t="s">
        <v>288</v>
      </c>
      <c r="H35" s="152">
        <v>45792</v>
      </c>
      <c r="J35" s="159" t="s">
        <v>269</v>
      </c>
      <c r="P35" s="145"/>
    </row>
    <row r="36" spans="2:16" ht="17.45" customHeight="1">
      <c r="B36" s="143"/>
      <c r="G36" s="153" t="s">
        <v>115</v>
      </c>
      <c r="H36" s="153">
        <f>COUNTIFS('Detalhe Entregas e Status'!$T:$T,'Status Resumo'!G36,'Detalhe Entregas e Status'!$B:$B,"lt004_protection",'Detalhe Entregas e Status'!$C:$C,"&lt;&gt;"&amp;"UNIVERSO")</f>
        <v>0</v>
      </c>
      <c r="J36" s="186" t="s">
        <v>279</v>
      </c>
      <c r="K36" s="186"/>
      <c r="L36" s="186"/>
      <c r="M36" s="186"/>
      <c r="N36" s="186"/>
      <c r="O36" s="186"/>
      <c r="P36" s="145"/>
    </row>
    <row r="37" spans="2:16" ht="17.45" customHeight="1">
      <c r="B37" s="143"/>
      <c r="G37" s="153" t="s">
        <v>118</v>
      </c>
      <c r="H37" s="153">
        <f>COUNTIFS('Detalhe Entregas e Status'!$T:$T,'Status Resumo'!G37,'Detalhe Entregas e Status'!$B:$B,"lt004_protection",'Detalhe Entregas e Status'!$C:$C,"&lt;&gt;"&amp;"UNIVERSO")</f>
        <v>1</v>
      </c>
      <c r="J37" s="186"/>
      <c r="K37" s="186"/>
      <c r="L37" s="186"/>
      <c r="M37" s="186"/>
      <c r="N37" s="186"/>
      <c r="O37" s="186"/>
      <c r="P37" s="145"/>
    </row>
    <row r="38" spans="2:16" ht="17.45" customHeight="1">
      <c r="B38" s="143"/>
      <c r="G38" s="153" t="s">
        <v>116</v>
      </c>
      <c r="H38" s="153">
        <f>COUNTIFS('Detalhe Entregas e Status'!$T:$T,'Status Resumo'!G38,'Detalhe Entregas e Status'!$B:$B,"lt004_protection",'Detalhe Entregas e Status'!$C:$C,"&lt;&gt;"&amp;"UNIVERSO")</f>
        <v>0</v>
      </c>
      <c r="J38" s="186"/>
      <c r="K38" s="186"/>
      <c r="L38" s="186"/>
      <c r="M38" s="186"/>
      <c r="N38" s="186"/>
      <c r="O38" s="186"/>
      <c r="P38" s="145"/>
    </row>
    <row r="39" spans="2:16" ht="17.45" customHeight="1">
      <c r="B39" s="143"/>
      <c r="D39" s="147"/>
      <c r="E39" s="147"/>
      <c r="G39" s="153" t="s">
        <v>117</v>
      </c>
      <c r="H39" s="153">
        <f>COUNTIFS('Detalhe Entregas e Status'!$T:$T,'Status Resumo'!G39,'Detalhe Entregas e Status'!$B:$B,"lt004_protection",'Detalhe Entregas e Status'!$C:$C,"&lt;&gt;"&amp;"UNIVERSO")</f>
        <v>0</v>
      </c>
      <c r="J39" s="186"/>
      <c r="K39" s="186"/>
      <c r="L39" s="186"/>
      <c r="M39" s="186"/>
      <c r="N39" s="186"/>
      <c r="O39" s="186"/>
      <c r="P39" s="145"/>
    </row>
    <row r="40" spans="2:16" ht="17.45" customHeight="1">
      <c r="B40" s="143"/>
      <c r="D40" s="147"/>
      <c r="E40" s="147"/>
      <c r="G40" s="153" t="s">
        <v>123</v>
      </c>
      <c r="H40" s="153">
        <f>COUNTIFS('Detalhe Entregas e Status'!$T:$T,'Status Resumo'!G40,'Detalhe Entregas e Status'!$B:$B,"lt004_protection",'Detalhe Entregas e Status'!$C:$C,"&lt;&gt;"&amp;"UNIVERSO")</f>
        <v>0</v>
      </c>
      <c r="J40" s="186"/>
      <c r="K40" s="186"/>
      <c r="L40" s="186"/>
      <c r="M40" s="186"/>
      <c r="N40" s="186"/>
      <c r="O40" s="186"/>
      <c r="P40" s="145"/>
    </row>
    <row r="41" spans="2:16" ht="17.45" customHeight="1">
      <c r="B41" s="143"/>
      <c r="D41" s="147"/>
      <c r="E41" s="147"/>
      <c r="G41" s="153" t="s">
        <v>125</v>
      </c>
      <c r="H41" s="153">
        <f>COUNTIFS('Detalhe Entregas e Status'!$T:$T,'Status Resumo'!G41,'Detalhe Entregas e Status'!$B:$B,"lt004_protection",'Detalhe Entregas e Status'!$C:$C,"&lt;&gt;"&amp;"UNIVERSO")</f>
        <v>0</v>
      </c>
      <c r="J41" s="186"/>
      <c r="K41" s="186"/>
      <c r="L41" s="186"/>
      <c r="M41" s="186"/>
      <c r="N41" s="186"/>
      <c r="O41" s="186"/>
      <c r="P41" s="145"/>
    </row>
    <row r="42" spans="2:16" ht="17.45" customHeight="1">
      <c r="B42" s="143"/>
      <c r="G42" s="153" t="s">
        <v>292</v>
      </c>
      <c r="H42" s="153">
        <f>COUNTIFS('Detalhe Entregas e Status'!$T:$T,'Status Resumo'!G42,'Detalhe Entregas e Status'!$B:$B,"lt004_protection",'Detalhe Entregas e Status'!$C:$C,"&lt;&gt;"&amp;"UNIVERSO")</f>
        <v>6</v>
      </c>
      <c r="J42" s="186"/>
      <c r="K42" s="186"/>
      <c r="L42" s="186"/>
      <c r="M42" s="186"/>
      <c r="N42" s="186"/>
      <c r="O42" s="186"/>
      <c r="P42" s="145"/>
    </row>
    <row r="43" spans="2:16" ht="17.45" customHeight="1">
      <c r="B43" s="143"/>
      <c r="G43" s="154" t="s">
        <v>270</v>
      </c>
      <c r="H43" s="154">
        <f>SUM(H36:H42)</f>
        <v>7</v>
      </c>
      <c r="I43" s="148"/>
      <c r="J43" s="186"/>
      <c r="K43" s="186"/>
      <c r="L43" s="186"/>
      <c r="M43" s="186"/>
      <c r="N43" s="186"/>
      <c r="O43" s="186"/>
      <c r="P43" s="145"/>
    </row>
    <row r="44" spans="2:16" ht="17.45" customHeight="1">
      <c r="B44" s="143"/>
      <c r="C44" s="144"/>
      <c r="F44" s="144"/>
      <c r="I44" s="148"/>
      <c r="J44" s="186"/>
      <c r="K44" s="186"/>
      <c r="L44" s="186"/>
      <c r="M44" s="186"/>
      <c r="N44" s="186"/>
      <c r="O44" s="186"/>
      <c r="P44" s="145"/>
    </row>
    <row r="45" spans="2:16" ht="17.45" customHeight="1">
      <c r="B45" s="143"/>
      <c r="G45" s="166" t="s">
        <v>289</v>
      </c>
      <c r="H45" s="152">
        <v>45792</v>
      </c>
      <c r="I45" s="148"/>
      <c r="J45" s="160"/>
      <c r="K45" s="160"/>
      <c r="L45" s="160"/>
      <c r="M45" s="160"/>
      <c r="N45" s="160"/>
      <c r="O45" s="160"/>
      <c r="P45" s="145"/>
    </row>
    <row r="46" spans="2:16" ht="17.45" customHeight="1">
      <c r="B46" s="143"/>
      <c r="G46" s="170" t="s">
        <v>55</v>
      </c>
      <c r="H46" s="171" t="s">
        <v>287</v>
      </c>
      <c r="I46" s="148"/>
      <c r="J46" s="160"/>
      <c r="K46" s="160"/>
      <c r="L46" s="160"/>
      <c r="M46" s="160"/>
      <c r="N46" s="160"/>
      <c r="O46" s="160"/>
      <c r="P46" s="145"/>
    </row>
    <row r="47" spans="2:16" ht="17.45" customHeight="1">
      <c r="B47" s="149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1"/>
    </row>
    <row r="48" spans="2:16"/>
    <row r="49" s="138" customFormat="1"/>
    <row r="50" s="138" customFormat="1" hidden="1"/>
    <row r="51" s="138" customFormat="1" hidden="1"/>
    <row r="52" s="138" customFormat="1" hidden="1"/>
    <row r="53" s="138" customFormat="1" hidden="1"/>
    <row r="54" s="138" customFormat="1" hidden="1"/>
    <row r="55" s="138" customFormat="1" hidden="1"/>
    <row r="56" s="138" customFormat="1" hidden="1"/>
  </sheetData>
  <mergeCells count="5">
    <mergeCell ref="J36:O44"/>
    <mergeCell ref="B9:P13"/>
    <mergeCell ref="B15:P15"/>
    <mergeCell ref="J19:O27"/>
    <mergeCell ref="B32:P3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dimension ref="B1:G75"/>
  <sheetViews>
    <sheetView workbookViewId="0">
      <selection activeCell="G22" sqref="G22"/>
    </sheetView>
  </sheetViews>
  <sheetFormatPr defaultRowHeight="15"/>
  <cols>
    <col min="2" max="2" width="18.42578125" bestFit="1" customWidth="1"/>
    <col min="3" max="3" width="39.7109375" bestFit="1" customWidth="1"/>
    <col min="4" max="4" width="13.7109375" bestFit="1" customWidth="1"/>
    <col min="6" max="6" width="13.42578125" bestFit="1" customWidth="1"/>
    <col min="7" max="7" width="19.7109375" bestFit="1" customWidth="1"/>
  </cols>
  <sheetData>
    <row r="1" spans="2:7">
      <c r="F1" s="156" t="s">
        <v>80</v>
      </c>
      <c r="G1" t="s">
        <v>1</v>
      </c>
    </row>
    <row r="2" spans="2:7">
      <c r="B2" s="23" t="s">
        <v>80</v>
      </c>
      <c r="C2" s="24" t="s">
        <v>81</v>
      </c>
      <c r="D2" s="12" t="s">
        <v>112</v>
      </c>
      <c r="F2" s="156" t="s">
        <v>81</v>
      </c>
      <c r="G2" t="s">
        <v>294</v>
      </c>
    </row>
    <row r="3" spans="2:7">
      <c r="B3" s="13" t="s">
        <v>1</v>
      </c>
      <c r="C3" s="13" t="s">
        <v>90</v>
      </c>
      <c r="D3" s="30" t="s">
        <v>118</v>
      </c>
    </row>
    <row r="4" spans="2:7">
      <c r="B4" s="18" t="s">
        <v>1</v>
      </c>
      <c r="C4" s="18" t="s">
        <v>2</v>
      </c>
      <c r="D4" s="30" t="s">
        <v>292</v>
      </c>
      <c r="F4" s="156" t="s">
        <v>273</v>
      </c>
      <c r="G4" t="s">
        <v>274</v>
      </c>
    </row>
    <row r="5" spans="2:7">
      <c r="B5" s="13" t="s">
        <v>1</v>
      </c>
      <c r="C5" s="13" t="s">
        <v>5</v>
      </c>
      <c r="D5" s="30" t="s">
        <v>125</v>
      </c>
      <c r="F5" s="157" t="s">
        <v>118</v>
      </c>
      <c r="G5">
        <v>1</v>
      </c>
    </row>
    <row r="6" spans="2:7">
      <c r="B6" s="13" t="s">
        <v>1</v>
      </c>
      <c r="C6" s="13" t="s">
        <v>6</v>
      </c>
      <c r="D6" s="30" t="s">
        <v>125</v>
      </c>
      <c r="F6" s="157" t="s">
        <v>125</v>
      </c>
      <c r="G6">
        <v>17</v>
      </c>
    </row>
    <row r="7" spans="2:7">
      <c r="B7" s="13" t="s">
        <v>1</v>
      </c>
      <c r="C7" s="13" t="s">
        <v>7</v>
      </c>
      <c r="D7" s="30" t="s">
        <v>125</v>
      </c>
      <c r="F7" s="157" t="s">
        <v>292</v>
      </c>
      <c r="G7">
        <v>33</v>
      </c>
    </row>
    <row r="8" spans="2:7">
      <c r="B8" s="13" t="s">
        <v>1</v>
      </c>
      <c r="C8" s="13" t="s">
        <v>8</v>
      </c>
      <c r="D8" s="30" t="s">
        <v>292</v>
      </c>
    </row>
    <row r="9" spans="2:7">
      <c r="B9" s="13" t="s">
        <v>1</v>
      </c>
      <c r="C9" s="13" t="s">
        <v>9</v>
      </c>
      <c r="D9" s="30" t="s">
        <v>292</v>
      </c>
      <c r="F9" s="156" t="s">
        <v>80</v>
      </c>
      <c r="G9" t="s">
        <v>55</v>
      </c>
    </row>
    <row r="10" spans="2:7">
      <c r="B10" s="13" t="s">
        <v>1</v>
      </c>
      <c r="C10" s="13" t="s">
        <v>10</v>
      </c>
      <c r="D10" s="30" t="s">
        <v>292</v>
      </c>
      <c r="F10" s="156" t="s">
        <v>81</v>
      </c>
      <c r="G10" t="s">
        <v>294</v>
      </c>
    </row>
    <row r="11" spans="2:7">
      <c r="B11" s="13" t="s">
        <v>1</v>
      </c>
      <c r="C11" s="13" t="s">
        <v>11</v>
      </c>
      <c r="D11" s="30" t="s">
        <v>292</v>
      </c>
    </row>
    <row r="12" spans="2:7">
      <c r="B12" s="13" t="s">
        <v>1</v>
      </c>
      <c r="C12" s="13" t="s">
        <v>12</v>
      </c>
      <c r="D12" s="30" t="s">
        <v>125</v>
      </c>
      <c r="F12" s="156" t="s">
        <v>273</v>
      </c>
      <c r="G12" t="s">
        <v>274</v>
      </c>
    </row>
    <row r="13" spans="2:7">
      <c r="B13" s="13" t="s">
        <v>1</v>
      </c>
      <c r="C13" s="13" t="s">
        <v>13</v>
      </c>
      <c r="D13" s="30" t="s">
        <v>292</v>
      </c>
      <c r="F13" s="157" t="s">
        <v>118</v>
      </c>
      <c r="G13">
        <v>1</v>
      </c>
    </row>
    <row r="14" spans="2:7">
      <c r="B14" s="13" t="s">
        <v>1</v>
      </c>
      <c r="C14" s="13" t="s">
        <v>14</v>
      </c>
      <c r="D14" s="30" t="s">
        <v>292</v>
      </c>
      <c r="F14" s="157" t="s">
        <v>292</v>
      </c>
      <c r="G14">
        <v>6</v>
      </c>
    </row>
    <row r="15" spans="2:7">
      <c r="B15" s="13" t="s">
        <v>1</v>
      </c>
      <c r="C15" s="13" t="s">
        <v>15</v>
      </c>
      <c r="D15" s="30" t="s">
        <v>292</v>
      </c>
    </row>
    <row r="16" spans="2:7">
      <c r="B16" s="13" t="s">
        <v>1</v>
      </c>
      <c r="C16" s="13" t="s">
        <v>16</v>
      </c>
      <c r="D16" s="30" t="s">
        <v>292</v>
      </c>
    </row>
    <row r="17" spans="2:4">
      <c r="B17" s="13" t="s">
        <v>1</v>
      </c>
      <c r="C17" s="13" t="s">
        <v>17</v>
      </c>
      <c r="D17" s="30" t="s">
        <v>292</v>
      </c>
    </row>
    <row r="18" spans="2:4">
      <c r="B18" s="13" t="s">
        <v>1</v>
      </c>
      <c r="C18" s="13" t="s">
        <v>18</v>
      </c>
      <c r="D18" s="30" t="s">
        <v>125</v>
      </c>
    </row>
    <row r="19" spans="2:4">
      <c r="B19" s="13" t="s">
        <v>1</v>
      </c>
      <c r="C19" s="13" t="s">
        <v>19</v>
      </c>
      <c r="D19" s="30" t="s">
        <v>292</v>
      </c>
    </row>
    <row r="20" spans="2:4">
      <c r="B20" s="13" t="s">
        <v>1</v>
      </c>
      <c r="C20" s="13" t="s">
        <v>20</v>
      </c>
      <c r="D20" s="30" t="s">
        <v>125</v>
      </c>
    </row>
    <row r="21" spans="2:4">
      <c r="B21" s="13" t="s">
        <v>1</v>
      </c>
      <c r="C21" s="13" t="s">
        <v>21</v>
      </c>
      <c r="D21" s="30" t="s">
        <v>125</v>
      </c>
    </row>
    <row r="22" spans="2:4">
      <c r="B22" s="13" t="s">
        <v>1</v>
      </c>
      <c r="C22" s="13" t="s">
        <v>22</v>
      </c>
      <c r="D22" s="30" t="s">
        <v>292</v>
      </c>
    </row>
    <row r="23" spans="2:4">
      <c r="B23" s="13" t="s">
        <v>1</v>
      </c>
      <c r="C23" s="13" t="s">
        <v>23</v>
      </c>
      <c r="D23" s="30" t="s">
        <v>292</v>
      </c>
    </row>
    <row r="24" spans="2:4">
      <c r="B24" s="13" t="s">
        <v>1</v>
      </c>
      <c r="C24" s="13" t="s">
        <v>24</v>
      </c>
      <c r="D24" s="30" t="s">
        <v>292</v>
      </c>
    </row>
    <row r="25" spans="2:4">
      <c r="B25" s="13" t="s">
        <v>1</v>
      </c>
      <c r="C25" s="13" t="s">
        <v>25</v>
      </c>
      <c r="D25" s="30" t="s">
        <v>125</v>
      </c>
    </row>
    <row r="26" spans="2:4">
      <c r="B26" s="13" t="s">
        <v>1</v>
      </c>
      <c r="C26" s="13" t="s">
        <v>26</v>
      </c>
      <c r="D26" s="30" t="s">
        <v>125</v>
      </c>
    </row>
    <row r="27" spans="2:4">
      <c r="B27" s="13" t="s">
        <v>1</v>
      </c>
      <c r="C27" s="13" t="s">
        <v>27</v>
      </c>
      <c r="D27" s="30" t="s">
        <v>125</v>
      </c>
    </row>
    <row r="28" spans="2:4">
      <c r="B28" s="13" t="s">
        <v>1</v>
      </c>
      <c r="C28" s="13" t="s">
        <v>28</v>
      </c>
      <c r="D28" s="30" t="s">
        <v>125</v>
      </c>
    </row>
    <row r="29" spans="2:4">
      <c r="B29" s="13" t="s">
        <v>1</v>
      </c>
      <c r="C29" s="13" t="s">
        <v>29</v>
      </c>
      <c r="D29" s="30" t="s">
        <v>125</v>
      </c>
    </row>
    <row r="30" spans="2:4">
      <c r="B30" s="13" t="s">
        <v>1</v>
      </c>
      <c r="C30" s="13" t="s">
        <v>30</v>
      </c>
      <c r="D30" s="30" t="s">
        <v>125</v>
      </c>
    </row>
    <row r="31" spans="2:4">
      <c r="B31" s="13" t="s">
        <v>1</v>
      </c>
      <c r="C31" s="13" t="s">
        <v>31</v>
      </c>
      <c r="D31" s="30" t="s">
        <v>125</v>
      </c>
    </row>
    <row r="32" spans="2:4">
      <c r="B32" s="13" t="s">
        <v>1</v>
      </c>
      <c r="C32" s="13" t="s">
        <v>32</v>
      </c>
      <c r="D32" s="30" t="s">
        <v>125</v>
      </c>
    </row>
    <row r="33" spans="2:4">
      <c r="B33" s="13" t="s">
        <v>1</v>
      </c>
      <c r="C33" s="13" t="s">
        <v>33</v>
      </c>
      <c r="D33" s="30" t="s">
        <v>292</v>
      </c>
    </row>
    <row r="34" spans="2:4">
      <c r="B34" s="13" t="s">
        <v>1</v>
      </c>
      <c r="C34" s="13" t="s">
        <v>34</v>
      </c>
      <c r="D34" s="30" t="s">
        <v>292</v>
      </c>
    </row>
    <row r="35" spans="2:4">
      <c r="B35" s="13" t="s">
        <v>1</v>
      </c>
      <c r="C35" s="13" t="s">
        <v>35</v>
      </c>
      <c r="D35" s="30" t="s">
        <v>292</v>
      </c>
    </row>
    <row r="36" spans="2:4">
      <c r="B36" s="13" t="s">
        <v>1</v>
      </c>
      <c r="C36" s="13" t="s">
        <v>36</v>
      </c>
      <c r="D36" s="30" t="s">
        <v>292</v>
      </c>
    </row>
    <row r="37" spans="2:4">
      <c r="B37" s="13" t="s">
        <v>1</v>
      </c>
      <c r="C37" s="13" t="s">
        <v>37</v>
      </c>
      <c r="D37" s="30" t="s">
        <v>292</v>
      </c>
    </row>
    <row r="38" spans="2:4">
      <c r="B38" s="13" t="s">
        <v>1</v>
      </c>
      <c r="C38" s="13" t="s">
        <v>38</v>
      </c>
      <c r="D38" s="30" t="s">
        <v>125</v>
      </c>
    </row>
    <row r="39" spans="2:4">
      <c r="B39" s="13" t="s">
        <v>1</v>
      </c>
      <c r="C39" s="13" t="s">
        <v>39</v>
      </c>
      <c r="D39" s="30" t="s">
        <v>292</v>
      </c>
    </row>
    <row r="40" spans="2:4">
      <c r="B40" s="13" t="s">
        <v>1</v>
      </c>
      <c r="C40" s="13" t="s">
        <v>40</v>
      </c>
      <c r="D40" s="30" t="s">
        <v>292</v>
      </c>
    </row>
    <row r="41" spans="2:4">
      <c r="B41" s="13" t="s">
        <v>1</v>
      </c>
      <c r="C41" s="13" t="s">
        <v>41</v>
      </c>
      <c r="D41" s="30" t="s">
        <v>292</v>
      </c>
    </row>
    <row r="42" spans="2:4">
      <c r="B42" s="13" t="s">
        <v>1</v>
      </c>
      <c r="C42" s="13" t="s">
        <v>42</v>
      </c>
      <c r="D42" s="30" t="s">
        <v>292</v>
      </c>
    </row>
    <row r="43" spans="2:4">
      <c r="B43" s="13" t="s">
        <v>1</v>
      </c>
      <c r="C43" s="13" t="s">
        <v>43</v>
      </c>
      <c r="D43" s="30" t="s">
        <v>292</v>
      </c>
    </row>
    <row r="44" spans="2:4">
      <c r="B44" s="13" t="s">
        <v>1</v>
      </c>
      <c r="C44" s="13" t="s">
        <v>44</v>
      </c>
      <c r="D44" s="30" t="s">
        <v>292</v>
      </c>
    </row>
    <row r="45" spans="2:4">
      <c r="B45" s="13" t="s">
        <v>1</v>
      </c>
      <c r="C45" s="13" t="s">
        <v>45</v>
      </c>
      <c r="D45" s="30" t="s">
        <v>292</v>
      </c>
    </row>
    <row r="46" spans="2:4">
      <c r="B46" s="13" t="s">
        <v>1</v>
      </c>
      <c r="C46" s="13" t="s">
        <v>46</v>
      </c>
      <c r="D46" s="30" t="s">
        <v>292</v>
      </c>
    </row>
    <row r="47" spans="2:4">
      <c r="B47" s="13" t="s">
        <v>1</v>
      </c>
      <c r="C47" s="13" t="s">
        <v>47</v>
      </c>
      <c r="D47" s="30" t="s">
        <v>292</v>
      </c>
    </row>
    <row r="48" spans="2:4">
      <c r="B48" s="13" t="s">
        <v>1</v>
      </c>
      <c r="C48" s="13" t="s">
        <v>48</v>
      </c>
      <c r="D48" s="30" t="s">
        <v>292</v>
      </c>
    </row>
    <row r="49" spans="2:4">
      <c r="B49" s="13" t="s">
        <v>1</v>
      </c>
      <c r="C49" s="13" t="s">
        <v>49</v>
      </c>
      <c r="D49" s="30" t="s">
        <v>292</v>
      </c>
    </row>
    <row r="50" spans="2:4">
      <c r="B50" s="13" t="s">
        <v>1</v>
      </c>
      <c r="C50" s="13" t="s">
        <v>50</v>
      </c>
      <c r="D50" s="30" t="s">
        <v>292</v>
      </c>
    </row>
    <row r="51" spans="2:4">
      <c r="B51" s="13" t="s">
        <v>1</v>
      </c>
      <c r="C51" s="13" t="s">
        <v>51</v>
      </c>
      <c r="D51" s="30" t="s">
        <v>292</v>
      </c>
    </row>
    <row r="52" spans="2:4">
      <c r="B52" s="13" t="s">
        <v>1</v>
      </c>
      <c r="C52" s="13" t="s">
        <v>52</v>
      </c>
      <c r="D52" s="30" t="s">
        <v>292</v>
      </c>
    </row>
    <row r="53" spans="2:4">
      <c r="B53" s="13" t="s">
        <v>1</v>
      </c>
      <c r="C53" s="13" t="s">
        <v>53</v>
      </c>
      <c r="D53" s="30" t="s">
        <v>125</v>
      </c>
    </row>
    <row r="54" spans="2:4">
      <c r="B54" s="13" t="s">
        <v>1</v>
      </c>
      <c r="C54" s="13" t="s">
        <v>54</v>
      </c>
      <c r="D54" s="30" t="s">
        <v>118</v>
      </c>
    </row>
    <row r="55" spans="2:4">
      <c r="B55" s="13" t="s">
        <v>55</v>
      </c>
      <c r="C55" s="13" t="s">
        <v>90</v>
      </c>
      <c r="D55" s="30" t="s">
        <v>115</v>
      </c>
    </row>
    <row r="56" spans="2:4">
      <c r="B56" s="13" t="s">
        <v>55</v>
      </c>
      <c r="C56" s="13" t="s">
        <v>36</v>
      </c>
      <c r="D56" s="30" t="s">
        <v>292</v>
      </c>
    </row>
    <row r="57" spans="2:4">
      <c r="B57" s="13" t="s">
        <v>55</v>
      </c>
      <c r="C57" s="13" t="s">
        <v>38</v>
      </c>
      <c r="D57" s="30" t="s">
        <v>292</v>
      </c>
    </row>
    <row r="58" spans="2:4">
      <c r="B58" s="13" t="s">
        <v>55</v>
      </c>
      <c r="C58" s="13" t="s">
        <v>56</v>
      </c>
      <c r="D58" s="30" t="s">
        <v>292</v>
      </c>
    </row>
    <row r="59" spans="2:4">
      <c r="B59" s="13" t="s">
        <v>55</v>
      </c>
      <c r="C59" s="13" t="s">
        <v>57</v>
      </c>
      <c r="D59" s="30" t="s">
        <v>292</v>
      </c>
    </row>
    <row r="60" spans="2:4">
      <c r="B60" s="13" t="s">
        <v>55</v>
      </c>
      <c r="C60" s="13" t="s">
        <v>58</v>
      </c>
      <c r="D60" s="30" t="s">
        <v>292</v>
      </c>
    </row>
    <row r="61" spans="2:4">
      <c r="B61" s="13" t="s">
        <v>55</v>
      </c>
      <c r="C61" s="13" t="s">
        <v>59</v>
      </c>
      <c r="D61" s="30" t="s">
        <v>118</v>
      </c>
    </row>
    <row r="62" spans="2:4">
      <c r="B62" s="13" t="s">
        <v>55</v>
      </c>
      <c r="C62" s="13" t="s">
        <v>60</v>
      </c>
      <c r="D62" s="30" t="s">
        <v>292</v>
      </c>
    </row>
    <row r="63" spans="2:4">
      <c r="B63" s="13" t="s">
        <v>61</v>
      </c>
      <c r="C63" s="13" t="s">
        <v>90</v>
      </c>
      <c r="D63" s="30" t="s">
        <v>292</v>
      </c>
    </row>
    <row r="64" spans="2:4">
      <c r="B64" s="13" t="s">
        <v>61</v>
      </c>
      <c r="C64" s="13" t="s">
        <v>36</v>
      </c>
      <c r="D64" s="30" t="s">
        <v>292</v>
      </c>
    </row>
    <row r="65" spans="2:4">
      <c r="B65" s="13" t="s">
        <v>61</v>
      </c>
      <c r="C65" s="13" t="s">
        <v>38</v>
      </c>
      <c r="D65" s="30" t="s">
        <v>292</v>
      </c>
    </row>
    <row r="66" spans="2:4">
      <c r="B66" s="13" t="s">
        <v>61</v>
      </c>
      <c r="C66" s="13" t="s">
        <v>54</v>
      </c>
      <c r="D66" s="30" t="s">
        <v>292</v>
      </c>
    </row>
    <row r="67" spans="2:4">
      <c r="B67" s="13" t="s">
        <v>61</v>
      </c>
      <c r="C67" s="13" t="s">
        <v>56</v>
      </c>
      <c r="D67" s="30" t="s">
        <v>292</v>
      </c>
    </row>
    <row r="68" spans="2:4">
      <c r="B68" s="13" t="s">
        <v>61</v>
      </c>
      <c r="C68" s="13" t="s">
        <v>62</v>
      </c>
      <c r="D68" s="30" t="s">
        <v>292</v>
      </c>
    </row>
    <row r="69" spans="2:4">
      <c r="B69" s="13" t="s">
        <v>63</v>
      </c>
      <c r="C69" s="13" t="s">
        <v>90</v>
      </c>
      <c r="D69" s="30" t="s">
        <v>125</v>
      </c>
    </row>
    <row r="70" spans="2:4">
      <c r="B70" s="13" t="s">
        <v>63</v>
      </c>
      <c r="C70" s="13" t="s">
        <v>64</v>
      </c>
      <c r="D70" s="30" t="s">
        <v>125</v>
      </c>
    </row>
    <row r="71" spans="2:4">
      <c r="B71" s="13" t="s">
        <v>63</v>
      </c>
      <c r="C71" s="13" t="s">
        <v>65</v>
      </c>
      <c r="D71" s="30" t="s">
        <v>292</v>
      </c>
    </row>
    <row r="72" spans="2:4">
      <c r="B72" s="13" t="s">
        <v>63</v>
      </c>
      <c r="C72" s="13" t="s">
        <v>66</v>
      </c>
      <c r="D72" s="30" t="s">
        <v>125</v>
      </c>
    </row>
    <row r="73" spans="2:4">
      <c r="B73" s="13" t="s">
        <v>63</v>
      </c>
      <c r="C73" s="13" t="s">
        <v>36</v>
      </c>
      <c r="D73" s="30" t="s">
        <v>125</v>
      </c>
    </row>
    <row r="74" spans="2:4">
      <c r="B74" s="13" t="s">
        <v>63</v>
      </c>
      <c r="C74" s="13" t="s">
        <v>38</v>
      </c>
      <c r="D74" s="30" t="s">
        <v>125</v>
      </c>
    </row>
    <row r="75" spans="2:4">
      <c r="B75" s="13" t="s">
        <v>63</v>
      </c>
      <c r="C75" s="13" t="s">
        <v>54</v>
      </c>
      <c r="D75" s="30" t="s">
        <v>125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F33FC591-96D0-4547-B7CB-9B2A8F4E5E30}">
            <xm:f>'Aux Testes_Status'!$B$26</xm:f>
            <x14:dxf>
              <fill>
                <patternFill>
                  <bgColor rgb="FF993366"/>
                </patternFill>
              </fill>
            </x14:dxf>
          </x14:cfRule>
          <x14:cfRule type="cellIs" priority="2" operator="equal" id="{CDD6AAF3-1E40-4ADC-B488-0431834EECC5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A50F02C2-CEA1-4458-A16B-7D5DA62038F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CA10ADEE-15AE-4525-847B-E61D9CAF64E3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5094534C-8002-4676-AA72-607FC2163931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92B39F11-A7C0-4A14-9E36-B4B77531C538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052B16BC-AEF1-46C2-8EBD-85D94AFE7EC1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8886AE4-3CB6-496F-AE29-95225203AB0D}">
          <x14:formula1>
            <xm:f>'Aux Testes_Status'!$B$20:$B$26</xm:f>
          </x14:formula1>
          <xm:sqref>D3:D75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dimension ref="A1:AZ100"/>
  <sheetViews>
    <sheetView showGridLines="0" zoomScale="90" zoomScaleNormal="90" workbookViewId="0">
      <pane xSplit="6" ySplit="16" topLeftCell="G29" activePane="bottomRight" state="frozen"/>
      <selection pane="topRight" activeCell="G1" sqref="G1"/>
      <selection pane="bottomLeft" activeCell="A17" sqref="A17"/>
      <selection pane="bottomRight" activeCell="D37" sqref="D37"/>
    </sheetView>
  </sheetViews>
  <sheetFormatPr defaultColWidth="0" defaultRowHeight="12.75" outlineLevelRow="1"/>
  <cols>
    <col min="1" max="1" width="3.7109375" style="3" customWidth="1"/>
    <col min="2" max="2" width="5.42578125" style="3" bestFit="1" customWidth="1"/>
    <col min="3" max="3" width="20.28515625" style="3" bestFit="1" customWidth="1"/>
    <col min="4" max="4" width="42.5703125" style="3" customWidth="1"/>
    <col min="5" max="5" width="14.28515625" style="3" bestFit="1" customWidth="1"/>
    <col min="6" max="6" width="0.85546875" style="3" customWidth="1"/>
    <col min="7" max="21" width="3.7109375" style="48" customWidth="1"/>
    <col min="22" max="52" width="3.7109375" style="3" customWidth="1"/>
    <col min="53" max="16384" width="9.140625" style="3" hidden="1"/>
  </cols>
  <sheetData>
    <row r="1" spans="1:52" ht="16.149999999999999" customHeight="1"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</row>
    <row r="2" spans="1:52">
      <c r="A2" s="4"/>
      <c r="B2" s="4"/>
      <c r="C2" s="4"/>
      <c r="D2" s="4"/>
      <c r="E2" s="4"/>
      <c r="F2" s="4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</row>
    <row r="5" spans="1:52" ht="3" customHeight="1">
      <c r="A5" s="2"/>
      <c r="B5" s="2"/>
      <c r="C5" s="2"/>
      <c r="D5" s="2"/>
      <c r="E5" s="2"/>
      <c r="F5" s="2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</row>
    <row r="7" spans="1:52">
      <c r="B7" s="106" t="s">
        <v>251</v>
      </c>
    </row>
    <row r="8" spans="1:52" ht="6.95" customHeight="1"/>
    <row r="9" spans="1:52">
      <c r="B9" s="175" t="s">
        <v>295</v>
      </c>
      <c r="C9" s="107" t="s">
        <v>252</v>
      </c>
    </row>
    <row r="10" spans="1:52" ht="14.25">
      <c r="B10" s="94" t="s">
        <v>247</v>
      </c>
      <c r="C10" s="107" t="s">
        <v>254</v>
      </c>
    </row>
    <row r="11" spans="1:52" ht="15">
      <c r="B11" s="92">
        <v>3</v>
      </c>
      <c r="C11" s="107" t="s">
        <v>253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5">
      <c r="B12" s="176"/>
      <c r="C12" s="107" t="s">
        <v>255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5" thickBot="1"/>
    <row r="14" spans="1:52" ht="15" customHeight="1" thickBot="1">
      <c r="G14" s="190" t="s">
        <v>135</v>
      </c>
      <c r="H14" s="200"/>
      <c r="I14" s="200"/>
      <c r="J14" s="191"/>
      <c r="K14" s="190" t="s">
        <v>136</v>
      </c>
      <c r="L14" s="200"/>
      <c r="M14" s="200"/>
      <c r="N14" s="200"/>
      <c r="O14" s="191"/>
      <c r="P14" s="190" t="s">
        <v>137</v>
      </c>
      <c r="Q14" s="200"/>
      <c r="R14" s="200"/>
      <c r="S14" s="200"/>
      <c r="T14" s="191"/>
      <c r="U14" s="190" t="s">
        <v>138</v>
      </c>
      <c r="V14" s="200"/>
      <c r="W14" s="200"/>
      <c r="X14" s="200"/>
      <c r="Y14" s="200"/>
      <c r="Z14" s="190" t="s">
        <v>139</v>
      </c>
      <c r="AA14" s="200"/>
      <c r="AB14" s="200"/>
      <c r="AC14" s="200"/>
      <c r="AD14" s="200"/>
      <c r="AE14" s="191"/>
      <c r="AF14" s="190" t="s">
        <v>140</v>
      </c>
      <c r="AG14" s="200"/>
      <c r="AH14" s="200"/>
      <c r="AI14" s="200"/>
      <c r="AJ14" s="200"/>
      <c r="AK14" s="190" t="s">
        <v>141</v>
      </c>
      <c r="AL14" s="200"/>
      <c r="AM14" s="200"/>
      <c r="AN14" s="191"/>
      <c r="AO14" s="190" t="s">
        <v>142</v>
      </c>
      <c r="AP14" s="200"/>
      <c r="AQ14" s="200"/>
      <c r="AR14" s="200"/>
      <c r="AS14" s="200"/>
      <c r="AT14" s="190" t="s">
        <v>143</v>
      </c>
      <c r="AU14" s="200"/>
      <c r="AV14" s="200"/>
      <c r="AW14" s="200"/>
      <c r="AX14" s="200"/>
      <c r="AY14" s="191"/>
    </row>
    <row r="15" spans="1:52" ht="15" customHeight="1" thickBot="1">
      <c r="B15" s="51" t="s">
        <v>128</v>
      </c>
      <c r="C15" s="190" t="s">
        <v>129</v>
      </c>
      <c r="D15" s="191"/>
      <c r="E15" s="51" t="s">
        <v>130</v>
      </c>
      <c r="G15" s="197" t="s">
        <v>258</v>
      </c>
      <c r="H15" s="198"/>
      <c r="I15" s="198"/>
      <c r="J15" s="199"/>
      <c r="K15" s="197" t="s">
        <v>259</v>
      </c>
      <c r="L15" s="198"/>
      <c r="M15" s="198"/>
      <c r="N15" s="198"/>
      <c r="O15" s="199"/>
      <c r="P15" s="197" t="s">
        <v>260</v>
      </c>
      <c r="Q15" s="198"/>
      <c r="R15" s="198"/>
      <c r="S15" s="198"/>
      <c r="T15" s="199"/>
      <c r="U15" s="197" t="s">
        <v>261</v>
      </c>
      <c r="V15" s="198"/>
      <c r="W15" s="198"/>
      <c r="X15" s="198"/>
      <c r="Y15" s="199"/>
      <c r="Z15" s="194" t="s">
        <v>262</v>
      </c>
      <c r="AA15" s="195"/>
      <c r="AB15" s="195"/>
      <c r="AC15" s="195"/>
      <c r="AD15" s="195"/>
      <c r="AE15" s="196"/>
      <c r="AF15" s="197" t="s">
        <v>263</v>
      </c>
      <c r="AG15" s="198"/>
      <c r="AH15" s="198"/>
      <c r="AI15" s="198"/>
      <c r="AJ15" s="199"/>
      <c r="AK15" s="197" t="s">
        <v>264</v>
      </c>
      <c r="AL15" s="198"/>
      <c r="AM15" s="198"/>
      <c r="AN15" s="199"/>
      <c r="AO15" s="197" t="s">
        <v>265</v>
      </c>
      <c r="AP15" s="198"/>
      <c r="AQ15" s="198"/>
      <c r="AR15" s="198"/>
      <c r="AS15" s="199"/>
      <c r="AT15" s="197" t="s">
        <v>266</v>
      </c>
      <c r="AU15" s="198"/>
      <c r="AV15" s="198"/>
      <c r="AW15" s="198"/>
      <c r="AX15" s="198"/>
      <c r="AY15" s="199"/>
    </row>
    <row r="16" spans="1:52" s="8" customFormat="1" ht="15" customHeight="1">
      <c r="B16" s="56" t="s">
        <v>144</v>
      </c>
      <c r="C16" s="192" t="s">
        <v>145</v>
      </c>
      <c r="D16" s="192"/>
      <c r="E16" s="54"/>
      <c r="G16" s="55"/>
      <c r="H16" s="55"/>
      <c r="I16" s="55"/>
      <c r="J16" s="134"/>
      <c r="K16" s="55"/>
      <c r="L16" s="55"/>
      <c r="M16" s="55"/>
      <c r="N16" s="55"/>
      <c r="O16" s="134"/>
      <c r="P16" s="55"/>
      <c r="Q16" s="55"/>
      <c r="R16" s="55"/>
      <c r="S16" s="55"/>
      <c r="T16" s="134"/>
      <c r="U16" s="55"/>
      <c r="V16" s="54"/>
      <c r="W16" s="54"/>
      <c r="X16" s="54"/>
      <c r="Y16" s="129"/>
      <c r="Z16" s="54"/>
      <c r="AA16" s="54"/>
      <c r="AB16" s="77"/>
      <c r="AC16" s="54"/>
      <c r="AD16" s="54"/>
      <c r="AE16" s="126"/>
      <c r="AF16" s="54"/>
      <c r="AG16" s="54"/>
      <c r="AH16" s="54"/>
      <c r="AI16" s="77"/>
      <c r="AJ16" s="130"/>
      <c r="AK16" s="54"/>
      <c r="AL16" s="54"/>
      <c r="AM16" s="54"/>
      <c r="AN16" s="133"/>
      <c r="AO16" s="54"/>
      <c r="AP16" s="54"/>
      <c r="AQ16" s="54"/>
      <c r="AR16" s="54"/>
      <c r="AS16" s="133"/>
      <c r="AT16" s="54"/>
      <c r="AU16" s="54"/>
      <c r="AV16" s="54"/>
      <c r="AW16" s="54"/>
      <c r="AX16" s="54"/>
      <c r="AY16" s="133"/>
    </row>
    <row r="17" spans="2:51" s="8" customFormat="1" ht="15" customHeight="1" outlineLevel="1">
      <c r="B17" s="65" t="s">
        <v>147</v>
      </c>
      <c r="C17" s="193" t="s">
        <v>237</v>
      </c>
      <c r="D17" s="193"/>
      <c r="E17" s="65" t="s">
        <v>234</v>
      </c>
      <c r="G17" s="92"/>
      <c r="H17" s="92"/>
      <c r="I17" s="92"/>
      <c r="J17" s="114"/>
      <c r="K17" s="112"/>
      <c r="L17" s="58"/>
      <c r="M17" s="58"/>
      <c r="N17" s="58"/>
      <c r="O17" s="114"/>
      <c r="P17" s="71"/>
      <c r="Q17" s="58"/>
      <c r="R17" s="58"/>
      <c r="S17" s="58"/>
      <c r="T17" s="114"/>
      <c r="U17" s="71"/>
      <c r="V17" s="57"/>
      <c r="W17" s="57"/>
      <c r="X17" s="57"/>
      <c r="Y17" s="122"/>
      <c r="Z17" s="75"/>
      <c r="AA17" s="73"/>
      <c r="AB17" s="78"/>
      <c r="AC17" s="75"/>
      <c r="AD17" s="57"/>
      <c r="AE17" s="127"/>
      <c r="AF17" s="75"/>
      <c r="AG17" s="57"/>
      <c r="AH17" s="57"/>
      <c r="AI17" s="78"/>
      <c r="AJ17" s="122"/>
      <c r="AK17" s="75"/>
      <c r="AL17" s="57"/>
      <c r="AM17" s="57"/>
      <c r="AN17" s="122"/>
      <c r="AO17" s="75"/>
      <c r="AP17" s="57"/>
      <c r="AQ17" s="57"/>
      <c r="AR17" s="57"/>
      <c r="AS17" s="122"/>
      <c r="AT17" s="75"/>
      <c r="AU17" s="57"/>
      <c r="AV17" s="57"/>
      <c r="AW17" s="57"/>
      <c r="AX17" s="57"/>
      <c r="AY17" s="122"/>
    </row>
    <row r="18" spans="2:51" s="8" customFormat="1" ht="15" customHeight="1" outlineLevel="1">
      <c r="B18" s="65" t="s">
        <v>236</v>
      </c>
      <c r="C18" s="193" t="s">
        <v>148</v>
      </c>
      <c r="D18" s="193"/>
      <c r="E18" s="65" t="s">
        <v>149</v>
      </c>
      <c r="G18" s="58"/>
      <c r="H18" s="58"/>
      <c r="I18" s="58"/>
      <c r="J18" s="115" t="s">
        <v>247</v>
      </c>
      <c r="K18" s="112"/>
      <c r="L18" s="58"/>
      <c r="M18" s="58"/>
      <c r="N18" s="58"/>
      <c r="O18" s="115" t="s">
        <v>247</v>
      </c>
      <c r="P18" s="71"/>
      <c r="Q18" s="58"/>
      <c r="R18" s="58"/>
      <c r="S18" s="58"/>
      <c r="T18" s="115" t="s">
        <v>247</v>
      </c>
      <c r="U18" s="71"/>
      <c r="V18" s="57"/>
      <c r="W18" s="57"/>
      <c r="X18" s="57"/>
      <c r="Y18" s="115" t="s">
        <v>247</v>
      </c>
      <c r="Z18" s="75"/>
      <c r="AA18" s="73"/>
      <c r="AB18" s="78"/>
      <c r="AC18" s="75"/>
      <c r="AD18" s="94" t="s">
        <v>247</v>
      </c>
      <c r="AE18" s="127"/>
      <c r="AF18" s="75"/>
      <c r="AG18" s="57"/>
      <c r="AH18" s="57"/>
      <c r="AI18" s="78"/>
      <c r="AJ18" s="115" t="s">
        <v>247</v>
      </c>
      <c r="AK18" s="75"/>
      <c r="AL18" s="57"/>
      <c r="AM18" s="57"/>
      <c r="AN18" s="115" t="s">
        <v>247</v>
      </c>
      <c r="AO18" s="75"/>
      <c r="AP18" s="57"/>
      <c r="AQ18" s="57"/>
      <c r="AR18" s="57"/>
      <c r="AS18" s="115" t="s">
        <v>247</v>
      </c>
      <c r="AT18" s="75"/>
      <c r="AU18" s="57"/>
      <c r="AV18" s="57"/>
      <c r="AW18" s="57"/>
      <c r="AX18" s="94" t="s">
        <v>247</v>
      </c>
      <c r="AY18" s="122"/>
    </row>
    <row r="19" spans="2:51" s="8" customFormat="1" ht="15" customHeight="1">
      <c r="B19" s="56" t="s">
        <v>146</v>
      </c>
      <c r="C19" s="189" t="s">
        <v>150</v>
      </c>
      <c r="D19" s="189"/>
      <c r="E19" s="54"/>
      <c r="G19" s="90" t="s">
        <v>235</v>
      </c>
      <c r="H19" s="55"/>
      <c r="I19" s="55"/>
      <c r="J19" s="116"/>
      <c r="K19" s="109"/>
      <c r="L19" s="109"/>
      <c r="M19" s="109"/>
      <c r="N19" s="109"/>
      <c r="O19" s="121"/>
      <c r="P19" s="55"/>
      <c r="Q19" s="55"/>
      <c r="R19" s="55"/>
      <c r="S19" s="55"/>
      <c r="T19" s="121"/>
      <c r="U19" s="55"/>
      <c r="V19" s="54"/>
      <c r="W19" s="54"/>
      <c r="X19" s="54"/>
      <c r="Y19" s="123"/>
      <c r="Z19" s="54"/>
      <c r="AA19" s="54"/>
      <c r="AB19" s="78"/>
      <c r="AC19" s="54"/>
      <c r="AD19" s="54"/>
      <c r="AE19" s="127"/>
      <c r="AF19" s="54"/>
      <c r="AG19" s="54"/>
      <c r="AH19" s="54"/>
      <c r="AI19" s="78"/>
      <c r="AJ19" s="131"/>
      <c r="AK19" s="54"/>
      <c r="AL19" s="54"/>
      <c r="AM19" s="54"/>
      <c r="AN19" s="123"/>
      <c r="AO19" s="54"/>
      <c r="AP19" s="54"/>
      <c r="AQ19" s="54"/>
      <c r="AR19" s="54"/>
      <c r="AS19" s="123"/>
      <c r="AT19" s="54"/>
      <c r="AU19" s="54"/>
      <c r="AV19" s="54"/>
      <c r="AW19" s="54"/>
      <c r="AX19" s="54"/>
      <c r="AY19" s="123"/>
    </row>
    <row r="20" spans="2:51" s="8" customFormat="1" ht="15" customHeight="1" outlineLevel="1">
      <c r="B20" s="59" t="s">
        <v>151</v>
      </c>
      <c r="C20" s="60" t="s">
        <v>1</v>
      </c>
      <c r="D20" s="60" t="s">
        <v>90</v>
      </c>
      <c r="E20" s="59" t="s">
        <v>234</v>
      </c>
      <c r="G20" s="84"/>
      <c r="H20" s="58"/>
      <c r="I20" s="58"/>
      <c r="J20" s="114"/>
      <c r="K20" s="112"/>
      <c r="L20" s="58"/>
      <c r="M20" s="110"/>
      <c r="N20" s="58"/>
      <c r="O20" s="114"/>
      <c r="P20" s="71"/>
      <c r="Q20" s="58"/>
      <c r="R20" s="58"/>
      <c r="S20" s="58"/>
      <c r="T20" s="114"/>
      <c r="U20" s="71"/>
      <c r="V20" s="57"/>
      <c r="W20" s="57"/>
      <c r="X20" s="57"/>
      <c r="Y20" s="122"/>
      <c r="Z20" s="75"/>
      <c r="AA20" s="73"/>
      <c r="AB20" s="78"/>
      <c r="AC20" s="75"/>
      <c r="AD20" s="57"/>
      <c r="AE20" s="127"/>
      <c r="AF20" s="75"/>
      <c r="AG20" s="57"/>
      <c r="AH20" s="57"/>
      <c r="AI20" s="78"/>
      <c r="AJ20" s="122"/>
      <c r="AK20" s="75"/>
      <c r="AL20" s="57"/>
      <c r="AM20" s="57"/>
      <c r="AN20" s="122"/>
      <c r="AO20" s="75"/>
      <c r="AP20" s="57"/>
      <c r="AQ20" s="57"/>
      <c r="AR20" s="57"/>
      <c r="AS20" s="122"/>
      <c r="AT20" s="75"/>
      <c r="AU20" s="57"/>
      <c r="AV20" s="57"/>
      <c r="AW20" s="57"/>
      <c r="AX20" s="57"/>
      <c r="AY20" s="122"/>
    </row>
    <row r="21" spans="2:51" s="8" customFormat="1" ht="15" customHeight="1" outlineLevel="1">
      <c r="B21" s="59" t="s">
        <v>152</v>
      </c>
      <c r="C21" s="60" t="s">
        <v>1</v>
      </c>
      <c r="D21" s="60" t="s">
        <v>5</v>
      </c>
      <c r="E21" s="59" t="s">
        <v>234</v>
      </c>
      <c r="G21" s="58"/>
      <c r="H21" s="58"/>
      <c r="I21" s="58"/>
      <c r="J21" s="114"/>
      <c r="K21" s="112"/>
      <c r="L21" s="110"/>
      <c r="M21" s="110"/>
      <c r="N21" s="110"/>
      <c r="O21" s="114"/>
      <c r="P21" s="71"/>
      <c r="Q21" s="58"/>
      <c r="R21" s="58"/>
      <c r="S21" s="58"/>
      <c r="T21" s="114"/>
      <c r="U21" s="71"/>
      <c r="V21" s="57"/>
      <c r="W21" s="57"/>
      <c r="X21" s="57"/>
      <c r="Y21" s="122"/>
      <c r="Z21" s="75"/>
      <c r="AA21" s="73"/>
      <c r="AB21" s="78"/>
      <c r="AC21" s="75"/>
      <c r="AD21" s="57"/>
      <c r="AE21" s="127"/>
      <c r="AF21" s="75"/>
      <c r="AG21" s="57"/>
      <c r="AH21" s="57"/>
      <c r="AI21" s="78"/>
      <c r="AJ21" s="122"/>
      <c r="AK21" s="75"/>
      <c r="AL21" s="57"/>
      <c r="AM21" s="57"/>
      <c r="AN21" s="122"/>
      <c r="AO21" s="75"/>
      <c r="AP21" s="57"/>
      <c r="AQ21" s="57"/>
      <c r="AR21" s="57"/>
      <c r="AS21" s="122"/>
      <c r="AT21" s="75"/>
      <c r="AU21" s="57"/>
      <c r="AV21" s="57"/>
      <c r="AW21" s="57"/>
      <c r="AX21" s="57"/>
      <c r="AY21" s="122"/>
    </row>
    <row r="22" spans="2:51" s="8" customFormat="1" ht="15" customHeight="1" outlineLevel="1">
      <c r="B22" s="61" t="s">
        <v>153</v>
      </c>
      <c r="C22" s="60" t="s">
        <v>1</v>
      </c>
      <c r="D22" s="62" t="s">
        <v>25</v>
      </c>
      <c r="E22" s="59" t="s">
        <v>234</v>
      </c>
      <c r="G22" s="58"/>
      <c r="H22" s="58"/>
      <c r="I22" s="58"/>
      <c r="J22" s="117"/>
      <c r="K22" s="112"/>
      <c r="L22" s="58"/>
      <c r="M22" s="58"/>
      <c r="N22" s="58"/>
      <c r="O22" s="114"/>
      <c r="P22" s="71"/>
      <c r="Q22" s="58"/>
      <c r="R22" s="58"/>
      <c r="S22" s="58"/>
      <c r="T22" s="114"/>
      <c r="U22" s="71"/>
      <c r="V22" s="57"/>
      <c r="W22" s="57"/>
      <c r="X22" s="57"/>
      <c r="Y22" s="122"/>
      <c r="Z22" s="75"/>
      <c r="AA22" s="73"/>
      <c r="AB22" s="78"/>
      <c r="AC22" s="75"/>
      <c r="AD22" s="57"/>
      <c r="AE22" s="127"/>
      <c r="AF22" s="75"/>
      <c r="AG22" s="57"/>
      <c r="AH22" s="57"/>
      <c r="AI22" s="78"/>
      <c r="AJ22" s="122"/>
      <c r="AK22" s="75"/>
      <c r="AL22" s="57"/>
      <c r="AM22" s="57"/>
      <c r="AN22" s="122"/>
      <c r="AO22" s="75"/>
      <c r="AP22" s="57"/>
      <c r="AQ22" s="57"/>
      <c r="AR22" s="57"/>
      <c r="AS22" s="122"/>
      <c r="AT22" s="75"/>
      <c r="AU22" s="57"/>
      <c r="AV22" s="57"/>
      <c r="AW22" s="57"/>
      <c r="AX22" s="57"/>
      <c r="AY22" s="122"/>
    </row>
    <row r="23" spans="2:51" s="8" customFormat="1" ht="15" customHeight="1" outlineLevel="1">
      <c r="B23" s="59" t="str">
        <f>_xlfn.CONCAT(B19,RIGHT(B22,1)+1)</f>
        <v>1.4</v>
      </c>
      <c r="C23" s="60" t="s">
        <v>1</v>
      </c>
      <c r="D23" s="62" t="s">
        <v>26</v>
      </c>
      <c r="E23" s="59" t="s">
        <v>234</v>
      </c>
      <c r="G23" s="58"/>
      <c r="H23" s="58"/>
      <c r="I23" s="58"/>
      <c r="J23" s="117"/>
      <c r="K23" s="112"/>
      <c r="L23" s="58"/>
      <c r="M23" s="58"/>
      <c r="N23" s="58"/>
      <c r="O23" s="114"/>
      <c r="P23" s="71"/>
      <c r="Q23" s="58"/>
      <c r="R23" s="58"/>
      <c r="S23" s="58"/>
      <c r="T23" s="114"/>
      <c r="U23" s="71"/>
      <c r="V23" s="57"/>
      <c r="W23" s="57"/>
      <c r="X23" s="57"/>
      <c r="Y23" s="122"/>
      <c r="Z23" s="75"/>
      <c r="AA23" s="73"/>
      <c r="AB23" s="78"/>
      <c r="AC23" s="75"/>
      <c r="AD23" s="57"/>
      <c r="AE23" s="127"/>
      <c r="AF23" s="75"/>
      <c r="AG23" s="57"/>
      <c r="AH23" s="57"/>
      <c r="AI23" s="78"/>
      <c r="AJ23" s="122"/>
      <c r="AK23" s="75"/>
      <c r="AL23" s="57"/>
      <c r="AM23" s="57"/>
      <c r="AN23" s="122"/>
      <c r="AO23" s="75"/>
      <c r="AP23" s="57"/>
      <c r="AQ23" s="57"/>
      <c r="AR23" s="57"/>
      <c r="AS23" s="122"/>
      <c r="AT23" s="75"/>
      <c r="AU23" s="57"/>
      <c r="AV23" s="57"/>
      <c r="AW23" s="57"/>
      <c r="AX23" s="57"/>
      <c r="AY23" s="122"/>
    </row>
    <row r="24" spans="2:51" s="8" customFormat="1" ht="15" customHeight="1" outlineLevel="1">
      <c r="B24" s="63" t="s">
        <v>154</v>
      </c>
      <c r="C24" s="60" t="s">
        <v>1</v>
      </c>
      <c r="D24" s="62" t="s">
        <v>27</v>
      </c>
      <c r="E24" s="59" t="s">
        <v>234</v>
      </c>
      <c r="G24" s="58"/>
      <c r="H24" s="58"/>
      <c r="I24" s="58"/>
      <c r="J24" s="117"/>
      <c r="K24" s="112"/>
      <c r="L24" s="58"/>
      <c r="M24" s="58"/>
      <c r="N24" s="58"/>
      <c r="O24" s="114"/>
      <c r="P24" s="71"/>
      <c r="Q24" s="58"/>
      <c r="R24" s="58"/>
      <c r="S24" s="58"/>
      <c r="T24" s="114"/>
      <c r="U24" s="71"/>
      <c r="V24" s="57"/>
      <c r="W24" s="57"/>
      <c r="X24" s="57"/>
      <c r="Y24" s="122"/>
      <c r="Z24" s="75"/>
      <c r="AA24" s="73"/>
      <c r="AB24" s="78"/>
      <c r="AC24" s="75"/>
      <c r="AD24" s="57"/>
      <c r="AE24" s="127"/>
      <c r="AF24" s="75"/>
      <c r="AG24" s="57"/>
      <c r="AH24" s="57"/>
      <c r="AI24" s="78"/>
      <c r="AJ24" s="122"/>
      <c r="AK24" s="75"/>
      <c r="AL24" s="57"/>
      <c r="AM24" s="57"/>
      <c r="AN24" s="122"/>
      <c r="AO24" s="75"/>
      <c r="AP24" s="57"/>
      <c r="AQ24" s="57"/>
      <c r="AR24" s="57"/>
      <c r="AS24" s="122"/>
      <c r="AT24" s="75"/>
      <c r="AU24" s="57"/>
      <c r="AV24" s="57"/>
      <c r="AW24" s="57"/>
      <c r="AX24" s="57"/>
      <c r="AY24" s="122"/>
    </row>
    <row r="25" spans="2:51" s="8" customFormat="1" ht="15" customHeight="1" outlineLevel="1">
      <c r="B25" s="59" t="s">
        <v>155</v>
      </c>
      <c r="C25" s="60" t="s">
        <v>1</v>
      </c>
      <c r="D25" s="62" t="s">
        <v>28</v>
      </c>
      <c r="E25" s="59" t="s">
        <v>234</v>
      </c>
      <c r="G25" s="58"/>
      <c r="H25" s="58"/>
      <c r="I25" s="58"/>
      <c r="J25" s="117"/>
      <c r="K25" s="112"/>
      <c r="L25" s="58"/>
      <c r="M25" s="58"/>
      <c r="N25" s="58"/>
      <c r="O25" s="114"/>
      <c r="P25" s="71"/>
      <c r="Q25" s="58"/>
      <c r="R25" s="58"/>
      <c r="S25" s="58"/>
      <c r="T25" s="114"/>
      <c r="U25" s="71"/>
      <c r="V25" s="57"/>
      <c r="W25" s="57"/>
      <c r="X25" s="57"/>
      <c r="Y25" s="122"/>
      <c r="Z25" s="75"/>
      <c r="AA25" s="73"/>
      <c r="AB25" s="78"/>
      <c r="AC25" s="75"/>
      <c r="AD25" s="57"/>
      <c r="AE25" s="127"/>
      <c r="AF25" s="75"/>
      <c r="AG25" s="57"/>
      <c r="AH25" s="57"/>
      <c r="AI25" s="78"/>
      <c r="AJ25" s="122"/>
      <c r="AK25" s="75"/>
      <c r="AL25" s="57"/>
      <c r="AM25" s="57"/>
      <c r="AN25" s="122"/>
      <c r="AO25" s="75"/>
      <c r="AP25" s="57"/>
      <c r="AQ25" s="57"/>
      <c r="AR25" s="57"/>
      <c r="AS25" s="122"/>
      <c r="AT25" s="75"/>
      <c r="AU25" s="57"/>
      <c r="AV25" s="57"/>
      <c r="AW25" s="57"/>
      <c r="AX25" s="57"/>
      <c r="AY25" s="122"/>
    </row>
    <row r="26" spans="2:51" s="8" customFormat="1" ht="15" customHeight="1" outlineLevel="1">
      <c r="B26" s="63" t="s">
        <v>156</v>
      </c>
      <c r="C26" s="60" t="s">
        <v>1</v>
      </c>
      <c r="D26" s="62" t="s">
        <v>29</v>
      </c>
      <c r="E26" s="59" t="s">
        <v>234</v>
      </c>
      <c r="G26" s="58"/>
      <c r="H26" s="58"/>
      <c r="I26" s="58"/>
      <c r="J26" s="117"/>
      <c r="K26" s="112"/>
      <c r="L26" s="58"/>
      <c r="M26" s="58"/>
      <c r="N26" s="58"/>
      <c r="O26" s="114"/>
      <c r="P26" s="71"/>
      <c r="Q26" s="58"/>
      <c r="R26" s="58"/>
      <c r="S26" s="58"/>
      <c r="T26" s="114"/>
      <c r="U26" s="71"/>
      <c r="V26" s="57"/>
      <c r="W26" s="57"/>
      <c r="X26" s="57"/>
      <c r="Y26" s="122"/>
      <c r="Z26" s="75"/>
      <c r="AA26" s="73"/>
      <c r="AB26" s="78"/>
      <c r="AC26" s="75"/>
      <c r="AD26" s="57"/>
      <c r="AE26" s="127"/>
      <c r="AF26" s="75"/>
      <c r="AG26" s="57"/>
      <c r="AH26" s="57"/>
      <c r="AI26" s="78"/>
      <c r="AJ26" s="122"/>
      <c r="AK26" s="75"/>
      <c r="AL26" s="57"/>
      <c r="AM26" s="57"/>
      <c r="AN26" s="122"/>
      <c r="AO26" s="75"/>
      <c r="AP26" s="57"/>
      <c r="AQ26" s="57"/>
      <c r="AR26" s="57"/>
      <c r="AS26" s="122"/>
      <c r="AT26" s="75"/>
      <c r="AU26" s="57"/>
      <c r="AV26" s="57"/>
      <c r="AW26" s="57"/>
      <c r="AX26" s="57"/>
      <c r="AY26" s="122"/>
    </row>
    <row r="27" spans="2:51" s="8" customFormat="1" ht="15" customHeight="1" outlineLevel="1">
      <c r="B27" s="59" t="s">
        <v>157</v>
      </c>
      <c r="C27" s="60" t="s">
        <v>1</v>
      </c>
      <c r="D27" s="62" t="s">
        <v>30</v>
      </c>
      <c r="E27" s="59" t="s">
        <v>234</v>
      </c>
      <c r="G27" s="58"/>
      <c r="H27" s="58"/>
      <c r="I27" s="58"/>
      <c r="J27" s="117"/>
      <c r="K27" s="113"/>
      <c r="L27" s="58"/>
      <c r="M27" s="58"/>
      <c r="N27" s="58"/>
      <c r="O27" s="114"/>
      <c r="P27" s="71"/>
      <c r="Q27" s="58"/>
      <c r="R27" s="58"/>
      <c r="S27" s="58"/>
      <c r="T27" s="114"/>
      <c r="U27" s="71"/>
      <c r="V27" s="57"/>
      <c r="W27" s="57"/>
      <c r="X27" s="57"/>
      <c r="Y27" s="122"/>
      <c r="Z27" s="75"/>
      <c r="AA27" s="73"/>
      <c r="AB27" s="78"/>
      <c r="AC27" s="75"/>
      <c r="AD27" s="57"/>
      <c r="AE27" s="127"/>
      <c r="AF27" s="75"/>
      <c r="AG27" s="57"/>
      <c r="AH27" s="57"/>
      <c r="AI27" s="78"/>
      <c r="AJ27" s="122"/>
      <c r="AK27" s="75"/>
      <c r="AL27" s="57"/>
      <c r="AM27" s="57"/>
      <c r="AN27" s="122"/>
      <c r="AO27" s="75"/>
      <c r="AP27" s="57"/>
      <c r="AQ27" s="57"/>
      <c r="AR27" s="57"/>
      <c r="AS27" s="122"/>
      <c r="AT27" s="75"/>
      <c r="AU27" s="57"/>
      <c r="AV27" s="57"/>
      <c r="AW27" s="57"/>
      <c r="AX27" s="57"/>
      <c r="AY27" s="122"/>
    </row>
    <row r="28" spans="2:51" s="8" customFormat="1" ht="15" customHeight="1" outlineLevel="1">
      <c r="B28" s="63" t="s">
        <v>158</v>
      </c>
      <c r="C28" s="60" t="s">
        <v>1</v>
      </c>
      <c r="D28" s="62" t="s">
        <v>31</v>
      </c>
      <c r="E28" s="59" t="s">
        <v>234</v>
      </c>
      <c r="G28" s="58"/>
      <c r="H28" s="58"/>
      <c r="I28" s="58"/>
      <c r="J28" s="114"/>
      <c r="K28" s="113"/>
      <c r="L28" s="58"/>
      <c r="M28" s="58"/>
      <c r="N28" s="58"/>
      <c r="O28" s="114"/>
      <c r="P28" s="71"/>
      <c r="Q28" s="58"/>
      <c r="R28" s="58"/>
      <c r="S28" s="58"/>
      <c r="T28" s="114"/>
      <c r="U28" s="71"/>
      <c r="V28" s="57"/>
      <c r="W28" s="57"/>
      <c r="X28" s="57"/>
      <c r="Y28" s="122"/>
      <c r="Z28" s="75"/>
      <c r="AA28" s="73"/>
      <c r="AB28" s="78"/>
      <c r="AC28" s="75"/>
      <c r="AD28" s="57"/>
      <c r="AE28" s="127"/>
      <c r="AF28" s="75"/>
      <c r="AG28" s="57"/>
      <c r="AH28" s="57"/>
      <c r="AI28" s="78"/>
      <c r="AJ28" s="122"/>
      <c r="AK28" s="75"/>
      <c r="AL28" s="57"/>
      <c r="AM28" s="57"/>
      <c r="AN28" s="122"/>
      <c r="AO28" s="75"/>
      <c r="AP28" s="57"/>
      <c r="AQ28" s="57"/>
      <c r="AR28" s="57"/>
      <c r="AS28" s="122"/>
      <c r="AT28" s="75"/>
      <c r="AU28" s="57"/>
      <c r="AV28" s="57"/>
      <c r="AW28" s="57"/>
      <c r="AX28" s="57"/>
      <c r="AY28" s="122"/>
    </row>
    <row r="29" spans="2:51" s="8" customFormat="1" ht="15" customHeight="1" outlineLevel="1">
      <c r="B29" s="64" t="s">
        <v>159</v>
      </c>
      <c r="C29" s="60" t="s">
        <v>1</v>
      </c>
      <c r="D29" s="62" t="s">
        <v>32</v>
      </c>
      <c r="E29" s="59" t="s">
        <v>234</v>
      </c>
      <c r="G29" s="58"/>
      <c r="H29" s="58"/>
      <c r="I29" s="58"/>
      <c r="J29" s="114"/>
      <c r="K29" s="113"/>
      <c r="L29" s="58"/>
      <c r="M29" s="58"/>
      <c r="N29" s="58"/>
      <c r="O29" s="114"/>
      <c r="P29" s="71"/>
      <c r="Q29" s="58"/>
      <c r="R29" s="58"/>
      <c r="S29" s="58"/>
      <c r="T29" s="114"/>
      <c r="U29" s="71"/>
      <c r="V29" s="57"/>
      <c r="W29" s="57"/>
      <c r="X29" s="57"/>
      <c r="Y29" s="122"/>
      <c r="Z29" s="75"/>
      <c r="AA29" s="73"/>
      <c r="AB29" s="78"/>
      <c r="AC29" s="75"/>
      <c r="AD29" s="57"/>
      <c r="AE29" s="127"/>
      <c r="AF29" s="75"/>
      <c r="AG29" s="57"/>
      <c r="AH29" s="57"/>
      <c r="AI29" s="78"/>
      <c r="AJ29" s="122"/>
      <c r="AK29" s="75"/>
      <c r="AL29" s="57"/>
      <c r="AM29" s="57"/>
      <c r="AN29" s="122"/>
      <c r="AO29" s="75"/>
      <c r="AP29" s="57"/>
      <c r="AQ29" s="57"/>
      <c r="AR29" s="57"/>
      <c r="AS29" s="122"/>
      <c r="AT29" s="75"/>
      <c r="AU29" s="57"/>
      <c r="AV29" s="57"/>
      <c r="AW29" s="57"/>
      <c r="AX29" s="57"/>
      <c r="AY29" s="122"/>
    </row>
    <row r="30" spans="2:51" s="8" customFormat="1" ht="15" customHeight="1" outlineLevel="1">
      <c r="B30" s="59" t="s">
        <v>160</v>
      </c>
      <c r="C30" s="60" t="s">
        <v>1</v>
      </c>
      <c r="D30" s="62" t="s">
        <v>38</v>
      </c>
      <c r="E30" s="59" t="s">
        <v>234</v>
      </c>
      <c r="G30" s="58"/>
      <c r="H30" s="58"/>
      <c r="I30" s="58"/>
      <c r="J30" s="114"/>
      <c r="K30" s="113"/>
      <c r="L30" s="58"/>
      <c r="M30" s="58"/>
      <c r="N30" s="58"/>
      <c r="O30" s="114"/>
      <c r="P30" s="71"/>
      <c r="Q30" s="58"/>
      <c r="R30" s="58"/>
      <c r="S30" s="58"/>
      <c r="T30" s="114"/>
      <c r="U30" s="71"/>
      <c r="V30" s="57"/>
      <c r="W30" s="57"/>
      <c r="X30" s="57"/>
      <c r="Y30" s="122"/>
      <c r="Z30" s="75"/>
      <c r="AA30" s="73"/>
      <c r="AB30" s="78"/>
      <c r="AC30" s="75"/>
      <c r="AD30" s="57"/>
      <c r="AE30" s="127"/>
      <c r="AF30" s="75"/>
      <c r="AG30" s="57"/>
      <c r="AH30" s="57"/>
      <c r="AI30" s="78"/>
      <c r="AJ30" s="122"/>
      <c r="AK30" s="75"/>
      <c r="AL30" s="57"/>
      <c r="AM30" s="57"/>
      <c r="AN30" s="122"/>
      <c r="AO30" s="75"/>
      <c r="AP30" s="57"/>
      <c r="AQ30" s="57"/>
      <c r="AR30" s="57"/>
      <c r="AS30" s="122"/>
      <c r="AT30" s="75"/>
      <c r="AU30" s="57"/>
      <c r="AV30" s="57"/>
      <c r="AW30" s="57"/>
      <c r="AX30" s="57"/>
      <c r="AY30" s="122"/>
    </row>
    <row r="31" spans="2:51" s="8" customFormat="1" ht="15" customHeight="1" outlineLevel="1">
      <c r="B31" s="59" t="s">
        <v>161</v>
      </c>
      <c r="C31" s="60" t="s">
        <v>1</v>
      </c>
      <c r="D31" s="60" t="s">
        <v>53</v>
      </c>
      <c r="E31" s="59" t="s">
        <v>234</v>
      </c>
      <c r="G31" s="58"/>
      <c r="H31" s="58"/>
      <c r="I31" s="58"/>
      <c r="J31" s="114"/>
      <c r="K31" s="112"/>
      <c r="L31" s="58"/>
      <c r="M31" s="110"/>
      <c r="N31" s="58"/>
      <c r="O31" s="114"/>
      <c r="P31" s="71"/>
      <c r="Q31" s="58"/>
      <c r="R31" s="58"/>
      <c r="S31" s="58"/>
      <c r="T31" s="114"/>
      <c r="U31" s="71"/>
      <c r="V31" s="57"/>
      <c r="W31" s="57"/>
      <c r="X31" s="57"/>
      <c r="Y31" s="122"/>
      <c r="Z31" s="75"/>
      <c r="AA31" s="73"/>
      <c r="AB31" s="78"/>
      <c r="AC31" s="75"/>
      <c r="AD31" s="57"/>
      <c r="AE31" s="127"/>
      <c r="AF31" s="75"/>
      <c r="AG31" s="57"/>
      <c r="AH31" s="57"/>
      <c r="AI31" s="78"/>
      <c r="AJ31" s="122"/>
      <c r="AK31" s="75"/>
      <c r="AL31" s="57"/>
      <c r="AM31" s="57"/>
      <c r="AN31" s="122"/>
      <c r="AO31" s="75"/>
      <c r="AP31" s="57"/>
      <c r="AQ31" s="57"/>
      <c r="AR31" s="57"/>
      <c r="AS31" s="122"/>
      <c r="AT31" s="75"/>
      <c r="AU31" s="57"/>
      <c r="AV31" s="57"/>
      <c r="AW31" s="57"/>
      <c r="AX31" s="57"/>
      <c r="AY31" s="122"/>
    </row>
    <row r="32" spans="2:51" s="8" customFormat="1" ht="15" customHeight="1" outlineLevel="1">
      <c r="B32" s="59" t="s">
        <v>162</v>
      </c>
      <c r="C32" s="60" t="s">
        <v>1</v>
      </c>
      <c r="D32" s="60" t="s">
        <v>54</v>
      </c>
      <c r="E32" s="59" t="s">
        <v>234</v>
      </c>
      <c r="G32" s="58"/>
      <c r="H32" s="58"/>
      <c r="I32" s="58"/>
      <c r="J32" s="114"/>
      <c r="K32" s="113"/>
      <c r="L32" s="58"/>
      <c r="M32" s="58"/>
      <c r="N32" s="58"/>
      <c r="O32" s="114"/>
      <c r="P32" s="71"/>
      <c r="Q32" s="58"/>
      <c r="R32" s="58"/>
      <c r="S32" s="58"/>
      <c r="T32" s="114"/>
      <c r="U32" s="71"/>
      <c r="V32" s="57"/>
      <c r="W32" s="57"/>
      <c r="X32" s="57"/>
      <c r="Y32" s="122"/>
      <c r="Z32" s="75"/>
      <c r="AA32" s="73"/>
      <c r="AB32" s="78"/>
      <c r="AC32" s="75"/>
      <c r="AD32" s="57"/>
      <c r="AE32" s="127"/>
      <c r="AF32" s="75"/>
      <c r="AG32" s="57"/>
      <c r="AH32" s="57"/>
      <c r="AI32" s="78"/>
      <c r="AJ32" s="122"/>
      <c r="AK32" s="75"/>
      <c r="AL32" s="57"/>
      <c r="AM32" s="57"/>
      <c r="AN32" s="122"/>
      <c r="AO32" s="75"/>
      <c r="AP32" s="57"/>
      <c r="AQ32" s="57"/>
      <c r="AR32" s="57"/>
      <c r="AS32" s="122"/>
      <c r="AT32" s="75"/>
      <c r="AU32" s="57"/>
      <c r="AV32" s="57"/>
      <c r="AW32" s="57"/>
      <c r="AX32" s="57"/>
      <c r="AY32" s="122"/>
    </row>
    <row r="33" spans="2:51" s="8" customFormat="1" ht="15" customHeight="1">
      <c r="B33" s="56" t="s">
        <v>166</v>
      </c>
      <c r="C33" s="189" t="s">
        <v>167</v>
      </c>
      <c r="D33" s="189"/>
      <c r="E33" s="54"/>
      <c r="G33" s="175" t="s">
        <v>295</v>
      </c>
      <c r="H33" s="55"/>
      <c r="I33" s="55"/>
      <c r="J33" s="119"/>
      <c r="K33" s="55"/>
      <c r="L33" s="55"/>
      <c r="M33" s="55"/>
      <c r="N33" s="109"/>
      <c r="O33" s="116"/>
      <c r="P33" s="109"/>
      <c r="Q33" s="109"/>
      <c r="R33" s="109"/>
      <c r="S33" s="109"/>
      <c r="T33" s="116"/>
      <c r="U33" s="55"/>
      <c r="V33" s="54"/>
      <c r="W33" s="54"/>
      <c r="X33" s="54"/>
      <c r="Y33" s="123"/>
      <c r="Z33" s="54"/>
      <c r="AA33" s="54"/>
      <c r="AB33" s="78"/>
      <c r="AC33" s="54"/>
      <c r="AD33" s="54"/>
      <c r="AE33" s="127"/>
      <c r="AF33" s="54"/>
      <c r="AG33" s="54"/>
      <c r="AH33" s="54"/>
      <c r="AI33" s="78"/>
      <c r="AJ33" s="131"/>
      <c r="AK33" s="54"/>
      <c r="AL33" s="54"/>
      <c r="AM33" s="54"/>
      <c r="AN33" s="123"/>
      <c r="AO33" s="54"/>
      <c r="AP33" s="54"/>
      <c r="AQ33" s="54"/>
      <c r="AR33" s="54"/>
      <c r="AS33" s="123"/>
      <c r="AT33" s="54"/>
      <c r="AU33" s="54"/>
      <c r="AV33" s="54"/>
      <c r="AW33" s="54"/>
      <c r="AX33" s="54"/>
      <c r="AY33" s="123"/>
    </row>
    <row r="34" spans="2:51" s="8" customFormat="1" ht="15" customHeight="1" outlineLevel="1">
      <c r="B34" s="59" t="s">
        <v>171</v>
      </c>
      <c r="C34" s="60" t="s">
        <v>1</v>
      </c>
      <c r="D34" s="60" t="s">
        <v>6</v>
      </c>
      <c r="E34" s="59" t="s">
        <v>234</v>
      </c>
      <c r="G34" s="84"/>
      <c r="H34" s="58"/>
      <c r="I34" s="58"/>
      <c r="J34" s="114"/>
      <c r="K34" s="112"/>
      <c r="L34" s="58"/>
      <c r="M34" s="58"/>
      <c r="N34" s="110"/>
      <c r="O34" s="114"/>
      <c r="P34" s="71"/>
      <c r="Q34" s="58"/>
      <c r="R34" s="58"/>
      <c r="S34" s="58"/>
      <c r="T34" s="114"/>
      <c r="U34" s="71"/>
      <c r="V34" s="57"/>
      <c r="W34" s="57"/>
      <c r="X34" s="57"/>
      <c r="Y34" s="122"/>
      <c r="Z34" s="75"/>
      <c r="AA34" s="73"/>
      <c r="AB34" s="78"/>
      <c r="AC34" s="75"/>
      <c r="AD34" s="57"/>
      <c r="AE34" s="127"/>
      <c r="AF34" s="75"/>
      <c r="AG34" s="57"/>
      <c r="AH34" s="57"/>
      <c r="AI34" s="78"/>
      <c r="AJ34" s="122"/>
      <c r="AK34" s="75"/>
      <c r="AL34" s="57"/>
      <c r="AM34" s="57"/>
      <c r="AN34" s="122"/>
      <c r="AO34" s="75"/>
      <c r="AP34" s="57"/>
      <c r="AQ34" s="57"/>
      <c r="AR34" s="57"/>
      <c r="AS34" s="122"/>
      <c r="AT34" s="75"/>
      <c r="AU34" s="57"/>
      <c r="AV34" s="57"/>
      <c r="AW34" s="57"/>
      <c r="AX34" s="57"/>
      <c r="AY34" s="122"/>
    </row>
    <row r="35" spans="2:51" s="8" customFormat="1" ht="15" customHeight="1" outlineLevel="1">
      <c r="B35" s="59" t="s">
        <v>172</v>
      </c>
      <c r="C35" s="60" t="s">
        <v>1</v>
      </c>
      <c r="D35" s="60" t="s">
        <v>7</v>
      </c>
      <c r="E35" s="59" t="s">
        <v>234</v>
      </c>
      <c r="G35" s="58"/>
      <c r="H35" s="58"/>
      <c r="I35" s="58"/>
      <c r="J35" s="114"/>
      <c r="K35" s="112"/>
      <c r="L35" s="58"/>
      <c r="M35" s="58"/>
      <c r="N35" s="110"/>
      <c r="O35" s="117"/>
      <c r="P35" s="71"/>
      <c r="Q35" s="58"/>
      <c r="R35" s="58"/>
      <c r="S35" s="58"/>
      <c r="T35" s="114"/>
      <c r="U35" s="71"/>
      <c r="V35" s="57"/>
      <c r="W35" s="57"/>
      <c r="X35" s="57"/>
      <c r="Y35" s="122"/>
      <c r="Z35" s="75"/>
      <c r="AA35" s="73"/>
      <c r="AB35" s="78"/>
      <c r="AC35" s="75"/>
      <c r="AD35" s="57"/>
      <c r="AE35" s="127"/>
      <c r="AF35" s="75"/>
      <c r="AG35" s="57"/>
      <c r="AH35" s="57"/>
      <c r="AI35" s="78"/>
      <c r="AJ35" s="122"/>
      <c r="AK35" s="75"/>
      <c r="AL35" s="57"/>
      <c r="AM35" s="57"/>
      <c r="AN35" s="122"/>
      <c r="AO35" s="75"/>
      <c r="AP35" s="57"/>
      <c r="AQ35" s="57"/>
      <c r="AR35" s="57"/>
      <c r="AS35" s="122"/>
      <c r="AT35" s="75"/>
      <c r="AU35" s="57"/>
      <c r="AV35" s="57"/>
      <c r="AW35" s="57"/>
      <c r="AX35" s="57"/>
      <c r="AY35" s="122"/>
    </row>
    <row r="36" spans="2:51" s="8" customFormat="1" ht="15" customHeight="1" outlineLevel="1">
      <c r="B36" s="61" t="s">
        <v>173</v>
      </c>
      <c r="C36" s="60" t="s">
        <v>1</v>
      </c>
      <c r="D36" s="60" t="s">
        <v>12</v>
      </c>
      <c r="E36" s="59" t="s">
        <v>234</v>
      </c>
      <c r="G36" s="58"/>
      <c r="H36" s="58"/>
      <c r="I36" s="58"/>
      <c r="J36" s="114"/>
      <c r="K36" s="112"/>
      <c r="L36" s="58"/>
      <c r="M36" s="58"/>
      <c r="N36" s="58"/>
      <c r="O36" s="117"/>
      <c r="P36" s="113"/>
      <c r="Q36" s="58"/>
      <c r="R36" s="58"/>
      <c r="S36" s="58"/>
      <c r="T36" s="114"/>
      <c r="U36" s="71"/>
      <c r="V36" s="57"/>
      <c r="W36" s="57"/>
      <c r="X36" s="57"/>
      <c r="Y36" s="122"/>
      <c r="Z36" s="75"/>
      <c r="AA36" s="73"/>
      <c r="AB36" s="78"/>
      <c r="AC36" s="75"/>
      <c r="AD36" s="57"/>
      <c r="AE36" s="127"/>
      <c r="AF36" s="75"/>
      <c r="AG36" s="57"/>
      <c r="AH36" s="57"/>
      <c r="AI36" s="78"/>
      <c r="AJ36" s="122"/>
      <c r="AK36" s="75"/>
      <c r="AL36" s="57"/>
      <c r="AM36" s="57"/>
      <c r="AN36" s="122"/>
      <c r="AO36" s="75"/>
      <c r="AP36" s="57"/>
      <c r="AQ36" s="57"/>
      <c r="AR36" s="57"/>
      <c r="AS36" s="122"/>
      <c r="AT36" s="75"/>
      <c r="AU36" s="57"/>
      <c r="AV36" s="57"/>
      <c r="AW36" s="57"/>
      <c r="AX36" s="57"/>
      <c r="AY36" s="122"/>
    </row>
    <row r="37" spans="2:51" s="8" customFormat="1" ht="15" customHeight="1" outlineLevel="1">
      <c r="B37" s="59" t="s">
        <v>174</v>
      </c>
      <c r="C37" s="60" t="s">
        <v>1</v>
      </c>
      <c r="D37" s="60" t="s">
        <v>18</v>
      </c>
      <c r="E37" s="59" t="s">
        <v>234</v>
      </c>
      <c r="G37" s="58"/>
      <c r="H37" s="58"/>
      <c r="I37" s="58"/>
      <c r="J37" s="114"/>
      <c r="K37" s="112"/>
      <c r="L37" s="58"/>
      <c r="M37" s="58"/>
      <c r="N37" s="58"/>
      <c r="O37" s="114"/>
      <c r="P37" s="113"/>
      <c r="Q37" s="58"/>
      <c r="R37" s="58"/>
      <c r="S37" s="58"/>
      <c r="T37" s="114"/>
      <c r="U37" s="71"/>
      <c r="V37" s="57"/>
      <c r="W37" s="57"/>
      <c r="X37" s="57"/>
      <c r="Y37" s="122"/>
      <c r="Z37" s="75"/>
      <c r="AA37" s="73"/>
      <c r="AB37" s="78"/>
      <c r="AC37" s="75"/>
      <c r="AD37" s="57"/>
      <c r="AE37" s="127"/>
      <c r="AF37" s="75"/>
      <c r="AG37" s="57"/>
      <c r="AH37" s="57"/>
      <c r="AI37" s="78"/>
      <c r="AJ37" s="122"/>
      <c r="AK37" s="75"/>
      <c r="AL37" s="57"/>
      <c r="AM37" s="57"/>
      <c r="AN37" s="122"/>
      <c r="AO37" s="75"/>
      <c r="AP37" s="57"/>
      <c r="AQ37" s="57"/>
      <c r="AR37" s="57"/>
      <c r="AS37" s="122"/>
      <c r="AT37" s="75"/>
      <c r="AU37" s="57"/>
      <c r="AV37" s="57"/>
      <c r="AW37" s="57"/>
      <c r="AX37" s="57"/>
      <c r="AY37" s="122"/>
    </row>
    <row r="38" spans="2:51" s="8" customFormat="1" ht="15" customHeight="1" outlineLevel="1">
      <c r="B38" s="63" t="s">
        <v>175</v>
      </c>
      <c r="C38" s="60" t="s">
        <v>1</v>
      </c>
      <c r="D38" s="60" t="s">
        <v>20</v>
      </c>
      <c r="E38" s="59" t="s">
        <v>234</v>
      </c>
      <c r="G38" s="58"/>
      <c r="H38" s="58"/>
      <c r="I38" s="58"/>
      <c r="J38" s="114"/>
      <c r="K38" s="112"/>
      <c r="L38" s="58"/>
      <c r="M38" s="58"/>
      <c r="N38" s="58"/>
      <c r="O38" s="114"/>
      <c r="P38" s="113"/>
      <c r="Q38" s="110"/>
      <c r="R38" s="58"/>
      <c r="S38" s="58"/>
      <c r="T38" s="114"/>
      <c r="U38" s="71"/>
      <c r="V38" s="57"/>
      <c r="W38" s="57"/>
      <c r="X38" s="57"/>
      <c r="Y38" s="122"/>
      <c r="Z38" s="75"/>
      <c r="AA38" s="73"/>
      <c r="AB38" s="78"/>
      <c r="AC38" s="75"/>
      <c r="AD38" s="57"/>
      <c r="AE38" s="127"/>
      <c r="AF38" s="75"/>
      <c r="AG38" s="57"/>
      <c r="AH38" s="57"/>
      <c r="AI38" s="78"/>
      <c r="AJ38" s="122"/>
      <c r="AK38" s="75"/>
      <c r="AL38" s="57"/>
      <c r="AM38" s="57"/>
      <c r="AN38" s="122"/>
      <c r="AO38" s="75"/>
      <c r="AP38" s="57"/>
      <c r="AQ38" s="57"/>
      <c r="AR38" s="57"/>
      <c r="AS38" s="122"/>
      <c r="AT38" s="75"/>
      <c r="AU38" s="57"/>
      <c r="AV38" s="57"/>
      <c r="AW38" s="57"/>
      <c r="AX38" s="57"/>
      <c r="AY38" s="122"/>
    </row>
    <row r="39" spans="2:51" s="8" customFormat="1" ht="15" customHeight="1" outlineLevel="1">
      <c r="B39" s="59" t="s">
        <v>176</v>
      </c>
      <c r="C39" s="60" t="s">
        <v>1</v>
      </c>
      <c r="D39" s="60" t="s">
        <v>21</v>
      </c>
      <c r="E39" s="59" t="s">
        <v>234</v>
      </c>
      <c r="G39" s="58"/>
      <c r="H39" s="58"/>
      <c r="I39" s="58"/>
      <c r="J39" s="114"/>
      <c r="K39" s="112"/>
      <c r="L39" s="58"/>
      <c r="M39" s="58"/>
      <c r="N39" s="58"/>
      <c r="O39" s="114"/>
      <c r="P39" s="71"/>
      <c r="Q39" s="110"/>
      <c r="R39" s="58"/>
      <c r="S39" s="58"/>
      <c r="T39" s="114"/>
      <c r="U39" s="71"/>
      <c r="V39" s="57"/>
      <c r="W39" s="57"/>
      <c r="X39" s="57"/>
      <c r="Y39" s="122"/>
      <c r="Z39" s="75"/>
      <c r="AA39" s="73"/>
      <c r="AB39" s="78"/>
      <c r="AC39" s="75"/>
      <c r="AD39" s="57"/>
      <c r="AE39" s="127"/>
      <c r="AF39" s="75"/>
      <c r="AG39" s="57"/>
      <c r="AH39" s="57"/>
      <c r="AI39" s="78"/>
      <c r="AJ39" s="122"/>
      <c r="AK39" s="75"/>
      <c r="AL39" s="57"/>
      <c r="AM39" s="57"/>
      <c r="AN39" s="122"/>
      <c r="AO39" s="75"/>
      <c r="AP39" s="57"/>
      <c r="AQ39" s="57"/>
      <c r="AR39" s="57"/>
      <c r="AS39" s="122"/>
      <c r="AT39" s="75"/>
      <c r="AU39" s="57"/>
      <c r="AV39" s="57"/>
      <c r="AW39" s="57"/>
      <c r="AX39" s="57"/>
      <c r="AY39" s="122"/>
    </row>
    <row r="40" spans="2:51" s="8" customFormat="1" ht="15" customHeight="1" outlineLevel="1">
      <c r="B40" s="63" t="s">
        <v>177</v>
      </c>
      <c r="C40" s="60" t="s">
        <v>55</v>
      </c>
      <c r="D40" s="60" t="s">
        <v>90</v>
      </c>
      <c r="E40" s="59" t="s">
        <v>234</v>
      </c>
      <c r="G40" s="58"/>
      <c r="H40" s="58"/>
      <c r="I40" s="58"/>
      <c r="J40" s="114"/>
      <c r="K40" s="112"/>
      <c r="L40" s="58"/>
      <c r="M40" s="58"/>
      <c r="N40" s="110"/>
      <c r="O40" s="114"/>
      <c r="P40" s="71"/>
      <c r="Q40" s="58"/>
      <c r="R40" s="58"/>
      <c r="S40" s="58"/>
      <c r="T40" s="114"/>
      <c r="U40" s="71"/>
      <c r="V40" s="57"/>
      <c r="W40" s="57"/>
      <c r="X40" s="57"/>
      <c r="Y40" s="122"/>
      <c r="Z40" s="75"/>
      <c r="AA40" s="73"/>
      <c r="AB40" s="78"/>
      <c r="AC40" s="75"/>
      <c r="AD40" s="57"/>
      <c r="AE40" s="127"/>
      <c r="AF40" s="75"/>
      <c r="AG40" s="57"/>
      <c r="AH40" s="57"/>
      <c r="AI40" s="78"/>
      <c r="AJ40" s="122"/>
      <c r="AK40" s="75"/>
      <c r="AL40" s="57"/>
      <c r="AM40" s="57"/>
      <c r="AN40" s="122"/>
      <c r="AO40" s="75"/>
      <c r="AP40" s="57"/>
      <c r="AQ40" s="57"/>
      <c r="AR40" s="57"/>
      <c r="AS40" s="122"/>
      <c r="AT40" s="75"/>
      <c r="AU40" s="57"/>
      <c r="AV40" s="57"/>
      <c r="AW40" s="57"/>
      <c r="AX40" s="57"/>
      <c r="AY40" s="122"/>
    </row>
    <row r="41" spans="2:51" ht="15" customHeight="1" outlineLevel="1">
      <c r="B41" s="59" t="s">
        <v>178</v>
      </c>
      <c r="C41" s="60" t="s">
        <v>55</v>
      </c>
      <c r="D41" s="60" t="s">
        <v>59</v>
      </c>
      <c r="E41" s="59" t="s">
        <v>234</v>
      </c>
      <c r="G41" s="66"/>
      <c r="H41" s="66"/>
      <c r="I41" s="66"/>
      <c r="J41" s="120"/>
      <c r="K41" s="118"/>
      <c r="L41" s="66"/>
      <c r="M41" s="66"/>
      <c r="N41" s="110"/>
      <c r="O41" s="117"/>
      <c r="P41" s="71"/>
      <c r="Q41" s="58"/>
      <c r="R41" s="58"/>
      <c r="S41" s="58"/>
      <c r="T41" s="114"/>
      <c r="U41" s="71"/>
      <c r="V41" s="67"/>
      <c r="W41" s="67"/>
      <c r="X41" s="67"/>
      <c r="Y41" s="124"/>
      <c r="Z41" s="76"/>
      <c r="AA41" s="74"/>
      <c r="AB41" s="79"/>
      <c r="AC41" s="76"/>
      <c r="AD41" s="67"/>
      <c r="AE41" s="128"/>
      <c r="AF41" s="76"/>
      <c r="AG41" s="67"/>
      <c r="AH41" s="67"/>
      <c r="AI41" s="79"/>
      <c r="AJ41" s="124"/>
      <c r="AK41" s="76"/>
      <c r="AL41" s="67"/>
      <c r="AM41" s="67"/>
      <c r="AN41" s="124"/>
      <c r="AO41" s="76"/>
      <c r="AP41" s="67"/>
      <c r="AQ41" s="67"/>
      <c r="AR41" s="67"/>
      <c r="AS41" s="124"/>
      <c r="AT41" s="76"/>
      <c r="AU41" s="67"/>
      <c r="AV41" s="67"/>
      <c r="AW41" s="67"/>
      <c r="AX41" s="67"/>
      <c r="AY41" s="124"/>
    </row>
    <row r="42" spans="2:51" ht="15" customHeight="1" outlineLevel="1">
      <c r="B42" s="63" t="s">
        <v>179</v>
      </c>
      <c r="C42" s="60" t="s">
        <v>63</v>
      </c>
      <c r="D42" s="60" t="s">
        <v>90</v>
      </c>
      <c r="E42" s="59" t="s">
        <v>234</v>
      </c>
      <c r="G42" s="66"/>
      <c r="H42" s="66"/>
      <c r="I42" s="66"/>
      <c r="J42" s="120"/>
      <c r="K42" s="118"/>
      <c r="L42" s="66"/>
      <c r="M42" s="66"/>
      <c r="N42" s="58"/>
      <c r="O42" s="117"/>
      <c r="P42" s="113"/>
      <c r="Q42" s="110"/>
      <c r="R42" s="58"/>
      <c r="S42" s="58"/>
      <c r="T42" s="114"/>
      <c r="U42" s="71"/>
      <c r="V42" s="67"/>
      <c r="W42" s="67"/>
      <c r="X42" s="67"/>
      <c r="Y42" s="124"/>
      <c r="Z42" s="76"/>
      <c r="AA42" s="74"/>
      <c r="AB42" s="79"/>
      <c r="AC42" s="76"/>
      <c r="AD42" s="67"/>
      <c r="AE42" s="128"/>
      <c r="AF42" s="76"/>
      <c r="AG42" s="67"/>
      <c r="AH42" s="67"/>
      <c r="AI42" s="79"/>
      <c r="AJ42" s="124"/>
      <c r="AK42" s="76"/>
      <c r="AL42" s="67"/>
      <c r="AM42" s="67"/>
      <c r="AN42" s="124"/>
      <c r="AO42" s="76"/>
      <c r="AP42" s="67"/>
      <c r="AQ42" s="67"/>
      <c r="AR42" s="67"/>
      <c r="AS42" s="124"/>
      <c r="AT42" s="76"/>
      <c r="AU42" s="67"/>
      <c r="AV42" s="67"/>
      <c r="AW42" s="67"/>
      <c r="AX42" s="67"/>
      <c r="AY42" s="124"/>
    </row>
    <row r="43" spans="2:51" ht="15" customHeight="1" outlineLevel="1">
      <c r="B43" s="64" t="s">
        <v>180</v>
      </c>
      <c r="C43" s="60" t="s">
        <v>63</v>
      </c>
      <c r="D43" s="60" t="s">
        <v>64</v>
      </c>
      <c r="E43" s="59" t="s">
        <v>234</v>
      </c>
      <c r="G43" s="66"/>
      <c r="H43" s="66"/>
      <c r="I43" s="66"/>
      <c r="J43" s="120"/>
      <c r="K43" s="118"/>
      <c r="L43" s="66"/>
      <c r="M43" s="66"/>
      <c r="N43" s="58"/>
      <c r="O43" s="114"/>
      <c r="P43" s="71"/>
      <c r="Q43" s="58"/>
      <c r="R43" s="110"/>
      <c r="S43" s="110"/>
      <c r="T43" s="114"/>
      <c r="U43" s="71"/>
      <c r="V43" s="67"/>
      <c r="W43" s="67"/>
      <c r="X43" s="67"/>
      <c r="Y43" s="124"/>
      <c r="Z43" s="76"/>
      <c r="AA43" s="74"/>
      <c r="AB43" s="79"/>
      <c r="AC43" s="76"/>
      <c r="AD43" s="67"/>
      <c r="AE43" s="128"/>
      <c r="AF43" s="76"/>
      <c r="AG43" s="67"/>
      <c r="AH43" s="67"/>
      <c r="AI43" s="79"/>
      <c r="AJ43" s="124"/>
      <c r="AK43" s="76"/>
      <c r="AL43" s="67"/>
      <c r="AM43" s="67"/>
      <c r="AN43" s="124"/>
      <c r="AO43" s="76"/>
      <c r="AP43" s="67"/>
      <c r="AQ43" s="67"/>
      <c r="AR43" s="67"/>
      <c r="AS43" s="124"/>
      <c r="AT43" s="76"/>
      <c r="AU43" s="67"/>
      <c r="AV43" s="67"/>
      <c r="AW43" s="67"/>
      <c r="AX43" s="67"/>
      <c r="AY43" s="124"/>
    </row>
    <row r="44" spans="2:51" ht="15" customHeight="1" outlineLevel="1">
      <c r="B44" s="59" t="s">
        <v>168</v>
      </c>
      <c r="C44" s="60" t="s">
        <v>63</v>
      </c>
      <c r="D44" s="60" t="s">
        <v>66</v>
      </c>
      <c r="E44" s="59" t="s">
        <v>234</v>
      </c>
      <c r="G44" s="66"/>
      <c r="H44" s="66"/>
      <c r="I44" s="66"/>
      <c r="J44" s="120"/>
      <c r="K44" s="118"/>
      <c r="L44" s="66"/>
      <c r="M44" s="66"/>
      <c r="N44" s="58"/>
      <c r="O44" s="114"/>
      <c r="P44" s="71"/>
      <c r="Q44" s="58"/>
      <c r="R44" s="58"/>
      <c r="S44" s="110"/>
      <c r="T44" s="117"/>
      <c r="U44" s="71"/>
      <c r="V44" s="67"/>
      <c r="W44" s="67"/>
      <c r="X44" s="67"/>
      <c r="Y44" s="124"/>
      <c r="Z44" s="76"/>
      <c r="AA44" s="74"/>
      <c r="AB44" s="79"/>
      <c r="AC44" s="76"/>
      <c r="AD44" s="67"/>
      <c r="AE44" s="128"/>
      <c r="AF44" s="76"/>
      <c r="AG44" s="67"/>
      <c r="AH44" s="67"/>
      <c r="AI44" s="79"/>
      <c r="AJ44" s="124"/>
      <c r="AK44" s="76"/>
      <c r="AL44" s="67"/>
      <c r="AM44" s="67"/>
      <c r="AN44" s="124"/>
      <c r="AO44" s="76"/>
      <c r="AP44" s="67"/>
      <c r="AQ44" s="67"/>
      <c r="AR44" s="67"/>
      <c r="AS44" s="124"/>
      <c r="AT44" s="76"/>
      <c r="AU44" s="67"/>
      <c r="AV44" s="67"/>
      <c r="AW44" s="67"/>
      <c r="AX44" s="67"/>
      <c r="AY44" s="124"/>
    </row>
    <row r="45" spans="2:51" ht="15" customHeight="1" outlineLevel="1">
      <c r="B45" s="59" t="s">
        <v>169</v>
      </c>
      <c r="C45" s="60" t="s">
        <v>63</v>
      </c>
      <c r="D45" s="60" t="s">
        <v>36</v>
      </c>
      <c r="E45" s="59" t="s">
        <v>234</v>
      </c>
      <c r="G45" s="66"/>
      <c r="H45" s="66"/>
      <c r="I45" s="66"/>
      <c r="J45" s="120"/>
      <c r="K45" s="118"/>
      <c r="L45" s="66"/>
      <c r="M45" s="66"/>
      <c r="N45" s="58"/>
      <c r="O45" s="114"/>
      <c r="P45" s="71"/>
      <c r="Q45" s="58"/>
      <c r="R45" s="110"/>
      <c r="S45" s="58"/>
      <c r="T45" s="114"/>
      <c r="U45" s="71"/>
      <c r="V45" s="67"/>
      <c r="W45" s="67"/>
      <c r="X45" s="67"/>
      <c r="Y45" s="124"/>
      <c r="Z45" s="76"/>
      <c r="AA45" s="74"/>
      <c r="AB45" s="79"/>
      <c r="AC45" s="76"/>
      <c r="AD45" s="67"/>
      <c r="AE45" s="128"/>
      <c r="AF45" s="76"/>
      <c r="AG45" s="67"/>
      <c r="AH45" s="67"/>
      <c r="AI45" s="79"/>
      <c r="AJ45" s="124"/>
      <c r="AK45" s="76"/>
      <c r="AL45" s="67"/>
      <c r="AM45" s="67"/>
      <c r="AN45" s="124"/>
      <c r="AO45" s="76"/>
      <c r="AP45" s="67"/>
      <c r="AQ45" s="67"/>
      <c r="AR45" s="67"/>
      <c r="AS45" s="124"/>
      <c r="AT45" s="76"/>
      <c r="AU45" s="67"/>
      <c r="AV45" s="67"/>
      <c r="AW45" s="67"/>
      <c r="AX45" s="67"/>
      <c r="AY45" s="124"/>
    </row>
    <row r="46" spans="2:51" ht="15" customHeight="1" outlineLevel="1">
      <c r="B46" s="59" t="s">
        <v>170</v>
      </c>
      <c r="C46" s="60" t="s">
        <v>63</v>
      </c>
      <c r="D46" s="60" t="s">
        <v>38</v>
      </c>
      <c r="E46" s="59" t="s">
        <v>234</v>
      </c>
      <c r="G46" s="66"/>
      <c r="H46" s="66"/>
      <c r="I46" s="66"/>
      <c r="J46" s="120"/>
      <c r="K46" s="118"/>
      <c r="L46" s="66"/>
      <c r="M46" s="66"/>
      <c r="N46" s="58"/>
      <c r="O46" s="114"/>
      <c r="P46" s="71"/>
      <c r="Q46" s="58"/>
      <c r="R46" s="110"/>
      <c r="S46" s="58"/>
      <c r="T46" s="114"/>
      <c r="U46" s="71"/>
      <c r="V46" s="67"/>
      <c r="W46" s="67"/>
      <c r="X46" s="67"/>
      <c r="Y46" s="124"/>
      <c r="Z46" s="76"/>
      <c r="AA46" s="74"/>
      <c r="AB46" s="79"/>
      <c r="AC46" s="76"/>
      <c r="AD46" s="67"/>
      <c r="AE46" s="128"/>
      <c r="AF46" s="76"/>
      <c r="AG46" s="67"/>
      <c r="AH46" s="67"/>
      <c r="AI46" s="79"/>
      <c r="AJ46" s="124"/>
      <c r="AK46" s="76"/>
      <c r="AL46" s="67"/>
      <c r="AM46" s="67"/>
      <c r="AN46" s="124"/>
      <c r="AO46" s="76"/>
      <c r="AP46" s="67"/>
      <c r="AQ46" s="67"/>
      <c r="AR46" s="67"/>
      <c r="AS46" s="124"/>
      <c r="AT46" s="76"/>
      <c r="AU46" s="67"/>
      <c r="AV46" s="67"/>
      <c r="AW46" s="67"/>
      <c r="AX46" s="67"/>
      <c r="AY46" s="124"/>
    </row>
    <row r="47" spans="2:51" ht="15" customHeight="1" outlineLevel="1">
      <c r="B47" s="59" t="s">
        <v>181</v>
      </c>
      <c r="C47" s="60" t="s">
        <v>63</v>
      </c>
      <c r="D47" s="60" t="s">
        <v>54</v>
      </c>
      <c r="E47" s="59" t="s">
        <v>234</v>
      </c>
      <c r="G47" s="66"/>
      <c r="H47" s="66"/>
      <c r="I47" s="66"/>
      <c r="J47" s="120"/>
      <c r="K47" s="118"/>
      <c r="L47" s="66"/>
      <c r="M47" s="66"/>
      <c r="N47" s="58"/>
      <c r="O47" s="114"/>
      <c r="P47" s="71"/>
      <c r="Q47" s="110"/>
      <c r="R47" s="110"/>
      <c r="S47" s="58"/>
      <c r="T47" s="114"/>
      <c r="U47" s="71"/>
      <c r="V47" s="67"/>
      <c r="W47" s="67"/>
      <c r="X47" s="67"/>
      <c r="Y47" s="124"/>
      <c r="Z47" s="76"/>
      <c r="AA47" s="74"/>
      <c r="AB47" s="79"/>
      <c r="AC47" s="76"/>
      <c r="AD47" s="67"/>
      <c r="AE47" s="128"/>
      <c r="AF47" s="76"/>
      <c r="AG47" s="67"/>
      <c r="AH47" s="67"/>
      <c r="AI47" s="79"/>
      <c r="AJ47" s="124"/>
      <c r="AK47" s="76"/>
      <c r="AL47" s="67"/>
      <c r="AM47" s="67"/>
      <c r="AN47" s="124"/>
      <c r="AO47" s="76"/>
      <c r="AP47" s="67"/>
      <c r="AQ47" s="67"/>
      <c r="AR47" s="67"/>
      <c r="AS47" s="124"/>
      <c r="AT47" s="76"/>
      <c r="AU47" s="67"/>
      <c r="AV47" s="67"/>
      <c r="AW47" s="67"/>
      <c r="AX47" s="67"/>
      <c r="AY47" s="124"/>
    </row>
    <row r="48" spans="2:51" s="8" customFormat="1" ht="15" customHeight="1">
      <c r="B48" s="56" t="s">
        <v>182</v>
      </c>
      <c r="C48" s="189" t="s">
        <v>183</v>
      </c>
      <c r="D48" s="189"/>
      <c r="E48" s="54"/>
      <c r="G48" s="55"/>
      <c r="H48" s="55"/>
      <c r="I48" s="55"/>
      <c r="J48" s="121"/>
      <c r="K48" s="55"/>
      <c r="L48" s="175" t="s">
        <v>295</v>
      </c>
      <c r="M48" s="55"/>
      <c r="N48" s="55"/>
      <c r="O48" s="121"/>
      <c r="P48" s="55"/>
      <c r="Q48" s="55"/>
      <c r="R48" s="55"/>
      <c r="S48" s="109"/>
      <c r="T48" s="116"/>
      <c r="U48" s="109"/>
      <c r="V48" s="111"/>
      <c r="W48" s="54"/>
      <c r="X48" s="54"/>
      <c r="Y48" s="123"/>
      <c r="Z48" s="54"/>
      <c r="AA48" s="54"/>
      <c r="AB48" s="78"/>
      <c r="AC48" s="54"/>
      <c r="AD48" s="54"/>
      <c r="AE48" s="127"/>
      <c r="AF48" s="54"/>
      <c r="AG48" s="54"/>
      <c r="AH48" s="54"/>
      <c r="AI48" s="78"/>
      <c r="AJ48" s="131"/>
      <c r="AK48" s="54"/>
      <c r="AL48" s="54"/>
      <c r="AM48" s="54"/>
      <c r="AN48" s="123"/>
      <c r="AO48" s="54"/>
      <c r="AP48" s="54"/>
      <c r="AQ48" s="54"/>
      <c r="AR48" s="54"/>
      <c r="AS48" s="123"/>
      <c r="AT48" s="54"/>
      <c r="AU48" s="54"/>
      <c r="AV48" s="54"/>
      <c r="AW48" s="54"/>
      <c r="AX48" s="54"/>
      <c r="AY48" s="123"/>
    </row>
    <row r="49" spans="2:51" ht="15" customHeight="1" outlineLevel="1">
      <c r="B49" s="59" t="s">
        <v>184</v>
      </c>
      <c r="C49" s="60" t="s">
        <v>1</v>
      </c>
      <c r="D49" s="60" t="s">
        <v>2</v>
      </c>
      <c r="E49" s="59" t="s">
        <v>234</v>
      </c>
      <c r="G49" s="66"/>
      <c r="H49" s="66"/>
      <c r="I49" s="66"/>
      <c r="J49" s="120"/>
      <c r="K49" s="118"/>
      <c r="L49" s="66"/>
      <c r="M49" s="66"/>
      <c r="N49" s="66"/>
      <c r="O49" s="120"/>
      <c r="P49" s="72"/>
      <c r="Q49" s="66"/>
      <c r="R49" s="66"/>
      <c r="S49" s="58"/>
      <c r="T49" s="117"/>
      <c r="U49" s="113"/>
      <c r="V49" s="57"/>
      <c r="W49" s="57"/>
      <c r="X49" s="57"/>
      <c r="Y49" s="124"/>
      <c r="Z49" s="76"/>
      <c r="AA49" s="74"/>
      <c r="AB49" s="79"/>
      <c r="AC49" s="76"/>
      <c r="AD49" s="67"/>
      <c r="AE49" s="128"/>
      <c r="AF49" s="76"/>
      <c r="AG49" s="67"/>
      <c r="AH49" s="67"/>
      <c r="AI49" s="79"/>
      <c r="AJ49" s="124"/>
      <c r="AK49" s="76"/>
      <c r="AL49" s="67"/>
      <c r="AM49" s="67"/>
      <c r="AN49" s="124"/>
      <c r="AO49" s="76"/>
      <c r="AP49" s="67"/>
      <c r="AQ49" s="67"/>
      <c r="AR49" s="67"/>
      <c r="AS49" s="124"/>
      <c r="AT49" s="76"/>
      <c r="AU49" s="67"/>
      <c r="AV49" s="67"/>
      <c r="AW49" s="67"/>
      <c r="AX49" s="67"/>
      <c r="AY49" s="124"/>
    </row>
    <row r="50" spans="2:51" ht="15" customHeight="1" outlineLevel="1">
      <c r="B50" s="59" t="s">
        <v>185</v>
      </c>
      <c r="C50" s="60" t="s">
        <v>1</v>
      </c>
      <c r="D50" s="60" t="s">
        <v>8</v>
      </c>
      <c r="E50" s="59" t="s">
        <v>234</v>
      </c>
      <c r="G50" s="66"/>
      <c r="H50" s="66"/>
      <c r="I50" s="66"/>
      <c r="J50" s="120"/>
      <c r="K50" s="118"/>
      <c r="L50" s="66"/>
      <c r="M50" s="66"/>
      <c r="N50" s="66"/>
      <c r="O50" s="120"/>
      <c r="P50" s="72"/>
      <c r="Q50" s="66"/>
      <c r="R50" s="66"/>
      <c r="S50" s="58"/>
      <c r="T50" s="114"/>
      <c r="U50" s="113"/>
      <c r="V50" s="57"/>
      <c r="W50" s="57"/>
      <c r="X50" s="57"/>
      <c r="Y50" s="124"/>
      <c r="Z50" s="76"/>
      <c r="AA50" s="74"/>
      <c r="AB50" s="79"/>
      <c r="AC50" s="76"/>
      <c r="AD50" s="67"/>
      <c r="AE50" s="128"/>
      <c r="AF50" s="76"/>
      <c r="AG50" s="67"/>
      <c r="AH50" s="67"/>
      <c r="AI50" s="79"/>
      <c r="AJ50" s="124"/>
      <c r="AK50" s="76"/>
      <c r="AL50" s="67"/>
      <c r="AM50" s="67"/>
      <c r="AN50" s="124"/>
      <c r="AO50" s="76"/>
      <c r="AP50" s="67"/>
      <c r="AQ50" s="67"/>
      <c r="AR50" s="67"/>
      <c r="AS50" s="124"/>
      <c r="AT50" s="76"/>
      <c r="AU50" s="67"/>
      <c r="AV50" s="67"/>
      <c r="AW50" s="67"/>
      <c r="AX50" s="67"/>
      <c r="AY50" s="124"/>
    </row>
    <row r="51" spans="2:51" ht="15" customHeight="1" outlineLevel="1">
      <c r="B51" s="59" t="s">
        <v>187</v>
      </c>
      <c r="C51" s="60" t="s">
        <v>1</v>
      </c>
      <c r="D51" s="60" t="s">
        <v>9</v>
      </c>
      <c r="E51" s="59" t="s">
        <v>234</v>
      </c>
      <c r="G51" s="66"/>
      <c r="H51" s="66"/>
      <c r="I51" s="66"/>
      <c r="J51" s="120"/>
      <c r="K51" s="118"/>
      <c r="L51" s="66"/>
      <c r="M51" s="66"/>
      <c r="N51" s="66"/>
      <c r="O51" s="120"/>
      <c r="P51" s="72"/>
      <c r="Q51" s="66"/>
      <c r="R51" s="66"/>
      <c r="S51" s="58"/>
      <c r="T51" s="114"/>
      <c r="U51" s="113"/>
      <c r="V51" s="57"/>
      <c r="W51" s="57"/>
      <c r="X51" s="57"/>
      <c r="Y51" s="124"/>
      <c r="Z51" s="76"/>
      <c r="AA51" s="74"/>
      <c r="AB51" s="79"/>
      <c r="AC51" s="76"/>
      <c r="AD51" s="67"/>
      <c r="AE51" s="128"/>
      <c r="AF51" s="76"/>
      <c r="AG51" s="67"/>
      <c r="AH51" s="67"/>
      <c r="AI51" s="79"/>
      <c r="AJ51" s="124"/>
      <c r="AK51" s="76"/>
      <c r="AL51" s="67"/>
      <c r="AM51" s="67"/>
      <c r="AN51" s="124"/>
      <c r="AO51" s="76"/>
      <c r="AP51" s="67"/>
      <c r="AQ51" s="67"/>
      <c r="AR51" s="67"/>
      <c r="AS51" s="124"/>
      <c r="AT51" s="76"/>
      <c r="AU51" s="67"/>
      <c r="AV51" s="67"/>
      <c r="AW51" s="67"/>
      <c r="AX51" s="67"/>
      <c r="AY51" s="124"/>
    </row>
    <row r="52" spans="2:51" ht="15" customHeight="1" outlineLevel="1">
      <c r="B52" s="59" t="s">
        <v>186</v>
      </c>
      <c r="C52" s="60" t="s">
        <v>1</v>
      </c>
      <c r="D52" s="60" t="s">
        <v>11</v>
      </c>
      <c r="E52" s="59" t="s">
        <v>234</v>
      </c>
      <c r="G52" s="66"/>
      <c r="H52" s="66"/>
      <c r="I52" s="66"/>
      <c r="J52" s="120"/>
      <c r="K52" s="118"/>
      <c r="L52" s="66"/>
      <c r="M52" s="66"/>
      <c r="N52" s="66"/>
      <c r="O52" s="120"/>
      <c r="P52" s="72"/>
      <c r="Q52" s="66"/>
      <c r="R52" s="66"/>
      <c r="S52" s="58"/>
      <c r="T52" s="117"/>
      <c r="U52" s="113"/>
      <c r="V52" s="57"/>
      <c r="W52" s="57"/>
      <c r="X52" s="57"/>
      <c r="Y52" s="124"/>
      <c r="Z52" s="76"/>
      <c r="AA52" s="74"/>
      <c r="AB52" s="79"/>
      <c r="AC52" s="76"/>
      <c r="AD52" s="67"/>
      <c r="AE52" s="128"/>
      <c r="AF52" s="76"/>
      <c r="AG52" s="67"/>
      <c r="AH52" s="67"/>
      <c r="AI52" s="79"/>
      <c r="AJ52" s="124"/>
      <c r="AK52" s="76"/>
      <c r="AL52" s="67"/>
      <c r="AM52" s="67"/>
      <c r="AN52" s="124"/>
      <c r="AO52" s="76"/>
      <c r="AP52" s="67"/>
      <c r="AQ52" s="67"/>
      <c r="AR52" s="67"/>
      <c r="AS52" s="124"/>
      <c r="AT52" s="76"/>
      <c r="AU52" s="67"/>
      <c r="AV52" s="67"/>
      <c r="AW52" s="67"/>
      <c r="AX52" s="67"/>
      <c r="AY52" s="124"/>
    </row>
    <row r="53" spans="2:51" ht="15" customHeight="1" outlineLevel="1">
      <c r="B53" s="59" t="s">
        <v>188</v>
      </c>
      <c r="C53" s="60" t="s">
        <v>1</v>
      </c>
      <c r="D53" s="60" t="s">
        <v>13</v>
      </c>
      <c r="E53" s="59" t="s">
        <v>234</v>
      </c>
      <c r="G53" s="66"/>
      <c r="H53" s="66"/>
      <c r="I53" s="66"/>
      <c r="J53" s="120"/>
      <c r="K53" s="118"/>
      <c r="L53" s="66"/>
      <c r="M53" s="66"/>
      <c r="N53" s="66"/>
      <c r="O53" s="120"/>
      <c r="P53" s="72"/>
      <c r="Q53" s="66"/>
      <c r="R53" s="66"/>
      <c r="S53" s="58"/>
      <c r="T53" s="114"/>
      <c r="U53" s="113"/>
      <c r="V53" s="57"/>
      <c r="W53" s="57"/>
      <c r="X53" s="57"/>
      <c r="Y53" s="124"/>
      <c r="Z53" s="76"/>
      <c r="AA53" s="74"/>
      <c r="AB53" s="79"/>
      <c r="AC53" s="76"/>
      <c r="AD53" s="67"/>
      <c r="AE53" s="128"/>
      <c r="AF53" s="76"/>
      <c r="AG53" s="67"/>
      <c r="AH53" s="67"/>
      <c r="AI53" s="79"/>
      <c r="AJ53" s="124"/>
      <c r="AK53" s="76"/>
      <c r="AL53" s="67"/>
      <c r="AM53" s="67"/>
      <c r="AN53" s="124"/>
      <c r="AO53" s="76"/>
      <c r="AP53" s="67"/>
      <c r="AQ53" s="67"/>
      <c r="AR53" s="67"/>
      <c r="AS53" s="124"/>
      <c r="AT53" s="76"/>
      <c r="AU53" s="67"/>
      <c r="AV53" s="67"/>
      <c r="AW53" s="67"/>
      <c r="AX53" s="67"/>
      <c r="AY53" s="124"/>
    </row>
    <row r="54" spans="2:51" ht="15" customHeight="1" outlineLevel="1">
      <c r="B54" s="59" t="s">
        <v>190</v>
      </c>
      <c r="C54" s="60" t="s">
        <v>1</v>
      </c>
      <c r="D54" s="60" t="s">
        <v>14</v>
      </c>
      <c r="E54" s="59" t="s">
        <v>234</v>
      </c>
      <c r="G54" s="66"/>
      <c r="H54" s="66"/>
      <c r="I54" s="66"/>
      <c r="J54" s="120"/>
      <c r="K54" s="118"/>
      <c r="L54" s="66"/>
      <c r="M54" s="66"/>
      <c r="N54" s="66"/>
      <c r="O54" s="120"/>
      <c r="P54" s="72"/>
      <c r="Q54" s="66"/>
      <c r="R54" s="66"/>
      <c r="S54" s="110"/>
      <c r="T54" s="114"/>
      <c r="U54" s="71"/>
      <c r="V54" s="57"/>
      <c r="W54" s="57"/>
      <c r="X54" s="57"/>
      <c r="Y54" s="124"/>
      <c r="Z54" s="76"/>
      <c r="AA54" s="74"/>
      <c r="AB54" s="79"/>
      <c r="AC54" s="76"/>
      <c r="AD54" s="67"/>
      <c r="AE54" s="128"/>
      <c r="AF54" s="76"/>
      <c r="AG54" s="67"/>
      <c r="AH54" s="67"/>
      <c r="AI54" s="79"/>
      <c r="AJ54" s="124"/>
      <c r="AK54" s="76"/>
      <c r="AL54" s="67"/>
      <c r="AM54" s="67"/>
      <c r="AN54" s="124"/>
      <c r="AO54" s="76"/>
      <c r="AP54" s="67"/>
      <c r="AQ54" s="67"/>
      <c r="AR54" s="67"/>
      <c r="AS54" s="124"/>
      <c r="AT54" s="76"/>
      <c r="AU54" s="67"/>
      <c r="AV54" s="67"/>
      <c r="AW54" s="67"/>
      <c r="AX54" s="67"/>
      <c r="AY54" s="124"/>
    </row>
    <row r="55" spans="2:51" ht="15" customHeight="1" outlineLevel="1">
      <c r="B55" s="59" t="s">
        <v>192</v>
      </c>
      <c r="C55" s="60" t="s">
        <v>1</v>
      </c>
      <c r="D55" s="60" t="s">
        <v>15</v>
      </c>
      <c r="E55" s="59" t="s">
        <v>234</v>
      </c>
      <c r="G55" s="66"/>
      <c r="H55" s="66"/>
      <c r="I55" s="66"/>
      <c r="J55" s="120"/>
      <c r="K55" s="118"/>
      <c r="L55" s="66"/>
      <c r="M55" s="66"/>
      <c r="N55" s="66"/>
      <c r="O55" s="120"/>
      <c r="P55" s="72"/>
      <c r="Q55" s="66"/>
      <c r="R55" s="66"/>
      <c r="S55" s="110"/>
      <c r="T55" s="114"/>
      <c r="U55" s="71"/>
      <c r="V55" s="57"/>
      <c r="W55" s="57"/>
      <c r="X55" s="57"/>
      <c r="Y55" s="124"/>
      <c r="Z55" s="76"/>
      <c r="AA55" s="74"/>
      <c r="AB55" s="79"/>
      <c r="AC55" s="76"/>
      <c r="AD55" s="67"/>
      <c r="AE55" s="128"/>
      <c r="AF55" s="76"/>
      <c r="AG55" s="67"/>
      <c r="AH55" s="67"/>
      <c r="AI55" s="79"/>
      <c r="AJ55" s="124"/>
      <c r="AK55" s="76"/>
      <c r="AL55" s="67"/>
      <c r="AM55" s="67"/>
      <c r="AN55" s="124"/>
      <c r="AO55" s="76"/>
      <c r="AP55" s="67"/>
      <c r="AQ55" s="67"/>
      <c r="AR55" s="67"/>
      <c r="AS55" s="124"/>
      <c r="AT55" s="76"/>
      <c r="AU55" s="67"/>
      <c r="AV55" s="67"/>
      <c r="AW55" s="67"/>
      <c r="AX55" s="67"/>
      <c r="AY55" s="124"/>
    </row>
    <row r="56" spans="2:51" ht="15" customHeight="1" outlineLevel="1">
      <c r="B56" s="59" t="s">
        <v>194</v>
      </c>
      <c r="C56" s="60" t="s">
        <v>1</v>
      </c>
      <c r="D56" s="60" t="s">
        <v>16</v>
      </c>
      <c r="E56" s="59" t="s">
        <v>234</v>
      </c>
      <c r="G56" s="66"/>
      <c r="H56" s="66"/>
      <c r="I56" s="66"/>
      <c r="J56" s="120"/>
      <c r="K56" s="118"/>
      <c r="L56" s="66"/>
      <c r="M56" s="66"/>
      <c r="N56" s="66"/>
      <c r="O56" s="120"/>
      <c r="P56" s="72"/>
      <c r="Q56" s="66"/>
      <c r="R56" s="66"/>
      <c r="S56" s="110"/>
      <c r="T56" s="117"/>
      <c r="U56" s="71"/>
      <c r="V56" s="57"/>
      <c r="W56" s="57"/>
      <c r="X56" s="57"/>
      <c r="Y56" s="124"/>
      <c r="Z56" s="76"/>
      <c r="AA56" s="74"/>
      <c r="AB56" s="79"/>
      <c r="AC56" s="76"/>
      <c r="AD56" s="67"/>
      <c r="AE56" s="128"/>
      <c r="AF56" s="76"/>
      <c r="AG56" s="67"/>
      <c r="AH56" s="67"/>
      <c r="AI56" s="79"/>
      <c r="AJ56" s="124"/>
      <c r="AK56" s="76"/>
      <c r="AL56" s="67"/>
      <c r="AM56" s="67"/>
      <c r="AN56" s="124"/>
      <c r="AO56" s="76"/>
      <c r="AP56" s="67"/>
      <c r="AQ56" s="67"/>
      <c r="AR56" s="67"/>
      <c r="AS56" s="124"/>
      <c r="AT56" s="76"/>
      <c r="AU56" s="67"/>
      <c r="AV56" s="67"/>
      <c r="AW56" s="67"/>
      <c r="AX56" s="67"/>
      <c r="AY56" s="124"/>
    </row>
    <row r="57" spans="2:51" ht="15" customHeight="1" outlineLevel="1">
      <c r="B57" s="59" t="s">
        <v>195</v>
      </c>
      <c r="C57" s="60" t="s">
        <v>1</v>
      </c>
      <c r="D57" s="60" t="s">
        <v>17</v>
      </c>
      <c r="E57" s="59" t="s">
        <v>234</v>
      </c>
      <c r="G57" s="66"/>
      <c r="H57" s="66"/>
      <c r="I57" s="66"/>
      <c r="J57" s="120"/>
      <c r="K57" s="118"/>
      <c r="L57" s="66"/>
      <c r="M57" s="66"/>
      <c r="N57" s="66"/>
      <c r="O57" s="120"/>
      <c r="P57" s="72"/>
      <c r="Q57" s="66"/>
      <c r="R57" s="66"/>
      <c r="S57" s="58"/>
      <c r="T57" s="117"/>
      <c r="U57" s="71"/>
      <c r="V57" s="57"/>
      <c r="W57" s="57"/>
      <c r="X57" s="57"/>
      <c r="Y57" s="124"/>
      <c r="Z57" s="76"/>
      <c r="AA57" s="74"/>
      <c r="AB57" s="79"/>
      <c r="AC57" s="76"/>
      <c r="AD57" s="67"/>
      <c r="AE57" s="128"/>
      <c r="AF57" s="76"/>
      <c r="AG57" s="67"/>
      <c r="AH57" s="67"/>
      <c r="AI57" s="79"/>
      <c r="AJ57" s="124"/>
      <c r="AK57" s="76"/>
      <c r="AL57" s="67"/>
      <c r="AM57" s="67"/>
      <c r="AN57" s="124"/>
      <c r="AO57" s="76"/>
      <c r="AP57" s="67"/>
      <c r="AQ57" s="67"/>
      <c r="AR57" s="67"/>
      <c r="AS57" s="124"/>
      <c r="AT57" s="76"/>
      <c r="AU57" s="67"/>
      <c r="AV57" s="67"/>
      <c r="AW57" s="67"/>
      <c r="AX57" s="67"/>
      <c r="AY57" s="124"/>
    </row>
    <row r="58" spans="2:51" ht="15" customHeight="1" outlineLevel="1">
      <c r="B58" s="59" t="s">
        <v>196</v>
      </c>
      <c r="C58" s="60" t="s">
        <v>1</v>
      </c>
      <c r="D58" s="60" t="s">
        <v>19</v>
      </c>
      <c r="E58" s="59" t="s">
        <v>234</v>
      </c>
      <c r="G58" s="66"/>
      <c r="H58" s="66"/>
      <c r="I58" s="66"/>
      <c r="J58" s="120"/>
      <c r="K58" s="118"/>
      <c r="L58" s="66"/>
      <c r="M58" s="66"/>
      <c r="N58" s="66"/>
      <c r="O58" s="120"/>
      <c r="P58" s="72"/>
      <c r="Q58" s="66"/>
      <c r="R58" s="66"/>
      <c r="S58" s="58"/>
      <c r="T58" s="114"/>
      <c r="U58" s="113"/>
      <c r="V58" s="57"/>
      <c r="W58" s="57"/>
      <c r="X58" s="57"/>
      <c r="Y58" s="124"/>
      <c r="Z58" s="76"/>
      <c r="AA58" s="74"/>
      <c r="AB58" s="79"/>
      <c r="AC58" s="76"/>
      <c r="AD58" s="67"/>
      <c r="AE58" s="128"/>
      <c r="AF58" s="76"/>
      <c r="AG58" s="67"/>
      <c r="AH58" s="67"/>
      <c r="AI58" s="79"/>
      <c r="AJ58" s="124"/>
      <c r="AK58" s="76"/>
      <c r="AL58" s="67"/>
      <c r="AM58" s="67"/>
      <c r="AN58" s="124"/>
      <c r="AO58" s="76"/>
      <c r="AP58" s="67"/>
      <c r="AQ58" s="67"/>
      <c r="AR58" s="67"/>
      <c r="AS58" s="124"/>
      <c r="AT58" s="76"/>
      <c r="AU58" s="67"/>
      <c r="AV58" s="67"/>
      <c r="AW58" s="67"/>
      <c r="AX58" s="67"/>
      <c r="AY58" s="124"/>
    </row>
    <row r="59" spans="2:51" ht="15" customHeight="1" outlineLevel="1">
      <c r="B59" s="59" t="s">
        <v>197</v>
      </c>
      <c r="C59" s="60" t="s">
        <v>1</v>
      </c>
      <c r="D59" s="60" t="s">
        <v>23</v>
      </c>
      <c r="E59" s="59" t="s">
        <v>234</v>
      </c>
      <c r="G59" s="66"/>
      <c r="H59" s="66"/>
      <c r="I59" s="66"/>
      <c r="J59" s="120"/>
      <c r="K59" s="118"/>
      <c r="L59" s="66"/>
      <c r="M59" s="66"/>
      <c r="N59" s="66"/>
      <c r="O59" s="120"/>
      <c r="P59" s="72"/>
      <c r="Q59" s="66"/>
      <c r="R59" s="66"/>
      <c r="S59" s="58"/>
      <c r="T59" s="114"/>
      <c r="U59" s="71"/>
      <c r="V59" s="110"/>
      <c r="W59" s="57"/>
      <c r="X59" s="57"/>
      <c r="Y59" s="124"/>
      <c r="Z59" s="76"/>
      <c r="AA59" s="74"/>
      <c r="AB59" s="79"/>
      <c r="AC59" s="76"/>
      <c r="AD59" s="67"/>
      <c r="AE59" s="128"/>
      <c r="AF59" s="76"/>
      <c r="AG59" s="67"/>
      <c r="AH59" s="67"/>
      <c r="AI59" s="79"/>
      <c r="AJ59" s="124"/>
      <c r="AK59" s="76"/>
      <c r="AL59" s="67"/>
      <c r="AM59" s="67"/>
      <c r="AN59" s="124"/>
      <c r="AO59" s="76"/>
      <c r="AP59" s="67"/>
      <c r="AQ59" s="67"/>
      <c r="AR59" s="67"/>
      <c r="AS59" s="124"/>
      <c r="AT59" s="76"/>
      <c r="AU59" s="67"/>
      <c r="AV59" s="67"/>
      <c r="AW59" s="67"/>
      <c r="AX59" s="67"/>
      <c r="AY59" s="124"/>
    </row>
    <row r="60" spans="2:51" ht="15" customHeight="1" outlineLevel="1">
      <c r="B60" s="59" t="s">
        <v>198</v>
      </c>
      <c r="C60" s="60" t="s">
        <v>1</v>
      </c>
      <c r="D60" s="60" t="s">
        <v>50</v>
      </c>
      <c r="E60" s="59" t="s">
        <v>234</v>
      </c>
      <c r="G60" s="66"/>
      <c r="H60" s="66"/>
      <c r="I60" s="66"/>
      <c r="J60" s="120"/>
      <c r="K60" s="118"/>
      <c r="L60" s="66"/>
      <c r="M60" s="66"/>
      <c r="N60" s="66"/>
      <c r="O60" s="120"/>
      <c r="P60" s="72"/>
      <c r="Q60" s="66"/>
      <c r="R60" s="66"/>
      <c r="S60" s="58"/>
      <c r="T60" s="114"/>
      <c r="U60" s="113"/>
      <c r="V60" s="110"/>
      <c r="W60" s="57"/>
      <c r="X60" s="57"/>
      <c r="Y60" s="124"/>
      <c r="Z60" s="76"/>
      <c r="AA60" s="74"/>
      <c r="AB60" s="79"/>
      <c r="AC60" s="76"/>
      <c r="AD60" s="67"/>
      <c r="AE60" s="128"/>
      <c r="AF60" s="76"/>
      <c r="AG60" s="67"/>
      <c r="AH60" s="67"/>
      <c r="AI60" s="79"/>
      <c r="AJ60" s="124"/>
      <c r="AK60" s="76"/>
      <c r="AL60" s="67"/>
      <c r="AM60" s="67"/>
      <c r="AN60" s="124"/>
      <c r="AO60" s="76"/>
      <c r="AP60" s="67"/>
      <c r="AQ60" s="67"/>
      <c r="AR60" s="67"/>
      <c r="AS60" s="124"/>
      <c r="AT60" s="76"/>
      <c r="AU60" s="67"/>
      <c r="AV60" s="67"/>
      <c r="AW60" s="67"/>
      <c r="AX60" s="67"/>
      <c r="AY60" s="124"/>
    </row>
    <row r="61" spans="2:51" s="8" customFormat="1" ht="15" customHeight="1">
      <c r="B61" s="56" t="s">
        <v>199</v>
      </c>
      <c r="C61" s="189" t="s">
        <v>200</v>
      </c>
      <c r="D61" s="189"/>
      <c r="E61" s="54"/>
      <c r="G61" s="55"/>
      <c r="H61" s="55"/>
      <c r="I61" s="55"/>
      <c r="J61" s="121"/>
      <c r="K61" s="55"/>
      <c r="L61" s="55"/>
      <c r="M61" s="55"/>
      <c r="N61" s="55"/>
      <c r="O61" s="121"/>
      <c r="P61" s="55"/>
      <c r="Q61" s="175" t="s">
        <v>295</v>
      </c>
      <c r="R61" s="55"/>
      <c r="S61" s="55"/>
      <c r="T61" s="121"/>
      <c r="U61" s="55"/>
      <c r="V61" s="111"/>
      <c r="W61" s="111"/>
      <c r="X61" s="111"/>
      <c r="Y61" s="125"/>
      <c r="Z61" s="111"/>
      <c r="AA61" s="111"/>
      <c r="AB61" s="78"/>
      <c r="AC61" s="111"/>
      <c r="AD61" s="111"/>
      <c r="AE61" s="127"/>
      <c r="AF61" s="111"/>
      <c r="AG61" s="111"/>
      <c r="AH61" s="111"/>
      <c r="AI61" s="78"/>
      <c r="AJ61" s="132"/>
      <c r="AK61" s="111"/>
      <c r="AL61" s="111"/>
      <c r="AM61" s="54"/>
      <c r="AN61" s="123"/>
      <c r="AO61" s="54"/>
      <c r="AP61" s="54"/>
      <c r="AQ61" s="54"/>
      <c r="AR61" s="54"/>
      <c r="AS61" s="123"/>
      <c r="AT61" s="54"/>
      <c r="AU61" s="54"/>
      <c r="AV61" s="54"/>
      <c r="AW61" s="54"/>
      <c r="AX61" s="54"/>
      <c r="AY61" s="123"/>
    </row>
    <row r="62" spans="2:51" ht="15" customHeight="1" outlineLevel="1">
      <c r="B62" s="59" t="s">
        <v>201</v>
      </c>
      <c r="C62" s="60" t="s">
        <v>1</v>
      </c>
      <c r="D62" s="60" t="s">
        <v>10</v>
      </c>
      <c r="E62" s="59" t="s">
        <v>234</v>
      </c>
      <c r="G62" s="66"/>
      <c r="H62" s="66"/>
      <c r="I62" s="66"/>
      <c r="J62" s="120"/>
      <c r="K62" s="118"/>
      <c r="L62" s="66"/>
      <c r="M62" s="66"/>
      <c r="N62" s="66"/>
      <c r="O62" s="120"/>
      <c r="P62" s="72"/>
      <c r="Q62" s="84"/>
      <c r="R62" s="66"/>
      <c r="S62" s="58"/>
      <c r="T62" s="114"/>
      <c r="U62" s="71"/>
      <c r="V62" s="110"/>
      <c r="W62" s="110"/>
      <c r="X62" s="57"/>
      <c r="Y62" s="124"/>
      <c r="Z62" s="76"/>
      <c r="AA62" s="74"/>
      <c r="AB62" s="79"/>
      <c r="AC62" s="76"/>
      <c r="AD62" s="67"/>
      <c r="AE62" s="128"/>
      <c r="AF62" s="76"/>
      <c r="AG62" s="67"/>
      <c r="AH62" s="67"/>
      <c r="AI62" s="79"/>
      <c r="AJ62" s="124"/>
      <c r="AK62" s="76"/>
      <c r="AL62" s="67"/>
      <c r="AM62" s="67"/>
      <c r="AN62" s="124"/>
      <c r="AO62" s="76"/>
      <c r="AP62" s="67"/>
      <c r="AQ62" s="67"/>
      <c r="AR62" s="67"/>
      <c r="AS62" s="124"/>
      <c r="AT62" s="76"/>
      <c r="AU62" s="67"/>
      <c r="AV62" s="67"/>
      <c r="AW62" s="67"/>
      <c r="AX62" s="67"/>
      <c r="AY62" s="124"/>
    </row>
    <row r="63" spans="2:51" ht="15" customHeight="1" outlineLevel="1">
      <c r="B63" s="59" t="s">
        <v>202</v>
      </c>
      <c r="C63" s="60" t="s">
        <v>1</v>
      </c>
      <c r="D63" s="60" t="s">
        <v>22</v>
      </c>
      <c r="E63" s="59" t="s">
        <v>234</v>
      </c>
      <c r="G63" s="66"/>
      <c r="H63" s="66"/>
      <c r="I63" s="66"/>
      <c r="J63" s="120"/>
      <c r="K63" s="118"/>
      <c r="L63" s="66"/>
      <c r="M63" s="66"/>
      <c r="N63" s="66"/>
      <c r="O63" s="120"/>
      <c r="P63" s="72"/>
      <c r="Q63" s="66"/>
      <c r="R63" s="66"/>
      <c r="S63" s="58"/>
      <c r="T63" s="114"/>
      <c r="U63" s="71"/>
      <c r="V63" s="57"/>
      <c r="W63" s="110"/>
      <c r="X63" s="57"/>
      <c r="Y63" s="122"/>
      <c r="Z63" s="75"/>
      <c r="AA63" s="73"/>
      <c r="AB63" s="78"/>
      <c r="AC63" s="75"/>
      <c r="AD63" s="57"/>
      <c r="AE63" s="127"/>
      <c r="AF63" s="76"/>
      <c r="AG63" s="67"/>
      <c r="AH63" s="67"/>
      <c r="AI63" s="79"/>
      <c r="AJ63" s="124"/>
      <c r="AK63" s="76"/>
      <c r="AL63" s="67"/>
      <c r="AM63" s="67"/>
      <c r="AN63" s="124"/>
      <c r="AO63" s="76"/>
      <c r="AP63" s="67"/>
      <c r="AQ63" s="67"/>
      <c r="AR63" s="67"/>
      <c r="AS63" s="124"/>
      <c r="AT63" s="76"/>
      <c r="AU63" s="67"/>
      <c r="AV63" s="67"/>
      <c r="AW63" s="67"/>
      <c r="AX63" s="67"/>
      <c r="AY63" s="124"/>
    </row>
    <row r="64" spans="2:51" ht="15" customHeight="1" outlineLevel="1">
      <c r="B64" s="59" t="s">
        <v>203</v>
      </c>
      <c r="C64" s="60" t="s">
        <v>1</v>
      </c>
      <c r="D64" s="60" t="s">
        <v>24</v>
      </c>
      <c r="E64" s="59" t="s">
        <v>234</v>
      </c>
      <c r="G64" s="66"/>
      <c r="H64" s="66"/>
      <c r="I64" s="66"/>
      <c r="J64" s="120"/>
      <c r="K64" s="118"/>
      <c r="L64" s="66"/>
      <c r="M64" s="66"/>
      <c r="N64" s="66"/>
      <c r="O64" s="120"/>
      <c r="P64" s="72"/>
      <c r="Q64" s="66"/>
      <c r="R64" s="66"/>
      <c r="S64" s="58"/>
      <c r="T64" s="114"/>
      <c r="U64" s="71"/>
      <c r="V64" s="57"/>
      <c r="W64" s="110"/>
      <c r="X64" s="110"/>
      <c r="Y64" s="122"/>
      <c r="Z64" s="75"/>
      <c r="AA64" s="73"/>
      <c r="AB64" s="78"/>
      <c r="AC64" s="75"/>
      <c r="AD64" s="57"/>
      <c r="AE64" s="127"/>
      <c r="AF64" s="76"/>
      <c r="AG64" s="67"/>
      <c r="AH64" s="67"/>
      <c r="AI64" s="79"/>
      <c r="AJ64" s="124"/>
      <c r="AK64" s="76"/>
      <c r="AL64" s="67"/>
      <c r="AM64" s="67"/>
      <c r="AN64" s="124"/>
      <c r="AO64" s="76"/>
      <c r="AP64" s="67"/>
      <c r="AQ64" s="67"/>
      <c r="AR64" s="67"/>
      <c r="AS64" s="124"/>
      <c r="AT64" s="76"/>
      <c r="AU64" s="67"/>
      <c r="AV64" s="67"/>
      <c r="AW64" s="67"/>
      <c r="AX64" s="67"/>
      <c r="AY64" s="124"/>
    </row>
    <row r="65" spans="2:51" ht="15" customHeight="1" outlineLevel="1">
      <c r="B65" s="59" t="s">
        <v>204</v>
      </c>
      <c r="C65" s="60" t="s">
        <v>1</v>
      </c>
      <c r="D65" s="60" t="s">
        <v>33</v>
      </c>
      <c r="E65" s="59" t="s">
        <v>234</v>
      </c>
      <c r="G65" s="66"/>
      <c r="H65" s="66"/>
      <c r="I65" s="66"/>
      <c r="J65" s="120"/>
      <c r="K65" s="118"/>
      <c r="L65" s="66"/>
      <c r="M65" s="66"/>
      <c r="N65" s="66"/>
      <c r="O65" s="120"/>
      <c r="P65" s="72"/>
      <c r="Q65" s="66"/>
      <c r="R65" s="66"/>
      <c r="S65" s="58"/>
      <c r="T65" s="114"/>
      <c r="U65" s="71"/>
      <c r="V65" s="57"/>
      <c r="W65" s="57"/>
      <c r="X65" s="110"/>
      <c r="Y65" s="122"/>
      <c r="Z65" s="75"/>
      <c r="AA65" s="73"/>
      <c r="AB65" s="78"/>
      <c r="AC65" s="75"/>
      <c r="AD65" s="57"/>
      <c r="AE65" s="127"/>
      <c r="AF65" s="76"/>
      <c r="AG65" s="67"/>
      <c r="AH65" s="67"/>
      <c r="AI65" s="79"/>
      <c r="AJ65" s="124"/>
      <c r="AK65" s="76"/>
      <c r="AL65" s="67"/>
      <c r="AM65" s="67"/>
      <c r="AN65" s="124"/>
      <c r="AO65" s="76"/>
      <c r="AP65" s="67"/>
      <c r="AQ65" s="67"/>
      <c r="AR65" s="67"/>
      <c r="AS65" s="124"/>
      <c r="AT65" s="76"/>
      <c r="AU65" s="67"/>
      <c r="AV65" s="67"/>
      <c r="AW65" s="67"/>
      <c r="AX65" s="67"/>
      <c r="AY65" s="124"/>
    </row>
    <row r="66" spans="2:51" ht="15" customHeight="1" outlineLevel="1">
      <c r="B66" s="59" t="s">
        <v>205</v>
      </c>
      <c r="C66" s="60" t="s">
        <v>1</v>
      </c>
      <c r="D66" s="60" t="s">
        <v>36</v>
      </c>
      <c r="E66" s="59" t="s">
        <v>234</v>
      </c>
      <c r="G66" s="66"/>
      <c r="H66" s="66"/>
      <c r="I66" s="66"/>
      <c r="J66" s="120"/>
      <c r="K66" s="118"/>
      <c r="L66" s="66"/>
      <c r="M66" s="66"/>
      <c r="N66" s="66"/>
      <c r="O66" s="120"/>
      <c r="P66" s="72"/>
      <c r="Q66" s="66"/>
      <c r="R66" s="66"/>
      <c r="S66" s="58"/>
      <c r="T66" s="114"/>
      <c r="U66" s="71"/>
      <c r="V66" s="57"/>
      <c r="W66" s="57"/>
      <c r="X66" s="110"/>
      <c r="Y66" s="117"/>
      <c r="Z66" s="75"/>
      <c r="AA66" s="73"/>
      <c r="AB66" s="78"/>
      <c r="AC66" s="75"/>
      <c r="AD66" s="57"/>
      <c r="AE66" s="127"/>
      <c r="AF66" s="76"/>
      <c r="AG66" s="67"/>
      <c r="AH66" s="67"/>
      <c r="AI66" s="79"/>
      <c r="AJ66" s="124"/>
      <c r="AK66" s="76"/>
      <c r="AL66" s="67"/>
      <c r="AM66" s="67"/>
      <c r="AN66" s="124"/>
      <c r="AO66" s="76"/>
      <c r="AP66" s="67"/>
      <c r="AQ66" s="67"/>
      <c r="AR66" s="67"/>
      <c r="AS66" s="124"/>
      <c r="AT66" s="76"/>
      <c r="AU66" s="67"/>
      <c r="AV66" s="67"/>
      <c r="AW66" s="67"/>
      <c r="AX66" s="67"/>
      <c r="AY66" s="124"/>
    </row>
    <row r="67" spans="2:51" ht="15" customHeight="1" outlineLevel="1">
      <c r="B67" s="59" t="s">
        <v>206</v>
      </c>
      <c r="C67" s="60" t="s">
        <v>1</v>
      </c>
      <c r="D67" s="60" t="s">
        <v>37</v>
      </c>
      <c r="E67" s="59" t="s">
        <v>234</v>
      </c>
      <c r="G67" s="66"/>
      <c r="H67" s="66"/>
      <c r="I67" s="66"/>
      <c r="J67" s="120"/>
      <c r="K67" s="118"/>
      <c r="L67" s="66"/>
      <c r="M67" s="66"/>
      <c r="N67" s="66"/>
      <c r="O67" s="120"/>
      <c r="P67" s="72"/>
      <c r="Q67" s="66"/>
      <c r="R67" s="66"/>
      <c r="S67" s="66"/>
      <c r="T67" s="120"/>
      <c r="U67" s="72"/>
      <c r="V67" s="67"/>
      <c r="W67" s="67"/>
      <c r="X67" s="57"/>
      <c r="Y67" s="117"/>
      <c r="Z67" s="75"/>
      <c r="AA67" s="73"/>
      <c r="AB67" s="78"/>
      <c r="AC67" s="75"/>
      <c r="AD67" s="57"/>
      <c r="AE67" s="127"/>
      <c r="AF67" s="76"/>
      <c r="AG67" s="67"/>
      <c r="AH67" s="67"/>
      <c r="AI67" s="79"/>
      <c r="AJ67" s="124"/>
      <c r="AK67" s="76"/>
      <c r="AL67" s="67"/>
      <c r="AM67" s="67"/>
      <c r="AN67" s="124"/>
      <c r="AO67" s="76"/>
      <c r="AP67" s="67"/>
      <c r="AQ67" s="67"/>
      <c r="AR67" s="67"/>
      <c r="AS67" s="124"/>
      <c r="AT67" s="76"/>
      <c r="AU67" s="67"/>
      <c r="AV67" s="67"/>
      <c r="AW67" s="67"/>
      <c r="AX67" s="67"/>
      <c r="AY67" s="124"/>
    </row>
    <row r="68" spans="2:51" ht="15" customHeight="1" outlineLevel="1">
      <c r="B68" s="59" t="s">
        <v>207</v>
      </c>
      <c r="C68" s="60" t="s">
        <v>1</v>
      </c>
      <c r="D68" s="60" t="s">
        <v>39</v>
      </c>
      <c r="E68" s="59" t="s">
        <v>234</v>
      </c>
      <c r="G68" s="66"/>
      <c r="H68" s="66"/>
      <c r="I68" s="66"/>
      <c r="J68" s="120"/>
      <c r="K68" s="118"/>
      <c r="L68" s="66"/>
      <c r="M68" s="66"/>
      <c r="N68" s="66"/>
      <c r="O68" s="120"/>
      <c r="P68" s="72"/>
      <c r="Q68" s="66"/>
      <c r="R68" s="66"/>
      <c r="S68" s="66"/>
      <c r="T68" s="120"/>
      <c r="U68" s="72"/>
      <c r="V68" s="67"/>
      <c r="W68" s="67"/>
      <c r="X68" s="57"/>
      <c r="Y68" s="117"/>
      <c r="Z68" s="113"/>
      <c r="AA68" s="73"/>
      <c r="AB68" s="78"/>
      <c r="AC68" s="75"/>
      <c r="AD68" s="57"/>
      <c r="AE68" s="127"/>
      <c r="AF68" s="76"/>
      <c r="AG68" s="67"/>
      <c r="AH68" s="67"/>
      <c r="AI68" s="79"/>
      <c r="AJ68" s="124"/>
      <c r="AK68" s="76"/>
      <c r="AL68" s="67"/>
      <c r="AM68" s="67"/>
      <c r="AN68" s="124"/>
      <c r="AO68" s="76"/>
      <c r="AP68" s="67"/>
      <c r="AQ68" s="67"/>
      <c r="AR68" s="67"/>
      <c r="AS68" s="124"/>
      <c r="AT68" s="76"/>
      <c r="AU68" s="67"/>
      <c r="AV68" s="67"/>
      <c r="AW68" s="67"/>
      <c r="AX68" s="67"/>
      <c r="AY68" s="124"/>
    </row>
    <row r="69" spans="2:51" ht="15" customHeight="1" outlineLevel="1">
      <c r="B69" s="59" t="s">
        <v>208</v>
      </c>
      <c r="C69" s="60" t="s">
        <v>1</v>
      </c>
      <c r="D69" s="60" t="s">
        <v>40</v>
      </c>
      <c r="E69" s="59" t="s">
        <v>234</v>
      </c>
      <c r="G69" s="66"/>
      <c r="H69" s="66"/>
      <c r="I69" s="66"/>
      <c r="J69" s="120"/>
      <c r="K69" s="118"/>
      <c r="L69" s="66"/>
      <c r="M69" s="66"/>
      <c r="N69" s="66"/>
      <c r="O69" s="120"/>
      <c r="P69" s="72"/>
      <c r="Q69" s="66"/>
      <c r="R69" s="66"/>
      <c r="S69" s="66"/>
      <c r="T69" s="120"/>
      <c r="U69" s="72"/>
      <c r="V69" s="67"/>
      <c r="W69" s="67"/>
      <c r="X69" s="57"/>
      <c r="Y69" s="122"/>
      <c r="Z69" s="113"/>
      <c r="AA69" s="73"/>
      <c r="AB69" s="78"/>
      <c r="AC69" s="75"/>
      <c r="AD69" s="57"/>
      <c r="AE69" s="127"/>
      <c r="AF69" s="76"/>
      <c r="AG69" s="67"/>
      <c r="AH69" s="67"/>
      <c r="AI69" s="79"/>
      <c r="AJ69" s="124"/>
      <c r="AK69" s="76"/>
      <c r="AL69" s="67"/>
      <c r="AM69" s="67"/>
      <c r="AN69" s="124"/>
      <c r="AO69" s="76"/>
      <c r="AP69" s="67"/>
      <c r="AQ69" s="67"/>
      <c r="AR69" s="67"/>
      <c r="AS69" s="124"/>
      <c r="AT69" s="76"/>
      <c r="AU69" s="67"/>
      <c r="AV69" s="67"/>
      <c r="AW69" s="67"/>
      <c r="AX69" s="67"/>
      <c r="AY69" s="124"/>
    </row>
    <row r="70" spans="2:51" ht="15" customHeight="1" outlineLevel="1">
      <c r="B70" s="59" t="s">
        <v>209</v>
      </c>
      <c r="C70" s="60" t="s">
        <v>1</v>
      </c>
      <c r="D70" s="60" t="s">
        <v>41</v>
      </c>
      <c r="E70" s="59" t="s">
        <v>234</v>
      </c>
      <c r="G70" s="66"/>
      <c r="H70" s="66"/>
      <c r="I70" s="66"/>
      <c r="J70" s="120"/>
      <c r="K70" s="118"/>
      <c r="L70" s="66"/>
      <c r="M70" s="66"/>
      <c r="N70" s="66"/>
      <c r="O70" s="120"/>
      <c r="P70" s="72"/>
      <c r="Q70" s="66"/>
      <c r="R70" s="66"/>
      <c r="S70" s="66"/>
      <c r="T70" s="120"/>
      <c r="U70" s="72"/>
      <c r="V70" s="67"/>
      <c r="W70" s="67"/>
      <c r="X70" s="57"/>
      <c r="Y70" s="122"/>
      <c r="Z70" s="113"/>
      <c r="AA70" s="110"/>
      <c r="AB70" s="78"/>
      <c r="AC70" s="75"/>
      <c r="AD70" s="57"/>
      <c r="AE70" s="127"/>
      <c r="AF70" s="76"/>
      <c r="AG70" s="67"/>
      <c r="AH70" s="67"/>
      <c r="AI70" s="79"/>
      <c r="AJ70" s="124"/>
      <c r="AK70" s="76"/>
      <c r="AL70" s="67"/>
      <c r="AM70" s="67"/>
      <c r="AN70" s="124"/>
      <c r="AO70" s="76"/>
      <c r="AP70" s="67"/>
      <c r="AQ70" s="67"/>
      <c r="AR70" s="67"/>
      <c r="AS70" s="124"/>
      <c r="AT70" s="76"/>
      <c r="AU70" s="67"/>
      <c r="AV70" s="67"/>
      <c r="AW70" s="67"/>
      <c r="AX70" s="67"/>
      <c r="AY70" s="124"/>
    </row>
    <row r="71" spans="2:51" ht="15" customHeight="1" outlineLevel="1">
      <c r="B71" s="59" t="s">
        <v>210</v>
      </c>
      <c r="C71" s="60" t="s">
        <v>1</v>
      </c>
      <c r="D71" s="60" t="s">
        <v>42</v>
      </c>
      <c r="E71" s="59" t="s">
        <v>234</v>
      </c>
      <c r="G71" s="66"/>
      <c r="H71" s="66"/>
      <c r="I71" s="66"/>
      <c r="J71" s="120"/>
      <c r="K71" s="118"/>
      <c r="L71" s="66"/>
      <c r="M71" s="66"/>
      <c r="N71" s="66"/>
      <c r="O71" s="120"/>
      <c r="P71" s="72"/>
      <c r="Q71" s="66"/>
      <c r="R71" s="66"/>
      <c r="S71" s="66"/>
      <c r="T71" s="120"/>
      <c r="U71" s="72"/>
      <c r="V71" s="67"/>
      <c r="W71" s="67"/>
      <c r="X71" s="57"/>
      <c r="Y71" s="122"/>
      <c r="Z71" s="75"/>
      <c r="AA71" s="110"/>
      <c r="AB71" s="78"/>
      <c r="AC71" s="75"/>
      <c r="AD71" s="57"/>
      <c r="AE71" s="127"/>
      <c r="AF71" s="76"/>
      <c r="AG71" s="67"/>
      <c r="AH71" s="67"/>
      <c r="AI71" s="79"/>
      <c r="AJ71" s="124"/>
      <c r="AK71" s="76"/>
      <c r="AL71" s="67"/>
      <c r="AM71" s="67"/>
      <c r="AN71" s="124"/>
      <c r="AO71" s="76"/>
      <c r="AP71" s="67"/>
      <c r="AQ71" s="67"/>
      <c r="AR71" s="67"/>
      <c r="AS71" s="124"/>
      <c r="AT71" s="76"/>
      <c r="AU71" s="67"/>
      <c r="AV71" s="67"/>
      <c r="AW71" s="67"/>
      <c r="AX71" s="67"/>
      <c r="AY71" s="124"/>
    </row>
    <row r="72" spans="2:51" ht="15" customHeight="1" outlineLevel="1">
      <c r="B72" s="59" t="s">
        <v>211</v>
      </c>
      <c r="C72" s="60" t="s">
        <v>1</v>
      </c>
      <c r="D72" s="60" t="s">
        <v>43</v>
      </c>
      <c r="E72" s="59" t="s">
        <v>234</v>
      </c>
      <c r="G72" s="66"/>
      <c r="H72" s="66"/>
      <c r="I72" s="66"/>
      <c r="J72" s="120"/>
      <c r="K72" s="118"/>
      <c r="L72" s="66"/>
      <c r="M72" s="66"/>
      <c r="N72" s="66"/>
      <c r="O72" s="120"/>
      <c r="P72" s="72"/>
      <c r="Q72" s="66"/>
      <c r="R72" s="66"/>
      <c r="S72" s="66"/>
      <c r="T72" s="120"/>
      <c r="U72" s="72"/>
      <c r="V72" s="67"/>
      <c r="W72" s="67"/>
      <c r="X72" s="57"/>
      <c r="Y72" s="122"/>
      <c r="Z72" s="75"/>
      <c r="AA72" s="73"/>
      <c r="AB72" s="78"/>
      <c r="AC72" s="110"/>
      <c r="AD72" s="57"/>
      <c r="AE72" s="127"/>
      <c r="AF72" s="76"/>
      <c r="AG72" s="67"/>
      <c r="AH72" s="67"/>
      <c r="AI72" s="79"/>
      <c r="AJ72" s="124"/>
      <c r="AK72" s="76"/>
      <c r="AL72" s="67"/>
      <c r="AM72" s="67"/>
      <c r="AN72" s="124"/>
      <c r="AO72" s="76"/>
      <c r="AP72" s="67"/>
      <c r="AQ72" s="67"/>
      <c r="AR72" s="67"/>
      <c r="AS72" s="124"/>
      <c r="AT72" s="76"/>
      <c r="AU72" s="67"/>
      <c r="AV72" s="67"/>
      <c r="AW72" s="67"/>
      <c r="AX72" s="67"/>
      <c r="AY72" s="124"/>
    </row>
    <row r="73" spans="2:51" ht="15" customHeight="1" outlineLevel="1">
      <c r="B73" s="59" t="s">
        <v>212</v>
      </c>
      <c r="C73" s="60" t="s">
        <v>1</v>
      </c>
      <c r="D73" s="60" t="s">
        <v>47</v>
      </c>
      <c r="E73" s="59" t="s">
        <v>234</v>
      </c>
      <c r="G73" s="66"/>
      <c r="H73" s="66"/>
      <c r="I73" s="66"/>
      <c r="J73" s="120"/>
      <c r="K73" s="118"/>
      <c r="L73" s="66"/>
      <c r="M73" s="66"/>
      <c r="N73" s="66"/>
      <c r="O73" s="120"/>
      <c r="P73" s="72"/>
      <c r="Q73" s="66"/>
      <c r="R73" s="66"/>
      <c r="S73" s="66"/>
      <c r="T73" s="120"/>
      <c r="U73" s="72"/>
      <c r="V73" s="67"/>
      <c r="W73" s="67"/>
      <c r="X73" s="57"/>
      <c r="Y73" s="122"/>
      <c r="Z73" s="75"/>
      <c r="AA73" s="73"/>
      <c r="AB73" s="78"/>
      <c r="AC73" s="110"/>
      <c r="AD73" s="57"/>
      <c r="AE73" s="127"/>
      <c r="AF73" s="76"/>
      <c r="AG73" s="67"/>
      <c r="AH73" s="67"/>
      <c r="AI73" s="79"/>
      <c r="AJ73" s="124"/>
      <c r="AK73" s="76"/>
      <c r="AL73" s="67"/>
      <c r="AM73" s="67"/>
      <c r="AN73" s="124"/>
      <c r="AO73" s="76"/>
      <c r="AP73" s="67"/>
      <c r="AQ73" s="67"/>
      <c r="AR73" s="67"/>
      <c r="AS73" s="124"/>
      <c r="AT73" s="76"/>
      <c r="AU73" s="67"/>
      <c r="AV73" s="67"/>
      <c r="AW73" s="67"/>
      <c r="AX73" s="67"/>
      <c r="AY73" s="124"/>
    </row>
    <row r="74" spans="2:51" ht="15" customHeight="1" outlineLevel="1">
      <c r="B74" s="59" t="s">
        <v>213</v>
      </c>
      <c r="C74" s="60" t="s">
        <v>1</v>
      </c>
      <c r="D74" s="60" t="s">
        <v>51</v>
      </c>
      <c r="E74" s="59" t="s">
        <v>234</v>
      </c>
      <c r="G74" s="66"/>
      <c r="H74" s="66"/>
      <c r="I74" s="66"/>
      <c r="J74" s="120"/>
      <c r="K74" s="118"/>
      <c r="L74" s="66"/>
      <c r="M74" s="66"/>
      <c r="N74" s="66"/>
      <c r="O74" s="120"/>
      <c r="P74" s="72"/>
      <c r="Q74" s="66"/>
      <c r="R74" s="66"/>
      <c r="S74" s="66"/>
      <c r="T74" s="120"/>
      <c r="U74" s="72"/>
      <c r="V74" s="67"/>
      <c r="W74" s="67"/>
      <c r="X74" s="57"/>
      <c r="Y74" s="122"/>
      <c r="Z74" s="75"/>
      <c r="AA74" s="73"/>
      <c r="AB74" s="78"/>
      <c r="AC74" s="110"/>
      <c r="AD74" s="110"/>
      <c r="AE74" s="127"/>
      <c r="AF74" s="75"/>
      <c r="AG74" s="57"/>
      <c r="AH74" s="57"/>
      <c r="AI74" s="78"/>
      <c r="AJ74" s="124"/>
      <c r="AK74" s="76"/>
      <c r="AL74" s="67"/>
      <c r="AM74" s="67"/>
      <c r="AN74" s="124"/>
      <c r="AO74" s="76"/>
      <c r="AP74" s="67"/>
      <c r="AQ74" s="67"/>
      <c r="AR74" s="67"/>
      <c r="AS74" s="124"/>
      <c r="AT74" s="76"/>
      <c r="AU74" s="67"/>
      <c r="AV74" s="67"/>
      <c r="AW74" s="67"/>
      <c r="AX74" s="67"/>
      <c r="AY74" s="124"/>
    </row>
    <row r="75" spans="2:51" ht="15" customHeight="1" outlineLevel="1">
      <c r="B75" s="59" t="s">
        <v>214</v>
      </c>
      <c r="C75" s="60" t="s">
        <v>55</v>
      </c>
      <c r="D75" s="60" t="s">
        <v>36</v>
      </c>
      <c r="E75" s="59" t="s">
        <v>234</v>
      </c>
      <c r="G75" s="66"/>
      <c r="H75" s="66"/>
      <c r="I75" s="66"/>
      <c r="J75" s="120"/>
      <c r="K75" s="118"/>
      <c r="L75" s="66"/>
      <c r="M75" s="66"/>
      <c r="N75" s="66"/>
      <c r="O75" s="120"/>
      <c r="P75" s="72"/>
      <c r="Q75" s="66"/>
      <c r="R75" s="66"/>
      <c r="S75" s="66"/>
      <c r="T75" s="120"/>
      <c r="U75" s="72"/>
      <c r="V75" s="67"/>
      <c r="W75" s="67"/>
      <c r="X75" s="57"/>
      <c r="Y75" s="122"/>
      <c r="Z75" s="75"/>
      <c r="AA75" s="73"/>
      <c r="AB75" s="78"/>
      <c r="AC75" s="75"/>
      <c r="AD75" s="110"/>
      <c r="AE75" s="127"/>
      <c r="AF75" s="75"/>
      <c r="AG75" s="57"/>
      <c r="AH75" s="57"/>
      <c r="AI75" s="78"/>
      <c r="AJ75" s="124"/>
      <c r="AK75" s="76"/>
      <c r="AL75" s="67"/>
      <c r="AM75" s="67"/>
      <c r="AN75" s="124"/>
      <c r="AO75" s="76"/>
      <c r="AP75" s="67"/>
      <c r="AQ75" s="67"/>
      <c r="AR75" s="67"/>
      <c r="AS75" s="124"/>
      <c r="AT75" s="76"/>
      <c r="AU75" s="67"/>
      <c r="AV75" s="67"/>
      <c r="AW75" s="67"/>
      <c r="AX75" s="67"/>
      <c r="AY75" s="124"/>
    </row>
    <row r="76" spans="2:51" ht="15" customHeight="1" outlineLevel="1">
      <c r="B76" s="59" t="s">
        <v>215</v>
      </c>
      <c r="C76" s="60" t="s">
        <v>55</v>
      </c>
      <c r="D76" s="60" t="s">
        <v>38</v>
      </c>
      <c r="E76" s="59" t="s">
        <v>234</v>
      </c>
      <c r="G76" s="66"/>
      <c r="H76" s="66"/>
      <c r="I76" s="66"/>
      <c r="J76" s="120"/>
      <c r="K76" s="118"/>
      <c r="L76" s="66"/>
      <c r="M76" s="66"/>
      <c r="N76" s="66"/>
      <c r="O76" s="120"/>
      <c r="P76" s="72"/>
      <c r="Q76" s="66"/>
      <c r="R76" s="66"/>
      <c r="S76" s="66"/>
      <c r="T76" s="120"/>
      <c r="U76" s="72"/>
      <c r="V76" s="67"/>
      <c r="W76" s="67"/>
      <c r="X76" s="57"/>
      <c r="Y76" s="122"/>
      <c r="Z76" s="75"/>
      <c r="AA76" s="73"/>
      <c r="AB76" s="78"/>
      <c r="AC76" s="75"/>
      <c r="AD76" s="57"/>
      <c r="AE76" s="127"/>
      <c r="AF76" s="113"/>
      <c r="AG76" s="57"/>
      <c r="AH76" s="57"/>
      <c r="AI76" s="78"/>
      <c r="AJ76" s="124"/>
      <c r="AK76" s="76"/>
      <c r="AL76" s="67"/>
      <c r="AM76" s="67"/>
      <c r="AN76" s="124"/>
      <c r="AO76" s="76"/>
      <c r="AP76" s="67"/>
      <c r="AQ76" s="67"/>
      <c r="AR76" s="67"/>
      <c r="AS76" s="124"/>
      <c r="AT76" s="76"/>
      <c r="AU76" s="67"/>
      <c r="AV76" s="67"/>
      <c r="AW76" s="67"/>
      <c r="AX76" s="67"/>
      <c r="AY76" s="124"/>
    </row>
    <row r="77" spans="2:51" ht="15" customHeight="1" outlineLevel="1">
      <c r="B77" s="59" t="s">
        <v>216</v>
      </c>
      <c r="C77" s="60" t="s">
        <v>55</v>
      </c>
      <c r="D77" s="60" t="s">
        <v>56</v>
      </c>
      <c r="E77" s="59" t="s">
        <v>234</v>
      </c>
      <c r="G77" s="66"/>
      <c r="H77" s="66"/>
      <c r="I77" s="66"/>
      <c r="J77" s="120"/>
      <c r="K77" s="118"/>
      <c r="L77" s="66"/>
      <c r="M77" s="66"/>
      <c r="N77" s="66"/>
      <c r="O77" s="120"/>
      <c r="P77" s="72"/>
      <c r="Q77" s="66"/>
      <c r="R77" s="66"/>
      <c r="S77" s="66"/>
      <c r="T77" s="120"/>
      <c r="U77" s="72"/>
      <c r="V77" s="67"/>
      <c r="W77" s="67"/>
      <c r="X77" s="67"/>
      <c r="Y77" s="124"/>
      <c r="Z77" s="76"/>
      <c r="AA77" s="74"/>
      <c r="AB77" s="79"/>
      <c r="AC77" s="76"/>
      <c r="AD77" s="67"/>
      <c r="AE77" s="128"/>
      <c r="AF77" s="113"/>
      <c r="AG77" s="57"/>
      <c r="AH77" s="57"/>
      <c r="AI77" s="78"/>
      <c r="AJ77" s="124"/>
      <c r="AK77" s="76"/>
      <c r="AL77" s="67"/>
      <c r="AM77" s="67"/>
      <c r="AN77" s="124"/>
      <c r="AO77" s="76"/>
      <c r="AP77" s="67"/>
      <c r="AQ77" s="67"/>
      <c r="AR77" s="67"/>
      <c r="AS77" s="124"/>
      <c r="AT77" s="76"/>
      <c r="AU77" s="67"/>
      <c r="AV77" s="67"/>
      <c r="AW77" s="67"/>
      <c r="AX77" s="67"/>
      <c r="AY77" s="124"/>
    </row>
    <row r="78" spans="2:51" ht="15" customHeight="1" outlineLevel="1">
      <c r="B78" s="59" t="s">
        <v>217</v>
      </c>
      <c r="C78" s="60" t="s">
        <v>55</v>
      </c>
      <c r="D78" s="60" t="s">
        <v>57</v>
      </c>
      <c r="E78" s="59" t="s">
        <v>234</v>
      </c>
      <c r="G78" s="66"/>
      <c r="H78" s="66"/>
      <c r="I78" s="66"/>
      <c r="J78" s="120"/>
      <c r="K78" s="118"/>
      <c r="L78" s="66"/>
      <c r="M78" s="66"/>
      <c r="N78" s="66"/>
      <c r="O78" s="120"/>
      <c r="P78" s="72"/>
      <c r="Q78" s="66"/>
      <c r="R78" s="66"/>
      <c r="S78" s="66"/>
      <c r="T78" s="120"/>
      <c r="U78" s="72"/>
      <c r="V78" s="67"/>
      <c r="W78" s="67"/>
      <c r="X78" s="67"/>
      <c r="Y78" s="124"/>
      <c r="Z78" s="76"/>
      <c r="AA78" s="74"/>
      <c r="AB78" s="79"/>
      <c r="AC78" s="76"/>
      <c r="AD78" s="67"/>
      <c r="AE78" s="128"/>
      <c r="AF78" s="113"/>
      <c r="AG78" s="57"/>
      <c r="AH78" s="57"/>
      <c r="AI78" s="78"/>
      <c r="AJ78" s="124"/>
      <c r="AK78" s="76"/>
      <c r="AL78" s="67"/>
      <c r="AM78" s="67"/>
      <c r="AN78" s="124"/>
      <c r="AO78" s="76"/>
      <c r="AP78" s="67"/>
      <c r="AQ78" s="67"/>
      <c r="AR78" s="67"/>
      <c r="AS78" s="124"/>
      <c r="AT78" s="76"/>
      <c r="AU78" s="67"/>
      <c r="AV78" s="67"/>
      <c r="AW78" s="67"/>
      <c r="AX78" s="67"/>
      <c r="AY78" s="124"/>
    </row>
    <row r="79" spans="2:51" ht="15" customHeight="1" outlineLevel="1">
      <c r="B79" s="59" t="s">
        <v>218</v>
      </c>
      <c r="C79" s="60" t="s">
        <v>55</v>
      </c>
      <c r="D79" s="60" t="s">
        <v>58</v>
      </c>
      <c r="E79" s="59" t="s">
        <v>234</v>
      </c>
      <c r="G79" s="66"/>
      <c r="H79" s="66"/>
      <c r="I79" s="66"/>
      <c r="J79" s="120"/>
      <c r="K79" s="118"/>
      <c r="L79" s="66"/>
      <c r="M79" s="66"/>
      <c r="N79" s="66"/>
      <c r="O79" s="120"/>
      <c r="P79" s="72"/>
      <c r="Q79" s="66"/>
      <c r="R79" s="66"/>
      <c r="S79" s="66"/>
      <c r="T79" s="120"/>
      <c r="U79" s="72"/>
      <c r="V79" s="67"/>
      <c r="W79" s="67"/>
      <c r="X79" s="67"/>
      <c r="Y79" s="124"/>
      <c r="Z79" s="76"/>
      <c r="AA79" s="74"/>
      <c r="AB79" s="79"/>
      <c r="AC79" s="76"/>
      <c r="AD79" s="67"/>
      <c r="AE79" s="128"/>
      <c r="AF79" s="113"/>
      <c r="AG79" s="57"/>
      <c r="AH79" s="57"/>
      <c r="AI79" s="78"/>
      <c r="AJ79" s="124"/>
      <c r="AK79" s="76"/>
      <c r="AL79" s="67"/>
      <c r="AM79" s="67"/>
      <c r="AN79" s="124"/>
      <c r="AO79" s="76"/>
      <c r="AP79" s="67"/>
      <c r="AQ79" s="67"/>
      <c r="AR79" s="67"/>
      <c r="AS79" s="124"/>
      <c r="AT79" s="76"/>
      <c r="AU79" s="67"/>
      <c r="AV79" s="67"/>
      <c r="AW79" s="67"/>
      <c r="AX79" s="67"/>
      <c r="AY79" s="124"/>
    </row>
    <row r="80" spans="2:51" ht="15" customHeight="1" outlineLevel="1">
      <c r="B80" s="59" t="s">
        <v>219</v>
      </c>
      <c r="C80" s="60" t="s">
        <v>55</v>
      </c>
      <c r="D80" s="60" t="s">
        <v>60</v>
      </c>
      <c r="E80" s="59" t="s">
        <v>234</v>
      </c>
      <c r="G80" s="66"/>
      <c r="H80" s="66"/>
      <c r="I80" s="66"/>
      <c r="J80" s="120"/>
      <c r="K80" s="118"/>
      <c r="L80" s="66"/>
      <c r="M80" s="66"/>
      <c r="N80" s="66"/>
      <c r="O80" s="120"/>
      <c r="P80" s="72"/>
      <c r="Q80" s="66"/>
      <c r="R80" s="66"/>
      <c r="S80" s="66"/>
      <c r="T80" s="120"/>
      <c r="U80" s="72"/>
      <c r="V80" s="67"/>
      <c r="W80" s="67"/>
      <c r="X80" s="67"/>
      <c r="Y80" s="124"/>
      <c r="Z80" s="76"/>
      <c r="AA80" s="74"/>
      <c r="AB80" s="79"/>
      <c r="AC80" s="76"/>
      <c r="AD80" s="67"/>
      <c r="AE80" s="128"/>
      <c r="AF80" s="113"/>
      <c r="AG80" s="110"/>
      <c r="AH80" s="57"/>
      <c r="AI80" s="78"/>
      <c r="AJ80" s="124"/>
      <c r="AK80" s="76"/>
      <c r="AL80" s="67"/>
      <c r="AM80" s="67"/>
      <c r="AN80" s="124"/>
      <c r="AO80" s="76"/>
      <c r="AP80" s="67"/>
      <c r="AQ80" s="67"/>
      <c r="AR80" s="67"/>
      <c r="AS80" s="124"/>
      <c r="AT80" s="76"/>
      <c r="AU80" s="67"/>
      <c r="AV80" s="67"/>
      <c r="AW80" s="67"/>
      <c r="AX80" s="67"/>
      <c r="AY80" s="124"/>
    </row>
    <row r="81" spans="2:51" ht="15" customHeight="1" outlineLevel="1">
      <c r="B81" s="59" t="s">
        <v>220</v>
      </c>
      <c r="C81" s="60" t="s">
        <v>61</v>
      </c>
      <c r="D81" s="60" t="s">
        <v>90</v>
      </c>
      <c r="E81" s="59" t="s">
        <v>234</v>
      </c>
      <c r="G81" s="66"/>
      <c r="H81" s="66"/>
      <c r="I81" s="66"/>
      <c r="J81" s="120"/>
      <c r="K81" s="118"/>
      <c r="L81" s="66"/>
      <c r="M81" s="66"/>
      <c r="N81" s="66"/>
      <c r="O81" s="120"/>
      <c r="P81" s="72"/>
      <c r="Q81" s="66"/>
      <c r="R81" s="66"/>
      <c r="S81" s="66"/>
      <c r="T81" s="120"/>
      <c r="U81" s="72"/>
      <c r="V81" s="67"/>
      <c r="W81" s="67"/>
      <c r="X81" s="67"/>
      <c r="Y81" s="124"/>
      <c r="Z81" s="76"/>
      <c r="AA81" s="74"/>
      <c r="AB81" s="79"/>
      <c r="AC81" s="76"/>
      <c r="AD81" s="67"/>
      <c r="AE81" s="128"/>
      <c r="AF81" s="75"/>
      <c r="AG81" s="110"/>
      <c r="AH81" s="57"/>
      <c r="AI81" s="78"/>
      <c r="AJ81" s="124"/>
      <c r="AK81" s="76"/>
      <c r="AL81" s="67"/>
      <c r="AM81" s="67"/>
      <c r="AN81" s="124"/>
      <c r="AO81" s="76"/>
      <c r="AP81" s="67"/>
      <c r="AQ81" s="67"/>
      <c r="AR81" s="67"/>
      <c r="AS81" s="124"/>
      <c r="AT81" s="76"/>
      <c r="AU81" s="67"/>
      <c r="AV81" s="67"/>
      <c r="AW81" s="67"/>
      <c r="AX81" s="67"/>
      <c r="AY81" s="124"/>
    </row>
    <row r="82" spans="2:51" ht="15" customHeight="1" outlineLevel="1">
      <c r="B82" s="59" t="s">
        <v>221</v>
      </c>
      <c r="C82" s="60" t="s">
        <v>61</v>
      </c>
      <c r="D82" s="60" t="s">
        <v>36</v>
      </c>
      <c r="E82" s="59" t="s">
        <v>234</v>
      </c>
      <c r="G82" s="66"/>
      <c r="H82" s="66"/>
      <c r="I82" s="66"/>
      <c r="J82" s="120"/>
      <c r="K82" s="118"/>
      <c r="L82" s="66"/>
      <c r="M82" s="66"/>
      <c r="N82" s="66"/>
      <c r="O82" s="120"/>
      <c r="P82" s="72"/>
      <c r="Q82" s="66"/>
      <c r="R82" s="66"/>
      <c r="S82" s="66"/>
      <c r="T82" s="120"/>
      <c r="U82" s="72"/>
      <c r="V82" s="67"/>
      <c r="W82" s="67"/>
      <c r="X82" s="67"/>
      <c r="Y82" s="124"/>
      <c r="Z82" s="76"/>
      <c r="AA82" s="74"/>
      <c r="AB82" s="79"/>
      <c r="AC82" s="76"/>
      <c r="AD82" s="67"/>
      <c r="AE82" s="128"/>
      <c r="AF82" s="75"/>
      <c r="AG82" s="110"/>
      <c r="AH82" s="57"/>
      <c r="AI82" s="78"/>
      <c r="AJ82" s="124"/>
      <c r="AK82" s="76"/>
      <c r="AL82" s="67"/>
      <c r="AM82" s="67"/>
      <c r="AN82" s="124"/>
      <c r="AO82" s="76"/>
      <c r="AP82" s="67"/>
      <c r="AQ82" s="67"/>
      <c r="AR82" s="67"/>
      <c r="AS82" s="124"/>
      <c r="AT82" s="76"/>
      <c r="AU82" s="67"/>
      <c r="AV82" s="67"/>
      <c r="AW82" s="67"/>
      <c r="AX82" s="67"/>
      <c r="AY82" s="124"/>
    </row>
    <row r="83" spans="2:51" ht="15" customHeight="1" outlineLevel="1">
      <c r="B83" s="59" t="s">
        <v>222</v>
      </c>
      <c r="C83" s="60" t="s">
        <v>61</v>
      </c>
      <c r="D83" s="60" t="s">
        <v>38</v>
      </c>
      <c r="E83" s="59" t="s">
        <v>234</v>
      </c>
      <c r="G83" s="66"/>
      <c r="H83" s="66"/>
      <c r="I83" s="66"/>
      <c r="J83" s="120"/>
      <c r="K83" s="118"/>
      <c r="L83" s="66"/>
      <c r="M83" s="66"/>
      <c r="N83" s="66"/>
      <c r="O83" s="120"/>
      <c r="P83" s="72"/>
      <c r="Q83" s="66"/>
      <c r="R83" s="66"/>
      <c r="S83" s="66"/>
      <c r="T83" s="120"/>
      <c r="U83" s="72"/>
      <c r="V83" s="67"/>
      <c r="W83" s="67"/>
      <c r="X83" s="67"/>
      <c r="Y83" s="124"/>
      <c r="Z83" s="76"/>
      <c r="AA83" s="74"/>
      <c r="AB83" s="79"/>
      <c r="AC83" s="76"/>
      <c r="AD83" s="67"/>
      <c r="AE83" s="128"/>
      <c r="AF83" s="75"/>
      <c r="AG83" s="110"/>
      <c r="AH83" s="110"/>
      <c r="AI83" s="78"/>
      <c r="AJ83" s="124"/>
      <c r="AK83" s="76"/>
      <c r="AL83" s="67"/>
      <c r="AM83" s="67"/>
      <c r="AN83" s="124"/>
      <c r="AO83" s="76"/>
      <c r="AP83" s="67"/>
      <c r="AQ83" s="67"/>
      <c r="AR83" s="67"/>
      <c r="AS83" s="124"/>
      <c r="AT83" s="76"/>
      <c r="AU83" s="67"/>
      <c r="AV83" s="67"/>
      <c r="AW83" s="67"/>
      <c r="AX83" s="67"/>
      <c r="AY83" s="124"/>
    </row>
    <row r="84" spans="2:51" ht="15" customHeight="1" outlineLevel="1">
      <c r="B84" s="59" t="s">
        <v>223</v>
      </c>
      <c r="C84" s="60" t="s">
        <v>61</v>
      </c>
      <c r="D84" s="60" t="s">
        <v>54</v>
      </c>
      <c r="E84" s="59" t="s">
        <v>234</v>
      </c>
      <c r="G84" s="66"/>
      <c r="H84" s="66"/>
      <c r="I84" s="66"/>
      <c r="J84" s="120"/>
      <c r="K84" s="118"/>
      <c r="L84" s="66"/>
      <c r="M84" s="66"/>
      <c r="N84" s="66"/>
      <c r="O84" s="120"/>
      <c r="P84" s="72"/>
      <c r="Q84" s="66"/>
      <c r="R84" s="66"/>
      <c r="S84" s="66"/>
      <c r="T84" s="120"/>
      <c r="U84" s="72"/>
      <c r="V84" s="67"/>
      <c r="W84" s="67"/>
      <c r="X84" s="67"/>
      <c r="Y84" s="124"/>
      <c r="Z84" s="76"/>
      <c r="AA84" s="74"/>
      <c r="AB84" s="79"/>
      <c r="AC84" s="76"/>
      <c r="AD84" s="67"/>
      <c r="AE84" s="128"/>
      <c r="AF84" s="75"/>
      <c r="AG84" s="57"/>
      <c r="AH84" s="110"/>
      <c r="AI84" s="78"/>
      <c r="AJ84" s="124"/>
      <c r="AK84" s="76"/>
      <c r="AL84" s="67"/>
      <c r="AM84" s="67"/>
      <c r="AN84" s="124"/>
      <c r="AO84" s="76"/>
      <c r="AP84" s="67"/>
      <c r="AQ84" s="67"/>
      <c r="AR84" s="67"/>
      <c r="AS84" s="124"/>
      <c r="AT84" s="76"/>
      <c r="AU84" s="67"/>
      <c r="AV84" s="67"/>
      <c r="AW84" s="67"/>
      <c r="AX84" s="67"/>
      <c r="AY84" s="124"/>
    </row>
    <row r="85" spans="2:51" ht="15" customHeight="1" outlineLevel="1">
      <c r="B85" s="59" t="s">
        <v>224</v>
      </c>
      <c r="C85" s="60" t="s">
        <v>61</v>
      </c>
      <c r="D85" s="60" t="s">
        <v>56</v>
      </c>
      <c r="E85" s="59" t="s">
        <v>234</v>
      </c>
      <c r="G85" s="66"/>
      <c r="H85" s="66"/>
      <c r="I85" s="66"/>
      <c r="J85" s="120"/>
      <c r="K85" s="118"/>
      <c r="L85" s="66"/>
      <c r="M85" s="66"/>
      <c r="N85" s="66"/>
      <c r="O85" s="120"/>
      <c r="P85" s="72"/>
      <c r="Q85" s="66"/>
      <c r="R85" s="66"/>
      <c r="S85" s="66"/>
      <c r="T85" s="120"/>
      <c r="U85" s="72"/>
      <c r="V85" s="67"/>
      <c r="W85" s="67"/>
      <c r="X85" s="67"/>
      <c r="Y85" s="124"/>
      <c r="Z85" s="76"/>
      <c r="AA85" s="74"/>
      <c r="AB85" s="79"/>
      <c r="AC85" s="76"/>
      <c r="AD85" s="67"/>
      <c r="AE85" s="128"/>
      <c r="AF85" s="75"/>
      <c r="AG85" s="57"/>
      <c r="AH85" s="110"/>
      <c r="AI85" s="78"/>
      <c r="AJ85" s="122"/>
      <c r="AK85" s="75"/>
      <c r="AL85" s="57"/>
      <c r="AM85" s="57"/>
      <c r="AN85" s="122"/>
      <c r="AO85" s="75"/>
      <c r="AP85" s="67"/>
      <c r="AQ85" s="67"/>
      <c r="AR85" s="67"/>
      <c r="AS85" s="124"/>
      <c r="AT85" s="76"/>
      <c r="AU85" s="67"/>
      <c r="AV85" s="67"/>
      <c r="AW85" s="67"/>
      <c r="AX85" s="67"/>
      <c r="AY85" s="124"/>
    </row>
    <row r="86" spans="2:51" ht="15" customHeight="1" outlineLevel="1">
      <c r="B86" s="59" t="s">
        <v>225</v>
      </c>
      <c r="C86" s="60" t="s">
        <v>61</v>
      </c>
      <c r="D86" s="60" t="s">
        <v>62</v>
      </c>
      <c r="E86" s="59" t="s">
        <v>234</v>
      </c>
      <c r="G86" s="66"/>
      <c r="H86" s="66"/>
      <c r="I86" s="66"/>
      <c r="J86" s="120"/>
      <c r="K86" s="118"/>
      <c r="L86" s="66"/>
      <c r="M86" s="66"/>
      <c r="N86" s="66"/>
      <c r="O86" s="120"/>
      <c r="P86" s="72"/>
      <c r="Q86" s="66"/>
      <c r="R86" s="66"/>
      <c r="S86" s="66"/>
      <c r="T86" s="120"/>
      <c r="U86" s="72"/>
      <c r="V86" s="67"/>
      <c r="W86" s="67"/>
      <c r="X86" s="67"/>
      <c r="Y86" s="124"/>
      <c r="Z86" s="76"/>
      <c r="AA86" s="74"/>
      <c r="AB86" s="79"/>
      <c r="AC86" s="76"/>
      <c r="AD86" s="67"/>
      <c r="AE86" s="128"/>
      <c r="AF86" s="75"/>
      <c r="AG86" s="57"/>
      <c r="AH86" s="110"/>
      <c r="AI86" s="78"/>
      <c r="AJ86" s="117"/>
      <c r="AK86" s="75"/>
      <c r="AL86" s="57"/>
      <c r="AM86" s="57"/>
      <c r="AN86" s="122"/>
      <c r="AO86" s="75"/>
      <c r="AP86" s="67"/>
      <c r="AQ86" s="67"/>
      <c r="AR86" s="67"/>
      <c r="AS86" s="124"/>
      <c r="AT86" s="76"/>
      <c r="AU86" s="67"/>
      <c r="AV86" s="67"/>
      <c r="AW86" s="67"/>
      <c r="AX86" s="67"/>
      <c r="AY86" s="124"/>
    </row>
    <row r="87" spans="2:51" ht="15" customHeight="1" outlineLevel="1">
      <c r="B87" s="59" t="s">
        <v>226</v>
      </c>
      <c r="C87" s="60" t="s">
        <v>63</v>
      </c>
      <c r="D87" s="60" t="s">
        <v>65</v>
      </c>
      <c r="E87" s="59" t="s">
        <v>234</v>
      </c>
      <c r="G87" s="66"/>
      <c r="H87" s="66"/>
      <c r="I87" s="66"/>
      <c r="J87" s="120"/>
      <c r="K87" s="118"/>
      <c r="L87" s="66"/>
      <c r="M87" s="66"/>
      <c r="N87" s="66"/>
      <c r="O87" s="120"/>
      <c r="P87" s="72"/>
      <c r="Q87" s="66"/>
      <c r="R87" s="66"/>
      <c r="S87" s="66"/>
      <c r="T87" s="120"/>
      <c r="U87" s="72"/>
      <c r="V87" s="67"/>
      <c r="W87" s="67"/>
      <c r="X87" s="67"/>
      <c r="Y87" s="124"/>
      <c r="Z87" s="76"/>
      <c r="AA87" s="74"/>
      <c r="AB87" s="79"/>
      <c r="AC87" s="76"/>
      <c r="AD87" s="67"/>
      <c r="AE87" s="128"/>
      <c r="AF87" s="75"/>
      <c r="AG87" s="57"/>
      <c r="AH87" s="57"/>
      <c r="AI87" s="78"/>
      <c r="AJ87" s="122"/>
      <c r="AK87" s="113"/>
      <c r="AL87" s="110"/>
      <c r="AM87" s="57"/>
      <c r="AN87" s="122"/>
      <c r="AO87" s="75"/>
      <c r="AP87" s="67"/>
      <c r="AQ87" s="67"/>
      <c r="AR87" s="67"/>
      <c r="AS87" s="124"/>
      <c r="AT87" s="76"/>
      <c r="AU87" s="67"/>
      <c r="AV87" s="67"/>
      <c r="AW87" s="67"/>
      <c r="AX87" s="67"/>
      <c r="AY87" s="124"/>
    </row>
    <row r="88" spans="2:51" s="8" customFormat="1" ht="15" customHeight="1">
      <c r="B88" s="56" t="s">
        <v>227</v>
      </c>
      <c r="C88" s="189" t="s">
        <v>228</v>
      </c>
      <c r="D88" s="189"/>
      <c r="E88" s="54"/>
      <c r="G88" s="55"/>
      <c r="H88" s="55"/>
      <c r="I88" s="55"/>
      <c r="J88" s="121"/>
      <c r="K88" s="55"/>
      <c r="L88" s="55"/>
      <c r="M88" s="55"/>
      <c r="N88" s="55"/>
      <c r="O88" s="121"/>
      <c r="P88" s="55"/>
      <c r="Q88" s="55"/>
      <c r="R88" s="55"/>
      <c r="S88" s="55"/>
      <c r="T88" s="121"/>
      <c r="U88" s="55"/>
      <c r="V88" s="175" t="s">
        <v>295</v>
      </c>
      <c r="W88" s="54"/>
      <c r="X88" s="54"/>
      <c r="Y88" s="123"/>
      <c r="Z88" s="54"/>
      <c r="AA88" s="54"/>
      <c r="AB88" s="78"/>
      <c r="AC88" s="54"/>
      <c r="AD88" s="54"/>
      <c r="AE88" s="127"/>
      <c r="AF88" s="54"/>
      <c r="AG88" s="54"/>
      <c r="AH88" s="54"/>
      <c r="AI88" s="78"/>
      <c r="AJ88" s="131"/>
      <c r="AK88" s="54"/>
      <c r="AL88" s="111"/>
      <c r="AM88" s="111"/>
      <c r="AN88" s="125"/>
      <c r="AO88" s="111"/>
      <c r="AP88" s="111"/>
      <c r="AQ88" s="54"/>
      <c r="AR88" s="54"/>
      <c r="AS88" s="123"/>
      <c r="AT88" s="54"/>
      <c r="AU88" s="54"/>
      <c r="AV88" s="54"/>
      <c r="AW88" s="54"/>
      <c r="AX88" s="54"/>
      <c r="AY88" s="123"/>
    </row>
    <row r="89" spans="2:51" ht="15" customHeight="1" outlineLevel="1">
      <c r="B89" s="59" t="s">
        <v>229</v>
      </c>
      <c r="C89" s="60" t="s">
        <v>1</v>
      </c>
      <c r="D89" s="60" t="s">
        <v>34</v>
      </c>
      <c r="E89" s="59" t="s">
        <v>234</v>
      </c>
      <c r="G89" s="66"/>
      <c r="H89" s="66"/>
      <c r="I89" s="66"/>
      <c r="J89" s="120"/>
      <c r="K89" s="118"/>
      <c r="L89" s="66"/>
      <c r="M89" s="66"/>
      <c r="N89" s="66"/>
      <c r="O89" s="120"/>
      <c r="P89" s="72"/>
      <c r="Q89" s="66"/>
      <c r="R89" s="66"/>
      <c r="S89" s="66"/>
      <c r="T89" s="120"/>
      <c r="U89" s="72"/>
      <c r="V89" s="84"/>
      <c r="W89" s="67"/>
      <c r="X89" s="67"/>
      <c r="Y89" s="124"/>
      <c r="Z89" s="76"/>
      <c r="AA89" s="74"/>
      <c r="AB89" s="79"/>
      <c r="AC89" s="76"/>
      <c r="AD89" s="67"/>
      <c r="AE89" s="128"/>
      <c r="AF89" s="76"/>
      <c r="AG89" s="67"/>
      <c r="AH89" s="67"/>
      <c r="AI89" s="79"/>
      <c r="AJ89" s="122"/>
      <c r="AK89" s="75"/>
      <c r="AL89" s="110"/>
      <c r="AM89" s="57"/>
      <c r="AN89" s="122"/>
      <c r="AO89" s="75"/>
      <c r="AP89" s="67"/>
      <c r="AQ89" s="67"/>
      <c r="AR89" s="67"/>
      <c r="AS89" s="124"/>
      <c r="AT89" s="76"/>
      <c r="AU89" s="67"/>
      <c r="AV89" s="67"/>
      <c r="AW89" s="67"/>
      <c r="AX89" s="67"/>
      <c r="AY89" s="124"/>
    </row>
    <row r="90" spans="2:51" ht="15" customHeight="1" outlineLevel="1">
      <c r="B90" s="59" t="s">
        <v>230</v>
      </c>
      <c r="C90" s="60" t="s">
        <v>1</v>
      </c>
      <c r="D90" s="60" t="s">
        <v>35</v>
      </c>
      <c r="E90" s="59" t="s">
        <v>234</v>
      </c>
      <c r="G90" s="66"/>
      <c r="H90" s="66"/>
      <c r="I90" s="66"/>
      <c r="J90" s="120"/>
      <c r="K90" s="118"/>
      <c r="L90" s="66"/>
      <c r="M90" s="66"/>
      <c r="N90" s="66"/>
      <c r="O90" s="120"/>
      <c r="P90" s="72"/>
      <c r="Q90" s="66"/>
      <c r="R90" s="66"/>
      <c r="S90" s="66"/>
      <c r="T90" s="120"/>
      <c r="U90" s="72"/>
      <c r="V90" s="67"/>
      <c r="W90" s="67"/>
      <c r="X90" s="67"/>
      <c r="Y90" s="124"/>
      <c r="Z90" s="76"/>
      <c r="AA90" s="74"/>
      <c r="AB90" s="79"/>
      <c r="AC90" s="76"/>
      <c r="AD90" s="67"/>
      <c r="AE90" s="128"/>
      <c r="AF90" s="76"/>
      <c r="AG90" s="67"/>
      <c r="AH90" s="67"/>
      <c r="AI90" s="79"/>
      <c r="AJ90" s="122"/>
      <c r="AK90" s="75"/>
      <c r="AL90" s="57"/>
      <c r="AM90" s="110"/>
      <c r="AN90" s="122"/>
      <c r="AO90" s="75"/>
      <c r="AP90" s="67"/>
      <c r="AQ90" s="67"/>
      <c r="AR90" s="67"/>
      <c r="AS90" s="124"/>
      <c r="AT90" s="76"/>
      <c r="AU90" s="67"/>
      <c r="AV90" s="67"/>
      <c r="AW90" s="67"/>
      <c r="AX90" s="67"/>
      <c r="AY90" s="124"/>
    </row>
    <row r="91" spans="2:51" ht="15" customHeight="1" outlineLevel="1">
      <c r="B91" s="59" t="s">
        <v>231</v>
      </c>
      <c r="C91" s="60" t="s">
        <v>1</v>
      </c>
      <c r="D91" s="60" t="s">
        <v>44</v>
      </c>
      <c r="E91" s="59" t="s">
        <v>234</v>
      </c>
      <c r="G91" s="66"/>
      <c r="H91" s="66"/>
      <c r="I91" s="66"/>
      <c r="J91" s="120"/>
      <c r="K91" s="118"/>
      <c r="L91" s="66"/>
      <c r="M91" s="66"/>
      <c r="N91" s="66"/>
      <c r="O91" s="120"/>
      <c r="P91" s="72"/>
      <c r="Q91" s="66"/>
      <c r="R91" s="66"/>
      <c r="S91" s="66"/>
      <c r="T91" s="120"/>
      <c r="U91" s="72"/>
      <c r="V91" s="67"/>
      <c r="W91" s="67"/>
      <c r="X91" s="67"/>
      <c r="Y91" s="124"/>
      <c r="Z91" s="76"/>
      <c r="AA91" s="74"/>
      <c r="AB91" s="79"/>
      <c r="AC91" s="76"/>
      <c r="AD91" s="67"/>
      <c r="AE91" s="128"/>
      <c r="AF91" s="76"/>
      <c r="AG91" s="67"/>
      <c r="AH91" s="67"/>
      <c r="AI91" s="79"/>
      <c r="AJ91" s="122"/>
      <c r="AK91" s="75"/>
      <c r="AL91" s="57"/>
      <c r="AM91" s="110"/>
      <c r="AN91" s="122"/>
      <c r="AO91" s="75"/>
      <c r="AP91" s="67"/>
      <c r="AQ91" s="67"/>
      <c r="AR91" s="67"/>
      <c r="AS91" s="124"/>
      <c r="AT91" s="76"/>
      <c r="AU91" s="67"/>
      <c r="AV91" s="67"/>
      <c r="AW91" s="67"/>
      <c r="AX91" s="67"/>
      <c r="AY91" s="124"/>
    </row>
    <row r="92" spans="2:51" ht="15" customHeight="1" outlineLevel="1">
      <c r="B92" s="59" t="s">
        <v>232</v>
      </c>
      <c r="C92" s="60" t="s">
        <v>1</v>
      </c>
      <c r="D92" s="60" t="s">
        <v>45</v>
      </c>
      <c r="E92" s="59" t="s">
        <v>234</v>
      </c>
      <c r="G92" s="66"/>
      <c r="H92" s="66"/>
      <c r="I92" s="66"/>
      <c r="J92" s="120"/>
      <c r="K92" s="118"/>
      <c r="L92" s="66"/>
      <c r="M92" s="66"/>
      <c r="N92" s="66"/>
      <c r="O92" s="120"/>
      <c r="P92" s="72"/>
      <c r="Q92" s="66"/>
      <c r="R92" s="66"/>
      <c r="S92" s="66"/>
      <c r="T92" s="120"/>
      <c r="U92" s="72"/>
      <c r="V92" s="67"/>
      <c r="W92" s="67"/>
      <c r="X92" s="67"/>
      <c r="Y92" s="124"/>
      <c r="Z92" s="76"/>
      <c r="AA92" s="74"/>
      <c r="AB92" s="79"/>
      <c r="AC92" s="76"/>
      <c r="AD92" s="67"/>
      <c r="AE92" s="128"/>
      <c r="AF92" s="76"/>
      <c r="AG92" s="67"/>
      <c r="AH92" s="67"/>
      <c r="AI92" s="79"/>
      <c r="AJ92" s="122"/>
      <c r="AK92" s="75"/>
      <c r="AL92" s="57"/>
      <c r="AM92" s="110"/>
      <c r="AN92" s="117"/>
      <c r="AO92" s="75"/>
      <c r="AP92" s="67"/>
      <c r="AQ92" s="67"/>
      <c r="AR92" s="67"/>
      <c r="AS92" s="124"/>
      <c r="AT92" s="76"/>
      <c r="AU92" s="67"/>
      <c r="AV92" s="67"/>
      <c r="AW92" s="67"/>
      <c r="AX92" s="67"/>
      <c r="AY92" s="124"/>
    </row>
    <row r="93" spans="2:51" ht="15" customHeight="1" outlineLevel="1">
      <c r="B93" s="59" t="s">
        <v>189</v>
      </c>
      <c r="C93" s="60" t="s">
        <v>1</v>
      </c>
      <c r="D93" s="60" t="s">
        <v>46</v>
      </c>
      <c r="E93" s="59" t="s">
        <v>234</v>
      </c>
      <c r="G93" s="66"/>
      <c r="H93" s="66"/>
      <c r="I93" s="66"/>
      <c r="J93" s="120"/>
      <c r="K93" s="118"/>
      <c r="L93" s="66"/>
      <c r="M93" s="66"/>
      <c r="N93" s="66"/>
      <c r="O93" s="120"/>
      <c r="P93" s="72"/>
      <c r="Q93" s="66"/>
      <c r="R93" s="66"/>
      <c r="S93" s="66"/>
      <c r="T93" s="120"/>
      <c r="U93" s="72"/>
      <c r="V93" s="67"/>
      <c r="W93" s="67"/>
      <c r="X93" s="67"/>
      <c r="Y93" s="124"/>
      <c r="Z93" s="76"/>
      <c r="AA93" s="74"/>
      <c r="AB93" s="79"/>
      <c r="AC93" s="76"/>
      <c r="AD93" s="67"/>
      <c r="AE93" s="128"/>
      <c r="AF93" s="76"/>
      <c r="AG93" s="67"/>
      <c r="AH93" s="67"/>
      <c r="AI93" s="79"/>
      <c r="AJ93" s="122"/>
      <c r="AK93" s="75"/>
      <c r="AL93" s="57"/>
      <c r="AM93" s="57"/>
      <c r="AN93" s="117"/>
      <c r="AO93" s="75"/>
      <c r="AP93" s="67"/>
      <c r="AQ93" s="67"/>
      <c r="AR93" s="67"/>
      <c r="AS93" s="124"/>
      <c r="AT93" s="76"/>
      <c r="AU93" s="67"/>
      <c r="AV93" s="67"/>
      <c r="AW93" s="67"/>
      <c r="AX93" s="67"/>
      <c r="AY93" s="124"/>
    </row>
    <row r="94" spans="2:51" ht="15" customHeight="1" outlineLevel="1">
      <c r="B94" s="59" t="s">
        <v>191</v>
      </c>
      <c r="C94" s="60" t="s">
        <v>1</v>
      </c>
      <c r="D94" s="60" t="s">
        <v>48</v>
      </c>
      <c r="E94" s="59" t="s">
        <v>234</v>
      </c>
      <c r="G94" s="66"/>
      <c r="H94" s="66"/>
      <c r="I94" s="66"/>
      <c r="J94" s="120"/>
      <c r="K94" s="118"/>
      <c r="L94" s="66"/>
      <c r="M94" s="66"/>
      <c r="N94" s="66"/>
      <c r="O94" s="120"/>
      <c r="P94" s="72"/>
      <c r="Q94" s="66"/>
      <c r="R94" s="66"/>
      <c r="S94" s="66"/>
      <c r="T94" s="120"/>
      <c r="U94" s="72"/>
      <c r="V94" s="67"/>
      <c r="W94" s="67"/>
      <c r="X94" s="67"/>
      <c r="Y94" s="124"/>
      <c r="Z94" s="76"/>
      <c r="AA94" s="74"/>
      <c r="AB94" s="79"/>
      <c r="AC94" s="76"/>
      <c r="AD94" s="67"/>
      <c r="AE94" s="128"/>
      <c r="AF94" s="76"/>
      <c r="AG94" s="67"/>
      <c r="AH94" s="67"/>
      <c r="AI94" s="79"/>
      <c r="AJ94" s="122"/>
      <c r="AK94" s="75"/>
      <c r="AL94" s="57"/>
      <c r="AM94" s="57"/>
      <c r="AN94" s="117"/>
      <c r="AO94" s="113"/>
      <c r="AP94" s="67"/>
      <c r="AQ94" s="67"/>
      <c r="AR94" s="67"/>
      <c r="AS94" s="124"/>
      <c r="AT94" s="76"/>
      <c r="AU94" s="67"/>
      <c r="AV94" s="67"/>
      <c r="AW94" s="67"/>
      <c r="AX94" s="67"/>
      <c r="AY94" s="124"/>
    </row>
    <row r="95" spans="2:51" ht="15" customHeight="1" outlineLevel="1">
      <c r="B95" s="59" t="s">
        <v>193</v>
      </c>
      <c r="C95" s="60" t="s">
        <v>1</v>
      </c>
      <c r="D95" s="60" t="s">
        <v>49</v>
      </c>
      <c r="E95" s="59" t="s">
        <v>234</v>
      </c>
      <c r="G95" s="66"/>
      <c r="H95" s="66"/>
      <c r="I95" s="66"/>
      <c r="J95" s="120"/>
      <c r="K95" s="118"/>
      <c r="L95" s="66"/>
      <c r="M95" s="66"/>
      <c r="N95" s="66"/>
      <c r="O95" s="120"/>
      <c r="P95" s="72"/>
      <c r="Q95" s="66"/>
      <c r="R95" s="66"/>
      <c r="S95" s="66"/>
      <c r="T95" s="120"/>
      <c r="U95" s="72"/>
      <c r="V95" s="67"/>
      <c r="W95" s="67"/>
      <c r="X95" s="67"/>
      <c r="Y95" s="124"/>
      <c r="Z95" s="76"/>
      <c r="AA95" s="74"/>
      <c r="AB95" s="79"/>
      <c r="AC95" s="76"/>
      <c r="AD95" s="67"/>
      <c r="AE95" s="128"/>
      <c r="AF95" s="76"/>
      <c r="AG95" s="67"/>
      <c r="AH95" s="67"/>
      <c r="AI95" s="79"/>
      <c r="AJ95" s="122"/>
      <c r="AK95" s="75"/>
      <c r="AL95" s="57"/>
      <c r="AM95" s="57"/>
      <c r="AN95" s="122"/>
      <c r="AO95" s="113"/>
      <c r="AP95" s="67"/>
      <c r="AQ95" s="67"/>
      <c r="AR95" s="67"/>
      <c r="AS95" s="124"/>
      <c r="AT95" s="76"/>
      <c r="AU95" s="67"/>
      <c r="AV95" s="67"/>
      <c r="AW95" s="67"/>
      <c r="AX95" s="67"/>
      <c r="AY95" s="124"/>
    </row>
    <row r="96" spans="2:51" ht="15" customHeight="1" outlineLevel="1">
      <c r="B96" s="59" t="s">
        <v>233</v>
      </c>
      <c r="C96" s="60" t="s">
        <v>1</v>
      </c>
      <c r="D96" s="60" t="s">
        <v>52</v>
      </c>
      <c r="E96" s="59" t="s">
        <v>234</v>
      </c>
      <c r="G96" s="66"/>
      <c r="H96" s="66"/>
      <c r="I96" s="66"/>
      <c r="J96" s="120"/>
      <c r="K96" s="118"/>
      <c r="L96" s="66"/>
      <c r="M96" s="66"/>
      <c r="N96" s="66"/>
      <c r="O96" s="120"/>
      <c r="P96" s="72"/>
      <c r="Q96" s="66"/>
      <c r="R96" s="66"/>
      <c r="S96" s="66"/>
      <c r="T96" s="120"/>
      <c r="U96" s="72"/>
      <c r="V96" s="67"/>
      <c r="W96" s="67"/>
      <c r="X96" s="67"/>
      <c r="Y96" s="124"/>
      <c r="Z96" s="76"/>
      <c r="AA96" s="74"/>
      <c r="AB96" s="79"/>
      <c r="AC96" s="76"/>
      <c r="AD96" s="67"/>
      <c r="AE96" s="128"/>
      <c r="AF96" s="76"/>
      <c r="AG96" s="67"/>
      <c r="AH96" s="67"/>
      <c r="AI96" s="79"/>
      <c r="AJ96" s="122"/>
      <c r="AK96" s="75"/>
      <c r="AL96" s="57"/>
      <c r="AM96" s="57"/>
      <c r="AN96" s="122"/>
      <c r="AO96" s="113"/>
      <c r="AP96" s="110"/>
      <c r="AQ96" s="67"/>
      <c r="AR96" s="67"/>
      <c r="AS96" s="124"/>
      <c r="AT96" s="76"/>
      <c r="AU96" s="67"/>
      <c r="AV96" s="67"/>
      <c r="AW96" s="67"/>
      <c r="AX96" s="67"/>
      <c r="AY96" s="124"/>
    </row>
    <row r="97" spans="2:51" s="8" customFormat="1" ht="15" customHeight="1">
      <c r="B97" s="56" t="s">
        <v>239</v>
      </c>
      <c r="C97" s="189" t="s">
        <v>240</v>
      </c>
      <c r="D97" s="189"/>
      <c r="E97" s="54"/>
      <c r="G97" s="55"/>
      <c r="H97" s="55"/>
      <c r="I97" s="55"/>
      <c r="J97" s="121"/>
      <c r="K97" s="55"/>
      <c r="L97" s="55"/>
      <c r="M97" s="55"/>
      <c r="N97" s="55"/>
      <c r="O97" s="121"/>
      <c r="P97" s="55"/>
      <c r="Q97" s="55"/>
      <c r="R97" s="55"/>
      <c r="S97" s="55"/>
      <c r="T97" s="121"/>
      <c r="U97" s="55"/>
      <c r="V97" s="54"/>
      <c r="W97" s="54"/>
      <c r="X97" s="54"/>
      <c r="Y97" s="123"/>
      <c r="Z97" s="54"/>
      <c r="AA97" s="54"/>
      <c r="AB97" s="78"/>
      <c r="AC97" s="54"/>
      <c r="AD97" s="54"/>
      <c r="AE97" s="127"/>
      <c r="AF97" s="54"/>
      <c r="AG97" s="54"/>
      <c r="AH97" s="54"/>
      <c r="AI97" s="78"/>
      <c r="AJ97" s="131"/>
      <c r="AK97" s="54"/>
      <c r="AL97" s="54"/>
      <c r="AM97" s="54"/>
      <c r="AN97" s="123"/>
      <c r="AO97" s="54"/>
      <c r="AP97" s="111"/>
      <c r="AQ97" s="111"/>
      <c r="AR97" s="111"/>
      <c r="AS97" s="125"/>
      <c r="AT97" s="111"/>
      <c r="AU97" s="111"/>
      <c r="AV97" s="54"/>
      <c r="AW97" s="54"/>
      <c r="AX97" s="54"/>
      <c r="AY97" s="123"/>
    </row>
    <row r="98" spans="2:51" ht="15" customHeight="1" outlineLevel="1">
      <c r="B98" s="59" t="s">
        <v>241</v>
      </c>
      <c r="C98" s="60" t="s">
        <v>242</v>
      </c>
      <c r="D98" s="60"/>
      <c r="E98" s="59" t="s">
        <v>234</v>
      </c>
      <c r="G98" s="66"/>
      <c r="H98" s="66"/>
      <c r="I98" s="66"/>
      <c r="J98" s="120"/>
      <c r="K98" s="118"/>
      <c r="L98" s="66"/>
      <c r="M98" s="66"/>
      <c r="N98" s="66"/>
      <c r="O98" s="120"/>
      <c r="P98" s="72"/>
      <c r="Q98" s="66"/>
      <c r="R98" s="66"/>
      <c r="S98" s="66"/>
      <c r="T98" s="120"/>
      <c r="U98" s="72"/>
      <c r="V98" s="67"/>
      <c r="W98" s="67"/>
      <c r="X98" s="67"/>
      <c r="Y98" s="124"/>
      <c r="Z98" s="76"/>
      <c r="AA98" s="74"/>
      <c r="AB98" s="79"/>
      <c r="AC98" s="76"/>
      <c r="AD98" s="67"/>
      <c r="AE98" s="128"/>
      <c r="AF98" s="76"/>
      <c r="AG98" s="67"/>
      <c r="AH98" s="67"/>
      <c r="AI98" s="79"/>
      <c r="AJ98" s="124"/>
      <c r="AK98" s="76"/>
      <c r="AL98" s="67"/>
      <c r="AM98" s="67"/>
      <c r="AN98" s="124"/>
      <c r="AO98" s="76"/>
      <c r="AP98" s="110"/>
      <c r="AQ98" s="110"/>
      <c r="AR98" s="110"/>
      <c r="AS98" s="117"/>
      <c r="AT98" s="113"/>
      <c r="AU98" s="110"/>
      <c r="AV98" s="67"/>
      <c r="AW98" s="67"/>
      <c r="AX98" s="67"/>
      <c r="AY98" s="124"/>
    </row>
    <row r="99" spans="2:51" s="8" customFormat="1" ht="15" customHeight="1">
      <c r="B99" s="56" t="s">
        <v>243</v>
      </c>
      <c r="C99" s="189" t="s">
        <v>244</v>
      </c>
      <c r="D99" s="189"/>
      <c r="E99" s="54"/>
      <c r="G99" s="55"/>
      <c r="H99" s="55"/>
      <c r="I99" s="55"/>
      <c r="J99" s="121"/>
      <c r="K99" s="55"/>
      <c r="L99" s="55"/>
      <c r="M99" s="55"/>
      <c r="N99" s="55"/>
      <c r="O99" s="121"/>
      <c r="P99" s="55"/>
      <c r="Q99" s="55"/>
      <c r="R99" s="55"/>
      <c r="S99" s="55"/>
      <c r="T99" s="121"/>
      <c r="U99" s="55"/>
      <c r="V99" s="54"/>
      <c r="W99" s="54"/>
      <c r="X99" s="54"/>
      <c r="Y99" s="123"/>
      <c r="Z99" s="54"/>
      <c r="AA99" s="54"/>
      <c r="AB99" s="78"/>
      <c r="AC99" s="54"/>
      <c r="AD99" s="54"/>
      <c r="AE99" s="127"/>
      <c r="AF99" s="54"/>
      <c r="AG99" s="54"/>
      <c r="AH99" s="54"/>
      <c r="AI99" s="78"/>
      <c r="AJ99" s="131"/>
      <c r="AK99" s="54"/>
      <c r="AL99" s="54"/>
      <c r="AM99" s="54"/>
      <c r="AN99" s="123"/>
      <c r="AO99" s="54"/>
      <c r="AP99" s="54"/>
      <c r="AQ99" s="54"/>
      <c r="AR99" s="54"/>
      <c r="AS99" s="123"/>
      <c r="AT99" s="54"/>
      <c r="AU99" s="111"/>
      <c r="AV99" s="111"/>
      <c r="AW99" s="111"/>
      <c r="AX99" s="111"/>
      <c r="AY99" s="125"/>
    </row>
    <row r="100" spans="2:51" ht="15" customHeight="1" outlineLevel="1">
      <c r="B100" s="59" t="s">
        <v>245</v>
      </c>
      <c r="C100" s="60" t="s">
        <v>246</v>
      </c>
      <c r="D100" s="60"/>
      <c r="E100" s="59" t="s">
        <v>234</v>
      </c>
      <c r="G100" s="66"/>
      <c r="H100" s="66"/>
      <c r="I100" s="66"/>
      <c r="J100" s="120"/>
      <c r="K100" s="118"/>
      <c r="L100" s="66"/>
      <c r="M100" s="66"/>
      <c r="N100" s="66"/>
      <c r="O100" s="120"/>
      <c r="P100" s="72"/>
      <c r="Q100" s="66"/>
      <c r="R100" s="66"/>
      <c r="S100" s="66"/>
      <c r="T100" s="120"/>
      <c r="U100" s="72"/>
      <c r="V100" s="67"/>
      <c r="W100" s="67"/>
      <c r="X100" s="67"/>
      <c r="Y100" s="124"/>
      <c r="Z100" s="76"/>
      <c r="AA100" s="74"/>
      <c r="AB100" s="79"/>
      <c r="AC100" s="76"/>
      <c r="AD100" s="67"/>
      <c r="AE100" s="128"/>
      <c r="AF100" s="76"/>
      <c r="AG100" s="67"/>
      <c r="AH100" s="67"/>
      <c r="AI100" s="79"/>
      <c r="AJ100" s="124"/>
      <c r="AK100" s="76"/>
      <c r="AL100" s="67"/>
      <c r="AM100" s="67"/>
      <c r="AN100" s="124"/>
      <c r="AO100" s="76"/>
      <c r="AP100" s="57"/>
      <c r="AQ100" s="57"/>
      <c r="AR100" s="57"/>
      <c r="AS100" s="124"/>
      <c r="AT100" s="76"/>
      <c r="AU100" s="110"/>
      <c r="AV100" s="110"/>
      <c r="AW100" s="110"/>
      <c r="AX100" s="110"/>
      <c r="AY100" s="117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tabSelected="1" zoomScale="90" zoomScaleNormal="90" workbookViewId="0">
      <pane xSplit="14" ySplit="16" topLeftCell="O36" activePane="bottomRight" state="frozen"/>
      <selection pane="topRight" activeCell="N1" sqref="N1"/>
      <selection pane="bottomLeft" activeCell="A13" sqref="A13"/>
      <selection pane="bottomRight" activeCell="D60" sqref="D60"/>
    </sheetView>
  </sheetViews>
  <sheetFormatPr defaultColWidth="9.140625" defaultRowHeight="12.75" outlineLevelRow="1"/>
  <cols>
    <col min="1" max="1" width="3.7109375" style="3" customWidth="1"/>
    <col min="2" max="2" width="5.42578125" style="3" bestFit="1" customWidth="1"/>
    <col min="3" max="3" width="20.28515625" style="3" bestFit="1" customWidth="1"/>
    <col min="4" max="4" width="42.5703125" style="3" customWidth="1"/>
    <col min="5" max="5" width="14.28515625" style="3" bestFit="1" customWidth="1"/>
    <col min="6" max="11" width="8.7109375" style="3" customWidth="1"/>
    <col min="12" max="12" width="10.28515625" style="3" bestFit="1" customWidth="1"/>
    <col min="13" max="13" width="8.7109375" style="3" hidden="1" customWidth="1"/>
    <col min="14" max="14" width="0.85546875" style="3" customWidth="1"/>
    <col min="15" max="34" width="5.7109375" style="48" customWidth="1"/>
    <col min="35" max="77" width="5.7109375" style="3" customWidth="1"/>
    <col min="78" max="78" width="3.7109375" style="3" customWidth="1"/>
    <col min="79" max="16384" width="9.140625" style="3"/>
  </cols>
  <sheetData>
    <row r="1" spans="1:78" ht="16.149999999999999" customHeight="1"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</row>
    <row r="7" spans="1:78">
      <c r="B7" s="106" t="s">
        <v>251</v>
      </c>
    </row>
    <row r="8" spans="1:78" ht="6.95" customHeight="1"/>
    <row r="9" spans="1:78">
      <c r="B9" s="90" t="s">
        <v>235</v>
      </c>
      <c r="C9" s="107" t="s">
        <v>252</v>
      </c>
    </row>
    <row r="10" spans="1:78" ht="14.25">
      <c r="B10" s="94" t="s">
        <v>247</v>
      </c>
      <c r="C10" s="107" t="s">
        <v>254</v>
      </c>
    </row>
    <row r="11" spans="1:78">
      <c r="B11" s="92">
        <v>3</v>
      </c>
      <c r="C11" s="107" t="s">
        <v>253</v>
      </c>
      <c r="L11" s="80" t="s">
        <v>163</v>
      </c>
      <c r="O11" s="81">
        <v>2</v>
      </c>
      <c r="P11" s="81">
        <v>2</v>
      </c>
      <c r="Q11" s="81">
        <v>2</v>
      </c>
      <c r="R11" s="81">
        <v>2</v>
      </c>
      <c r="S11" s="81">
        <v>2</v>
      </c>
      <c r="T11" s="81">
        <v>0</v>
      </c>
      <c r="U11" s="81">
        <v>0</v>
      </c>
      <c r="V11" s="81">
        <v>2</v>
      </c>
      <c r="W11" s="81">
        <v>2</v>
      </c>
      <c r="X11" s="81">
        <v>2</v>
      </c>
      <c r="Y11" s="81">
        <v>2</v>
      </c>
      <c r="Z11" s="81">
        <v>2</v>
      </c>
      <c r="AA11" s="81">
        <v>0</v>
      </c>
      <c r="AB11" s="81">
        <v>0</v>
      </c>
      <c r="AC11" s="81">
        <v>2</v>
      </c>
      <c r="AD11" s="81">
        <v>2</v>
      </c>
      <c r="AE11" s="81">
        <v>2</v>
      </c>
      <c r="AF11" s="81">
        <v>2</v>
      </c>
      <c r="AG11" s="81">
        <v>2</v>
      </c>
      <c r="AH11" s="81">
        <v>0</v>
      </c>
      <c r="AI11" s="81">
        <v>0</v>
      </c>
      <c r="AJ11" s="81">
        <v>1</v>
      </c>
      <c r="AK11" s="81">
        <v>1</v>
      </c>
      <c r="AL11" s="81">
        <v>1</v>
      </c>
      <c r="AM11" s="81">
        <v>1</v>
      </c>
      <c r="AN11" s="81">
        <v>1</v>
      </c>
      <c r="AO11" s="81">
        <v>0</v>
      </c>
      <c r="AP11" s="81">
        <v>0</v>
      </c>
      <c r="AQ11" s="81">
        <v>1</v>
      </c>
      <c r="AR11" s="81">
        <v>0</v>
      </c>
      <c r="AS11" s="81">
        <v>1</v>
      </c>
      <c r="AT11" s="81">
        <v>1</v>
      </c>
      <c r="AU11" s="81">
        <v>0</v>
      </c>
      <c r="AV11" s="81">
        <v>0</v>
      </c>
      <c r="AW11" s="81">
        <v>0</v>
      </c>
      <c r="AX11" s="81">
        <v>2</v>
      </c>
      <c r="AY11" s="81">
        <v>2</v>
      </c>
      <c r="AZ11" s="81">
        <v>1</v>
      </c>
      <c r="BA11" s="81">
        <v>0</v>
      </c>
      <c r="BB11" s="81">
        <v>1</v>
      </c>
      <c r="BC11" s="81">
        <v>0</v>
      </c>
      <c r="BD11" s="81">
        <v>0</v>
      </c>
      <c r="BE11" s="81">
        <v>1</v>
      </c>
      <c r="BF11" s="81">
        <v>1</v>
      </c>
      <c r="BG11" s="81">
        <v>1</v>
      </c>
      <c r="BH11" s="81">
        <v>1</v>
      </c>
      <c r="BI11" s="81">
        <v>1</v>
      </c>
      <c r="BJ11" s="81">
        <v>0</v>
      </c>
      <c r="BK11" s="81">
        <v>0</v>
      </c>
      <c r="BL11" s="81">
        <v>2</v>
      </c>
      <c r="BM11" s="81">
        <v>2</v>
      </c>
      <c r="BN11" s="81">
        <v>2</v>
      </c>
      <c r="BO11" s="81">
        <v>2</v>
      </c>
      <c r="BP11" s="81">
        <v>2</v>
      </c>
      <c r="BQ11" s="81">
        <v>0</v>
      </c>
      <c r="BR11" s="81">
        <v>0</v>
      </c>
      <c r="BS11" s="81">
        <v>2</v>
      </c>
      <c r="BT11" s="81">
        <v>2</v>
      </c>
      <c r="BU11" s="81">
        <v>2</v>
      </c>
      <c r="BV11" s="81">
        <v>2</v>
      </c>
      <c r="BW11" s="81">
        <v>2</v>
      </c>
      <c r="BX11" s="81">
        <v>0</v>
      </c>
      <c r="BY11" s="81">
        <v>0</v>
      </c>
    </row>
    <row r="12" spans="1:78">
      <c r="B12" s="78"/>
      <c r="C12" s="107" t="s">
        <v>255</v>
      </c>
      <c r="L12" s="80" t="s">
        <v>164</v>
      </c>
      <c r="O12" s="81">
        <f>SUM(O17:O101)/8</f>
        <v>2</v>
      </c>
      <c r="P12" s="81">
        <f t="shared" ref="P12:BY12" si="0">SUM(P17:P101)/8</f>
        <v>2</v>
      </c>
      <c r="Q12" s="81">
        <f t="shared" si="0"/>
        <v>2.1875</v>
      </c>
      <c r="R12" s="81">
        <f t="shared" si="0"/>
        <v>2</v>
      </c>
      <c r="S12" s="81">
        <f t="shared" si="0"/>
        <v>2</v>
      </c>
      <c r="T12" s="81">
        <f t="shared" si="0"/>
        <v>0</v>
      </c>
      <c r="U12" s="81">
        <f t="shared" si="0"/>
        <v>0</v>
      </c>
      <c r="V12" s="81">
        <f t="shared" si="0"/>
        <v>2</v>
      </c>
      <c r="W12" s="81">
        <f t="shared" si="0"/>
        <v>2</v>
      </c>
      <c r="X12" s="81">
        <f t="shared" si="0"/>
        <v>2</v>
      </c>
      <c r="Y12" s="81">
        <f t="shared" si="0"/>
        <v>2</v>
      </c>
      <c r="Z12" s="81">
        <f t="shared" si="0"/>
        <v>2</v>
      </c>
      <c r="AA12" s="81">
        <f t="shared" si="0"/>
        <v>0</v>
      </c>
      <c r="AB12" s="81">
        <f t="shared" si="0"/>
        <v>0</v>
      </c>
      <c r="AC12" s="81">
        <f t="shared" si="0"/>
        <v>2</v>
      </c>
      <c r="AD12" s="81">
        <f t="shared" si="0"/>
        <v>2</v>
      </c>
      <c r="AE12" s="81">
        <f t="shared" si="0"/>
        <v>2</v>
      </c>
      <c r="AF12" s="81">
        <f t="shared" si="0"/>
        <v>2</v>
      </c>
      <c r="AG12" s="81">
        <f t="shared" si="0"/>
        <v>2</v>
      </c>
      <c r="AH12" s="81">
        <f t="shared" si="0"/>
        <v>0</v>
      </c>
      <c r="AI12" s="81">
        <f t="shared" si="0"/>
        <v>0</v>
      </c>
      <c r="AJ12" s="81">
        <f t="shared" si="0"/>
        <v>1</v>
      </c>
      <c r="AK12" s="81">
        <f t="shared" si="0"/>
        <v>1</v>
      </c>
      <c r="AL12" s="81">
        <f t="shared" si="0"/>
        <v>1</v>
      </c>
      <c r="AM12" s="81">
        <f t="shared" si="0"/>
        <v>1</v>
      </c>
      <c r="AN12" s="81">
        <f t="shared" si="0"/>
        <v>1</v>
      </c>
      <c r="AO12" s="81">
        <f t="shared" si="0"/>
        <v>0</v>
      </c>
      <c r="AP12" s="81">
        <f t="shared" si="0"/>
        <v>0</v>
      </c>
      <c r="AQ12" s="81">
        <f t="shared" si="0"/>
        <v>1</v>
      </c>
      <c r="AR12" s="81">
        <f t="shared" si="0"/>
        <v>0</v>
      </c>
      <c r="AS12" s="81">
        <f t="shared" si="0"/>
        <v>1</v>
      </c>
      <c r="AT12" s="81">
        <f t="shared" si="0"/>
        <v>1</v>
      </c>
      <c r="AU12" s="81">
        <f t="shared" si="0"/>
        <v>0</v>
      </c>
      <c r="AV12" s="81">
        <f t="shared" si="0"/>
        <v>0</v>
      </c>
      <c r="AW12" s="81">
        <f t="shared" si="0"/>
        <v>0</v>
      </c>
      <c r="AX12" s="81">
        <f t="shared" si="0"/>
        <v>2</v>
      </c>
      <c r="AY12" s="81">
        <f t="shared" si="0"/>
        <v>2</v>
      </c>
      <c r="AZ12" s="81">
        <f t="shared" si="0"/>
        <v>1</v>
      </c>
      <c r="BA12" s="81">
        <f t="shared" si="0"/>
        <v>0</v>
      </c>
      <c r="BB12" s="81">
        <f t="shared" si="0"/>
        <v>1</v>
      </c>
      <c r="BC12" s="81">
        <f t="shared" si="0"/>
        <v>0</v>
      </c>
      <c r="BD12" s="81">
        <f t="shared" si="0"/>
        <v>0</v>
      </c>
      <c r="BE12" s="81">
        <f t="shared" si="0"/>
        <v>1</v>
      </c>
      <c r="BF12" s="81">
        <f t="shared" si="0"/>
        <v>1</v>
      </c>
      <c r="BG12" s="81">
        <f t="shared" si="0"/>
        <v>1</v>
      </c>
      <c r="BH12" s="81">
        <f t="shared" si="0"/>
        <v>1</v>
      </c>
      <c r="BI12" s="81">
        <f t="shared" si="0"/>
        <v>1</v>
      </c>
      <c r="BJ12" s="81">
        <f t="shared" si="0"/>
        <v>0</v>
      </c>
      <c r="BK12" s="81">
        <f t="shared" si="0"/>
        <v>0</v>
      </c>
      <c r="BL12" s="81">
        <f t="shared" si="0"/>
        <v>2</v>
      </c>
      <c r="BM12" s="81">
        <f t="shared" si="0"/>
        <v>2</v>
      </c>
      <c r="BN12" s="81">
        <f t="shared" si="0"/>
        <v>2</v>
      </c>
      <c r="BO12" s="81">
        <f t="shared" si="0"/>
        <v>2</v>
      </c>
      <c r="BP12" s="81">
        <f t="shared" si="0"/>
        <v>2</v>
      </c>
      <c r="BQ12" s="81">
        <f t="shared" si="0"/>
        <v>0</v>
      </c>
      <c r="BR12" s="81">
        <f t="shared" si="0"/>
        <v>0</v>
      </c>
      <c r="BS12" s="81">
        <f t="shared" si="0"/>
        <v>2</v>
      </c>
      <c r="BT12" s="81">
        <f t="shared" si="0"/>
        <v>2</v>
      </c>
      <c r="BU12" s="81">
        <f t="shared" si="0"/>
        <v>2</v>
      </c>
      <c r="BV12" s="81">
        <f t="shared" si="0"/>
        <v>2</v>
      </c>
      <c r="BW12" s="81">
        <f t="shared" si="0"/>
        <v>2</v>
      </c>
      <c r="BX12" s="81">
        <f t="shared" si="0"/>
        <v>0</v>
      </c>
      <c r="BY12" s="81">
        <f t="shared" si="0"/>
        <v>0</v>
      </c>
    </row>
    <row r="13" spans="1:78">
      <c r="B13" s="95">
        <v>0</v>
      </c>
      <c r="C13" s="107" t="s">
        <v>256</v>
      </c>
      <c r="L13" s="80" t="s">
        <v>165</v>
      </c>
      <c r="O13" s="81">
        <f>O11-O12</f>
        <v>0</v>
      </c>
      <c r="P13" s="81">
        <f t="shared" ref="P13:BY13" si="1">P11-P12</f>
        <v>0</v>
      </c>
      <c r="Q13" s="81">
        <f t="shared" si="1"/>
        <v>-0.1875</v>
      </c>
      <c r="R13" s="81">
        <f t="shared" si="1"/>
        <v>0</v>
      </c>
      <c r="S13" s="81">
        <f t="shared" si="1"/>
        <v>0</v>
      </c>
      <c r="T13" s="81">
        <f t="shared" si="1"/>
        <v>0</v>
      </c>
      <c r="U13" s="81">
        <f t="shared" si="1"/>
        <v>0</v>
      </c>
      <c r="V13" s="81">
        <f t="shared" si="1"/>
        <v>0</v>
      </c>
      <c r="W13" s="81">
        <f t="shared" si="1"/>
        <v>0</v>
      </c>
      <c r="X13" s="81">
        <f t="shared" si="1"/>
        <v>0</v>
      </c>
      <c r="Y13" s="81">
        <f t="shared" si="1"/>
        <v>0</v>
      </c>
      <c r="Z13" s="81">
        <f t="shared" si="1"/>
        <v>0</v>
      </c>
      <c r="AA13" s="81">
        <f t="shared" si="1"/>
        <v>0</v>
      </c>
      <c r="AB13" s="81">
        <f t="shared" si="1"/>
        <v>0</v>
      </c>
      <c r="AC13" s="81">
        <f t="shared" si="1"/>
        <v>0</v>
      </c>
      <c r="AD13" s="81">
        <f t="shared" si="1"/>
        <v>0</v>
      </c>
      <c r="AE13" s="81">
        <f t="shared" si="1"/>
        <v>0</v>
      </c>
      <c r="AF13" s="81">
        <f t="shared" si="1"/>
        <v>0</v>
      </c>
      <c r="AG13" s="81">
        <f t="shared" si="1"/>
        <v>0</v>
      </c>
      <c r="AH13" s="81">
        <f t="shared" si="1"/>
        <v>0</v>
      </c>
      <c r="AI13" s="81">
        <f t="shared" si="1"/>
        <v>0</v>
      </c>
      <c r="AJ13" s="81">
        <f t="shared" si="1"/>
        <v>0</v>
      </c>
      <c r="AK13" s="81">
        <f t="shared" si="1"/>
        <v>0</v>
      </c>
      <c r="AL13" s="81">
        <f t="shared" si="1"/>
        <v>0</v>
      </c>
      <c r="AM13" s="81">
        <f t="shared" si="1"/>
        <v>0</v>
      </c>
      <c r="AN13" s="81">
        <f t="shared" si="1"/>
        <v>0</v>
      </c>
      <c r="AO13" s="81">
        <f t="shared" si="1"/>
        <v>0</v>
      </c>
      <c r="AP13" s="81">
        <f t="shared" si="1"/>
        <v>0</v>
      </c>
      <c r="AQ13" s="81">
        <f t="shared" si="1"/>
        <v>0</v>
      </c>
      <c r="AR13" s="81">
        <f t="shared" si="1"/>
        <v>0</v>
      </c>
      <c r="AS13" s="81">
        <f t="shared" si="1"/>
        <v>0</v>
      </c>
      <c r="AT13" s="81">
        <f t="shared" si="1"/>
        <v>0</v>
      </c>
      <c r="AU13" s="81">
        <f t="shared" si="1"/>
        <v>0</v>
      </c>
      <c r="AV13" s="81">
        <f t="shared" si="1"/>
        <v>0</v>
      </c>
      <c r="AW13" s="81">
        <f t="shared" si="1"/>
        <v>0</v>
      </c>
      <c r="AX13" s="81">
        <f t="shared" si="1"/>
        <v>0</v>
      </c>
      <c r="AY13" s="81">
        <f t="shared" si="1"/>
        <v>0</v>
      </c>
      <c r="AZ13" s="81">
        <f t="shared" si="1"/>
        <v>0</v>
      </c>
      <c r="BA13" s="81">
        <f t="shared" si="1"/>
        <v>0</v>
      </c>
      <c r="BB13" s="81">
        <f t="shared" si="1"/>
        <v>0</v>
      </c>
      <c r="BC13" s="81">
        <f t="shared" si="1"/>
        <v>0</v>
      </c>
      <c r="BD13" s="81">
        <f t="shared" si="1"/>
        <v>0</v>
      </c>
      <c r="BE13" s="81">
        <f t="shared" si="1"/>
        <v>0</v>
      </c>
      <c r="BF13" s="81">
        <f t="shared" si="1"/>
        <v>0</v>
      </c>
      <c r="BG13" s="81">
        <f t="shared" si="1"/>
        <v>0</v>
      </c>
      <c r="BH13" s="81">
        <f t="shared" si="1"/>
        <v>0</v>
      </c>
      <c r="BI13" s="81">
        <f t="shared" si="1"/>
        <v>0</v>
      </c>
      <c r="BJ13" s="81">
        <f t="shared" si="1"/>
        <v>0</v>
      </c>
      <c r="BK13" s="81">
        <f t="shared" si="1"/>
        <v>0</v>
      </c>
      <c r="BL13" s="81">
        <f t="shared" si="1"/>
        <v>0</v>
      </c>
      <c r="BM13" s="81">
        <f t="shared" si="1"/>
        <v>0</v>
      </c>
      <c r="BN13" s="81">
        <f t="shared" si="1"/>
        <v>0</v>
      </c>
      <c r="BO13" s="81">
        <f t="shared" si="1"/>
        <v>0</v>
      </c>
      <c r="BP13" s="81">
        <f t="shared" si="1"/>
        <v>0</v>
      </c>
      <c r="BQ13" s="81">
        <f t="shared" si="1"/>
        <v>0</v>
      </c>
      <c r="BR13" s="81">
        <f t="shared" si="1"/>
        <v>0</v>
      </c>
      <c r="BS13" s="81">
        <f t="shared" si="1"/>
        <v>0</v>
      </c>
      <c r="BT13" s="81">
        <f t="shared" si="1"/>
        <v>0</v>
      </c>
      <c r="BU13" s="81">
        <f t="shared" si="1"/>
        <v>0</v>
      </c>
      <c r="BV13" s="81">
        <f t="shared" si="1"/>
        <v>0</v>
      </c>
      <c r="BW13" s="81">
        <f t="shared" si="1"/>
        <v>0</v>
      </c>
      <c r="BX13" s="81">
        <f t="shared" si="1"/>
        <v>0</v>
      </c>
      <c r="BY13" s="81">
        <f t="shared" si="1"/>
        <v>0</v>
      </c>
    </row>
    <row r="14" spans="1:78" ht="13.5" thickBot="1">
      <c r="L14" s="3" t="s">
        <v>257</v>
      </c>
    </row>
    <row r="15" spans="1:78" ht="15" customHeight="1" thickBot="1">
      <c r="F15" s="203" t="s">
        <v>131</v>
      </c>
      <c r="G15" s="203"/>
      <c r="H15" s="203" t="s">
        <v>134</v>
      </c>
      <c r="I15" s="203"/>
      <c r="J15" s="202" t="s">
        <v>114</v>
      </c>
      <c r="K15" s="202"/>
      <c r="L15" s="11"/>
      <c r="M15" s="11"/>
      <c r="O15" s="201" t="s">
        <v>135</v>
      </c>
      <c r="P15" s="201"/>
      <c r="Q15" s="201"/>
      <c r="R15" s="201"/>
      <c r="S15" s="201"/>
      <c r="T15" s="201"/>
      <c r="U15" s="201"/>
      <c r="V15" s="201" t="s">
        <v>136</v>
      </c>
      <c r="W15" s="201"/>
      <c r="X15" s="201"/>
      <c r="Y15" s="201"/>
      <c r="Z15" s="201"/>
      <c r="AA15" s="201"/>
      <c r="AB15" s="201"/>
      <c r="AC15" s="201" t="s">
        <v>137</v>
      </c>
      <c r="AD15" s="201"/>
      <c r="AE15" s="201"/>
      <c r="AF15" s="201"/>
      <c r="AG15" s="201"/>
      <c r="AH15" s="201"/>
      <c r="AI15" s="201"/>
      <c r="AJ15" s="201" t="s">
        <v>138</v>
      </c>
      <c r="AK15" s="201"/>
      <c r="AL15" s="201"/>
      <c r="AM15" s="201"/>
      <c r="AN15" s="201"/>
      <c r="AO15" s="201"/>
      <c r="AP15" s="201"/>
      <c r="AQ15" s="201" t="s">
        <v>139</v>
      </c>
      <c r="AR15" s="201"/>
      <c r="AS15" s="201"/>
      <c r="AT15" s="201"/>
      <c r="AU15" s="201"/>
      <c r="AV15" s="201"/>
      <c r="AW15" s="201"/>
      <c r="AX15" s="201" t="s">
        <v>140</v>
      </c>
      <c r="AY15" s="201"/>
      <c r="AZ15" s="201"/>
      <c r="BA15" s="201"/>
      <c r="BB15" s="201"/>
      <c r="BC15" s="201"/>
      <c r="BD15" s="201"/>
      <c r="BE15" s="201" t="s">
        <v>141</v>
      </c>
      <c r="BF15" s="201"/>
      <c r="BG15" s="201"/>
      <c r="BH15" s="201"/>
      <c r="BI15" s="201"/>
      <c r="BJ15" s="201"/>
      <c r="BK15" s="201"/>
      <c r="BL15" s="201" t="s">
        <v>142</v>
      </c>
      <c r="BM15" s="201"/>
      <c r="BN15" s="201"/>
      <c r="BO15" s="201"/>
      <c r="BP15" s="201"/>
      <c r="BQ15" s="201"/>
      <c r="BR15" s="201"/>
      <c r="BS15" s="201" t="s">
        <v>143</v>
      </c>
      <c r="BT15" s="201"/>
      <c r="BU15" s="201"/>
      <c r="BV15" s="201"/>
      <c r="BW15" s="201"/>
      <c r="BX15" s="201"/>
      <c r="BY15" s="201"/>
    </row>
    <row r="16" spans="1:78" ht="15" customHeight="1" thickBot="1">
      <c r="B16" s="51" t="s">
        <v>128</v>
      </c>
      <c r="C16" s="190" t="s">
        <v>129</v>
      </c>
      <c r="D16" s="191"/>
      <c r="E16" s="51" t="s">
        <v>130</v>
      </c>
      <c r="F16" s="53" t="s">
        <v>132</v>
      </c>
      <c r="G16" s="53" t="s">
        <v>133</v>
      </c>
      <c r="H16" s="53" t="s">
        <v>132</v>
      </c>
      <c r="I16" s="53" t="s">
        <v>133</v>
      </c>
      <c r="J16" s="99" t="s">
        <v>248</v>
      </c>
      <c r="K16" s="99" t="s">
        <v>249</v>
      </c>
      <c r="L16" s="82" t="s">
        <v>250</v>
      </c>
      <c r="M16" s="89" t="s">
        <v>238</v>
      </c>
      <c r="O16" s="52">
        <v>45789</v>
      </c>
      <c r="P16" s="52">
        <f>O16+1</f>
        <v>45790</v>
      </c>
      <c r="Q16" s="52">
        <f t="shared" ref="Q16:AK16" si="2">P16+1</f>
        <v>45791</v>
      </c>
      <c r="R16" s="52">
        <f t="shared" si="2"/>
        <v>45792</v>
      </c>
      <c r="S16" s="52">
        <f t="shared" si="2"/>
        <v>45793</v>
      </c>
      <c r="T16" s="52">
        <f t="shared" si="2"/>
        <v>45794</v>
      </c>
      <c r="U16" s="52">
        <f t="shared" si="2"/>
        <v>45795</v>
      </c>
      <c r="V16" s="52">
        <f t="shared" si="2"/>
        <v>45796</v>
      </c>
      <c r="W16" s="52">
        <f t="shared" si="2"/>
        <v>45797</v>
      </c>
      <c r="X16" s="52">
        <f t="shared" si="2"/>
        <v>45798</v>
      </c>
      <c r="Y16" s="52">
        <f t="shared" si="2"/>
        <v>45799</v>
      </c>
      <c r="Z16" s="52">
        <f t="shared" si="2"/>
        <v>45800</v>
      </c>
      <c r="AA16" s="52">
        <f t="shared" si="2"/>
        <v>45801</v>
      </c>
      <c r="AB16" s="52">
        <f t="shared" si="2"/>
        <v>45802</v>
      </c>
      <c r="AC16" s="52">
        <f t="shared" si="2"/>
        <v>45803</v>
      </c>
      <c r="AD16" s="52">
        <f t="shared" si="2"/>
        <v>45804</v>
      </c>
      <c r="AE16" s="52">
        <f t="shared" si="2"/>
        <v>45805</v>
      </c>
      <c r="AF16" s="52">
        <f t="shared" si="2"/>
        <v>45806</v>
      </c>
      <c r="AG16" s="52">
        <f t="shared" si="2"/>
        <v>45807</v>
      </c>
      <c r="AH16" s="52">
        <f t="shared" si="2"/>
        <v>45808</v>
      </c>
      <c r="AI16" s="52">
        <v>45809</v>
      </c>
      <c r="AJ16" s="52">
        <f t="shared" si="2"/>
        <v>45810</v>
      </c>
      <c r="AK16" s="52">
        <f t="shared" si="2"/>
        <v>45811</v>
      </c>
      <c r="AL16" s="52">
        <v>45812</v>
      </c>
      <c r="AM16" s="52">
        <f>AL16+1</f>
        <v>45813</v>
      </c>
      <c r="AN16" s="52">
        <f t="shared" ref="AN16:BR16" si="3">AM16+1</f>
        <v>45814</v>
      </c>
      <c r="AO16" s="52">
        <f t="shared" si="3"/>
        <v>45815</v>
      </c>
      <c r="AP16" s="52">
        <f t="shared" si="3"/>
        <v>45816</v>
      </c>
      <c r="AQ16" s="52">
        <f t="shared" si="3"/>
        <v>45817</v>
      </c>
      <c r="AR16" s="52">
        <f t="shared" si="3"/>
        <v>45818</v>
      </c>
      <c r="AS16" s="52">
        <f t="shared" si="3"/>
        <v>45819</v>
      </c>
      <c r="AT16" s="52">
        <f t="shared" si="3"/>
        <v>45820</v>
      </c>
      <c r="AU16" s="52">
        <f t="shared" si="3"/>
        <v>45821</v>
      </c>
      <c r="AV16" s="52">
        <f t="shared" si="3"/>
        <v>45822</v>
      </c>
      <c r="AW16" s="52">
        <f t="shared" si="3"/>
        <v>45823</v>
      </c>
      <c r="AX16" s="52">
        <f t="shared" si="3"/>
        <v>45824</v>
      </c>
      <c r="AY16" s="52">
        <f t="shared" si="3"/>
        <v>45825</v>
      </c>
      <c r="AZ16" s="52">
        <f t="shared" si="3"/>
        <v>45826</v>
      </c>
      <c r="BA16" s="52">
        <f t="shared" si="3"/>
        <v>45827</v>
      </c>
      <c r="BB16" s="52">
        <f t="shared" si="3"/>
        <v>45828</v>
      </c>
      <c r="BC16" s="52">
        <f t="shared" si="3"/>
        <v>45829</v>
      </c>
      <c r="BD16" s="52">
        <f t="shared" si="3"/>
        <v>45830</v>
      </c>
      <c r="BE16" s="52">
        <f t="shared" si="3"/>
        <v>45831</v>
      </c>
      <c r="BF16" s="52">
        <f t="shared" si="3"/>
        <v>45832</v>
      </c>
      <c r="BG16" s="52">
        <f t="shared" si="3"/>
        <v>45833</v>
      </c>
      <c r="BH16" s="52">
        <f t="shared" si="3"/>
        <v>45834</v>
      </c>
      <c r="BI16" s="52">
        <f t="shared" si="3"/>
        <v>45835</v>
      </c>
      <c r="BJ16" s="52">
        <f t="shared" si="3"/>
        <v>45836</v>
      </c>
      <c r="BK16" s="52">
        <f t="shared" si="3"/>
        <v>45837</v>
      </c>
      <c r="BL16" s="52">
        <f t="shared" si="3"/>
        <v>45838</v>
      </c>
      <c r="BM16" s="52">
        <f t="shared" si="3"/>
        <v>45839</v>
      </c>
      <c r="BN16" s="52">
        <f t="shared" si="3"/>
        <v>45840</v>
      </c>
      <c r="BO16" s="52">
        <f t="shared" si="3"/>
        <v>45841</v>
      </c>
      <c r="BP16" s="52">
        <f t="shared" si="3"/>
        <v>45842</v>
      </c>
      <c r="BQ16" s="52">
        <f t="shared" si="3"/>
        <v>45843</v>
      </c>
      <c r="BR16" s="52">
        <f t="shared" si="3"/>
        <v>45844</v>
      </c>
      <c r="BS16" s="52">
        <f t="shared" ref="BS16:BY16" si="4">BR16+1</f>
        <v>45845</v>
      </c>
      <c r="BT16" s="52">
        <f t="shared" si="4"/>
        <v>45846</v>
      </c>
      <c r="BU16" s="52">
        <f t="shared" si="4"/>
        <v>45847</v>
      </c>
      <c r="BV16" s="52">
        <f t="shared" si="4"/>
        <v>45848</v>
      </c>
      <c r="BW16" s="52">
        <f t="shared" si="4"/>
        <v>45849</v>
      </c>
      <c r="BX16" s="52">
        <f t="shared" si="4"/>
        <v>45850</v>
      </c>
      <c r="BY16" s="52">
        <f t="shared" si="4"/>
        <v>45851</v>
      </c>
    </row>
    <row r="17" spans="2:77" s="8" customFormat="1" ht="15" customHeight="1">
      <c r="B17" s="56" t="s">
        <v>144</v>
      </c>
      <c r="C17" s="192" t="s">
        <v>145</v>
      </c>
      <c r="D17" s="192"/>
      <c r="E17" s="54"/>
      <c r="F17" s="54"/>
      <c r="G17" s="54"/>
      <c r="H17" s="54"/>
      <c r="I17" s="54"/>
      <c r="J17" s="54"/>
      <c r="K17" s="54"/>
      <c r="L17" s="54"/>
      <c r="O17" s="55"/>
      <c r="P17" s="55"/>
      <c r="Q17" s="55"/>
      <c r="R17" s="55"/>
      <c r="S17" s="55"/>
      <c r="T17" s="95">
        <v>0</v>
      </c>
      <c r="U17" s="95">
        <v>0</v>
      </c>
      <c r="V17" s="55"/>
      <c r="W17" s="55"/>
      <c r="X17" s="55"/>
      <c r="Y17" s="55"/>
      <c r="Z17" s="55"/>
      <c r="AA17" s="95">
        <v>0</v>
      </c>
      <c r="AB17" s="95">
        <v>0</v>
      </c>
      <c r="AC17" s="55"/>
      <c r="AD17" s="55"/>
      <c r="AE17" s="55"/>
      <c r="AF17" s="55"/>
      <c r="AG17" s="55"/>
      <c r="AH17" s="95">
        <v>0</v>
      </c>
      <c r="AI17" s="95">
        <v>0</v>
      </c>
      <c r="AJ17" s="54"/>
      <c r="AK17" s="54"/>
      <c r="AL17" s="54"/>
      <c r="AM17" s="54"/>
      <c r="AN17" s="54"/>
      <c r="AO17" s="95">
        <v>0</v>
      </c>
      <c r="AP17" s="95">
        <v>0</v>
      </c>
      <c r="AQ17" s="54"/>
      <c r="AR17" s="77"/>
      <c r="AS17" s="54"/>
      <c r="AT17" s="54"/>
      <c r="AU17" s="77"/>
      <c r="AV17" s="95">
        <v>0</v>
      </c>
      <c r="AW17" s="95">
        <v>0</v>
      </c>
      <c r="AX17" s="54"/>
      <c r="AY17" s="54"/>
      <c r="AZ17" s="54"/>
      <c r="BA17" s="77"/>
      <c r="BB17" s="54"/>
      <c r="BC17" s="95">
        <v>0</v>
      </c>
      <c r="BD17" s="95">
        <v>0</v>
      </c>
      <c r="BE17" s="54"/>
      <c r="BF17" s="54"/>
      <c r="BG17" s="54"/>
      <c r="BH17" s="54"/>
      <c r="BI17" s="54"/>
      <c r="BJ17" s="95">
        <v>0</v>
      </c>
      <c r="BK17" s="95">
        <v>0</v>
      </c>
      <c r="BL17" s="54"/>
      <c r="BM17" s="54"/>
      <c r="BN17" s="54"/>
      <c r="BO17" s="54"/>
      <c r="BP17" s="54"/>
      <c r="BQ17" s="95">
        <v>0</v>
      </c>
      <c r="BR17" s="95">
        <v>0</v>
      </c>
      <c r="BS17" s="54"/>
      <c r="BT17" s="54"/>
      <c r="BU17" s="54"/>
      <c r="BV17" s="54"/>
      <c r="BW17" s="54"/>
      <c r="BX17" s="95">
        <v>0</v>
      </c>
      <c r="BY17" s="95">
        <v>0</v>
      </c>
    </row>
    <row r="18" spans="2:77" s="8" customFormat="1" ht="15" customHeight="1" outlineLevel="1">
      <c r="B18" s="65" t="s">
        <v>147</v>
      </c>
      <c r="C18" s="193" t="s">
        <v>237</v>
      </c>
      <c r="D18" s="193"/>
      <c r="E18" s="65" t="s">
        <v>234</v>
      </c>
      <c r="F18" s="65">
        <v>48</v>
      </c>
      <c r="G18" s="68">
        <f>F18/8/2</f>
        <v>3</v>
      </c>
      <c r="H18" s="59" cm="1">
        <f t="array" aca="1" ref="H18" ca="1">SUMPRODUCT((COLUMN(O18:BY18)&gt;=MIN(IF(O18:BY18&lt;&gt;"",COLUMN(O18:BY18))))*($O$16:$BY$16&lt;=TODAY())*(O18:BY18))</f>
        <v>48</v>
      </c>
      <c r="I18" s="68">
        <f ca="1">H18/8/2</f>
        <v>3</v>
      </c>
      <c r="J18" s="105" cm="1">
        <f t="array" aca="1" ref="J18" ca="1">SUMPRODUCT(($O$16:$Q$16&lt;=TODAY())*(O18:Q18))/F18</f>
        <v>1</v>
      </c>
      <c r="K18" s="105" cm="1">
        <f t="array" aca="1" ref="K18" ca="1">IFERROR(SUMPRODUCT(($O$16:$BY$16&lt;=TODAY())*(O18:BY18))/H18,"")</f>
        <v>1</v>
      </c>
      <c r="L18" s="104">
        <f ca="1">IFERROR(K18-J18,"")</f>
        <v>0</v>
      </c>
      <c r="M18" s="8">
        <f>SUM(O18:BY18)-F18</f>
        <v>0</v>
      </c>
      <c r="O18" s="92">
        <v>16</v>
      </c>
      <c r="P18" s="92">
        <v>16</v>
      </c>
      <c r="Q18" s="92">
        <v>16</v>
      </c>
      <c r="R18" s="58"/>
      <c r="S18" s="69"/>
      <c r="T18" s="96">
        <v>0</v>
      </c>
      <c r="U18" s="95">
        <v>0</v>
      </c>
      <c r="V18" s="71"/>
      <c r="W18" s="58"/>
      <c r="X18" s="58"/>
      <c r="Y18" s="58"/>
      <c r="Z18" s="58"/>
      <c r="AA18" s="96">
        <v>0</v>
      </c>
      <c r="AB18" s="95">
        <v>0</v>
      </c>
      <c r="AC18" s="58"/>
      <c r="AD18" s="58"/>
      <c r="AE18" s="58"/>
      <c r="AF18" s="58"/>
      <c r="AG18" s="58"/>
      <c r="AH18" s="96">
        <v>0</v>
      </c>
      <c r="AI18" s="95">
        <v>0</v>
      </c>
      <c r="AJ18" s="57"/>
      <c r="AK18" s="57"/>
      <c r="AL18" s="57"/>
      <c r="AM18" s="57"/>
      <c r="AN18" s="57"/>
      <c r="AO18" s="96">
        <v>0</v>
      </c>
      <c r="AP18" s="95">
        <v>0</v>
      </c>
      <c r="AQ18" s="73"/>
      <c r="AR18" s="78"/>
      <c r="AS18" s="75"/>
      <c r="AT18" s="57"/>
      <c r="AU18" s="78"/>
      <c r="AV18" s="96">
        <v>0</v>
      </c>
      <c r="AW18" s="95">
        <v>0</v>
      </c>
      <c r="AX18" s="57"/>
      <c r="AY18" s="57"/>
      <c r="AZ18" s="57"/>
      <c r="BA18" s="78"/>
      <c r="BB18" s="57"/>
      <c r="BC18" s="96">
        <v>0</v>
      </c>
      <c r="BD18" s="95">
        <v>0</v>
      </c>
      <c r="BE18" s="57"/>
      <c r="BF18" s="57"/>
      <c r="BG18" s="57"/>
      <c r="BH18" s="57"/>
      <c r="BI18" s="57"/>
      <c r="BJ18" s="96">
        <v>0</v>
      </c>
      <c r="BK18" s="95">
        <v>0</v>
      </c>
      <c r="BL18" s="57"/>
      <c r="BM18" s="57"/>
      <c r="BN18" s="57"/>
      <c r="BO18" s="57"/>
      <c r="BP18" s="57"/>
      <c r="BQ18" s="96">
        <v>0</v>
      </c>
      <c r="BR18" s="95">
        <v>0</v>
      </c>
      <c r="BS18" s="57"/>
      <c r="BT18" s="57"/>
      <c r="BU18" s="57"/>
      <c r="BV18" s="57"/>
      <c r="BW18" s="57"/>
      <c r="BX18" s="96">
        <v>0</v>
      </c>
      <c r="BY18" s="95">
        <v>0</v>
      </c>
    </row>
    <row r="19" spans="2:77" s="8" customFormat="1" ht="15" customHeight="1" outlineLevel="1">
      <c r="B19" s="65" t="s">
        <v>236</v>
      </c>
      <c r="C19" s="193" t="s">
        <v>148</v>
      </c>
      <c r="D19" s="193"/>
      <c r="E19" s="65" t="s">
        <v>149</v>
      </c>
      <c r="F19" s="65">
        <v>9</v>
      </c>
      <c r="G19" s="68">
        <f>F19/8</f>
        <v>1.125</v>
      </c>
      <c r="H19" s="65"/>
      <c r="I19" s="68"/>
      <c r="J19" s="68"/>
      <c r="K19" s="68"/>
      <c r="L19" s="65"/>
      <c r="O19" s="58"/>
      <c r="P19" s="58"/>
      <c r="Q19" s="58"/>
      <c r="R19" s="94" t="s">
        <v>247</v>
      </c>
      <c r="S19" s="69"/>
      <c r="T19" s="96">
        <v>0</v>
      </c>
      <c r="U19" s="97">
        <v>0</v>
      </c>
      <c r="V19" s="71"/>
      <c r="W19" s="58"/>
      <c r="X19" s="58"/>
      <c r="Y19" s="94" t="s">
        <v>247</v>
      </c>
      <c r="Z19" s="58"/>
      <c r="AA19" s="96">
        <v>0</v>
      </c>
      <c r="AB19" s="97">
        <v>0</v>
      </c>
      <c r="AC19" s="58"/>
      <c r="AD19" s="58"/>
      <c r="AE19" s="58"/>
      <c r="AF19" s="94" t="s">
        <v>247</v>
      </c>
      <c r="AG19" s="58"/>
      <c r="AH19" s="96">
        <v>0</v>
      </c>
      <c r="AI19" s="97">
        <v>0</v>
      </c>
      <c r="AJ19" s="57"/>
      <c r="AK19" s="57"/>
      <c r="AL19" s="57"/>
      <c r="AM19" s="94" t="s">
        <v>247</v>
      </c>
      <c r="AN19" s="57"/>
      <c r="AO19" s="96">
        <v>0</v>
      </c>
      <c r="AP19" s="97">
        <v>0</v>
      </c>
      <c r="AQ19" s="73"/>
      <c r="AR19" s="78"/>
      <c r="AS19" s="75"/>
      <c r="AT19" s="94" t="s">
        <v>247</v>
      </c>
      <c r="AU19" s="78"/>
      <c r="AV19" s="96">
        <v>0</v>
      </c>
      <c r="AW19" s="97">
        <v>0</v>
      </c>
      <c r="AX19" s="57"/>
      <c r="AY19" s="57"/>
      <c r="AZ19" s="94" t="s">
        <v>247</v>
      </c>
      <c r="BA19" s="78"/>
      <c r="BB19" s="57"/>
      <c r="BC19" s="96">
        <v>0</v>
      </c>
      <c r="BD19" s="97">
        <v>0</v>
      </c>
      <c r="BE19" s="57"/>
      <c r="BF19" s="57"/>
      <c r="BG19" s="57"/>
      <c r="BH19" s="94" t="s">
        <v>247</v>
      </c>
      <c r="BI19" s="57"/>
      <c r="BJ19" s="96">
        <v>0</v>
      </c>
      <c r="BK19" s="97">
        <v>0</v>
      </c>
      <c r="BL19" s="57"/>
      <c r="BM19" s="57"/>
      <c r="BN19" s="57"/>
      <c r="BO19" s="94" t="s">
        <v>247</v>
      </c>
      <c r="BP19" s="57"/>
      <c r="BQ19" s="96">
        <v>0</v>
      </c>
      <c r="BR19" s="97">
        <v>0</v>
      </c>
      <c r="BS19" s="57"/>
      <c r="BT19" s="57"/>
      <c r="BU19" s="57"/>
      <c r="BV19" s="94" t="s">
        <v>247</v>
      </c>
      <c r="BW19" s="57"/>
      <c r="BX19" s="96">
        <v>0</v>
      </c>
      <c r="BY19" s="97">
        <v>0</v>
      </c>
    </row>
    <row r="20" spans="2:77" s="8" customFormat="1" ht="15" customHeight="1">
      <c r="B20" s="56" t="s">
        <v>146</v>
      </c>
      <c r="C20" s="189" t="s">
        <v>150</v>
      </c>
      <c r="D20" s="189"/>
      <c r="E20" s="54"/>
      <c r="F20" s="54"/>
      <c r="G20" s="54"/>
      <c r="H20" s="54"/>
      <c r="I20" s="98"/>
      <c r="J20" s="98"/>
      <c r="K20" s="98"/>
      <c r="L20" s="54"/>
      <c r="O20" s="90" t="s">
        <v>235</v>
      </c>
      <c r="P20" s="55"/>
      <c r="Q20" s="55"/>
      <c r="R20" s="55"/>
      <c r="S20" s="55"/>
      <c r="T20" s="96">
        <v>0</v>
      </c>
      <c r="U20" s="97">
        <v>0</v>
      </c>
      <c r="V20" s="55"/>
      <c r="W20" s="55"/>
      <c r="X20" s="55"/>
      <c r="Y20" s="55"/>
      <c r="Z20" s="55"/>
      <c r="AA20" s="96">
        <v>0</v>
      </c>
      <c r="AB20" s="97">
        <v>0</v>
      </c>
      <c r="AC20" s="55"/>
      <c r="AD20" s="55"/>
      <c r="AE20" s="55"/>
      <c r="AF20" s="55"/>
      <c r="AG20" s="55"/>
      <c r="AH20" s="96">
        <v>0</v>
      </c>
      <c r="AI20" s="97">
        <v>0</v>
      </c>
      <c r="AJ20" s="54"/>
      <c r="AK20" s="54"/>
      <c r="AL20" s="54"/>
      <c r="AM20" s="54"/>
      <c r="AN20" s="54"/>
      <c r="AO20" s="96">
        <v>0</v>
      </c>
      <c r="AP20" s="97">
        <v>0</v>
      </c>
      <c r="AQ20" s="54"/>
      <c r="AR20" s="78"/>
      <c r="AS20" s="54"/>
      <c r="AT20" s="54"/>
      <c r="AU20" s="78"/>
      <c r="AV20" s="96">
        <v>0</v>
      </c>
      <c r="AW20" s="97">
        <v>0</v>
      </c>
      <c r="AX20" s="54"/>
      <c r="AY20" s="54"/>
      <c r="AZ20" s="54"/>
      <c r="BA20" s="78"/>
      <c r="BB20" s="54"/>
      <c r="BC20" s="96">
        <v>0</v>
      </c>
      <c r="BD20" s="97">
        <v>0</v>
      </c>
      <c r="BE20" s="54"/>
      <c r="BF20" s="54"/>
      <c r="BG20" s="54"/>
      <c r="BH20" s="54"/>
      <c r="BI20" s="54"/>
      <c r="BJ20" s="96">
        <v>0</v>
      </c>
      <c r="BK20" s="97">
        <v>0</v>
      </c>
      <c r="BL20" s="54"/>
      <c r="BM20" s="54"/>
      <c r="BN20" s="54"/>
      <c r="BO20" s="54"/>
      <c r="BP20" s="54"/>
      <c r="BQ20" s="96">
        <v>0</v>
      </c>
      <c r="BR20" s="97">
        <v>0</v>
      </c>
      <c r="BS20" s="54"/>
      <c r="BT20" s="54"/>
      <c r="BU20" s="54"/>
      <c r="BV20" s="54"/>
      <c r="BW20" s="54"/>
      <c r="BX20" s="96">
        <v>0</v>
      </c>
      <c r="BY20" s="97">
        <v>0</v>
      </c>
    </row>
    <row r="21" spans="2:77" s="8" customFormat="1" ht="15" customHeight="1" outlineLevel="1">
      <c r="B21" s="59" t="s">
        <v>151</v>
      </c>
      <c r="C21" s="60" t="s">
        <v>1</v>
      </c>
      <c r="D21" s="60" t="s">
        <v>90</v>
      </c>
      <c r="E21" s="59" t="s">
        <v>234</v>
      </c>
      <c r="F21" s="59">
        <f>SUMIFS('Detalhe Testes'!$F:$F,'Detalhe Testes'!$B:$B,'MacroPlano Equipa'!C21,'Detalhe Testes'!$C:$C,'MacroPlano Equipa'!D21)</f>
        <v>16</v>
      </c>
      <c r="G21" s="83">
        <f>F21/8</f>
        <v>2</v>
      </c>
      <c r="H21" s="59" cm="1">
        <f t="array" aca="1" ref="H21" ca="1">SUMPRODUCT((COLUMN(O21:BY21)&gt;=MIN(IF(O21:BY21&lt;&gt;"",COLUMN(O21:BY21))))*($O$16:$BY$16&lt;=TODAY())*(O21:BY21))</f>
        <v>8</v>
      </c>
      <c r="I21" s="83">
        <f ca="1">H21/8</f>
        <v>1</v>
      </c>
      <c r="J21" s="100"/>
      <c r="K21" s="100"/>
      <c r="L21" s="85"/>
      <c r="M21" s="8">
        <f t="shared" ref="M21:M48" si="5">SUM(O21:BY21)-F21</f>
        <v>0</v>
      </c>
      <c r="O21" s="84"/>
      <c r="P21" s="58"/>
      <c r="Q21" s="58"/>
      <c r="R21" s="58"/>
      <c r="S21" s="69"/>
      <c r="T21" s="96">
        <v>0</v>
      </c>
      <c r="U21" s="97">
        <v>0</v>
      </c>
      <c r="V21" s="93">
        <v>8</v>
      </c>
      <c r="W21" s="93">
        <v>8</v>
      </c>
      <c r="X21" s="58"/>
      <c r="Y21" s="58"/>
      <c r="Z21" s="58"/>
      <c r="AA21" s="96">
        <v>0</v>
      </c>
      <c r="AB21" s="97">
        <v>0</v>
      </c>
      <c r="AC21" s="58"/>
      <c r="AD21" s="58"/>
      <c r="AE21" s="58"/>
      <c r="AF21" s="58"/>
      <c r="AG21" s="58"/>
      <c r="AH21" s="96">
        <v>0</v>
      </c>
      <c r="AI21" s="97">
        <v>0</v>
      </c>
      <c r="AJ21" s="57"/>
      <c r="AK21" s="57"/>
      <c r="AL21" s="57"/>
      <c r="AM21" s="57"/>
      <c r="AN21" s="57"/>
      <c r="AO21" s="96">
        <v>0</v>
      </c>
      <c r="AP21" s="97">
        <v>0</v>
      </c>
      <c r="AQ21" s="73"/>
      <c r="AR21" s="78"/>
      <c r="AS21" s="75"/>
      <c r="AT21" s="57"/>
      <c r="AU21" s="78"/>
      <c r="AV21" s="96">
        <v>0</v>
      </c>
      <c r="AW21" s="97">
        <v>0</v>
      </c>
      <c r="AX21" s="57"/>
      <c r="AY21" s="57"/>
      <c r="AZ21" s="57"/>
      <c r="BA21" s="78"/>
      <c r="BB21" s="57"/>
      <c r="BC21" s="96">
        <v>0</v>
      </c>
      <c r="BD21" s="97">
        <v>0</v>
      </c>
      <c r="BE21" s="57"/>
      <c r="BF21" s="57"/>
      <c r="BG21" s="57"/>
      <c r="BH21" s="57"/>
      <c r="BI21" s="57"/>
      <c r="BJ21" s="96">
        <v>0</v>
      </c>
      <c r="BK21" s="97">
        <v>0</v>
      </c>
      <c r="BL21" s="57"/>
      <c r="BM21" s="57"/>
      <c r="BN21" s="57"/>
      <c r="BO21" s="57"/>
      <c r="BP21" s="57"/>
      <c r="BQ21" s="96">
        <v>0</v>
      </c>
      <c r="BR21" s="97">
        <v>0</v>
      </c>
      <c r="BS21" s="57"/>
      <c r="BT21" s="57"/>
      <c r="BU21" s="57"/>
      <c r="BV21" s="57"/>
      <c r="BW21" s="57"/>
      <c r="BX21" s="96">
        <v>0</v>
      </c>
      <c r="BY21" s="97">
        <v>0</v>
      </c>
    </row>
    <row r="22" spans="2:77" s="8" customFormat="1" ht="15" customHeight="1" outlineLevel="1">
      <c r="B22" s="59" t="s">
        <v>152</v>
      </c>
      <c r="C22" s="60" t="s">
        <v>1</v>
      </c>
      <c r="D22" s="60" t="s">
        <v>5</v>
      </c>
      <c r="E22" s="59" t="s">
        <v>234</v>
      </c>
      <c r="F22" s="59">
        <f>SUMIFS('Detalhe Testes'!$F:$F,'Detalhe Testes'!$B:$B,'MacroPlano Equipa'!C22,'Detalhe Testes'!$C:$C,'MacroPlano Equipa'!D22)</f>
        <v>5</v>
      </c>
      <c r="G22" s="83">
        <f t="shared" ref="G22:G85" si="6">F22/8</f>
        <v>0.625</v>
      </c>
      <c r="H22" s="59" cm="1">
        <f t="array" aca="1" ref="H22" ca="1">SUMPRODUCT((COLUMN(O22:BY22)&gt;=MIN(IF(O22:BY22&lt;&gt;"",COLUMN(O22:BY22))))*($O$16:$BY$16&lt;=TODAY())*(O22:BY22))</f>
        <v>0</v>
      </c>
      <c r="I22" s="83">
        <f t="shared" ref="I22:I33" ca="1" si="7">H22/8</f>
        <v>0</v>
      </c>
      <c r="J22" s="100"/>
      <c r="K22" s="100"/>
      <c r="L22" s="85"/>
      <c r="M22" s="8">
        <f t="shared" si="5"/>
        <v>0</v>
      </c>
      <c r="O22" s="58"/>
      <c r="P22" s="58"/>
      <c r="Q22" s="58"/>
      <c r="R22" s="58"/>
      <c r="S22" s="69"/>
      <c r="T22" s="96">
        <v>0</v>
      </c>
      <c r="U22" s="97">
        <v>0</v>
      </c>
      <c r="V22" s="71"/>
      <c r="W22" s="93">
        <v>3</v>
      </c>
      <c r="X22" s="93">
        <v>2</v>
      </c>
      <c r="Y22" s="58"/>
      <c r="Z22" s="58"/>
      <c r="AA22" s="96">
        <v>0</v>
      </c>
      <c r="AB22" s="97">
        <v>0</v>
      </c>
      <c r="AC22" s="58"/>
      <c r="AD22" s="58"/>
      <c r="AE22" s="58"/>
      <c r="AF22" s="58"/>
      <c r="AG22" s="58"/>
      <c r="AH22" s="96">
        <v>0</v>
      </c>
      <c r="AI22" s="97">
        <v>0</v>
      </c>
      <c r="AJ22" s="57"/>
      <c r="AK22" s="57"/>
      <c r="AL22" s="57"/>
      <c r="AM22" s="57"/>
      <c r="AN22" s="57"/>
      <c r="AO22" s="96">
        <v>0</v>
      </c>
      <c r="AP22" s="97">
        <v>0</v>
      </c>
      <c r="AQ22" s="73"/>
      <c r="AR22" s="78"/>
      <c r="AS22" s="75"/>
      <c r="AT22" s="57"/>
      <c r="AU22" s="78"/>
      <c r="AV22" s="96">
        <v>0</v>
      </c>
      <c r="AW22" s="97">
        <v>0</v>
      </c>
      <c r="AX22" s="57"/>
      <c r="AY22" s="57"/>
      <c r="AZ22" s="57"/>
      <c r="BA22" s="78"/>
      <c r="BB22" s="57"/>
      <c r="BC22" s="96">
        <v>0</v>
      </c>
      <c r="BD22" s="97">
        <v>0</v>
      </c>
      <c r="BE22" s="57"/>
      <c r="BF22" s="57"/>
      <c r="BG22" s="57"/>
      <c r="BH22" s="57"/>
      <c r="BI22" s="57"/>
      <c r="BJ22" s="96">
        <v>0</v>
      </c>
      <c r="BK22" s="97">
        <v>0</v>
      </c>
      <c r="BL22" s="57"/>
      <c r="BM22" s="57"/>
      <c r="BN22" s="57"/>
      <c r="BO22" s="57"/>
      <c r="BP22" s="57"/>
      <c r="BQ22" s="96">
        <v>0</v>
      </c>
      <c r="BR22" s="97">
        <v>0</v>
      </c>
      <c r="BS22" s="57"/>
      <c r="BT22" s="57"/>
      <c r="BU22" s="57"/>
      <c r="BV22" s="57"/>
      <c r="BW22" s="57"/>
      <c r="BX22" s="96">
        <v>0</v>
      </c>
      <c r="BY22" s="97">
        <v>0</v>
      </c>
    </row>
    <row r="23" spans="2:77" s="8" customFormat="1" ht="15" customHeight="1" outlineLevel="1">
      <c r="B23" s="61" t="s">
        <v>153</v>
      </c>
      <c r="C23" s="60" t="s">
        <v>1</v>
      </c>
      <c r="D23" s="62" t="s">
        <v>25</v>
      </c>
      <c r="E23" s="59" t="s">
        <v>234</v>
      </c>
      <c r="F23" s="61">
        <f>SUMIFS('Detalhe Testes'!$F:$F,'Detalhe Testes'!$B:$B,'MacroPlano Equipa'!C23,'Detalhe Testes'!$C:$C,'MacroPlano Equipa'!D23)</f>
        <v>3</v>
      </c>
      <c r="G23" s="83">
        <f t="shared" si="6"/>
        <v>0.375</v>
      </c>
      <c r="H23" s="59" cm="1">
        <f t="array" aca="1" ref="H23" ca="1">SUMPRODUCT((COLUMN(O23:BY23)&gt;=MIN(IF(O23:BY23&lt;&gt;"",COLUMN(O23:BY23))))*($O$16:$BY$16&lt;=TODAY())*(O23:BY23))</f>
        <v>3</v>
      </c>
      <c r="I23" s="83">
        <f t="shared" ca="1" si="7"/>
        <v>0.375</v>
      </c>
      <c r="J23" s="101"/>
      <c r="K23" s="101"/>
      <c r="L23" s="86"/>
      <c r="M23" s="8">
        <f t="shared" si="5"/>
        <v>0</v>
      </c>
      <c r="O23" s="58"/>
      <c r="P23" s="58"/>
      <c r="Q23" s="58"/>
      <c r="R23" s="92">
        <v>3</v>
      </c>
      <c r="S23" s="69"/>
      <c r="T23" s="96">
        <v>0</v>
      </c>
      <c r="U23" s="97">
        <v>0</v>
      </c>
      <c r="V23" s="71"/>
      <c r="W23" s="58"/>
      <c r="X23" s="58"/>
      <c r="Y23" s="58"/>
      <c r="Z23" s="58"/>
      <c r="AA23" s="96">
        <v>0</v>
      </c>
      <c r="AB23" s="97">
        <v>0</v>
      </c>
      <c r="AC23" s="58"/>
      <c r="AD23" s="58"/>
      <c r="AE23" s="58"/>
      <c r="AF23" s="58"/>
      <c r="AG23" s="58"/>
      <c r="AH23" s="96">
        <v>0</v>
      </c>
      <c r="AI23" s="97">
        <v>0</v>
      </c>
      <c r="AJ23" s="57"/>
      <c r="AK23" s="57"/>
      <c r="AL23" s="57"/>
      <c r="AM23" s="57"/>
      <c r="AN23" s="57"/>
      <c r="AO23" s="96">
        <v>0</v>
      </c>
      <c r="AP23" s="97">
        <v>0</v>
      </c>
      <c r="AQ23" s="73"/>
      <c r="AR23" s="78"/>
      <c r="AS23" s="75"/>
      <c r="AT23" s="57"/>
      <c r="AU23" s="78"/>
      <c r="AV23" s="96">
        <v>0</v>
      </c>
      <c r="AW23" s="97">
        <v>0</v>
      </c>
      <c r="AX23" s="57"/>
      <c r="AY23" s="57"/>
      <c r="AZ23" s="57"/>
      <c r="BA23" s="78"/>
      <c r="BB23" s="57"/>
      <c r="BC23" s="96">
        <v>0</v>
      </c>
      <c r="BD23" s="97">
        <v>0</v>
      </c>
      <c r="BE23" s="57"/>
      <c r="BF23" s="57"/>
      <c r="BG23" s="57"/>
      <c r="BH23" s="57"/>
      <c r="BI23" s="57"/>
      <c r="BJ23" s="96">
        <v>0</v>
      </c>
      <c r="BK23" s="97">
        <v>0</v>
      </c>
      <c r="BL23" s="57"/>
      <c r="BM23" s="57"/>
      <c r="BN23" s="57"/>
      <c r="BO23" s="57"/>
      <c r="BP23" s="57"/>
      <c r="BQ23" s="96">
        <v>0</v>
      </c>
      <c r="BR23" s="97">
        <v>0</v>
      </c>
      <c r="BS23" s="57"/>
      <c r="BT23" s="57"/>
      <c r="BU23" s="57"/>
      <c r="BV23" s="57"/>
      <c r="BW23" s="57"/>
      <c r="BX23" s="96">
        <v>0</v>
      </c>
      <c r="BY23" s="97">
        <v>0</v>
      </c>
    </row>
    <row r="24" spans="2:77" s="8" customFormat="1" ht="15" customHeight="1" outlineLevel="1">
      <c r="B24" s="59" t="str">
        <f>_xlfn.CONCAT(B20,RIGHT(B23,1)+1)</f>
        <v>1.4</v>
      </c>
      <c r="C24" s="60" t="s">
        <v>1</v>
      </c>
      <c r="D24" s="62" t="s">
        <v>26</v>
      </c>
      <c r="E24" s="59" t="s">
        <v>234</v>
      </c>
      <c r="F24" s="59">
        <f>SUMIFS('Detalhe Testes'!$F:$F,'Detalhe Testes'!$B:$B,'MacroPlano Equipa'!C24,'Detalhe Testes'!$C:$C,'MacroPlano Equipa'!D24)</f>
        <v>3</v>
      </c>
      <c r="G24" s="83">
        <f t="shared" si="6"/>
        <v>0.375</v>
      </c>
      <c r="H24" s="59" cm="1">
        <f t="array" aca="1" ref="H24" ca="1">SUMPRODUCT((COLUMN(O24:BY24)&gt;=MIN(IF(O24:BY24&lt;&gt;"",COLUMN(O24:BY24))))*($O$16:$BY$16&lt;=TODAY())*(O24:BY24))</f>
        <v>3</v>
      </c>
      <c r="I24" s="83">
        <f t="shared" ca="1" si="7"/>
        <v>0.375</v>
      </c>
      <c r="J24" s="100"/>
      <c r="K24" s="100"/>
      <c r="L24" s="85"/>
      <c r="M24" s="8">
        <f t="shared" si="5"/>
        <v>0</v>
      </c>
      <c r="O24" s="58"/>
      <c r="P24" s="58"/>
      <c r="Q24" s="58"/>
      <c r="R24" s="92">
        <v>3</v>
      </c>
      <c r="S24" s="69"/>
      <c r="T24" s="96">
        <v>0</v>
      </c>
      <c r="U24" s="97">
        <v>0</v>
      </c>
      <c r="V24" s="71"/>
      <c r="W24" s="58"/>
      <c r="X24" s="58"/>
      <c r="Y24" s="58"/>
      <c r="Z24" s="58"/>
      <c r="AA24" s="96">
        <v>0</v>
      </c>
      <c r="AB24" s="97">
        <v>0</v>
      </c>
      <c r="AC24" s="58"/>
      <c r="AD24" s="58"/>
      <c r="AE24" s="58"/>
      <c r="AF24" s="58"/>
      <c r="AG24" s="58"/>
      <c r="AH24" s="96">
        <v>0</v>
      </c>
      <c r="AI24" s="97">
        <v>0</v>
      </c>
      <c r="AJ24" s="57"/>
      <c r="AK24" s="57"/>
      <c r="AL24" s="57"/>
      <c r="AM24" s="57"/>
      <c r="AN24" s="57"/>
      <c r="AO24" s="96">
        <v>0</v>
      </c>
      <c r="AP24" s="97">
        <v>0</v>
      </c>
      <c r="AQ24" s="73"/>
      <c r="AR24" s="78"/>
      <c r="AS24" s="75"/>
      <c r="AT24" s="57"/>
      <c r="AU24" s="78"/>
      <c r="AV24" s="96">
        <v>0</v>
      </c>
      <c r="AW24" s="97">
        <v>0</v>
      </c>
      <c r="AX24" s="57"/>
      <c r="AY24" s="57"/>
      <c r="AZ24" s="57"/>
      <c r="BA24" s="78"/>
      <c r="BB24" s="57"/>
      <c r="BC24" s="96">
        <v>0</v>
      </c>
      <c r="BD24" s="97">
        <v>0</v>
      </c>
      <c r="BE24" s="57"/>
      <c r="BF24" s="57"/>
      <c r="BG24" s="57"/>
      <c r="BH24" s="57"/>
      <c r="BI24" s="57"/>
      <c r="BJ24" s="96">
        <v>0</v>
      </c>
      <c r="BK24" s="97">
        <v>0</v>
      </c>
      <c r="BL24" s="57"/>
      <c r="BM24" s="57"/>
      <c r="BN24" s="57"/>
      <c r="BO24" s="57"/>
      <c r="BP24" s="57"/>
      <c r="BQ24" s="96">
        <v>0</v>
      </c>
      <c r="BR24" s="97">
        <v>0</v>
      </c>
      <c r="BS24" s="57"/>
      <c r="BT24" s="57"/>
      <c r="BU24" s="57"/>
      <c r="BV24" s="57"/>
      <c r="BW24" s="57"/>
      <c r="BX24" s="96">
        <v>0</v>
      </c>
      <c r="BY24" s="97">
        <v>0</v>
      </c>
    </row>
    <row r="25" spans="2:77" s="8" customFormat="1" ht="15" customHeight="1" outlineLevel="1">
      <c r="B25" s="63" t="s">
        <v>154</v>
      </c>
      <c r="C25" s="60" t="s">
        <v>1</v>
      </c>
      <c r="D25" s="62" t="s">
        <v>27</v>
      </c>
      <c r="E25" s="59" t="s">
        <v>234</v>
      </c>
      <c r="F25" s="63">
        <f>SUMIFS('Detalhe Testes'!$F:$F,'Detalhe Testes'!$B:$B,'MacroPlano Equipa'!C25,'Detalhe Testes'!$C:$C,'MacroPlano Equipa'!D25)</f>
        <v>3</v>
      </c>
      <c r="G25" s="83">
        <f t="shared" si="6"/>
        <v>0.375</v>
      </c>
      <c r="H25" s="59" cm="1">
        <f t="array" aca="1" ref="H25" ca="1">SUMPRODUCT((COLUMN(O25:BY25)&gt;=MIN(IF(O25:BY25&lt;&gt;"",COLUMN(O25:BY25))))*($O$16:$BY$16&lt;=TODAY())*(O25:BY25))</f>
        <v>3</v>
      </c>
      <c r="I25" s="83">
        <f t="shared" ca="1" si="7"/>
        <v>0.375</v>
      </c>
      <c r="J25" s="102"/>
      <c r="K25" s="102"/>
      <c r="L25" s="87"/>
      <c r="M25" s="8">
        <f t="shared" si="5"/>
        <v>0</v>
      </c>
      <c r="O25" s="58"/>
      <c r="P25" s="58"/>
      <c r="Q25" s="58"/>
      <c r="R25" s="92">
        <v>3</v>
      </c>
      <c r="S25" s="69"/>
      <c r="T25" s="96">
        <v>0</v>
      </c>
      <c r="U25" s="97">
        <v>0</v>
      </c>
      <c r="V25" s="71"/>
      <c r="W25" s="58"/>
      <c r="X25" s="58"/>
      <c r="Y25" s="58"/>
      <c r="Z25" s="58"/>
      <c r="AA25" s="96">
        <v>0</v>
      </c>
      <c r="AB25" s="97">
        <v>0</v>
      </c>
      <c r="AC25" s="58"/>
      <c r="AD25" s="58"/>
      <c r="AE25" s="58"/>
      <c r="AF25" s="58"/>
      <c r="AG25" s="58"/>
      <c r="AH25" s="96">
        <v>0</v>
      </c>
      <c r="AI25" s="97">
        <v>0</v>
      </c>
      <c r="AJ25" s="57"/>
      <c r="AK25" s="57"/>
      <c r="AL25" s="57"/>
      <c r="AM25" s="57"/>
      <c r="AN25" s="57"/>
      <c r="AO25" s="96">
        <v>0</v>
      </c>
      <c r="AP25" s="97">
        <v>0</v>
      </c>
      <c r="AQ25" s="73"/>
      <c r="AR25" s="78"/>
      <c r="AS25" s="75"/>
      <c r="AT25" s="57"/>
      <c r="AU25" s="78"/>
      <c r="AV25" s="96">
        <v>0</v>
      </c>
      <c r="AW25" s="97">
        <v>0</v>
      </c>
      <c r="AX25" s="57"/>
      <c r="AY25" s="57"/>
      <c r="AZ25" s="57"/>
      <c r="BA25" s="78"/>
      <c r="BB25" s="57"/>
      <c r="BC25" s="96">
        <v>0</v>
      </c>
      <c r="BD25" s="97">
        <v>0</v>
      </c>
      <c r="BE25" s="57"/>
      <c r="BF25" s="57"/>
      <c r="BG25" s="57"/>
      <c r="BH25" s="57"/>
      <c r="BI25" s="57"/>
      <c r="BJ25" s="96">
        <v>0</v>
      </c>
      <c r="BK25" s="97">
        <v>0</v>
      </c>
      <c r="BL25" s="57"/>
      <c r="BM25" s="57"/>
      <c r="BN25" s="57"/>
      <c r="BO25" s="57"/>
      <c r="BP25" s="57"/>
      <c r="BQ25" s="96">
        <v>0</v>
      </c>
      <c r="BR25" s="97">
        <v>0</v>
      </c>
      <c r="BS25" s="57"/>
      <c r="BT25" s="57"/>
      <c r="BU25" s="57"/>
      <c r="BV25" s="57"/>
      <c r="BW25" s="57"/>
      <c r="BX25" s="96">
        <v>0</v>
      </c>
      <c r="BY25" s="97">
        <v>0</v>
      </c>
    </row>
    <row r="26" spans="2:77" s="8" customFormat="1" ht="15" customHeight="1" outlineLevel="1">
      <c r="B26" s="59" t="s">
        <v>155</v>
      </c>
      <c r="C26" s="60" t="s">
        <v>1</v>
      </c>
      <c r="D26" s="62" t="s">
        <v>28</v>
      </c>
      <c r="E26" s="59" t="s">
        <v>234</v>
      </c>
      <c r="F26" s="59">
        <f>SUMIFS('Detalhe Testes'!$F:$F,'Detalhe Testes'!$B:$B,'MacroPlano Equipa'!C26,'Detalhe Testes'!$C:$C,'MacroPlano Equipa'!D26)</f>
        <v>3</v>
      </c>
      <c r="G26" s="83">
        <f t="shared" si="6"/>
        <v>0.375</v>
      </c>
      <c r="H26" s="59" cm="1">
        <f t="array" aca="1" ref="H26" ca="1">SUMPRODUCT((COLUMN(O26:BY26)&gt;=MIN(IF(O26:BY26&lt;&gt;"",COLUMN(O26:BY26))))*($O$16:$BY$16&lt;=TODAY())*(O26:BY26))</f>
        <v>3</v>
      </c>
      <c r="I26" s="83">
        <f t="shared" ca="1" si="7"/>
        <v>0.375</v>
      </c>
      <c r="J26" s="100"/>
      <c r="K26" s="100"/>
      <c r="L26" s="85"/>
      <c r="M26" s="8">
        <f t="shared" si="5"/>
        <v>0</v>
      </c>
      <c r="O26" s="58"/>
      <c r="P26" s="58"/>
      <c r="Q26" s="58"/>
      <c r="R26" s="92">
        <v>3</v>
      </c>
      <c r="S26" s="69"/>
      <c r="T26" s="96">
        <v>0</v>
      </c>
      <c r="U26" s="97">
        <v>0</v>
      </c>
      <c r="V26" s="71"/>
      <c r="W26" s="58"/>
      <c r="X26" s="58"/>
      <c r="Y26" s="58"/>
      <c r="Z26" s="58"/>
      <c r="AA26" s="96">
        <v>0</v>
      </c>
      <c r="AB26" s="97">
        <v>0</v>
      </c>
      <c r="AC26" s="58"/>
      <c r="AD26" s="58"/>
      <c r="AE26" s="58"/>
      <c r="AF26" s="58"/>
      <c r="AG26" s="58"/>
      <c r="AH26" s="96">
        <v>0</v>
      </c>
      <c r="AI26" s="97">
        <v>0</v>
      </c>
      <c r="AJ26" s="57"/>
      <c r="AK26" s="57"/>
      <c r="AL26" s="57"/>
      <c r="AM26" s="57"/>
      <c r="AN26" s="57"/>
      <c r="AO26" s="96">
        <v>0</v>
      </c>
      <c r="AP26" s="97">
        <v>0</v>
      </c>
      <c r="AQ26" s="73"/>
      <c r="AR26" s="78"/>
      <c r="AS26" s="75"/>
      <c r="AT26" s="57"/>
      <c r="AU26" s="78"/>
      <c r="AV26" s="96">
        <v>0</v>
      </c>
      <c r="AW26" s="97">
        <v>0</v>
      </c>
      <c r="AX26" s="57"/>
      <c r="AY26" s="57"/>
      <c r="AZ26" s="57"/>
      <c r="BA26" s="78"/>
      <c r="BB26" s="57"/>
      <c r="BC26" s="96">
        <v>0</v>
      </c>
      <c r="BD26" s="97">
        <v>0</v>
      </c>
      <c r="BE26" s="57"/>
      <c r="BF26" s="57"/>
      <c r="BG26" s="57"/>
      <c r="BH26" s="57"/>
      <c r="BI26" s="57"/>
      <c r="BJ26" s="96">
        <v>0</v>
      </c>
      <c r="BK26" s="97">
        <v>0</v>
      </c>
      <c r="BL26" s="57"/>
      <c r="BM26" s="57"/>
      <c r="BN26" s="57"/>
      <c r="BO26" s="57"/>
      <c r="BP26" s="57"/>
      <c r="BQ26" s="96">
        <v>0</v>
      </c>
      <c r="BR26" s="97">
        <v>0</v>
      </c>
      <c r="BS26" s="57"/>
      <c r="BT26" s="57"/>
      <c r="BU26" s="57"/>
      <c r="BV26" s="57"/>
      <c r="BW26" s="57"/>
      <c r="BX26" s="96">
        <v>0</v>
      </c>
      <c r="BY26" s="97">
        <v>0</v>
      </c>
    </row>
    <row r="27" spans="2:77" s="8" customFormat="1" ht="15" customHeight="1" outlineLevel="1">
      <c r="B27" s="63" t="s">
        <v>156</v>
      </c>
      <c r="C27" s="60" t="s">
        <v>1</v>
      </c>
      <c r="D27" s="62" t="s">
        <v>29</v>
      </c>
      <c r="E27" s="59" t="s">
        <v>234</v>
      </c>
      <c r="F27" s="63">
        <f>SUMIFS('Detalhe Testes'!$F:$F,'Detalhe Testes'!$B:$B,'MacroPlano Equipa'!C27,'Detalhe Testes'!$C:$C,'MacroPlano Equipa'!D27)</f>
        <v>3</v>
      </c>
      <c r="G27" s="83">
        <f t="shared" si="6"/>
        <v>0.375</v>
      </c>
      <c r="H27" s="59" cm="1">
        <f t="array" aca="1" ref="H27" ca="1">SUMPRODUCT((COLUMN(O27:BY27)&gt;=MIN(IF(O27:BY27&lt;&gt;"",COLUMN(O27:BY27))))*($O$16:$BY$16&lt;=TODAY())*(O27:BY27))</f>
        <v>3</v>
      </c>
      <c r="I27" s="83">
        <f t="shared" ca="1" si="7"/>
        <v>0.375</v>
      </c>
      <c r="J27" s="102"/>
      <c r="K27" s="102"/>
      <c r="L27" s="87"/>
      <c r="M27" s="8">
        <f t="shared" si="5"/>
        <v>0</v>
      </c>
      <c r="O27" s="58"/>
      <c r="P27" s="58"/>
      <c r="Q27" s="58"/>
      <c r="R27" s="92">
        <v>3</v>
      </c>
      <c r="S27" s="69"/>
      <c r="T27" s="96">
        <v>0</v>
      </c>
      <c r="U27" s="97">
        <v>0</v>
      </c>
      <c r="V27" s="71"/>
      <c r="W27" s="58"/>
      <c r="X27" s="58"/>
      <c r="Y27" s="58"/>
      <c r="Z27" s="58"/>
      <c r="AA27" s="96">
        <v>0</v>
      </c>
      <c r="AB27" s="97">
        <v>0</v>
      </c>
      <c r="AC27" s="58"/>
      <c r="AD27" s="58"/>
      <c r="AE27" s="58"/>
      <c r="AF27" s="58"/>
      <c r="AG27" s="58"/>
      <c r="AH27" s="96">
        <v>0</v>
      </c>
      <c r="AI27" s="97">
        <v>0</v>
      </c>
      <c r="AJ27" s="57"/>
      <c r="AK27" s="57"/>
      <c r="AL27" s="57"/>
      <c r="AM27" s="57"/>
      <c r="AN27" s="57"/>
      <c r="AO27" s="96">
        <v>0</v>
      </c>
      <c r="AP27" s="97">
        <v>0</v>
      </c>
      <c r="AQ27" s="73"/>
      <c r="AR27" s="78"/>
      <c r="AS27" s="75"/>
      <c r="AT27" s="57"/>
      <c r="AU27" s="78"/>
      <c r="AV27" s="96">
        <v>0</v>
      </c>
      <c r="AW27" s="97">
        <v>0</v>
      </c>
      <c r="AX27" s="57"/>
      <c r="AY27" s="57"/>
      <c r="AZ27" s="57"/>
      <c r="BA27" s="78"/>
      <c r="BB27" s="57"/>
      <c r="BC27" s="96">
        <v>0</v>
      </c>
      <c r="BD27" s="97">
        <v>0</v>
      </c>
      <c r="BE27" s="57"/>
      <c r="BF27" s="57"/>
      <c r="BG27" s="57"/>
      <c r="BH27" s="57"/>
      <c r="BI27" s="57"/>
      <c r="BJ27" s="96">
        <v>0</v>
      </c>
      <c r="BK27" s="97">
        <v>0</v>
      </c>
      <c r="BL27" s="57"/>
      <c r="BM27" s="57"/>
      <c r="BN27" s="57"/>
      <c r="BO27" s="57"/>
      <c r="BP27" s="57"/>
      <c r="BQ27" s="96">
        <v>0</v>
      </c>
      <c r="BR27" s="97">
        <v>0</v>
      </c>
      <c r="BS27" s="57"/>
      <c r="BT27" s="57"/>
      <c r="BU27" s="57"/>
      <c r="BV27" s="57"/>
      <c r="BW27" s="57"/>
      <c r="BX27" s="96">
        <v>0</v>
      </c>
      <c r="BY27" s="97">
        <v>0</v>
      </c>
    </row>
    <row r="28" spans="2:77" s="8" customFormat="1" ht="15" customHeight="1" outlineLevel="1">
      <c r="B28" s="59" t="s">
        <v>157</v>
      </c>
      <c r="C28" s="60" t="s">
        <v>1</v>
      </c>
      <c r="D28" s="62" t="s">
        <v>30</v>
      </c>
      <c r="E28" s="59" t="s">
        <v>234</v>
      </c>
      <c r="F28" s="59">
        <f>SUMIFS('Detalhe Testes'!$F:$F,'Detalhe Testes'!$B:$B,'MacroPlano Equipa'!C28,'Detalhe Testes'!$C:$C,'MacroPlano Equipa'!D28)</f>
        <v>3</v>
      </c>
      <c r="G28" s="83">
        <f t="shared" si="6"/>
        <v>0.375</v>
      </c>
      <c r="H28" s="59" cm="1">
        <f t="array" aca="1" ref="H28" ca="1">SUMPRODUCT((COLUMN(O28:BY28)&gt;=MIN(IF(O28:BY28&lt;&gt;"",COLUMN(O28:BY28))))*($O$16:$BY$16&lt;=TODAY())*(O28:BY28))</f>
        <v>3</v>
      </c>
      <c r="I28" s="83">
        <f t="shared" ca="1" si="7"/>
        <v>0.375</v>
      </c>
      <c r="J28" s="100"/>
      <c r="K28" s="100"/>
      <c r="L28" s="85"/>
      <c r="M28" s="8">
        <f t="shared" si="5"/>
        <v>0</v>
      </c>
      <c r="O28" s="58"/>
      <c r="P28" s="58"/>
      <c r="Q28" s="58"/>
      <c r="R28" s="92">
        <v>1</v>
      </c>
      <c r="S28" s="93">
        <v>2</v>
      </c>
      <c r="T28" s="96">
        <v>0</v>
      </c>
      <c r="U28" s="97">
        <v>0</v>
      </c>
      <c r="V28" s="71"/>
      <c r="W28" s="58"/>
      <c r="X28" s="58"/>
      <c r="Y28" s="58"/>
      <c r="Z28" s="58"/>
      <c r="AA28" s="96">
        <v>0</v>
      </c>
      <c r="AB28" s="97">
        <v>0</v>
      </c>
      <c r="AC28" s="58"/>
      <c r="AD28" s="58"/>
      <c r="AE28" s="58"/>
      <c r="AF28" s="58"/>
      <c r="AG28" s="58"/>
      <c r="AH28" s="96">
        <v>0</v>
      </c>
      <c r="AI28" s="97">
        <v>0</v>
      </c>
      <c r="AJ28" s="57"/>
      <c r="AK28" s="57"/>
      <c r="AL28" s="57"/>
      <c r="AM28" s="57"/>
      <c r="AN28" s="57"/>
      <c r="AO28" s="96">
        <v>0</v>
      </c>
      <c r="AP28" s="97">
        <v>0</v>
      </c>
      <c r="AQ28" s="73"/>
      <c r="AR28" s="78"/>
      <c r="AS28" s="75"/>
      <c r="AT28" s="57"/>
      <c r="AU28" s="78"/>
      <c r="AV28" s="96">
        <v>0</v>
      </c>
      <c r="AW28" s="97">
        <v>0</v>
      </c>
      <c r="AX28" s="57"/>
      <c r="AY28" s="57"/>
      <c r="AZ28" s="57"/>
      <c r="BA28" s="78"/>
      <c r="BB28" s="57"/>
      <c r="BC28" s="96">
        <v>0</v>
      </c>
      <c r="BD28" s="97">
        <v>0</v>
      </c>
      <c r="BE28" s="57"/>
      <c r="BF28" s="57"/>
      <c r="BG28" s="57"/>
      <c r="BH28" s="57"/>
      <c r="BI28" s="57"/>
      <c r="BJ28" s="96">
        <v>0</v>
      </c>
      <c r="BK28" s="97">
        <v>0</v>
      </c>
      <c r="BL28" s="57"/>
      <c r="BM28" s="57"/>
      <c r="BN28" s="57"/>
      <c r="BO28" s="57"/>
      <c r="BP28" s="57"/>
      <c r="BQ28" s="96">
        <v>0</v>
      </c>
      <c r="BR28" s="97">
        <v>0</v>
      </c>
      <c r="BS28" s="57"/>
      <c r="BT28" s="57"/>
      <c r="BU28" s="57"/>
      <c r="BV28" s="57"/>
      <c r="BW28" s="57"/>
      <c r="BX28" s="96">
        <v>0</v>
      </c>
      <c r="BY28" s="97">
        <v>0</v>
      </c>
    </row>
    <row r="29" spans="2:77" s="8" customFormat="1" ht="15" customHeight="1" outlineLevel="1">
      <c r="B29" s="63" t="s">
        <v>158</v>
      </c>
      <c r="C29" s="60" t="s">
        <v>1</v>
      </c>
      <c r="D29" s="62" t="s">
        <v>31</v>
      </c>
      <c r="E29" s="59" t="s">
        <v>234</v>
      </c>
      <c r="F29" s="63">
        <f>SUMIFS('Detalhe Testes'!$F:$F,'Detalhe Testes'!$B:$B,'MacroPlano Equipa'!C29,'Detalhe Testes'!$C:$C,'MacroPlano Equipa'!D29)</f>
        <v>3</v>
      </c>
      <c r="G29" s="83">
        <f t="shared" si="6"/>
        <v>0.375</v>
      </c>
      <c r="H29" s="59" cm="1">
        <f t="array" aca="1" ref="H29" ca="1">SUMPRODUCT((COLUMN(O29:BY29)&gt;=MIN(IF(O29:BY29&lt;&gt;"",COLUMN(O29:BY29))))*($O$16:$BY$16&lt;=TODAY())*(O29:BY29))</f>
        <v>3</v>
      </c>
      <c r="I29" s="83">
        <f t="shared" ca="1" si="7"/>
        <v>0.375</v>
      </c>
      <c r="J29" s="102"/>
      <c r="K29" s="102"/>
      <c r="L29" s="87"/>
      <c r="M29" s="8">
        <f t="shared" si="5"/>
        <v>0</v>
      </c>
      <c r="O29" s="58"/>
      <c r="P29" s="58"/>
      <c r="Q29" s="58"/>
      <c r="R29" s="58"/>
      <c r="S29" s="93">
        <v>3</v>
      </c>
      <c r="T29" s="96">
        <v>0</v>
      </c>
      <c r="U29" s="97">
        <v>0</v>
      </c>
      <c r="V29" s="71"/>
      <c r="W29" s="58"/>
      <c r="X29" s="58"/>
      <c r="Y29" s="58"/>
      <c r="Z29" s="58"/>
      <c r="AA29" s="96">
        <v>0</v>
      </c>
      <c r="AB29" s="97">
        <v>0</v>
      </c>
      <c r="AC29" s="58"/>
      <c r="AD29" s="58"/>
      <c r="AE29" s="58"/>
      <c r="AF29" s="58"/>
      <c r="AG29" s="58"/>
      <c r="AH29" s="96">
        <v>0</v>
      </c>
      <c r="AI29" s="97">
        <v>0</v>
      </c>
      <c r="AJ29" s="57"/>
      <c r="AK29" s="57"/>
      <c r="AL29" s="57"/>
      <c r="AM29" s="57"/>
      <c r="AN29" s="57"/>
      <c r="AO29" s="96">
        <v>0</v>
      </c>
      <c r="AP29" s="97">
        <v>0</v>
      </c>
      <c r="AQ29" s="73"/>
      <c r="AR29" s="78"/>
      <c r="AS29" s="75"/>
      <c r="AT29" s="57"/>
      <c r="AU29" s="78"/>
      <c r="AV29" s="96">
        <v>0</v>
      </c>
      <c r="AW29" s="97">
        <v>0</v>
      </c>
      <c r="AX29" s="57"/>
      <c r="AY29" s="57"/>
      <c r="AZ29" s="57"/>
      <c r="BA29" s="78"/>
      <c r="BB29" s="57"/>
      <c r="BC29" s="96">
        <v>0</v>
      </c>
      <c r="BD29" s="97">
        <v>0</v>
      </c>
      <c r="BE29" s="57"/>
      <c r="BF29" s="57"/>
      <c r="BG29" s="57"/>
      <c r="BH29" s="57"/>
      <c r="BI29" s="57"/>
      <c r="BJ29" s="96">
        <v>0</v>
      </c>
      <c r="BK29" s="97">
        <v>0</v>
      </c>
      <c r="BL29" s="57"/>
      <c r="BM29" s="57"/>
      <c r="BN29" s="57"/>
      <c r="BO29" s="57"/>
      <c r="BP29" s="57"/>
      <c r="BQ29" s="96">
        <v>0</v>
      </c>
      <c r="BR29" s="97">
        <v>0</v>
      </c>
      <c r="BS29" s="57"/>
      <c r="BT29" s="57"/>
      <c r="BU29" s="57"/>
      <c r="BV29" s="57"/>
      <c r="BW29" s="57"/>
      <c r="BX29" s="96">
        <v>0</v>
      </c>
      <c r="BY29" s="97">
        <v>0</v>
      </c>
    </row>
    <row r="30" spans="2:77" s="8" customFormat="1" ht="15" customHeight="1" outlineLevel="1">
      <c r="B30" s="64" t="s">
        <v>159</v>
      </c>
      <c r="C30" s="60" t="s">
        <v>1</v>
      </c>
      <c r="D30" s="62" t="s">
        <v>32</v>
      </c>
      <c r="E30" s="59" t="s">
        <v>234</v>
      </c>
      <c r="F30" s="64">
        <f>SUMIFS('Detalhe Testes'!$F:$F,'Detalhe Testes'!$B:$B,'MacroPlano Equipa'!C30,'Detalhe Testes'!$C:$C,'MacroPlano Equipa'!D30)</f>
        <v>3</v>
      </c>
      <c r="G30" s="83">
        <f t="shared" si="6"/>
        <v>0.375</v>
      </c>
      <c r="H30" s="59" cm="1">
        <f t="array" aca="1" ref="H30" ca="1">SUMPRODUCT((COLUMN(O30:BY30)&gt;=MIN(IF(O30:BY30&lt;&gt;"",COLUMN(O30:BY30))))*($O$16:$BY$16&lt;=TODAY())*(O30:BY30))</f>
        <v>3</v>
      </c>
      <c r="I30" s="83">
        <f t="shared" ca="1" si="7"/>
        <v>0.375</v>
      </c>
      <c r="J30" s="103"/>
      <c r="K30" s="103"/>
      <c r="L30" s="88"/>
      <c r="M30" s="8">
        <f t="shared" si="5"/>
        <v>0</v>
      </c>
      <c r="O30" s="58"/>
      <c r="P30" s="58"/>
      <c r="Q30" s="58"/>
      <c r="R30" s="58"/>
      <c r="S30" s="93">
        <v>3</v>
      </c>
      <c r="T30" s="96">
        <v>0</v>
      </c>
      <c r="U30" s="97">
        <v>0</v>
      </c>
      <c r="V30" s="71"/>
      <c r="W30" s="58"/>
      <c r="X30" s="58"/>
      <c r="Y30" s="58"/>
      <c r="Z30" s="58"/>
      <c r="AA30" s="96">
        <v>0</v>
      </c>
      <c r="AB30" s="97">
        <v>0</v>
      </c>
      <c r="AC30" s="58"/>
      <c r="AD30" s="58"/>
      <c r="AE30" s="58"/>
      <c r="AF30" s="58"/>
      <c r="AG30" s="58"/>
      <c r="AH30" s="96">
        <v>0</v>
      </c>
      <c r="AI30" s="97">
        <v>0</v>
      </c>
      <c r="AJ30" s="57"/>
      <c r="AK30" s="57"/>
      <c r="AL30" s="57"/>
      <c r="AM30" s="57"/>
      <c r="AN30" s="57"/>
      <c r="AO30" s="96">
        <v>0</v>
      </c>
      <c r="AP30" s="97">
        <v>0</v>
      </c>
      <c r="AQ30" s="73"/>
      <c r="AR30" s="78"/>
      <c r="AS30" s="75"/>
      <c r="AT30" s="57"/>
      <c r="AU30" s="78"/>
      <c r="AV30" s="96">
        <v>0</v>
      </c>
      <c r="AW30" s="97">
        <v>0</v>
      </c>
      <c r="AX30" s="57"/>
      <c r="AY30" s="57"/>
      <c r="AZ30" s="57"/>
      <c r="BA30" s="78"/>
      <c r="BB30" s="57"/>
      <c r="BC30" s="96">
        <v>0</v>
      </c>
      <c r="BD30" s="97">
        <v>0</v>
      </c>
      <c r="BE30" s="57"/>
      <c r="BF30" s="57"/>
      <c r="BG30" s="57"/>
      <c r="BH30" s="57"/>
      <c r="BI30" s="57"/>
      <c r="BJ30" s="96">
        <v>0</v>
      </c>
      <c r="BK30" s="97">
        <v>0</v>
      </c>
      <c r="BL30" s="57"/>
      <c r="BM30" s="57"/>
      <c r="BN30" s="57"/>
      <c r="BO30" s="57"/>
      <c r="BP30" s="57"/>
      <c r="BQ30" s="96">
        <v>0</v>
      </c>
      <c r="BR30" s="97">
        <v>0</v>
      </c>
      <c r="BS30" s="57"/>
      <c r="BT30" s="57"/>
      <c r="BU30" s="57"/>
      <c r="BV30" s="57"/>
      <c r="BW30" s="57"/>
      <c r="BX30" s="96">
        <v>0</v>
      </c>
      <c r="BY30" s="97">
        <v>0</v>
      </c>
    </row>
    <row r="31" spans="2:77" s="8" customFormat="1" ht="15" customHeight="1" outlineLevel="1">
      <c r="B31" s="59" t="s">
        <v>160</v>
      </c>
      <c r="C31" s="60" t="s">
        <v>1</v>
      </c>
      <c r="D31" s="62" t="s">
        <v>38</v>
      </c>
      <c r="E31" s="59" t="s">
        <v>234</v>
      </c>
      <c r="F31" s="59">
        <f>SUMIFS('Detalhe Testes'!$F:$F,'Detalhe Testes'!$B:$B,'MacroPlano Equipa'!C31,'Detalhe Testes'!$C:$C,'MacroPlano Equipa'!D31)</f>
        <v>3</v>
      </c>
      <c r="G31" s="83">
        <f t="shared" si="6"/>
        <v>0.375</v>
      </c>
      <c r="H31" s="59" cm="1">
        <f t="array" aca="1" ref="H31" ca="1">SUMPRODUCT((COLUMN(O31:BY31)&gt;=MIN(IF(O31:BY31&lt;&gt;"",COLUMN(O31:BY31))))*($O$16:$BY$16&lt;=TODAY())*(O31:BY31))</f>
        <v>3</v>
      </c>
      <c r="I31" s="83">
        <f t="shared" ca="1" si="7"/>
        <v>0.375</v>
      </c>
      <c r="J31" s="100"/>
      <c r="K31" s="100"/>
      <c r="L31" s="85"/>
      <c r="M31" s="8">
        <f t="shared" si="5"/>
        <v>0</v>
      </c>
      <c r="O31" s="58"/>
      <c r="P31" s="58"/>
      <c r="Q31" s="58"/>
      <c r="R31" s="58"/>
      <c r="S31" s="93">
        <v>3</v>
      </c>
      <c r="T31" s="96">
        <v>0</v>
      </c>
      <c r="U31" s="97">
        <v>0</v>
      </c>
      <c r="V31" s="71"/>
      <c r="W31" s="58"/>
      <c r="X31" s="58"/>
      <c r="Y31" s="58"/>
      <c r="Z31" s="58"/>
      <c r="AA31" s="96">
        <v>0</v>
      </c>
      <c r="AB31" s="97">
        <v>0</v>
      </c>
      <c r="AC31" s="58"/>
      <c r="AD31" s="58"/>
      <c r="AE31" s="58"/>
      <c r="AF31" s="58"/>
      <c r="AG31" s="58"/>
      <c r="AH31" s="96">
        <v>0</v>
      </c>
      <c r="AI31" s="97">
        <v>0</v>
      </c>
      <c r="AJ31" s="57"/>
      <c r="AK31" s="57"/>
      <c r="AL31" s="57"/>
      <c r="AM31" s="57"/>
      <c r="AN31" s="57"/>
      <c r="AO31" s="96">
        <v>0</v>
      </c>
      <c r="AP31" s="97">
        <v>0</v>
      </c>
      <c r="AQ31" s="73"/>
      <c r="AR31" s="78"/>
      <c r="AS31" s="75"/>
      <c r="AT31" s="57"/>
      <c r="AU31" s="78"/>
      <c r="AV31" s="96">
        <v>0</v>
      </c>
      <c r="AW31" s="97">
        <v>0</v>
      </c>
      <c r="AX31" s="57"/>
      <c r="AY31" s="57"/>
      <c r="AZ31" s="57"/>
      <c r="BA31" s="78"/>
      <c r="BB31" s="57"/>
      <c r="BC31" s="96">
        <v>0</v>
      </c>
      <c r="BD31" s="97">
        <v>0</v>
      </c>
      <c r="BE31" s="57"/>
      <c r="BF31" s="57"/>
      <c r="BG31" s="57"/>
      <c r="BH31" s="57"/>
      <c r="BI31" s="57"/>
      <c r="BJ31" s="96">
        <v>0</v>
      </c>
      <c r="BK31" s="97">
        <v>0</v>
      </c>
      <c r="BL31" s="57"/>
      <c r="BM31" s="57"/>
      <c r="BN31" s="57"/>
      <c r="BO31" s="57"/>
      <c r="BP31" s="57"/>
      <c r="BQ31" s="96">
        <v>0</v>
      </c>
      <c r="BR31" s="97">
        <v>0</v>
      </c>
      <c r="BS31" s="57"/>
      <c r="BT31" s="57"/>
      <c r="BU31" s="57"/>
      <c r="BV31" s="57"/>
      <c r="BW31" s="57"/>
      <c r="BX31" s="96">
        <v>0</v>
      </c>
      <c r="BY31" s="97">
        <v>0</v>
      </c>
    </row>
    <row r="32" spans="2:77" s="8" customFormat="1" ht="15" customHeight="1" outlineLevel="1">
      <c r="B32" s="59" t="s">
        <v>161</v>
      </c>
      <c r="C32" s="60" t="s">
        <v>1</v>
      </c>
      <c r="D32" s="60" t="s">
        <v>53</v>
      </c>
      <c r="E32" s="59" t="s">
        <v>234</v>
      </c>
      <c r="F32" s="59">
        <f>SUMIFS('Detalhe Testes'!$F:$F,'Detalhe Testes'!$B:$B,'MacroPlano Equipa'!C32,'Detalhe Testes'!$C:$C,'MacroPlano Equipa'!D32)</f>
        <v>11</v>
      </c>
      <c r="G32" s="83">
        <f t="shared" si="6"/>
        <v>1.375</v>
      </c>
      <c r="H32" s="59" cm="1">
        <f t="array" aca="1" ref="H32" ca="1">SUMPRODUCT((COLUMN(O32:BY32)&gt;=MIN(IF(O32:BY32&lt;&gt;"",COLUMN(O32:BY32))))*($O$16:$BY$16&lt;=TODAY())*(O32:BY32))</f>
        <v>6</v>
      </c>
      <c r="I32" s="83">
        <f t="shared" ca="1" si="7"/>
        <v>0.75</v>
      </c>
      <c r="J32" s="100"/>
      <c r="K32" s="100"/>
      <c r="L32" s="85"/>
      <c r="M32" s="8">
        <f t="shared" si="5"/>
        <v>0</v>
      </c>
      <c r="O32" s="58"/>
      <c r="P32" s="58"/>
      <c r="Q32" s="58"/>
      <c r="R32" s="58"/>
      <c r="S32" s="69"/>
      <c r="T32" s="96">
        <v>0</v>
      </c>
      <c r="U32" s="97">
        <v>0</v>
      </c>
      <c r="V32" s="93">
        <v>6</v>
      </c>
      <c r="W32" s="93">
        <v>5</v>
      </c>
      <c r="X32" s="58"/>
      <c r="Y32" s="58"/>
      <c r="Z32" s="58"/>
      <c r="AA32" s="96">
        <v>0</v>
      </c>
      <c r="AB32" s="97">
        <v>0</v>
      </c>
      <c r="AC32" s="58"/>
      <c r="AD32" s="58"/>
      <c r="AE32" s="58"/>
      <c r="AF32" s="58"/>
      <c r="AG32" s="58"/>
      <c r="AH32" s="96">
        <v>0</v>
      </c>
      <c r="AI32" s="97">
        <v>0</v>
      </c>
      <c r="AJ32" s="57"/>
      <c r="AK32" s="57"/>
      <c r="AL32" s="57"/>
      <c r="AM32" s="57"/>
      <c r="AN32" s="57"/>
      <c r="AO32" s="96">
        <v>0</v>
      </c>
      <c r="AP32" s="97">
        <v>0</v>
      </c>
      <c r="AQ32" s="73"/>
      <c r="AR32" s="78"/>
      <c r="AS32" s="75"/>
      <c r="AT32" s="57"/>
      <c r="AU32" s="78"/>
      <c r="AV32" s="96">
        <v>0</v>
      </c>
      <c r="AW32" s="97">
        <v>0</v>
      </c>
      <c r="AX32" s="57"/>
      <c r="AY32" s="57"/>
      <c r="AZ32" s="57"/>
      <c r="BA32" s="78"/>
      <c r="BB32" s="57"/>
      <c r="BC32" s="96">
        <v>0</v>
      </c>
      <c r="BD32" s="97">
        <v>0</v>
      </c>
      <c r="BE32" s="57"/>
      <c r="BF32" s="57"/>
      <c r="BG32" s="57"/>
      <c r="BH32" s="57"/>
      <c r="BI32" s="57"/>
      <c r="BJ32" s="96">
        <v>0</v>
      </c>
      <c r="BK32" s="97">
        <v>0</v>
      </c>
      <c r="BL32" s="57"/>
      <c r="BM32" s="57"/>
      <c r="BN32" s="57"/>
      <c r="BO32" s="57"/>
      <c r="BP32" s="57"/>
      <c r="BQ32" s="96">
        <v>0</v>
      </c>
      <c r="BR32" s="97">
        <v>0</v>
      </c>
      <c r="BS32" s="57"/>
      <c r="BT32" s="57"/>
      <c r="BU32" s="57"/>
      <c r="BV32" s="57"/>
      <c r="BW32" s="57"/>
      <c r="BX32" s="96">
        <v>0</v>
      </c>
      <c r="BY32" s="97">
        <v>0</v>
      </c>
    </row>
    <row r="33" spans="2:77" s="8" customFormat="1" ht="15" customHeight="1" outlineLevel="1">
      <c r="B33" s="59" t="s">
        <v>162</v>
      </c>
      <c r="C33" s="60" t="s">
        <v>1</v>
      </c>
      <c r="D33" s="60" t="s">
        <v>54</v>
      </c>
      <c r="E33" s="59" t="s">
        <v>234</v>
      </c>
      <c r="F33" s="59">
        <f>SUMIFS('Detalhe Testes'!$F:$F,'Detalhe Testes'!$B:$B,'MacroPlano Equipa'!C33,'Detalhe Testes'!$C:$C,'MacroPlano Equipa'!D33)</f>
        <v>7</v>
      </c>
      <c r="G33" s="83">
        <f t="shared" si="6"/>
        <v>0.875</v>
      </c>
      <c r="H33" s="59" cm="1">
        <f t="array" aca="1" ref="H33" ca="1">SUMPRODUCT((COLUMN(O33:BY33)&gt;=MIN(IF(O33:BY33&lt;&gt;"",COLUMN(O33:BY33))))*($O$16:$BY$16&lt;=TODAY())*(O33:BY33))</f>
        <v>7</v>
      </c>
      <c r="I33" s="83">
        <f t="shared" ca="1" si="7"/>
        <v>0.875</v>
      </c>
      <c r="J33" s="100"/>
      <c r="K33" s="100"/>
      <c r="L33" s="85"/>
      <c r="M33" s="8">
        <f t="shared" si="5"/>
        <v>0</v>
      </c>
      <c r="O33" s="58"/>
      <c r="P33" s="58"/>
      <c r="Q33" s="58"/>
      <c r="R33" s="58"/>
      <c r="S33" s="93">
        <v>5</v>
      </c>
      <c r="T33" s="96">
        <v>0</v>
      </c>
      <c r="U33" s="97">
        <v>0</v>
      </c>
      <c r="V33" s="93">
        <v>2</v>
      </c>
      <c r="W33" s="58"/>
      <c r="X33" s="58"/>
      <c r="Y33" s="58"/>
      <c r="Z33" s="58"/>
      <c r="AA33" s="96">
        <v>0</v>
      </c>
      <c r="AB33" s="97">
        <v>0</v>
      </c>
      <c r="AC33" s="58"/>
      <c r="AD33" s="58"/>
      <c r="AE33" s="58"/>
      <c r="AF33" s="58"/>
      <c r="AG33" s="58"/>
      <c r="AH33" s="96">
        <v>0</v>
      </c>
      <c r="AI33" s="97">
        <v>0</v>
      </c>
      <c r="AJ33" s="57"/>
      <c r="AK33" s="57"/>
      <c r="AL33" s="57"/>
      <c r="AM33" s="57"/>
      <c r="AN33" s="57"/>
      <c r="AO33" s="96">
        <v>0</v>
      </c>
      <c r="AP33" s="97">
        <v>0</v>
      </c>
      <c r="AQ33" s="73"/>
      <c r="AR33" s="78"/>
      <c r="AS33" s="75"/>
      <c r="AT33" s="57"/>
      <c r="AU33" s="78"/>
      <c r="AV33" s="96">
        <v>0</v>
      </c>
      <c r="AW33" s="97">
        <v>0</v>
      </c>
      <c r="AX33" s="57"/>
      <c r="AY33" s="57"/>
      <c r="AZ33" s="57"/>
      <c r="BA33" s="78"/>
      <c r="BB33" s="57"/>
      <c r="BC33" s="96">
        <v>0</v>
      </c>
      <c r="BD33" s="97">
        <v>0</v>
      </c>
      <c r="BE33" s="57"/>
      <c r="BF33" s="57"/>
      <c r="BG33" s="57"/>
      <c r="BH33" s="57"/>
      <c r="BI33" s="57"/>
      <c r="BJ33" s="96">
        <v>0</v>
      </c>
      <c r="BK33" s="97">
        <v>0</v>
      </c>
      <c r="BL33" s="57"/>
      <c r="BM33" s="57"/>
      <c r="BN33" s="57"/>
      <c r="BO33" s="57"/>
      <c r="BP33" s="57"/>
      <c r="BQ33" s="96">
        <v>0</v>
      </c>
      <c r="BR33" s="97">
        <v>0</v>
      </c>
      <c r="BS33" s="57"/>
      <c r="BT33" s="57"/>
      <c r="BU33" s="57"/>
      <c r="BV33" s="57"/>
      <c r="BW33" s="57"/>
      <c r="BX33" s="96">
        <v>0</v>
      </c>
      <c r="BY33" s="97">
        <v>0</v>
      </c>
    </row>
    <row r="34" spans="2:77" s="8" customFormat="1" ht="15" customHeight="1">
      <c r="B34" s="56" t="s">
        <v>166</v>
      </c>
      <c r="C34" s="189" t="s">
        <v>167</v>
      </c>
      <c r="D34" s="189"/>
      <c r="E34" s="54"/>
      <c r="F34" s="54"/>
      <c r="G34" s="54"/>
      <c r="H34" s="54"/>
      <c r="I34" s="98"/>
      <c r="J34" s="98"/>
      <c r="K34" s="98"/>
      <c r="L34" s="54"/>
      <c r="M34" s="8">
        <f t="shared" si="5"/>
        <v>0</v>
      </c>
      <c r="O34" s="90" t="s">
        <v>235</v>
      </c>
      <c r="P34" s="55"/>
      <c r="Q34" s="55"/>
      <c r="R34" s="55"/>
      <c r="S34" s="55"/>
      <c r="T34" s="96">
        <v>0</v>
      </c>
      <c r="U34" s="97">
        <v>0</v>
      </c>
      <c r="V34" s="55"/>
      <c r="W34" s="55"/>
      <c r="X34" s="55"/>
      <c r="Y34" s="55"/>
      <c r="Z34" s="55"/>
      <c r="AA34" s="96">
        <v>0</v>
      </c>
      <c r="AB34" s="97">
        <v>0</v>
      </c>
      <c r="AC34" s="55"/>
      <c r="AD34" s="55"/>
      <c r="AE34" s="55"/>
      <c r="AF34" s="55"/>
      <c r="AG34" s="55"/>
      <c r="AH34" s="96">
        <v>0</v>
      </c>
      <c r="AI34" s="97">
        <v>0</v>
      </c>
      <c r="AJ34" s="54"/>
      <c r="AK34" s="54"/>
      <c r="AL34" s="54"/>
      <c r="AM34" s="54"/>
      <c r="AN34" s="54"/>
      <c r="AO34" s="96">
        <v>0</v>
      </c>
      <c r="AP34" s="97">
        <v>0</v>
      </c>
      <c r="AQ34" s="54"/>
      <c r="AR34" s="78"/>
      <c r="AS34" s="54"/>
      <c r="AT34" s="54"/>
      <c r="AU34" s="78"/>
      <c r="AV34" s="96">
        <v>0</v>
      </c>
      <c r="AW34" s="97">
        <v>0</v>
      </c>
      <c r="AX34" s="54"/>
      <c r="AY34" s="54"/>
      <c r="AZ34" s="54"/>
      <c r="BA34" s="78"/>
      <c r="BB34" s="54"/>
      <c r="BC34" s="96">
        <v>0</v>
      </c>
      <c r="BD34" s="97">
        <v>0</v>
      </c>
      <c r="BE34" s="54"/>
      <c r="BF34" s="54"/>
      <c r="BG34" s="54"/>
      <c r="BH34" s="54"/>
      <c r="BI34" s="54"/>
      <c r="BJ34" s="96">
        <v>0</v>
      </c>
      <c r="BK34" s="97">
        <v>0</v>
      </c>
      <c r="BL34" s="54"/>
      <c r="BM34" s="54"/>
      <c r="BN34" s="54"/>
      <c r="BO34" s="54"/>
      <c r="BP34" s="54"/>
      <c r="BQ34" s="96">
        <v>0</v>
      </c>
      <c r="BR34" s="97">
        <v>0</v>
      </c>
      <c r="BS34" s="54"/>
      <c r="BT34" s="54"/>
      <c r="BU34" s="54"/>
      <c r="BV34" s="54"/>
      <c r="BW34" s="54"/>
      <c r="BX34" s="96">
        <v>0</v>
      </c>
      <c r="BY34" s="97">
        <v>0</v>
      </c>
    </row>
    <row r="35" spans="2:77" s="8" customFormat="1" ht="15" customHeight="1" outlineLevel="1">
      <c r="B35" s="59" t="s">
        <v>171</v>
      </c>
      <c r="C35" s="60" t="s">
        <v>1</v>
      </c>
      <c r="D35" s="137" t="s">
        <v>6</v>
      </c>
      <c r="E35" s="59" t="s">
        <v>234</v>
      </c>
      <c r="F35" s="59">
        <f>SUMIFS('Detalhe Testes'!$F:$F,'Detalhe Testes'!$B:$B,'MacroPlano Equipa'!C35,'Detalhe Testes'!$C:$C,'MacroPlano Equipa'!D35)</f>
        <v>5</v>
      </c>
      <c r="G35" s="83">
        <f t="shared" si="6"/>
        <v>0.625</v>
      </c>
      <c r="H35" s="59" cm="1">
        <f t="array" aca="1" ref="H35" ca="1">SUMPRODUCT((COLUMN(O35:BY35)&gt;=MIN(IF(O35:BY35&lt;&gt;"",COLUMN(O35:BY35))))*($O$16:$BY$16&lt;=TODAY())*(O35:BY35))</f>
        <v>0</v>
      </c>
      <c r="I35" s="83">
        <f t="shared" ref="I35:I48" ca="1" si="8">H35/8</f>
        <v>0</v>
      </c>
      <c r="J35" s="100"/>
      <c r="K35" s="100"/>
      <c r="L35" s="85"/>
      <c r="M35" s="8">
        <f t="shared" si="5"/>
        <v>0</v>
      </c>
      <c r="O35" s="84"/>
      <c r="P35" s="58"/>
      <c r="Q35" s="58"/>
      <c r="R35" s="58"/>
      <c r="S35" s="69"/>
      <c r="T35" s="96">
        <v>0</v>
      </c>
      <c r="U35" s="97">
        <v>0</v>
      </c>
      <c r="V35" s="58"/>
      <c r="W35" s="58"/>
      <c r="X35" s="93">
        <v>5</v>
      </c>
      <c r="Y35" s="58"/>
      <c r="Z35" s="58"/>
      <c r="AA35" s="96">
        <v>0</v>
      </c>
      <c r="AB35" s="97">
        <v>0</v>
      </c>
      <c r="AC35" s="58"/>
      <c r="AD35" s="58"/>
      <c r="AE35" s="58"/>
      <c r="AF35" s="58"/>
      <c r="AG35" s="58"/>
      <c r="AH35" s="96">
        <v>0</v>
      </c>
      <c r="AI35" s="97">
        <v>0</v>
      </c>
      <c r="AJ35" s="57"/>
      <c r="AK35" s="57"/>
      <c r="AL35" s="57"/>
      <c r="AM35" s="57"/>
      <c r="AN35" s="57"/>
      <c r="AO35" s="96">
        <v>0</v>
      </c>
      <c r="AP35" s="97">
        <v>0</v>
      </c>
      <c r="AQ35" s="73"/>
      <c r="AR35" s="78"/>
      <c r="AS35" s="75"/>
      <c r="AT35" s="57"/>
      <c r="AU35" s="78"/>
      <c r="AV35" s="96">
        <v>0</v>
      </c>
      <c r="AW35" s="97">
        <v>0</v>
      </c>
      <c r="AX35" s="57"/>
      <c r="AY35" s="57"/>
      <c r="AZ35" s="57"/>
      <c r="BA35" s="78"/>
      <c r="BB35" s="57"/>
      <c r="BC35" s="96">
        <v>0</v>
      </c>
      <c r="BD35" s="97">
        <v>0</v>
      </c>
      <c r="BE35" s="57"/>
      <c r="BF35" s="57"/>
      <c r="BG35" s="57"/>
      <c r="BH35" s="57"/>
      <c r="BI35" s="57"/>
      <c r="BJ35" s="96">
        <v>0</v>
      </c>
      <c r="BK35" s="97">
        <v>0</v>
      </c>
      <c r="BL35" s="57"/>
      <c r="BM35" s="57"/>
      <c r="BN35" s="57"/>
      <c r="BO35" s="57"/>
      <c r="BP35" s="57"/>
      <c r="BQ35" s="96">
        <v>0</v>
      </c>
      <c r="BR35" s="97">
        <v>0</v>
      </c>
      <c r="BS35" s="57"/>
      <c r="BT35" s="57"/>
      <c r="BU35" s="57"/>
      <c r="BV35" s="57"/>
      <c r="BW35" s="57"/>
      <c r="BX35" s="96">
        <v>0</v>
      </c>
      <c r="BY35" s="97">
        <v>0</v>
      </c>
    </row>
    <row r="36" spans="2:77" s="8" customFormat="1" ht="15" customHeight="1" outlineLevel="1">
      <c r="B36" s="59" t="s">
        <v>172</v>
      </c>
      <c r="C36" s="60" t="s">
        <v>1</v>
      </c>
      <c r="D36" s="137" t="s">
        <v>7</v>
      </c>
      <c r="E36" s="59" t="s">
        <v>234</v>
      </c>
      <c r="F36" s="59">
        <f>SUMIFS('Detalhe Testes'!$F:$F,'Detalhe Testes'!$B:$B,'MacroPlano Equipa'!C36,'Detalhe Testes'!$C:$C,'MacroPlano Equipa'!D36)</f>
        <v>5</v>
      </c>
      <c r="G36" s="83">
        <f t="shared" si="6"/>
        <v>0.625</v>
      </c>
      <c r="H36" s="59" cm="1">
        <f t="array" aca="1" ref="H36" ca="1">SUMPRODUCT((COLUMN(O36:BY36)&gt;=MIN(IF(O36:BY36&lt;&gt;"",COLUMN(O36:BY36))))*($O$16:$BY$16&lt;=TODAY())*(O36:BY36))</f>
        <v>0</v>
      </c>
      <c r="I36" s="83">
        <f t="shared" ca="1" si="8"/>
        <v>0</v>
      </c>
      <c r="J36" s="100"/>
      <c r="K36" s="100"/>
      <c r="L36" s="85"/>
      <c r="M36" s="8">
        <f t="shared" si="5"/>
        <v>0</v>
      </c>
      <c r="O36" s="58"/>
      <c r="P36" s="58"/>
      <c r="Q36" s="58"/>
      <c r="R36" s="58"/>
      <c r="S36" s="69"/>
      <c r="T36" s="96">
        <v>0</v>
      </c>
      <c r="U36" s="97">
        <v>0</v>
      </c>
      <c r="V36" s="71"/>
      <c r="W36" s="58"/>
      <c r="X36" s="93">
        <v>1</v>
      </c>
      <c r="Y36" s="93">
        <v>4</v>
      </c>
      <c r="Z36" s="58"/>
      <c r="AA36" s="96">
        <v>0</v>
      </c>
      <c r="AB36" s="97">
        <v>0</v>
      </c>
      <c r="AC36" s="58"/>
      <c r="AD36" s="58"/>
      <c r="AE36" s="58"/>
      <c r="AF36" s="58"/>
      <c r="AG36" s="58"/>
      <c r="AH36" s="96">
        <v>0</v>
      </c>
      <c r="AI36" s="97">
        <v>0</v>
      </c>
      <c r="AJ36" s="57"/>
      <c r="AK36" s="57"/>
      <c r="AL36" s="57"/>
      <c r="AM36" s="57"/>
      <c r="AN36" s="57"/>
      <c r="AO36" s="96">
        <v>0</v>
      </c>
      <c r="AP36" s="97">
        <v>0</v>
      </c>
      <c r="AQ36" s="73"/>
      <c r="AR36" s="78"/>
      <c r="AS36" s="75"/>
      <c r="AT36" s="57"/>
      <c r="AU36" s="78"/>
      <c r="AV36" s="96">
        <v>0</v>
      </c>
      <c r="AW36" s="97">
        <v>0</v>
      </c>
      <c r="AX36" s="57"/>
      <c r="AY36" s="57"/>
      <c r="AZ36" s="57"/>
      <c r="BA36" s="78"/>
      <c r="BB36" s="57"/>
      <c r="BC36" s="96">
        <v>0</v>
      </c>
      <c r="BD36" s="97">
        <v>0</v>
      </c>
      <c r="BE36" s="57"/>
      <c r="BF36" s="57"/>
      <c r="BG36" s="57"/>
      <c r="BH36" s="57"/>
      <c r="BI36" s="57"/>
      <c r="BJ36" s="96">
        <v>0</v>
      </c>
      <c r="BK36" s="97">
        <v>0</v>
      </c>
      <c r="BL36" s="57"/>
      <c r="BM36" s="57"/>
      <c r="BN36" s="57"/>
      <c r="BO36" s="57"/>
      <c r="BP36" s="57"/>
      <c r="BQ36" s="96">
        <v>0</v>
      </c>
      <c r="BR36" s="97">
        <v>0</v>
      </c>
      <c r="BS36" s="57"/>
      <c r="BT36" s="57"/>
      <c r="BU36" s="57"/>
      <c r="BV36" s="57"/>
      <c r="BW36" s="57"/>
      <c r="BX36" s="96">
        <v>0</v>
      </c>
      <c r="BY36" s="97">
        <v>0</v>
      </c>
    </row>
    <row r="37" spans="2:77" s="8" customFormat="1" ht="15" customHeight="1" outlineLevel="1">
      <c r="B37" s="61" t="s">
        <v>173</v>
      </c>
      <c r="C37" s="60" t="s">
        <v>1</v>
      </c>
      <c r="D37" s="136" t="s">
        <v>12</v>
      </c>
      <c r="E37" s="59" t="s">
        <v>234</v>
      </c>
      <c r="F37" s="59">
        <f>SUMIFS('Detalhe Testes'!$F:$F,'Detalhe Testes'!$B:$B,'MacroPlano Equipa'!C37,'Detalhe Testes'!$C:$C,'MacroPlano Equipa'!D37)</f>
        <v>5</v>
      </c>
      <c r="G37" s="83">
        <f t="shared" si="6"/>
        <v>0.625</v>
      </c>
      <c r="H37" s="59" cm="1">
        <f t="array" aca="1" ref="H37" ca="1">SUMPRODUCT((COLUMN(O37:BY37)&gt;=MIN(IF(O37:BY37&lt;&gt;"",COLUMN(O37:BY37))))*($O$16:$BY$16&lt;=TODAY())*(O37:BY37))</f>
        <v>0</v>
      </c>
      <c r="I37" s="83">
        <f t="shared" ca="1" si="8"/>
        <v>0</v>
      </c>
      <c r="J37" s="100"/>
      <c r="K37" s="100"/>
      <c r="L37" s="85"/>
      <c r="M37" s="8">
        <f t="shared" si="5"/>
        <v>0</v>
      </c>
      <c r="O37" s="58"/>
      <c r="P37" s="58"/>
      <c r="Q37" s="58"/>
      <c r="R37" s="58"/>
      <c r="S37" s="69"/>
      <c r="T37" s="96">
        <v>0</v>
      </c>
      <c r="U37" s="97">
        <v>0</v>
      </c>
      <c r="V37" s="71"/>
      <c r="W37" s="58"/>
      <c r="X37" s="58"/>
      <c r="Y37" s="93">
        <v>4</v>
      </c>
      <c r="Z37" s="93">
        <v>1</v>
      </c>
      <c r="AA37" s="96">
        <v>0</v>
      </c>
      <c r="AB37" s="97">
        <v>0</v>
      </c>
      <c r="AC37" s="58"/>
      <c r="AD37" s="58"/>
      <c r="AE37" s="58"/>
      <c r="AF37" s="58"/>
      <c r="AG37" s="58"/>
      <c r="AH37" s="96">
        <v>0</v>
      </c>
      <c r="AI37" s="97">
        <v>0</v>
      </c>
      <c r="AJ37" s="57"/>
      <c r="AK37" s="57"/>
      <c r="AL37" s="57"/>
      <c r="AM37" s="57"/>
      <c r="AN37" s="57"/>
      <c r="AO37" s="96">
        <v>0</v>
      </c>
      <c r="AP37" s="97">
        <v>0</v>
      </c>
      <c r="AQ37" s="73"/>
      <c r="AR37" s="78"/>
      <c r="AS37" s="75"/>
      <c r="AT37" s="57"/>
      <c r="AU37" s="78"/>
      <c r="AV37" s="96">
        <v>0</v>
      </c>
      <c r="AW37" s="97">
        <v>0</v>
      </c>
      <c r="AX37" s="57"/>
      <c r="AY37" s="57"/>
      <c r="AZ37" s="57"/>
      <c r="BA37" s="78"/>
      <c r="BB37" s="57"/>
      <c r="BC37" s="96">
        <v>0</v>
      </c>
      <c r="BD37" s="97">
        <v>0</v>
      </c>
      <c r="BE37" s="57"/>
      <c r="BF37" s="57"/>
      <c r="BG37" s="57"/>
      <c r="BH37" s="57"/>
      <c r="BI37" s="57"/>
      <c r="BJ37" s="96">
        <v>0</v>
      </c>
      <c r="BK37" s="97">
        <v>0</v>
      </c>
      <c r="BL37" s="57"/>
      <c r="BM37" s="57"/>
      <c r="BN37" s="57"/>
      <c r="BO37" s="57"/>
      <c r="BP37" s="57"/>
      <c r="BQ37" s="96">
        <v>0</v>
      </c>
      <c r="BR37" s="97">
        <v>0</v>
      </c>
      <c r="BS37" s="57"/>
      <c r="BT37" s="57"/>
      <c r="BU37" s="57"/>
      <c r="BV37" s="57"/>
      <c r="BW37" s="57"/>
      <c r="BX37" s="96">
        <v>0</v>
      </c>
      <c r="BY37" s="97">
        <v>0</v>
      </c>
    </row>
    <row r="38" spans="2:77" s="8" customFormat="1" ht="15" customHeight="1" outlineLevel="1">
      <c r="B38" s="59" t="s">
        <v>174</v>
      </c>
      <c r="C38" s="60" t="s">
        <v>1</v>
      </c>
      <c r="D38" s="208" t="s">
        <v>18</v>
      </c>
      <c r="E38" s="59" t="s">
        <v>234</v>
      </c>
      <c r="F38" s="59">
        <f>SUMIFS('Detalhe Testes'!$F:$F,'Detalhe Testes'!$B:$B,'MacroPlano Equipa'!C38,'Detalhe Testes'!$C:$C,'MacroPlano Equipa'!D38)</f>
        <v>5</v>
      </c>
      <c r="G38" s="83">
        <f t="shared" si="6"/>
        <v>0.625</v>
      </c>
      <c r="H38" s="59" cm="1">
        <f t="array" aca="1" ref="H38" ca="1">SUMPRODUCT((COLUMN(O38:BY38)&gt;=MIN(IF(O38:BY38&lt;&gt;"",COLUMN(O38:BY38))))*($O$16:$BY$16&lt;=TODAY())*(O38:BY38))</f>
        <v>0</v>
      </c>
      <c r="I38" s="83">
        <f t="shared" ca="1" si="8"/>
        <v>0</v>
      </c>
      <c r="J38" s="100"/>
      <c r="K38" s="100"/>
      <c r="L38" s="85"/>
      <c r="M38" s="8">
        <f t="shared" si="5"/>
        <v>0</v>
      </c>
      <c r="O38" s="58"/>
      <c r="P38" s="58"/>
      <c r="Q38" s="58"/>
      <c r="R38" s="58"/>
      <c r="S38" s="69"/>
      <c r="T38" s="96">
        <v>0</v>
      </c>
      <c r="U38" s="97">
        <v>0</v>
      </c>
      <c r="V38" s="71"/>
      <c r="W38" s="58"/>
      <c r="X38" s="58"/>
      <c r="Y38" s="58"/>
      <c r="Z38" s="93">
        <v>5</v>
      </c>
      <c r="AA38" s="96">
        <v>0</v>
      </c>
      <c r="AB38" s="97">
        <v>0</v>
      </c>
      <c r="AC38" s="58"/>
      <c r="AD38" s="58"/>
      <c r="AE38" s="58"/>
      <c r="AF38" s="58"/>
      <c r="AG38" s="58"/>
      <c r="AH38" s="96">
        <v>0</v>
      </c>
      <c r="AI38" s="97">
        <v>0</v>
      </c>
      <c r="AJ38" s="57"/>
      <c r="AK38" s="57"/>
      <c r="AL38" s="57"/>
      <c r="AM38" s="57"/>
      <c r="AN38" s="57"/>
      <c r="AO38" s="96">
        <v>0</v>
      </c>
      <c r="AP38" s="97">
        <v>0</v>
      </c>
      <c r="AQ38" s="73"/>
      <c r="AR38" s="78"/>
      <c r="AS38" s="75"/>
      <c r="AT38" s="57"/>
      <c r="AU38" s="78"/>
      <c r="AV38" s="96">
        <v>0</v>
      </c>
      <c r="AW38" s="97">
        <v>0</v>
      </c>
      <c r="AX38" s="57"/>
      <c r="AY38" s="57"/>
      <c r="AZ38" s="57"/>
      <c r="BA38" s="78"/>
      <c r="BB38" s="57"/>
      <c r="BC38" s="96">
        <v>0</v>
      </c>
      <c r="BD38" s="97">
        <v>0</v>
      </c>
      <c r="BE38" s="57"/>
      <c r="BF38" s="57"/>
      <c r="BG38" s="57"/>
      <c r="BH38" s="57"/>
      <c r="BI38" s="57"/>
      <c r="BJ38" s="96">
        <v>0</v>
      </c>
      <c r="BK38" s="97">
        <v>0</v>
      </c>
      <c r="BL38" s="57"/>
      <c r="BM38" s="57"/>
      <c r="BN38" s="57"/>
      <c r="BO38" s="57"/>
      <c r="BP38" s="57"/>
      <c r="BQ38" s="96">
        <v>0</v>
      </c>
      <c r="BR38" s="97">
        <v>0</v>
      </c>
      <c r="BS38" s="57"/>
      <c r="BT38" s="57"/>
      <c r="BU38" s="57"/>
      <c r="BV38" s="57"/>
      <c r="BW38" s="57"/>
      <c r="BX38" s="96">
        <v>0</v>
      </c>
      <c r="BY38" s="97">
        <v>0</v>
      </c>
    </row>
    <row r="39" spans="2:77" s="8" customFormat="1" ht="15" customHeight="1" outlineLevel="1">
      <c r="B39" s="63" t="s">
        <v>175</v>
      </c>
      <c r="C39" s="60" t="s">
        <v>1</v>
      </c>
      <c r="D39" s="137" t="s">
        <v>20</v>
      </c>
      <c r="E39" s="59" t="s">
        <v>234</v>
      </c>
      <c r="F39" s="59">
        <f>SUMIFS('Detalhe Testes'!$F:$F,'Detalhe Testes'!$B:$B,'MacroPlano Equipa'!C39,'Detalhe Testes'!$C:$C,'MacroPlano Equipa'!D39)</f>
        <v>5</v>
      </c>
      <c r="G39" s="83">
        <f t="shared" si="6"/>
        <v>0.625</v>
      </c>
      <c r="H39" s="59" cm="1">
        <f t="array" aca="1" ref="H39" ca="1">SUMPRODUCT((COLUMN(O39:BY39)&gt;=MIN(IF(O39:BY39&lt;&gt;"",COLUMN(O39:BY39))))*($O$16:$BY$16&lt;=TODAY())*(O39:BY39))</f>
        <v>0</v>
      </c>
      <c r="I39" s="83">
        <f t="shared" ca="1" si="8"/>
        <v>0</v>
      </c>
      <c r="J39" s="100"/>
      <c r="K39" s="100"/>
      <c r="L39" s="85"/>
      <c r="M39" s="8">
        <f t="shared" si="5"/>
        <v>0</v>
      </c>
      <c r="O39" s="58"/>
      <c r="P39" s="58"/>
      <c r="Q39" s="58"/>
      <c r="R39" s="58"/>
      <c r="S39" s="69"/>
      <c r="T39" s="96">
        <v>0</v>
      </c>
      <c r="U39" s="97">
        <v>0</v>
      </c>
      <c r="V39" s="71"/>
      <c r="W39" s="58"/>
      <c r="X39" s="58"/>
      <c r="Y39" s="58"/>
      <c r="Z39" s="93">
        <v>2</v>
      </c>
      <c r="AA39" s="96">
        <v>0</v>
      </c>
      <c r="AB39" s="97">
        <v>0</v>
      </c>
      <c r="AC39" s="93">
        <v>3</v>
      </c>
      <c r="AD39" s="58"/>
      <c r="AE39" s="58"/>
      <c r="AF39" s="58"/>
      <c r="AG39" s="58"/>
      <c r="AH39" s="96">
        <v>0</v>
      </c>
      <c r="AI39" s="97">
        <v>0</v>
      </c>
      <c r="AJ39" s="57"/>
      <c r="AK39" s="57"/>
      <c r="AL39" s="57"/>
      <c r="AM39" s="57"/>
      <c r="AN39" s="57"/>
      <c r="AO39" s="96">
        <v>0</v>
      </c>
      <c r="AP39" s="97">
        <v>0</v>
      </c>
      <c r="AQ39" s="73"/>
      <c r="AR39" s="78"/>
      <c r="AS39" s="75"/>
      <c r="AT39" s="57"/>
      <c r="AU39" s="78"/>
      <c r="AV39" s="96">
        <v>0</v>
      </c>
      <c r="AW39" s="97">
        <v>0</v>
      </c>
      <c r="AX39" s="57"/>
      <c r="AY39" s="57"/>
      <c r="AZ39" s="57"/>
      <c r="BA39" s="78"/>
      <c r="BB39" s="57"/>
      <c r="BC39" s="96">
        <v>0</v>
      </c>
      <c r="BD39" s="97">
        <v>0</v>
      </c>
      <c r="BE39" s="57"/>
      <c r="BF39" s="57"/>
      <c r="BG39" s="57"/>
      <c r="BH39" s="57"/>
      <c r="BI39" s="57"/>
      <c r="BJ39" s="96">
        <v>0</v>
      </c>
      <c r="BK39" s="97">
        <v>0</v>
      </c>
      <c r="BL39" s="57"/>
      <c r="BM39" s="57"/>
      <c r="BN39" s="57"/>
      <c r="BO39" s="57"/>
      <c r="BP39" s="57"/>
      <c r="BQ39" s="96">
        <v>0</v>
      </c>
      <c r="BR39" s="97">
        <v>0</v>
      </c>
      <c r="BS39" s="57"/>
      <c r="BT39" s="57"/>
      <c r="BU39" s="57"/>
      <c r="BV39" s="57"/>
      <c r="BW39" s="57"/>
      <c r="BX39" s="96">
        <v>0</v>
      </c>
      <c r="BY39" s="97">
        <v>0</v>
      </c>
    </row>
    <row r="40" spans="2:77" s="8" customFormat="1" ht="15" customHeight="1" outlineLevel="1">
      <c r="B40" s="59" t="s">
        <v>176</v>
      </c>
      <c r="C40" s="60" t="s">
        <v>1</v>
      </c>
      <c r="D40" s="136" t="s">
        <v>21</v>
      </c>
      <c r="E40" s="59" t="s">
        <v>234</v>
      </c>
      <c r="F40" s="59">
        <f>SUMIFS('Detalhe Testes'!$F:$F,'Detalhe Testes'!$B:$B,'MacroPlano Equipa'!C40,'Detalhe Testes'!$C:$C,'MacroPlano Equipa'!D40)</f>
        <v>5</v>
      </c>
      <c r="G40" s="83">
        <f t="shared" si="6"/>
        <v>0.625</v>
      </c>
      <c r="H40" s="59" cm="1">
        <f t="array" aca="1" ref="H40" ca="1">SUMPRODUCT((COLUMN(O40:BY40)&gt;=MIN(IF(O40:BY40&lt;&gt;"",COLUMN(O40:BY40))))*($O$16:$BY$16&lt;=TODAY())*(O40:BY40))</f>
        <v>0</v>
      </c>
      <c r="I40" s="83">
        <f t="shared" ca="1" si="8"/>
        <v>0</v>
      </c>
      <c r="J40" s="100"/>
      <c r="K40" s="100"/>
      <c r="L40" s="85"/>
      <c r="M40" s="8">
        <f t="shared" si="5"/>
        <v>0</v>
      </c>
      <c r="O40" s="58"/>
      <c r="P40" s="58"/>
      <c r="Q40" s="58"/>
      <c r="R40" s="58"/>
      <c r="S40" s="69"/>
      <c r="T40" s="96">
        <v>0</v>
      </c>
      <c r="U40" s="97">
        <v>0</v>
      </c>
      <c r="V40" s="71"/>
      <c r="W40" s="58"/>
      <c r="X40" s="58"/>
      <c r="Y40" s="58"/>
      <c r="Z40" s="58"/>
      <c r="AA40" s="96">
        <v>0</v>
      </c>
      <c r="AB40" s="97">
        <v>0</v>
      </c>
      <c r="AC40" s="93">
        <v>5</v>
      </c>
      <c r="AD40" s="58"/>
      <c r="AE40" s="58"/>
      <c r="AF40" s="58"/>
      <c r="AG40" s="58"/>
      <c r="AH40" s="96">
        <v>0</v>
      </c>
      <c r="AI40" s="97">
        <v>0</v>
      </c>
      <c r="AJ40" s="57"/>
      <c r="AK40" s="57"/>
      <c r="AL40" s="57"/>
      <c r="AM40" s="57"/>
      <c r="AN40" s="57"/>
      <c r="AO40" s="96">
        <v>0</v>
      </c>
      <c r="AP40" s="97">
        <v>0</v>
      </c>
      <c r="AQ40" s="73"/>
      <c r="AR40" s="78"/>
      <c r="AS40" s="75"/>
      <c r="AT40" s="57"/>
      <c r="AU40" s="78"/>
      <c r="AV40" s="96">
        <v>0</v>
      </c>
      <c r="AW40" s="97">
        <v>0</v>
      </c>
      <c r="AX40" s="57"/>
      <c r="AY40" s="57"/>
      <c r="AZ40" s="57"/>
      <c r="BA40" s="78"/>
      <c r="BB40" s="57"/>
      <c r="BC40" s="96">
        <v>0</v>
      </c>
      <c r="BD40" s="97">
        <v>0</v>
      </c>
      <c r="BE40" s="57"/>
      <c r="BF40" s="57"/>
      <c r="BG40" s="57"/>
      <c r="BH40" s="57"/>
      <c r="BI40" s="57"/>
      <c r="BJ40" s="96">
        <v>0</v>
      </c>
      <c r="BK40" s="97">
        <v>0</v>
      </c>
      <c r="BL40" s="57"/>
      <c r="BM40" s="57"/>
      <c r="BN40" s="57"/>
      <c r="BO40" s="57"/>
      <c r="BP40" s="57"/>
      <c r="BQ40" s="96">
        <v>0</v>
      </c>
      <c r="BR40" s="97">
        <v>0</v>
      </c>
      <c r="BS40" s="57"/>
      <c r="BT40" s="57"/>
      <c r="BU40" s="57"/>
      <c r="BV40" s="57"/>
      <c r="BW40" s="57"/>
      <c r="BX40" s="96">
        <v>0</v>
      </c>
      <c r="BY40" s="97">
        <v>0</v>
      </c>
    </row>
    <row r="41" spans="2:77" s="8" customFormat="1" ht="15" customHeight="1" outlineLevel="1">
      <c r="B41" s="63" t="s">
        <v>177</v>
      </c>
      <c r="C41" s="60" t="s">
        <v>55</v>
      </c>
      <c r="D41" s="60" t="s">
        <v>90</v>
      </c>
      <c r="E41" s="59" t="s">
        <v>234</v>
      </c>
      <c r="F41" s="59">
        <f>SUMIFS('Detalhe Testes'!$F:$F,'Detalhe Testes'!$B:$B,'MacroPlano Equipa'!C41,'Detalhe Testes'!$C:$C,'MacroPlano Equipa'!D41)</f>
        <v>6</v>
      </c>
      <c r="G41" s="83">
        <f t="shared" si="6"/>
        <v>0.75</v>
      </c>
      <c r="H41" s="59" cm="1">
        <f t="array" aca="1" ref="H41" ca="1">SUMPRODUCT((COLUMN(O41:BY41)&gt;=MIN(IF(O41:BY41&lt;&gt;"",COLUMN(O41:BY41))))*($O$16:$BY$16&lt;=TODAY())*(O41:BY41))</f>
        <v>0.5</v>
      </c>
      <c r="I41" s="83">
        <f t="shared" ca="1" si="8"/>
        <v>6.25E-2</v>
      </c>
      <c r="J41" s="100"/>
      <c r="K41" s="100"/>
      <c r="L41" s="85"/>
      <c r="M41" s="8">
        <f t="shared" si="5"/>
        <v>0.5</v>
      </c>
      <c r="O41" s="58"/>
      <c r="P41" s="58"/>
      <c r="Q41" s="58">
        <v>0.5</v>
      </c>
      <c r="R41" s="58"/>
      <c r="S41" s="69"/>
      <c r="T41" s="96">
        <v>0</v>
      </c>
      <c r="U41" s="97">
        <v>0</v>
      </c>
      <c r="V41" s="71"/>
      <c r="W41" s="58"/>
      <c r="X41" s="93">
        <v>6</v>
      </c>
      <c r="Y41" s="58"/>
      <c r="Z41" s="58"/>
      <c r="AA41" s="96">
        <v>0</v>
      </c>
      <c r="AB41" s="97">
        <v>0</v>
      </c>
      <c r="AC41" s="58"/>
      <c r="AD41" s="58"/>
      <c r="AE41" s="58"/>
      <c r="AF41" s="58"/>
      <c r="AG41" s="58"/>
      <c r="AH41" s="96">
        <v>0</v>
      </c>
      <c r="AI41" s="97">
        <v>0</v>
      </c>
      <c r="AJ41" s="57"/>
      <c r="AK41" s="57"/>
      <c r="AL41" s="57"/>
      <c r="AM41" s="57"/>
      <c r="AN41" s="57"/>
      <c r="AO41" s="96">
        <v>0</v>
      </c>
      <c r="AP41" s="97">
        <v>0</v>
      </c>
      <c r="AQ41" s="73"/>
      <c r="AR41" s="78"/>
      <c r="AS41" s="75"/>
      <c r="AT41" s="57"/>
      <c r="AU41" s="78"/>
      <c r="AV41" s="96">
        <v>0</v>
      </c>
      <c r="AW41" s="97">
        <v>0</v>
      </c>
      <c r="AX41" s="57"/>
      <c r="AY41" s="57"/>
      <c r="AZ41" s="57"/>
      <c r="BA41" s="78"/>
      <c r="BB41" s="57"/>
      <c r="BC41" s="96">
        <v>0</v>
      </c>
      <c r="BD41" s="97">
        <v>0</v>
      </c>
      <c r="BE41" s="57"/>
      <c r="BF41" s="57"/>
      <c r="BG41" s="57"/>
      <c r="BH41" s="57"/>
      <c r="BI41" s="57"/>
      <c r="BJ41" s="96">
        <v>0</v>
      </c>
      <c r="BK41" s="97">
        <v>0</v>
      </c>
      <c r="BL41" s="57"/>
      <c r="BM41" s="57"/>
      <c r="BN41" s="57"/>
      <c r="BO41" s="57"/>
      <c r="BP41" s="57"/>
      <c r="BQ41" s="96">
        <v>0</v>
      </c>
      <c r="BR41" s="97">
        <v>0</v>
      </c>
      <c r="BS41" s="57"/>
      <c r="BT41" s="57"/>
      <c r="BU41" s="57"/>
      <c r="BV41" s="57"/>
      <c r="BW41" s="57"/>
      <c r="BX41" s="96">
        <v>0</v>
      </c>
      <c r="BY41" s="97">
        <v>0</v>
      </c>
    </row>
    <row r="42" spans="2:77" ht="15" customHeight="1" outlineLevel="1">
      <c r="B42" s="59" t="s">
        <v>178</v>
      </c>
      <c r="C42" s="60" t="s">
        <v>55</v>
      </c>
      <c r="D42" s="60" t="s">
        <v>59</v>
      </c>
      <c r="E42" s="59" t="s">
        <v>234</v>
      </c>
      <c r="F42" s="59">
        <f>SUMIFS('Detalhe Testes'!$F:$F,'Detalhe Testes'!$B:$B,'MacroPlano Equipa'!C42,'Detalhe Testes'!$C:$C,'MacroPlano Equipa'!D42)</f>
        <v>9</v>
      </c>
      <c r="G42" s="83">
        <f t="shared" si="6"/>
        <v>1.125</v>
      </c>
      <c r="H42" s="59" cm="1">
        <f t="array" aca="1" ref="H42" ca="1">SUMPRODUCT((COLUMN(O42:BY42)&gt;=MIN(IF(O42:BY42&lt;&gt;"",COLUMN(O42:BY42))))*($O$16:$BY$16&lt;=TODAY())*(O42:BY42))</f>
        <v>1</v>
      </c>
      <c r="I42" s="83">
        <f t="shared" ca="1" si="8"/>
        <v>0.125</v>
      </c>
      <c r="J42" s="100"/>
      <c r="K42" s="100"/>
      <c r="L42" s="85"/>
      <c r="M42" s="8">
        <f t="shared" si="5"/>
        <v>1</v>
      </c>
      <c r="O42" s="66"/>
      <c r="P42" s="66"/>
      <c r="Q42" s="135">
        <v>1</v>
      </c>
      <c r="R42" s="66"/>
      <c r="S42" s="70"/>
      <c r="T42" s="96">
        <v>0</v>
      </c>
      <c r="U42" s="97">
        <v>0</v>
      </c>
      <c r="V42" s="72"/>
      <c r="W42" s="66"/>
      <c r="X42" s="93">
        <v>2</v>
      </c>
      <c r="Y42" s="93">
        <v>7</v>
      </c>
      <c r="Z42" s="58"/>
      <c r="AA42" s="96">
        <v>0</v>
      </c>
      <c r="AB42" s="97">
        <v>0</v>
      </c>
      <c r="AC42" s="58"/>
      <c r="AD42" s="58"/>
      <c r="AE42" s="58"/>
      <c r="AF42" s="58"/>
      <c r="AG42" s="58"/>
      <c r="AH42" s="96">
        <v>0</v>
      </c>
      <c r="AI42" s="97">
        <v>0</v>
      </c>
      <c r="AJ42" s="67"/>
      <c r="AK42" s="67"/>
      <c r="AL42" s="67"/>
      <c r="AM42" s="67"/>
      <c r="AN42" s="67"/>
      <c r="AO42" s="96">
        <v>0</v>
      </c>
      <c r="AP42" s="97">
        <v>0</v>
      </c>
      <c r="AQ42" s="74"/>
      <c r="AR42" s="79"/>
      <c r="AS42" s="76"/>
      <c r="AT42" s="67"/>
      <c r="AU42" s="79"/>
      <c r="AV42" s="96">
        <v>0</v>
      </c>
      <c r="AW42" s="97">
        <v>0</v>
      </c>
      <c r="AX42" s="67"/>
      <c r="AY42" s="67"/>
      <c r="AZ42" s="67"/>
      <c r="BA42" s="79"/>
      <c r="BB42" s="67"/>
      <c r="BC42" s="96">
        <v>0</v>
      </c>
      <c r="BD42" s="97">
        <v>0</v>
      </c>
      <c r="BE42" s="67"/>
      <c r="BF42" s="67"/>
      <c r="BG42" s="67"/>
      <c r="BH42" s="67"/>
      <c r="BI42" s="67"/>
      <c r="BJ42" s="96">
        <v>0</v>
      </c>
      <c r="BK42" s="97">
        <v>0</v>
      </c>
      <c r="BL42" s="67"/>
      <c r="BM42" s="67"/>
      <c r="BN42" s="67"/>
      <c r="BO42" s="67"/>
      <c r="BP42" s="67"/>
      <c r="BQ42" s="96">
        <v>0</v>
      </c>
      <c r="BR42" s="97">
        <v>0</v>
      </c>
      <c r="BS42" s="67"/>
      <c r="BT42" s="67"/>
      <c r="BU42" s="67"/>
      <c r="BV42" s="67"/>
      <c r="BW42" s="67"/>
      <c r="BX42" s="96">
        <v>0</v>
      </c>
      <c r="BY42" s="97">
        <v>0</v>
      </c>
    </row>
    <row r="43" spans="2:77" ht="15" customHeight="1" outlineLevel="1">
      <c r="B43" s="63" t="s">
        <v>179</v>
      </c>
      <c r="C43" s="60" t="s">
        <v>63</v>
      </c>
      <c r="D43" s="60" t="s">
        <v>90</v>
      </c>
      <c r="E43" s="59" t="s">
        <v>234</v>
      </c>
      <c r="F43" s="59">
        <f>SUMIFS('Detalhe Testes'!$F:$F,'Detalhe Testes'!$B:$B,'MacroPlano Equipa'!C43,'Detalhe Testes'!$C:$C,'MacroPlano Equipa'!D43)</f>
        <v>16</v>
      </c>
      <c r="G43" s="83">
        <f t="shared" si="6"/>
        <v>2</v>
      </c>
      <c r="H43" s="59" cm="1">
        <f t="array" aca="1" ref="H43" ca="1">SUMPRODUCT((COLUMN(O43:BY43)&gt;=MIN(IF(O43:BY43&lt;&gt;"",COLUMN(O43:BY43))))*($O$16:$BY$16&lt;=TODAY())*(O43:BY43))</f>
        <v>0</v>
      </c>
      <c r="I43" s="83">
        <f t="shared" ca="1" si="8"/>
        <v>0</v>
      </c>
      <c r="J43" s="100"/>
      <c r="K43" s="100"/>
      <c r="L43" s="85"/>
      <c r="M43" s="8">
        <f t="shared" si="5"/>
        <v>0</v>
      </c>
      <c r="O43" s="66"/>
      <c r="P43" s="66"/>
      <c r="Q43" s="66"/>
      <c r="R43" s="66"/>
      <c r="S43" s="70"/>
      <c r="T43" s="96">
        <v>0</v>
      </c>
      <c r="U43" s="97">
        <v>0</v>
      </c>
      <c r="V43" s="72"/>
      <c r="W43" s="66"/>
      <c r="X43" s="58"/>
      <c r="Y43" s="93">
        <v>1</v>
      </c>
      <c r="Z43" s="93">
        <v>8</v>
      </c>
      <c r="AA43" s="96">
        <v>0</v>
      </c>
      <c r="AB43" s="97">
        <v>0</v>
      </c>
      <c r="AC43" s="93">
        <v>7</v>
      </c>
      <c r="AD43" s="58"/>
      <c r="AE43" s="58"/>
      <c r="AF43" s="58"/>
      <c r="AG43" s="58"/>
      <c r="AH43" s="96">
        <v>0</v>
      </c>
      <c r="AI43" s="97">
        <v>0</v>
      </c>
      <c r="AJ43" s="67"/>
      <c r="AK43" s="67"/>
      <c r="AL43" s="67"/>
      <c r="AM43" s="67"/>
      <c r="AN43" s="67"/>
      <c r="AO43" s="96">
        <v>0</v>
      </c>
      <c r="AP43" s="97">
        <v>0</v>
      </c>
      <c r="AQ43" s="74"/>
      <c r="AR43" s="79"/>
      <c r="AS43" s="76"/>
      <c r="AT43" s="67"/>
      <c r="AU43" s="79"/>
      <c r="AV43" s="96">
        <v>0</v>
      </c>
      <c r="AW43" s="97">
        <v>0</v>
      </c>
      <c r="AX43" s="67"/>
      <c r="AY43" s="67"/>
      <c r="AZ43" s="67"/>
      <c r="BA43" s="79"/>
      <c r="BB43" s="67"/>
      <c r="BC43" s="96">
        <v>0</v>
      </c>
      <c r="BD43" s="97">
        <v>0</v>
      </c>
      <c r="BE43" s="67"/>
      <c r="BF43" s="67"/>
      <c r="BG43" s="67"/>
      <c r="BH43" s="67"/>
      <c r="BI43" s="67"/>
      <c r="BJ43" s="96">
        <v>0</v>
      </c>
      <c r="BK43" s="97">
        <v>0</v>
      </c>
      <c r="BL43" s="67"/>
      <c r="BM43" s="67"/>
      <c r="BN43" s="67"/>
      <c r="BO43" s="67"/>
      <c r="BP43" s="67"/>
      <c r="BQ43" s="96">
        <v>0</v>
      </c>
      <c r="BR43" s="97">
        <v>0</v>
      </c>
      <c r="BS43" s="67"/>
      <c r="BT43" s="67"/>
      <c r="BU43" s="67"/>
      <c r="BV43" s="67"/>
      <c r="BW43" s="67"/>
      <c r="BX43" s="96">
        <v>0</v>
      </c>
      <c r="BY43" s="97">
        <v>0</v>
      </c>
    </row>
    <row r="44" spans="2:77" ht="15" customHeight="1" outlineLevel="1">
      <c r="B44" s="64" t="s">
        <v>180</v>
      </c>
      <c r="C44" s="60" t="s">
        <v>63</v>
      </c>
      <c r="D44" s="60" t="s">
        <v>64</v>
      </c>
      <c r="E44" s="59" t="s">
        <v>234</v>
      </c>
      <c r="F44" s="59">
        <f>SUMIFS('Detalhe Testes'!$F:$F,'Detalhe Testes'!$B:$B,'MacroPlano Equipa'!C44,'Detalhe Testes'!$C:$C,'MacroPlano Equipa'!D44)</f>
        <v>11</v>
      </c>
      <c r="G44" s="83">
        <f t="shared" si="6"/>
        <v>1.375</v>
      </c>
      <c r="H44" s="59" cm="1">
        <f t="array" aca="1" ref="H44" ca="1">SUMPRODUCT((COLUMN(O44:BY44)&gt;=MIN(IF(O44:BY44&lt;&gt;"",COLUMN(O44:BY44))))*($O$16:$BY$16&lt;=TODAY())*(O44:BY44))</f>
        <v>0</v>
      </c>
      <c r="I44" s="83">
        <f t="shared" ca="1" si="8"/>
        <v>0</v>
      </c>
      <c r="J44" s="100"/>
      <c r="K44" s="100"/>
      <c r="L44" s="85"/>
      <c r="M44" s="8">
        <f t="shared" si="5"/>
        <v>0</v>
      </c>
      <c r="O44" s="66"/>
      <c r="P44" s="66"/>
      <c r="Q44" s="66"/>
      <c r="R44" s="66"/>
      <c r="S44" s="70"/>
      <c r="T44" s="96">
        <v>0</v>
      </c>
      <c r="U44" s="97">
        <v>0</v>
      </c>
      <c r="V44" s="72"/>
      <c r="W44" s="66"/>
      <c r="X44" s="58"/>
      <c r="Y44" s="58"/>
      <c r="Z44" s="58"/>
      <c r="AA44" s="96">
        <v>0</v>
      </c>
      <c r="AB44" s="97">
        <v>0</v>
      </c>
      <c r="AC44" s="58"/>
      <c r="AD44" s="93">
        <v>8</v>
      </c>
      <c r="AE44" s="93">
        <v>3</v>
      </c>
      <c r="AF44" s="58"/>
      <c r="AG44" s="58"/>
      <c r="AH44" s="96">
        <v>0</v>
      </c>
      <c r="AI44" s="97">
        <v>0</v>
      </c>
      <c r="AJ44" s="67"/>
      <c r="AK44" s="67"/>
      <c r="AL44" s="67"/>
      <c r="AM44" s="67"/>
      <c r="AN44" s="67"/>
      <c r="AO44" s="96">
        <v>0</v>
      </c>
      <c r="AP44" s="97">
        <v>0</v>
      </c>
      <c r="AQ44" s="74"/>
      <c r="AR44" s="79"/>
      <c r="AS44" s="76"/>
      <c r="AT44" s="67"/>
      <c r="AU44" s="79"/>
      <c r="AV44" s="96">
        <v>0</v>
      </c>
      <c r="AW44" s="97">
        <v>0</v>
      </c>
      <c r="AX44" s="67"/>
      <c r="AY44" s="67"/>
      <c r="AZ44" s="67"/>
      <c r="BA44" s="79"/>
      <c r="BB44" s="67"/>
      <c r="BC44" s="96">
        <v>0</v>
      </c>
      <c r="BD44" s="97">
        <v>0</v>
      </c>
      <c r="BE44" s="67"/>
      <c r="BF44" s="67"/>
      <c r="BG44" s="67"/>
      <c r="BH44" s="67"/>
      <c r="BI44" s="67"/>
      <c r="BJ44" s="96">
        <v>0</v>
      </c>
      <c r="BK44" s="97">
        <v>0</v>
      </c>
      <c r="BL44" s="67"/>
      <c r="BM44" s="67"/>
      <c r="BN44" s="67"/>
      <c r="BO44" s="67"/>
      <c r="BP44" s="67"/>
      <c r="BQ44" s="96">
        <v>0</v>
      </c>
      <c r="BR44" s="97">
        <v>0</v>
      </c>
      <c r="BS44" s="67"/>
      <c r="BT44" s="67"/>
      <c r="BU44" s="67"/>
      <c r="BV44" s="67"/>
      <c r="BW44" s="67"/>
      <c r="BX44" s="96">
        <v>0</v>
      </c>
      <c r="BY44" s="97">
        <v>0</v>
      </c>
    </row>
    <row r="45" spans="2:77" ht="15" customHeight="1" outlineLevel="1">
      <c r="B45" s="59" t="s">
        <v>168</v>
      </c>
      <c r="C45" s="60" t="s">
        <v>63</v>
      </c>
      <c r="D45" s="60" t="s">
        <v>66</v>
      </c>
      <c r="E45" s="59" t="s">
        <v>234</v>
      </c>
      <c r="F45" s="59">
        <f>SUMIFS('Detalhe Testes'!$F:$F,'Detalhe Testes'!$B:$B,'MacroPlano Equipa'!C45,'Detalhe Testes'!$C:$C,'MacroPlano Equipa'!D45)</f>
        <v>9</v>
      </c>
      <c r="G45" s="83">
        <f t="shared" si="6"/>
        <v>1.125</v>
      </c>
      <c r="H45" s="59" cm="1">
        <f t="array" aca="1" ref="H45" ca="1">SUMPRODUCT((COLUMN(O45:BY45)&gt;=MIN(IF(O45:BY45&lt;&gt;"",COLUMN(O45:BY45))))*($O$16:$BY$16&lt;=TODAY())*(O45:BY45))</f>
        <v>0</v>
      </c>
      <c r="I45" s="83">
        <f t="shared" ca="1" si="8"/>
        <v>0</v>
      </c>
      <c r="J45" s="100"/>
      <c r="K45" s="100"/>
      <c r="L45" s="85"/>
      <c r="M45" s="8">
        <f t="shared" si="5"/>
        <v>0</v>
      </c>
      <c r="O45" s="66"/>
      <c r="P45" s="66"/>
      <c r="Q45" s="66"/>
      <c r="R45" s="66"/>
      <c r="S45" s="70"/>
      <c r="T45" s="96">
        <v>0</v>
      </c>
      <c r="U45" s="97">
        <v>0</v>
      </c>
      <c r="V45" s="72"/>
      <c r="W45" s="66"/>
      <c r="X45" s="58"/>
      <c r="Y45" s="58"/>
      <c r="Z45" s="58"/>
      <c r="AA45" s="96">
        <v>0</v>
      </c>
      <c r="AB45" s="97">
        <v>0</v>
      </c>
      <c r="AC45" s="58"/>
      <c r="AD45" s="58"/>
      <c r="AE45" s="93">
        <v>5</v>
      </c>
      <c r="AF45" s="93">
        <v>4</v>
      </c>
      <c r="AG45" s="58"/>
      <c r="AH45" s="96">
        <v>0</v>
      </c>
      <c r="AI45" s="97">
        <v>0</v>
      </c>
      <c r="AJ45" s="67"/>
      <c r="AK45" s="67"/>
      <c r="AL45" s="67"/>
      <c r="AM45" s="67"/>
      <c r="AN45" s="67"/>
      <c r="AO45" s="96">
        <v>0</v>
      </c>
      <c r="AP45" s="97">
        <v>0</v>
      </c>
      <c r="AQ45" s="74"/>
      <c r="AR45" s="79"/>
      <c r="AS45" s="76"/>
      <c r="AT45" s="67"/>
      <c r="AU45" s="79"/>
      <c r="AV45" s="96">
        <v>0</v>
      </c>
      <c r="AW45" s="97">
        <v>0</v>
      </c>
      <c r="AX45" s="67"/>
      <c r="AY45" s="67"/>
      <c r="AZ45" s="67"/>
      <c r="BA45" s="79"/>
      <c r="BB45" s="67"/>
      <c r="BC45" s="96">
        <v>0</v>
      </c>
      <c r="BD45" s="97">
        <v>0</v>
      </c>
      <c r="BE45" s="67"/>
      <c r="BF45" s="67"/>
      <c r="BG45" s="67"/>
      <c r="BH45" s="67"/>
      <c r="BI45" s="67"/>
      <c r="BJ45" s="96">
        <v>0</v>
      </c>
      <c r="BK45" s="97">
        <v>0</v>
      </c>
      <c r="BL45" s="67"/>
      <c r="BM45" s="67"/>
      <c r="BN45" s="67"/>
      <c r="BO45" s="67"/>
      <c r="BP45" s="67"/>
      <c r="BQ45" s="96">
        <v>0</v>
      </c>
      <c r="BR45" s="97">
        <v>0</v>
      </c>
      <c r="BS45" s="67"/>
      <c r="BT45" s="67"/>
      <c r="BU45" s="67"/>
      <c r="BV45" s="67"/>
      <c r="BW45" s="67"/>
      <c r="BX45" s="96">
        <v>0</v>
      </c>
      <c r="BY45" s="97">
        <v>0</v>
      </c>
    </row>
    <row r="46" spans="2:77" ht="15" customHeight="1" outlineLevel="1">
      <c r="B46" s="59" t="s">
        <v>169</v>
      </c>
      <c r="C46" s="60" t="s">
        <v>63</v>
      </c>
      <c r="D46" s="60" t="s">
        <v>36</v>
      </c>
      <c r="E46" s="59" t="s">
        <v>234</v>
      </c>
      <c r="F46" s="59">
        <f>SUMIFS('Detalhe Testes'!$F:$F,'Detalhe Testes'!$B:$B,'MacroPlano Equipa'!C46,'Detalhe Testes'!$C:$C,'MacroPlano Equipa'!D46)</f>
        <v>3</v>
      </c>
      <c r="G46" s="83">
        <f t="shared" si="6"/>
        <v>0.375</v>
      </c>
      <c r="H46" s="59" cm="1">
        <f t="array" aca="1" ref="H46" ca="1">SUMPRODUCT((COLUMN(O46:BY46)&gt;=MIN(IF(O46:BY46&lt;&gt;"",COLUMN(O46:BY46))))*($O$16:$BY$16&lt;=TODAY())*(O46:BY46))</f>
        <v>0</v>
      </c>
      <c r="I46" s="83">
        <f t="shared" ca="1" si="8"/>
        <v>0</v>
      </c>
      <c r="J46" s="100"/>
      <c r="K46" s="100"/>
      <c r="L46" s="85"/>
      <c r="M46" s="8">
        <f t="shared" si="5"/>
        <v>0</v>
      </c>
      <c r="O46" s="66"/>
      <c r="P46" s="66"/>
      <c r="Q46" s="66"/>
      <c r="R46" s="66"/>
      <c r="S46" s="70"/>
      <c r="T46" s="96">
        <v>0</v>
      </c>
      <c r="U46" s="97">
        <v>0</v>
      </c>
      <c r="V46" s="72"/>
      <c r="W46" s="66"/>
      <c r="X46" s="58"/>
      <c r="Y46" s="58"/>
      <c r="Z46" s="58"/>
      <c r="AA46" s="96">
        <v>0</v>
      </c>
      <c r="AB46" s="97">
        <v>0</v>
      </c>
      <c r="AC46" s="58"/>
      <c r="AD46" s="93">
        <v>3</v>
      </c>
      <c r="AE46" s="58"/>
      <c r="AF46" s="58"/>
      <c r="AG46" s="58"/>
      <c r="AH46" s="96">
        <v>0</v>
      </c>
      <c r="AI46" s="97">
        <v>0</v>
      </c>
      <c r="AJ46" s="67"/>
      <c r="AK46" s="67"/>
      <c r="AL46" s="67"/>
      <c r="AM46" s="67"/>
      <c r="AN46" s="67"/>
      <c r="AO46" s="96">
        <v>0</v>
      </c>
      <c r="AP46" s="97">
        <v>0</v>
      </c>
      <c r="AQ46" s="74"/>
      <c r="AR46" s="79"/>
      <c r="AS46" s="76"/>
      <c r="AT46" s="67"/>
      <c r="AU46" s="79"/>
      <c r="AV46" s="96">
        <v>0</v>
      </c>
      <c r="AW46" s="97">
        <v>0</v>
      </c>
      <c r="AX46" s="67"/>
      <c r="AY46" s="67"/>
      <c r="AZ46" s="67"/>
      <c r="BA46" s="79"/>
      <c r="BB46" s="67"/>
      <c r="BC46" s="96">
        <v>0</v>
      </c>
      <c r="BD46" s="97">
        <v>0</v>
      </c>
      <c r="BE46" s="67"/>
      <c r="BF46" s="67"/>
      <c r="BG46" s="67"/>
      <c r="BH46" s="67"/>
      <c r="BI46" s="67"/>
      <c r="BJ46" s="96">
        <v>0</v>
      </c>
      <c r="BK46" s="97">
        <v>0</v>
      </c>
      <c r="BL46" s="67"/>
      <c r="BM46" s="67"/>
      <c r="BN46" s="67"/>
      <c r="BO46" s="67"/>
      <c r="BP46" s="67"/>
      <c r="BQ46" s="96">
        <v>0</v>
      </c>
      <c r="BR46" s="97">
        <v>0</v>
      </c>
      <c r="BS46" s="67"/>
      <c r="BT46" s="67"/>
      <c r="BU46" s="67"/>
      <c r="BV46" s="67"/>
      <c r="BW46" s="67"/>
      <c r="BX46" s="96">
        <v>0</v>
      </c>
      <c r="BY46" s="97">
        <v>0</v>
      </c>
    </row>
    <row r="47" spans="2:77" ht="15" customHeight="1" outlineLevel="1">
      <c r="B47" s="59" t="s">
        <v>170</v>
      </c>
      <c r="C47" s="60" t="s">
        <v>63</v>
      </c>
      <c r="D47" s="60" t="s">
        <v>38</v>
      </c>
      <c r="E47" s="59" t="s">
        <v>234</v>
      </c>
      <c r="F47" s="59">
        <f>SUMIFS('Detalhe Testes'!$F:$F,'Detalhe Testes'!$B:$B,'MacroPlano Equipa'!C47,'Detalhe Testes'!$C:$C,'MacroPlano Equipa'!D47)</f>
        <v>3</v>
      </c>
      <c r="G47" s="83">
        <f t="shared" si="6"/>
        <v>0.375</v>
      </c>
      <c r="H47" s="59" cm="1">
        <f t="array" aca="1" ref="H47" ca="1">SUMPRODUCT((COLUMN(O47:BY47)&gt;=MIN(IF(O47:BY47&lt;&gt;"",COLUMN(O47:BY47))))*($O$16:$BY$16&lt;=TODAY())*(O47:BY47))</f>
        <v>0</v>
      </c>
      <c r="I47" s="83">
        <f t="shared" ca="1" si="8"/>
        <v>0</v>
      </c>
      <c r="J47" s="100"/>
      <c r="K47" s="100"/>
      <c r="L47" s="85"/>
      <c r="M47" s="8">
        <f t="shared" si="5"/>
        <v>0</v>
      </c>
      <c r="O47" s="66"/>
      <c r="P47" s="66"/>
      <c r="Q47" s="66"/>
      <c r="R47" s="66"/>
      <c r="S47" s="70"/>
      <c r="T47" s="96">
        <v>0</v>
      </c>
      <c r="U47" s="97">
        <v>0</v>
      </c>
      <c r="V47" s="72"/>
      <c r="W47" s="66"/>
      <c r="X47" s="58"/>
      <c r="Y47" s="58"/>
      <c r="Z47" s="58"/>
      <c r="AA47" s="96">
        <v>0</v>
      </c>
      <c r="AB47" s="97">
        <v>0</v>
      </c>
      <c r="AC47" s="58"/>
      <c r="AD47" s="93">
        <v>3</v>
      </c>
      <c r="AE47" s="58"/>
      <c r="AF47" s="58"/>
      <c r="AG47" s="58"/>
      <c r="AH47" s="96">
        <v>0</v>
      </c>
      <c r="AI47" s="97">
        <v>0</v>
      </c>
      <c r="AJ47" s="67"/>
      <c r="AK47" s="67"/>
      <c r="AL47" s="67"/>
      <c r="AM47" s="67"/>
      <c r="AN47" s="67"/>
      <c r="AO47" s="96">
        <v>0</v>
      </c>
      <c r="AP47" s="97">
        <v>0</v>
      </c>
      <c r="AQ47" s="74"/>
      <c r="AR47" s="79"/>
      <c r="AS47" s="76"/>
      <c r="AT47" s="67"/>
      <c r="AU47" s="79"/>
      <c r="AV47" s="96">
        <v>0</v>
      </c>
      <c r="AW47" s="97">
        <v>0</v>
      </c>
      <c r="AX47" s="67"/>
      <c r="AY47" s="67"/>
      <c r="AZ47" s="67"/>
      <c r="BA47" s="79"/>
      <c r="BB47" s="67"/>
      <c r="BC47" s="96">
        <v>0</v>
      </c>
      <c r="BD47" s="97">
        <v>0</v>
      </c>
      <c r="BE47" s="67"/>
      <c r="BF47" s="67"/>
      <c r="BG47" s="67"/>
      <c r="BH47" s="67"/>
      <c r="BI47" s="67"/>
      <c r="BJ47" s="96">
        <v>0</v>
      </c>
      <c r="BK47" s="97">
        <v>0</v>
      </c>
      <c r="BL47" s="67"/>
      <c r="BM47" s="67"/>
      <c r="BN47" s="67"/>
      <c r="BO47" s="67"/>
      <c r="BP47" s="67"/>
      <c r="BQ47" s="96">
        <v>0</v>
      </c>
      <c r="BR47" s="97">
        <v>0</v>
      </c>
      <c r="BS47" s="67"/>
      <c r="BT47" s="67"/>
      <c r="BU47" s="67"/>
      <c r="BV47" s="67"/>
      <c r="BW47" s="67"/>
      <c r="BX47" s="96">
        <v>0</v>
      </c>
      <c r="BY47" s="97">
        <v>0</v>
      </c>
    </row>
    <row r="48" spans="2:77" ht="15" customHeight="1" outlineLevel="1">
      <c r="B48" s="59" t="s">
        <v>181</v>
      </c>
      <c r="C48" s="60" t="s">
        <v>63</v>
      </c>
      <c r="D48" s="60" t="s">
        <v>54</v>
      </c>
      <c r="E48" s="59" t="s">
        <v>234</v>
      </c>
      <c r="F48" s="59">
        <f>SUMIFS('Detalhe Testes'!$F:$F,'Detalhe Testes'!$B:$B,'MacroPlano Equipa'!C48,'Detalhe Testes'!$C:$C,'MacroPlano Equipa'!D48)</f>
        <v>3</v>
      </c>
      <c r="G48" s="83">
        <f t="shared" si="6"/>
        <v>0.375</v>
      </c>
      <c r="H48" s="59" cm="1">
        <f t="array" aca="1" ref="H48" ca="1">SUMPRODUCT((COLUMN(O48:BY48)&gt;=MIN(IF(O48:BY48&lt;&gt;"",COLUMN(O48:BY48))))*($O$16:$BY$16&lt;=TODAY())*(O48:BY48))</f>
        <v>0</v>
      </c>
      <c r="I48" s="83">
        <f t="shared" ca="1" si="8"/>
        <v>0</v>
      </c>
      <c r="J48" s="100"/>
      <c r="K48" s="100"/>
      <c r="L48" s="85"/>
      <c r="M48" s="8">
        <f t="shared" si="5"/>
        <v>0</v>
      </c>
      <c r="O48" s="66"/>
      <c r="P48" s="66"/>
      <c r="Q48" s="66"/>
      <c r="R48" s="66"/>
      <c r="S48" s="70"/>
      <c r="T48" s="96">
        <v>0</v>
      </c>
      <c r="U48" s="97">
        <v>0</v>
      </c>
      <c r="V48" s="72"/>
      <c r="W48" s="66"/>
      <c r="X48" s="58"/>
      <c r="Y48" s="58"/>
      <c r="Z48" s="58"/>
      <c r="AA48" s="96">
        <v>0</v>
      </c>
      <c r="AB48" s="97">
        <v>0</v>
      </c>
      <c r="AC48" s="93">
        <v>1</v>
      </c>
      <c r="AD48" s="93">
        <v>2</v>
      </c>
      <c r="AE48" s="58"/>
      <c r="AF48" s="58"/>
      <c r="AG48" s="58"/>
      <c r="AH48" s="96">
        <v>0</v>
      </c>
      <c r="AI48" s="97">
        <v>0</v>
      </c>
      <c r="AJ48" s="67"/>
      <c r="AK48" s="67"/>
      <c r="AL48" s="67"/>
      <c r="AM48" s="67"/>
      <c r="AN48" s="67"/>
      <c r="AO48" s="96">
        <v>0</v>
      </c>
      <c r="AP48" s="97">
        <v>0</v>
      </c>
      <c r="AQ48" s="74"/>
      <c r="AR48" s="79"/>
      <c r="AS48" s="76"/>
      <c r="AT48" s="67"/>
      <c r="AU48" s="79"/>
      <c r="AV48" s="96">
        <v>0</v>
      </c>
      <c r="AW48" s="97">
        <v>0</v>
      </c>
      <c r="AX48" s="67"/>
      <c r="AY48" s="67"/>
      <c r="AZ48" s="67"/>
      <c r="BA48" s="79"/>
      <c r="BB48" s="67"/>
      <c r="BC48" s="96">
        <v>0</v>
      </c>
      <c r="BD48" s="97">
        <v>0</v>
      </c>
      <c r="BE48" s="67"/>
      <c r="BF48" s="67"/>
      <c r="BG48" s="67"/>
      <c r="BH48" s="67"/>
      <c r="BI48" s="67"/>
      <c r="BJ48" s="96">
        <v>0</v>
      </c>
      <c r="BK48" s="97">
        <v>0</v>
      </c>
      <c r="BL48" s="67"/>
      <c r="BM48" s="67"/>
      <c r="BN48" s="67"/>
      <c r="BO48" s="67"/>
      <c r="BP48" s="67"/>
      <c r="BQ48" s="96">
        <v>0</v>
      </c>
      <c r="BR48" s="97">
        <v>0</v>
      </c>
      <c r="BS48" s="67"/>
      <c r="BT48" s="67"/>
      <c r="BU48" s="67"/>
      <c r="BV48" s="67"/>
      <c r="BW48" s="67"/>
      <c r="BX48" s="96">
        <v>0</v>
      </c>
      <c r="BY48" s="97">
        <v>0</v>
      </c>
    </row>
    <row r="49" spans="2:77" s="8" customFormat="1" ht="15" customHeight="1">
      <c r="B49" s="56" t="s">
        <v>182</v>
      </c>
      <c r="C49" s="189" t="s">
        <v>183</v>
      </c>
      <c r="D49" s="189"/>
      <c r="E49" s="54"/>
      <c r="F49" s="54"/>
      <c r="G49" s="54"/>
      <c r="H49" s="54"/>
      <c r="I49" s="98"/>
      <c r="J49" s="98"/>
      <c r="K49" s="98"/>
      <c r="L49" s="54"/>
      <c r="O49" s="55"/>
      <c r="P49" s="55"/>
      <c r="Q49" s="55"/>
      <c r="R49" s="55"/>
      <c r="S49" s="55"/>
      <c r="T49" s="96">
        <v>0</v>
      </c>
      <c r="U49" s="97">
        <v>0</v>
      </c>
      <c r="V49" s="90" t="s">
        <v>235</v>
      </c>
      <c r="W49" s="55"/>
      <c r="X49" s="55"/>
      <c r="Y49" s="55"/>
      <c r="Z49" s="55"/>
      <c r="AA49" s="96">
        <v>0</v>
      </c>
      <c r="AB49" s="97">
        <v>0</v>
      </c>
      <c r="AC49" s="55"/>
      <c r="AD49" s="55"/>
      <c r="AE49" s="55"/>
      <c r="AF49" s="55"/>
      <c r="AG49" s="55"/>
      <c r="AH49" s="96">
        <v>0</v>
      </c>
      <c r="AI49" s="97">
        <v>0</v>
      </c>
      <c r="AJ49" s="54"/>
      <c r="AK49" s="54"/>
      <c r="AL49" s="54"/>
      <c r="AM49" s="54"/>
      <c r="AN49" s="54"/>
      <c r="AO49" s="96">
        <v>0</v>
      </c>
      <c r="AP49" s="97">
        <v>0</v>
      </c>
      <c r="AQ49" s="54"/>
      <c r="AR49" s="78"/>
      <c r="AS49" s="54"/>
      <c r="AT49" s="54"/>
      <c r="AU49" s="78"/>
      <c r="AV49" s="96">
        <v>0</v>
      </c>
      <c r="AW49" s="97">
        <v>0</v>
      </c>
      <c r="AX49" s="54"/>
      <c r="AY49" s="54"/>
      <c r="AZ49" s="54"/>
      <c r="BA49" s="78"/>
      <c r="BB49" s="54"/>
      <c r="BC49" s="96">
        <v>0</v>
      </c>
      <c r="BD49" s="97">
        <v>0</v>
      </c>
      <c r="BE49" s="54"/>
      <c r="BF49" s="54"/>
      <c r="BG49" s="54"/>
      <c r="BH49" s="54"/>
      <c r="BI49" s="54"/>
      <c r="BJ49" s="96">
        <v>0</v>
      </c>
      <c r="BK49" s="97">
        <v>0</v>
      </c>
      <c r="BL49" s="54"/>
      <c r="BM49" s="54"/>
      <c r="BN49" s="54"/>
      <c r="BO49" s="54"/>
      <c r="BP49" s="54"/>
      <c r="BQ49" s="96">
        <v>0</v>
      </c>
      <c r="BR49" s="97">
        <v>0</v>
      </c>
      <c r="BS49" s="54"/>
      <c r="BT49" s="54"/>
      <c r="BU49" s="54"/>
      <c r="BV49" s="54"/>
      <c r="BW49" s="54"/>
      <c r="BX49" s="96">
        <v>0</v>
      </c>
      <c r="BY49" s="97">
        <v>0</v>
      </c>
    </row>
    <row r="50" spans="2:77" ht="15" customHeight="1" outlineLevel="1">
      <c r="B50" s="59" t="s">
        <v>184</v>
      </c>
      <c r="C50" s="60" t="s">
        <v>1</v>
      </c>
      <c r="D50" s="209" t="s">
        <v>2</v>
      </c>
      <c r="E50" s="59" t="s">
        <v>234</v>
      </c>
      <c r="F50" s="59">
        <f>SUMIFS('Detalhe Testes'!$F:$F,'Detalhe Testes'!$B:$B,'MacroPlano Equipa'!C50,'Detalhe Testes'!$C:$C,'MacroPlano Equipa'!D50)</f>
        <v>5</v>
      </c>
      <c r="G50" s="83">
        <f t="shared" si="6"/>
        <v>0.625</v>
      </c>
      <c r="H50" s="59" cm="1">
        <f t="array" aca="1" ref="H50" ca="1">SUMPRODUCT((COLUMN(O50:BY50)&gt;=MIN(IF(O50:BY50&lt;&gt;"",COLUMN(O50:BY50))))*($O$16:$BY$16&lt;=TODAY())*(O50:BY50))</f>
        <v>0</v>
      </c>
      <c r="I50" s="83">
        <f t="shared" ref="I50:I61" ca="1" si="9">H50/8</f>
        <v>0</v>
      </c>
      <c r="J50" s="100"/>
      <c r="K50" s="100"/>
      <c r="L50" s="85"/>
      <c r="M50" s="8">
        <f t="shared" ref="M50:M61" si="10">SUM(O50:BY50)-F50</f>
        <v>0</v>
      </c>
      <c r="O50" s="66"/>
      <c r="P50" s="66"/>
      <c r="Q50" s="66"/>
      <c r="R50" s="66"/>
      <c r="S50" s="70"/>
      <c r="T50" s="96">
        <v>0</v>
      </c>
      <c r="U50" s="97">
        <v>0</v>
      </c>
      <c r="V50" s="84"/>
      <c r="W50" s="66"/>
      <c r="X50" s="66"/>
      <c r="Y50" s="66"/>
      <c r="Z50" s="66"/>
      <c r="AA50" s="96">
        <v>0</v>
      </c>
      <c r="AB50" s="97">
        <v>0</v>
      </c>
      <c r="AC50" s="66"/>
      <c r="AD50" s="66"/>
      <c r="AE50" s="58"/>
      <c r="AF50" s="93">
        <v>4</v>
      </c>
      <c r="AG50" s="93">
        <v>1</v>
      </c>
      <c r="AH50" s="96">
        <v>0</v>
      </c>
      <c r="AI50" s="97">
        <v>0</v>
      </c>
      <c r="AJ50" s="57"/>
      <c r="AK50" s="57"/>
      <c r="AL50" s="57"/>
      <c r="AM50" s="67"/>
      <c r="AN50" s="67"/>
      <c r="AO50" s="96">
        <v>0</v>
      </c>
      <c r="AP50" s="97">
        <v>0</v>
      </c>
      <c r="AQ50" s="74"/>
      <c r="AR50" s="79"/>
      <c r="AS50" s="76"/>
      <c r="AT50" s="67"/>
      <c r="AU50" s="79"/>
      <c r="AV50" s="96">
        <v>0</v>
      </c>
      <c r="AW50" s="97">
        <v>0</v>
      </c>
      <c r="AX50" s="67"/>
      <c r="AY50" s="67"/>
      <c r="AZ50" s="67"/>
      <c r="BA50" s="79"/>
      <c r="BB50" s="67"/>
      <c r="BC50" s="96">
        <v>0</v>
      </c>
      <c r="BD50" s="97">
        <v>0</v>
      </c>
      <c r="BE50" s="67"/>
      <c r="BF50" s="67"/>
      <c r="BG50" s="67"/>
      <c r="BH50" s="67"/>
      <c r="BI50" s="67"/>
      <c r="BJ50" s="96">
        <v>0</v>
      </c>
      <c r="BK50" s="97">
        <v>0</v>
      </c>
      <c r="BL50" s="67"/>
      <c r="BM50" s="67"/>
      <c r="BN50" s="67"/>
      <c r="BO50" s="67"/>
      <c r="BP50" s="67"/>
      <c r="BQ50" s="96">
        <v>0</v>
      </c>
      <c r="BR50" s="97">
        <v>0</v>
      </c>
      <c r="BS50" s="67"/>
      <c r="BT50" s="67"/>
      <c r="BU50" s="67"/>
      <c r="BV50" s="67"/>
      <c r="BW50" s="67"/>
      <c r="BX50" s="96">
        <v>0</v>
      </c>
      <c r="BY50" s="97">
        <v>0</v>
      </c>
    </row>
    <row r="51" spans="2:77" ht="15" customHeight="1" outlineLevel="1">
      <c r="B51" s="59" t="s">
        <v>185</v>
      </c>
      <c r="C51" s="60" t="s">
        <v>1</v>
      </c>
      <c r="D51" s="60" t="s">
        <v>8</v>
      </c>
      <c r="E51" s="59" t="s">
        <v>234</v>
      </c>
      <c r="F51" s="59">
        <f>SUMIFS('Detalhe Testes'!$F:$F,'Detalhe Testes'!$B:$B,'MacroPlano Equipa'!C51,'Detalhe Testes'!$C:$C,'MacroPlano Equipa'!D51)</f>
        <v>5</v>
      </c>
      <c r="G51" s="83">
        <f t="shared" si="6"/>
        <v>0.625</v>
      </c>
      <c r="H51" s="59" cm="1">
        <f t="array" aca="1" ref="H51" ca="1">SUMPRODUCT((COLUMN(O51:BY51)&gt;=MIN(IF(O51:BY51&lt;&gt;"",COLUMN(O51:BY51))))*($O$16:$BY$16&lt;=TODAY())*(O51:BY51))</f>
        <v>0</v>
      </c>
      <c r="I51" s="83">
        <f t="shared" ca="1" si="9"/>
        <v>0</v>
      </c>
      <c r="J51" s="100"/>
      <c r="K51" s="100"/>
      <c r="L51" s="85"/>
      <c r="M51" s="8">
        <f t="shared" si="10"/>
        <v>0</v>
      </c>
      <c r="O51" s="66"/>
      <c r="P51" s="66"/>
      <c r="Q51" s="66"/>
      <c r="R51" s="66"/>
      <c r="S51" s="70"/>
      <c r="T51" s="96">
        <v>0</v>
      </c>
      <c r="U51" s="97">
        <v>0</v>
      </c>
      <c r="V51" s="72"/>
      <c r="W51" s="66"/>
      <c r="X51" s="66"/>
      <c r="Y51" s="66"/>
      <c r="Z51" s="66"/>
      <c r="AA51" s="96">
        <v>0</v>
      </c>
      <c r="AB51" s="97">
        <v>0</v>
      </c>
      <c r="AC51" s="66"/>
      <c r="AD51" s="66"/>
      <c r="AE51" s="58"/>
      <c r="AF51" s="58"/>
      <c r="AG51" s="93">
        <v>5</v>
      </c>
      <c r="AH51" s="96">
        <v>0</v>
      </c>
      <c r="AI51" s="97">
        <v>0</v>
      </c>
      <c r="AJ51" s="57"/>
      <c r="AK51" s="57"/>
      <c r="AL51" s="57"/>
      <c r="AM51" s="67"/>
      <c r="AN51" s="67"/>
      <c r="AO51" s="96">
        <v>0</v>
      </c>
      <c r="AP51" s="97">
        <v>0</v>
      </c>
      <c r="AQ51" s="74"/>
      <c r="AR51" s="79"/>
      <c r="AS51" s="76"/>
      <c r="AT51" s="67"/>
      <c r="AU51" s="79"/>
      <c r="AV51" s="96">
        <v>0</v>
      </c>
      <c r="AW51" s="97">
        <v>0</v>
      </c>
      <c r="AX51" s="67"/>
      <c r="AY51" s="67"/>
      <c r="AZ51" s="67"/>
      <c r="BA51" s="79"/>
      <c r="BB51" s="67"/>
      <c r="BC51" s="96">
        <v>0</v>
      </c>
      <c r="BD51" s="97">
        <v>0</v>
      </c>
      <c r="BE51" s="67"/>
      <c r="BF51" s="67"/>
      <c r="BG51" s="67"/>
      <c r="BH51" s="67"/>
      <c r="BI51" s="67"/>
      <c r="BJ51" s="96">
        <v>0</v>
      </c>
      <c r="BK51" s="97">
        <v>0</v>
      </c>
      <c r="BL51" s="67"/>
      <c r="BM51" s="67"/>
      <c r="BN51" s="67"/>
      <c r="BO51" s="67"/>
      <c r="BP51" s="67"/>
      <c r="BQ51" s="96">
        <v>0</v>
      </c>
      <c r="BR51" s="97">
        <v>0</v>
      </c>
      <c r="BS51" s="67"/>
      <c r="BT51" s="67"/>
      <c r="BU51" s="67"/>
      <c r="BV51" s="67"/>
      <c r="BW51" s="67"/>
      <c r="BX51" s="96">
        <v>0</v>
      </c>
      <c r="BY51" s="97">
        <v>0</v>
      </c>
    </row>
    <row r="52" spans="2:77" ht="15" customHeight="1" outlineLevel="1">
      <c r="B52" s="59" t="s">
        <v>187</v>
      </c>
      <c r="C52" s="60" t="s">
        <v>1</v>
      </c>
      <c r="D52" s="136" t="s">
        <v>9</v>
      </c>
      <c r="E52" s="59" t="s">
        <v>234</v>
      </c>
      <c r="F52" s="59">
        <f>SUMIFS('Detalhe Testes'!$F:$F,'Detalhe Testes'!$B:$B,'MacroPlano Equipa'!C52,'Detalhe Testes'!$C:$C,'MacroPlano Equipa'!D52)</f>
        <v>1</v>
      </c>
      <c r="G52" s="83">
        <f t="shared" si="6"/>
        <v>0.125</v>
      </c>
      <c r="H52" s="59" cm="1">
        <f t="array" aca="1" ref="H52" ca="1">SUMPRODUCT((COLUMN(O52:BY52)&gt;=MIN(IF(O52:BY52&lt;&gt;"",COLUMN(O52:BY52))))*($O$16:$BY$16&lt;=TODAY())*(O52:BY52))</f>
        <v>0</v>
      </c>
      <c r="I52" s="83">
        <f t="shared" ca="1" si="9"/>
        <v>0</v>
      </c>
      <c r="J52" s="100"/>
      <c r="K52" s="100"/>
      <c r="L52" s="85"/>
      <c r="M52" s="8">
        <f t="shared" si="10"/>
        <v>0</v>
      </c>
      <c r="O52" s="66"/>
      <c r="P52" s="66"/>
      <c r="Q52" s="66"/>
      <c r="R52" s="66"/>
      <c r="S52" s="70"/>
      <c r="T52" s="96">
        <v>0</v>
      </c>
      <c r="U52" s="97">
        <v>0</v>
      </c>
      <c r="V52" s="72"/>
      <c r="W52" s="66"/>
      <c r="X52" s="66"/>
      <c r="Y52" s="66"/>
      <c r="Z52" s="66"/>
      <c r="AA52" s="96">
        <v>0</v>
      </c>
      <c r="AB52" s="97">
        <v>0</v>
      </c>
      <c r="AC52" s="66"/>
      <c r="AD52" s="66"/>
      <c r="AE52" s="58"/>
      <c r="AF52" s="58"/>
      <c r="AG52" s="93">
        <v>1</v>
      </c>
      <c r="AH52" s="96">
        <v>0</v>
      </c>
      <c r="AI52" s="97">
        <v>0</v>
      </c>
      <c r="AJ52" s="57"/>
      <c r="AK52" s="57"/>
      <c r="AL52" s="57"/>
      <c r="AM52" s="67"/>
      <c r="AN52" s="67"/>
      <c r="AO52" s="96">
        <v>0</v>
      </c>
      <c r="AP52" s="97">
        <v>0</v>
      </c>
      <c r="AQ52" s="74"/>
      <c r="AR52" s="79"/>
      <c r="AS52" s="76"/>
      <c r="AT52" s="67"/>
      <c r="AU52" s="79"/>
      <c r="AV52" s="96">
        <v>0</v>
      </c>
      <c r="AW52" s="97">
        <v>0</v>
      </c>
      <c r="AX52" s="67"/>
      <c r="AY52" s="67"/>
      <c r="AZ52" s="67"/>
      <c r="BA52" s="79"/>
      <c r="BB52" s="67"/>
      <c r="BC52" s="96">
        <v>0</v>
      </c>
      <c r="BD52" s="97">
        <v>0</v>
      </c>
      <c r="BE52" s="67"/>
      <c r="BF52" s="67"/>
      <c r="BG52" s="67"/>
      <c r="BH52" s="67"/>
      <c r="BI52" s="67"/>
      <c r="BJ52" s="96">
        <v>0</v>
      </c>
      <c r="BK52" s="97">
        <v>0</v>
      </c>
      <c r="BL52" s="67"/>
      <c r="BM52" s="67"/>
      <c r="BN52" s="67"/>
      <c r="BO52" s="67"/>
      <c r="BP52" s="67"/>
      <c r="BQ52" s="96">
        <v>0</v>
      </c>
      <c r="BR52" s="97">
        <v>0</v>
      </c>
      <c r="BS52" s="67"/>
      <c r="BT52" s="67"/>
      <c r="BU52" s="67"/>
      <c r="BV52" s="67"/>
      <c r="BW52" s="67"/>
      <c r="BX52" s="96">
        <v>0</v>
      </c>
      <c r="BY52" s="97">
        <v>0</v>
      </c>
    </row>
    <row r="53" spans="2:77" ht="15" customHeight="1" outlineLevel="1">
      <c r="B53" s="59" t="s">
        <v>186</v>
      </c>
      <c r="C53" s="60" t="s">
        <v>1</v>
      </c>
      <c r="D53" s="60" t="s">
        <v>11</v>
      </c>
      <c r="E53" s="59" t="s">
        <v>234</v>
      </c>
      <c r="F53" s="59">
        <f>SUMIFS('Detalhe Testes'!$F:$F,'Detalhe Testes'!$B:$B,'MacroPlano Equipa'!C53,'Detalhe Testes'!$C:$C,'MacroPlano Equipa'!D53)</f>
        <v>5</v>
      </c>
      <c r="G53" s="83">
        <f t="shared" si="6"/>
        <v>0.625</v>
      </c>
      <c r="H53" s="59" cm="1">
        <f t="array" aca="1" ref="H53" ca="1">SUMPRODUCT((COLUMN(O53:BY53)&gt;=MIN(IF(O53:BY53&lt;&gt;"",COLUMN(O53:BY53))))*($O$16:$BY$16&lt;=TODAY())*(O53:BY53))</f>
        <v>0</v>
      </c>
      <c r="I53" s="83">
        <f t="shared" ca="1" si="9"/>
        <v>0</v>
      </c>
      <c r="J53" s="100"/>
      <c r="K53" s="100"/>
      <c r="L53" s="85"/>
      <c r="M53" s="8">
        <f t="shared" si="10"/>
        <v>0</v>
      </c>
      <c r="O53" s="66"/>
      <c r="P53" s="66"/>
      <c r="Q53" s="66"/>
      <c r="R53" s="66"/>
      <c r="S53" s="70"/>
      <c r="T53" s="96">
        <v>0</v>
      </c>
      <c r="U53" s="97">
        <v>0</v>
      </c>
      <c r="V53" s="72"/>
      <c r="W53" s="66"/>
      <c r="X53" s="66"/>
      <c r="Y53" s="66"/>
      <c r="Z53" s="66"/>
      <c r="AA53" s="96">
        <v>0</v>
      </c>
      <c r="AB53" s="97">
        <v>0</v>
      </c>
      <c r="AC53" s="66"/>
      <c r="AD53" s="66"/>
      <c r="AE53" s="58"/>
      <c r="AF53" s="93">
        <v>4</v>
      </c>
      <c r="AG53" s="93">
        <v>1</v>
      </c>
      <c r="AH53" s="96">
        <v>0</v>
      </c>
      <c r="AI53" s="97">
        <v>0</v>
      </c>
      <c r="AJ53" s="57"/>
      <c r="AK53" s="57"/>
      <c r="AL53" s="57"/>
      <c r="AM53" s="67"/>
      <c r="AN53" s="67"/>
      <c r="AO53" s="96">
        <v>0</v>
      </c>
      <c r="AP53" s="97">
        <v>0</v>
      </c>
      <c r="AQ53" s="74"/>
      <c r="AR53" s="79"/>
      <c r="AS53" s="76"/>
      <c r="AT53" s="67"/>
      <c r="AU53" s="79"/>
      <c r="AV53" s="96">
        <v>0</v>
      </c>
      <c r="AW53" s="97">
        <v>0</v>
      </c>
      <c r="AX53" s="67"/>
      <c r="AY53" s="67"/>
      <c r="AZ53" s="67"/>
      <c r="BA53" s="79"/>
      <c r="BB53" s="67"/>
      <c r="BC53" s="96">
        <v>0</v>
      </c>
      <c r="BD53" s="97">
        <v>0</v>
      </c>
      <c r="BE53" s="67"/>
      <c r="BF53" s="67"/>
      <c r="BG53" s="67"/>
      <c r="BH53" s="67"/>
      <c r="BI53" s="67"/>
      <c r="BJ53" s="96">
        <v>0</v>
      </c>
      <c r="BK53" s="97">
        <v>0</v>
      </c>
      <c r="BL53" s="67"/>
      <c r="BM53" s="67"/>
      <c r="BN53" s="67"/>
      <c r="BO53" s="67"/>
      <c r="BP53" s="67"/>
      <c r="BQ53" s="96">
        <v>0</v>
      </c>
      <c r="BR53" s="97">
        <v>0</v>
      </c>
      <c r="BS53" s="67"/>
      <c r="BT53" s="67"/>
      <c r="BU53" s="67"/>
      <c r="BV53" s="67"/>
      <c r="BW53" s="67"/>
      <c r="BX53" s="96">
        <v>0</v>
      </c>
      <c r="BY53" s="97">
        <v>0</v>
      </c>
    </row>
    <row r="54" spans="2:77" ht="15" customHeight="1" outlineLevel="1">
      <c r="B54" s="59" t="s">
        <v>188</v>
      </c>
      <c r="C54" s="60" t="s">
        <v>1</v>
      </c>
      <c r="D54" s="136" t="s">
        <v>13</v>
      </c>
      <c r="E54" s="59" t="s">
        <v>234</v>
      </c>
      <c r="F54" s="59">
        <f>SUMIFS('Detalhe Testes'!$F:$F,'Detalhe Testes'!$B:$B,'MacroPlano Equipa'!C54,'Detalhe Testes'!$C:$C,'MacroPlano Equipa'!D54)</f>
        <v>3</v>
      </c>
      <c r="G54" s="83">
        <f t="shared" si="6"/>
        <v>0.375</v>
      </c>
      <c r="H54" s="59" cm="1">
        <f t="array" aca="1" ref="H54" ca="1">SUMPRODUCT((COLUMN(O54:BY54)&gt;=MIN(IF(O54:BY54&lt;&gt;"",COLUMN(O54:BY54))))*($O$16:$BY$16&lt;=TODAY())*(O54:BY54))</f>
        <v>0</v>
      </c>
      <c r="I54" s="83">
        <f t="shared" ca="1" si="9"/>
        <v>0</v>
      </c>
      <c r="J54" s="100"/>
      <c r="K54" s="100"/>
      <c r="L54" s="85"/>
      <c r="M54" s="8">
        <f t="shared" si="10"/>
        <v>0</v>
      </c>
      <c r="O54" s="66"/>
      <c r="P54" s="66"/>
      <c r="Q54" s="66"/>
      <c r="R54" s="66"/>
      <c r="S54" s="70"/>
      <c r="T54" s="96">
        <v>0</v>
      </c>
      <c r="U54" s="97">
        <v>0</v>
      </c>
      <c r="V54" s="72"/>
      <c r="W54" s="66"/>
      <c r="X54" s="66"/>
      <c r="Y54" s="66"/>
      <c r="Z54" s="66"/>
      <c r="AA54" s="96">
        <v>0</v>
      </c>
      <c r="AB54" s="97">
        <v>0</v>
      </c>
      <c r="AC54" s="66"/>
      <c r="AD54" s="66"/>
      <c r="AE54" s="58"/>
      <c r="AF54" s="58"/>
      <c r="AG54" s="93">
        <v>3</v>
      </c>
      <c r="AH54" s="96">
        <v>0</v>
      </c>
      <c r="AI54" s="97">
        <v>0</v>
      </c>
      <c r="AJ54" s="57"/>
      <c r="AK54" s="57"/>
      <c r="AL54" s="57"/>
      <c r="AM54" s="67"/>
      <c r="AN54" s="67"/>
      <c r="AO54" s="96">
        <v>0</v>
      </c>
      <c r="AP54" s="97">
        <v>0</v>
      </c>
      <c r="AQ54" s="74"/>
      <c r="AR54" s="79"/>
      <c r="AS54" s="76"/>
      <c r="AT54" s="67"/>
      <c r="AU54" s="79"/>
      <c r="AV54" s="96">
        <v>0</v>
      </c>
      <c r="AW54" s="97">
        <v>0</v>
      </c>
      <c r="AX54" s="67"/>
      <c r="AY54" s="67"/>
      <c r="AZ54" s="67"/>
      <c r="BA54" s="79"/>
      <c r="BB54" s="67"/>
      <c r="BC54" s="96">
        <v>0</v>
      </c>
      <c r="BD54" s="97">
        <v>0</v>
      </c>
      <c r="BE54" s="67"/>
      <c r="BF54" s="67"/>
      <c r="BG54" s="67"/>
      <c r="BH54" s="67"/>
      <c r="BI54" s="67"/>
      <c r="BJ54" s="96">
        <v>0</v>
      </c>
      <c r="BK54" s="97">
        <v>0</v>
      </c>
      <c r="BL54" s="67"/>
      <c r="BM54" s="67"/>
      <c r="BN54" s="67"/>
      <c r="BO54" s="67"/>
      <c r="BP54" s="67"/>
      <c r="BQ54" s="96">
        <v>0</v>
      </c>
      <c r="BR54" s="97">
        <v>0</v>
      </c>
      <c r="BS54" s="67"/>
      <c r="BT54" s="67"/>
      <c r="BU54" s="67"/>
      <c r="BV54" s="67"/>
      <c r="BW54" s="67"/>
      <c r="BX54" s="96">
        <v>0</v>
      </c>
      <c r="BY54" s="97">
        <v>0</v>
      </c>
    </row>
    <row r="55" spans="2:77" ht="15" customHeight="1" outlineLevel="1">
      <c r="B55" s="59" t="s">
        <v>190</v>
      </c>
      <c r="C55" s="60" t="s">
        <v>1</v>
      </c>
      <c r="D55" s="60" t="s">
        <v>14</v>
      </c>
      <c r="E55" s="59" t="s">
        <v>234</v>
      </c>
      <c r="F55" s="59">
        <f>SUMIFS('Detalhe Testes'!$F:$F,'Detalhe Testes'!$B:$B,'MacroPlano Equipa'!C55,'Detalhe Testes'!$C:$C,'MacroPlano Equipa'!D55)</f>
        <v>3</v>
      </c>
      <c r="G55" s="83">
        <f t="shared" si="6"/>
        <v>0.375</v>
      </c>
      <c r="H55" s="59" cm="1">
        <f t="array" aca="1" ref="H55" ca="1">SUMPRODUCT((COLUMN(O55:BY55)&gt;=MIN(IF(O55:BY55&lt;&gt;"",COLUMN(O55:BY55))))*($O$16:$BY$16&lt;=TODAY())*(O55:BY55))</f>
        <v>0</v>
      </c>
      <c r="I55" s="83">
        <f t="shared" ca="1" si="9"/>
        <v>0</v>
      </c>
      <c r="J55" s="100"/>
      <c r="K55" s="100"/>
      <c r="L55" s="85"/>
      <c r="M55" s="8">
        <f t="shared" si="10"/>
        <v>0</v>
      </c>
      <c r="O55" s="66"/>
      <c r="P55" s="66"/>
      <c r="Q55" s="66"/>
      <c r="R55" s="66"/>
      <c r="S55" s="70"/>
      <c r="T55" s="96">
        <v>0</v>
      </c>
      <c r="U55" s="97">
        <v>0</v>
      </c>
      <c r="V55" s="72"/>
      <c r="W55" s="66"/>
      <c r="X55" s="66"/>
      <c r="Y55" s="66"/>
      <c r="Z55" s="66"/>
      <c r="AA55" s="96">
        <v>0</v>
      </c>
      <c r="AB55" s="97">
        <v>0</v>
      </c>
      <c r="AC55" s="66"/>
      <c r="AD55" s="66"/>
      <c r="AE55" s="93">
        <v>3</v>
      </c>
      <c r="AF55" s="58"/>
      <c r="AG55" s="58"/>
      <c r="AH55" s="96">
        <v>0</v>
      </c>
      <c r="AI55" s="97">
        <v>0</v>
      </c>
      <c r="AJ55" s="57"/>
      <c r="AK55" s="57"/>
      <c r="AL55" s="57"/>
      <c r="AM55" s="67"/>
      <c r="AN55" s="67"/>
      <c r="AO55" s="96">
        <v>0</v>
      </c>
      <c r="AP55" s="97">
        <v>0</v>
      </c>
      <c r="AQ55" s="74"/>
      <c r="AR55" s="79"/>
      <c r="AS55" s="76"/>
      <c r="AT55" s="67"/>
      <c r="AU55" s="79"/>
      <c r="AV55" s="96">
        <v>0</v>
      </c>
      <c r="AW55" s="97">
        <v>0</v>
      </c>
      <c r="AX55" s="67"/>
      <c r="AY55" s="67"/>
      <c r="AZ55" s="67"/>
      <c r="BA55" s="79"/>
      <c r="BB55" s="67"/>
      <c r="BC55" s="96">
        <v>0</v>
      </c>
      <c r="BD55" s="97">
        <v>0</v>
      </c>
      <c r="BE55" s="67"/>
      <c r="BF55" s="67"/>
      <c r="BG55" s="67"/>
      <c r="BH55" s="67"/>
      <c r="BI55" s="67"/>
      <c r="BJ55" s="96">
        <v>0</v>
      </c>
      <c r="BK55" s="97">
        <v>0</v>
      </c>
      <c r="BL55" s="67"/>
      <c r="BM55" s="67"/>
      <c r="BN55" s="67"/>
      <c r="BO55" s="67"/>
      <c r="BP55" s="67"/>
      <c r="BQ55" s="96">
        <v>0</v>
      </c>
      <c r="BR55" s="97">
        <v>0</v>
      </c>
      <c r="BS55" s="67"/>
      <c r="BT55" s="67"/>
      <c r="BU55" s="67"/>
      <c r="BV55" s="67"/>
      <c r="BW55" s="67"/>
      <c r="BX55" s="96">
        <v>0</v>
      </c>
      <c r="BY55" s="97">
        <v>0</v>
      </c>
    </row>
    <row r="56" spans="2:77" ht="15" customHeight="1" outlineLevel="1">
      <c r="B56" s="59" t="s">
        <v>192</v>
      </c>
      <c r="C56" s="60" t="s">
        <v>1</v>
      </c>
      <c r="D56" s="60" t="s">
        <v>15</v>
      </c>
      <c r="E56" s="59" t="s">
        <v>234</v>
      </c>
      <c r="F56" s="59">
        <f>SUMIFS('Detalhe Testes'!$F:$F,'Detalhe Testes'!$B:$B,'MacroPlano Equipa'!C56,'Detalhe Testes'!$C:$C,'MacroPlano Equipa'!D56)</f>
        <v>3</v>
      </c>
      <c r="G56" s="83">
        <f t="shared" si="6"/>
        <v>0.375</v>
      </c>
      <c r="H56" s="59" cm="1">
        <f t="array" aca="1" ref="H56" ca="1">SUMPRODUCT((COLUMN(O56:BY56)&gt;=MIN(IF(O56:BY56&lt;&gt;"",COLUMN(O56:BY56))))*($O$16:$BY$16&lt;=TODAY())*(O56:BY56))</f>
        <v>0</v>
      </c>
      <c r="I56" s="83">
        <f t="shared" ca="1" si="9"/>
        <v>0</v>
      </c>
      <c r="J56" s="100"/>
      <c r="K56" s="100"/>
      <c r="L56" s="85"/>
      <c r="M56" s="8">
        <f t="shared" si="10"/>
        <v>0</v>
      </c>
      <c r="O56" s="66"/>
      <c r="P56" s="66"/>
      <c r="Q56" s="66"/>
      <c r="R56" s="66"/>
      <c r="S56" s="70"/>
      <c r="T56" s="96">
        <v>0</v>
      </c>
      <c r="U56" s="97">
        <v>0</v>
      </c>
      <c r="V56" s="72"/>
      <c r="W56" s="66"/>
      <c r="X56" s="66"/>
      <c r="Y56" s="66"/>
      <c r="Z56" s="66"/>
      <c r="AA56" s="96">
        <v>0</v>
      </c>
      <c r="AB56" s="97">
        <v>0</v>
      </c>
      <c r="AC56" s="66"/>
      <c r="AD56" s="66"/>
      <c r="AE56" s="93">
        <v>3</v>
      </c>
      <c r="AF56" s="58"/>
      <c r="AG56" s="58"/>
      <c r="AH56" s="96">
        <v>0</v>
      </c>
      <c r="AI56" s="97">
        <v>0</v>
      </c>
      <c r="AJ56" s="57"/>
      <c r="AK56" s="57"/>
      <c r="AL56" s="57"/>
      <c r="AM56" s="67"/>
      <c r="AN56" s="67"/>
      <c r="AO56" s="96">
        <v>0</v>
      </c>
      <c r="AP56" s="97">
        <v>0</v>
      </c>
      <c r="AQ56" s="74"/>
      <c r="AR56" s="79"/>
      <c r="AS56" s="76"/>
      <c r="AT56" s="67"/>
      <c r="AU56" s="79"/>
      <c r="AV56" s="96">
        <v>0</v>
      </c>
      <c r="AW56" s="97">
        <v>0</v>
      </c>
      <c r="AX56" s="67"/>
      <c r="AY56" s="67"/>
      <c r="AZ56" s="67"/>
      <c r="BA56" s="79"/>
      <c r="BB56" s="67"/>
      <c r="BC56" s="96">
        <v>0</v>
      </c>
      <c r="BD56" s="97">
        <v>0</v>
      </c>
      <c r="BE56" s="67"/>
      <c r="BF56" s="67"/>
      <c r="BG56" s="67"/>
      <c r="BH56" s="67"/>
      <c r="BI56" s="67"/>
      <c r="BJ56" s="96">
        <v>0</v>
      </c>
      <c r="BK56" s="97">
        <v>0</v>
      </c>
      <c r="BL56" s="67"/>
      <c r="BM56" s="67"/>
      <c r="BN56" s="67"/>
      <c r="BO56" s="67"/>
      <c r="BP56" s="67"/>
      <c r="BQ56" s="96">
        <v>0</v>
      </c>
      <c r="BR56" s="97">
        <v>0</v>
      </c>
      <c r="BS56" s="67"/>
      <c r="BT56" s="67"/>
      <c r="BU56" s="67"/>
      <c r="BV56" s="67"/>
      <c r="BW56" s="67"/>
      <c r="BX56" s="96">
        <v>0</v>
      </c>
      <c r="BY56" s="97">
        <v>0</v>
      </c>
    </row>
    <row r="57" spans="2:77" ht="15" customHeight="1" outlineLevel="1">
      <c r="B57" s="59" t="s">
        <v>194</v>
      </c>
      <c r="C57" s="60" t="s">
        <v>1</v>
      </c>
      <c r="D57" s="60" t="s">
        <v>16</v>
      </c>
      <c r="E57" s="59" t="s">
        <v>234</v>
      </c>
      <c r="F57" s="59">
        <f>SUMIFS('Detalhe Testes'!$F:$F,'Detalhe Testes'!$B:$B,'MacroPlano Equipa'!C57,'Detalhe Testes'!$C:$C,'MacroPlano Equipa'!D57)</f>
        <v>3</v>
      </c>
      <c r="G57" s="83">
        <f t="shared" si="6"/>
        <v>0.375</v>
      </c>
      <c r="H57" s="59" cm="1">
        <f t="array" aca="1" ref="H57" ca="1">SUMPRODUCT((COLUMN(O57:BY57)&gt;=MIN(IF(O57:BY57&lt;&gt;"",COLUMN(O57:BY57))))*($O$16:$BY$16&lt;=TODAY())*(O57:BY57))</f>
        <v>0</v>
      </c>
      <c r="I57" s="83">
        <f t="shared" ca="1" si="9"/>
        <v>0</v>
      </c>
      <c r="J57" s="100"/>
      <c r="K57" s="100"/>
      <c r="L57" s="85"/>
      <c r="M57" s="8">
        <f t="shared" si="10"/>
        <v>0</v>
      </c>
      <c r="O57" s="66"/>
      <c r="P57" s="66"/>
      <c r="Q57" s="66"/>
      <c r="R57" s="66"/>
      <c r="S57" s="70"/>
      <c r="T57" s="96">
        <v>0</v>
      </c>
      <c r="U57" s="97">
        <v>0</v>
      </c>
      <c r="V57" s="72"/>
      <c r="W57" s="66"/>
      <c r="X57" s="66"/>
      <c r="Y57" s="66"/>
      <c r="Z57" s="66"/>
      <c r="AA57" s="96">
        <v>0</v>
      </c>
      <c r="AB57" s="97">
        <v>0</v>
      </c>
      <c r="AC57" s="66"/>
      <c r="AD57" s="66"/>
      <c r="AE57" s="93">
        <v>2</v>
      </c>
      <c r="AF57" s="93">
        <v>1</v>
      </c>
      <c r="AG57" s="58"/>
      <c r="AH57" s="96">
        <v>0</v>
      </c>
      <c r="AI57" s="97">
        <v>0</v>
      </c>
      <c r="AJ57" s="57"/>
      <c r="AK57" s="57"/>
      <c r="AL57" s="57"/>
      <c r="AM57" s="67"/>
      <c r="AN57" s="67"/>
      <c r="AO57" s="96">
        <v>0</v>
      </c>
      <c r="AP57" s="97">
        <v>0</v>
      </c>
      <c r="AQ57" s="74"/>
      <c r="AR57" s="79"/>
      <c r="AS57" s="76"/>
      <c r="AT57" s="67"/>
      <c r="AU57" s="79"/>
      <c r="AV57" s="96">
        <v>0</v>
      </c>
      <c r="AW57" s="97">
        <v>0</v>
      </c>
      <c r="AX57" s="67"/>
      <c r="AY57" s="67"/>
      <c r="AZ57" s="67"/>
      <c r="BA57" s="79"/>
      <c r="BB57" s="67"/>
      <c r="BC57" s="96">
        <v>0</v>
      </c>
      <c r="BD57" s="97">
        <v>0</v>
      </c>
      <c r="BE57" s="67"/>
      <c r="BF57" s="67"/>
      <c r="BG57" s="67"/>
      <c r="BH57" s="67"/>
      <c r="BI57" s="67"/>
      <c r="BJ57" s="96">
        <v>0</v>
      </c>
      <c r="BK57" s="97">
        <v>0</v>
      </c>
      <c r="BL57" s="67"/>
      <c r="BM57" s="67"/>
      <c r="BN57" s="67"/>
      <c r="BO57" s="67"/>
      <c r="BP57" s="67"/>
      <c r="BQ57" s="96">
        <v>0</v>
      </c>
      <c r="BR57" s="97">
        <v>0</v>
      </c>
      <c r="BS57" s="67"/>
      <c r="BT57" s="67"/>
      <c r="BU57" s="67"/>
      <c r="BV57" s="67"/>
      <c r="BW57" s="67"/>
      <c r="BX57" s="96">
        <v>0</v>
      </c>
      <c r="BY57" s="97">
        <v>0</v>
      </c>
    </row>
    <row r="58" spans="2:77" ht="15" customHeight="1" outlineLevel="1">
      <c r="B58" s="59" t="s">
        <v>195</v>
      </c>
      <c r="C58" s="60" t="s">
        <v>1</v>
      </c>
      <c r="D58" s="60" t="s">
        <v>17</v>
      </c>
      <c r="E58" s="59" t="s">
        <v>234</v>
      </c>
      <c r="F58" s="59">
        <f>SUMIFS('Detalhe Testes'!$F:$F,'Detalhe Testes'!$B:$B,'MacroPlano Equipa'!C58,'Detalhe Testes'!$C:$C,'MacroPlano Equipa'!D58)</f>
        <v>3</v>
      </c>
      <c r="G58" s="83">
        <f t="shared" si="6"/>
        <v>0.375</v>
      </c>
      <c r="H58" s="59" cm="1">
        <f t="array" aca="1" ref="H58" ca="1">SUMPRODUCT((COLUMN(O58:BY58)&gt;=MIN(IF(O58:BY58&lt;&gt;"",COLUMN(O58:BY58))))*($O$16:$BY$16&lt;=TODAY())*(O58:BY58))</f>
        <v>0</v>
      </c>
      <c r="I58" s="83">
        <f t="shared" ca="1" si="9"/>
        <v>0</v>
      </c>
      <c r="J58" s="100"/>
      <c r="K58" s="100"/>
      <c r="L58" s="85"/>
      <c r="M58" s="8">
        <f t="shared" si="10"/>
        <v>0</v>
      </c>
      <c r="O58" s="66"/>
      <c r="P58" s="66"/>
      <c r="Q58" s="66"/>
      <c r="R58" s="66"/>
      <c r="S58" s="70"/>
      <c r="T58" s="96">
        <v>0</v>
      </c>
      <c r="U58" s="97">
        <v>0</v>
      </c>
      <c r="V58" s="72"/>
      <c r="W58" s="66"/>
      <c r="X58" s="66"/>
      <c r="Y58" s="66"/>
      <c r="Z58" s="66"/>
      <c r="AA58" s="96">
        <v>0</v>
      </c>
      <c r="AB58" s="97">
        <v>0</v>
      </c>
      <c r="AC58" s="66"/>
      <c r="AD58" s="66"/>
      <c r="AE58" s="58"/>
      <c r="AF58" s="93">
        <v>3</v>
      </c>
      <c r="AG58" s="58"/>
      <c r="AH58" s="96">
        <v>0</v>
      </c>
      <c r="AI58" s="97">
        <v>0</v>
      </c>
      <c r="AJ58" s="57"/>
      <c r="AK58" s="57"/>
      <c r="AL58" s="57"/>
      <c r="AM58" s="67"/>
      <c r="AN58" s="67"/>
      <c r="AO58" s="96">
        <v>0</v>
      </c>
      <c r="AP58" s="97">
        <v>0</v>
      </c>
      <c r="AQ58" s="74"/>
      <c r="AR58" s="79"/>
      <c r="AS58" s="76"/>
      <c r="AT58" s="67"/>
      <c r="AU58" s="79"/>
      <c r="AV58" s="96">
        <v>0</v>
      </c>
      <c r="AW58" s="97">
        <v>0</v>
      </c>
      <c r="AX58" s="67"/>
      <c r="AY58" s="67"/>
      <c r="AZ58" s="67"/>
      <c r="BA58" s="79"/>
      <c r="BB58" s="67"/>
      <c r="BC58" s="96">
        <v>0</v>
      </c>
      <c r="BD58" s="97">
        <v>0</v>
      </c>
      <c r="BE58" s="67"/>
      <c r="BF58" s="67"/>
      <c r="BG58" s="67"/>
      <c r="BH58" s="67"/>
      <c r="BI58" s="67"/>
      <c r="BJ58" s="96">
        <v>0</v>
      </c>
      <c r="BK58" s="97">
        <v>0</v>
      </c>
      <c r="BL58" s="67"/>
      <c r="BM58" s="67"/>
      <c r="BN58" s="67"/>
      <c r="BO58" s="67"/>
      <c r="BP58" s="67"/>
      <c r="BQ58" s="96">
        <v>0</v>
      </c>
      <c r="BR58" s="97">
        <v>0</v>
      </c>
      <c r="BS58" s="67"/>
      <c r="BT58" s="67"/>
      <c r="BU58" s="67"/>
      <c r="BV58" s="67"/>
      <c r="BW58" s="67"/>
      <c r="BX58" s="96">
        <v>0</v>
      </c>
      <c r="BY58" s="97">
        <v>0</v>
      </c>
    </row>
    <row r="59" spans="2:77" ht="15" customHeight="1" outlineLevel="1">
      <c r="B59" s="59" t="s">
        <v>196</v>
      </c>
      <c r="C59" s="60" t="s">
        <v>1</v>
      </c>
      <c r="D59" s="60" t="s">
        <v>19</v>
      </c>
      <c r="E59" s="59" t="s">
        <v>234</v>
      </c>
      <c r="F59" s="59">
        <f>SUMIFS('Detalhe Testes'!$F:$F,'Detalhe Testes'!$B:$B,'MacroPlano Equipa'!C59,'Detalhe Testes'!$C:$C,'MacroPlano Equipa'!D59)</f>
        <v>3</v>
      </c>
      <c r="G59" s="83">
        <f t="shared" si="6"/>
        <v>0.375</v>
      </c>
      <c r="H59" s="59" cm="1">
        <f t="array" aca="1" ref="H59" ca="1">SUMPRODUCT((COLUMN(O59:BY59)&gt;=MIN(IF(O59:BY59&lt;&gt;"",COLUMN(O59:BY59))))*($O$16:$BY$16&lt;=TODAY())*(O59:BY59))</f>
        <v>0</v>
      </c>
      <c r="I59" s="83">
        <f t="shared" ca="1" si="9"/>
        <v>0</v>
      </c>
      <c r="J59" s="100"/>
      <c r="K59" s="100"/>
      <c r="L59" s="85"/>
      <c r="M59" s="8">
        <f t="shared" si="10"/>
        <v>0</v>
      </c>
      <c r="O59" s="66"/>
      <c r="P59" s="66"/>
      <c r="Q59" s="66"/>
      <c r="R59" s="66"/>
      <c r="S59" s="70"/>
      <c r="T59" s="96">
        <v>0</v>
      </c>
      <c r="U59" s="97">
        <v>0</v>
      </c>
      <c r="V59" s="72"/>
      <c r="W59" s="66"/>
      <c r="X59" s="66"/>
      <c r="Y59" s="66"/>
      <c r="Z59" s="66"/>
      <c r="AA59" s="96">
        <v>0</v>
      </c>
      <c r="AB59" s="97">
        <v>0</v>
      </c>
      <c r="AC59" s="66"/>
      <c r="AD59" s="66"/>
      <c r="AE59" s="58"/>
      <c r="AF59" s="58"/>
      <c r="AG59" s="93">
        <v>3</v>
      </c>
      <c r="AH59" s="96">
        <v>0</v>
      </c>
      <c r="AI59" s="97">
        <v>0</v>
      </c>
      <c r="AJ59" s="57"/>
      <c r="AK59" s="57"/>
      <c r="AL59" s="57"/>
      <c r="AM59" s="67"/>
      <c r="AN59" s="67"/>
      <c r="AO59" s="96">
        <v>0</v>
      </c>
      <c r="AP59" s="97">
        <v>0</v>
      </c>
      <c r="AQ59" s="74"/>
      <c r="AR59" s="79"/>
      <c r="AS59" s="76"/>
      <c r="AT59" s="67"/>
      <c r="AU59" s="79"/>
      <c r="AV59" s="96">
        <v>0</v>
      </c>
      <c r="AW59" s="97">
        <v>0</v>
      </c>
      <c r="AX59" s="67"/>
      <c r="AY59" s="67"/>
      <c r="AZ59" s="67"/>
      <c r="BA59" s="79"/>
      <c r="BB59" s="67"/>
      <c r="BC59" s="96">
        <v>0</v>
      </c>
      <c r="BD59" s="97">
        <v>0</v>
      </c>
      <c r="BE59" s="67"/>
      <c r="BF59" s="67"/>
      <c r="BG59" s="67"/>
      <c r="BH59" s="67"/>
      <c r="BI59" s="67"/>
      <c r="BJ59" s="96">
        <v>0</v>
      </c>
      <c r="BK59" s="97">
        <v>0</v>
      </c>
      <c r="BL59" s="67"/>
      <c r="BM59" s="67"/>
      <c r="BN59" s="67"/>
      <c r="BO59" s="67"/>
      <c r="BP59" s="67"/>
      <c r="BQ59" s="96">
        <v>0</v>
      </c>
      <c r="BR59" s="97">
        <v>0</v>
      </c>
      <c r="BS59" s="67"/>
      <c r="BT59" s="67"/>
      <c r="BU59" s="67"/>
      <c r="BV59" s="67"/>
      <c r="BW59" s="67"/>
      <c r="BX59" s="96">
        <v>0</v>
      </c>
      <c r="BY59" s="97">
        <v>0</v>
      </c>
    </row>
    <row r="60" spans="2:77" ht="15" customHeight="1" outlineLevel="1">
      <c r="B60" s="59" t="s">
        <v>197</v>
      </c>
      <c r="C60" s="60" t="s">
        <v>1</v>
      </c>
      <c r="D60" s="136" t="s">
        <v>23</v>
      </c>
      <c r="E60" s="59" t="s">
        <v>234</v>
      </c>
      <c r="F60" s="59">
        <f>SUMIFS('Detalhe Testes'!$F:$F,'Detalhe Testes'!$B:$B,'MacroPlano Equipa'!C60,'Detalhe Testes'!$C:$C,'MacroPlano Equipa'!D60)</f>
        <v>5</v>
      </c>
      <c r="G60" s="83">
        <f t="shared" si="6"/>
        <v>0.625</v>
      </c>
      <c r="H60" s="59" cm="1">
        <f t="array" aca="1" ref="H60" ca="1">SUMPRODUCT((COLUMN(O60:BY60)&gt;=MIN(IF(O60:BY60&lt;&gt;"",COLUMN(O60:BY60))))*($O$16:$BY$16&lt;=TODAY())*(O60:BY60))</f>
        <v>0</v>
      </c>
      <c r="I60" s="83">
        <f t="shared" ca="1" si="9"/>
        <v>0</v>
      </c>
      <c r="J60" s="100"/>
      <c r="K60" s="100"/>
      <c r="L60" s="85"/>
      <c r="M60" s="8">
        <f t="shared" si="10"/>
        <v>0</v>
      </c>
      <c r="O60" s="66"/>
      <c r="P60" s="66"/>
      <c r="Q60" s="66"/>
      <c r="R60" s="66"/>
      <c r="S60" s="70"/>
      <c r="T60" s="96">
        <v>0</v>
      </c>
      <c r="U60" s="97">
        <v>0</v>
      </c>
      <c r="V60" s="72"/>
      <c r="W60" s="66"/>
      <c r="X60" s="66"/>
      <c r="Y60" s="66"/>
      <c r="Z60" s="66"/>
      <c r="AA60" s="96">
        <v>0</v>
      </c>
      <c r="AB60" s="97">
        <v>0</v>
      </c>
      <c r="AC60" s="66"/>
      <c r="AD60" s="66"/>
      <c r="AE60" s="58"/>
      <c r="AF60" s="58"/>
      <c r="AG60" s="58"/>
      <c r="AH60" s="96">
        <v>0</v>
      </c>
      <c r="AI60" s="97">
        <v>0</v>
      </c>
      <c r="AJ60" s="93">
        <v>5</v>
      </c>
      <c r="AK60" s="57"/>
      <c r="AL60" s="57"/>
      <c r="AM60" s="67"/>
      <c r="AN60" s="67"/>
      <c r="AO60" s="96">
        <v>0</v>
      </c>
      <c r="AP60" s="97">
        <v>0</v>
      </c>
      <c r="AQ60" s="74"/>
      <c r="AR60" s="79"/>
      <c r="AS60" s="76"/>
      <c r="AT60" s="67"/>
      <c r="AU60" s="79"/>
      <c r="AV60" s="96">
        <v>0</v>
      </c>
      <c r="AW60" s="97">
        <v>0</v>
      </c>
      <c r="AX60" s="67"/>
      <c r="AY60" s="67"/>
      <c r="AZ60" s="67"/>
      <c r="BA60" s="79"/>
      <c r="BB60" s="67"/>
      <c r="BC60" s="96">
        <v>0</v>
      </c>
      <c r="BD60" s="97">
        <v>0</v>
      </c>
      <c r="BE60" s="67"/>
      <c r="BF60" s="67"/>
      <c r="BG60" s="67"/>
      <c r="BH60" s="67"/>
      <c r="BI60" s="67"/>
      <c r="BJ60" s="96">
        <v>0</v>
      </c>
      <c r="BK60" s="97">
        <v>0</v>
      </c>
      <c r="BL60" s="67"/>
      <c r="BM60" s="67"/>
      <c r="BN60" s="67"/>
      <c r="BO60" s="67"/>
      <c r="BP60" s="67"/>
      <c r="BQ60" s="96">
        <v>0</v>
      </c>
      <c r="BR60" s="97">
        <v>0</v>
      </c>
      <c r="BS60" s="67"/>
      <c r="BT60" s="67"/>
      <c r="BU60" s="67"/>
      <c r="BV60" s="67"/>
      <c r="BW60" s="67"/>
      <c r="BX60" s="96">
        <v>0</v>
      </c>
      <c r="BY60" s="97">
        <v>0</v>
      </c>
    </row>
    <row r="61" spans="2:77" ht="15" customHeight="1" outlineLevel="1">
      <c r="B61" s="59" t="s">
        <v>198</v>
      </c>
      <c r="C61" s="60" t="s">
        <v>1</v>
      </c>
      <c r="D61" s="60" t="s">
        <v>50</v>
      </c>
      <c r="E61" s="59" t="s">
        <v>234</v>
      </c>
      <c r="F61" s="59">
        <f>SUMIFS('Detalhe Testes'!$F:$F,'Detalhe Testes'!$B:$B,'MacroPlano Equipa'!C61,'Detalhe Testes'!$C:$C,'MacroPlano Equipa'!D61)</f>
        <v>3</v>
      </c>
      <c r="G61" s="83">
        <f t="shared" si="6"/>
        <v>0.375</v>
      </c>
      <c r="H61" s="59" cm="1">
        <f t="array" aca="1" ref="H61" ca="1">SUMPRODUCT((COLUMN(O61:BY61)&gt;=MIN(IF(O61:BY61&lt;&gt;"",COLUMN(O61:BY61))))*($O$16:$BY$16&lt;=TODAY())*(O61:BY61))</f>
        <v>0</v>
      </c>
      <c r="I61" s="83">
        <f t="shared" ca="1" si="9"/>
        <v>0</v>
      </c>
      <c r="J61" s="100"/>
      <c r="K61" s="100"/>
      <c r="L61" s="85"/>
      <c r="M61" s="8">
        <f t="shared" si="10"/>
        <v>0</v>
      </c>
      <c r="O61" s="66"/>
      <c r="P61" s="66"/>
      <c r="Q61" s="66"/>
      <c r="R61" s="66"/>
      <c r="S61" s="70"/>
      <c r="T61" s="96">
        <v>0</v>
      </c>
      <c r="U61" s="97">
        <v>0</v>
      </c>
      <c r="V61" s="72"/>
      <c r="W61" s="66"/>
      <c r="X61" s="66"/>
      <c r="Y61" s="66"/>
      <c r="Z61" s="66"/>
      <c r="AA61" s="96">
        <v>0</v>
      </c>
      <c r="AB61" s="97">
        <v>0</v>
      </c>
      <c r="AC61" s="66"/>
      <c r="AD61" s="66"/>
      <c r="AE61" s="58"/>
      <c r="AF61" s="58"/>
      <c r="AG61" s="93">
        <v>2</v>
      </c>
      <c r="AH61" s="96">
        <v>0</v>
      </c>
      <c r="AI61" s="97">
        <v>0</v>
      </c>
      <c r="AJ61" s="93">
        <v>1</v>
      </c>
      <c r="AK61" s="57"/>
      <c r="AL61" s="57"/>
      <c r="AM61" s="67"/>
      <c r="AN61" s="67"/>
      <c r="AO61" s="96">
        <v>0</v>
      </c>
      <c r="AP61" s="97">
        <v>0</v>
      </c>
      <c r="AQ61" s="74"/>
      <c r="AR61" s="79"/>
      <c r="AS61" s="76"/>
      <c r="AT61" s="67"/>
      <c r="AU61" s="79"/>
      <c r="AV61" s="96">
        <v>0</v>
      </c>
      <c r="AW61" s="97">
        <v>0</v>
      </c>
      <c r="AX61" s="67"/>
      <c r="AY61" s="67"/>
      <c r="AZ61" s="67"/>
      <c r="BA61" s="79"/>
      <c r="BB61" s="67"/>
      <c r="BC61" s="96">
        <v>0</v>
      </c>
      <c r="BD61" s="97">
        <v>0</v>
      </c>
      <c r="BE61" s="67"/>
      <c r="BF61" s="67"/>
      <c r="BG61" s="67"/>
      <c r="BH61" s="67"/>
      <c r="BI61" s="67"/>
      <c r="BJ61" s="96">
        <v>0</v>
      </c>
      <c r="BK61" s="97">
        <v>0</v>
      </c>
      <c r="BL61" s="67"/>
      <c r="BM61" s="67"/>
      <c r="BN61" s="67"/>
      <c r="BO61" s="67"/>
      <c r="BP61" s="67"/>
      <c r="BQ61" s="96">
        <v>0</v>
      </c>
      <c r="BR61" s="97">
        <v>0</v>
      </c>
      <c r="BS61" s="67"/>
      <c r="BT61" s="67"/>
      <c r="BU61" s="67"/>
      <c r="BV61" s="67"/>
      <c r="BW61" s="67"/>
      <c r="BX61" s="96">
        <v>0</v>
      </c>
      <c r="BY61" s="97">
        <v>0</v>
      </c>
    </row>
    <row r="62" spans="2:77" s="8" customFormat="1" ht="15" customHeight="1">
      <c r="B62" s="56" t="s">
        <v>199</v>
      </c>
      <c r="C62" s="189" t="s">
        <v>200</v>
      </c>
      <c r="D62" s="189"/>
      <c r="E62" s="54"/>
      <c r="F62" s="54"/>
      <c r="G62" s="54"/>
      <c r="H62" s="54"/>
      <c r="I62" s="98"/>
      <c r="J62" s="98"/>
      <c r="K62" s="98"/>
      <c r="L62" s="54"/>
      <c r="O62" s="55"/>
      <c r="P62" s="55"/>
      <c r="Q62" s="55"/>
      <c r="R62" s="55"/>
      <c r="S62" s="55"/>
      <c r="T62" s="96">
        <v>0</v>
      </c>
      <c r="U62" s="97">
        <v>0</v>
      </c>
      <c r="V62" s="55"/>
      <c r="W62" s="55"/>
      <c r="X62" s="55"/>
      <c r="Y62" s="55"/>
      <c r="Z62" s="55"/>
      <c r="AA62" s="96">
        <v>0</v>
      </c>
      <c r="AB62" s="97">
        <v>0</v>
      </c>
      <c r="AC62" s="90" t="s">
        <v>235</v>
      </c>
      <c r="AD62" s="55"/>
      <c r="AE62" s="55"/>
      <c r="AF62" s="55"/>
      <c r="AG62" s="55"/>
      <c r="AH62" s="96">
        <v>0</v>
      </c>
      <c r="AI62" s="97">
        <v>0</v>
      </c>
      <c r="AJ62" s="54"/>
      <c r="AK62" s="54"/>
      <c r="AL62" s="54"/>
      <c r="AM62" s="54"/>
      <c r="AN62" s="54"/>
      <c r="AO62" s="96">
        <v>0</v>
      </c>
      <c r="AP62" s="97">
        <v>0</v>
      </c>
      <c r="AQ62" s="54"/>
      <c r="AR62" s="78"/>
      <c r="AS62" s="54"/>
      <c r="AT62" s="54"/>
      <c r="AU62" s="78"/>
      <c r="AV62" s="96">
        <v>0</v>
      </c>
      <c r="AW62" s="97">
        <v>0</v>
      </c>
      <c r="AX62" s="54"/>
      <c r="AY62" s="54"/>
      <c r="AZ62" s="54"/>
      <c r="BA62" s="78"/>
      <c r="BB62" s="54"/>
      <c r="BC62" s="96">
        <v>0</v>
      </c>
      <c r="BD62" s="97">
        <v>0</v>
      </c>
      <c r="BE62" s="54"/>
      <c r="BF62" s="54"/>
      <c r="BG62" s="54"/>
      <c r="BH62" s="54"/>
      <c r="BI62" s="54"/>
      <c r="BJ62" s="96">
        <v>0</v>
      </c>
      <c r="BK62" s="97">
        <v>0</v>
      </c>
      <c r="BL62" s="54"/>
      <c r="BM62" s="54"/>
      <c r="BN62" s="54"/>
      <c r="BO62" s="54"/>
      <c r="BP62" s="54"/>
      <c r="BQ62" s="96">
        <v>0</v>
      </c>
      <c r="BR62" s="97">
        <v>0</v>
      </c>
      <c r="BS62" s="54"/>
      <c r="BT62" s="54"/>
      <c r="BU62" s="54"/>
      <c r="BV62" s="54"/>
      <c r="BW62" s="54"/>
      <c r="BX62" s="96">
        <v>0</v>
      </c>
      <c r="BY62" s="97">
        <v>0</v>
      </c>
    </row>
    <row r="63" spans="2:77" ht="15" customHeight="1" outlineLevel="1">
      <c r="B63" s="59" t="s">
        <v>201</v>
      </c>
      <c r="C63" s="60" t="s">
        <v>1</v>
      </c>
      <c r="D63" s="60" t="s">
        <v>10</v>
      </c>
      <c r="E63" s="59" t="s">
        <v>234</v>
      </c>
      <c r="F63" s="59">
        <f>SUMIFS('Detalhe Testes'!$F:$F,'Detalhe Testes'!$B:$B,'MacroPlano Equipa'!C63,'Detalhe Testes'!$C:$C,'MacroPlano Equipa'!D63)</f>
        <v>5</v>
      </c>
      <c r="G63" s="83">
        <f t="shared" si="6"/>
        <v>0.625</v>
      </c>
      <c r="H63" s="59" cm="1">
        <f t="array" aca="1" ref="H63" ca="1">SUMPRODUCT((COLUMN(O63:BY63)&gt;=MIN(IF(O63:BY63&lt;&gt;"",COLUMN(O63:BY63))))*($O$16:$BY$16&lt;=TODAY())*(O63:BY63))</f>
        <v>0</v>
      </c>
      <c r="I63" s="83">
        <f t="shared" ref="I63:I88" ca="1" si="11">H63/8</f>
        <v>0</v>
      </c>
      <c r="J63" s="100"/>
      <c r="K63" s="100"/>
      <c r="L63" s="85"/>
      <c r="M63" s="8">
        <f t="shared" ref="M63:M88" si="12">SUM(O63:BY63)-F63</f>
        <v>0</v>
      </c>
      <c r="O63" s="66"/>
      <c r="P63" s="66"/>
      <c r="Q63" s="66"/>
      <c r="R63" s="66"/>
      <c r="S63" s="70"/>
      <c r="T63" s="96">
        <v>0</v>
      </c>
      <c r="U63" s="97">
        <v>0</v>
      </c>
      <c r="V63" s="72"/>
      <c r="W63" s="66"/>
      <c r="X63" s="66"/>
      <c r="Y63" s="66"/>
      <c r="Z63" s="66"/>
      <c r="AA63" s="96">
        <v>0</v>
      </c>
      <c r="AB63" s="97">
        <v>0</v>
      </c>
      <c r="AC63" s="84"/>
      <c r="AD63" s="66"/>
      <c r="AE63" s="58"/>
      <c r="AF63" s="58"/>
      <c r="AG63" s="58"/>
      <c r="AH63" s="96">
        <v>0</v>
      </c>
      <c r="AI63" s="97">
        <v>0</v>
      </c>
      <c r="AJ63" s="93">
        <v>2</v>
      </c>
      <c r="AK63" s="93">
        <v>3</v>
      </c>
      <c r="AL63" s="57"/>
      <c r="AM63" s="67"/>
      <c r="AN63" s="67"/>
      <c r="AO63" s="96">
        <v>0</v>
      </c>
      <c r="AP63" s="97">
        <v>0</v>
      </c>
      <c r="AQ63" s="74"/>
      <c r="AR63" s="79"/>
      <c r="AS63" s="76"/>
      <c r="AT63" s="67"/>
      <c r="AU63" s="79"/>
      <c r="AV63" s="96">
        <v>0</v>
      </c>
      <c r="AW63" s="97">
        <v>0</v>
      </c>
      <c r="AX63" s="67"/>
      <c r="AY63" s="67"/>
      <c r="AZ63" s="67"/>
      <c r="BA63" s="79"/>
      <c r="BB63" s="67"/>
      <c r="BC63" s="96">
        <v>0</v>
      </c>
      <c r="BD63" s="97">
        <v>0</v>
      </c>
      <c r="BE63" s="67"/>
      <c r="BF63" s="67"/>
      <c r="BG63" s="67"/>
      <c r="BH63" s="67"/>
      <c r="BI63" s="67"/>
      <c r="BJ63" s="96">
        <v>0</v>
      </c>
      <c r="BK63" s="97">
        <v>0</v>
      </c>
      <c r="BL63" s="67"/>
      <c r="BM63" s="67"/>
      <c r="BN63" s="67"/>
      <c r="BO63" s="67"/>
      <c r="BP63" s="67"/>
      <c r="BQ63" s="96">
        <v>0</v>
      </c>
      <c r="BR63" s="97">
        <v>0</v>
      </c>
      <c r="BS63" s="67"/>
      <c r="BT63" s="67"/>
      <c r="BU63" s="67"/>
      <c r="BV63" s="67"/>
      <c r="BW63" s="67"/>
      <c r="BX63" s="96">
        <v>0</v>
      </c>
      <c r="BY63" s="97">
        <v>0</v>
      </c>
    </row>
    <row r="64" spans="2:77" ht="15" customHeight="1" outlineLevel="1">
      <c r="B64" s="59" t="s">
        <v>202</v>
      </c>
      <c r="C64" s="60" t="s">
        <v>1</v>
      </c>
      <c r="D64" s="60" t="s">
        <v>22</v>
      </c>
      <c r="E64" s="59" t="s">
        <v>234</v>
      </c>
      <c r="F64" s="59">
        <f>SUMIFS('Detalhe Testes'!$F:$F,'Detalhe Testes'!$B:$B,'MacroPlano Equipa'!C64,'Detalhe Testes'!$C:$C,'MacroPlano Equipa'!D64)</f>
        <v>3</v>
      </c>
      <c r="G64" s="83">
        <f t="shared" si="6"/>
        <v>0.375</v>
      </c>
      <c r="H64" s="59" cm="1">
        <f t="array" aca="1" ref="H64" ca="1">SUMPRODUCT((COLUMN(O64:BY64)&gt;=MIN(IF(O64:BY64&lt;&gt;"",COLUMN(O64:BY64))))*($O$16:$BY$16&lt;=TODAY())*(O64:BY64))</f>
        <v>0</v>
      </c>
      <c r="I64" s="83">
        <f t="shared" ca="1" si="11"/>
        <v>0</v>
      </c>
      <c r="J64" s="100"/>
      <c r="K64" s="100"/>
      <c r="L64" s="85"/>
      <c r="M64" s="8">
        <f t="shared" si="12"/>
        <v>0</v>
      </c>
      <c r="O64" s="66"/>
      <c r="P64" s="66"/>
      <c r="Q64" s="66"/>
      <c r="R64" s="66"/>
      <c r="S64" s="70"/>
      <c r="T64" s="96">
        <v>0</v>
      </c>
      <c r="U64" s="97">
        <v>0</v>
      </c>
      <c r="V64" s="72"/>
      <c r="W64" s="66"/>
      <c r="X64" s="66"/>
      <c r="Y64" s="66"/>
      <c r="Z64" s="66"/>
      <c r="AA64" s="96">
        <v>0</v>
      </c>
      <c r="AB64" s="97">
        <v>0</v>
      </c>
      <c r="AC64" s="66"/>
      <c r="AD64" s="66"/>
      <c r="AE64" s="58"/>
      <c r="AF64" s="58"/>
      <c r="AG64" s="58"/>
      <c r="AH64" s="96">
        <v>0</v>
      </c>
      <c r="AI64" s="97">
        <v>0</v>
      </c>
      <c r="AJ64" s="57"/>
      <c r="AK64" s="93">
        <v>3</v>
      </c>
      <c r="AL64" s="57"/>
      <c r="AM64" s="57"/>
      <c r="AN64" s="57"/>
      <c r="AO64" s="96">
        <v>0</v>
      </c>
      <c r="AP64" s="97">
        <v>0</v>
      </c>
      <c r="AQ64" s="73"/>
      <c r="AR64" s="78"/>
      <c r="AS64" s="75"/>
      <c r="AT64" s="57"/>
      <c r="AU64" s="78"/>
      <c r="AV64" s="96">
        <v>0</v>
      </c>
      <c r="AW64" s="97">
        <v>0</v>
      </c>
      <c r="AX64" s="67"/>
      <c r="AY64" s="67"/>
      <c r="AZ64" s="67"/>
      <c r="BA64" s="79"/>
      <c r="BB64" s="67"/>
      <c r="BC64" s="96">
        <v>0</v>
      </c>
      <c r="BD64" s="97">
        <v>0</v>
      </c>
      <c r="BE64" s="67"/>
      <c r="BF64" s="67"/>
      <c r="BG64" s="67"/>
      <c r="BH64" s="67"/>
      <c r="BI64" s="67"/>
      <c r="BJ64" s="96">
        <v>0</v>
      </c>
      <c r="BK64" s="97">
        <v>0</v>
      </c>
      <c r="BL64" s="67"/>
      <c r="BM64" s="67"/>
      <c r="BN64" s="67"/>
      <c r="BO64" s="67"/>
      <c r="BP64" s="67"/>
      <c r="BQ64" s="96">
        <v>0</v>
      </c>
      <c r="BR64" s="97">
        <v>0</v>
      </c>
      <c r="BS64" s="67"/>
      <c r="BT64" s="67"/>
      <c r="BU64" s="67"/>
      <c r="BV64" s="67"/>
      <c r="BW64" s="67"/>
      <c r="BX64" s="96">
        <v>0</v>
      </c>
      <c r="BY64" s="97">
        <v>0</v>
      </c>
    </row>
    <row r="65" spans="2:77" ht="15" customHeight="1" outlineLevel="1">
      <c r="B65" s="59" t="s">
        <v>203</v>
      </c>
      <c r="C65" s="60" t="s">
        <v>1</v>
      </c>
      <c r="D65" s="136" t="s">
        <v>24</v>
      </c>
      <c r="E65" s="59" t="s">
        <v>234</v>
      </c>
      <c r="F65" s="59">
        <f>SUMIFS('Detalhe Testes'!$F:$F,'Detalhe Testes'!$B:$B,'MacroPlano Equipa'!C65,'Detalhe Testes'!$C:$C,'MacroPlano Equipa'!D65)</f>
        <v>5</v>
      </c>
      <c r="G65" s="83">
        <f t="shared" si="6"/>
        <v>0.625</v>
      </c>
      <c r="H65" s="59" cm="1">
        <f t="array" aca="1" ref="H65" ca="1">SUMPRODUCT((COLUMN(O65:BY65)&gt;=MIN(IF(O65:BY65&lt;&gt;"",COLUMN(O65:BY65))))*($O$16:$BY$16&lt;=TODAY())*(O65:BY65))</f>
        <v>0</v>
      </c>
      <c r="I65" s="83">
        <f t="shared" ca="1" si="11"/>
        <v>0</v>
      </c>
      <c r="J65" s="100"/>
      <c r="K65" s="100"/>
      <c r="L65" s="85"/>
      <c r="M65" s="8">
        <f t="shared" si="12"/>
        <v>0</v>
      </c>
      <c r="O65" s="66"/>
      <c r="P65" s="66"/>
      <c r="Q65" s="66"/>
      <c r="R65" s="66"/>
      <c r="S65" s="70"/>
      <c r="T65" s="96">
        <v>0</v>
      </c>
      <c r="U65" s="97">
        <v>0</v>
      </c>
      <c r="V65" s="72"/>
      <c r="W65" s="66"/>
      <c r="X65" s="66"/>
      <c r="Y65" s="66"/>
      <c r="Z65" s="66"/>
      <c r="AA65" s="96">
        <v>0</v>
      </c>
      <c r="AB65" s="97">
        <v>0</v>
      </c>
      <c r="AC65" s="66"/>
      <c r="AD65" s="66"/>
      <c r="AE65" s="58"/>
      <c r="AF65" s="58"/>
      <c r="AG65" s="58"/>
      <c r="AH65" s="96">
        <v>0</v>
      </c>
      <c r="AI65" s="97">
        <v>0</v>
      </c>
      <c r="AJ65" s="57"/>
      <c r="AK65" s="93">
        <v>2</v>
      </c>
      <c r="AL65" s="93">
        <v>3</v>
      </c>
      <c r="AM65" s="57"/>
      <c r="AN65" s="57"/>
      <c r="AO65" s="96">
        <v>0</v>
      </c>
      <c r="AP65" s="97">
        <v>0</v>
      </c>
      <c r="AQ65" s="73"/>
      <c r="AR65" s="78"/>
      <c r="AS65" s="75"/>
      <c r="AT65" s="57"/>
      <c r="AU65" s="78"/>
      <c r="AV65" s="96">
        <v>0</v>
      </c>
      <c r="AW65" s="97">
        <v>0</v>
      </c>
      <c r="AX65" s="67"/>
      <c r="AY65" s="67"/>
      <c r="AZ65" s="67"/>
      <c r="BA65" s="79"/>
      <c r="BB65" s="67"/>
      <c r="BC65" s="96">
        <v>0</v>
      </c>
      <c r="BD65" s="97">
        <v>0</v>
      </c>
      <c r="BE65" s="67"/>
      <c r="BF65" s="67"/>
      <c r="BG65" s="67"/>
      <c r="BH65" s="67"/>
      <c r="BI65" s="67"/>
      <c r="BJ65" s="96">
        <v>0</v>
      </c>
      <c r="BK65" s="97">
        <v>0</v>
      </c>
      <c r="BL65" s="67"/>
      <c r="BM65" s="67"/>
      <c r="BN65" s="67"/>
      <c r="BO65" s="67"/>
      <c r="BP65" s="67"/>
      <c r="BQ65" s="96">
        <v>0</v>
      </c>
      <c r="BR65" s="97">
        <v>0</v>
      </c>
      <c r="BS65" s="67"/>
      <c r="BT65" s="67"/>
      <c r="BU65" s="67"/>
      <c r="BV65" s="67"/>
      <c r="BW65" s="67"/>
      <c r="BX65" s="96">
        <v>0</v>
      </c>
      <c r="BY65" s="97">
        <v>0</v>
      </c>
    </row>
    <row r="66" spans="2:77" ht="15" customHeight="1" outlineLevel="1">
      <c r="B66" s="59" t="s">
        <v>204</v>
      </c>
      <c r="C66" s="60" t="s">
        <v>1</v>
      </c>
      <c r="D66" s="60" t="s">
        <v>33</v>
      </c>
      <c r="E66" s="59" t="s">
        <v>234</v>
      </c>
      <c r="F66" s="59">
        <f>SUMIFS('Detalhe Testes'!$F:$F,'Detalhe Testes'!$B:$B,'MacroPlano Equipa'!C66,'Detalhe Testes'!$C:$C,'MacroPlano Equipa'!D66)</f>
        <v>3</v>
      </c>
      <c r="G66" s="83">
        <f t="shared" si="6"/>
        <v>0.375</v>
      </c>
      <c r="H66" s="59" cm="1">
        <f t="array" aca="1" ref="H66" ca="1">SUMPRODUCT((COLUMN(O66:BY66)&gt;=MIN(IF(O66:BY66&lt;&gt;"",COLUMN(O66:BY66))))*($O$16:$BY$16&lt;=TODAY())*(O66:BY66))</f>
        <v>0</v>
      </c>
      <c r="I66" s="83">
        <f t="shared" ca="1" si="11"/>
        <v>0</v>
      </c>
      <c r="J66" s="100"/>
      <c r="K66" s="100"/>
      <c r="L66" s="85"/>
      <c r="M66" s="8">
        <f t="shared" si="12"/>
        <v>0</v>
      </c>
      <c r="O66" s="66"/>
      <c r="P66" s="66"/>
      <c r="Q66" s="66"/>
      <c r="R66" s="66"/>
      <c r="S66" s="70"/>
      <c r="T66" s="96">
        <v>0</v>
      </c>
      <c r="U66" s="97">
        <v>0</v>
      </c>
      <c r="V66" s="72"/>
      <c r="W66" s="66"/>
      <c r="X66" s="66"/>
      <c r="Y66" s="66"/>
      <c r="Z66" s="66"/>
      <c r="AA66" s="96">
        <v>0</v>
      </c>
      <c r="AB66" s="97">
        <v>0</v>
      </c>
      <c r="AC66" s="66"/>
      <c r="AD66" s="66"/>
      <c r="AE66" s="58"/>
      <c r="AF66" s="58"/>
      <c r="AG66" s="58"/>
      <c r="AH66" s="96">
        <v>0</v>
      </c>
      <c r="AI66" s="97">
        <v>0</v>
      </c>
      <c r="AJ66" s="57"/>
      <c r="AK66" s="57"/>
      <c r="AL66" s="93">
        <v>3</v>
      </c>
      <c r="AM66" s="57"/>
      <c r="AN66" s="57"/>
      <c r="AO66" s="96">
        <v>0</v>
      </c>
      <c r="AP66" s="97">
        <v>0</v>
      </c>
      <c r="AQ66" s="73"/>
      <c r="AR66" s="78"/>
      <c r="AS66" s="75"/>
      <c r="AT66" s="57"/>
      <c r="AU66" s="78"/>
      <c r="AV66" s="96">
        <v>0</v>
      </c>
      <c r="AW66" s="97">
        <v>0</v>
      </c>
      <c r="AX66" s="67"/>
      <c r="AY66" s="67"/>
      <c r="AZ66" s="67"/>
      <c r="BA66" s="79"/>
      <c r="BB66" s="67"/>
      <c r="BC66" s="96">
        <v>0</v>
      </c>
      <c r="BD66" s="97">
        <v>0</v>
      </c>
      <c r="BE66" s="67"/>
      <c r="BF66" s="67"/>
      <c r="BG66" s="67"/>
      <c r="BH66" s="67"/>
      <c r="BI66" s="67"/>
      <c r="BJ66" s="96">
        <v>0</v>
      </c>
      <c r="BK66" s="97">
        <v>0</v>
      </c>
      <c r="BL66" s="67"/>
      <c r="BM66" s="67"/>
      <c r="BN66" s="67"/>
      <c r="BO66" s="67"/>
      <c r="BP66" s="67"/>
      <c r="BQ66" s="96">
        <v>0</v>
      </c>
      <c r="BR66" s="97">
        <v>0</v>
      </c>
      <c r="BS66" s="67"/>
      <c r="BT66" s="67"/>
      <c r="BU66" s="67"/>
      <c r="BV66" s="67"/>
      <c r="BW66" s="67"/>
      <c r="BX66" s="96">
        <v>0</v>
      </c>
      <c r="BY66" s="97">
        <v>0</v>
      </c>
    </row>
    <row r="67" spans="2:77" ht="15" customHeight="1" outlineLevel="1">
      <c r="B67" s="59" t="s">
        <v>205</v>
      </c>
      <c r="C67" s="60" t="s">
        <v>1</v>
      </c>
      <c r="D67" s="60" t="s">
        <v>36</v>
      </c>
      <c r="E67" s="59" t="s">
        <v>234</v>
      </c>
      <c r="F67" s="59">
        <f>SUMIFS('Detalhe Testes'!$F:$F,'Detalhe Testes'!$B:$B,'MacroPlano Equipa'!C67,'Detalhe Testes'!$C:$C,'MacroPlano Equipa'!D67)</f>
        <v>3</v>
      </c>
      <c r="G67" s="83">
        <f t="shared" si="6"/>
        <v>0.375</v>
      </c>
      <c r="H67" s="59" cm="1">
        <f t="array" aca="1" ref="H67" ca="1">SUMPRODUCT((COLUMN(O67:BY67)&gt;=MIN(IF(O67:BY67&lt;&gt;"",COLUMN(O67:BY67))))*($O$16:$BY$16&lt;=TODAY())*(O67:BY67))</f>
        <v>0</v>
      </c>
      <c r="I67" s="83">
        <f t="shared" ca="1" si="11"/>
        <v>0</v>
      </c>
      <c r="J67" s="100"/>
      <c r="K67" s="100"/>
      <c r="L67" s="85"/>
      <c r="M67" s="8">
        <f t="shared" si="12"/>
        <v>0</v>
      </c>
      <c r="O67" s="66"/>
      <c r="P67" s="66"/>
      <c r="Q67" s="66"/>
      <c r="R67" s="66"/>
      <c r="S67" s="70"/>
      <c r="T67" s="96">
        <v>0</v>
      </c>
      <c r="U67" s="97">
        <v>0</v>
      </c>
      <c r="V67" s="72"/>
      <c r="W67" s="66"/>
      <c r="X67" s="66"/>
      <c r="Y67" s="66"/>
      <c r="Z67" s="66"/>
      <c r="AA67" s="96">
        <v>0</v>
      </c>
      <c r="AB67" s="97">
        <v>0</v>
      </c>
      <c r="AC67" s="66"/>
      <c r="AD67" s="66"/>
      <c r="AE67" s="58"/>
      <c r="AF67" s="58"/>
      <c r="AG67" s="58"/>
      <c r="AH67" s="96">
        <v>0</v>
      </c>
      <c r="AI67" s="97">
        <v>0</v>
      </c>
      <c r="AJ67" s="57"/>
      <c r="AK67" s="57"/>
      <c r="AL67" s="93">
        <v>2</v>
      </c>
      <c r="AM67" s="93">
        <v>1</v>
      </c>
      <c r="AN67" s="57"/>
      <c r="AO67" s="96">
        <v>0</v>
      </c>
      <c r="AP67" s="97">
        <v>0</v>
      </c>
      <c r="AQ67" s="73"/>
      <c r="AR67" s="78"/>
      <c r="AS67" s="75"/>
      <c r="AT67" s="57"/>
      <c r="AU67" s="78"/>
      <c r="AV67" s="96">
        <v>0</v>
      </c>
      <c r="AW67" s="97">
        <v>0</v>
      </c>
      <c r="AX67" s="67"/>
      <c r="AY67" s="67"/>
      <c r="AZ67" s="67"/>
      <c r="BA67" s="79"/>
      <c r="BB67" s="67"/>
      <c r="BC67" s="96">
        <v>0</v>
      </c>
      <c r="BD67" s="97">
        <v>0</v>
      </c>
      <c r="BE67" s="67"/>
      <c r="BF67" s="67"/>
      <c r="BG67" s="67"/>
      <c r="BH67" s="67"/>
      <c r="BI67" s="67"/>
      <c r="BJ67" s="96">
        <v>0</v>
      </c>
      <c r="BK67" s="97">
        <v>0</v>
      </c>
      <c r="BL67" s="67"/>
      <c r="BM67" s="67"/>
      <c r="BN67" s="67"/>
      <c r="BO67" s="67"/>
      <c r="BP67" s="67"/>
      <c r="BQ67" s="96">
        <v>0</v>
      </c>
      <c r="BR67" s="97">
        <v>0</v>
      </c>
      <c r="BS67" s="67"/>
      <c r="BT67" s="67"/>
      <c r="BU67" s="67"/>
      <c r="BV67" s="67"/>
      <c r="BW67" s="67"/>
      <c r="BX67" s="96">
        <v>0</v>
      </c>
      <c r="BY67" s="97">
        <v>0</v>
      </c>
    </row>
    <row r="68" spans="2:77" ht="15" customHeight="1" outlineLevel="1">
      <c r="B68" s="59" t="s">
        <v>206</v>
      </c>
      <c r="C68" s="60" t="s">
        <v>1</v>
      </c>
      <c r="D68" s="60" t="s">
        <v>37</v>
      </c>
      <c r="E68" s="59" t="s">
        <v>234</v>
      </c>
      <c r="F68" s="59">
        <f>SUMIFS('Detalhe Testes'!$F:$F,'Detalhe Testes'!$B:$B,'MacroPlano Equipa'!C68,'Detalhe Testes'!$C:$C,'MacroPlano Equipa'!D68)</f>
        <v>3</v>
      </c>
      <c r="G68" s="83">
        <f t="shared" si="6"/>
        <v>0.375</v>
      </c>
      <c r="H68" s="59" cm="1">
        <f t="array" aca="1" ref="H68" ca="1">SUMPRODUCT((COLUMN(O68:BY68)&gt;=MIN(IF(O68:BY68&lt;&gt;"",COLUMN(O68:BY68))))*($O$16:$BY$16&lt;=TODAY())*(O68:BY68))</f>
        <v>0</v>
      </c>
      <c r="I68" s="83">
        <f t="shared" ca="1" si="11"/>
        <v>0</v>
      </c>
      <c r="J68" s="100"/>
      <c r="K68" s="100"/>
      <c r="L68" s="85"/>
      <c r="M68" s="8">
        <f t="shared" si="12"/>
        <v>0</v>
      </c>
      <c r="O68" s="66"/>
      <c r="P68" s="66"/>
      <c r="Q68" s="66"/>
      <c r="R68" s="66"/>
      <c r="S68" s="70"/>
      <c r="T68" s="96">
        <v>0</v>
      </c>
      <c r="U68" s="97">
        <v>0</v>
      </c>
      <c r="V68" s="72"/>
      <c r="W68" s="66"/>
      <c r="X68" s="66"/>
      <c r="Y68" s="66"/>
      <c r="Z68" s="66"/>
      <c r="AA68" s="96">
        <v>0</v>
      </c>
      <c r="AB68" s="97">
        <v>0</v>
      </c>
      <c r="AC68" s="66"/>
      <c r="AD68" s="66"/>
      <c r="AE68" s="66"/>
      <c r="AF68" s="66"/>
      <c r="AG68" s="66"/>
      <c r="AH68" s="96">
        <v>0</v>
      </c>
      <c r="AI68" s="97">
        <v>0</v>
      </c>
      <c r="AJ68" s="67"/>
      <c r="AK68" s="67"/>
      <c r="AL68" s="57"/>
      <c r="AM68" s="93">
        <v>3</v>
      </c>
      <c r="AN68" s="57"/>
      <c r="AO68" s="96">
        <v>0</v>
      </c>
      <c r="AP68" s="97">
        <v>0</v>
      </c>
      <c r="AQ68" s="73"/>
      <c r="AR68" s="78"/>
      <c r="AS68" s="75"/>
      <c r="AT68" s="57"/>
      <c r="AU68" s="78"/>
      <c r="AV68" s="96">
        <v>0</v>
      </c>
      <c r="AW68" s="97">
        <v>0</v>
      </c>
      <c r="AX68" s="67"/>
      <c r="AY68" s="67"/>
      <c r="AZ68" s="67"/>
      <c r="BA68" s="79"/>
      <c r="BB68" s="67"/>
      <c r="BC68" s="96">
        <v>0</v>
      </c>
      <c r="BD68" s="97">
        <v>0</v>
      </c>
      <c r="BE68" s="67"/>
      <c r="BF68" s="67"/>
      <c r="BG68" s="67"/>
      <c r="BH68" s="67"/>
      <c r="BI68" s="67"/>
      <c r="BJ68" s="96">
        <v>0</v>
      </c>
      <c r="BK68" s="97">
        <v>0</v>
      </c>
      <c r="BL68" s="67"/>
      <c r="BM68" s="67"/>
      <c r="BN68" s="67"/>
      <c r="BO68" s="67"/>
      <c r="BP68" s="67"/>
      <c r="BQ68" s="96">
        <v>0</v>
      </c>
      <c r="BR68" s="97">
        <v>0</v>
      </c>
      <c r="BS68" s="67"/>
      <c r="BT68" s="67"/>
      <c r="BU68" s="67"/>
      <c r="BV68" s="67"/>
      <c r="BW68" s="67"/>
      <c r="BX68" s="96">
        <v>0</v>
      </c>
      <c r="BY68" s="97">
        <v>0</v>
      </c>
    </row>
    <row r="69" spans="2:77" ht="15" customHeight="1" outlineLevel="1">
      <c r="B69" s="59" t="s">
        <v>207</v>
      </c>
      <c r="C69" s="60" t="s">
        <v>1</v>
      </c>
      <c r="D69" s="60" t="s">
        <v>39</v>
      </c>
      <c r="E69" s="59" t="s">
        <v>234</v>
      </c>
      <c r="F69" s="59">
        <f>SUMIFS('Detalhe Testes'!$F:$F,'Detalhe Testes'!$B:$B,'MacroPlano Equipa'!C69,'Detalhe Testes'!$C:$C,'MacroPlano Equipa'!D69)</f>
        <v>5</v>
      </c>
      <c r="G69" s="83">
        <f t="shared" si="6"/>
        <v>0.625</v>
      </c>
      <c r="H69" s="59" cm="1">
        <f t="array" aca="1" ref="H69" ca="1">SUMPRODUCT((COLUMN(O69:BY69)&gt;=MIN(IF(O69:BY69&lt;&gt;"",COLUMN(O69:BY69))))*($O$16:$BY$16&lt;=TODAY())*(O69:BY69))</f>
        <v>0</v>
      </c>
      <c r="I69" s="83">
        <f t="shared" ca="1" si="11"/>
        <v>0</v>
      </c>
      <c r="J69" s="100"/>
      <c r="K69" s="100"/>
      <c r="L69" s="85"/>
      <c r="M69" s="8">
        <f t="shared" si="12"/>
        <v>0</v>
      </c>
      <c r="O69" s="66"/>
      <c r="P69" s="66"/>
      <c r="Q69" s="66"/>
      <c r="R69" s="66"/>
      <c r="S69" s="70"/>
      <c r="T69" s="96">
        <v>0</v>
      </c>
      <c r="U69" s="97">
        <v>0</v>
      </c>
      <c r="V69" s="72"/>
      <c r="W69" s="66"/>
      <c r="X69" s="66"/>
      <c r="Y69" s="66"/>
      <c r="Z69" s="66"/>
      <c r="AA69" s="96">
        <v>0</v>
      </c>
      <c r="AB69" s="97">
        <v>0</v>
      </c>
      <c r="AC69" s="66"/>
      <c r="AD69" s="66"/>
      <c r="AE69" s="66"/>
      <c r="AF69" s="66"/>
      <c r="AG69" s="66"/>
      <c r="AH69" s="96">
        <v>0</v>
      </c>
      <c r="AI69" s="97">
        <v>0</v>
      </c>
      <c r="AJ69" s="67"/>
      <c r="AK69" s="67"/>
      <c r="AL69" s="57"/>
      <c r="AM69" s="93">
        <v>4</v>
      </c>
      <c r="AN69" s="93">
        <v>1</v>
      </c>
      <c r="AO69" s="96">
        <v>0</v>
      </c>
      <c r="AP69" s="97">
        <v>0</v>
      </c>
      <c r="AQ69" s="73"/>
      <c r="AR69" s="78"/>
      <c r="AS69" s="75"/>
      <c r="AT69" s="57"/>
      <c r="AU69" s="78"/>
      <c r="AV69" s="96">
        <v>0</v>
      </c>
      <c r="AW69" s="97">
        <v>0</v>
      </c>
      <c r="AX69" s="67"/>
      <c r="AY69" s="67"/>
      <c r="AZ69" s="67"/>
      <c r="BA69" s="79"/>
      <c r="BB69" s="67"/>
      <c r="BC69" s="96">
        <v>0</v>
      </c>
      <c r="BD69" s="97">
        <v>0</v>
      </c>
      <c r="BE69" s="67"/>
      <c r="BF69" s="67"/>
      <c r="BG69" s="67"/>
      <c r="BH69" s="67"/>
      <c r="BI69" s="67"/>
      <c r="BJ69" s="96">
        <v>0</v>
      </c>
      <c r="BK69" s="97">
        <v>0</v>
      </c>
      <c r="BL69" s="67"/>
      <c r="BM69" s="67"/>
      <c r="BN69" s="67"/>
      <c r="BO69" s="67"/>
      <c r="BP69" s="67"/>
      <c r="BQ69" s="96">
        <v>0</v>
      </c>
      <c r="BR69" s="97">
        <v>0</v>
      </c>
      <c r="BS69" s="67"/>
      <c r="BT69" s="67"/>
      <c r="BU69" s="67"/>
      <c r="BV69" s="67"/>
      <c r="BW69" s="67"/>
      <c r="BX69" s="96">
        <v>0</v>
      </c>
      <c r="BY69" s="97">
        <v>0</v>
      </c>
    </row>
    <row r="70" spans="2:77" ht="15" customHeight="1" outlineLevel="1">
      <c r="B70" s="59" t="s">
        <v>208</v>
      </c>
      <c r="C70" s="60" t="s">
        <v>1</v>
      </c>
      <c r="D70" s="60" t="s">
        <v>40</v>
      </c>
      <c r="E70" s="59" t="s">
        <v>234</v>
      </c>
      <c r="F70" s="59">
        <f>SUMIFS('Detalhe Testes'!$F:$F,'Detalhe Testes'!$B:$B,'MacroPlano Equipa'!C70,'Detalhe Testes'!$C:$C,'MacroPlano Equipa'!D70)</f>
        <v>5</v>
      </c>
      <c r="G70" s="83">
        <f t="shared" si="6"/>
        <v>0.625</v>
      </c>
      <c r="H70" s="59" cm="1">
        <f t="array" aca="1" ref="H70" ca="1">SUMPRODUCT((COLUMN(O70:BY70)&gt;=MIN(IF(O70:BY70&lt;&gt;"",COLUMN(O70:BY70))))*($O$16:$BY$16&lt;=TODAY())*(O70:BY70))</f>
        <v>0</v>
      </c>
      <c r="I70" s="83">
        <f t="shared" ca="1" si="11"/>
        <v>0</v>
      </c>
      <c r="J70" s="100"/>
      <c r="K70" s="100"/>
      <c r="L70" s="85"/>
      <c r="M70" s="8">
        <f t="shared" si="12"/>
        <v>0</v>
      </c>
      <c r="O70" s="66"/>
      <c r="P70" s="66"/>
      <c r="Q70" s="66"/>
      <c r="R70" s="66"/>
      <c r="S70" s="70"/>
      <c r="T70" s="96">
        <v>0</v>
      </c>
      <c r="U70" s="97">
        <v>0</v>
      </c>
      <c r="V70" s="72"/>
      <c r="W70" s="66"/>
      <c r="X70" s="66"/>
      <c r="Y70" s="66"/>
      <c r="Z70" s="66"/>
      <c r="AA70" s="96">
        <v>0</v>
      </c>
      <c r="AB70" s="97">
        <v>0</v>
      </c>
      <c r="AC70" s="66"/>
      <c r="AD70" s="66"/>
      <c r="AE70" s="66"/>
      <c r="AF70" s="66"/>
      <c r="AG70" s="66"/>
      <c r="AH70" s="96">
        <v>0</v>
      </c>
      <c r="AI70" s="97">
        <v>0</v>
      </c>
      <c r="AJ70" s="67"/>
      <c r="AK70" s="67"/>
      <c r="AL70" s="57"/>
      <c r="AM70" s="57"/>
      <c r="AN70" s="93">
        <v>5</v>
      </c>
      <c r="AO70" s="96">
        <v>0</v>
      </c>
      <c r="AP70" s="97">
        <v>0</v>
      </c>
      <c r="AQ70" s="73"/>
      <c r="AR70" s="78"/>
      <c r="AS70" s="75"/>
      <c r="AT70" s="57"/>
      <c r="AU70" s="78"/>
      <c r="AV70" s="96">
        <v>0</v>
      </c>
      <c r="AW70" s="97">
        <v>0</v>
      </c>
      <c r="AX70" s="67"/>
      <c r="AY70" s="67"/>
      <c r="AZ70" s="67"/>
      <c r="BA70" s="79"/>
      <c r="BB70" s="67"/>
      <c r="BC70" s="96">
        <v>0</v>
      </c>
      <c r="BD70" s="97">
        <v>0</v>
      </c>
      <c r="BE70" s="67"/>
      <c r="BF70" s="67"/>
      <c r="BG70" s="67"/>
      <c r="BH70" s="67"/>
      <c r="BI70" s="67"/>
      <c r="BJ70" s="96">
        <v>0</v>
      </c>
      <c r="BK70" s="97">
        <v>0</v>
      </c>
      <c r="BL70" s="67"/>
      <c r="BM70" s="67"/>
      <c r="BN70" s="67"/>
      <c r="BO70" s="67"/>
      <c r="BP70" s="67"/>
      <c r="BQ70" s="96">
        <v>0</v>
      </c>
      <c r="BR70" s="97">
        <v>0</v>
      </c>
      <c r="BS70" s="67"/>
      <c r="BT70" s="67"/>
      <c r="BU70" s="67"/>
      <c r="BV70" s="67"/>
      <c r="BW70" s="67"/>
      <c r="BX70" s="96">
        <v>0</v>
      </c>
      <c r="BY70" s="97">
        <v>0</v>
      </c>
    </row>
    <row r="71" spans="2:77" ht="15" customHeight="1" outlineLevel="1">
      <c r="B71" s="59" t="s">
        <v>209</v>
      </c>
      <c r="C71" s="60" t="s">
        <v>1</v>
      </c>
      <c r="D71" s="60" t="s">
        <v>41</v>
      </c>
      <c r="E71" s="59" t="s">
        <v>234</v>
      </c>
      <c r="F71" s="59">
        <f>SUMIFS('Detalhe Testes'!$F:$F,'Detalhe Testes'!$B:$B,'MacroPlano Equipa'!C71,'Detalhe Testes'!$C:$C,'MacroPlano Equipa'!D71)</f>
        <v>5</v>
      </c>
      <c r="G71" s="83">
        <f t="shared" si="6"/>
        <v>0.625</v>
      </c>
      <c r="H71" s="59" cm="1">
        <f t="array" aca="1" ref="H71" ca="1">SUMPRODUCT((COLUMN(O71:BY71)&gt;=MIN(IF(O71:BY71&lt;&gt;"",COLUMN(O71:BY71))))*($O$16:$BY$16&lt;=TODAY())*(O71:BY71))</f>
        <v>0</v>
      </c>
      <c r="I71" s="83">
        <f t="shared" ca="1" si="11"/>
        <v>0</v>
      </c>
      <c r="J71" s="100"/>
      <c r="K71" s="100"/>
      <c r="L71" s="85"/>
      <c r="M71" s="8">
        <f t="shared" si="12"/>
        <v>0</v>
      </c>
      <c r="O71" s="66"/>
      <c r="P71" s="66"/>
      <c r="Q71" s="66"/>
      <c r="R71" s="66"/>
      <c r="S71" s="70"/>
      <c r="T71" s="96">
        <v>0</v>
      </c>
      <c r="U71" s="97">
        <v>0</v>
      </c>
      <c r="V71" s="72"/>
      <c r="W71" s="66"/>
      <c r="X71" s="66"/>
      <c r="Y71" s="66"/>
      <c r="Z71" s="66"/>
      <c r="AA71" s="96">
        <v>0</v>
      </c>
      <c r="AB71" s="97">
        <v>0</v>
      </c>
      <c r="AC71" s="66"/>
      <c r="AD71" s="66"/>
      <c r="AE71" s="66"/>
      <c r="AF71" s="66"/>
      <c r="AG71" s="66"/>
      <c r="AH71" s="96">
        <v>0</v>
      </c>
      <c r="AI71" s="97">
        <v>0</v>
      </c>
      <c r="AJ71" s="67"/>
      <c r="AK71" s="67"/>
      <c r="AL71" s="57"/>
      <c r="AM71" s="57"/>
      <c r="AN71" s="93">
        <v>2</v>
      </c>
      <c r="AO71" s="96">
        <v>0</v>
      </c>
      <c r="AP71" s="97">
        <v>0</v>
      </c>
      <c r="AQ71" s="93">
        <v>3</v>
      </c>
      <c r="AR71" s="78"/>
      <c r="AS71" s="75"/>
      <c r="AT71" s="57"/>
      <c r="AU71" s="78"/>
      <c r="AV71" s="96">
        <v>0</v>
      </c>
      <c r="AW71" s="97">
        <v>0</v>
      </c>
      <c r="AX71" s="67"/>
      <c r="AY71" s="67"/>
      <c r="AZ71" s="67"/>
      <c r="BA71" s="79"/>
      <c r="BB71" s="67"/>
      <c r="BC71" s="96">
        <v>0</v>
      </c>
      <c r="BD71" s="97">
        <v>0</v>
      </c>
      <c r="BE71" s="67"/>
      <c r="BF71" s="67"/>
      <c r="BG71" s="67"/>
      <c r="BH71" s="67"/>
      <c r="BI71" s="67"/>
      <c r="BJ71" s="96">
        <v>0</v>
      </c>
      <c r="BK71" s="97">
        <v>0</v>
      </c>
      <c r="BL71" s="67"/>
      <c r="BM71" s="67"/>
      <c r="BN71" s="67"/>
      <c r="BO71" s="67"/>
      <c r="BP71" s="67"/>
      <c r="BQ71" s="96">
        <v>0</v>
      </c>
      <c r="BR71" s="97">
        <v>0</v>
      </c>
      <c r="BS71" s="67"/>
      <c r="BT71" s="67"/>
      <c r="BU71" s="67"/>
      <c r="BV71" s="67"/>
      <c r="BW71" s="67"/>
      <c r="BX71" s="96">
        <v>0</v>
      </c>
      <c r="BY71" s="97">
        <v>0</v>
      </c>
    </row>
    <row r="72" spans="2:77" ht="15" customHeight="1" outlineLevel="1">
      <c r="B72" s="59" t="s">
        <v>210</v>
      </c>
      <c r="C72" s="60" t="s">
        <v>1</v>
      </c>
      <c r="D72" s="60" t="s">
        <v>42</v>
      </c>
      <c r="E72" s="59" t="s">
        <v>234</v>
      </c>
      <c r="F72" s="59">
        <f>SUMIFS('Detalhe Testes'!$F:$F,'Detalhe Testes'!$B:$B,'MacroPlano Equipa'!C72,'Detalhe Testes'!$C:$C,'MacroPlano Equipa'!D72)</f>
        <v>5</v>
      </c>
      <c r="G72" s="83">
        <f t="shared" si="6"/>
        <v>0.625</v>
      </c>
      <c r="H72" s="59" cm="1">
        <f t="array" aca="1" ref="H72" ca="1">SUMPRODUCT((COLUMN(O72:BY72)&gt;=MIN(IF(O72:BY72&lt;&gt;"",COLUMN(O72:BY72))))*($O$16:$BY$16&lt;=TODAY())*(O72:BY72))</f>
        <v>0</v>
      </c>
      <c r="I72" s="83">
        <f t="shared" ca="1" si="11"/>
        <v>0</v>
      </c>
      <c r="J72" s="100"/>
      <c r="K72" s="100"/>
      <c r="L72" s="85"/>
      <c r="M72" s="8">
        <f t="shared" si="12"/>
        <v>0</v>
      </c>
      <c r="O72" s="66"/>
      <c r="P72" s="66"/>
      <c r="Q72" s="66"/>
      <c r="R72" s="66"/>
      <c r="S72" s="70"/>
      <c r="T72" s="96">
        <v>0</v>
      </c>
      <c r="U72" s="97">
        <v>0</v>
      </c>
      <c r="V72" s="72"/>
      <c r="W72" s="66"/>
      <c r="X72" s="66"/>
      <c r="Y72" s="66"/>
      <c r="Z72" s="66"/>
      <c r="AA72" s="96">
        <v>0</v>
      </c>
      <c r="AB72" s="97">
        <v>0</v>
      </c>
      <c r="AC72" s="66"/>
      <c r="AD72" s="66"/>
      <c r="AE72" s="66"/>
      <c r="AF72" s="66"/>
      <c r="AG72" s="66"/>
      <c r="AH72" s="96">
        <v>0</v>
      </c>
      <c r="AI72" s="97">
        <v>0</v>
      </c>
      <c r="AJ72" s="67"/>
      <c r="AK72" s="67"/>
      <c r="AL72" s="57"/>
      <c r="AM72" s="57"/>
      <c r="AN72" s="57"/>
      <c r="AO72" s="96">
        <v>0</v>
      </c>
      <c r="AP72" s="97">
        <v>0</v>
      </c>
      <c r="AQ72" s="93">
        <v>5</v>
      </c>
      <c r="AR72" s="78"/>
      <c r="AS72" s="75"/>
      <c r="AT72" s="57"/>
      <c r="AU72" s="78"/>
      <c r="AV72" s="96">
        <v>0</v>
      </c>
      <c r="AW72" s="97">
        <v>0</v>
      </c>
      <c r="AX72" s="67"/>
      <c r="AY72" s="67"/>
      <c r="AZ72" s="67"/>
      <c r="BA72" s="79"/>
      <c r="BB72" s="67"/>
      <c r="BC72" s="96">
        <v>0</v>
      </c>
      <c r="BD72" s="97">
        <v>0</v>
      </c>
      <c r="BE72" s="67"/>
      <c r="BF72" s="67"/>
      <c r="BG72" s="67"/>
      <c r="BH72" s="67"/>
      <c r="BI72" s="67"/>
      <c r="BJ72" s="96">
        <v>0</v>
      </c>
      <c r="BK72" s="97">
        <v>0</v>
      </c>
      <c r="BL72" s="67"/>
      <c r="BM72" s="67"/>
      <c r="BN72" s="67"/>
      <c r="BO72" s="67"/>
      <c r="BP72" s="67"/>
      <c r="BQ72" s="96">
        <v>0</v>
      </c>
      <c r="BR72" s="97">
        <v>0</v>
      </c>
      <c r="BS72" s="67"/>
      <c r="BT72" s="67"/>
      <c r="BU72" s="67"/>
      <c r="BV72" s="67"/>
      <c r="BW72" s="67"/>
      <c r="BX72" s="96">
        <v>0</v>
      </c>
      <c r="BY72" s="97">
        <v>0</v>
      </c>
    </row>
    <row r="73" spans="2:77" ht="15" customHeight="1" outlineLevel="1">
      <c r="B73" s="59" t="s">
        <v>211</v>
      </c>
      <c r="C73" s="60" t="s">
        <v>1</v>
      </c>
      <c r="D73" s="60" t="s">
        <v>43</v>
      </c>
      <c r="E73" s="59" t="s">
        <v>234</v>
      </c>
      <c r="F73" s="59">
        <f>SUMIFS('Detalhe Testes'!$F:$F,'Detalhe Testes'!$B:$B,'MacroPlano Equipa'!C73,'Detalhe Testes'!$C:$C,'MacroPlano Equipa'!D73)</f>
        <v>3</v>
      </c>
      <c r="G73" s="83">
        <f t="shared" si="6"/>
        <v>0.375</v>
      </c>
      <c r="H73" s="59" cm="1">
        <f t="array" aca="1" ref="H73" ca="1">SUMPRODUCT((COLUMN(O73:BY73)&gt;=MIN(IF(O73:BY73&lt;&gt;"",COLUMN(O73:BY73))))*($O$16:$BY$16&lt;=TODAY())*(O73:BY73))</f>
        <v>0</v>
      </c>
      <c r="I73" s="83">
        <f t="shared" ca="1" si="11"/>
        <v>0</v>
      </c>
      <c r="J73" s="100"/>
      <c r="K73" s="100"/>
      <c r="L73" s="85"/>
      <c r="M73" s="8">
        <f t="shared" si="12"/>
        <v>0</v>
      </c>
      <c r="O73" s="66"/>
      <c r="P73" s="66"/>
      <c r="Q73" s="66"/>
      <c r="R73" s="66"/>
      <c r="S73" s="70"/>
      <c r="T73" s="96">
        <v>0</v>
      </c>
      <c r="U73" s="97">
        <v>0</v>
      </c>
      <c r="V73" s="72"/>
      <c r="W73" s="66"/>
      <c r="X73" s="66"/>
      <c r="Y73" s="66"/>
      <c r="Z73" s="66"/>
      <c r="AA73" s="96">
        <v>0</v>
      </c>
      <c r="AB73" s="97">
        <v>0</v>
      </c>
      <c r="AC73" s="66"/>
      <c r="AD73" s="66"/>
      <c r="AE73" s="66"/>
      <c r="AF73" s="66"/>
      <c r="AG73" s="66"/>
      <c r="AH73" s="96">
        <v>0</v>
      </c>
      <c r="AI73" s="97">
        <v>0</v>
      </c>
      <c r="AJ73" s="67"/>
      <c r="AK73" s="67"/>
      <c r="AL73" s="57"/>
      <c r="AM73" s="57"/>
      <c r="AN73" s="57"/>
      <c r="AO73" s="96">
        <v>0</v>
      </c>
      <c r="AP73" s="97">
        <v>0</v>
      </c>
      <c r="AQ73" s="73"/>
      <c r="AR73" s="78"/>
      <c r="AS73" s="93">
        <v>3</v>
      </c>
      <c r="AT73" s="57"/>
      <c r="AU73" s="78"/>
      <c r="AV73" s="96">
        <v>0</v>
      </c>
      <c r="AW73" s="97">
        <v>0</v>
      </c>
      <c r="AX73" s="67"/>
      <c r="AY73" s="67"/>
      <c r="AZ73" s="67"/>
      <c r="BA73" s="79"/>
      <c r="BB73" s="67"/>
      <c r="BC73" s="96">
        <v>0</v>
      </c>
      <c r="BD73" s="97">
        <v>0</v>
      </c>
      <c r="BE73" s="67"/>
      <c r="BF73" s="67"/>
      <c r="BG73" s="67"/>
      <c r="BH73" s="67"/>
      <c r="BI73" s="67"/>
      <c r="BJ73" s="96">
        <v>0</v>
      </c>
      <c r="BK73" s="97">
        <v>0</v>
      </c>
      <c r="BL73" s="67"/>
      <c r="BM73" s="67"/>
      <c r="BN73" s="67"/>
      <c r="BO73" s="67"/>
      <c r="BP73" s="67"/>
      <c r="BQ73" s="96">
        <v>0</v>
      </c>
      <c r="BR73" s="97">
        <v>0</v>
      </c>
      <c r="BS73" s="67"/>
      <c r="BT73" s="67"/>
      <c r="BU73" s="67"/>
      <c r="BV73" s="67"/>
      <c r="BW73" s="67"/>
      <c r="BX73" s="96">
        <v>0</v>
      </c>
      <c r="BY73" s="97">
        <v>0</v>
      </c>
    </row>
    <row r="74" spans="2:77" ht="15" customHeight="1" outlineLevel="1">
      <c r="B74" s="59" t="s">
        <v>212</v>
      </c>
      <c r="C74" s="60" t="s">
        <v>1</v>
      </c>
      <c r="D74" s="60" t="s">
        <v>47</v>
      </c>
      <c r="E74" s="59" t="s">
        <v>234</v>
      </c>
      <c r="F74" s="59">
        <f>SUMIFS('Detalhe Testes'!$F:$F,'Detalhe Testes'!$B:$B,'MacroPlano Equipa'!C74,'Detalhe Testes'!$C:$C,'MacroPlano Equipa'!D74)</f>
        <v>3</v>
      </c>
      <c r="G74" s="83">
        <f t="shared" si="6"/>
        <v>0.375</v>
      </c>
      <c r="H74" s="59" cm="1">
        <f t="array" aca="1" ref="H74" ca="1">SUMPRODUCT((COLUMN(O74:BY74)&gt;=MIN(IF(O74:BY74&lt;&gt;"",COLUMN(O74:BY74))))*($O$16:$BY$16&lt;=TODAY())*(O74:BY74))</f>
        <v>0</v>
      </c>
      <c r="I74" s="83">
        <f t="shared" ca="1" si="11"/>
        <v>0</v>
      </c>
      <c r="J74" s="100"/>
      <c r="K74" s="100"/>
      <c r="L74" s="85"/>
      <c r="M74" s="8">
        <f t="shared" si="12"/>
        <v>0</v>
      </c>
      <c r="O74" s="66"/>
      <c r="P74" s="66"/>
      <c r="Q74" s="66"/>
      <c r="R74" s="66"/>
      <c r="S74" s="70"/>
      <c r="T74" s="96">
        <v>0</v>
      </c>
      <c r="U74" s="97">
        <v>0</v>
      </c>
      <c r="V74" s="72"/>
      <c r="W74" s="66"/>
      <c r="X74" s="66"/>
      <c r="Y74" s="66"/>
      <c r="Z74" s="66"/>
      <c r="AA74" s="96">
        <v>0</v>
      </c>
      <c r="AB74" s="97">
        <v>0</v>
      </c>
      <c r="AC74" s="66"/>
      <c r="AD74" s="66"/>
      <c r="AE74" s="66"/>
      <c r="AF74" s="66"/>
      <c r="AG74" s="66"/>
      <c r="AH74" s="96">
        <v>0</v>
      </c>
      <c r="AI74" s="97">
        <v>0</v>
      </c>
      <c r="AJ74" s="67"/>
      <c r="AK74" s="67"/>
      <c r="AL74" s="57"/>
      <c r="AM74" s="57"/>
      <c r="AN74" s="57"/>
      <c r="AO74" s="96">
        <v>0</v>
      </c>
      <c r="AP74" s="97">
        <v>0</v>
      </c>
      <c r="AQ74" s="73"/>
      <c r="AR74" s="78"/>
      <c r="AS74" s="93">
        <v>3</v>
      </c>
      <c r="AT74" s="57"/>
      <c r="AU74" s="78"/>
      <c r="AV74" s="96">
        <v>0</v>
      </c>
      <c r="AW74" s="97">
        <v>0</v>
      </c>
      <c r="AX74" s="67"/>
      <c r="AY74" s="67"/>
      <c r="AZ74" s="67"/>
      <c r="BA74" s="79"/>
      <c r="BB74" s="67"/>
      <c r="BC74" s="96">
        <v>0</v>
      </c>
      <c r="BD74" s="97">
        <v>0</v>
      </c>
      <c r="BE74" s="67"/>
      <c r="BF74" s="67"/>
      <c r="BG74" s="67"/>
      <c r="BH74" s="67"/>
      <c r="BI74" s="67"/>
      <c r="BJ74" s="96">
        <v>0</v>
      </c>
      <c r="BK74" s="97">
        <v>0</v>
      </c>
      <c r="BL74" s="67"/>
      <c r="BM74" s="67"/>
      <c r="BN74" s="67"/>
      <c r="BO74" s="67"/>
      <c r="BP74" s="67"/>
      <c r="BQ74" s="96">
        <v>0</v>
      </c>
      <c r="BR74" s="97">
        <v>0</v>
      </c>
      <c r="BS74" s="67"/>
      <c r="BT74" s="67"/>
      <c r="BU74" s="67"/>
      <c r="BV74" s="67"/>
      <c r="BW74" s="67"/>
      <c r="BX74" s="96">
        <v>0</v>
      </c>
      <c r="BY74" s="97">
        <v>0</v>
      </c>
    </row>
    <row r="75" spans="2:77" ht="15" customHeight="1" outlineLevel="1">
      <c r="B75" s="59" t="s">
        <v>213</v>
      </c>
      <c r="C75" s="60" t="s">
        <v>1</v>
      </c>
      <c r="D75" s="60" t="s">
        <v>51</v>
      </c>
      <c r="E75" s="59" t="s">
        <v>234</v>
      </c>
      <c r="F75" s="59">
        <f>SUMIFS('Detalhe Testes'!$F:$F,'Detalhe Testes'!$B:$B,'MacroPlano Equipa'!C75,'Detalhe Testes'!$C:$C,'MacroPlano Equipa'!D75)</f>
        <v>7</v>
      </c>
      <c r="G75" s="83">
        <f t="shared" si="6"/>
        <v>0.875</v>
      </c>
      <c r="H75" s="59" cm="1">
        <f t="array" aca="1" ref="H75" ca="1">SUMPRODUCT((COLUMN(O75:BY75)&gt;=MIN(IF(O75:BY75&lt;&gt;"",COLUMN(O75:BY75))))*($O$16:$BY$16&lt;=TODAY())*(O75:BY75))</f>
        <v>0</v>
      </c>
      <c r="I75" s="83">
        <f t="shared" ca="1" si="11"/>
        <v>0</v>
      </c>
      <c r="J75" s="100"/>
      <c r="K75" s="100"/>
      <c r="L75" s="85"/>
      <c r="M75" s="8">
        <f t="shared" si="12"/>
        <v>0</v>
      </c>
      <c r="O75" s="66"/>
      <c r="P75" s="66"/>
      <c r="Q75" s="66"/>
      <c r="R75" s="66"/>
      <c r="S75" s="70"/>
      <c r="T75" s="96">
        <v>0</v>
      </c>
      <c r="U75" s="97">
        <v>0</v>
      </c>
      <c r="V75" s="72"/>
      <c r="W75" s="66"/>
      <c r="X75" s="66"/>
      <c r="Y75" s="66"/>
      <c r="Z75" s="66"/>
      <c r="AA75" s="96">
        <v>0</v>
      </c>
      <c r="AB75" s="97">
        <v>0</v>
      </c>
      <c r="AC75" s="66"/>
      <c r="AD75" s="66"/>
      <c r="AE75" s="66"/>
      <c r="AF75" s="66"/>
      <c r="AG75" s="66"/>
      <c r="AH75" s="96">
        <v>0</v>
      </c>
      <c r="AI75" s="97">
        <v>0</v>
      </c>
      <c r="AJ75" s="67"/>
      <c r="AK75" s="67"/>
      <c r="AL75" s="57"/>
      <c r="AM75" s="57"/>
      <c r="AN75" s="57"/>
      <c r="AO75" s="96">
        <v>0</v>
      </c>
      <c r="AP75" s="97">
        <v>0</v>
      </c>
      <c r="AQ75" s="73"/>
      <c r="AR75" s="78"/>
      <c r="AS75" s="93">
        <v>2</v>
      </c>
      <c r="AT75" s="93">
        <v>5</v>
      </c>
      <c r="AU75" s="78"/>
      <c r="AV75" s="96">
        <v>0</v>
      </c>
      <c r="AW75" s="97">
        <v>0</v>
      </c>
      <c r="AX75" s="57"/>
      <c r="AY75" s="57"/>
      <c r="AZ75" s="57"/>
      <c r="BA75" s="78"/>
      <c r="BB75" s="67"/>
      <c r="BC75" s="96">
        <v>0</v>
      </c>
      <c r="BD75" s="97">
        <v>0</v>
      </c>
      <c r="BE75" s="67"/>
      <c r="BF75" s="67"/>
      <c r="BG75" s="67"/>
      <c r="BH75" s="67"/>
      <c r="BI75" s="67"/>
      <c r="BJ75" s="96">
        <v>0</v>
      </c>
      <c r="BK75" s="97">
        <v>0</v>
      </c>
      <c r="BL75" s="67"/>
      <c r="BM75" s="67"/>
      <c r="BN75" s="67"/>
      <c r="BO75" s="67"/>
      <c r="BP75" s="67"/>
      <c r="BQ75" s="96">
        <v>0</v>
      </c>
      <c r="BR75" s="97">
        <v>0</v>
      </c>
      <c r="BS75" s="67"/>
      <c r="BT75" s="67"/>
      <c r="BU75" s="67"/>
      <c r="BV75" s="67"/>
      <c r="BW75" s="67"/>
      <c r="BX75" s="96">
        <v>0</v>
      </c>
      <c r="BY75" s="97">
        <v>0</v>
      </c>
    </row>
    <row r="76" spans="2:77" ht="15" customHeight="1" outlineLevel="1">
      <c r="B76" s="59" t="s">
        <v>214</v>
      </c>
      <c r="C76" s="60" t="s">
        <v>55</v>
      </c>
      <c r="D76" s="60" t="s">
        <v>36</v>
      </c>
      <c r="E76" s="59" t="s">
        <v>234</v>
      </c>
      <c r="F76" s="59">
        <f>SUMIFS('Detalhe Testes'!$F:$F,'Detalhe Testes'!$B:$B,'MacroPlano Equipa'!C76,'Detalhe Testes'!$C:$C,'MacroPlano Equipa'!D76)</f>
        <v>3</v>
      </c>
      <c r="G76" s="83">
        <f t="shared" si="6"/>
        <v>0.375</v>
      </c>
      <c r="H76" s="59" cm="1">
        <f t="array" aca="1" ref="H76" ca="1">SUMPRODUCT((COLUMN(O76:BY76)&gt;=MIN(IF(O76:BY76&lt;&gt;"",COLUMN(O76:BY76))))*($O$16:$BY$16&lt;=TODAY())*(O76:BY76))</f>
        <v>0</v>
      </c>
      <c r="I76" s="83">
        <f t="shared" ca="1" si="11"/>
        <v>0</v>
      </c>
      <c r="J76" s="100"/>
      <c r="K76" s="100"/>
      <c r="L76" s="85"/>
      <c r="M76" s="8">
        <f t="shared" si="12"/>
        <v>0</v>
      </c>
      <c r="O76" s="66"/>
      <c r="P76" s="66"/>
      <c r="Q76" s="66"/>
      <c r="R76" s="66"/>
      <c r="S76" s="70"/>
      <c r="T76" s="96">
        <v>0</v>
      </c>
      <c r="U76" s="97">
        <v>0</v>
      </c>
      <c r="V76" s="72"/>
      <c r="W76" s="66"/>
      <c r="X76" s="66"/>
      <c r="Y76" s="66"/>
      <c r="Z76" s="66"/>
      <c r="AA76" s="96">
        <v>0</v>
      </c>
      <c r="AB76" s="97">
        <v>0</v>
      </c>
      <c r="AC76" s="66"/>
      <c r="AD76" s="66"/>
      <c r="AE76" s="66"/>
      <c r="AF76" s="66"/>
      <c r="AG76" s="66"/>
      <c r="AH76" s="96">
        <v>0</v>
      </c>
      <c r="AI76" s="97">
        <v>0</v>
      </c>
      <c r="AJ76" s="67"/>
      <c r="AK76" s="67"/>
      <c r="AL76" s="57"/>
      <c r="AM76" s="57"/>
      <c r="AN76" s="57"/>
      <c r="AO76" s="96">
        <v>0</v>
      </c>
      <c r="AP76" s="97">
        <v>0</v>
      </c>
      <c r="AQ76" s="73"/>
      <c r="AR76" s="78"/>
      <c r="AS76" s="75"/>
      <c r="AT76" s="93">
        <v>3</v>
      </c>
      <c r="AU76" s="78"/>
      <c r="AV76" s="96">
        <v>0</v>
      </c>
      <c r="AW76" s="97">
        <v>0</v>
      </c>
      <c r="AX76" s="57"/>
      <c r="AY76" s="57"/>
      <c r="AZ76" s="57"/>
      <c r="BA76" s="78"/>
      <c r="BB76" s="67"/>
      <c r="BC76" s="96">
        <v>0</v>
      </c>
      <c r="BD76" s="97">
        <v>0</v>
      </c>
      <c r="BE76" s="67"/>
      <c r="BF76" s="67"/>
      <c r="BG76" s="67"/>
      <c r="BH76" s="67"/>
      <c r="BI76" s="67"/>
      <c r="BJ76" s="96">
        <v>0</v>
      </c>
      <c r="BK76" s="97">
        <v>0</v>
      </c>
      <c r="BL76" s="67"/>
      <c r="BM76" s="67"/>
      <c r="BN76" s="67"/>
      <c r="BO76" s="67"/>
      <c r="BP76" s="67"/>
      <c r="BQ76" s="96">
        <v>0</v>
      </c>
      <c r="BR76" s="97">
        <v>0</v>
      </c>
      <c r="BS76" s="67"/>
      <c r="BT76" s="67"/>
      <c r="BU76" s="67"/>
      <c r="BV76" s="67"/>
      <c r="BW76" s="67"/>
      <c r="BX76" s="96">
        <v>0</v>
      </c>
      <c r="BY76" s="97">
        <v>0</v>
      </c>
    </row>
    <row r="77" spans="2:77" ht="15" customHeight="1" outlineLevel="1">
      <c r="B77" s="59" t="s">
        <v>215</v>
      </c>
      <c r="C77" s="60" t="s">
        <v>55</v>
      </c>
      <c r="D77" s="60" t="s">
        <v>38</v>
      </c>
      <c r="E77" s="59" t="s">
        <v>234</v>
      </c>
      <c r="F77" s="59">
        <f>SUMIFS('Detalhe Testes'!$F:$F,'Detalhe Testes'!$B:$B,'MacroPlano Equipa'!C77,'Detalhe Testes'!$C:$C,'MacroPlano Equipa'!D77)</f>
        <v>3</v>
      </c>
      <c r="G77" s="83">
        <f t="shared" si="6"/>
        <v>0.375</v>
      </c>
      <c r="H77" s="59" cm="1">
        <f t="array" aca="1" ref="H77" ca="1">SUMPRODUCT((COLUMN(O77:BY77)&gt;=MIN(IF(O77:BY77&lt;&gt;"",COLUMN(O77:BY77))))*($O$16:$BY$16&lt;=TODAY())*(O77:BY77))</f>
        <v>0</v>
      </c>
      <c r="I77" s="83">
        <f t="shared" ca="1" si="11"/>
        <v>0</v>
      </c>
      <c r="J77" s="100"/>
      <c r="K77" s="100"/>
      <c r="L77" s="85"/>
      <c r="M77" s="8">
        <f t="shared" si="12"/>
        <v>0</v>
      </c>
      <c r="O77" s="66"/>
      <c r="P77" s="66"/>
      <c r="Q77" s="66"/>
      <c r="R77" s="66"/>
      <c r="S77" s="70"/>
      <c r="T77" s="96">
        <v>0</v>
      </c>
      <c r="U77" s="97">
        <v>0</v>
      </c>
      <c r="V77" s="72"/>
      <c r="W77" s="66"/>
      <c r="X77" s="66"/>
      <c r="Y77" s="66"/>
      <c r="Z77" s="66"/>
      <c r="AA77" s="96">
        <v>0</v>
      </c>
      <c r="AB77" s="97">
        <v>0</v>
      </c>
      <c r="AC77" s="66"/>
      <c r="AD77" s="66"/>
      <c r="AE77" s="66"/>
      <c r="AF77" s="66"/>
      <c r="AG77" s="66"/>
      <c r="AH77" s="96">
        <v>0</v>
      </c>
      <c r="AI77" s="97">
        <v>0</v>
      </c>
      <c r="AJ77" s="67"/>
      <c r="AK77" s="67"/>
      <c r="AL77" s="57"/>
      <c r="AM77" s="57"/>
      <c r="AN77" s="57"/>
      <c r="AO77" s="96">
        <v>0</v>
      </c>
      <c r="AP77" s="97">
        <v>0</v>
      </c>
      <c r="AQ77" s="73"/>
      <c r="AR77" s="78"/>
      <c r="AS77" s="75"/>
      <c r="AT77" s="57"/>
      <c r="AU77" s="78"/>
      <c r="AV77" s="96">
        <v>0</v>
      </c>
      <c r="AW77" s="97">
        <v>0</v>
      </c>
      <c r="AX77" s="93">
        <v>3</v>
      </c>
      <c r="AY77" s="57"/>
      <c r="AZ77" s="57"/>
      <c r="BA77" s="78"/>
      <c r="BB77" s="67"/>
      <c r="BC77" s="96">
        <v>0</v>
      </c>
      <c r="BD77" s="97">
        <v>0</v>
      </c>
      <c r="BE77" s="67"/>
      <c r="BF77" s="67"/>
      <c r="BG77" s="67"/>
      <c r="BH77" s="67"/>
      <c r="BI77" s="67"/>
      <c r="BJ77" s="96">
        <v>0</v>
      </c>
      <c r="BK77" s="97">
        <v>0</v>
      </c>
      <c r="BL77" s="67"/>
      <c r="BM77" s="67"/>
      <c r="BN77" s="67"/>
      <c r="BO77" s="67"/>
      <c r="BP77" s="67"/>
      <c r="BQ77" s="96">
        <v>0</v>
      </c>
      <c r="BR77" s="97">
        <v>0</v>
      </c>
      <c r="BS77" s="67"/>
      <c r="BT77" s="67"/>
      <c r="BU77" s="67"/>
      <c r="BV77" s="67"/>
      <c r="BW77" s="67"/>
      <c r="BX77" s="96">
        <v>0</v>
      </c>
      <c r="BY77" s="97">
        <v>0</v>
      </c>
    </row>
    <row r="78" spans="2:77" ht="15" customHeight="1" outlineLevel="1">
      <c r="B78" s="59" t="s">
        <v>216</v>
      </c>
      <c r="C78" s="60" t="s">
        <v>55</v>
      </c>
      <c r="D78" s="60" t="s">
        <v>56</v>
      </c>
      <c r="E78" s="59" t="s">
        <v>234</v>
      </c>
      <c r="F78" s="59">
        <f>SUMIFS('Detalhe Testes'!$F:$F,'Detalhe Testes'!$B:$B,'MacroPlano Equipa'!C78,'Detalhe Testes'!$C:$C,'MacroPlano Equipa'!D78)</f>
        <v>3</v>
      </c>
      <c r="G78" s="83">
        <f t="shared" si="6"/>
        <v>0.375</v>
      </c>
      <c r="H78" s="59" cm="1">
        <f t="array" aca="1" ref="H78" ca="1">SUMPRODUCT((COLUMN(O78:BY78)&gt;=MIN(IF(O78:BY78&lt;&gt;"",COLUMN(O78:BY78))))*($O$16:$BY$16&lt;=TODAY())*(O78:BY78))</f>
        <v>0</v>
      </c>
      <c r="I78" s="83">
        <f t="shared" ca="1" si="11"/>
        <v>0</v>
      </c>
      <c r="J78" s="100"/>
      <c r="K78" s="100"/>
      <c r="L78" s="85"/>
      <c r="M78" s="8">
        <f t="shared" si="12"/>
        <v>0</v>
      </c>
      <c r="O78" s="66"/>
      <c r="P78" s="66"/>
      <c r="Q78" s="66"/>
      <c r="R78" s="66"/>
      <c r="S78" s="70"/>
      <c r="T78" s="96">
        <v>0</v>
      </c>
      <c r="U78" s="97">
        <v>0</v>
      </c>
      <c r="V78" s="72"/>
      <c r="W78" s="66"/>
      <c r="X78" s="66"/>
      <c r="Y78" s="66"/>
      <c r="Z78" s="66"/>
      <c r="AA78" s="96">
        <v>0</v>
      </c>
      <c r="AB78" s="97">
        <v>0</v>
      </c>
      <c r="AC78" s="66"/>
      <c r="AD78" s="66"/>
      <c r="AE78" s="66"/>
      <c r="AF78" s="66"/>
      <c r="AG78" s="66"/>
      <c r="AH78" s="96">
        <v>0</v>
      </c>
      <c r="AI78" s="97">
        <v>0</v>
      </c>
      <c r="AJ78" s="67"/>
      <c r="AK78" s="67"/>
      <c r="AL78" s="67"/>
      <c r="AM78" s="67"/>
      <c r="AN78" s="67"/>
      <c r="AO78" s="96">
        <v>0</v>
      </c>
      <c r="AP78" s="97">
        <v>0</v>
      </c>
      <c r="AQ78" s="74"/>
      <c r="AR78" s="79"/>
      <c r="AS78" s="76"/>
      <c r="AT78" s="67"/>
      <c r="AU78" s="79"/>
      <c r="AV78" s="96">
        <v>0</v>
      </c>
      <c r="AW78" s="97">
        <v>0</v>
      </c>
      <c r="AX78" s="93">
        <v>3</v>
      </c>
      <c r="AY78" s="57"/>
      <c r="AZ78" s="57"/>
      <c r="BA78" s="78"/>
      <c r="BB78" s="67"/>
      <c r="BC78" s="96">
        <v>0</v>
      </c>
      <c r="BD78" s="97">
        <v>0</v>
      </c>
      <c r="BE78" s="67"/>
      <c r="BF78" s="67"/>
      <c r="BG78" s="67"/>
      <c r="BH78" s="67"/>
      <c r="BI78" s="67"/>
      <c r="BJ78" s="96">
        <v>0</v>
      </c>
      <c r="BK78" s="97">
        <v>0</v>
      </c>
      <c r="BL78" s="67"/>
      <c r="BM78" s="67"/>
      <c r="BN78" s="67"/>
      <c r="BO78" s="67"/>
      <c r="BP78" s="67"/>
      <c r="BQ78" s="96">
        <v>0</v>
      </c>
      <c r="BR78" s="97">
        <v>0</v>
      </c>
      <c r="BS78" s="67"/>
      <c r="BT78" s="67"/>
      <c r="BU78" s="67"/>
      <c r="BV78" s="67"/>
      <c r="BW78" s="67"/>
      <c r="BX78" s="96">
        <v>0</v>
      </c>
      <c r="BY78" s="97">
        <v>0</v>
      </c>
    </row>
    <row r="79" spans="2:77" ht="15" customHeight="1" outlineLevel="1">
      <c r="B79" s="59" t="s">
        <v>217</v>
      </c>
      <c r="C79" s="60" t="s">
        <v>55</v>
      </c>
      <c r="D79" s="60" t="s">
        <v>57</v>
      </c>
      <c r="E79" s="59" t="s">
        <v>234</v>
      </c>
      <c r="F79" s="59">
        <f>SUMIFS('Detalhe Testes'!$F:$F,'Detalhe Testes'!$B:$B,'MacroPlano Equipa'!C79,'Detalhe Testes'!$C:$C,'MacroPlano Equipa'!D79)</f>
        <v>5</v>
      </c>
      <c r="G79" s="83">
        <f t="shared" si="6"/>
        <v>0.625</v>
      </c>
      <c r="H79" s="59" cm="1">
        <f t="array" aca="1" ref="H79" ca="1">SUMPRODUCT((COLUMN(O79:BY79)&gt;=MIN(IF(O79:BY79&lt;&gt;"",COLUMN(O79:BY79))))*($O$16:$BY$16&lt;=TODAY())*(O79:BY79))</f>
        <v>0</v>
      </c>
      <c r="I79" s="83">
        <f t="shared" ca="1" si="11"/>
        <v>0</v>
      </c>
      <c r="J79" s="100"/>
      <c r="K79" s="100"/>
      <c r="L79" s="85"/>
      <c r="M79" s="8">
        <f t="shared" si="12"/>
        <v>0</v>
      </c>
      <c r="O79" s="66"/>
      <c r="P79" s="66"/>
      <c r="Q79" s="66"/>
      <c r="R79" s="66"/>
      <c r="S79" s="70"/>
      <c r="T79" s="96">
        <v>0</v>
      </c>
      <c r="U79" s="97">
        <v>0</v>
      </c>
      <c r="V79" s="72"/>
      <c r="W79" s="66"/>
      <c r="X79" s="66"/>
      <c r="Y79" s="66"/>
      <c r="Z79" s="66"/>
      <c r="AA79" s="96">
        <v>0</v>
      </c>
      <c r="AB79" s="97">
        <v>0</v>
      </c>
      <c r="AC79" s="66"/>
      <c r="AD79" s="66"/>
      <c r="AE79" s="66"/>
      <c r="AF79" s="66"/>
      <c r="AG79" s="66"/>
      <c r="AH79" s="96">
        <v>0</v>
      </c>
      <c r="AI79" s="97">
        <v>0</v>
      </c>
      <c r="AJ79" s="67"/>
      <c r="AK79" s="67"/>
      <c r="AL79" s="67"/>
      <c r="AM79" s="67"/>
      <c r="AN79" s="67"/>
      <c r="AO79" s="96">
        <v>0</v>
      </c>
      <c r="AP79" s="97">
        <v>0</v>
      </c>
      <c r="AQ79" s="74"/>
      <c r="AR79" s="79"/>
      <c r="AS79" s="76"/>
      <c r="AT79" s="67"/>
      <c r="AU79" s="79"/>
      <c r="AV79" s="96">
        <v>0</v>
      </c>
      <c r="AW79" s="97">
        <v>0</v>
      </c>
      <c r="AX79" s="93">
        <v>5</v>
      </c>
      <c r="AY79" s="57"/>
      <c r="AZ79" s="57"/>
      <c r="BA79" s="78"/>
      <c r="BB79" s="67"/>
      <c r="BC79" s="96">
        <v>0</v>
      </c>
      <c r="BD79" s="97">
        <v>0</v>
      </c>
      <c r="BE79" s="67"/>
      <c r="BF79" s="67"/>
      <c r="BG79" s="67"/>
      <c r="BH79" s="67"/>
      <c r="BI79" s="67"/>
      <c r="BJ79" s="96">
        <v>0</v>
      </c>
      <c r="BK79" s="97">
        <v>0</v>
      </c>
      <c r="BL79" s="67"/>
      <c r="BM79" s="67"/>
      <c r="BN79" s="67"/>
      <c r="BO79" s="67"/>
      <c r="BP79" s="67"/>
      <c r="BQ79" s="96">
        <v>0</v>
      </c>
      <c r="BR79" s="97">
        <v>0</v>
      </c>
      <c r="BS79" s="67"/>
      <c r="BT79" s="67"/>
      <c r="BU79" s="67"/>
      <c r="BV79" s="67"/>
      <c r="BW79" s="67"/>
      <c r="BX79" s="96">
        <v>0</v>
      </c>
      <c r="BY79" s="97">
        <v>0</v>
      </c>
    </row>
    <row r="80" spans="2:77" ht="15" customHeight="1" outlineLevel="1">
      <c r="B80" s="59" t="s">
        <v>218</v>
      </c>
      <c r="C80" s="60" t="s">
        <v>55</v>
      </c>
      <c r="D80" s="60" t="s">
        <v>58</v>
      </c>
      <c r="E80" s="59" t="s">
        <v>234</v>
      </c>
      <c r="F80" s="59">
        <f>SUMIFS('Detalhe Testes'!$F:$F,'Detalhe Testes'!$B:$B,'MacroPlano Equipa'!C80,'Detalhe Testes'!$C:$C,'MacroPlano Equipa'!D80)</f>
        <v>3</v>
      </c>
      <c r="G80" s="83">
        <f t="shared" si="6"/>
        <v>0.375</v>
      </c>
      <c r="H80" s="59" cm="1">
        <f t="array" aca="1" ref="H80" ca="1">SUMPRODUCT((COLUMN(O80:BY80)&gt;=MIN(IF(O80:BY80&lt;&gt;"",COLUMN(O80:BY80))))*($O$16:$BY$16&lt;=TODAY())*(O80:BY80))</f>
        <v>0</v>
      </c>
      <c r="I80" s="83">
        <f t="shared" ca="1" si="11"/>
        <v>0</v>
      </c>
      <c r="J80" s="100"/>
      <c r="K80" s="100"/>
      <c r="L80" s="85"/>
      <c r="M80" s="8">
        <f t="shared" si="12"/>
        <v>0</v>
      </c>
      <c r="O80" s="66"/>
      <c r="P80" s="66"/>
      <c r="Q80" s="66"/>
      <c r="R80" s="66"/>
      <c r="S80" s="70"/>
      <c r="T80" s="96">
        <v>0</v>
      </c>
      <c r="U80" s="97">
        <v>0</v>
      </c>
      <c r="V80" s="72"/>
      <c r="W80" s="66"/>
      <c r="X80" s="66"/>
      <c r="Y80" s="66"/>
      <c r="Z80" s="66"/>
      <c r="AA80" s="96">
        <v>0</v>
      </c>
      <c r="AB80" s="97">
        <v>0</v>
      </c>
      <c r="AC80" s="66"/>
      <c r="AD80" s="66"/>
      <c r="AE80" s="66"/>
      <c r="AF80" s="66"/>
      <c r="AG80" s="66"/>
      <c r="AH80" s="96">
        <v>0</v>
      </c>
      <c r="AI80" s="97">
        <v>0</v>
      </c>
      <c r="AJ80" s="67"/>
      <c r="AK80" s="67"/>
      <c r="AL80" s="67"/>
      <c r="AM80" s="67"/>
      <c r="AN80" s="67"/>
      <c r="AO80" s="96">
        <v>0</v>
      </c>
      <c r="AP80" s="97">
        <v>0</v>
      </c>
      <c r="AQ80" s="74"/>
      <c r="AR80" s="79"/>
      <c r="AS80" s="76"/>
      <c r="AT80" s="67"/>
      <c r="AU80" s="79"/>
      <c r="AV80" s="96">
        <v>0</v>
      </c>
      <c r="AW80" s="97">
        <v>0</v>
      </c>
      <c r="AX80" s="93">
        <v>3</v>
      </c>
      <c r="AY80" s="57"/>
      <c r="AZ80" s="57"/>
      <c r="BA80" s="78"/>
      <c r="BB80" s="67"/>
      <c r="BC80" s="96">
        <v>0</v>
      </c>
      <c r="BD80" s="97">
        <v>0</v>
      </c>
      <c r="BE80" s="67"/>
      <c r="BF80" s="67"/>
      <c r="BG80" s="67"/>
      <c r="BH80" s="67"/>
      <c r="BI80" s="67"/>
      <c r="BJ80" s="96">
        <v>0</v>
      </c>
      <c r="BK80" s="97">
        <v>0</v>
      </c>
      <c r="BL80" s="67"/>
      <c r="BM80" s="67"/>
      <c r="BN80" s="67"/>
      <c r="BO80" s="67"/>
      <c r="BP80" s="67"/>
      <c r="BQ80" s="96">
        <v>0</v>
      </c>
      <c r="BR80" s="97">
        <v>0</v>
      </c>
      <c r="BS80" s="67"/>
      <c r="BT80" s="67"/>
      <c r="BU80" s="67"/>
      <c r="BV80" s="67"/>
      <c r="BW80" s="67"/>
      <c r="BX80" s="96">
        <v>0</v>
      </c>
      <c r="BY80" s="97">
        <v>0</v>
      </c>
    </row>
    <row r="81" spans="2:77" ht="15" customHeight="1" outlineLevel="1">
      <c r="B81" s="59" t="s">
        <v>219</v>
      </c>
      <c r="C81" s="60" t="s">
        <v>55</v>
      </c>
      <c r="D81" s="60" t="s">
        <v>60</v>
      </c>
      <c r="E81" s="59" t="s">
        <v>234</v>
      </c>
      <c r="F81" s="59">
        <f>SUMIFS('Detalhe Testes'!$F:$F,'Detalhe Testes'!$B:$B,'MacroPlano Equipa'!C81,'Detalhe Testes'!$C:$C,'MacroPlano Equipa'!D81)</f>
        <v>7</v>
      </c>
      <c r="G81" s="83">
        <f t="shared" si="6"/>
        <v>0.875</v>
      </c>
      <c r="H81" s="59" cm="1">
        <f t="array" aca="1" ref="H81" ca="1">SUMPRODUCT((COLUMN(O81:BY81)&gt;=MIN(IF(O81:BY81&lt;&gt;"",COLUMN(O81:BY81))))*($O$16:$BY$16&lt;=TODAY())*(O81:BY81))</f>
        <v>0</v>
      </c>
      <c r="I81" s="83">
        <f t="shared" ca="1" si="11"/>
        <v>0</v>
      </c>
      <c r="J81" s="100"/>
      <c r="K81" s="100"/>
      <c r="L81" s="85"/>
      <c r="M81" s="8">
        <f t="shared" si="12"/>
        <v>0</v>
      </c>
      <c r="O81" s="66"/>
      <c r="P81" s="66"/>
      <c r="Q81" s="66"/>
      <c r="R81" s="66"/>
      <c r="S81" s="70"/>
      <c r="T81" s="96">
        <v>0</v>
      </c>
      <c r="U81" s="97">
        <v>0</v>
      </c>
      <c r="V81" s="72"/>
      <c r="W81" s="66"/>
      <c r="X81" s="66"/>
      <c r="Y81" s="66"/>
      <c r="Z81" s="66"/>
      <c r="AA81" s="96">
        <v>0</v>
      </c>
      <c r="AB81" s="97">
        <v>0</v>
      </c>
      <c r="AC81" s="66"/>
      <c r="AD81" s="66"/>
      <c r="AE81" s="66"/>
      <c r="AF81" s="66"/>
      <c r="AG81" s="66"/>
      <c r="AH81" s="96">
        <v>0</v>
      </c>
      <c r="AI81" s="97">
        <v>0</v>
      </c>
      <c r="AJ81" s="67"/>
      <c r="AK81" s="67"/>
      <c r="AL81" s="67"/>
      <c r="AM81" s="67"/>
      <c r="AN81" s="67"/>
      <c r="AO81" s="96">
        <v>0</v>
      </c>
      <c r="AP81" s="97">
        <v>0</v>
      </c>
      <c r="AQ81" s="74"/>
      <c r="AR81" s="79"/>
      <c r="AS81" s="76"/>
      <c r="AT81" s="67"/>
      <c r="AU81" s="79"/>
      <c r="AV81" s="96">
        <v>0</v>
      </c>
      <c r="AW81" s="97">
        <v>0</v>
      </c>
      <c r="AX81" s="93">
        <v>2</v>
      </c>
      <c r="AY81" s="93">
        <v>5</v>
      </c>
      <c r="AZ81" s="57"/>
      <c r="BA81" s="78"/>
      <c r="BB81" s="67"/>
      <c r="BC81" s="96">
        <v>0</v>
      </c>
      <c r="BD81" s="97">
        <v>0</v>
      </c>
      <c r="BE81" s="67"/>
      <c r="BF81" s="67"/>
      <c r="BG81" s="67"/>
      <c r="BH81" s="67"/>
      <c r="BI81" s="67"/>
      <c r="BJ81" s="96">
        <v>0</v>
      </c>
      <c r="BK81" s="97">
        <v>0</v>
      </c>
      <c r="BL81" s="67"/>
      <c r="BM81" s="67"/>
      <c r="BN81" s="67"/>
      <c r="BO81" s="67"/>
      <c r="BP81" s="67"/>
      <c r="BQ81" s="96">
        <v>0</v>
      </c>
      <c r="BR81" s="97">
        <v>0</v>
      </c>
      <c r="BS81" s="67"/>
      <c r="BT81" s="67"/>
      <c r="BU81" s="67"/>
      <c r="BV81" s="67"/>
      <c r="BW81" s="67"/>
      <c r="BX81" s="96">
        <v>0</v>
      </c>
      <c r="BY81" s="97">
        <v>0</v>
      </c>
    </row>
    <row r="82" spans="2:77" ht="15" customHeight="1" outlineLevel="1">
      <c r="B82" s="59" t="s">
        <v>220</v>
      </c>
      <c r="C82" s="60" t="s">
        <v>61</v>
      </c>
      <c r="D82" s="60" t="s">
        <v>90</v>
      </c>
      <c r="E82" s="59" t="s">
        <v>234</v>
      </c>
      <c r="F82" s="59">
        <f>SUMIFS('Detalhe Testes'!$F:$F,'Detalhe Testes'!$B:$B,'MacroPlano Equipa'!C82,'Detalhe Testes'!$C:$C,'MacroPlano Equipa'!D82)</f>
        <v>6</v>
      </c>
      <c r="G82" s="83">
        <f t="shared" si="6"/>
        <v>0.75</v>
      </c>
      <c r="H82" s="59" cm="1">
        <f t="array" aca="1" ref="H82" ca="1">SUMPRODUCT((COLUMN(O82:BY82)&gt;=MIN(IF(O82:BY82&lt;&gt;"",COLUMN(O82:BY82))))*($O$16:$BY$16&lt;=TODAY())*(O82:BY82))</f>
        <v>0</v>
      </c>
      <c r="I82" s="83">
        <f t="shared" ca="1" si="11"/>
        <v>0</v>
      </c>
      <c r="J82" s="100"/>
      <c r="K82" s="100"/>
      <c r="L82" s="85"/>
      <c r="M82" s="8">
        <f t="shared" si="12"/>
        <v>0</v>
      </c>
      <c r="O82" s="66"/>
      <c r="P82" s="66"/>
      <c r="Q82" s="66"/>
      <c r="R82" s="66"/>
      <c r="S82" s="70"/>
      <c r="T82" s="96">
        <v>0</v>
      </c>
      <c r="U82" s="97">
        <v>0</v>
      </c>
      <c r="V82" s="72"/>
      <c r="W82" s="66"/>
      <c r="X82" s="66"/>
      <c r="Y82" s="66"/>
      <c r="Z82" s="66"/>
      <c r="AA82" s="96">
        <v>0</v>
      </c>
      <c r="AB82" s="97">
        <v>0</v>
      </c>
      <c r="AC82" s="66"/>
      <c r="AD82" s="66"/>
      <c r="AE82" s="66"/>
      <c r="AF82" s="66"/>
      <c r="AG82" s="66"/>
      <c r="AH82" s="96">
        <v>0</v>
      </c>
      <c r="AI82" s="97">
        <v>0</v>
      </c>
      <c r="AJ82" s="67"/>
      <c r="AK82" s="67"/>
      <c r="AL82" s="67"/>
      <c r="AM82" s="67"/>
      <c r="AN82" s="67"/>
      <c r="AO82" s="96">
        <v>0</v>
      </c>
      <c r="AP82" s="97">
        <v>0</v>
      </c>
      <c r="AQ82" s="74"/>
      <c r="AR82" s="79"/>
      <c r="AS82" s="76"/>
      <c r="AT82" s="67"/>
      <c r="AU82" s="79"/>
      <c r="AV82" s="96">
        <v>0</v>
      </c>
      <c r="AW82" s="97">
        <v>0</v>
      </c>
      <c r="AX82" s="57"/>
      <c r="AY82" s="93">
        <v>6</v>
      </c>
      <c r="AZ82" s="57"/>
      <c r="BA82" s="78"/>
      <c r="BB82" s="67"/>
      <c r="BC82" s="96">
        <v>0</v>
      </c>
      <c r="BD82" s="97">
        <v>0</v>
      </c>
      <c r="BE82" s="67"/>
      <c r="BF82" s="67"/>
      <c r="BG82" s="67"/>
      <c r="BH82" s="67"/>
      <c r="BI82" s="67"/>
      <c r="BJ82" s="96">
        <v>0</v>
      </c>
      <c r="BK82" s="97">
        <v>0</v>
      </c>
      <c r="BL82" s="67"/>
      <c r="BM82" s="67"/>
      <c r="BN82" s="67"/>
      <c r="BO82" s="67"/>
      <c r="BP82" s="67"/>
      <c r="BQ82" s="96">
        <v>0</v>
      </c>
      <c r="BR82" s="97">
        <v>0</v>
      </c>
      <c r="BS82" s="67"/>
      <c r="BT82" s="67"/>
      <c r="BU82" s="67"/>
      <c r="BV82" s="67"/>
      <c r="BW82" s="67"/>
      <c r="BX82" s="96">
        <v>0</v>
      </c>
      <c r="BY82" s="97">
        <v>0</v>
      </c>
    </row>
    <row r="83" spans="2:77" ht="15" customHeight="1" outlineLevel="1">
      <c r="B83" s="59" t="s">
        <v>221</v>
      </c>
      <c r="C83" s="60" t="s">
        <v>61</v>
      </c>
      <c r="D83" s="60" t="s">
        <v>36</v>
      </c>
      <c r="E83" s="59" t="s">
        <v>234</v>
      </c>
      <c r="F83" s="59">
        <f>SUMIFS('Detalhe Testes'!$F:$F,'Detalhe Testes'!$B:$B,'MacroPlano Equipa'!C83,'Detalhe Testes'!$C:$C,'MacroPlano Equipa'!D83)</f>
        <v>3</v>
      </c>
      <c r="G83" s="83">
        <f t="shared" si="6"/>
        <v>0.375</v>
      </c>
      <c r="H83" s="59" cm="1">
        <f t="array" aca="1" ref="H83" ca="1">SUMPRODUCT((COLUMN(O83:BY83)&gt;=MIN(IF(O83:BY83&lt;&gt;"",COLUMN(O83:BY83))))*($O$16:$BY$16&lt;=TODAY())*(O83:BY83))</f>
        <v>0</v>
      </c>
      <c r="I83" s="83">
        <f t="shared" ca="1" si="11"/>
        <v>0</v>
      </c>
      <c r="J83" s="100"/>
      <c r="K83" s="100"/>
      <c r="L83" s="85"/>
      <c r="M83" s="8">
        <f t="shared" si="12"/>
        <v>0</v>
      </c>
      <c r="O83" s="66"/>
      <c r="P83" s="66"/>
      <c r="Q83" s="66"/>
      <c r="R83" s="66"/>
      <c r="S83" s="70"/>
      <c r="T83" s="96">
        <v>0</v>
      </c>
      <c r="U83" s="97">
        <v>0</v>
      </c>
      <c r="V83" s="72"/>
      <c r="W83" s="66"/>
      <c r="X83" s="66"/>
      <c r="Y83" s="66"/>
      <c r="Z83" s="66"/>
      <c r="AA83" s="96">
        <v>0</v>
      </c>
      <c r="AB83" s="97">
        <v>0</v>
      </c>
      <c r="AC83" s="66"/>
      <c r="AD83" s="66"/>
      <c r="AE83" s="66"/>
      <c r="AF83" s="66"/>
      <c r="AG83" s="66"/>
      <c r="AH83" s="96">
        <v>0</v>
      </c>
      <c r="AI83" s="97">
        <v>0</v>
      </c>
      <c r="AJ83" s="67"/>
      <c r="AK83" s="67"/>
      <c r="AL83" s="67"/>
      <c r="AM83" s="67"/>
      <c r="AN83" s="67"/>
      <c r="AO83" s="96">
        <v>0</v>
      </c>
      <c r="AP83" s="97">
        <v>0</v>
      </c>
      <c r="AQ83" s="74"/>
      <c r="AR83" s="79"/>
      <c r="AS83" s="76"/>
      <c r="AT83" s="67"/>
      <c r="AU83" s="79"/>
      <c r="AV83" s="96">
        <v>0</v>
      </c>
      <c r="AW83" s="97">
        <v>0</v>
      </c>
      <c r="AX83" s="57"/>
      <c r="AY83" s="93">
        <v>3</v>
      </c>
      <c r="AZ83" s="57"/>
      <c r="BA83" s="78"/>
      <c r="BB83" s="67"/>
      <c r="BC83" s="96">
        <v>0</v>
      </c>
      <c r="BD83" s="97">
        <v>0</v>
      </c>
      <c r="BE83" s="67"/>
      <c r="BF83" s="67"/>
      <c r="BG83" s="67"/>
      <c r="BH83" s="67"/>
      <c r="BI83" s="67"/>
      <c r="BJ83" s="96">
        <v>0</v>
      </c>
      <c r="BK83" s="97">
        <v>0</v>
      </c>
      <c r="BL83" s="67"/>
      <c r="BM83" s="67"/>
      <c r="BN83" s="67"/>
      <c r="BO83" s="67"/>
      <c r="BP83" s="67"/>
      <c r="BQ83" s="96">
        <v>0</v>
      </c>
      <c r="BR83" s="97">
        <v>0</v>
      </c>
      <c r="BS83" s="67"/>
      <c r="BT83" s="67"/>
      <c r="BU83" s="67"/>
      <c r="BV83" s="67"/>
      <c r="BW83" s="67"/>
      <c r="BX83" s="96">
        <v>0</v>
      </c>
      <c r="BY83" s="97">
        <v>0</v>
      </c>
    </row>
    <row r="84" spans="2:77" ht="15" customHeight="1" outlineLevel="1">
      <c r="B84" s="59" t="s">
        <v>222</v>
      </c>
      <c r="C84" s="60" t="s">
        <v>61</v>
      </c>
      <c r="D84" s="60" t="s">
        <v>38</v>
      </c>
      <c r="E84" s="59" t="s">
        <v>234</v>
      </c>
      <c r="F84" s="59">
        <f>SUMIFS('Detalhe Testes'!$F:$F,'Detalhe Testes'!$B:$B,'MacroPlano Equipa'!C84,'Detalhe Testes'!$C:$C,'MacroPlano Equipa'!D84)</f>
        <v>3</v>
      </c>
      <c r="G84" s="83">
        <f t="shared" si="6"/>
        <v>0.375</v>
      </c>
      <c r="H84" s="59" cm="1">
        <f t="array" aca="1" ref="H84" ca="1">SUMPRODUCT((COLUMN(O84:BY84)&gt;=MIN(IF(O84:BY84&lt;&gt;"",COLUMN(O84:BY84))))*($O$16:$BY$16&lt;=TODAY())*(O84:BY84))</f>
        <v>0</v>
      </c>
      <c r="I84" s="83">
        <f t="shared" ca="1" si="11"/>
        <v>0</v>
      </c>
      <c r="J84" s="100"/>
      <c r="K84" s="100"/>
      <c r="L84" s="85"/>
      <c r="M84" s="8">
        <f t="shared" si="12"/>
        <v>0</v>
      </c>
      <c r="O84" s="66"/>
      <c r="P84" s="66"/>
      <c r="Q84" s="66"/>
      <c r="R84" s="66"/>
      <c r="S84" s="70"/>
      <c r="T84" s="96">
        <v>0</v>
      </c>
      <c r="U84" s="97">
        <v>0</v>
      </c>
      <c r="V84" s="72"/>
      <c r="W84" s="66"/>
      <c r="X84" s="66"/>
      <c r="Y84" s="66"/>
      <c r="Z84" s="66"/>
      <c r="AA84" s="96">
        <v>0</v>
      </c>
      <c r="AB84" s="97">
        <v>0</v>
      </c>
      <c r="AC84" s="66"/>
      <c r="AD84" s="66"/>
      <c r="AE84" s="66"/>
      <c r="AF84" s="66"/>
      <c r="AG84" s="66"/>
      <c r="AH84" s="96">
        <v>0</v>
      </c>
      <c r="AI84" s="97">
        <v>0</v>
      </c>
      <c r="AJ84" s="67"/>
      <c r="AK84" s="67"/>
      <c r="AL84" s="67"/>
      <c r="AM84" s="67"/>
      <c r="AN84" s="67"/>
      <c r="AO84" s="96">
        <v>0</v>
      </c>
      <c r="AP84" s="97">
        <v>0</v>
      </c>
      <c r="AQ84" s="74"/>
      <c r="AR84" s="79"/>
      <c r="AS84" s="76"/>
      <c r="AT84" s="67"/>
      <c r="AU84" s="79"/>
      <c r="AV84" s="96">
        <v>0</v>
      </c>
      <c r="AW84" s="97">
        <v>0</v>
      </c>
      <c r="AX84" s="57"/>
      <c r="AY84" s="93">
        <v>2</v>
      </c>
      <c r="AZ84" s="93">
        <v>1</v>
      </c>
      <c r="BA84" s="78"/>
      <c r="BB84" s="67"/>
      <c r="BC84" s="96">
        <v>0</v>
      </c>
      <c r="BD84" s="97">
        <v>0</v>
      </c>
      <c r="BE84" s="67"/>
      <c r="BF84" s="67"/>
      <c r="BG84" s="67"/>
      <c r="BH84" s="67"/>
      <c r="BI84" s="67"/>
      <c r="BJ84" s="96">
        <v>0</v>
      </c>
      <c r="BK84" s="97">
        <v>0</v>
      </c>
      <c r="BL84" s="67"/>
      <c r="BM84" s="67"/>
      <c r="BN84" s="67"/>
      <c r="BO84" s="67"/>
      <c r="BP84" s="67"/>
      <c r="BQ84" s="96">
        <v>0</v>
      </c>
      <c r="BR84" s="97">
        <v>0</v>
      </c>
      <c r="BS84" s="67"/>
      <c r="BT84" s="67"/>
      <c r="BU84" s="67"/>
      <c r="BV84" s="67"/>
      <c r="BW84" s="67"/>
      <c r="BX84" s="96">
        <v>0</v>
      </c>
      <c r="BY84" s="97">
        <v>0</v>
      </c>
    </row>
    <row r="85" spans="2:77" ht="15" customHeight="1" outlineLevel="1">
      <c r="B85" s="59" t="s">
        <v>223</v>
      </c>
      <c r="C85" s="60" t="s">
        <v>61</v>
      </c>
      <c r="D85" s="60" t="s">
        <v>54</v>
      </c>
      <c r="E85" s="59" t="s">
        <v>234</v>
      </c>
      <c r="F85" s="59">
        <f>SUMIFS('Detalhe Testes'!$F:$F,'Detalhe Testes'!$B:$B,'MacroPlano Equipa'!C85,'Detalhe Testes'!$C:$C,'MacroPlano Equipa'!D85)</f>
        <v>3</v>
      </c>
      <c r="G85" s="83">
        <f t="shared" si="6"/>
        <v>0.375</v>
      </c>
      <c r="H85" s="59" cm="1">
        <f t="array" aca="1" ref="H85" ca="1">SUMPRODUCT((COLUMN(O85:BY85)&gt;=MIN(IF(O85:BY85&lt;&gt;"",COLUMN(O85:BY85))))*($O$16:$BY$16&lt;=TODAY())*(O85:BY85))</f>
        <v>0</v>
      </c>
      <c r="I85" s="83">
        <f t="shared" ca="1" si="11"/>
        <v>0</v>
      </c>
      <c r="J85" s="100"/>
      <c r="K85" s="100"/>
      <c r="L85" s="85"/>
      <c r="M85" s="8">
        <f t="shared" si="12"/>
        <v>0</v>
      </c>
      <c r="O85" s="66"/>
      <c r="P85" s="66"/>
      <c r="Q85" s="66"/>
      <c r="R85" s="66"/>
      <c r="S85" s="70"/>
      <c r="T85" s="96">
        <v>0</v>
      </c>
      <c r="U85" s="97">
        <v>0</v>
      </c>
      <c r="V85" s="72"/>
      <c r="W85" s="66"/>
      <c r="X85" s="66"/>
      <c r="Y85" s="66"/>
      <c r="Z85" s="66"/>
      <c r="AA85" s="96">
        <v>0</v>
      </c>
      <c r="AB85" s="97">
        <v>0</v>
      </c>
      <c r="AC85" s="66"/>
      <c r="AD85" s="66"/>
      <c r="AE85" s="66"/>
      <c r="AF85" s="66"/>
      <c r="AG85" s="66"/>
      <c r="AH85" s="96">
        <v>0</v>
      </c>
      <c r="AI85" s="97">
        <v>0</v>
      </c>
      <c r="AJ85" s="67"/>
      <c r="AK85" s="67"/>
      <c r="AL85" s="67"/>
      <c r="AM85" s="67"/>
      <c r="AN85" s="67"/>
      <c r="AO85" s="96">
        <v>0</v>
      </c>
      <c r="AP85" s="97">
        <v>0</v>
      </c>
      <c r="AQ85" s="74"/>
      <c r="AR85" s="79"/>
      <c r="AS85" s="76"/>
      <c r="AT85" s="67"/>
      <c r="AU85" s="79"/>
      <c r="AV85" s="96">
        <v>0</v>
      </c>
      <c r="AW85" s="97">
        <v>0</v>
      </c>
      <c r="AX85" s="57"/>
      <c r="AY85" s="57"/>
      <c r="AZ85" s="93">
        <v>3</v>
      </c>
      <c r="BA85" s="78"/>
      <c r="BB85" s="67"/>
      <c r="BC85" s="96">
        <v>0</v>
      </c>
      <c r="BD85" s="97">
        <v>0</v>
      </c>
      <c r="BE85" s="67"/>
      <c r="BF85" s="67"/>
      <c r="BG85" s="67"/>
      <c r="BH85" s="67"/>
      <c r="BI85" s="67"/>
      <c r="BJ85" s="96">
        <v>0</v>
      </c>
      <c r="BK85" s="97">
        <v>0</v>
      </c>
      <c r="BL85" s="67"/>
      <c r="BM85" s="67"/>
      <c r="BN85" s="67"/>
      <c r="BO85" s="67"/>
      <c r="BP85" s="67"/>
      <c r="BQ85" s="96">
        <v>0</v>
      </c>
      <c r="BR85" s="97">
        <v>0</v>
      </c>
      <c r="BS85" s="67"/>
      <c r="BT85" s="67"/>
      <c r="BU85" s="67"/>
      <c r="BV85" s="67"/>
      <c r="BW85" s="67"/>
      <c r="BX85" s="96">
        <v>0</v>
      </c>
      <c r="BY85" s="97">
        <v>0</v>
      </c>
    </row>
    <row r="86" spans="2:77" ht="15" customHeight="1" outlineLevel="1">
      <c r="B86" s="59" t="s">
        <v>224</v>
      </c>
      <c r="C86" s="60" t="s">
        <v>61</v>
      </c>
      <c r="D86" s="60" t="s">
        <v>56</v>
      </c>
      <c r="E86" s="59" t="s">
        <v>234</v>
      </c>
      <c r="F86" s="59">
        <f>SUMIFS('Detalhe Testes'!$F:$F,'Detalhe Testes'!$B:$B,'MacroPlano Equipa'!C86,'Detalhe Testes'!$C:$C,'MacroPlano Equipa'!D86)</f>
        <v>3</v>
      </c>
      <c r="G86" s="83">
        <f t="shared" ref="G86:G97" si="13">F86/8</f>
        <v>0.375</v>
      </c>
      <c r="H86" s="59" cm="1">
        <f t="array" aca="1" ref="H86" ca="1">SUMPRODUCT((COLUMN(O86:BY86)&gt;=MIN(IF(O86:BY86&lt;&gt;"",COLUMN(O86:BY86))))*($O$16:$BY$16&lt;=TODAY())*(O86:BY86))</f>
        <v>0</v>
      </c>
      <c r="I86" s="83">
        <f t="shared" ca="1" si="11"/>
        <v>0</v>
      </c>
      <c r="J86" s="100"/>
      <c r="K86" s="100"/>
      <c r="L86" s="85"/>
      <c r="M86" s="8">
        <f t="shared" si="12"/>
        <v>0</v>
      </c>
      <c r="O86" s="66"/>
      <c r="P86" s="66"/>
      <c r="Q86" s="66"/>
      <c r="R86" s="66"/>
      <c r="S86" s="70"/>
      <c r="T86" s="96">
        <v>0</v>
      </c>
      <c r="U86" s="97">
        <v>0</v>
      </c>
      <c r="V86" s="72"/>
      <c r="W86" s="66"/>
      <c r="X86" s="66"/>
      <c r="Y86" s="66"/>
      <c r="Z86" s="66"/>
      <c r="AA86" s="96">
        <v>0</v>
      </c>
      <c r="AB86" s="97">
        <v>0</v>
      </c>
      <c r="AC86" s="66"/>
      <c r="AD86" s="66"/>
      <c r="AE86" s="66"/>
      <c r="AF86" s="66"/>
      <c r="AG86" s="66"/>
      <c r="AH86" s="96">
        <v>0</v>
      </c>
      <c r="AI86" s="97">
        <v>0</v>
      </c>
      <c r="AJ86" s="67"/>
      <c r="AK86" s="67"/>
      <c r="AL86" s="67"/>
      <c r="AM86" s="67"/>
      <c r="AN86" s="67"/>
      <c r="AO86" s="96">
        <v>0</v>
      </c>
      <c r="AP86" s="97">
        <v>0</v>
      </c>
      <c r="AQ86" s="74"/>
      <c r="AR86" s="79"/>
      <c r="AS86" s="76"/>
      <c r="AT86" s="67"/>
      <c r="AU86" s="79"/>
      <c r="AV86" s="96">
        <v>0</v>
      </c>
      <c r="AW86" s="97">
        <v>0</v>
      </c>
      <c r="AX86" s="57"/>
      <c r="AY86" s="57"/>
      <c r="AZ86" s="93">
        <v>3</v>
      </c>
      <c r="BA86" s="78"/>
      <c r="BB86" s="57"/>
      <c r="BC86" s="96">
        <v>0</v>
      </c>
      <c r="BD86" s="97">
        <v>0</v>
      </c>
      <c r="BE86" s="57"/>
      <c r="BF86" s="57"/>
      <c r="BG86" s="57"/>
      <c r="BH86" s="57"/>
      <c r="BI86" s="57"/>
      <c r="BJ86" s="96">
        <v>0</v>
      </c>
      <c r="BK86" s="97">
        <v>0</v>
      </c>
      <c r="BL86" s="67"/>
      <c r="BM86" s="67"/>
      <c r="BN86" s="67"/>
      <c r="BO86" s="67"/>
      <c r="BP86" s="67"/>
      <c r="BQ86" s="96">
        <v>0</v>
      </c>
      <c r="BR86" s="97">
        <v>0</v>
      </c>
      <c r="BS86" s="67"/>
      <c r="BT86" s="67"/>
      <c r="BU86" s="67"/>
      <c r="BV86" s="67"/>
      <c r="BW86" s="67"/>
      <c r="BX86" s="96">
        <v>0</v>
      </c>
      <c r="BY86" s="97">
        <v>0</v>
      </c>
    </row>
    <row r="87" spans="2:77" ht="15" customHeight="1" outlineLevel="1">
      <c r="B87" s="59" t="s">
        <v>225</v>
      </c>
      <c r="C87" s="60" t="s">
        <v>61</v>
      </c>
      <c r="D87" s="60" t="s">
        <v>62</v>
      </c>
      <c r="E87" s="59" t="s">
        <v>234</v>
      </c>
      <c r="F87" s="59">
        <f>SUMIFS('Detalhe Testes'!$F:$F,'Detalhe Testes'!$B:$B,'MacroPlano Equipa'!C87,'Detalhe Testes'!$C:$C,'MacroPlano Equipa'!D87)</f>
        <v>9</v>
      </c>
      <c r="G87" s="83">
        <f t="shared" si="13"/>
        <v>1.125</v>
      </c>
      <c r="H87" s="59" cm="1">
        <f t="array" aca="1" ref="H87" ca="1">SUMPRODUCT((COLUMN(O87:BY87)&gt;=MIN(IF(O87:BY87&lt;&gt;"",COLUMN(O87:BY87))))*($O$16:$BY$16&lt;=TODAY())*(O87:BY87))</f>
        <v>0</v>
      </c>
      <c r="I87" s="83">
        <f t="shared" ca="1" si="11"/>
        <v>0</v>
      </c>
      <c r="J87" s="100"/>
      <c r="K87" s="100"/>
      <c r="L87" s="85"/>
      <c r="M87" s="8">
        <f t="shared" si="12"/>
        <v>0</v>
      </c>
      <c r="O87" s="66"/>
      <c r="P87" s="66"/>
      <c r="Q87" s="66"/>
      <c r="R87" s="66"/>
      <c r="S87" s="70"/>
      <c r="T87" s="96">
        <v>0</v>
      </c>
      <c r="U87" s="97">
        <v>0</v>
      </c>
      <c r="V87" s="72"/>
      <c r="W87" s="66"/>
      <c r="X87" s="66"/>
      <c r="Y87" s="66"/>
      <c r="Z87" s="66"/>
      <c r="AA87" s="96">
        <v>0</v>
      </c>
      <c r="AB87" s="97">
        <v>0</v>
      </c>
      <c r="AC87" s="66"/>
      <c r="AD87" s="66"/>
      <c r="AE87" s="66"/>
      <c r="AF87" s="66"/>
      <c r="AG87" s="66"/>
      <c r="AH87" s="96">
        <v>0</v>
      </c>
      <c r="AI87" s="97">
        <v>0</v>
      </c>
      <c r="AJ87" s="67"/>
      <c r="AK87" s="67"/>
      <c r="AL87" s="67"/>
      <c r="AM87" s="67"/>
      <c r="AN87" s="67"/>
      <c r="AO87" s="96">
        <v>0</v>
      </c>
      <c r="AP87" s="97">
        <v>0</v>
      </c>
      <c r="AQ87" s="74"/>
      <c r="AR87" s="79"/>
      <c r="AS87" s="76"/>
      <c r="AT87" s="67"/>
      <c r="AU87" s="79"/>
      <c r="AV87" s="96">
        <v>0</v>
      </c>
      <c r="AW87" s="97">
        <v>0</v>
      </c>
      <c r="AX87" s="57"/>
      <c r="AY87" s="57"/>
      <c r="AZ87" s="93">
        <v>1</v>
      </c>
      <c r="BA87" s="78"/>
      <c r="BB87" s="93">
        <v>8</v>
      </c>
      <c r="BC87" s="96">
        <v>0</v>
      </c>
      <c r="BD87" s="97">
        <v>0</v>
      </c>
      <c r="BE87" s="57"/>
      <c r="BF87" s="57"/>
      <c r="BG87" s="57"/>
      <c r="BH87" s="57"/>
      <c r="BI87" s="57"/>
      <c r="BJ87" s="96">
        <v>0</v>
      </c>
      <c r="BK87" s="97">
        <v>0</v>
      </c>
      <c r="BL87" s="67"/>
      <c r="BM87" s="67"/>
      <c r="BN87" s="67"/>
      <c r="BO87" s="67"/>
      <c r="BP87" s="67"/>
      <c r="BQ87" s="96">
        <v>0</v>
      </c>
      <c r="BR87" s="97">
        <v>0</v>
      </c>
      <c r="BS87" s="67"/>
      <c r="BT87" s="67"/>
      <c r="BU87" s="67"/>
      <c r="BV87" s="67"/>
      <c r="BW87" s="67"/>
      <c r="BX87" s="96">
        <v>0</v>
      </c>
      <c r="BY87" s="97">
        <v>0</v>
      </c>
    </row>
    <row r="88" spans="2:77" ht="15" customHeight="1" outlineLevel="1">
      <c r="B88" s="59" t="s">
        <v>226</v>
      </c>
      <c r="C88" s="60" t="s">
        <v>63</v>
      </c>
      <c r="D88" s="60" t="s">
        <v>65</v>
      </c>
      <c r="E88" s="59" t="s">
        <v>234</v>
      </c>
      <c r="F88" s="59">
        <f>SUMIFS('Detalhe Testes'!$F:$F,'Detalhe Testes'!$B:$B,'MacroPlano Equipa'!C88,'Detalhe Testes'!$C:$C,'MacroPlano Equipa'!D88)</f>
        <v>13</v>
      </c>
      <c r="G88" s="83">
        <f t="shared" si="13"/>
        <v>1.625</v>
      </c>
      <c r="H88" s="59" cm="1">
        <f t="array" aca="1" ref="H88" ca="1">SUMPRODUCT((COLUMN(O88:BY88)&gt;=MIN(IF(O88:BY88&lt;&gt;"",COLUMN(O88:BY88))))*($O$16:$BY$16&lt;=TODAY())*(O88:BY88))</f>
        <v>0</v>
      </c>
      <c r="I88" s="83">
        <f t="shared" ca="1" si="11"/>
        <v>0</v>
      </c>
      <c r="J88" s="100"/>
      <c r="K88" s="100"/>
      <c r="L88" s="85"/>
      <c r="M88" s="8">
        <f t="shared" si="12"/>
        <v>0</v>
      </c>
      <c r="O88" s="66"/>
      <c r="P88" s="66"/>
      <c r="Q88" s="66"/>
      <c r="R88" s="66"/>
      <c r="S88" s="70"/>
      <c r="T88" s="96">
        <v>0</v>
      </c>
      <c r="U88" s="97">
        <v>0</v>
      </c>
      <c r="V88" s="72"/>
      <c r="W88" s="66"/>
      <c r="X88" s="66"/>
      <c r="Y88" s="66"/>
      <c r="Z88" s="66"/>
      <c r="AA88" s="96">
        <v>0</v>
      </c>
      <c r="AB88" s="97">
        <v>0</v>
      </c>
      <c r="AC88" s="66"/>
      <c r="AD88" s="66"/>
      <c r="AE88" s="66"/>
      <c r="AF88" s="66"/>
      <c r="AG88" s="66"/>
      <c r="AH88" s="96">
        <v>0</v>
      </c>
      <c r="AI88" s="97">
        <v>0</v>
      </c>
      <c r="AJ88" s="67"/>
      <c r="AK88" s="67"/>
      <c r="AL88" s="67"/>
      <c r="AM88" s="67"/>
      <c r="AN88" s="67"/>
      <c r="AO88" s="96">
        <v>0</v>
      </c>
      <c r="AP88" s="97">
        <v>0</v>
      </c>
      <c r="AQ88" s="74"/>
      <c r="AR88" s="79"/>
      <c r="AS88" s="76"/>
      <c r="AT88" s="67"/>
      <c r="AU88" s="79"/>
      <c r="AV88" s="96">
        <v>0</v>
      </c>
      <c r="AW88" s="97">
        <v>0</v>
      </c>
      <c r="AX88" s="57"/>
      <c r="AY88" s="57"/>
      <c r="AZ88" s="57"/>
      <c r="BA88" s="78"/>
      <c r="BB88" s="57"/>
      <c r="BC88" s="96">
        <v>0</v>
      </c>
      <c r="BD88" s="97">
        <v>0</v>
      </c>
      <c r="BE88" s="93">
        <v>8</v>
      </c>
      <c r="BF88" s="93">
        <v>5</v>
      </c>
      <c r="BG88" s="57"/>
      <c r="BH88" s="57"/>
      <c r="BI88" s="57"/>
      <c r="BJ88" s="96">
        <v>0</v>
      </c>
      <c r="BK88" s="97">
        <v>0</v>
      </c>
      <c r="BL88" s="67"/>
      <c r="BM88" s="67"/>
      <c r="BN88" s="67"/>
      <c r="BO88" s="67"/>
      <c r="BP88" s="67"/>
      <c r="BQ88" s="96">
        <v>0</v>
      </c>
      <c r="BR88" s="97">
        <v>0</v>
      </c>
      <c r="BS88" s="67"/>
      <c r="BT88" s="67"/>
      <c r="BU88" s="67"/>
      <c r="BV88" s="67"/>
      <c r="BW88" s="67"/>
      <c r="BX88" s="96">
        <v>0</v>
      </c>
      <c r="BY88" s="97">
        <v>0</v>
      </c>
    </row>
    <row r="89" spans="2:77" s="8" customFormat="1" ht="15" customHeight="1">
      <c r="B89" s="56" t="s">
        <v>227</v>
      </c>
      <c r="C89" s="189" t="s">
        <v>228</v>
      </c>
      <c r="D89" s="189"/>
      <c r="E89" s="54"/>
      <c r="F89" s="54"/>
      <c r="G89" s="54"/>
      <c r="H89" s="54"/>
      <c r="I89" s="98"/>
      <c r="J89" s="98"/>
      <c r="K89" s="98"/>
      <c r="L89" s="54"/>
      <c r="O89" s="55"/>
      <c r="P89" s="55"/>
      <c r="Q89" s="55"/>
      <c r="R89" s="55"/>
      <c r="S89" s="55"/>
      <c r="T89" s="96">
        <v>0</v>
      </c>
      <c r="U89" s="97">
        <v>0</v>
      </c>
      <c r="V89" s="55"/>
      <c r="W89" s="55"/>
      <c r="X89" s="55"/>
      <c r="Y89" s="55"/>
      <c r="Z89" s="55"/>
      <c r="AA89" s="96">
        <v>0</v>
      </c>
      <c r="AB89" s="97">
        <v>0</v>
      </c>
      <c r="AC89" s="55"/>
      <c r="AD89" s="55"/>
      <c r="AE89" s="55"/>
      <c r="AF89" s="55"/>
      <c r="AG89" s="55"/>
      <c r="AH89" s="96">
        <v>0</v>
      </c>
      <c r="AI89" s="97">
        <v>0</v>
      </c>
      <c r="AJ89" s="90" t="s">
        <v>235</v>
      </c>
      <c r="AK89" s="54"/>
      <c r="AL89" s="54"/>
      <c r="AM89" s="54"/>
      <c r="AN89" s="54"/>
      <c r="AO89" s="96">
        <v>0</v>
      </c>
      <c r="AP89" s="97">
        <v>0</v>
      </c>
      <c r="AQ89" s="54"/>
      <c r="AR89" s="78"/>
      <c r="AS89" s="54"/>
      <c r="AT89" s="54"/>
      <c r="AU89" s="78"/>
      <c r="AV89" s="96">
        <v>0</v>
      </c>
      <c r="AW89" s="97">
        <v>0</v>
      </c>
      <c r="AX89" s="54"/>
      <c r="AY89" s="54"/>
      <c r="AZ89" s="54"/>
      <c r="BA89" s="78"/>
      <c r="BB89" s="54"/>
      <c r="BC89" s="96">
        <v>0</v>
      </c>
      <c r="BD89" s="97">
        <v>0</v>
      </c>
      <c r="BE89" s="54"/>
      <c r="BF89" s="54"/>
      <c r="BG89" s="54"/>
      <c r="BH89" s="54"/>
      <c r="BI89" s="54"/>
      <c r="BJ89" s="96">
        <v>0</v>
      </c>
      <c r="BK89" s="97">
        <v>0</v>
      </c>
      <c r="BL89" s="54"/>
      <c r="BM89" s="54"/>
      <c r="BN89" s="54"/>
      <c r="BO89" s="54"/>
      <c r="BP89" s="54"/>
      <c r="BQ89" s="96">
        <v>0</v>
      </c>
      <c r="BR89" s="97">
        <v>0</v>
      </c>
      <c r="BS89" s="54"/>
      <c r="BT89" s="54"/>
      <c r="BU89" s="54"/>
      <c r="BV89" s="54"/>
      <c r="BW89" s="54"/>
      <c r="BX89" s="96">
        <v>0</v>
      </c>
      <c r="BY89" s="97">
        <v>0</v>
      </c>
    </row>
    <row r="90" spans="2:77" ht="15" customHeight="1" outlineLevel="1">
      <c r="B90" s="59" t="s">
        <v>229</v>
      </c>
      <c r="C90" s="60" t="s">
        <v>1</v>
      </c>
      <c r="D90" s="60" t="s">
        <v>34</v>
      </c>
      <c r="E90" s="59" t="s">
        <v>234</v>
      </c>
      <c r="F90" s="59">
        <f>SUMIFS('Detalhe Testes'!$F:$F,'Detalhe Testes'!$B:$B,'MacroPlano Equipa'!C90,'Detalhe Testes'!$C:$C,'MacroPlano Equipa'!D90)</f>
        <v>3</v>
      </c>
      <c r="G90" s="83">
        <f t="shared" si="13"/>
        <v>0.375</v>
      </c>
      <c r="H90" s="59" cm="1">
        <f t="array" aca="1" ref="H90" ca="1">SUMPRODUCT((COLUMN(O90:BY90)&gt;=MIN(IF(O90:BY90&lt;&gt;"",COLUMN(O90:BY90))))*($O$16:$BY$16&lt;=TODAY())*(O90:BY90))</f>
        <v>0</v>
      </c>
      <c r="I90" s="83">
        <f t="shared" ref="I90:I97" ca="1" si="14">H90/8</f>
        <v>0</v>
      </c>
      <c r="J90" s="100"/>
      <c r="K90" s="100"/>
      <c r="L90" s="85"/>
      <c r="M90" s="8">
        <f t="shared" ref="M90:M97" si="15">SUM(O90:BY90)-F90</f>
        <v>0</v>
      </c>
      <c r="O90" s="66"/>
      <c r="P90" s="66"/>
      <c r="Q90" s="66"/>
      <c r="R90" s="66"/>
      <c r="S90" s="70"/>
      <c r="T90" s="96">
        <v>0</v>
      </c>
      <c r="U90" s="97">
        <v>0</v>
      </c>
      <c r="V90" s="72"/>
      <c r="W90" s="66"/>
      <c r="X90" s="66"/>
      <c r="Y90" s="66"/>
      <c r="Z90" s="66"/>
      <c r="AA90" s="96">
        <v>0</v>
      </c>
      <c r="AB90" s="97">
        <v>0</v>
      </c>
      <c r="AC90" s="66"/>
      <c r="AD90" s="66"/>
      <c r="AE90" s="66"/>
      <c r="AF90" s="66"/>
      <c r="AG90" s="66"/>
      <c r="AH90" s="96">
        <v>0</v>
      </c>
      <c r="AI90" s="97">
        <v>0</v>
      </c>
      <c r="AJ90" s="84"/>
      <c r="AK90" s="67"/>
      <c r="AL90" s="67"/>
      <c r="AM90" s="67"/>
      <c r="AN90" s="67"/>
      <c r="AO90" s="96">
        <v>0</v>
      </c>
      <c r="AP90" s="97">
        <v>0</v>
      </c>
      <c r="AQ90" s="74"/>
      <c r="AR90" s="79"/>
      <c r="AS90" s="76"/>
      <c r="AT90" s="67"/>
      <c r="AU90" s="79"/>
      <c r="AV90" s="96">
        <v>0</v>
      </c>
      <c r="AW90" s="97">
        <v>0</v>
      </c>
      <c r="AX90" s="67"/>
      <c r="AY90" s="67"/>
      <c r="AZ90" s="67"/>
      <c r="BA90" s="79"/>
      <c r="BB90" s="57"/>
      <c r="BC90" s="96">
        <v>0</v>
      </c>
      <c r="BD90" s="97">
        <v>0</v>
      </c>
      <c r="BE90" s="57"/>
      <c r="BF90" s="93">
        <v>3</v>
      </c>
      <c r="BG90" s="57"/>
      <c r="BH90" s="57"/>
      <c r="BI90" s="57"/>
      <c r="BJ90" s="96">
        <v>0</v>
      </c>
      <c r="BK90" s="97">
        <v>0</v>
      </c>
      <c r="BL90" s="67"/>
      <c r="BM90" s="67"/>
      <c r="BN90" s="67"/>
      <c r="BO90" s="67"/>
      <c r="BP90" s="67"/>
      <c r="BQ90" s="96">
        <v>0</v>
      </c>
      <c r="BR90" s="97">
        <v>0</v>
      </c>
      <c r="BS90" s="67"/>
      <c r="BT90" s="67"/>
      <c r="BU90" s="67"/>
      <c r="BV90" s="67"/>
      <c r="BW90" s="67"/>
      <c r="BX90" s="96">
        <v>0</v>
      </c>
      <c r="BY90" s="97">
        <v>0</v>
      </c>
    </row>
    <row r="91" spans="2:77" ht="15" customHeight="1" outlineLevel="1">
      <c r="B91" s="59" t="s">
        <v>230</v>
      </c>
      <c r="C91" s="60" t="s">
        <v>1</v>
      </c>
      <c r="D91" s="60" t="s">
        <v>35</v>
      </c>
      <c r="E91" s="59" t="s">
        <v>234</v>
      </c>
      <c r="F91" s="59">
        <f>SUMIFS('Detalhe Testes'!$F:$F,'Detalhe Testes'!$B:$B,'MacroPlano Equipa'!C91,'Detalhe Testes'!$C:$C,'MacroPlano Equipa'!D91)</f>
        <v>3</v>
      </c>
      <c r="G91" s="83">
        <f t="shared" si="13"/>
        <v>0.375</v>
      </c>
      <c r="H91" s="59" cm="1">
        <f t="array" aca="1" ref="H91" ca="1">SUMPRODUCT((COLUMN(O91:BY91)&gt;=MIN(IF(O91:BY91&lt;&gt;"",COLUMN(O91:BY91))))*($O$16:$BY$16&lt;=TODAY())*(O91:BY91))</f>
        <v>0</v>
      </c>
      <c r="I91" s="83">
        <f t="shared" ca="1" si="14"/>
        <v>0</v>
      </c>
      <c r="J91" s="100"/>
      <c r="K91" s="100"/>
      <c r="L91" s="85"/>
      <c r="M91" s="8">
        <f t="shared" si="15"/>
        <v>0</v>
      </c>
      <c r="O91" s="66"/>
      <c r="P91" s="66"/>
      <c r="Q91" s="66"/>
      <c r="R91" s="66"/>
      <c r="S91" s="70"/>
      <c r="T91" s="96">
        <v>0</v>
      </c>
      <c r="U91" s="97">
        <v>0</v>
      </c>
      <c r="V91" s="72"/>
      <c r="W91" s="66"/>
      <c r="X91" s="66"/>
      <c r="Y91" s="66"/>
      <c r="Z91" s="66"/>
      <c r="AA91" s="96">
        <v>0</v>
      </c>
      <c r="AB91" s="97">
        <v>0</v>
      </c>
      <c r="AC91" s="66"/>
      <c r="AD91" s="66"/>
      <c r="AE91" s="66"/>
      <c r="AF91" s="66"/>
      <c r="AG91" s="66"/>
      <c r="AH91" s="96">
        <v>0</v>
      </c>
      <c r="AI91" s="97">
        <v>0</v>
      </c>
      <c r="AJ91" s="67"/>
      <c r="AK91" s="67"/>
      <c r="AL91" s="67"/>
      <c r="AM91" s="67"/>
      <c r="AN91" s="67"/>
      <c r="AO91" s="96">
        <v>0</v>
      </c>
      <c r="AP91" s="97">
        <v>0</v>
      </c>
      <c r="AQ91" s="74"/>
      <c r="AR91" s="79"/>
      <c r="AS91" s="76"/>
      <c r="AT91" s="67"/>
      <c r="AU91" s="79"/>
      <c r="AV91" s="96">
        <v>0</v>
      </c>
      <c r="AW91" s="97">
        <v>0</v>
      </c>
      <c r="AX91" s="67"/>
      <c r="AY91" s="67"/>
      <c r="AZ91" s="67"/>
      <c r="BA91" s="79"/>
      <c r="BB91" s="57"/>
      <c r="BC91" s="96">
        <v>0</v>
      </c>
      <c r="BD91" s="97">
        <v>0</v>
      </c>
      <c r="BE91" s="57"/>
      <c r="BF91" s="57"/>
      <c r="BG91" s="93">
        <v>3</v>
      </c>
      <c r="BH91" s="57"/>
      <c r="BI91" s="57"/>
      <c r="BJ91" s="96">
        <v>0</v>
      </c>
      <c r="BK91" s="97">
        <v>0</v>
      </c>
      <c r="BL91" s="67"/>
      <c r="BM91" s="67"/>
      <c r="BN91" s="67"/>
      <c r="BO91" s="67"/>
      <c r="BP91" s="67"/>
      <c r="BQ91" s="96">
        <v>0</v>
      </c>
      <c r="BR91" s="97">
        <v>0</v>
      </c>
      <c r="BS91" s="67"/>
      <c r="BT91" s="67"/>
      <c r="BU91" s="67"/>
      <c r="BV91" s="67"/>
      <c r="BW91" s="67"/>
      <c r="BX91" s="96">
        <v>0</v>
      </c>
      <c r="BY91" s="97">
        <v>0</v>
      </c>
    </row>
    <row r="92" spans="2:77" ht="15" customHeight="1" outlineLevel="1">
      <c r="B92" s="59" t="s">
        <v>231</v>
      </c>
      <c r="C92" s="60" t="s">
        <v>1</v>
      </c>
      <c r="D92" s="60" t="s">
        <v>44</v>
      </c>
      <c r="E92" s="59" t="s">
        <v>234</v>
      </c>
      <c r="F92" s="59">
        <f>SUMIFS('Detalhe Testes'!$F:$F,'Detalhe Testes'!$B:$B,'MacroPlano Equipa'!C92,'Detalhe Testes'!$C:$C,'MacroPlano Equipa'!D92)</f>
        <v>3</v>
      </c>
      <c r="G92" s="83">
        <f t="shared" si="13"/>
        <v>0.375</v>
      </c>
      <c r="H92" s="59" cm="1">
        <f t="array" aca="1" ref="H92" ca="1">SUMPRODUCT((COLUMN(O92:BY92)&gt;=MIN(IF(O92:BY92&lt;&gt;"",COLUMN(O92:BY92))))*($O$16:$BY$16&lt;=TODAY())*(O92:BY92))</f>
        <v>0</v>
      </c>
      <c r="I92" s="83">
        <f t="shared" ca="1" si="14"/>
        <v>0</v>
      </c>
      <c r="J92" s="100"/>
      <c r="K92" s="100"/>
      <c r="L92" s="85"/>
      <c r="M92" s="8">
        <f t="shared" si="15"/>
        <v>0</v>
      </c>
      <c r="O92" s="66"/>
      <c r="P92" s="66"/>
      <c r="Q92" s="66"/>
      <c r="R92" s="66"/>
      <c r="S92" s="70"/>
      <c r="T92" s="96">
        <v>0</v>
      </c>
      <c r="U92" s="97">
        <v>0</v>
      </c>
      <c r="V92" s="72"/>
      <c r="W92" s="66"/>
      <c r="X92" s="66"/>
      <c r="Y92" s="66"/>
      <c r="Z92" s="66"/>
      <c r="AA92" s="96">
        <v>0</v>
      </c>
      <c r="AB92" s="97">
        <v>0</v>
      </c>
      <c r="AC92" s="66"/>
      <c r="AD92" s="66"/>
      <c r="AE92" s="66"/>
      <c r="AF92" s="66"/>
      <c r="AG92" s="66"/>
      <c r="AH92" s="96">
        <v>0</v>
      </c>
      <c r="AI92" s="97">
        <v>0</v>
      </c>
      <c r="AJ92" s="67"/>
      <c r="AK92" s="67"/>
      <c r="AL92" s="67"/>
      <c r="AM92" s="67"/>
      <c r="AN92" s="67"/>
      <c r="AO92" s="96">
        <v>0</v>
      </c>
      <c r="AP92" s="97">
        <v>0</v>
      </c>
      <c r="AQ92" s="74"/>
      <c r="AR92" s="79"/>
      <c r="AS92" s="76"/>
      <c r="AT92" s="67"/>
      <c r="AU92" s="79"/>
      <c r="AV92" s="96">
        <v>0</v>
      </c>
      <c r="AW92" s="97">
        <v>0</v>
      </c>
      <c r="AX92" s="67"/>
      <c r="AY92" s="67"/>
      <c r="AZ92" s="67"/>
      <c r="BA92" s="79"/>
      <c r="BB92" s="57"/>
      <c r="BC92" s="96">
        <v>0</v>
      </c>
      <c r="BD92" s="97">
        <v>0</v>
      </c>
      <c r="BE92" s="57"/>
      <c r="BF92" s="57"/>
      <c r="BG92" s="93">
        <v>3</v>
      </c>
      <c r="BH92" s="57"/>
      <c r="BI92" s="57"/>
      <c r="BJ92" s="96">
        <v>0</v>
      </c>
      <c r="BK92" s="97">
        <v>0</v>
      </c>
      <c r="BL92" s="67"/>
      <c r="BM92" s="67"/>
      <c r="BN92" s="67"/>
      <c r="BO92" s="67"/>
      <c r="BP92" s="67"/>
      <c r="BQ92" s="96">
        <v>0</v>
      </c>
      <c r="BR92" s="97">
        <v>0</v>
      </c>
      <c r="BS92" s="67"/>
      <c r="BT92" s="67"/>
      <c r="BU92" s="67"/>
      <c r="BV92" s="67"/>
      <c r="BW92" s="67"/>
      <c r="BX92" s="96">
        <v>0</v>
      </c>
      <c r="BY92" s="97">
        <v>0</v>
      </c>
    </row>
    <row r="93" spans="2:77" ht="15" customHeight="1" outlineLevel="1">
      <c r="B93" s="59" t="s">
        <v>232</v>
      </c>
      <c r="C93" s="60" t="s">
        <v>1</v>
      </c>
      <c r="D93" s="60" t="s">
        <v>45</v>
      </c>
      <c r="E93" s="59" t="s">
        <v>234</v>
      </c>
      <c r="F93" s="59">
        <f>SUMIFS('Detalhe Testes'!$F:$F,'Detalhe Testes'!$B:$B,'MacroPlano Equipa'!C93,'Detalhe Testes'!$C:$C,'MacroPlano Equipa'!D93)</f>
        <v>5</v>
      </c>
      <c r="G93" s="83">
        <f t="shared" si="13"/>
        <v>0.625</v>
      </c>
      <c r="H93" s="59" cm="1">
        <f t="array" aca="1" ref="H93" ca="1">SUMPRODUCT((COLUMN(O93:BY93)&gt;=MIN(IF(O93:BY93&lt;&gt;"",COLUMN(O93:BY93))))*($O$16:$BY$16&lt;=TODAY())*(O93:BY93))</f>
        <v>0</v>
      </c>
      <c r="I93" s="83">
        <f t="shared" ca="1" si="14"/>
        <v>0</v>
      </c>
      <c r="J93" s="100"/>
      <c r="K93" s="100"/>
      <c r="L93" s="85"/>
      <c r="M93" s="8">
        <f t="shared" si="15"/>
        <v>0</v>
      </c>
      <c r="O93" s="66"/>
      <c r="P93" s="66"/>
      <c r="Q93" s="66"/>
      <c r="R93" s="66"/>
      <c r="S93" s="70"/>
      <c r="T93" s="96">
        <v>0</v>
      </c>
      <c r="U93" s="97">
        <v>0</v>
      </c>
      <c r="V93" s="72"/>
      <c r="W93" s="66"/>
      <c r="X93" s="66"/>
      <c r="Y93" s="66"/>
      <c r="Z93" s="66"/>
      <c r="AA93" s="96">
        <v>0</v>
      </c>
      <c r="AB93" s="97">
        <v>0</v>
      </c>
      <c r="AC93" s="66"/>
      <c r="AD93" s="66"/>
      <c r="AE93" s="66"/>
      <c r="AF93" s="66"/>
      <c r="AG93" s="66"/>
      <c r="AH93" s="96">
        <v>0</v>
      </c>
      <c r="AI93" s="97">
        <v>0</v>
      </c>
      <c r="AJ93" s="67"/>
      <c r="AK93" s="67"/>
      <c r="AL93" s="67"/>
      <c r="AM93" s="67"/>
      <c r="AN93" s="67"/>
      <c r="AO93" s="96">
        <v>0</v>
      </c>
      <c r="AP93" s="97">
        <v>0</v>
      </c>
      <c r="AQ93" s="74"/>
      <c r="AR93" s="79"/>
      <c r="AS93" s="76"/>
      <c r="AT93" s="67"/>
      <c r="AU93" s="79"/>
      <c r="AV93" s="96">
        <v>0</v>
      </c>
      <c r="AW93" s="97">
        <v>0</v>
      </c>
      <c r="AX93" s="67"/>
      <c r="AY93" s="67"/>
      <c r="AZ93" s="67"/>
      <c r="BA93" s="79"/>
      <c r="BB93" s="57"/>
      <c r="BC93" s="96">
        <v>0</v>
      </c>
      <c r="BD93" s="97">
        <v>0</v>
      </c>
      <c r="BE93" s="57"/>
      <c r="BF93" s="57"/>
      <c r="BG93" s="93">
        <v>2</v>
      </c>
      <c r="BH93" s="93">
        <v>3</v>
      </c>
      <c r="BI93" s="57"/>
      <c r="BJ93" s="96">
        <v>0</v>
      </c>
      <c r="BK93" s="97">
        <v>0</v>
      </c>
      <c r="BL93" s="67"/>
      <c r="BM93" s="67"/>
      <c r="BN93" s="67"/>
      <c r="BO93" s="67"/>
      <c r="BP93" s="67"/>
      <c r="BQ93" s="96">
        <v>0</v>
      </c>
      <c r="BR93" s="97">
        <v>0</v>
      </c>
      <c r="BS93" s="67"/>
      <c r="BT93" s="67"/>
      <c r="BU93" s="67"/>
      <c r="BV93" s="67"/>
      <c r="BW93" s="67"/>
      <c r="BX93" s="96">
        <v>0</v>
      </c>
      <c r="BY93" s="97">
        <v>0</v>
      </c>
    </row>
    <row r="94" spans="2:77" ht="15" customHeight="1" outlineLevel="1">
      <c r="B94" s="59" t="s">
        <v>189</v>
      </c>
      <c r="C94" s="60" t="s">
        <v>1</v>
      </c>
      <c r="D94" s="60" t="s">
        <v>46</v>
      </c>
      <c r="E94" s="59" t="s">
        <v>234</v>
      </c>
      <c r="F94" s="59">
        <f>SUMIFS('Detalhe Testes'!$F:$F,'Detalhe Testes'!$B:$B,'MacroPlano Equipa'!C94,'Detalhe Testes'!$C:$C,'MacroPlano Equipa'!D94)</f>
        <v>3</v>
      </c>
      <c r="G94" s="83">
        <f t="shared" si="13"/>
        <v>0.375</v>
      </c>
      <c r="H94" s="59" cm="1">
        <f t="array" aca="1" ref="H94" ca="1">SUMPRODUCT((COLUMN(O94:BY94)&gt;=MIN(IF(O94:BY94&lt;&gt;"",COLUMN(O94:BY94))))*($O$16:$BY$16&lt;=TODAY())*(O94:BY94))</f>
        <v>0</v>
      </c>
      <c r="I94" s="83">
        <f t="shared" ca="1" si="14"/>
        <v>0</v>
      </c>
      <c r="J94" s="100"/>
      <c r="K94" s="100"/>
      <c r="L94" s="85"/>
      <c r="M94" s="8">
        <f t="shared" si="15"/>
        <v>0</v>
      </c>
      <c r="O94" s="66"/>
      <c r="P94" s="66"/>
      <c r="Q94" s="66"/>
      <c r="R94" s="66"/>
      <c r="S94" s="70"/>
      <c r="T94" s="96">
        <v>0</v>
      </c>
      <c r="U94" s="97">
        <v>0</v>
      </c>
      <c r="V94" s="72"/>
      <c r="W94" s="66"/>
      <c r="X94" s="66"/>
      <c r="Y94" s="66"/>
      <c r="Z94" s="66"/>
      <c r="AA94" s="96">
        <v>0</v>
      </c>
      <c r="AB94" s="97">
        <v>0</v>
      </c>
      <c r="AC94" s="66"/>
      <c r="AD94" s="66"/>
      <c r="AE94" s="66"/>
      <c r="AF94" s="66"/>
      <c r="AG94" s="66"/>
      <c r="AH94" s="96">
        <v>0</v>
      </c>
      <c r="AI94" s="97">
        <v>0</v>
      </c>
      <c r="AJ94" s="67"/>
      <c r="AK94" s="67"/>
      <c r="AL94" s="67"/>
      <c r="AM94" s="67"/>
      <c r="AN94" s="67"/>
      <c r="AO94" s="96">
        <v>0</v>
      </c>
      <c r="AP94" s="97">
        <v>0</v>
      </c>
      <c r="AQ94" s="74"/>
      <c r="AR94" s="79"/>
      <c r="AS94" s="76"/>
      <c r="AT94" s="67"/>
      <c r="AU94" s="79"/>
      <c r="AV94" s="96">
        <v>0</v>
      </c>
      <c r="AW94" s="97">
        <v>0</v>
      </c>
      <c r="AX94" s="67"/>
      <c r="AY94" s="67"/>
      <c r="AZ94" s="67"/>
      <c r="BA94" s="79"/>
      <c r="BB94" s="57"/>
      <c r="BC94" s="96">
        <v>0</v>
      </c>
      <c r="BD94" s="97">
        <v>0</v>
      </c>
      <c r="BE94" s="57"/>
      <c r="BF94" s="57"/>
      <c r="BG94" s="57"/>
      <c r="BH94" s="93">
        <v>3</v>
      </c>
      <c r="BI94" s="57"/>
      <c r="BJ94" s="96">
        <v>0</v>
      </c>
      <c r="BK94" s="97">
        <v>0</v>
      </c>
      <c r="BL94" s="67"/>
      <c r="BM94" s="67"/>
      <c r="BN94" s="67"/>
      <c r="BO94" s="67"/>
      <c r="BP94" s="67"/>
      <c r="BQ94" s="96">
        <v>0</v>
      </c>
      <c r="BR94" s="97">
        <v>0</v>
      </c>
      <c r="BS94" s="67"/>
      <c r="BT94" s="67"/>
      <c r="BU94" s="67"/>
      <c r="BV94" s="67"/>
      <c r="BW94" s="67"/>
      <c r="BX94" s="96">
        <v>0</v>
      </c>
      <c r="BY94" s="97">
        <v>0</v>
      </c>
    </row>
    <row r="95" spans="2:77" ht="15" customHeight="1" outlineLevel="1">
      <c r="B95" s="59" t="s">
        <v>191</v>
      </c>
      <c r="C95" s="60" t="s">
        <v>1</v>
      </c>
      <c r="D95" s="60" t="s">
        <v>48</v>
      </c>
      <c r="E95" s="59" t="s">
        <v>234</v>
      </c>
      <c r="F95" s="59">
        <f>SUMIFS('Detalhe Testes'!$F:$F,'Detalhe Testes'!$B:$B,'MacroPlano Equipa'!C95,'Detalhe Testes'!$C:$C,'MacroPlano Equipa'!D95)</f>
        <v>3</v>
      </c>
      <c r="G95" s="83">
        <f t="shared" si="13"/>
        <v>0.375</v>
      </c>
      <c r="H95" s="59" cm="1">
        <f t="array" aca="1" ref="H95" ca="1">SUMPRODUCT((COLUMN(O95:BY95)&gt;=MIN(IF(O95:BY95&lt;&gt;"",COLUMN(O95:BY95))))*($O$16:$BY$16&lt;=TODAY())*(O95:BY95))</f>
        <v>0</v>
      </c>
      <c r="I95" s="83">
        <f t="shared" ca="1" si="14"/>
        <v>0</v>
      </c>
      <c r="J95" s="100"/>
      <c r="K95" s="100"/>
      <c r="L95" s="85"/>
      <c r="M95" s="8">
        <f t="shared" si="15"/>
        <v>0</v>
      </c>
      <c r="O95" s="66"/>
      <c r="P95" s="66"/>
      <c r="Q95" s="66"/>
      <c r="R95" s="66"/>
      <c r="S95" s="70"/>
      <c r="T95" s="96">
        <v>0</v>
      </c>
      <c r="U95" s="97">
        <v>0</v>
      </c>
      <c r="V95" s="72"/>
      <c r="W95" s="66"/>
      <c r="X95" s="66"/>
      <c r="Y95" s="66"/>
      <c r="Z95" s="66"/>
      <c r="AA95" s="96">
        <v>0</v>
      </c>
      <c r="AB95" s="97">
        <v>0</v>
      </c>
      <c r="AC95" s="66"/>
      <c r="AD95" s="66"/>
      <c r="AE95" s="66"/>
      <c r="AF95" s="66"/>
      <c r="AG95" s="66"/>
      <c r="AH95" s="96">
        <v>0</v>
      </c>
      <c r="AI95" s="97">
        <v>0</v>
      </c>
      <c r="AJ95" s="67"/>
      <c r="AK95" s="67"/>
      <c r="AL95" s="67"/>
      <c r="AM95" s="67"/>
      <c r="AN95" s="67"/>
      <c r="AO95" s="96">
        <v>0</v>
      </c>
      <c r="AP95" s="97">
        <v>0</v>
      </c>
      <c r="AQ95" s="74"/>
      <c r="AR95" s="79"/>
      <c r="AS95" s="76"/>
      <c r="AT95" s="67"/>
      <c r="AU95" s="79"/>
      <c r="AV95" s="96">
        <v>0</v>
      </c>
      <c r="AW95" s="97">
        <v>0</v>
      </c>
      <c r="AX95" s="67"/>
      <c r="AY95" s="67"/>
      <c r="AZ95" s="67"/>
      <c r="BA95" s="79"/>
      <c r="BB95" s="57"/>
      <c r="BC95" s="96">
        <v>0</v>
      </c>
      <c r="BD95" s="97">
        <v>0</v>
      </c>
      <c r="BE95" s="57"/>
      <c r="BF95" s="57"/>
      <c r="BG95" s="57"/>
      <c r="BH95" s="93">
        <v>2</v>
      </c>
      <c r="BI95" s="93">
        <v>1</v>
      </c>
      <c r="BJ95" s="96">
        <v>0</v>
      </c>
      <c r="BK95" s="97">
        <v>0</v>
      </c>
      <c r="BL95" s="67"/>
      <c r="BM95" s="67"/>
      <c r="BN95" s="67"/>
      <c r="BO95" s="67"/>
      <c r="BP95" s="67"/>
      <c r="BQ95" s="96">
        <v>0</v>
      </c>
      <c r="BR95" s="97">
        <v>0</v>
      </c>
      <c r="BS95" s="67"/>
      <c r="BT95" s="67"/>
      <c r="BU95" s="67"/>
      <c r="BV95" s="67"/>
      <c r="BW95" s="67"/>
      <c r="BX95" s="96">
        <v>0</v>
      </c>
      <c r="BY95" s="97">
        <v>0</v>
      </c>
    </row>
    <row r="96" spans="2:77" ht="15" customHeight="1" outlineLevel="1">
      <c r="B96" s="59" t="s">
        <v>193</v>
      </c>
      <c r="C96" s="60" t="s">
        <v>1</v>
      </c>
      <c r="D96" s="60" t="s">
        <v>49</v>
      </c>
      <c r="E96" s="59" t="s">
        <v>234</v>
      </c>
      <c r="F96" s="59">
        <f>SUMIFS('Detalhe Testes'!$F:$F,'Detalhe Testes'!$B:$B,'MacroPlano Equipa'!C96,'Detalhe Testes'!$C:$C,'MacroPlano Equipa'!D96)</f>
        <v>3</v>
      </c>
      <c r="G96" s="83">
        <f t="shared" si="13"/>
        <v>0.375</v>
      </c>
      <c r="H96" s="59" cm="1">
        <f t="array" aca="1" ref="H96" ca="1">SUMPRODUCT((COLUMN(O96:BY96)&gt;=MIN(IF(O96:BY96&lt;&gt;"",COLUMN(O96:BY96))))*($O$16:$BY$16&lt;=TODAY())*(O96:BY96))</f>
        <v>0</v>
      </c>
      <c r="I96" s="83">
        <f t="shared" ca="1" si="14"/>
        <v>0</v>
      </c>
      <c r="J96" s="100"/>
      <c r="K96" s="100"/>
      <c r="L96" s="85"/>
      <c r="M96" s="8">
        <f t="shared" si="15"/>
        <v>0</v>
      </c>
      <c r="O96" s="66"/>
      <c r="P96" s="66"/>
      <c r="Q96" s="66"/>
      <c r="R96" s="66"/>
      <c r="S96" s="70"/>
      <c r="T96" s="96">
        <v>0</v>
      </c>
      <c r="U96" s="97">
        <v>0</v>
      </c>
      <c r="V96" s="72"/>
      <c r="W96" s="66"/>
      <c r="X96" s="66"/>
      <c r="Y96" s="66"/>
      <c r="Z96" s="66"/>
      <c r="AA96" s="96">
        <v>0</v>
      </c>
      <c r="AB96" s="97">
        <v>0</v>
      </c>
      <c r="AC96" s="66"/>
      <c r="AD96" s="66"/>
      <c r="AE96" s="66"/>
      <c r="AF96" s="66"/>
      <c r="AG96" s="66"/>
      <c r="AH96" s="96">
        <v>0</v>
      </c>
      <c r="AI96" s="97">
        <v>0</v>
      </c>
      <c r="AJ96" s="67"/>
      <c r="AK96" s="67"/>
      <c r="AL96" s="67"/>
      <c r="AM96" s="67"/>
      <c r="AN96" s="67"/>
      <c r="AO96" s="96">
        <v>0</v>
      </c>
      <c r="AP96" s="97">
        <v>0</v>
      </c>
      <c r="AQ96" s="74"/>
      <c r="AR96" s="79"/>
      <c r="AS96" s="76"/>
      <c r="AT96" s="67"/>
      <c r="AU96" s="79"/>
      <c r="AV96" s="96">
        <v>0</v>
      </c>
      <c r="AW96" s="97">
        <v>0</v>
      </c>
      <c r="AX96" s="67"/>
      <c r="AY96" s="67"/>
      <c r="AZ96" s="67"/>
      <c r="BA96" s="79"/>
      <c r="BB96" s="57"/>
      <c r="BC96" s="96">
        <v>0</v>
      </c>
      <c r="BD96" s="97">
        <v>0</v>
      </c>
      <c r="BE96" s="57"/>
      <c r="BF96" s="57"/>
      <c r="BG96" s="57"/>
      <c r="BH96" s="57"/>
      <c r="BI96" s="93">
        <v>3</v>
      </c>
      <c r="BJ96" s="96">
        <v>0</v>
      </c>
      <c r="BK96" s="97">
        <v>0</v>
      </c>
      <c r="BL96" s="67"/>
      <c r="BM96" s="67"/>
      <c r="BN96" s="67"/>
      <c r="BO96" s="67"/>
      <c r="BP96" s="67"/>
      <c r="BQ96" s="96">
        <v>0</v>
      </c>
      <c r="BR96" s="97">
        <v>0</v>
      </c>
      <c r="BS96" s="67"/>
      <c r="BT96" s="67"/>
      <c r="BU96" s="67"/>
      <c r="BV96" s="67"/>
      <c r="BW96" s="67"/>
      <c r="BX96" s="96">
        <v>0</v>
      </c>
      <c r="BY96" s="97">
        <v>0</v>
      </c>
    </row>
    <row r="97" spans="2:77" ht="15" customHeight="1" outlineLevel="1">
      <c r="B97" s="59" t="s">
        <v>233</v>
      </c>
      <c r="C97" s="60" t="s">
        <v>1</v>
      </c>
      <c r="D97" s="60" t="s">
        <v>52</v>
      </c>
      <c r="E97" s="59" t="s">
        <v>234</v>
      </c>
      <c r="F97" s="59">
        <f>SUMIFS('Detalhe Testes'!$F:$F,'Detalhe Testes'!$B:$B,'MacroPlano Equipa'!C97,'Detalhe Testes'!$C:$C,'MacroPlano Equipa'!D97)</f>
        <v>11</v>
      </c>
      <c r="G97" s="83">
        <f t="shared" si="13"/>
        <v>1.375</v>
      </c>
      <c r="H97" s="59" cm="1">
        <f t="array" aca="1" ref="H97" ca="1">SUMPRODUCT((COLUMN(O97:BY97)&gt;=MIN(IF(O97:BY97&lt;&gt;"",COLUMN(O97:BY97))))*($O$16:$BY$16&lt;=TODAY())*(O97:BY97))</f>
        <v>0</v>
      </c>
      <c r="I97" s="83">
        <f t="shared" ca="1" si="14"/>
        <v>0</v>
      </c>
      <c r="J97" s="100"/>
      <c r="K97" s="100"/>
      <c r="L97" s="85"/>
      <c r="M97" s="8">
        <f t="shared" si="15"/>
        <v>0</v>
      </c>
      <c r="O97" s="66"/>
      <c r="P97" s="66"/>
      <c r="Q97" s="66"/>
      <c r="R97" s="66"/>
      <c r="S97" s="70"/>
      <c r="T97" s="96">
        <v>0</v>
      </c>
      <c r="U97" s="97">
        <v>0</v>
      </c>
      <c r="V97" s="72"/>
      <c r="W97" s="66"/>
      <c r="X97" s="66"/>
      <c r="Y97" s="66"/>
      <c r="Z97" s="66"/>
      <c r="AA97" s="96">
        <v>0</v>
      </c>
      <c r="AB97" s="97">
        <v>0</v>
      </c>
      <c r="AC97" s="66"/>
      <c r="AD97" s="66"/>
      <c r="AE97" s="66"/>
      <c r="AF97" s="66"/>
      <c r="AG97" s="66"/>
      <c r="AH97" s="96">
        <v>0</v>
      </c>
      <c r="AI97" s="97">
        <v>0</v>
      </c>
      <c r="AJ97" s="67"/>
      <c r="AK97" s="67"/>
      <c r="AL97" s="67"/>
      <c r="AM97" s="67"/>
      <c r="AN97" s="67"/>
      <c r="AO97" s="96">
        <v>0</v>
      </c>
      <c r="AP97" s="97">
        <v>0</v>
      </c>
      <c r="AQ97" s="74"/>
      <c r="AR97" s="79"/>
      <c r="AS97" s="76"/>
      <c r="AT97" s="67"/>
      <c r="AU97" s="79"/>
      <c r="AV97" s="96">
        <v>0</v>
      </c>
      <c r="AW97" s="97">
        <v>0</v>
      </c>
      <c r="AX97" s="67"/>
      <c r="AY97" s="67"/>
      <c r="AZ97" s="67"/>
      <c r="BA97" s="79"/>
      <c r="BB97" s="57"/>
      <c r="BC97" s="96">
        <v>0</v>
      </c>
      <c r="BD97" s="97">
        <v>0</v>
      </c>
      <c r="BE97" s="57"/>
      <c r="BF97" s="57"/>
      <c r="BG97" s="57"/>
      <c r="BH97" s="57"/>
      <c r="BI97" s="93">
        <v>4</v>
      </c>
      <c r="BJ97" s="96">
        <v>0</v>
      </c>
      <c r="BK97" s="97">
        <v>0</v>
      </c>
      <c r="BL97" s="93">
        <v>7</v>
      </c>
      <c r="BM97" s="67"/>
      <c r="BN97" s="67"/>
      <c r="BO97" s="67"/>
      <c r="BP97" s="67"/>
      <c r="BQ97" s="96">
        <v>0</v>
      </c>
      <c r="BR97" s="97">
        <v>0</v>
      </c>
      <c r="BS97" s="67"/>
      <c r="BT97" s="67"/>
      <c r="BU97" s="67"/>
      <c r="BV97" s="67"/>
      <c r="BW97" s="67"/>
      <c r="BX97" s="96">
        <v>0</v>
      </c>
      <c r="BY97" s="97">
        <v>0</v>
      </c>
    </row>
    <row r="98" spans="2:77" s="8" customFormat="1" ht="15" customHeight="1">
      <c r="B98" s="56" t="s">
        <v>239</v>
      </c>
      <c r="C98" s="189" t="s">
        <v>240</v>
      </c>
      <c r="D98" s="189"/>
      <c r="E98" s="54"/>
      <c r="F98" s="54"/>
      <c r="G98" s="91"/>
      <c r="H98" s="54"/>
      <c r="I98" s="98"/>
      <c r="J98" s="98"/>
      <c r="K98" s="98"/>
      <c r="L98" s="54"/>
      <c r="O98" s="55"/>
      <c r="P98" s="55"/>
      <c r="Q98" s="55"/>
      <c r="R98" s="55"/>
      <c r="S98" s="55"/>
      <c r="T98" s="96">
        <v>0</v>
      </c>
      <c r="U98" s="97">
        <v>0</v>
      </c>
      <c r="V98" s="55"/>
      <c r="W98" s="55"/>
      <c r="X98" s="55"/>
      <c r="Y98" s="55"/>
      <c r="Z98" s="55"/>
      <c r="AA98" s="96">
        <v>0</v>
      </c>
      <c r="AB98" s="97">
        <v>0</v>
      </c>
      <c r="AC98" s="55"/>
      <c r="AD98" s="55"/>
      <c r="AE98" s="55"/>
      <c r="AF98" s="55"/>
      <c r="AG98" s="55"/>
      <c r="AH98" s="96">
        <v>0</v>
      </c>
      <c r="AI98" s="97">
        <v>0</v>
      </c>
      <c r="AJ98" s="90" t="s">
        <v>235</v>
      </c>
      <c r="AK98" s="54"/>
      <c r="AL98" s="54"/>
      <c r="AM98" s="54"/>
      <c r="AN98" s="54"/>
      <c r="AO98" s="96">
        <v>0</v>
      </c>
      <c r="AP98" s="97">
        <v>0</v>
      </c>
      <c r="AQ98" s="54"/>
      <c r="AR98" s="78"/>
      <c r="AS98" s="54"/>
      <c r="AT98" s="54"/>
      <c r="AU98" s="78"/>
      <c r="AV98" s="96">
        <v>0</v>
      </c>
      <c r="AW98" s="97">
        <v>0</v>
      </c>
      <c r="AX98" s="54"/>
      <c r="AY98" s="54"/>
      <c r="AZ98" s="54"/>
      <c r="BA98" s="78"/>
      <c r="BB98" s="54"/>
      <c r="BC98" s="96">
        <v>0</v>
      </c>
      <c r="BD98" s="97">
        <v>0</v>
      </c>
      <c r="BE98" s="54"/>
      <c r="BF98" s="54"/>
      <c r="BG98" s="54"/>
      <c r="BH98" s="54"/>
      <c r="BI98" s="54"/>
      <c r="BJ98" s="96">
        <v>0</v>
      </c>
      <c r="BK98" s="97">
        <v>0</v>
      </c>
      <c r="BL98" s="54"/>
      <c r="BM98" s="54"/>
      <c r="BN98" s="54"/>
      <c r="BO98" s="54"/>
      <c r="BP98" s="54"/>
      <c r="BQ98" s="96">
        <v>0</v>
      </c>
      <c r="BR98" s="97">
        <v>0</v>
      </c>
      <c r="BS98" s="54"/>
      <c r="BT98" s="54"/>
      <c r="BU98" s="54"/>
      <c r="BV98" s="54"/>
      <c r="BW98" s="54"/>
      <c r="BX98" s="96">
        <v>0</v>
      </c>
      <c r="BY98" s="97">
        <v>0</v>
      </c>
    </row>
    <row r="99" spans="2:77" ht="15" customHeight="1" outlineLevel="1">
      <c r="B99" s="59" t="s">
        <v>241</v>
      </c>
      <c r="C99" s="60" t="s">
        <v>242</v>
      </c>
      <c r="D99" s="60"/>
      <c r="E99" s="59" t="s">
        <v>234</v>
      </c>
      <c r="F99" s="108">
        <v>81.400000000000006</v>
      </c>
      <c r="G99" s="83">
        <v>5.0875000000000004</v>
      </c>
      <c r="H99" s="59" cm="1">
        <f t="array" aca="1" ref="H99" ca="1">SUMPRODUCT((COLUMN(O99:BY99)&gt;=MIN(IF(O99:BY99&lt;&gt;"",COLUMN(O99:BY99))))*($O$16:$BY$16&lt;=TODAY())*(O99:BY99))</f>
        <v>0</v>
      </c>
      <c r="I99" s="83">
        <f ca="1">H99/8</f>
        <v>0</v>
      </c>
      <c r="J99" s="100"/>
      <c r="K99" s="100"/>
      <c r="L99" s="85"/>
      <c r="M99" s="8">
        <f>SUM(O99:BY99)-F99</f>
        <v>0</v>
      </c>
      <c r="O99" s="66"/>
      <c r="P99" s="66"/>
      <c r="Q99" s="66"/>
      <c r="R99" s="66"/>
      <c r="S99" s="70"/>
      <c r="T99" s="96">
        <v>0</v>
      </c>
      <c r="U99" s="97">
        <v>0</v>
      </c>
      <c r="V99" s="72"/>
      <c r="W99" s="66"/>
      <c r="X99" s="66"/>
      <c r="Y99" s="66"/>
      <c r="Z99" s="66"/>
      <c r="AA99" s="96">
        <v>0</v>
      </c>
      <c r="AB99" s="97">
        <v>0</v>
      </c>
      <c r="AC99" s="66"/>
      <c r="AD99" s="66"/>
      <c r="AE99" s="66"/>
      <c r="AF99" s="66"/>
      <c r="AG99" s="66"/>
      <c r="AH99" s="96">
        <v>0</v>
      </c>
      <c r="AI99" s="97">
        <v>0</v>
      </c>
      <c r="AJ99" s="67"/>
      <c r="AK99" s="67"/>
      <c r="AL99" s="67"/>
      <c r="AM99" s="67"/>
      <c r="AN99" s="67"/>
      <c r="AO99" s="96">
        <v>0</v>
      </c>
      <c r="AP99" s="97">
        <v>0</v>
      </c>
      <c r="AQ99" s="74"/>
      <c r="AR99" s="79"/>
      <c r="AS99" s="76"/>
      <c r="AT99" s="67"/>
      <c r="AU99" s="79"/>
      <c r="AV99" s="96">
        <v>0</v>
      </c>
      <c r="AW99" s="97">
        <v>0</v>
      </c>
      <c r="AX99" s="67"/>
      <c r="AY99" s="67"/>
      <c r="AZ99" s="67"/>
      <c r="BA99" s="79"/>
      <c r="BB99" s="67"/>
      <c r="BC99" s="96">
        <v>0</v>
      </c>
      <c r="BD99" s="97">
        <v>0</v>
      </c>
      <c r="BE99" s="67"/>
      <c r="BF99" s="67"/>
      <c r="BG99" s="67"/>
      <c r="BH99" s="67"/>
      <c r="BI99" s="67"/>
      <c r="BJ99" s="96">
        <v>0</v>
      </c>
      <c r="BK99" s="97">
        <v>0</v>
      </c>
      <c r="BL99" s="93">
        <v>9</v>
      </c>
      <c r="BM99" s="93">
        <v>16</v>
      </c>
      <c r="BN99" s="93">
        <v>16</v>
      </c>
      <c r="BO99" s="93">
        <v>16</v>
      </c>
      <c r="BP99" s="93">
        <v>16</v>
      </c>
      <c r="BQ99" s="96">
        <v>0</v>
      </c>
      <c r="BR99" s="97">
        <v>0</v>
      </c>
      <c r="BS99" s="93">
        <v>8.4</v>
      </c>
      <c r="BT99" s="67"/>
      <c r="BU99" s="67"/>
      <c r="BV99" s="67"/>
      <c r="BW99" s="67"/>
      <c r="BX99" s="96">
        <v>0</v>
      </c>
      <c r="BY99" s="97">
        <v>0</v>
      </c>
    </row>
    <row r="100" spans="2:77" s="8" customFormat="1" ht="15" customHeight="1">
      <c r="B100" s="56" t="s">
        <v>243</v>
      </c>
      <c r="C100" s="189" t="s">
        <v>244</v>
      </c>
      <c r="D100" s="189"/>
      <c r="E100" s="54"/>
      <c r="F100" s="54"/>
      <c r="G100" s="91"/>
      <c r="H100" s="54"/>
      <c r="I100" s="98"/>
      <c r="J100" s="98"/>
      <c r="K100" s="98"/>
      <c r="L100" s="54"/>
      <c r="O100" s="55"/>
      <c r="P100" s="55"/>
      <c r="Q100" s="55"/>
      <c r="R100" s="55"/>
      <c r="S100" s="55"/>
      <c r="T100" s="96">
        <v>0</v>
      </c>
      <c r="U100" s="97">
        <v>0</v>
      </c>
      <c r="V100" s="55"/>
      <c r="W100" s="55"/>
      <c r="X100" s="55"/>
      <c r="Y100" s="55"/>
      <c r="Z100" s="55"/>
      <c r="AA100" s="96">
        <v>0</v>
      </c>
      <c r="AB100" s="97">
        <v>0</v>
      </c>
      <c r="AC100" s="55"/>
      <c r="AD100" s="55"/>
      <c r="AE100" s="55"/>
      <c r="AF100" s="55"/>
      <c r="AG100" s="55"/>
      <c r="AH100" s="96">
        <v>0</v>
      </c>
      <c r="AI100" s="97">
        <v>0</v>
      </c>
      <c r="AJ100" s="90" t="s">
        <v>235</v>
      </c>
      <c r="AK100" s="54"/>
      <c r="AL100" s="54"/>
      <c r="AM100" s="54"/>
      <c r="AN100" s="54"/>
      <c r="AO100" s="96">
        <v>0</v>
      </c>
      <c r="AP100" s="97">
        <v>0</v>
      </c>
      <c r="AQ100" s="54"/>
      <c r="AR100" s="78"/>
      <c r="AS100" s="54"/>
      <c r="AT100" s="54"/>
      <c r="AU100" s="78"/>
      <c r="AV100" s="96">
        <v>0</v>
      </c>
      <c r="AW100" s="97">
        <v>0</v>
      </c>
      <c r="AX100" s="54"/>
      <c r="AY100" s="54"/>
      <c r="AZ100" s="54"/>
      <c r="BA100" s="78"/>
      <c r="BB100" s="54"/>
      <c r="BC100" s="96">
        <v>0</v>
      </c>
      <c r="BD100" s="97">
        <v>0</v>
      </c>
      <c r="BE100" s="54"/>
      <c r="BF100" s="54"/>
      <c r="BG100" s="54"/>
      <c r="BH100" s="54"/>
      <c r="BI100" s="54"/>
      <c r="BJ100" s="96">
        <v>0</v>
      </c>
      <c r="BK100" s="97">
        <v>0</v>
      </c>
      <c r="BL100" s="54"/>
      <c r="BM100" s="54"/>
      <c r="BN100" s="54"/>
      <c r="BO100" s="54"/>
      <c r="BP100" s="54"/>
      <c r="BQ100" s="96">
        <v>0</v>
      </c>
      <c r="BR100" s="97">
        <v>0</v>
      </c>
      <c r="BS100" s="54"/>
      <c r="BT100" s="54"/>
      <c r="BU100" s="54"/>
      <c r="BV100" s="54"/>
      <c r="BW100" s="54"/>
      <c r="BX100" s="96">
        <v>0</v>
      </c>
      <c r="BY100" s="97">
        <v>0</v>
      </c>
    </row>
    <row r="101" spans="2:77" ht="15" customHeight="1" outlineLevel="1">
      <c r="B101" s="59" t="s">
        <v>245</v>
      </c>
      <c r="C101" s="60" t="s">
        <v>246</v>
      </c>
      <c r="D101" s="60"/>
      <c r="E101" s="59" t="s">
        <v>234</v>
      </c>
      <c r="F101" s="59">
        <v>80</v>
      </c>
      <c r="G101" s="83">
        <v>10</v>
      </c>
      <c r="H101" s="59" cm="1">
        <f t="array" aca="1" ref="H101" ca="1">SUMPRODUCT((COLUMN(O101:BY101)&gt;=MIN(IF(O101:BY101&lt;&gt;"",COLUMN(O101:BY101))))*($O$16:$BY$16&lt;=TODAY())*(O101:BY101))</f>
        <v>0</v>
      </c>
      <c r="I101" s="83">
        <f ca="1">H101/8</f>
        <v>0</v>
      </c>
      <c r="J101" s="100"/>
      <c r="K101" s="100"/>
      <c r="L101" s="85"/>
      <c r="M101" s="8">
        <f>SUM(O101:BY101)-F101</f>
        <v>-8.4000000000000057</v>
      </c>
      <c r="O101" s="66"/>
      <c r="P101" s="66"/>
      <c r="Q101" s="66"/>
      <c r="R101" s="66"/>
      <c r="S101" s="70"/>
      <c r="T101" s="96">
        <v>0</v>
      </c>
      <c r="U101" s="97">
        <v>0</v>
      </c>
      <c r="V101" s="72"/>
      <c r="W101" s="66"/>
      <c r="X101" s="66"/>
      <c r="Y101" s="66"/>
      <c r="Z101" s="66"/>
      <c r="AA101" s="96">
        <v>0</v>
      </c>
      <c r="AB101" s="97">
        <v>0</v>
      </c>
      <c r="AC101" s="66"/>
      <c r="AD101" s="66"/>
      <c r="AE101" s="66"/>
      <c r="AF101" s="66"/>
      <c r="AG101" s="66"/>
      <c r="AH101" s="96">
        <v>0</v>
      </c>
      <c r="AI101" s="97">
        <v>0</v>
      </c>
      <c r="AJ101" s="67"/>
      <c r="AK101" s="67"/>
      <c r="AL101" s="67"/>
      <c r="AM101" s="67"/>
      <c r="AN101" s="67"/>
      <c r="AO101" s="96">
        <v>0</v>
      </c>
      <c r="AP101" s="97">
        <v>0</v>
      </c>
      <c r="AQ101" s="74"/>
      <c r="AR101" s="79"/>
      <c r="AS101" s="76"/>
      <c r="AT101" s="67"/>
      <c r="AU101" s="79"/>
      <c r="AV101" s="96">
        <v>0</v>
      </c>
      <c r="AW101" s="97">
        <v>0</v>
      </c>
      <c r="AX101" s="67"/>
      <c r="AY101" s="67"/>
      <c r="AZ101" s="67"/>
      <c r="BA101" s="79"/>
      <c r="BB101" s="67"/>
      <c r="BC101" s="96">
        <v>0</v>
      </c>
      <c r="BD101" s="97">
        <v>0</v>
      </c>
      <c r="BE101" s="67"/>
      <c r="BF101" s="67"/>
      <c r="BG101" s="67"/>
      <c r="BH101" s="67"/>
      <c r="BI101" s="67"/>
      <c r="BJ101" s="96">
        <v>0</v>
      </c>
      <c r="BK101" s="97">
        <v>0</v>
      </c>
      <c r="BL101" s="57"/>
      <c r="BM101" s="57"/>
      <c r="BN101" s="57"/>
      <c r="BO101" s="67"/>
      <c r="BP101" s="67"/>
      <c r="BQ101" s="96">
        <v>0</v>
      </c>
      <c r="BR101" s="97">
        <v>0</v>
      </c>
      <c r="BS101" s="93">
        <v>7.6</v>
      </c>
      <c r="BT101" s="93">
        <v>16</v>
      </c>
      <c r="BU101" s="93">
        <v>16</v>
      </c>
      <c r="BV101" s="93">
        <v>16</v>
      </c>
      <c r="BW101" s="93">
        <v>16</v>
      </c>
      <c r="BX101" s="96">
        <v>0</v>
      </c>
      <c r="BY101" s="97">
        <v>0</v>
      </c>
    </row>
  </sheetData>
  <mergeCells count="23"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</mergeCells>
  <phoneticPr fontId="9" type="noConversion"/>
  <conditionalFormatting sqref="B13">
    <cfRule type="cellIs" dxfId="13" priority="1" operator="equal">
      <formula>0</formula>
    </cfRule>
  </conditionalFormatting>
  <conditionalFormatting sqref="O13:BY13">
    <cfRule type="cellIs" dxfId="12" priority="10" operator="notEqual">
      <formula>0</formula>
    </cfRule>
    <cfRule type="cellIs" dxfId="11" priority="11" operator="equal">
      <formula>0</formula>
    </cfRule>
  </conditionalFormatting>
  <conditionalFormatting sqref="T17:U101 AA17:AB101 AH17:AI101 AO17:AP101 AV17:AW101 BC17:BD101 BJ17:BK101 BQ17:BR101 BX17:BY101">
    <cfRule type="cellIs" dxfId="10" priority="2" operator="equal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dimension ref="A1:V81"/>
  <sheetViews>
    <sheetView showGridLines="0" zoomScale="90" zoomScaleNormal="90" workbookViewId="0">
      <selection activeCell="P9" sqref="P1:R9"/>
    </sheetView>
  </sheetViews>
  <sheetFormatPr defaultColWidth="0" defaultRowHeight="15" outlineLevelCol="1"/>
  <cols>
    <col min="1" max="1" width="3.7109375" style="3" customWidth="1"/>
    <col min="2" max="2" width="20.140625" style="3" bestFit="1" customWidth="1"/>
    <col min="3" max="3" width="39.140625" style="3" bestFit="1" customWidth="1"/>
    <col min="4" max="4" width="10.140625" style="3" hidden="1" customWidth="1" outlineLevel="1"/>
    <col min="5" max="5" width="17" style="3" hidden="1" customWidth="1" outlineLevel="1"/>
    <col min="6" max="6" width="12.5703125" style="3" hidden="1" customWidth="1" outlineLevel="1"/>
    <col min="7" max="7" width="16.7109375" style="8" customWidth="1" collapsed="1"/>
    <col min="8" max="10" width="15.7109375" style="3" customWidth="1"/>
    <col min="11" max="11" width="2.7109375" customWidth="1"/>
    <col min="12" max="12" width="13.85546875" style="3" customWidth="1"/>
    <col min="13" max="14" width="24.42578125" style="8" customWidth="1"/>
    <col min="15" max="15" width="2.7109375" style="3" customWidth="1"/>
    <col min="16" max="18" width="20.7109375" style="3" customWidth="1"/>
    <col min="19" max="19" width="2.7109375" style="3" customWidth="1"/>
    <col min="20" max="21" width="22.7109375" style="3" customWidth="1"/>
    <col min="22" max="22" width="3.7109375" style="3" customWidth="1"/>
    <col min="23" max="16384" width="8.85546875" style="3" hidden="1"/>
  </cols>
  <sheetData>
    <row r="1" spans="1:22" ht="16.149999999999999" customHeight="1">
      <c r="K1" s="3"/>
    </row>
    <row r="2" spans="1:22" ht="12.75">
      <c r="A2" s="4"/>
      <c r="B2" s="4"/>
      <c r="C2" s="4"/>
      <c r="D2" s="4"/>
      <c r="E2" s="4"/>
      <c r="F2" s="4"/>
      <c r="G2" s="9"/>
      <c r="H2" s="4"/>
      <c r="I2" s="4"/>
      <c r="J2" s="4"/>
      <c r="K2" s="4"/>
      <c r="L2" s="4"/>
      <c r="M2" s="9"/>
      <c r="N2" s="9"/>
      <c r="O2" s="4"/>
      <c r="P2" s="4"/>
      <c r="Q2" s="4"/>
      <c r="R2" s="4"/>
      <c r="S2" s="4"/>
      <c r="T2" s="4"/>
      <c r="U2" s="4"/>
      <c r="V2" s="4"/>
    </row>
    <row r="3" spans="1:22" ht="12.75">
      <c r="A3" s="5"/>
      <c r="B3" s="5"/>
      <c r="C3" s="5"/>
      <c r="D3" s="5"/>
      <c r="E3" s="5"/>
      <c r="F3" s="5"/>
      <c r="G3" s="9"/>
      <c r="H3" s="6"/>
      <c r="I3" s="6"/>
      <c r="J3" s="7"/>
      <c r="K3" s="7"/>
      <c r="L3" s="7"/>
      <c r="M3" s="29"/>
      <c r="N3" s="29"/>
      <c r="O3" s="7"/>
      <c r="P3" s="7"/>
      <c r="Q3" s="7"/>
      <c r="R3" s="7"/>
      <c r="S3" s="7"/>
      <c r="T3" s="7"/>
      <c r="U3" s="7"/>
      <c r="V3" s="7"/>
    </row>
    <row r="4" spans="1:22" ht="12.75">
      <c r="A4" s="4"/>
      <c r="B4" s="4"/>
      <c r="C4" s="4"/>
      <c r="D4" s="4"/>
      <c r="E4" s="4"/>
      <c r="F4" s="4"/>
      <c r="G4" s="9"/>
      <c r="H4" s="4"/>
      <c r="I4" s="4"/>
      <c r="J4" s="4"/>
      <c r="K4" s="4"/>
      <c r="L4" s="4"/>
      <c r="M4" s="9"/>
      <c r="N4" s="9"/>
      <c r="O4" s="4"/>
      <c r="P4" s="4"/>
      <c r="Q4" s="4"/>
      <c r="R4" s="4"/>
      <c r="S4" s="4"/>
      <c r="T4" s="4"/>
      <c r="U4" s="4"/>
      <c r="V4" s="4"/>
    </row>
    <row r="5" spans="1:22" ht="3" customHeight="1">
      <c r="A5" s="2"/>
      <c r="B5" s="2"/>
      <c r="C5" s="2"/>
      <c r="D5" s="2"/>
      <c r="E5" s="2"/>
      <c r="F5" s="2"/>
      <c r="G5" s="10"/>
      <c r="H5" s="2"/>
      <c r="I5" s="2"/>
      <c r="J5" s="2"/>
      <c r="K5" s="2"/>
      <c r="L5" s="2"/>
      <c r="M5" s="10"/>
      <c r="N5" s="10"/>
      <c r="O5" s="2"/>
      <c r="P5" s="2"/>
      <c r="Q5" s="2"/>
      <c r="R5" s="2"/>
      <c r="S5" s="2"/>
      <c r="T5" s="2"/>
      <c r="U5" s="2"/>
      <c r="V5" s="2"/>
    </row>
    <row r="7" spans="1:22" ht="15" customHeight="1">
      <c r="H7" s="204" t="s">
        <v>69</v>
      </c>
      <c r="I7" s="204"/>
      <c r="J7" s="204"/>
      <c r="P7" s="205" t="s">
        <v>89</v>
      </c>
      <c r="Q7" s="206"/>
      <c r="R7" s="207"/>
    </row>
    <row r="8" spans="1:22" ht="15" customHeight="1">
      <c r="B8" s="23" t="s">
        <v>80</v>
      </c>
      <c r="C8" s="24" t="s">
        <v>81</v>
      </c>
      <c r="D8" s="24" t="s">
        <v>82</v>
      </c>
      <c r="E8" s="24" t="s">
        <v>86</v>
      </c>
      <c r="F8" s="24" t="s">
        <v>0</v>
      </c>
      <c r="G8" s="24" t="s">
        <v>68</v>
      </c>
      <c r="H8" s="25" t="s">
        <v>67</v>
      </c>
      <c r="I8" s="25" t="s">
        <v>70</v>
      </c>
      <c r="J8" s="26" t="s">
        <v>71</v>
      </c>
      <c r="L8" s="27" t="s">
        <v>72</v>
      </c>
      <c r="M8" s="27" t="s">
        <v>84</v>
      </c>
      <c r="N8" s="27" t="s">
        <v>85</v>
      </c>
      <c r="P8" s="37" t="s">
        <v>88</v>
      </c>
      <c r="Q8" s="25" t="s">
        <v>83</v>
      </c>
      <c r="R8" s="26" t="s">
        <v>87</v>
      </c>
      <c r="T8" s="12" t="s">
        <v>112</v>
      </c>
      <c r="U8" s="31" t="s">
        <v>113</v>
      </c>
    </row>
    <row r="9" spans="1:22">
      <c r="B9" s="13" t="s">
        <v>1</v>
      </c>
      <c r="C9" s="13" t="s">
        <v>90</v>
      </c>
      <c r="D9" s="14" t="s">
        <v>91</v>
      </c>
      <c r="E9" s="14" t="s">
        <v>91</v>
      </c>
      <c r="F9" s="14" t="s">
        <v>91</v>
      </c>
      <c r="G9" s="14" t="s">
        <v>73</v>
      </c>
      <c r="H9" s="15">
        <v>45782</v>
      </c>
      <c r="I9" s="16">
        <v>45782</v>
      </c>
      <c r="J9" s="19">
        <f>+IF(I9="","N/A",I9-H9)</f>
        <v>0</v>
      </c>
      <c r="L9" s="22">
        <f>SUMIFS('Detalhe Testes'!$H:$H,'Detalhe Testes'!$B:$B,'Detalhe Entregas e Status'!B9,'Detalhe Testes'!$C:$C,'Detalhe Entregas e Status'!C9)</f>
        <v>0</v>
      </c>
      <c r="M9" s="19"/>
      <c r="N9" s="14"/>
      <c r="P9" s="15"/>
      <c r="Q9" s="15"/>
      <c r="R9" s="15"/>
      <c r="T9" s="30" t="s">
        <v>118</v>
      </c>
      <c r="U9" s="30"/>
    </row>
    <row r="10" spans="1:22">
      <c r="B10" s="18" t="s">
        <v>1</v>
      </c>
      <c r="C10" s="18" t="s">
        <v>2</v>
      </c>
      <c r="D10" s="19" t="s">
        <v>3</v>
      </c>
      <c r="E10" s="19" t="s">
        <v>4</v>
      </c>
      <c r="F10" s="19" t="s">
        <v>3</v>
      </c>
      <c r="G10" s="19" t="s">
        <v>76</v>
      </c>
      <c r="H10" s="20">
        <v>45796</v>
      </c>
      <c r="I10" s="21"/>
      <c r="J10" s="19" t="str">
        <f>+IF(I10="","N/A",I10-H10)</f>
        <v>N/A</v>
      </c>
      <c r="L10" s="22">
        <f>SUMIFS('Detalhe Testes'!$H:$H,'Detalhe Testes'!$B:$B,'Detalhe Entregas e Status'!B10,'Detalhe Testes'!$C:$C,'Detalhe Entregas e Status'!C10)</f>
        <v>0</v>
      </c>
      <c r="M10" s="19"/>
      <c r="N10" s="14"/>
      <c r="P10" s="20"/>
      <c r="Q10" s="20"/>
      <c r="R10" s="20"/>
      <c r="T10" s="30" t="s">
        <v>292</v>
      </c>
      <c r="U10" s="30"/>
    </row>
    <row r="11" spans="1:22">
      <c r="B11" s="13" t="s">
        <v>1</v>
      </c>
      <c r="C11" s="13" t="s">
        <v>5</v>
      </c>
      <c r="D11" s="14" t="s">
        <v>3</v>
      </c>
      <c r="E11" s="14" t="s">
        <v>4</v>
      </c>
      <c r="F11" s="14" t="s">
        <v>4</v>
      </c>
      <c r="G11" s="14" t="s">
        <v>77</v>
      </c>
      <c r="H11" s="15">
        <v>45782</v>
      </c>
      <c r="I11" s="15">
        <v>45782</v>
      </c>
      <c r="J11" s="14">
        <f t="shared" ref="J11:J77" si="0">+IF(I11="","N/A",I11-H11)</f>
        <v>0</v>
      </c>
      <c r="L11" s="22">
        <f>SUMIFS('Detalhe Testes'!$H:$H,'Detalhe Testes'!$B:$B,'Detalhe Entregas e Status'!B11,'Detalhe Testes'!$C:$C,'Detalhe Entregas e Status'!C11)</f>
        <v>0</v>
      </c>
      <c r="M11" s="14"/>
      <c r="N11" s="14"/>
      <c r="P11" s="15"/>
      <c r="Q11" s="15"/>
      <c r="R11" s="15"/>
      <c r="T11" s="30" t="s">
        <v>125</v>
      </c>
      <c r="U11" s="30"/>
    </row>
    <row r="12" spans="1:22">
      <c r="B12" s="13" t="s">
        <v>1</v>
      </c>
      <c r="C12" s="13" t="s">
        <v>6</v>
      </c>
      <c r="D12" s="14" t="s">
        <v>3</v>
      </c>
      <c r="E12" s="14" t="s">
        <v>4</v>
      </c>
      <c r="F12" s="14" t="s">
        <v>4</v>
      </c>
      <c r="G12" s="14" t="s">
        <v>76</v>
      </c>
      <c r="H12" s="15">
        <v>45789</v>
      </c>
      <c r="I12" s="16">
        <v>45789</v>
      </c>
      <c r="J12" s="14">
        <f t="shared" si="0"/>
        <v>0</v>
      </c>
      <c r="L12" s="22">
        <f>SUMIFS('Detalhe Testes'!$H:$H,'Detalhe Testes'!$B:$B,'Detalhe Entregas e Status'!B12,'Detalhe Testes'!$C:$C,'Detalhe Entregas e Status'!C12)</f>
        <v>0</v>
      </c>
      <c r="M12" s="14"/>
      <c r="N12" s="14"/>
      <c r="P12" s="15"/>
      <c r="Q12" s="15"/>
      <c r="R12" s="15"/>
      <c r="T12" s="30" t="s">
        <v>125</v>
      </c>
      <c r="U12" s="30"/>
    </row>
    <row r="13" spans="1:22">
      <c r="B13" s="13" t="s">
        <v>1</v>
      </c>
      <c r="C13" s="13" t="s">
        <v>7</v>
      </c>
      <c r="D13" s="14" t="s">
        <v>3</v>
      </c>
      <c r="E13" s="14" t="s">
        <v>4</v>
      </c>
      <c r="F13" s="14" t="s">
        <v>4</v>
      </c>
      <c r="G13" s="14" t="s">
        <v>76</v>
      </c>
      <c r="H13" s="15">
        <v>45789</v>
      </c>
      <c r="I13" s="16">
        <v>45789</v>
      </c>
      <c r="J13" s="14">
        <f t="shared" si="0"/>
        <v>0</v>
      </c>
      <c r="L13" s="22">
        <f>SUMIFS('Detalhe Testes'!$H:$H,'Detalhe Testes'!$B:$B,'Detalhe Entregas e Status'!B13,'Detalhe Testes'!$C:$C,'Detalhe Entregas e Status'!C13)</f>
        <v>0</v>
      </c>
      <c r="M13" s="14"/>
      <c r="N13" s="14"/>
      <c r="P13" s="15"/>
      <c r="Q13" s="15"/>
      <c r="R13" s="15"/>
      <c r="T13" s="30" t="s">
        <v>125</v>
      </c>
      <c r="U13" s="30"/>
    </row>
    <row r="14" spans="1:22">
      <c r="B14" s="13" t="s">
        <v>1</v>
      </c>
      <c r="C14" s="13" t="s">
        <v>8</v>
      </c>
      <c r="D14" s="14" t="s">
        <v>3</v>
      </c>
      <c r="E14" s="14" t="s">
        <v>4</v>
      </c>
      <c r="F14" s="14" t="s">
        <v>3</v>
      </c>
      <c r="G14" s="14" t="s">
        <v>73</v>
      </c>
      <c r="H14" s="15">
        <v>45796</v>
      </c>
      <c r="I14" s="17"/>
      <c r="J14" s="14" t="str">
        <f t="shared" si="0"/>
        <v>N/A</v>
      </c>
      <c r="L14" s="22">
        <f>SUMIFS('Detalhe Testes'!$H:$H,'Detalhe Testes'!$B:$B,'Detalhe Entregas e Status'!B14,'Detalhe Testes'!$C:$C,'Detalhe Entregas e Status'!C14)</f>
        <v>0</v>
      </c>
      <c r="M14" s="14"/>
      <c r="N14" s="14"/>
      <c r="P14" s="15"/>
      <c r="Q14" s="15"/>
      <c r="R14" s="15"/>
      <c r="T14" s="30" t="s">
        <v>292</v>
      </c>
      <c r="U14" s="30"/>
    </row>
    <row r="15" spans="1:22">
      <c r="B15" s="13" t="s">
        <v>1</v>
      </c>
      <c r="C15" s="13" t="s">
        <v>9</v>
      </c>
      <c r="D15" s="14" t="s">
        <v>3</v>
      </c>
      <c r="E15" s="14" t="s">
        <v>4</v>
      </c>
      <c r="F15" s="14" t="s">
        <v>3</v>
      </c>
      <c r="G15" s="14" t="s">
        <v>76</v>
      </c>
      <c r="H15" s="15">
        <v>45796</v>
      </c>
      <c r="I15" s="17"/>
      <c r="J15" s="14" t="str">
        <f t="shared" si="0"/>
        <v>N/A</v>
      </c>
      <c r="L15" s="22">
        <f>SUMIFS('Detalhe Testes'!$H:$H,'Detalhe Testes'!$B:$B,'Detalhe Entregas e Status'!B15,'Detalhe Testes'!$C:$C,'Detalhe Entregas e Status'!C15)</f>
        <v>0</v>
      </c>
      <c r="M15" s="14"/>
      <c r="N15" s="14"/>
      <c r="P15" s="15"/>
      <c r="Q15" s="15"/>
      <c r="R15" s="15"/>
      <c r="T15" s="30" t="s">
        <v>292</v>
      </c>
      <c r="U15" s="30"/>
    </row>
    <row r="16" spans="1:22">
      <c r="B16" s="13" t="s">
        <v>1</v>
      </c>
      <c r="C16" s="13" t="s">
        <v>10</v>
      </c>
      <c r="D16" s="14" t="s">
        <v>3</v>
      </c>
      <c r="E16" s="14" t="s">
        <v>4</v>
      </c>
      <c r="F16" s="14" t="s">
        <v>3</v>
      </c>
      <c r="G16" s="14" t="s">
        <v>77</v>
      </c>
      <c r="H16" s="15">
        <v>45803</v>
      </c>
      <c r="I16" s="16"/>
      <c r="J16" s="14" t="str">
        <f t="shared" si="0"/>
        <v>N/A</v>
      </c>
      <c r="L16" s="22">
        <f>SUMIFS('Detalhe Testes'!$H:$H,'Detalhe Testes'!$B:$B,'Detalhe Entregas e Status'!B16,'Detalhe Testes'!$C:$C,'Detalhe Entregas e Status'!C16)</f>
        <v>0</v>
      </c>
      <c r="M16" s="14"/>
      <c r="N16" s="14"/>
      <c r="P16" s="15"/>
      <c r="Q16" s="15"/>
      <c r="R16" s="15"/>
      <c r="T16" s="30" t="s">
        <v>292</v>
      </c>
      <c r="U16" s="30"/>
    </row>
    <row r="17" spans="2:21">
      <c r="B17" s="13" t="s">
        <v>1</v>
      </c>
      <c r="C17" s="13" t="s">
        <v>11</v>
      </c>
      <c r="D17" s="14" t="s">
        <v>3</v>
      </c>
      <c r="E17" s="14" t="s">
        <v>4</v>
      </c>
      <c r="F17" s="14" t="s">
        <v>3</v>
      </c>
      <c r="G17" s="14" t="s">
        <v>73</v>
      </c>
      <c r="H17" s="15">
        <v>45796</v>
      </c>
      <c r="I17" s="17"/>
      <c r="J17" s="14" t="str">
        <f t="shared" si="0"/>
        <v>N/A</v>
      </c>
      <c r="L17" s="22">
        <f>SUMIFS('Detalhe Testes'!$H:$H,'Detalhe Testes'!$B:$B,'Detalhe Entregas e Status'!B17,'Detalhe Testes'!$C:$C,'Detalhe Entregas e Status'!C17)</f>
        <v>0</v>
      </c>
      <c r="M17" s="14"/>
      <c r="N17" s="14"/>
      <c r="P17" s="15"/>
      <c r="Q17" s="15"/>
      <c r="R17" s="15"/>
      <c r="T17" s="30" t="s">
        <v>292</v>
      </c>
      <c r="U17" s="30"/>
    </row>
    <row r="18" spans="2:21">
      <c r="B18" s="13" t="s">
        <v>1</v>
      </c>
      <c r="C18" s="13" t="s">
        <v>12</v>
      </c>
      <c r="D18" s="14" t="s">
        <v>3</v>
      </c>
      <c r="E18" s="14" t="s">
        <v>4</v>
      </c>
      <c r="F18" s="14" t="s">
        <v>3</v>
      </c>
      <c r="G18" s="14" t="s">
        <v>76</v>
      </c>
      <c r="H18" s="15">
        <v>45789</v>
      </c>
      <c r="I18" s="16">
        <v>45789</v>
      </c>
      <c r="J18" s="14">
        <f t="shared" si="0"/>
        <v>0</v>
      </c>
      <c r="L18" s="22">
        <f>SUMIFS('Detalhe Testes'!$H:$H,'Detalhe Testes'!$B:$B,'Detalhe Entregas e Status'!B18,'Detalhe Testes'!$C:$C,'Detalhe Entregas e Status'!C18)</f>
        <v>0</v>
      </c>
      <c r="M18" s="14"/>
      <c r="N18" s="14"/>
      <c r="P18" s="15"/>
      <c r="Q18" s="15"/>
      <c r="R18" s="15"/>
      <c r="T18" s="30" t="s">
        <v>125</v>
      </c>
      <c r="U18" s="30"/>
    </row>
    <row r="19" spans="2:21">
      <c r="B19" s="13" t="s">
        <v>1</v>
      </c>
      <c r="C19" s="13" t="s">
        <v>13</v>
      </c>
      <c r="D19" s="14" t="s">
        <v>3</v>
      </c>
      <c r="E19" s="14" t="s">
        <v>4</v>
      </c>
      <c r="F19" s="14" t="s">
        <v>3</v>
      </c>
      <c r="G19" s="14" t="s">
        <v>76</v>
      </c>
      <c r="H19" s="15">
        <v>45796</v>
      </c>
      <c r="I19" s="17"/>
      <c r="J19" s="14" t="str">
        <f t="shared" si="0"/>
        <v>N/A</v>
      </c>
      <c r="L19" s="22">
        <f>SUMIFS('Detalhe Testes'!$H:$H,'Detalhe Testes'!$B:$B,'Detalhe Entregas e Status'!B19,'Detalhe Testes'!$C:$C,'Detalhe Entregas e Status'!C19)</f>
        <v>0</v>
      </c>
      <c r="M19" s="14"/>
      <c r="N19" s="14"/>
      <c r="P19" s="15"/>
      <c r="Q19" s="15"/>
      <c r="R19" s="15"/>
      <c r="T19" s="30" t="s">
        <v>292</v>
      </c>
      <c r="U19" s="30"/>
    </row>
    <row r="20" spans="2:21">
      <c r="B20" s="13" t="s">
        <v>1</v>
      </c>
      <c r="C20" s="13" t="s">
        <v>14</v>
      </c>
      <c r="D20" s="14" t="s">
        <v>3</v>
      </c>
      <c r="E20" s="14" t="s">
        <v>4</v>
      </c>
      <c r="F20" s="14" t="s">
        <v>3</v>
      </c>
      <c r="G20" s="14" t="s">
        <v>73</v>
      </c>
      <c r="H20" s="15">
        <v>45796</v>
      </c>
      <c r="I20" s="17"/>
      <c r="J20" s="14" t="str">
        <f t="shared" si="0"/>
        <v>N/A</v>
      </c>
      <c r="L20" s="22">
        <f>SUMIFS('Detalhe Testes'!$H:$H,'Detalhe Testes'!$B:$B,'Detalhe Entregas e Status'!B20,'Detalhe Testes'!$C:$C,'Detalhe Entregas e Status'!C20)</f>
        <v>0</v>
      </c>
      <c r="M20" s="14"/>
      <c r="N20" s="14"/>
      <c r="P20" s="15"/>
      <c r="Q20" s="15"/>
      <c r="R20" s="15"/>
      <c r="T20" s="30" t="s">
        <v>292</v>
      </c>
      <c r="U20" s="30"/>
    </row>
    <row r="21" spans="2:21">
      <c r="B21" s="13" t="s">
        <v>1</v>
      </c>
      <c r="C21" s="13" t="s">
        <v>15</v>
      </c>
      <c r="D21" s="14" t="s">
        <v>3</v>
      </c>
      <c r="E21" s="14" t="s">
        <v>4</v>
      </c>
      <c r="F21" s="14" t="s">
        <v>3</v>
      </c>
      <c r="G21" s="14" t="s">
        <v>73</v>
      </c>
      <c r="H21" s="15">
        <v>45796</v>
      </c>
      <c r="I21" s="17"/>
      <c r="J21" s="14" t="str">
        <f t="shared" si="0"/>
        <v>N/A</v>
      </c>
      <c r="L21" s="22">
        <f>SUMIFS('Detalhe Testes'!$H:$H,'Detalhe Testes'!$B:$B,'Detalhe Entregas e Status'!B21,'Detalhe Testes'!$C:$C,'Detalhe Entregas e Status'!C21)</f>
        <v>0</v>
      </c>
      <c r="M21" s="14"/>
      <c r="N21" s="14"/>
      <c r="P21" s="15"/>
      <c r="Q21" s="15"/>
      <c r="R21" s="15"/>
      <c r="T21" s="30" t="s">
        <v>292</v>
      </c>
      <c r="U21" s="30"/>
    </row>
    <row r="22" spans="2:21">
      <c r="B22" s="13" t="s">
        <v>1</v>
      </c>
      <c r="C22" s="13" t="s">
        <v>16</v>
      </c>
      <c r="D22" s="14" t="s">
        <v>3</v>
      </c>
      <c r="E22" s="14" t="s">
        <v>4</v>
      </c>
      <c r="F22" s="14" t="s">
        <v>3</v>
      </c>
      <c r="G22" s="14" t="s">
        <v>73</v>
      </c>
      <c r="H22" s="15">
        <v>45796</v>
      </c>
      <c r="I22" s="17"/>
      <c r="J22" s="14" t="str">
        <f t="shared" si="0"/>
        <v>N/A</v>
      </c>
      <c r="L22" s="22">
        <f>SUMIFS('Detalhe Testes'!$H:$H,'Detalhe Testes'!$B:$B,'Detalhe Entregas e Status'!B22,'Detalhe Testes'!$C:$C,'Detalhe Entregas e Status'!C22)</f>
        <v>0</v>
      </c>
      <c r="M22" s="14"/>
      <c r="N22" s="14"/>
      <c r="P22" s="15"/>
      <c r="Q22" s="15"/>
      <c r="R22" s="15"/>
      <c r="T22" s="30" t="s">
        <v>292</v>
      </c>
      <c r="U22" s="30"/>
    </row>
    <row r="23" spans="2:21">
      <c r="B23" s="13" t="s">
        <v>1</v>
      </c>
      <c r="C23" s="13" t="s">
        <v>17</v>
      </c>
      <c r="D23" s="14" t="s">
        <v>3</v>
      </c>
      <c r="E23" s="14" t="s">
        <v>4</v>
      </c>
      <c r="F23" s="14" t="s">
        <v>3</v>
      </c>
      <c r="G23" s="14" t="s">
        <v>73</v>
      </c>
      <c r="H23" s="15">
        <v>45796</v>
      </c>
      <c r="I23" s="17"/>
      <c r="J23" s="14" t="str">
        <f t="shared" si="0"/>
        <v>N/A</v>
      </c>
      <c r="L23" s="22">
        <f>SUMIFS('Detalhe Testes'!$H:$H,'Detalhe Testes'!$B:$B,'Detalhe Entregas e Status'!B23,'Detalhe Testes'!$C:$C,'Detalhe Entregas e Status'!C23)</f>
        <v>0</v>
      </c>
      <c r="M23" s="14"/>
      <c r="N23" s="14"/>
      <c r="P23" s="15"/>
      <c r="Q23" s="15"/>
      <c r="R23" s="15"/>
      <c r="T23" s="30" t="s">
        <v>292</v>
      </c>
      <c r="U23" s="30"/>
    </row>
    <row r="24" spans="2:21">
      <c r="B24" s="13" t="s">
        <v>1</v>
      </c>
      <c r="C24" s="13" t="s">
        <v>18</v>
      </c>
      <c r="D24" s="14" t="s">
        <v>3</v>
      </c>
      <c r="E24" s="14" t="s">
        <v>4</v>
      </c>
      <c r="F24" s="14" t="s">
        <v>3</v>
      </c>
      <c r="G24" s="14" t="s">
        <v>76</v>
      </c>
      <c r="H24" s="15">
        <v>45789</v>
      </c>
      <c r="I24" s="16">
        <v>45789</v>
      </c>
      <c r="J24" s="14">
        <f t="shared" si="0"/>
        <v>0</v>
      </c>
      <c r="L24" s="22">
        <f>SUMIFS('Detalhe Testes'!$H:$H,'Detalhe Testes'!$B:$B,'Detalhe Entregas e Status'!B24,'Detalhe Testes'!$C:$C,'Detalhe Entregas e Status'!C24)</f>
        <v>0</v>
      </c>
      <c r="M24" s="14"/>
      <c r="N24" s="14"/>
      <c r="P24" s="15"/>
      <c r="Q24" s="15"/>
      <c r="R24" s="15"/>
      <c r="T24" s="30" t="s">
        <v>125</v>
      </c>
      <c r="U24" s="30"/>
    </row>
    <row r="25" spans="2:21">
      <c r="B25" s="13" t="s">
        <v>1</v>
      </c>
      <c r="C25" s="13" t="s">
        <v>19</v>
      </c>
      <c r="D25" s="14" t="s">
        <v>3</v>
      </c>
      <c r="E25" s="14" t="s">
        <v>4</v>
      </c>
      <c r="F25" s="14" t="s">
        <v>3</v>
      </c>
      <c r="G25" s="14" t="s">
        <v>73</v>
      </c>
      <c r="H25" s="15">
        <v>45796</v>
      </c>
      <c r="I25" s="17"/>
      <c r="J25" s="14" t="str">
        <f t="shared" si="0"/>
        <v>N/A</v>
      </c>
      <c r="L25" s="22">
        <f>SUMIFS('Detalhe Testes'!$H:$H,'Detalhe Testes'!$B:$B,'Detalhe Entregas e Status'!B25,'Detalhe Testes'!$C:$C,'Detalhe Entregas e Status'!C25)</f>
        <v>0</v>
      </c>
      <c r="M25" s="14"/>
      <c r="N25" s="14"/>
      <c r="P25" s="15"/>
      <c r="Q25" s="15"/>
      <c r="R25" s="15"/>
      <c r="T25" s="30" t="s">
        <v>292</v>
      </c>
      <c r="U25" s="30"/>
    </row>
    <row r="26" spans="2:21">
      <c r="B26" s="13" t="s">
        <v>1</v>
      </c>
      <c r="C26" s="13" t="s">
        <v>20</v>
      </c>
      <c r="D26" s="14" t="s">
        <v>3</v>
      </c>
      <c r="E26" s="14" t="s">
        <v>4</v>
      </c>
      <c r="F26" s="14" t="s">
        <v>4</v>
      </c>
      <c r="G26" s="14" t="s">
        <v>76</v>
      </c>
      <c r="H26" s="15">
        <v>45789</v>
      </c>
      <c r="I26" s="16">
        <v>45789</v>
      </c>
      <c r="J26" s="14">
        <f t="shared" si="0"/>
        <v>0</v>
      </c>
      <c r="L26" s="22">
        <f>SUMIFS('Detalhe Testes'!$H:$H,'Detalhe Testes'!$B:$B,'Detalhe Entregas e Status'!B26,'Detalhe Testes'!$C:$C,'Detalhe Entregas e Status'!C26)</f>
        <v>0</v>
      </c>
      <c r="M26" s="14"/>
      <c r="N26" s="14"/>
      <c r="P26" s="15"/>
      <c r="Q26" s="15"/>
      <c r="R26" s="15"/>
      <c r="T26" s="30" t="s">
        <v>125</v>
      </c>
      <c r="U26" s="30"/>
    </row>
    <row r="27" spans="2:21">
      <c r="B27" s="13" t="s">
        <v>1</v>
      </c>
      <c r="C27" s="13" t="s">
        <v>21</v>
      </c>
      <c r="D27" s="14" t="s">
        <v>3</v>
      </c>
      <c r="E27" s="14" t="s">
        <v>4</v>
      </c>
      <c r="F27" s="14" t="s">
        <v>3</v>
      </c>
      <c r="G27" s="14" t="s">
        <v>76</v>
      </c>
      <c r="H27" s="15">
        <v>45789</v>
      </c>
      <c r="I27" s="16">
        <v>45789</v>
      </c>
      <c r="J27" s="14">
        <f t="shared" si="0"/>
        <v>0</v>
      </c>
      <c r="L27" s="22">
        <f>SUMIFS('Detalhe Testes'!$H:$H,'Detalhe Testes'!$B:$B,'Detalhe Entregas e Status'!B27,'Detalhe Testes'!$C:$C,'Detalhe Entregas e Status'!C27)</f>
        <v>0</v>
      </c>
      <c r="M27" s="14"/>
      <c r="N27" s="14"/>
      <c r="P27" s="15"/>
      <c r="Q27" s="15"/>
      <c r="R27" s="15"/>
      <c r="T27" s="30" t="s">
        <v>125</v>
      </c>
      <c r="U27" s="30"/>
    </row>
    <row r="28" spans="2:21">
      <c r="B28" s="13" t="s">
        <v>1</v>
      </c>
      <c r="C28" s="13" t="s">
        <v>22</v>
      </c>
      <c r="D28" s="14" t="s">
        <v>3</v>
      </c>
      <c r="E28" s="14" t="s">
        <v>4</v>
      </c>
      <c r="F28" s="14" t="s">
        <v>3</v>
      </c>
      <c r="G28" s="14" t="s">
        <v>73</v>
      </c>
      <c r="H28" s="15">
        <v>45803</v>
      </c>
      <c r="I28" s="17"/>
      <c r="J28" s="14" t="str">
        <f t="shared" si="0"/>
        <v>N/A</v>
      </c>
      <c r="L28" s="22">
        <f>SUMIFS('Detalhe Testes'!$H:$H,'Detalhe Testes'!$B:$B,'Detalhe Entregas e Status'!B28,'Detalhe Testes'!$C:$C,'Detalhe Entregas e Status'!C28)</f>
        <v>0</v>
      </c>
      <c r="M28" s="14"/>
      <c r="N28" s="14"/>
      <c r="P28" s="15"/>
      <c r="Q28" s="15"/>
      <c r="R28" s="15"/>
      <c r="T28" s="30" t="s">
        <v>292</v>
      </c>
      <c r="U28" s="30"/>
    </row>
    <row r="29" spans="2:21">
      <c r="B29" s="13" t="s">
        <v>1</v>
      </c>
      <c r="C29" s="13" t="s">
        <v>23</v>
      </c>
      <c r="D29" s="14" t="s">
        <v>3</v>
      </c>
      <c r="E29" s="14" t="s">
        <v>4</v>
      </c>
      <c r="F29" s="14" t="s">
        <v>3</v>
      </c>
      <c r="G29" s="14" t="s">
        <v>76</v>
      </c>
      <c r="H29" s="15">
        <v>45796</v>
      </c>
      <c r="I29" s="17"/>
      <c r="J29" s="14" t="str">
        <f t="shared" si="0"/>
        <v>N/A</v>
      </c>
      <c r="L29" s="22">
        <f>SUMIFS('Detalhe Testes'!$H:$H,'Detalhe Testes'!$B:$B,'Detalhe Entregas e Status'!B29,'Detalhe Testes'!$C:$C,'Detalhe Entregas e Status'!C29)</f>
        <v>0</v>
      </c>
      <c r="M29" s="14"/>
      <c r="N29" s="14"/>
      <c r="P29" s="15"/>
      <c r="Q29" s="15"/>
      <c r="R29" s="15"/>
      <c r="T29" s="30" t="s">
        <v>292</v>
      </c>
      <c r="U29" s="30"/>
    </row>
    <row r="30" spans="2:21">
      <c r="B30" s="13" t="s">
        <v>1</v>
      </c>
      <c r="C30" s="13" t="s">
        <v>24</v>
      </c>
      <c r="D30" s="14" t="s">
        <v>3</v>
      </c>
      <c r="E30" s="14" t="s">
        <v>4</v>
      </c>
      <c r="F30" s="14" t="s">
        <v>3</v>
      </c>
      <c r="G30" s="14" t="s">
        <v>76</v>
      </c>
      <c r="H30" s="15">
        <v>45803</v>
      </c>
      <c r="I30" s="17"/>
      <c r="J30" s="14" t="str">
        <f t="shared" si="0"/>
        <v>N/A</v>
      </c>
      <c r="L30" s="22">
        <f>SUMIFS('Detalhe Testes'!$H:$H,'Detalhe Testes'!$B:$B,'Detalhe Entregas e Status'!B30,'Detalhe Testes'!$C:$C,'Detalhe Entregas e Status'!C30)</f>
        <v>0</v>
      </c>
      <c r="M30" s="14"/>
      <c r="N30" s="14"/>
      <c r="P30" s="15"/>
      <c r="Q30" s="15"/>
      <c r="R30" s="15"/>
      <c r="T30" s="30" t="s">
        <v>292</v>
      </c>
      <c r="U30" s="30"/>
    </row>
    <row r="31" spans="2:21">
      <c r="B31" s="13" t="s">
        <v>1</v>
      </c>
      <c r="C31" s="13" t="s">
        <v>25</v>
      </c>
      <c r="D31" s="14" t="s">
        <v>3</v>
      </c>
      <c r="E31" s="14" t="s">
        <v>4</v>
      </c>
      <c r="F31" s="14" t="s">
        <v>3</v>
      </c>
      <c r="G31" s="14" t="s">
        <v>76</v>
      </c>
      <c r="H31" s="15">
        <v>45782</v>
      </c>
      <c r="I31" s="16">
        <v>45782</v>
      </c>
      <c r="J31" s="14">
        <f t="shared" si="0"/>
        <v>0</v>
      </c>
      <c r="L31" s="22">
        <f>SUMIFS('Detalhe Testes'!$H:$H,'Detalhe Testes'!$B:$B,'Detalhe Entregas e Status'!B31,'Detalhe Testes'!$C:$C,'Detalhe Entregas e Status'!C31)</f>
        <v>0</v>
      </c>
      <c r="M31" s="14"/>
      <c r="N31" s="14"/>
      <c r="P31" s="15"/>
      <c r="Q31" s="15"/>
      <c r="R31" s="15"/>
      <c r="T31" s="30" t="s">
        <v>125</v>
      </c>
      <c r="U31" s="30"/>
    </row>
    <row r="32" spans="2:21">
      <c r="B32" s="13" t="s">
        <v>1</v>
      </c>
      <c r="C32" s="13" t="s">
        <v>26</v>
      </c>
      <c r="D32" s="14" t="s">
        <v>3</v>
      </c>
      <c r="E32" s="14" t="s">
        <v>4</v>
      </c>
      <c r="F32" s="14" t="s">
        <v>3</v>
      </c>
      <c r="G32" s="14" t="s">
        <v>76</v>
      </c>
      <c r="H32" s="15">
        <v>45782</v>
      </c>
      <c r="I32" s="16">
        <v>45782</v>
      </c>
      <c r="J32" s="14">
        <f t="shared" si="0"/>
        <v>0</v>
      </c>
      <c r="L32" s="22">
        <f>SUMIFS('Detalhe Testes'!$H:$H,'Detalhe Testes'!$B:$B,'Detalhe Entregas e Status'!B32,'Detalhe Testes'!$C:$C,'Detalhe Entregas e Status'!C32)</f>
        <v>0</v>
      </c>
      <c r="M32" s="14"/>
      <c r="N32" s="14"/>
      <c r="P32" s="15"/>
      <c r="Q32" s="15"/>
      <c r="R32" s="15"/>
      <c r="T32" s="30" t="s">
        <v>125</v>
      </c>
      <c r="U32" s="30"/>
    </row>
    <row r="33" spans="2:21">
      <c r="B33" s="13" t="s">
        <v>1</v>
      </c>
      <c r="C33" s="13" t="s">
        <v>27</v>
      </c>
      <c r="D33" s="14" t="s">
        <v>3</v>
      </c>
      <c r="E33" s="14" t="s">
        <v>4</v>
      </c>
      <c r="F33" s="14" t="s">
        <v>3</v>
      </c>
      <c r="G33" s="14" t="s">
        <v>76</v>
      </c>
      <c r="H33" s="15">
        <v>45782</v>
      </c>
      <c r="I33" s="16">
        <v>45782</v>
      </c>
      <c r="J33" s="14">
        <f t="shared" si="0"/>
        <v>0</v>
      </c>
      <c r="L33" s="22">
        <f>SUMIFS('Detalhe Testes'!$H:$H,'Detalhe Testes'!$B:$B,'Detalhe Entregas e Status'!B33,'Detalhe Testes'!$C:$C,'Detalhe Entregas e Status'!C33)</f>
        <v>0</v>
      </c>
      <c r="M33" s="14"/>
      <c r="N33" s="14"/>
      <c r="P33" s="15"/>
      <c r="Q33" s="15"/>
      <c r="R33" s="15"/>
      <c r="T33" s="30" t="s">
        <v>125</v>
      </c>
      <c r="U33" s="30"/>
    </row>
    <row r="34" spans="2:21">
      <c r="B34" s="13" t="s">
        <v>1</v>
      </c>
      <c r="C34" s="13" t="s">
        <v>28</v>
      </c>
      <c r="D34" s="14" t="s">
        <v>3</v>
      </c>
      <c r="E34" s="14" t="s">
        <v>4</v>
      </c>
      <c r="F34" s="14" t="s">
        <v>3</v>
      </c>
      <c r="G34" s="14" t="s">
        <v>76</v>
      </c>
      <c r="H34" s="15">
        <v>45782</v>
      </c>
      <c r="I34" s="16">
        <v>45782</v>
      </c>
      <c r="J34" s="14">
        <f t="shared" si="0"/>
        <v>0</v>
      </c>
      <c r="L34" s="22">
        <f>SUMIFS('Detalhe Testes'!$H:$H,'Detalhe Testes'!$B:$B,'Detalhe Entregas e Status'!B34,'Detalhe Testes'!$C:$C,'Detalhe Entregas e Status'!C34)</f>
        <v>0</v>
      </c>
      <c r="M34" s="14"/>
      <c r="N34" s="14"/>
      <c r="P34" s="15"/>
      <c r="Q34" s="15"/>
      <c r="R34" s="15"/>
      <c r="T34" s="30" t="s">
        <v>125</v>
      </c>
      <c r="U34" s="30"/>
    </row>
    <row r="35" spans="2:21">
      <c r="B35" s="13" t="s">
        <v>1</v>
      </c>
      <c r="C35" s="13" t="s">
        <v>29</v>
      </c>
      <c r="D35" s="14" t="s">
        <v>3</v>
      </c>
      <c r="E35" s="14" t="s">
        <v>4</v>
      </c>
      <c r="F35" s="14" t="s">
        <v>3</v>
      </c>
      <c r="G35" s="14" t="s">
        <v>76</v>
      </c>
      <c r="H35" s="15">
        <v>45782</v>
      </c>
      <c r="I35" s="16">
        <v>45782</v>
      </c>
      <c r="J35" s="14">
        <f t="shared" si="0"/>
        <v>0</v>
      </c>
      <c r="L35" s="22">
        <f>SUMIFS('Detalhe Testes'!$H:$H,'Detalhe Testes'!$B:$B,'Detalhe Entregas e Status'!B35,'Detalhe Testes'!$C:$C,'Detalhe Entregas e Status'!C35)</f>
        <v>0</v>
      </c>
      <c r="M35" s="14"/>
      <c r="N35" s="14"/>
      <c r="P35" s="15"/>
      <c r="Q35" s="15"/>
      <c r="R35" s="15"/>
      <c r="T35" s="30" t="s">
        <v>125</v>
      </c>
      <c r="U35" s="30"/>
    </row>
    <row r="36" spans="2:21">
      <c r="B36" s="13" t="s">
        <v>1</v>
      </c>
      <c r="C36" s="13" t="s">
        <v>30</v>
      </c>
      <c r="D36" s="14" t="s">
        <v>3</v>
      </c>
      <c r="E36" s="14" t="s">
        <v>4</v>
      </c>
      <c r="F36" s="14" t="s">
        <v>3</v>
      </c>
      <c r="G36" s="14" t="s">
        <v>76</v>
      </c>
      <c r="H36" s="15">
        <v>45782</v>
      </c>
      <c r="I36" s="16">
        <v>45782</v>
      </c>
      <c r="J36" s="14">
        <f t="shared" si="0"/>
        <v>0</v>
      </c>
      <c r="L36" s="22">
        <f>SUMIFS('Detalhe Testes'!$H:$H,'Detalhe Testes'!$B:$B,'Detalhe Entregas e Status'!B36,'Detalhe Testes'!$C:$C,'Detalhe Entregas e Status'!C36)</f>
        <v>0</v>
      </c>
      <c r="M36" s="14"/>
      <c r="N36" s="14"/>
      <c r="P36" s="15"/>
      <c r="Q36" s="15"/>
      <c r="R36" s="15"/>
      <c r="T36" s="30" t="s">
        <v>125</v>
      </c>
      <c r="U36" s="30"/>
    </row>
    <row r="37" spans="2:21">
      <c r="B37" s="13" t="s">
        <v>1</v>
      </c>
      <c r="C37" s="13" t="s">
        <v>31</v>
      </c>
      <c r="D37" s="14" t="s">
        <v>3</v>
      </c>
      <c r="E37" s="14" t="s">
        <v>4</v>
      </c>
      <c r="F37" s="14" t="s">
        <v>3</v>
      </c>
      <c r="G37" s="14" t="s">
        <v>76</v>
      </c>
      <c r="H37" s="15">
        <v>45782</v>
      </c>
      <c r="I37" s="16">
        <v>45782</v>
      </c>
      <c r="J37" s="14">
        <f t="shared" si="0"/>
        <v>0</v>
      </c>
      <c r="L37" s="22">
        <f>SUMIFS('Detalhe Testes'!$H:$H,'Detalhe Testes'!$B:$B,'Detalhe Entregas e Status'!B37,'Detalhe Testes'!$C:$C,'Detalhe Entregas e Status'!C37)</f>
        <v>0</v>
      </c>
      <c r="M37" s="14"/>
      <c r="N37" s="14"/>
      <c r="P37" s="15"/>
      <c r="Q37" s="15"/>
      <c r="R37" s="15"/>
      <c r="T37" s="30" t="s">
        <v>125</v>
      </c>
      <c r="U37" s="30"/>
    </row>
    <row r="38" spans="2:21">
      <c r="B38" s="13" t="s">
        <v>1</v>
      </c>
      <c r="C38" s="13" t="s">
        <v>32</v>
      </c>
      <c r="D38" s="14" t="s">
        <v>3</v>
      </c>
      <c r="E38" s="14" t="s">
        <v>4</v>
      </c>
      <c r="F38" s="14" t="s">
        <v>3</v>
      </c>
      <c r="G38" s="14" t="s">
        <v>76</v>
      </c>
      <c r="H38" s="15">
        <v>45782</v>
      </c>
      <c r="I38" s="16">
        <v>45782</v>
      </c>
      <c r="J38" s="14">
        <f t="shared" si="0"/>
        <v>0</v>
      </c>
      <c r="L38" s="22">
        <f>SUMIFS('Detalhe Testes'!$H:$H,'Detalhe Testes'!$B:$B,'Detalhe Entregas e Status'!B38,'Detalhe Testes'!$C:$C,'Detalhe Entregas e Status'!C38)</f>
        <v>0</v>
      </c>
      <c r="M38" s="14"/>
      <c r="N38" s="14"/>
      <c r="P38" s="15"/>
      <c r="Q38" s="15"/>
      <c r="R38" s="15"/>
      <c r="T38" s="30" t="s">
        <v>125</v>
      </c>
      <c r="U38" s="30"/>
    </row>
    <row r="39" spans="2:21">
      <c r="B39" s="13" t="s">
        <v>1</v>
      </c>
      <c r="C39" s="13" t="s">
        <v>33</v>
      </c>
      <c r="D39" s="14" t="s">
        <v>4</v>
      </c>
      <c r="E39" s="14" t="s">
        <v>4</v>
      </c>
      <c r="F39" s="14" t="s">
        <v>3</v>
      </c>
      <c r="G39" s="14" t="s">
        <v>74</v>
      </c>
      <c r="H39" s="15">
        <v>45803</v>
      </c>
      <c r="I39" s="17"/>
      <c r="J39" s="14" t="str">
        <f t="shared" si="0"/>
        <v>N/A</v>
      </c>
      <c r="L39" s="22">
        <f>SUMIFS('Detalhe Testes'!$H:$H,'Detalhe Testes'!$B:$B,'Detalhe Entregas e Status'!B39,'Detalhe Testes'!$C:$C,'Detalhe Entregas e Status'!C39)</f>
        <v>0</v>
      </c>
      <c r="M39" s="14"/>
      <c r="N39" s="14"/>
      <c r="P39" s="15"/>
      <c r="Q39" s="15"/>
      <c r="R39" s="15"/>
      <c r="T39" s="30" t="s">
        <v>292</v>
      </c>
      <c r="U39" s="30"/>
    </row>
    <row r="40" spans="2:21">
      <c r="B40" s="13" t="s">
        <v>1</v>
      </c>
      <c r="C40" s="13" t="s">
        <v>34</v>
      </c>
      <c r="D40" s="14" t="s">
        <v>4</v>
      </c>
      <c r="E40" s="14" t="s">
        <v>4</v>
      </c>
      <c r="F40" s="14" t="s">
        <v>3</v>
      </c>
      <c r="G40" s="14" t="s">
        <v>74</v>
      </c>
      <c r="H40" s="15">
        <v>45810</v>
      </c>
      <c r="I40" s="16">
        <v>45810</v>
      </c>
      <c r="J40" s="14">
        <f t="shared" si="0"/>
        <v>0</v>
      </c>
      <c r="L40" s="22">
        <f>SUMIFS('Detalhe Testes'!$H:$H,'Detalhe Testes'!$B:$B,'Detalhe Entregas e Status'!B40,'Detalhe Testes'!$C:$C,'Detalhe Entregas e Status'!C40)</f>
        <v>0</v>
      </c>
      <c r="M40" s="14"/>
      <c r="N40" s="14"/>
      <c r="P40" s="15"/>
      <c r="Q40" s="15"/>
      <c r="R40" s="15"/>
      <c r="T40" s="30" t="s">
        <v>292</v>
      </c>
      <c r="U40" s="30"/>
    </row>
    <row r="41" spans="2:21">
      <c r="B41" s="13" t="s">
        <v>1</v>
      </c>
      <c r="C41" s="13" t="s">
        <v>35</v>
      </c>
      <c r="D41" s="14" t="s">
        <v>4</v>
      </c>
      <c r="E41" s="14" t="s">
        <v>4</v>
      </c>
      <c r="F41" s="14" t="s">
        <v>4</v>
      </c>
      <c r="G41" s="14" t="s">
        <v>74</v>
      </c>
      <c r="H41" s="15">
        <v>45810</v>
      </c>
      <c r="I41" s="16">
        <v>45810</v>
      </c>
      <c r="J41" s="14">
        <f t="shared" si="0"/>
        <v>0</v>
      </c>
      <c r="L41" s="22">
        <f>SUMIFS('Detalhe Testes'!$H:$H,'Detalhe Testes'!$B:$B,'Detalhe Entregas e Status'!B41,'Detalhe Testes'!$C:$C,'Detalhe Entregas e Status'!C41)</f>
        <v>0</v>
      </c>
      <c r="M41" s="14"/>
      <c r="N41" s="14"/>
      <c r="P41" s="15"/>
      <c r="Q41" s="15"/>
      <c r="R41" s="15"/>
      <c r="T41" s="30" t="s">
        <v>292</v>
      </c>
      <c r="U41" s="30"/>
    </row>
    <row r="42" spans="2:21">
      <c r="B42" s="13" t="s">
        <v>1</v>
      </c>
      <c r="C42" s="13" t="s">
        <v>36</v>
      </c>
      <c r="D42" s="14" t="s">
        <v>4</v>
      </c>
      <c r="E42" s="14" t="s">
        <v>4</v>
      </c>
      <c r="F42" s="14" t="s">
        <v>4</v>
      </c>
      <c r="G42" s="14" t="s">
        <v>74</v>
      </c>
      <c r="H42" s="15">
        <v>45803</v>
      </c>
      <c r="I42" s="17"/>
      <c r="J42" s="14" t="str">
        <f t="shared" si="0"/>
        <v>N/A</v>
      </c>
      <c r="L42" s="22">
        <f>SUMIFS('Detalhe Testes'!$H:$H,'Detalhe Testes'!$B:$B,'Detalhe Entregas e Status'!B42,'Detalhe Testes'!$C:$C,'Detalhe Entregas e Status'!C42)</f>
        <v>0</v>
      </c>
      <c r="M42" s="14"/>
      <c r="N42" s="14"/>
      <c r="P42" s="15"/>
      <c r="Q42" s="15"/>
      <c r="R42" s="15"/>
      <c r="T42" s="30" t="s">
        <v>292</v>
      </c>
      <c r="U42" s="30"/>
    </row>
    <row r="43" spans="2:21">
      <c r="B43" s="13" t="s">
        <v>1</v>
      </c>
      <c r="C43" s="13" t="s">
        <v>37</v>
      </c>
      <c r="D43" s="14" t="s">
        <v>4</v>
      </c>
      <c r="E43" s="14" t="s">
        <v>4</v>
      </c>
      <c r="F43" s="14" t="s">
        <v>4</v>
      </c>
      <c r="G43" s="14" t="s">
        <v>74</v>
      </c>
      <c r="H43" s="15">
        <v>45803</v>
      </c>
      <c r="I43" s="17"/>
      <c r="J43" s="14" t="str">
        <f t="shared" si="0"/>
        <v>N/A</v>
      </c>
      <c r="L43" s="22">
        <f>SUMIFS('Detalhe Testes'!$H:$H,'Detalhe Testes'!$B:$B,'Detalhe Entregas e Status'!B43,'Detalhe Testes'!$C:$C,'Detalhe Entregas e Status'!C43)</f>
        <v>0</v>
      </c>
      <c r="M43" s="14"/>
      <c r="N43" s="14"/>
      <c r="P43" s="15"/>
      <c r="Q43" s="15"/>
      <c r="R43" s="15"/>
      <c r="T43" s="30" t="s">
        <v>292</v>
      </c>
      <c r="U43" s="30"/>
    </row>
    <row r="44" spans="2:21">
      <c r="B44" s="13" t="s">
        <v>1</v>
      </c>
      <c r="C44" s="13" t="s">
        <v>38</v>
      </c>
      <c r="D44" s="14" t="s">
        <v>4</v>
      </c>
      <c r="E44" s="14" t="s">
        <v>4</v>
      </c>
      <c r="F44" s="14" t="s">
        <v>4</v>
      </c>
      <c r="G44" s="14" t="s">
        <v>74</v>
      </c>
      <c r="H44" s="15">
        <v>45782</v>
      </c>
      <c r="I44" s="16">
        <v>45782</v>
      </c>
      <c r="J44" s="14">
        <f t="shared" si="0"/>
        <v>0</v>
      </c>
      <c r="L44" s="22">
        <f>SUMIFS('Detalhe Testes'!$H:$H,'Detalhe Testes'!$B:$B,'Detalhe Entregas e Status'!B44,'Detalhe Testes'!$C:$C,'Detalhe Entregas e Status'!C44)</f>
        <v>0</v>
      </c>
      <c r="M44" s="14"/>
      <c r="N44" s="14"/>
      <c r="P44" s="15"/>
      <c r="Q44" s="15"/>
      <c r="R44" s="15"/>
      <c r="T44" s="30" t="s">
        <v>125</v>
      </c>
      <c r="U44" s="30"/>
    </row>
    <row r="45" spans="2:21">
      <c r="B45" s="13" t="s">
        <v>1</v>
      </c>
      <c r="C45" s="13" t="s">
        <v>39</v>
      </c>
      <c r="D45" s="14" t="s">
        <v>4</v>
      </c>
      <c r="E45" s="14" t="s">
        <v>4</v>
      </c>
      <c r="F45" s="14" t="s">
        <v>4</v>
      </c>
      <c r="G45" s="14" t="s">
        <v>74</v>
      </c>
      <c r="H45" s="15">
        <v>45803</v>
      </c>
      <c r="I45" s="17"/>
      <c r="J45" s="14" t="str">
        <f t="shared" si="0"/>
        <v>N/A</v>
      </c>
      <c r="L45" s="22">
        <f>SUMIFS('Detalhe Testes'!$H:$H,'Detalhe Testes'!$B:$B,'Detalhe Entregas e Status'!B45,'Detalhe Testes'!$C:$C,'Detalhe Entregas e Status'!C45)</f>
        <v>0</v>
      </c>
      <c r="M45" s="14"/>
      <c r="N45" s="14"/>
      <c r="P45" s="15"/>
      <c r="Q45" s="15"/>
      <c r="R45" s="15"/>
      <c r="T45" s="30" t="s">
        <v>292</v>
      </c>
      <c r="U45" s="30"/>
    </row>
    <row r="46" spans="2:21">
      <c r="B46" s="13" t="s">
        <v>1</v>
      </c>
      <c r="C46" s="13" t="s">
        <v>40</v>
      </c>
      <c r="D46" s="14" t="s">
        <v>4</v>
      </c>
      <c r="E46" s="14" t="s">
        <v>4</v>
      </c>
      <c r="F46" s="14" t="s">
        <v>4</v>
      </c>
      <c r="G46" s="14" t="s">
        <v>74</v>
      </c>
      <c r="H46" s="15">
        <v>45803</v>
      </c>
      <c r="I46" s="17"/>
      <c r="J46" s="14" t="str">
        <f t="shared" si="0"/>
        <v>N/A</v>
      </c>
      <c r="L46" s="22">
        <f>SUMIFS('Detalhe Testes'!$H:$H,'Detalhe Testes'!$B:$B,'Detalhe Entregas e Status'!B46,'Detalhe Testes'!$C:$C,'Detalhe Entregas e Status'!C46)</f>
        <v>0</v>
      </c>
      <c r="M46" s="14"/>
      <c r="N46" s="14"/>
      <c r="P46" s="15"/>
      <c r="Q46" s="15"/>
      <c r="R46" s="15"/>
      <c r="T46" s="30" t="s">
        <v>292</v>
      </c>
      <c r="U46" s="30"/>
    </row>
    <row r="47" spans="2:21">
      <c r="B47" s="13" t="s">
        <v>1</v>
      </c>
      <c r="C47" s="13" t="s">
        <v>41</v>
      </c>
      <c r="D47" s="14" t="s">
        <v>4</v>
      </c>
      <c r="E47" s="14" t="s">
        <v>4</v>
      </c>
      <c r="F47" s="14" t="s">
        <v>4</v>
      </c>
      <c r="G47" s="14" t="s">
        <v>74</v>
      </c>
      <c r="H47" s="15">
        <v>45803</v>
      </c>
      <c r="I47" s="17"/>
      <c r="J47" s="14" t="str">
        <f t="shared" si="0"/>
        <v>N/A</v>
      </c>
      <c r="L47" s="22">
        <f>SUMIFS('Detalhe Testes'!$H:$H,'Detalhe Testes'!$B:$B,'Detalhe Entregas e Status'!B47,'Detalhe Testes'!$C:$C,'Detalhe Entregas e Status'!C47)</f>
        <v>0</v>
      </c>
      <c r="M47" s="14"/>
      <c r="N47" s="14"/>
      <c r="P47" s="15"/>
      <c r="Q47" s="15"/>
      <c r="R47" s="15"/>
      <c r="T47" s="30" t="s">
        <v>292</v>
      </c>
      <c r="U47" s="30"/>
    </row>
    <row r="48" spans="2:21">
      <c r="B48" s="13" t="s">
        <v>1</v>
      </c>
      <c r="C48" s="13" t="s">
        <v>42</v>
      </c>
      <c r="D48" s="14" t="s">
        <v>4</v>
      </c>
      <c r="E48" s="14" t="s">
        <v>4</v>
      </c>
      <c r="F48" s="14" t="s">
        <v>4</v>
      </c>
      <c r="G48" s="14" t="s">
        <v>74</v>
      </c>
      <c r="H48" s="15">
        <v>45803</v>
      </c>
      <c r="I48" s="17"/>
      <c r="J48" s="14" t="str">
        <f t="shared" si="0"/>
        <v>N/A</v>
      </c>
      <c r="L48" s="22">
        <f>SUMIFS('Detalhe Testes'!$H:$H,'Detalhe Testes'!$B:$B,'Detalhe Entregas e Status'!B48,'Detalhe Testes'!$C:$C,'Detalhe Entregas e Status'!C48)</f>
        <v>0</v>
      </c>
      <c r="M48" s="14"/>
      <c r="N48" s="14"/>
      <c r="P48" s="15"/>
      <c r="Q48" s="15"/>
      <c r="R48" s="15"/>
      <c r="T48" s="30" t="s">
        <v>292</v>
      </c>
      <c r="U48" s="30"/>
    </row>
    <row r="49" spans="2:21">
      <c r="B49" s="13" t="s">
        <v>1</v>
      </c>
      <c r="C49" s="13" t="s">
        <v>43</v>
      </c>
      <c r="D49" s="14" t="s">
        <v>4</v>
      </c>
      <c r="E49" s="14" t="s">
        <v>4</v>
      </c>
      <c r="F49" s="14" t="s">
        <v>4</v>
      </c>
      <c r="G49" s="14" t="s">
        <v>74</v>
      </c>
      <c r="H49" s="15">
        <v>45803</v>
      </c>
      <c r="I49" s="17"/>
      <c r="J49" s="14" t="str">
        <f t="shared" si="0"/>
        <v>N/A</v>
      </c>
      <c r="L49" s="22">
        <f>SUMIFS('Detalhe Testes'!$H:$H,'Detalhe Testes'!$B:$B,'Detalhe Entregas e Status'!B49,'Detalhe Testes'!$C:$C,'Detalhe Entregas e Status'!C49)</f>
        <v>0</v>
      </c>
      <c r="M49" s="14"/>
      <c r="N49" s="14"/>
      <c r="P49" s="15"/>
      <c r="Q49" s="15"/>
      <c r="R49" s="15"/>
      <c r="T49" s="30" t="s">
        <v>292</v>
      </c>
      <c r="U49" s="30"/>
    </row>
    <row r="50" spans="2:21">
      <c r="B50" s="13" t="s">
        <v>1</v>
      </c>
      <c r="C50" s="13" t="s">
        <v>44</v>
      </c>
      <c r="D50" s="14" t="s">
        <v>4</v>
      </c>
      <c r="E50" s="14" t="s">
        <v>4</v>
      </c>
      <c r="F50" s="14" t="s">
        <v>4</v>
      </c>
      <c r="G50" s="14" t="s">
        <v>74</v>
      </c>
      <c r="H50" s="15">
        <v>45810</v>
      </c>
      <c r="I50" s="16">
        <v>45810</v>
      </c>
      <c r="J50" s="14">
        <f t="shared" si="0"/>
        <v>0</v>
      </c>
      <c r="L50" s="22">
        <f>SUMIFS('Detalhe Testes'!$H:$H,'Detalhe Testes'!$B:$B,'Detalhe Entregas e Status'!B50,'Detalhe Testes'!$C:$C,'Detalhe Entregas e Status'!C50)</f>
        <v>0</v>
      </c>
      <c r="M50" s="14"/>
      <c r="N50" s="14"/>
      <c r="P50" s="15"/>
      <c r="Q50" s="15"/>
      <c r="R50" s="15"/>
      <c r="T50" s="30" t="s">
        <v>292</v>
      </c>
      <c r="U50" s="30"/>
    </row>
    <row r="51" spans="2:21">
      <c r="B51" s="13" t="s">
        <v>1</v>
      </c>
      <c r="C51" s="13" t="s">
        <v>45</v>
      </c>
      <c r="D51" s="14" t="s">
        <v>4</v>
      </c>
      <c r="E51" s="14" t="s">
        <v>4</v>
      </c>
      <c r="F51" s="14" t="s">
        <v>4</v>
      </c>
      <c r="G51" s="14" t="s">
        <v>74</v>
      </c>
      <c r="H51" s="15">
        <v>45810</v>
      </c>
      <c r="I51" s="16">
        <v>45810</v>
      </c>
      <c r="J51" s="14">
        <f t="shared" si="0"/>
        <v>0</v>
      </c>
      <c r="L51" s="22">
        <f>SUMIFS('Detalhe Testes'!$H:$H,'Detalhe Testes'!$B:$B,'Detalhe Entregas e Status'!B51,'Detalhe Testes'!$C:$C,'Detalhe Entregas e Status'!C51)</f>
        <v>0</v>
      </c>
      <c r="M51" s="14"/>
      <c r="N51" s="14"/>
      <c r="P51" s="15"/>
      <c r="Q51" s="15"/>
      <c r="R51" s="15"/>
      <c r="T51" s="30" t="s">
        <v>292</v>
      </c>
      <c r="U51" s="30"/>
    </row>
    <row r="52" spans="2:21">
      <c r="B52" s="13" t="s">
        <v>1</v>
      </c>
      <c r="C52" s="13" t="s">
        <v>46</v>
      </c>
      <c r="D52" s="14" t="s">
        <v>4</v>
      </c>
      <c r="E52" s="14" t="s">
        <v>4</v>
      </c>
      <c r="F52" s="14" t="s">
        <v>3</v>
      </c>
      <c r="G52" s="14" t="s">
        <v>74</v>
      </c>
      <c r="H52" s="15">
        <v>45810</v>
      </c>
      <c r="I52" s="16">
        <v>45810</v>
      </c>
      <c r="J52" s="14">
        <f t="shared" si="0"/>
        <v>0</v>
      </c>
      <c r="L52" s="22">
        <f>SUMIFS('Detalhe Testes'!$H:$H,'Detalhe Testes'!$B:$B,'Detalhe Entregas e Status'!B52,'Detalhe Testes'!$C:$C,'Detalhe Entregas e Status'!C52)</f>
        <v>0</v>
      </c>
      <c r="M52" s="14"/>
      <c r="N52" s="14"/>
      <c r="P52" s="15"/>
      <c r="Q52" s="15"/>
      <c r="R52" s="15"/>
      <c r="T52" s="30" t="s">
        <v>292</v>
      </c>
      <c r="U52" s="30"/>
    </row>
    <row r="53" spans="2:21">
      <c r="B53" s="13" t="s">
        <v>1</v>
      </c>
      <c r="C53" s="13" t="s">
        <v>47</v>
      </c>
      <c r="D53" s="14" t="s">
        <v>4</v>
      </c>
      <c r="E53" s="14" t="s">
        <v>4</v>
      </c>
      <c r="F53" s="14" t="s">
        <v>3</v>
      </c>
      <c r="G53" s="14" t="s">
        <v>74</v>
      </c>
      <c r="H53" s="15">
        <v>45803</v>
      </c>
      <c r="I53" s="17"/>
      <c r="J53" s="14" t="str">
        <f t="shared" si="0"/>
        <v>N/A</v>
      </c>
      <c r="L53" s="22">
        <f>SUMIFS('Detalhe Testes'!$H:$H,'Detalhe Testes'!$B:$B,'Detalhe Entregas e Status'!B53,'Detalhe Testes'!$C:$C,'Detalhe Entregas e Status'!C53)</f>
        <v>0</v>
      </c>
      <c r="M53" s="14"/>
      <c r="N53" s="14"/>
      <c r="P53" s="15"/>
      <c r="Q53" s="15"/>
      <c r="R53" s="15"/>
      <c r="T53" s="30" t="s">
        <v>292</v>
      </c>
      <c r="U53" s="30"/>
    </row>
    <row r="54" spans="2:21">
      <c r="B54" s="13" t="s">
        <v>1</v>
      </c>
      <c r="C54" s="13" t="s">
        <v>48</v>
      </c>
      <c r="D54" s="14" t="s">
        <v>4</v>
      </c>
      <c r="E54" s="14" t="s">
        <v>4</v>
      </c>
      <c r="F54" s="14" t="s">
        <v>4</v>
      </c>
      <c r="G54" s="14" t="s">
        <v>74</v>
      </c>
      <c r="H54" s="15">
        <v>45810</v>
      </c>
      <c r="I54" s="16">
        <v>45810</v>
      </c>
      <c r="J54" s="14">
        <f t="shared" si="0"/>
        <v>0</v>
      </c>
      <c r="L54" s="22">
        <f>SUMIFS('Detalhe Testes'!$H:$H,'Detalhe Testes'!$B:$B,'Detalhe Entregas e Status'!B54,'Detalhe Testes'!$C:$C,'Detalhe Entregas e Status'!C54)</f>
        <v>0</v>
      </c>
      <c r="M54" s="14"/>
      <c r="N54" s="14"/>
      <c r="P54" s="15"/>
      <c r="Q54" s="15"/>
      <c r="R54" s="15"/>
      <c r="T54" s="30" t="s">
        <v>292</v>
      </c>
      <c r="U54" s="30"/>
    </row>
    <row r="55" spans="2:21">
      <c r="B55" s="13" t="s">
        <v>1</v>
      </c>
      <c r="C55" s="13" t="s">
        <v>49</v>
      </c>
      <c r="D55" s="14" t="s">
        <v>4</v>
      </c>
      <c r="E55" s="14" t="s">
        <v>4</v>
      </c>
      <c r="F55" s="14" t="s">
        <v>4</v>
      </c>
      <c r="G55" s="14" t="s">
        <v>74</v>
      </c>
      <c r="H55" s="15">
        <v>45810</v>
      </c>
      <c r="I55" s="16">
        <v>45810</v>
      </c>
      <c r="J55" s="14">
        <f t="shared" si="0"/>
        <v>0</v>
      </c>
      <c r="L55" s="22">
        <f>SUMIFS('Detalhe Testes'!$H:$H,'Detalhe Testes'!$B:$B,'Detalhe Entregas e Status'!B55,'Detalhe Testes'!$C:$C,'Detalhe Entregas e Status'!C55)</f>
        <v>0</v>
      </c>
      <c r="M55" s="14"/>
      <c r="N55" s="14"/>
      <c r="P55" s="15"/>
      <c r="Q55" s="15"/>
      <c r="R55" s="15"/>
      <c r="T55" s="30" t="s">
        <v>292</v>
      </c>
      <c r="U55" s="30"/>
    </row>
    <row r="56" spans="2:21">
      <c r="B56" s="13" t="s">
        <v>1</v>
      </c>
      <c r="C56" s="13" t="s">
        <v>50</v>
      </c>
      <c r="D56" s="14" t="s">
        <v>4</v>
      </c>
      <c r="E56" s="14" t="s">
        <v>4</v>
      </c>
      <c r="F56" s="14" t="s">
        <v>3</v>
      </c>
      <c r="G56" s="14" t="s">
        <v>74</v>
      </c>
      <c r="H56" s="15">
        <v>45796</v>
      </c>
      <c r="I56" s="17"/>
      <c r="J56" s="14" t="str">
        <f t="shared" si="0"/>
        <v>N/A</v>
      </c>
      <c r="L56" s="22">
        <f>SUMIFS('Detalhe Testes'!$H:$H,'Detalhe Testes'!$B:$B,'Detalhe Entregas e Status'!B56,'Detalhe Testes'!$C:$C,'Detalhe Entregas e Status'!C56)</f>
        <v>0</v>
      </c>
      <c r="M56" s="14"/>
      <c r="N56" s="14"/>
      <c r="P56" s="15"/>
      <c r="Q56" s="15"/>
      <c r="R56" s="15"/>
      <c r="T56" s="30" t="s">
        <v>292</v>
      </c>
      <c r="U56" s="30"/>
    </row>
    <row r="57" spans="2:21">
      <c r="B57" s="13" t="s">
        <v>1</v>
      </c>
      <c r="C57" s="13" t="s">
        <v>51</v>
      </c>
      <c r="D57" s="14" t="s">
        <v>4</v>
      </c>
      <c r="E57" s="14" t="s">
        <v>4</v>
      </c>
      <c r="F57" s="14" t="s">
        <v>4</v>
      </c>
      <c r="G57" s="14" t="s">
        <v>77</v>
      </c>
      <c r="H57" s="15">
        <v>45803</v>
      </c>
      <c r="I57" s="17"/>
      <c r="J57" s="14" t="str">
        <f t="shared" si="0"/>
        <v>N/A</v>
      </c>
      <c r="L57" s="22">
        <f>SUMIFS('Detalhe Testes'!$H:$H,'Detalhe Testes'!$B:$B,'Detalhe Entregas e Status'!B57,'Detalhe Testes'!$C:$C,'Detalhe Entregas e Status'!C57)</f>
        <v>0</v>
      </c>
      <c r="M57" s="14"/>
      <c r="N57" s="14"/>
      <c r="P57" s="15"/>
      <c r="Q57" s="15"/>
      <c r="R57" s="15"/>
      <c r="T57" s="30" t="s">
        <v>292</v>
      </c>
      <c r="U57" s="30"/>
    </row>
    <row r="58" spans="2:21">
      <c r="B58" s="13" t="s">
        <v>1</v>
      </c>
      <c r="C58" s="13" t="s">
        <v>52</v>
      </c>
      <c r="D58" s="14" t="s">
        <v>4</v>
      </c>
      <c r="E58" s="14" t="s">
        <v>4</v>
      </c>
      <c r="F58" s="14" t="s">
        <v>4</v>
      </c>
      <c r="G58" s="14" t="s">
        <v>79</v>
      </c>
      <c r="H58" s="15">
        <v>45810</v>
      </c>
      <c r="I58" s="16">
        <v>45810</v>
      </c>
      <c r="J58" s="14">
        <f t="shared" si="0"/>
        <v>0</v>
      </c>
      <c r="L58" s="22">
        <f>SUMIFS('Detalhe Testes'!$H:$H,'Detalhe Testes'!$B:$B,'Detalhe Entregas e Status'!B58,'Detalhe Testes'!$C:$C,'Detalhe Entregas e Status'!C58)</f>
        <v>0</v>
      </c>
      <c r="M58" s="14"/>
      <c r="N58" s="14"/>
      <c r="P58" s="15"/>
      <c r="Q58" s="15"/>
      <c r="R58" s="15"/>
      <c r="T58" s="30" t="s">
        <v>292</v>
      </c>
      <c r="U58" s="30"/>
    </row>
    <row r="59" spans="2:21">
      <c r="B59" s="13" t="s">
        <v>1</v>
      </c>
      <c r="C59" s="13" t="s">
        <v>53</v>
      </c>
      <c r="D59" s="14" t="s">
        <v>3</v>
      </c>
      <c r="E59" s="14" t="s">
        <v>4</v>
      </c>
      <c r="F59" s="14" t="s">
        <v>4</v>
      </c>
      <c r="G59" s="14" t="s">
        <v>77</v>
      </c>
      <c r="H59" s="15">
        <v>45782</v>
      </c>
      <c r="I59" s="16">
        <v>45782</v>
      </c>
      <c r="J59" s="14">
        <f t="shared" si="0"/>
        <v>0</v>
      </c>
      <c r="L59" s="22">
        <f>SUMIFS('Detalhe Testes'!$H:$H,'Detalhe Testes'!$B:$B,'Detalhe Entregas e Status'!B59,'Detalhe Testes'!$C:$C,'Detalhe Entregas e Status'!C59)</f>
        <v>0</v>
      </c>
      <c r="M59" s="14"/>
      <c r="N59" s="14"/>
      <c r="P59" s="15"/>
      <c r="Q59" s="15"/>
      <c r="R59" s="15"/>
      <c r="T59" s="30" t="s">
        <v>125</v>
      </c>
      <c r="U59" s="30"/>
    </row>
    <row r="60" spans="2:21">
      <c r="B60" s="13" t="s">
        <v>1</v>
      </c>
      <c r="C60" s="13" t="s">
        <v>54</v>
      </c>
      <c r="D60" s="14" t="s">
        <v>4</v>
      </c>
      <c r="E60" s="14" t="s">
        <v>4</v>
      </c>
      <c r="F60" s="14" t="s">
        <v>4</v>
      </c>
      <c r="G60" s="14" t="s">
        <v>77</v>
      </c>
      <c r="H60" s="15">
        <v>45782</v>
      </c>
      <c r="I60" s="16">
        <v>45782</v>
      </c>
      <c r="J60" s="14">
        <f t="shared" si="0"/>
        <v>0</v>
      </c>
      <c r="L60" s="22">
        <f>SUMIFS('Detalhe Testes'!$H:$H,'Detalhe Testes'!$B:$B,'Detalhe Entregas e Status'!B60,'Detalhe Testes'!$C:$C,'Detalhe Entregas e Status'!C60)</f>
        <v>0</v>
      </c>
      <c r="M60" s="14"/>
      <c r="N60" s="14"/>
      <c r="P60" s="15"/>
      <c r="Q60" s="15"/>
      <c r="R60" s="15"/>
      <c r="T60" s="30" t="s">
        <v>118</v>
      </c>
      <c r="U60" s="30"/>
    </row>
    <row r="61" spans="2:21">
      <c r="B61" s="13" t="s">
        <v>55</v>
      </c>
      <c r="C61" s="13" t="s">
        <v>90</v>
      </c>
      <c r="D61" s="14" t="s">
        <v>91</v>
      </c>
      <c r="E61" s="14" t="s">
        <v>91</v>
      </c>
      <c r="F61" s="14" t="s">
        <v>91</v>
      </c>
      <c r="G61" s="14" t="s">
        <v>75</v>
      </c>
      <c r="H61" s="15">
        <v>45789</v>
      </c>
      <c r="I61" s="16">
        <v>45789</v>
      </c>
      <c r="J61" s="14">
        <f t="shared" si="0"/>
        <v>0</v>
      </c>
      <c r="L61" s="22">
        <f>SUMIFS('Detalhe Testes'!$H:$H,'Detalhe Testes'!$B:$B,'Detalhe Entregas e Status'!B61,'Detalhe Testes'!$C:$C,'Detalhe Entregas e Status'!C61)</f>
        <v>0</v>
      </c>
      <c r="M61" s="14"/>
      <c r="N61" s="14"/>
      <c r="P61" s="15"/>
      <c r="Q61" s="15"/>
      <c r="R61" s="15"/>
      <c r="T61" s="30" t="s">
        <v>115</v>
      </c>
      <c r="U61" s="30"/>
    </row>
    <row r="62" spans="2:21">
      <c r="B62" s="13" t="s">
        <v>55</v>
      </c>
      <c r="C62" s="13" t="s">
        <v>36</v>
      </c>
      <c r="D62" s="14" t="s">
        <v>4</v>
      </c>
      <c r="E62" s="14" t="s">
        <v>4</v>
      </c>
      <c r="F62" s="14" t="s">
        <v>4</v>
      </c>
      <c r="G62" s="14" t="s">
        <v>75</v>
      </c>
      <c r="H62" s="15">
        <v>45803</v>
      </c>
      <c r="I62" s="17"/>
      <c r="J62" s="14" t="str">
        <f t="shared" si="0"/>
        <v>N/A</v>
      </c>
      <c r="L62" s="22">
        <f>SUMIFS('Detalhe Testes'!$H:$H,'Detalhe Testes'!$B:$B,'Detalhe Entregas e Status'!B62,'Detalhe Testes'!$C:$C,'Detalhe Entregas e Status'!C62)</f>
        <v>0</v>
      </c>
      <c r="M62" s="14"/>
      <c r="N62" s="14"/>
      <c r="P62" s="15"/>
      <c r="Q62" s="15"/>
      <c r="R62" s="15"/>
      <c r="T62" s="30" t="s">
        <v>292</v>
      </c>
      <c r="U62" s="30"/>
    </row>
    <row r="63" spans="2:21">
      <c r="B63" s="13" t="s">
        <v>55</v>
      </c>
      <c r="C63" s="13" t="s">
        <v>38</v>
      </c>
      <c r="D63" s="14" t="s">
        <v>4</v>
      </c>
      <c r="E63" s="14" t="s">
        <v>4</v>
      </c>
      <c r="F63" s="14" t="s">
        <v>4</v>
      </c>
      <c r="G63" s="14" t="s">
        <v>75</v>
      </c>
      <c r="H63" s="15">
        <v>45803</v>
      </c>
      <c r="I63" s="17"/>
      <c r="J63" s="14" t="str">
        <f t="shared" si="0"/>
        <v>N/A</v>
      </c>
      <c r="L63" s="22">
        <f>SUMIFS('Detalhe Testes'!$H:$H,'Detalhe Testes'!$B:$B,'Detalhe Entregas e Status'!B63,'Detalhe Testes'!$C:$C,'Detalhe Entregas e Status'!C63)</f>
        <v>0</v>
      </c>
      <c r="M63" s="14"/>
      <c r="N63" s="14"/>
      <c r="P63" s="15"/>
      <c r="Q63" s="15"/>
      <c r="R63" s="15"/>
      <c r="T63" s="30" t="s">
        <v>292</v>
      </c>
      <c r="U63" s="30"/>
    </row>
    <row r="64" spans="2:21">
      <c r="B64" s="13" t="s">
        <v>55</v>
      </c>
      <c r="C64" s="13" t="s">
        <v>56</v>
      </c>
      <c r="D64" s="14" t="s">
        <v>4</v>
      </c>
      <c r="E64" s="14" t="s">
        <v>4</v>
      </c>
      <c r="F64" s="14" t="s">
        <v>4</v>
      </c>
      <c r="G64" s="14" t="s">
        <v>75</v>
      </c>
      <c r="H64" s="15">
        <v>45803</v>
      </c>
      <c r="I64" s="17"/>
      <c r="J64" s="14" t="str">
        <f t="shared" si="0"/>
        <v>N/A</v>
      </c>
      <c r="L64" s="22">
        <f>SUMIFS('Detalhe Testes'!$H:$H,'Detalhe Testes'!$B:$B,'Detalhe Entregas e Status'!B64,'Detalhe Testes'!$C:$C,'Detalhe Entregas e Status'!C64)</f>
        <v>0</v>
      </c>
      <c r="M64" s="14"/>
      <c r="N64" s="14"/>
      <c r="P64" s="15"/>
      <c r="Q64" s="15"/>
      <c r="R64" s="15"/>
      <c r="T64" s="30" t="s">
        <v>292</v>
      </c>
      <c r="U64" s="30"/>
    </row>
    <row r="65" spans="2:21">
      <c r="B65" s="13" t="s">
        <v>55</v>
      </c>
      <c r="C65" s="13" t="s">
        <v>57</v>
      </c>
      <c r="D65" s="14" t="s">
        <v>4</v>
      </c>
      <c r="E65" s="14" t="s">
        <v>4</v>
      </c>
      <c r="F65" s="14" t="s">
        <v>4</v>
      </c>
      <c r="G65" s="14" t="s">
        <v>75</v>
      </c>
      <c r="H65" s="15">
        <v>45803</v>
      </c>
      <c r="I65" s="17"/>
      <c r="J65" s="14" t="str">
        <f t="shared" si="0"/>
        <v>N/A</v>
      </c>
      <c r="L65" s="22">
        <f>SUMIFS('Detalhe Testes'!$H:$H,'Detalhe Testes'!$B:$B,'Detalhe Entregas e Status'!B65,'Detalhe Testes'!$C:$C,'Detalhe Entregas e Status'!C65)</f>
        <v>0</v>
      </c>
      <c r="M65" s="14"/>
      <c r="N65" s="14"/>
      <c r="P65" s="15"/>
      <c r="Q65" s="15"/>
      <c r="R65" s="15"/>
      <c r="T65" s="30" t="s">
        <v>292</v>
      </c>
      <c r="U65" s="30"/>
    </row>
    <row r="66" spans="2:21">
      <c r="B66" s="13" t="s">
        <v>55</v>
      </c>
      <c r="C66" s="13" t="s">
        <v>58</v>
      </c>
      <c r="D66" s="14" t="s">
        <v>4</v>
      </c>
      <c r="E66" s="14" t="s">
        <v>4</v>
      </c>
      <c r="F66" s="14" t="s">
        <v>4</v>
      </c>
      <c r="G66" s="14" t="s">
        <v>75</v>
      </c>
      <c r="H66" s="15">
        <v>45803</v>
      </c>
      <c r="I66" s="17"/>
      <c r="J66" s="14" t="str">
        <f t="shared" si="0"/>
        <v>N/A</v>
      </c>
      <c r="L66" s="22">
        <f>SUMIFS('Detalhe Testes'!$H:$H,'Detalhe Testes'!$B:$B,'Detalhe Entregas e Status'!B66,'Detalhe Testes'!$C:$C,'Detalhe Entregas e Status'!C66)</f>
        <v>0</v>
      </c>
      <c r="M66" s="14"/>
      <c r="N66" s="14"/>
      <c r="P66" s="15"/>
      <c r="Q66" s="15"/>
      <c r="R66" s="15"/>
      <c r="T66" s="30" t="s">
        <v>292</v>
      </c>
      <c r="U66" s="30"/>
    </row>
    <row r="67" spans="2:21">
      <c r="B67" s="13" t="s">
        <v>55</v>
      </c>
      <c r="C67" s="13" t="s">
        <v>59</v>
      </c>
      <c r="D67" s="14" t="s">
        <v>3</v>
      </c>
      <c r="E67" s="14" t="s">
        <v>4</v>
      </c>
      <c r="F67" s="14" t="s">
        <v>4</v>
      </c>
      <c r="G67" s="14" t="s">
        <v>79</v>
      </c>
      <c r="H67" s="15">
        <v>45789</v>
      </c>
      <c r="I67" s="16">
        <v>45789</v>
      </c>
      <c r="J67" s="14">
        <f t="shared" si="0"/>
        <v>0</v>
      </c>
      <c r="L67" s="22">
        <f>SUMIFS('Detalhe Testes'!$H:$H,'Detalhe Testes'!$B:$B,'Detalhe Entregas e Status'!B67,'Detalhe Testes'!$C:$C,'Detalhe Entregas e Status'!C67)</f>
        <v>0</v>
      </c>
      <c r="M67" s="14"/>
      <c r="N67" s="14"/>
      <c r="P67" s="15"/>
      <c r="Q67" s="15"/>
      <c r="R67" s="15"/>
      <c r="T67" s="30" t="s">
        <v>118</v>
      </c>
      <c r="U67" s="30"/>
    </row>
    <row r="68" spans="2:21">
      <c r="B68" s="13" t="s">
        <v>55</v>
      </c>
      <c r="C68" s="13" t="s">
        <v>60</v>
      </c>
      <c r="D68" s="14" t="s">
        <v>3</v>
      </c>
      <c r="E68" s="14" t="s">
        <v>4</v>
      </c>
      <c r="F68" s="14" t="s">
        <v>3</v>
      </c>
      <c r="G68" s="14" t="s">
        <v>79</v>
      </c>
      <c r="H68" s="15">
        <v>45803</v>
      </c>
      <c r="I68" s="17"/>
      <c r="J68" s="14" t="str">
        <f t="shared" si="0"/>
        <v>N/A</v>
      </c>
      <c r="L68" s="22">
        <f>SUMIFS('Detalhe Testes'!$H:$H,'Detalhe Testes'!$B:$B,'Detalhe Entregas e Status'!B68,'Detalhe Testes'!$C:$C,'Detalhe Entregas e Status'!C68)</f>
        <v>0</v>
      </c>
      <c r="M68" s="14"/>
      <c r="N68" s="14"/>
      <c r="P68" s="15"/>
      <c r="Q68" s="15"/>
      <c r="R68" s="15"/>
      <c r="T68" s="30" t="s">
        <v>292</v>
      </c>
      <c r="U68" s="30"/>
    </row>
    <row r="69" spans="2:21">
      <c r="B69" s="13" t="s">
        <v>61</v>
      </c>
      <c r="C69" s="13" t="s">
        <v>90</v>
      </c>
      <c r="D69" s="14" t="s">
        <v>91</v>
      </c>
      <c r="E69" s="14" t="s">
        <v>91</v>
      </c>
      <c r="F69" s="14" t="s">
        <v>91</v>
      </c>
      <c r="G69" s="14" t="s">
        <v>75</v>
      </c>
      <c r="H69" s="15">
        <v>45803</v>
      </c>
      <c r="I69" s="17"/>
      <c r="J69" s="14" t="str">
        <f t="shared" si="0"/>
        <v>N/A</v>
      </c>
      <c r="L69" s="22">
        <f>SUMIFS('Detalhe Testes'!$H:$H,'Detalhe Testes'!$B:$B,'Detalhe Entregas e Status'!B69,'Detalhe Testes'!$C:$C,'Detalhe Entregas e Status'!C69)</f>
        <v>0</v>
      </c>
      <c r="M69" s="14"/>
      <c r="N69" s="14"/>
      <c r="P69" s="15"/>
      <c r="Q69" s="15"/>
      <c r="R69" s="15"/>
      <c r="T69" s="30" t="s">
        <v>292</v>
      </c>
      <c r="U69" s="30"/>
    </row>
    <row r="70" spans="2:21">
      <c r="B70" s="13" t="s">
        <v>61</v>
      </c>
      <c r="C70" s="13" t="s">
        <v>36</v>
      </c>
      <c r="D70" s="14" t="s">
        <v>4</v>
      </c>
      <c r="E70" s="14" t="s">
        <v>4</v>
      </c>
      <c r="F70" s="14" t="s">
        <v>4</v>
      </c>
      <c r="G70" s="14" t="s">
        <v>75</v>
      </c>
      <c r="H70" s="15">
        <v>45803</v>
      </c>
      <c r="I70" s="17"/>
      <c r="J70" s="14" t="str">
        <f t="shared" si="0"/>
        <v>N/A</v>
      </c>
      <c r="L70" s="22">
        <f>SUMIFS('Detalhe Testes'!$H:$H,'Detalhe Testes'!$B:$B,'Detalhe Entregas e Status'!B70,'Detalhe Testes'!$C:$C,'Detalhe Entregas e Status'!C70)</f>
        <v>0</v>
      </c>
      <c r="M70" s="14"/>
      <c r="N70" s="14"/>
      <c r="P70" s="15"/>
      <c r="Q70" s="15"/>
      <c r="R70" s="15"/>
      <c r="T70" s="30" t="s">
        <v>292</v>
      </c>
      <c r="U70" s="30"/>
    </row>
    <row r="71" spans="2:21">
      <c r="B71" s="13" t="s">
        <v>61</v>
      </c>
      <c r="C71" s="13" t="s">
        <v>38</v>
      </c>
      <c r="D71" s="14" t="s">
        <v>4</v>
      </c>
      <c r="E71" s="14" t="s">
        <v>4</v>
      </c>
      <c r="F71" s="14" t="s">
        <v>4</v>
      </c>
      <c r="G71" s="14" t="s">
        <v>75</v>
      </c>
      <c r="H71" s="15">
        <v>45803</v>
      </c>
      <c r="I71" s="17"/>
      <c r="J71" s="14" t="str">
        <f t="shared" si="0"/>
        <v>N/A</v>
      </c>
      <c r="L71" s="22">
        <f>SUMIFS('Detalhe Testes'!$H:$H,'Detalhe Testes'!$B:$B,'Detalhe Entregas e Status'!B71,'Detalhe Testes'!$C:$C,'Detalhe Entregas e Status'!C71)</f>
        <v>0</v>
      </c>
      <c r="M71" s="14"/>
      <c r="N71" s="14"/>
      <c r="P71" s="15"/>
      <c r="Q71" s="15"/>
      <c r="R71" s="15"/>
      <c r="T71" s="30" t="s">
        <v>292</v>
      </c>
      <c r="U71" s="30"/>
    </row>
    <row r="72" spans="2:21">
      <c r="B72" s="13" t="s">
        <v>61</v>
      </c>
      <c r="C72" s="13" t="s">
        <v>54</v>
      </c>
      <c r="D72" s="14" t="s">
        <v>4</v>
      </c>
      <c r="E72" s="14" t="s">
        <v>4</v>
      </c>
      <c r="F72" s="14" t="s">
        <v>4</v>
      </c>
      <c r="G72" s="14" t="s">
        <v>75</v>
      </c>
      <c r="H72" s="15">
        <v>45803</v>
      </c>
      <c r="I72" s="17"/>
      <c r="J72" s="14" t="str">
        <f t="shared" si="0"/>
        <v>N/A</v>
      </c>
      <c r="L72" s="22">
        <f>SUMIFS('Detalhe Testes'!$H:$H,'Detalhe Testes'!$B:$B,'Detalhe Entregas e Status'!B72,'Detalhe Testes'!$C:$C,'Detalhe Entregas e Status'!C72)</f>
        <v>0</v>
      </c>
      <c r="M72" s="14"/>
      <c r="N72" s="14"/>
      <c r="P72" s="15"/>
      <c r="Q72" s="15"/>
      <c r="R72" s="15"/>
      <c r="T72" s="30" t="s">
        <v>292</v>
      </c>
      <c r="U72" s="30"/>
    </row>
    <row r="73" spans="2:21">
      <c r="B73" s="13" t="s">
        <v>61</v>
      </c>
      <c r="C73" s="13" t="s">
        <v>56</v>
      </c>
      <c r="D73" s="14" t="s">
        <v>4</v>
      </c>
      <c r="E73" s="14" t="s">
        <v>4</v>
      </c>
      <c r="F73" s="14" t="s">
        <v>4</v>
      </c>
      <c r="G73" s="14" t="s">
        <v>75</v>
      </c>
      <c r="H73" s="15">
        <v>45803</v>
      </c>
      <c r="I73" s="17"/>
      <c r="J73" s="14" t="str">
        <f t="shared" si="0"/>
        <v>N/A</v>
      </c>
      <c r="L73" s="22">
        <f>SUMIFS('Detalhe Testes'!$H:$H,'Detalhe Testes'!$B:$B,'Detalhe Entregas e Status'!B73,'Detalhe Testes'!$C:$C,'Detalhe Entregas e Status'!C73)</f>
        <v>0</v>
      </c>
      <c r="M73" s="14"/>
      <c r="N73" s="14"/>
      <c r="P73" s="15"/>
      <c r="Q73" s="15"/>
      <c r="R73" s="15"/>
      <c r="T73" s="30" t="s">
        <v>292</v>
      </c>
      <c r="U73" s="30"/>
    </row>
    <row r="74" spans="2:21">
      <c r="B74" s="13" t="s">
        <v>61</v>
      </c>
      <c r="C74" s="13" t="s">
        <v>62</v>
      </c>
      <c r="D74" s="14" t="s">
        <v>3</v>
      </c>
      <c r="E74" s="14" t="s">
        <v>4</v>
      </c>
      <c r="F74" s="14" t="s">
        <v>4</v>
      </c>
      <c r="G74" s="14" t="s">
        <v>79</v>
      </c>
      <c r="H74" s="15">
        <v>45803</v>
      </c>
      <c r="I74" s="17"/>
      <c r="J74" s="14" t="str">
        <f t="shared" si="0"/>
        <v>N/A</v>
      </c>
      <c r="L74" s="22">
        <f>SUMIFS('Detalhe Testes'!$H:$H,'Detalhe Testes'!$B:$B,'Detalhe Entregas e Status'!B74,'Detalhe Testes'!$C:$C,'Detalhe Entregas e Status'!C74)</f>
        <v>0</v>
      </c>
      <c r="M74" s="14"/>
      <c r="N74" s="14"/>
      <c r="P74" s="15"/>
      <c r="Q74" s="15"/>
      <c r="R74" s="15"/>
      <c r="T74" s="30" t="s">
        <v>292</v>
      </c>
      <c r="U74" s="30"/>
    </row>
    <row r="75" spans="2:21">
      <c r="B75" s="13" t="s">
        <v>63</v>
      </c>
      <c r="C75" s="13" t="s">
        <v>90</v>
      </c>
      <c r="D75" s="14" t="s">
        <v>91</v>
      </c>
      <c r="E75" s="14" t="s">
        <v>91</v>
      </c>
      <c r="F75" s="14" t="s">
        <v>91</v>
      </c>
      <c r="G75" s="14" t="s">
        <v>78</v>
      </c>
      <c r="H75" s="15">
        <v>45789</v>
      </c>
      <c r="I75" s="16">
        <v>45789</v>
      </c>
      <c r="J75" s="14">
        <f t="shared" si="0"/>
        <v>0</v>
      </c>
      <c r="L75" s="22">
        <f>SUMIFS('Detalhe Testes'!$H:$H,'Detalhe Testes'!$B:$B,'Detalhe Entregas e Status'!B75,'Detalhe Testes'!$C:$C,'Detalhe Entregas e Status'!C75)</f>
        <v>0</v>
      </c>
      <c r="M75" s="14"/>
      <c r="N75" s="14"/>
      <c r="P75" s="15"/>
      <c r="Q75" s="15"/>
      <c r="R75" s="15"/>
      <c r="T75" s="30" t="s">
        <v>125</v>
      </c>
      <c r="U75" s="30"/>
    </row>
    <row r="76" spans="2:21">
      <c r="B76" s="13" t="s">
        <v>63</v>
      </c>
      <c r="C76" s="13" t="s">
        <v>64</v>
      </c>
      <c r="D76" s="14" t="s">
        <v>3</v>
      </c>
      <c r="E76" s="14" t="s">
        <v>4</v>
      </c>
      <c r="F76" s="14" t="s">
        <v>4</v>
      </c>
      <c r="G76" s="14" t="s">
        <v>78</v>
      </c>
      <c r="H76" s="15">
        <v>45789</v>
      </c>
      <c r="I76" s="16">
        <v>45789</v>
      </c>
      <c r="J76" s="14">
        <f t="shared" si="0"/>
        <v>0</v>
      </c>
      <c r="L76" s="22">
        <f>SUMIFS('Detalhe Testes'!$H:$H,'Detalhe Testes'!$B:$B,'Detalhe Entregas e Status'!B76,'Detalhe Testes'!$C:$C,'Detalhe Entregas e Status'!C76)</f>
        <v>0</v>
      </c>
      <c r="M76" s="14"/>
      <c r="N76" s="14"/>
      <c r="P76" s="15"/>
      <c r="Q76" s="15"/>
      <c r="R76" s="15"/>
      <c r="T76" s="30" t="s">
        <v>125</v>
      </c>
      <c r="U76" s="30"/>
    </row>
    <row r="77" spans="2:21">
      <c r="B77" s="13" t="s">
        <v>63</v>
      </c>
      <c r="C77" s="13" t="s">
        <v>65</v>
      </c>
      <c r="D77" s="14" t="s">
        <v>3</v>
      </c>
      <c r="E77" s="14" t="s">
        <v>4</v>
      </c>
      <c r="F77" s="14" t="s">
        <v>4</v>
      </c>
      <c r="G77" s="14" t="s">
        <v>79</v>
      </c>
      <c r="H77" s="15">
        <v>45803</v>
      </c>
      <c r="I77" s="17"/>
      <c r="J77" s="14" t="str">
        <f t="shared" si="0"/>
        <v>N/A</v>
      </c>
      <c r="L77" s="22">
        <f>SUMIFS('Detalhe Testes'!$H:$H,'Detalhe Testes'!$B:$B,'Detalhe Entregas e Status'!B77,'Detalhe Testes'!$C:$C,'Detalhe Entregas e Status'!C77)</f>
        <v>0</v>
      </c>
      <c r="M77" s="14"/>
      <c r="N77" s="14"/>
      <c r="P77" s="15"/>
      <c r="Q77" s="15"/>
      <c r="R77" s="15"/>
      <c r="T77" s="30" t="s">
        <v>292</v>
      </c>
      <c r="U77" s="30"/>
    </row>
    <row r="78" spans="2:21">
      <c r="B78" s="13" t="s">
        <v>63</v>
      </c>
      <c r="C78" s="13" t="s">
        <v>66</v>
      </c>
      <c r="D78" s="14" t="s">
        <v>3</v>
      </c>
      <c r="E78" s="14" t="s">
        <v>4</v>
      </c>
      <c r="F78" s="14" t="s">
        <v>4</v>
      </c>
      <c r="G78" s="14" t="s">
        <v>78</v>
      </c>
      <c r="H78" s="15">
        <v>45789</v>
      </c>
      <c r="I78" s="16">
        <v>45789</v>
      </c>
      <c r="J78" s="14">
        <f t="shared" ref="J78:J81" si="1">+IF(I78="","N/A",I78-H78)</f>
        <v>0</v>
      </c>
      <c r="L78" s="22">
        <f>SUMIFS('Detalhe Testes'!$H:$H,'Detalhe Testes'!$B:$B,'Detalhe Entregas e Status'!B78,'Detalhe Testes'!$C:$C,'Detalhe Entregas e Status'!C78)</f>
        <v>0</v>
      </c>
      <c r="M78" s="14"/>
      <c r="N78" s="14"/>
      <c r="P78" s="15"/>
      <c r="Q78" s="15"/>
      <c r="R78" s="15"/>
      <c r="T78" s="30" t="s">
        <v>125</v>
      </c>
      <c r="U78" s="30"/>
    </row>
    <row r="79" spans="2:21">
      <c r="B79" s="13" t="s">
        <v>63</v>
      </c>
      <c r="C79" s="13" t="s">
        <v>36</v>
      </c>
      <c r="D79" s="14" t="s">
        <v>3</v>
      </c>
      <c r="E79" s="14" t="s">
        <v>4</v>
      </c>
      <c r="F79" s="14" t="s">
        <v>4</v>
      </c>
      <c r="G79" s="14" t="s">
        <v>78</v>
      </c>
      <c r="H79" s="15">
        <v>45789</v>
      </c>
      <c r="I79" s="16">
        <v>45789</v>
      </c>
      <c r="J79" s="14">
        <f t="shared" si="1"/>
        <v>0</v>
      </c>
      <c r="L79" s="22">
        <f>SUMIFS('Detalhe Testes'!$H:$H,'Detalhe Testes'!$B:$B,'Detalhe Entregas e Status'!B79,'Detalhe Testes'!$C:$C,'Detalhe Entregas e Status'!C79)</f>
        <v>0</v>
      </c>
      <c r="M79" s="14"/>
      <c r="N79" s="14"/>
      <c r="P79" s="15"/>
      <c r="Q79" s="15"/>
      <c r="R79" s="15"/>
      <c r="T79" s="30" t="s">
        <v>125</v>
      </c>
      <c r="U79" s="30"/>
    </row>
    <row r="80" spans="2:21">
      <c r="B80" s="13" t="s">
        <v>63</v>
      </c>
      <c r="C80" s="13" t="s">
        <v>38</v>
      </c>
      <c r="D80" s="14" t="s">
        <v>3</v>
      </c>
      <c r="E80" s="14" t="s">
        <v>4</v>
      </c>
      <c r="F80" s="14" t="s">
        <v>4</v>
      </c>
      <c r="G80" s="14" t="s">
        <v>78</v>
      </c>
      <c r="H80" s="15">
        <v>45789</v>
      </c>
      <c r="I80" s="16">
        <v>45789</v>
      </c>
      <c r="J80" s="14">
        <f t="shared" si="1"/>
        <v>0</v>
      </c>
      <c r="L80" s="22">
        <f>SUMIFS('Detalhe Testes'!$H:$H,'Detalhe Testes'!$B:$B,'Detalhe Entregas e Status'!B80,'Detalhe Testes'!$C:$C,'Detalhe Entregas e Status'!C80)</f>
        <v>0</v>
      </c>
      <c r="M80" s="14"/>
      <c r="N80" s="14"/>
      <c r="P80" s="15"/>
      <c r="Q80" s="15"/>
      <c r="R80" s="15"/>
      <c r="T80" s="30" t="s">
        <v>125</v>
      </c>
      <c r="U80" s="30"/>
    </row>
    <row r="81" spans="2:21">
      <c r="B81" s="13" t="s">
        <v>63</v>
      </c>
      <c r="C81" s="13" t="s">
        <v>54</v>
      </c>
      <c r="D81" s="14" t="s">
        <v>3</v>
      </c>
      <c r="E81" s="14" t="s">
        <v>4</v>
      </c>
      <c r="F81" s="14" t="s">
        <v>4</v>
      </c>
      <c r="G81" s="14" t="s">
        <v>78</v>
      </c>
      <c r="H81" s="15">
        <v>45789</v>
      </c>
      <c r="I81" s="16">
        <v>45789</v>
      </c>
      <c r="J81" s="14">
        <f t="shared" si="1"/>
        <v>0</v>
      </c>
      <c r="L81" s="22">
        <f>SUMIFS('Detalhe Testes'!$H:$H,'Detalhe Testes'!$B:$B,'Detalhe Entregas e Status'!B81,'Detalhe Testes'!$C:$C,'Detalhe Entregas e Status'!C81)</f>
        <v>0</v>
      </c>
      <c r="M81" s="14"/>
      <c r="N81" s="14"/>
      <c r="P81" s="15"/>
      <c r="Q81" s="15"/>
      <c r="R81" s="15"/>
      <c r="T81" s="30" t="s">
        <v>125</v>
      </c>
      <c r="U81" s="30"/>
    </row>
  </sheetData>
  <autoFilter ref="B8:U81" xr:uid="{B42690F1-F88C-47BB-A452-DBF1CCF20DAA}"/>
  <mergeCells count="2">
    <mergeCell ref="H7:J7"/>
    <mergeCell ref="P7:R7"/>
  </mergeCells>
  <conditionalFormatting sqref="J9:J81">
    <cfRule type="containsText" dxfId="9" priority="9" operator="containsText" text="N/A">
      <formula>NOT(ISERROR(SEARCH("N/A",J9)))</formula>
    </cfRule>
    <cfRule type="cellIs" dxfId="8" priority="10" operator="lessThanOrEqual">
      <formula>0</formula>
    </cfRule>
    <cfRule type="cellIs" dxfId="7" priority="11" operator="greaterThan">
      <formula>0</formula>
    </cfRule>
  </conditionalFormatting>
  <dataValidations count="1">
    <dataValidation type="list" allowBlank="1" showInputMessage="1" showErrorMessage="1" sqref="M9:N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A20119A-6665-4037-9D06-160B3C0E2295}">
            <xm:f>'Aux Testes_Status'!$B$26</xm:f>
            <x14:dxf>
              <fill>
                <patternFill>
                  <bgColor rgb="FF993366"/>
                </patternFill>
              </fill>
            </x14:dxf>
          </x14:cfRule>
          <xm:sqref>T9:T81</xm:sqref>
        </x14:conditionalFormatting>
        <x14:conditionalFormatting xmlns:xm="http://schemas.microsoft.com/office/excel/2006/main">
          <x14:cfRule type="cellIs" priority="2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T9:U81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AD7EA5A-2CF0-4373-973C-B711E30DEC86}">
          <x14:formula1>
            <xm:f>'Aux Testes_Status'!$B$20:$B$25</xm:f>
          </x14:formula1>
          <xm:sqref>U9:U81</xm:sqref>
        </x14:dataValidation>
        <x14:dataValidation type="list" allowBlank="1" showInputMessage="1" showErrorMessage="1" xr:uid="{14EB6310-AE1A-4092-9C05-8CDEFA12E661}">
          <x14:formula1>
            <xm:f>'Aux Testes_Status'!$B$20:$B$26</xm:f>
          </x14:formula1>
          <xm:sqref>T9:T81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F171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L8" sqref="L8"/>
    </sheetView>
  </sheetViews>
  <sheetFormatPr defaultColWidth="8.85546875" defaultRowHeight="12.75"/>
  <cols>
    <col min="1" max="1" width="3.7109375" style="3" customWidth="1"/>
    <col min="2" max="2" width="20.28515625" style="3" bestFit="1" customWidth="1"/>
    <col min="3" max="3" width="43.85546875" style="3" bestFit="1" customWidth="1"/>
    <col min="4" max="4" width="37.7109375" style="8" bestFit="1" customWidth="1"/>
    <col min="5" max="5" width="15" style="3" customWidth="1"/>
    <col min="6" max="6" width="17.42578125" style="3" bestFit="1" customWidth="1"/>
    <col min="7" max="7" width="2.7109375" style="3" customWidth="1"/>
    <col min="8" max="8" width="13.85546875" style="3" customWidth="1"/>
    <col min="9" max="9" width="15" style="3" customWidth="1"/>
    <col min="10" max="10" width="2.7109375" style="3" customWidth="1"/>
    <col min="11" max="15" width="15.7109375" style="3" customWidth="1"/>
    <col min="16" max="17" width="15.7109375" style="8" customWidth="1"/>
    <col min="18" max="20" width="15.7109375" style="3" customWidth="1"/>
    <col min="21" max="16384" width="8.85546875" style="3"/>
  </cols>
  <sheetData>
    <row r="1" spans="1:32" ht="16.149999999999999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9"/>
      <c r="Q3" s="29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1">
        <f>MAX(K8:V8)</f>
        <v>45789</v>
      </c>
      <c r="K7" s="204" t="s">
        <v>267</v>
      </c>
      <c r="L7" s="204"/>
      <c r="M7" s="204"/>
      <c r="N7" s="204"/>
      <c r="O7" s="204"/>
    </row>
    <row r="8" spans="1:32" ht="15" customHeight="1">
      <c r="B8" s="23" t="s">
        <v>80</v>
      </c>
      <c r="C8" s="24" t="s">
        <v>81</v>
      </c>
      <c r="D8" s="24" t="s">
        <v>92</v>
      </c>
      <c r="E8" s="24" t="s">
        <v>98</v>
      </c>
      <c r="F8" s="31" t="s">
        <v>102</v>
      </c>
      <c r="H8" s="27" t="s">
        <v>72</v>
      </c>
      <c r="I8" s="27" t="s">
        <v>111</v>
      </c>
      <c r="K8" s="38">
        <v>45789</v>
      </c>
      <c r="L8" s="39"/>
      <c r="M8" s="39"/>
      <c r="N8" s="39"/>
      <c r="O8" s="40"/>
      <c r="P8" s="3"/>
      <c r="Q8" s="3"/>
    </row>
    <row r="9" spans="1:32" ht="15" customHeight="1">
      <c r="B9" s="13" t="s">
        <v>1</v>
      </c>
      <c r="C9" s="13" t="s">
        <v>90</v>
      </c>
      <c r="D9" s="30" t="s">
        <v>93</v>
      </c>
      <c r="E9" s="14" t="s">
        <v>99</v>
      </c>
      <c r="F9" s="14">
        <v>16</v>
      </c>
      <c r="H9" s="17" t="str" cm="1">
        <f t="array" ref="H9">IF(INDEX($K:$AA,ROW(C9),MATCH($H$7,$K$8:$AA$8,0))="","",INDEX($K:$AA,ROW(C9),MATCH($H$7,$K$8:$AA$8,0)))</f>
        <v/>
      </c>
      <c r="I9" s="17"/>
      <c r="K9" s="17"/>
      <c r="L9" s="17"/>
      <c r="M9" s="17"/>
      <c r="N9" s="17"/>
      <c r="O9" s="17"/>
    </row>
    <row r="10" spans="1:32" ht="15" customHeight="1">
      <c r="B10" s="13" t="s">
        <v>1</v>
      </c>
      <c r="C10" s="13" t="s">
        <v>2</v>
      </c>
      <c r="D10" s="30" t="s">
        <v>94</v>
      </c>
      <c r="E10" s="14" t="s">
        <v>100</v>
      </c>
      <c r="F10" s="14">
        <v>4</v>
      </c>
      <c r="H10" s="17" t="str" cm="1">
        <f t="array" ref="H10">IF(INDEX($K:$AA,ROW(C10),MATCH($H$7,$K$8:$AA$8,0))="","",INDEX($K:$AA,ROW(C10),MATCH($H$7,$K$8:$AA$8,0)))</f>
        <v/>
      </c>
      <c r="I10" s="17"/>
      <c r="K10" s="17"/>
      <c r="L10" s="17"/>
      <c r="M10" s="17"/>
      <c r="N10" s="17"/>
      <c r="O10" s="17"/>
    </row>
    <row r="11" spans="1:32" ht="15" customHeight="1">
      <c r="B11" s="13" t="s">
        <v>1</v>
      </c>
      <c r="C11" s="13" t="s">
        <v>2</v>
      </c>
      <c r="D11" s="30" t="s">
        <v>95</v>
      </c>
      <c r="E11" s="14" t="s">
        <v>101</v>
      </c>
      <c r="F11" s="14">
        <v>1</v>
      </c>
      <c r="H11" s="17" t="str" cm="1">
        <f t="array" ref="H11">IF(INDEX($K:$AA,ROW(C11),MATCH($H$7,$K$8:$AA$8,0))="","",INDEX($K:$AA,ROW(C11),MATCH($H$7,$K$8:$AA$8,0)))</f>
        <v/>
      </c>
      <c r="I11" s="17"/>
      <c r="K11" s="17"/>
      <c r="L11" s="17"/>
      <c r="M11" s="17"/>
      <c r="N11" s="17"/>
      <c r="O11" s="17"/>
    </row>
    <row r="12" spans="1:32" ht="15" customHeight="1">
      <c r="B12" s="13" t="s">
        <v>1</v>
      </c>
      <c r="C12" s="13" t="s">
        <v>5</v>
      </c>
      <c r="D12" s="30" t="s">
        <v>94</v>
      </c>
      <c r="E12" s="14" t="s">
        <v>100</v>
      </c>
      <c r="F12" s="14">
        <v>4</v>
      </c>
      <c r="H12" s="17" t="str" cm="1">
        <f t="array" ref="H12">IF(INDEX($K:$AA,ROW(C12),MATCH($H$7,$K$8:$AA$8,0))="","",INDEX($K:$AA,ROW(C12),MATCH($H$7,$K$8:$AA$8,0)))</f>
        <v/>
      </c>
      <c r="I12" s="17"/>
      <c r="K12" s="17"/>
      <c r="L12" s="17"/>
      <c r="M12" s="17"/>
      <c r="N12" s="17"/>
      <c r="O12" s="17"/>
    </row>
    <row r="13" spans="1:32" ht="15" customHeight="1">
      <c r="B13" s="13" t="s">
        <v>1</v>
      </c>
      <c r="C13" s="13" t="s">
        <v>5</v>
      </c>
      <c r="D13" s="30" t="s">
        <v>95</v>
      </c>
      <c r="E13" s="14" t="s">
        <v>101</v>
      </c>
      <c r="F13" s="14">
        <v>1</v>
      </c>
      <c r="H13" s="17" t="str" cm="1">
        <f t="array" ref="H13">IF(INDEX($K:$AA,ROW(C13),MATCH($H$7,$K$8:$AA$8,0))="","",INDEX($K:$AA,ROW(C13),MATCH($H$7,$K$8:$AA$8,0)))</f>
        <v/>
      </c>
      <c r="I13" s="17"/>
      <c r="K13" s="17"/>
      <c r="L13" s="17"/>
      <c r="M13" s="17"/>
      <c r="N13" s="17"/>
      <c r="O13" s="17"/>
    </row>
    <row r="14" spans="1:32" ht="15" customHeight="1">
      <c r="B14" s="13" t="s">
        <v>1</v>
      </c>
      <c r="C14" s="13" t="s">
        <v>6</v>
      </c>
      <c r="D14" s="30" t="s">
        <v>94</v>
      </c>
      <c r="E14" s="14" t="s">
        <v>100</v>
      </c>
      <c r="F14" s="14">
        <v>4</v>
      </c>
      <c r="H14" s="17" t="str" cm="1">
        <f t="array" ref="H14">IF(INDEX($K:$AA,ROW(C14),MATCH($H$7,$K$8:$AA$8,0))="","",INDEX($K:$AA,ROW(C14),MATCH($H$7,$K$8:$AA$8,0)))</f>
        <v/>
      </c>
      <c r="I14" s="17"/>
      <c r="K14" s="17"/>
      <c r="L14" s="17"/>
      <c r="M14" s="17"/>
      <c r="N14" s="17"/>
      <c r="O14" s="17"/>
    </row>
    <row r="15" spans="1:32" ht="15" customHeight="1">
      <c r="B15" s="13" t="s">
        <v>1</v>
      </c>
      <c r="C15" s="13" t="s">
        <v>6</v>
      </c>
      <c r="D15" s="30" t="s">
        <v>95</v>
      </c>
      <c r="E15" s="14" t="s">
        <v>101</v>
      </c>
      <c r="F15" s="14">
        <v>1</v>
      </c>
      <c r="H15" s="17" t="str" cm="1">
        <f t="array" ref="H15">IF(INDEX($K:$AA,ROW(C15),MATCH($H$7,$K$8:$AA$8,0))="","",INDEX($K:$AA,ROW(C15),MATCH($H$7,$K$8:$AA$8,0)))</f>
        <v/>
      </c>
      <c r="I15" s="17"/>
      <c r="K15" s="17"/>
      <c r="L15" s="17"/>
      <c r="M15" s="17"/>
      <c r="N15" s="17"/>
      <c r="O15" s="17"/>
    </row>
    <row r="16" spans="1:32" ht="15" customHeight="1">
      <c r="B16" s="13" t="s">
        <v>1</v>
      </c>
      <c r="C16" s="13" t="s">
        <v>7</v>
      </c>
      <c r="D16" s="30" t="s">
        <v>94</v>
      </c>
      <c r="E16" s="14" t="s">
        <v>100</v>
      </c>
      <c r="F16" s="14">
        <v>4</v>
      </c>
      <c r="H16" s="17" t="str" cm="1">
        <f t="array" ref="H16">IF(INDEX($K:$AA,ROW(C16),MATCH($H$7,$K$8:$AA$8,0))="","",INDEX($K:$AA,ROW(C16),MATCH($H$7,$K$8:$AA$8,0)))</f>
        <v/>
      </c>
      <c r="I16" s="17"/>
      <c r="K16" s="17"/>
      <c r="L16" s="17"/>
      <c r="M16" s="17"/>
      <c r="N16" s="17"/>
      <c r="O16" s="17"/>
    </row>
    <row r="17" spans="2:15" ht="15" customHeight="1">
      <c r="B17" s="13" t="s">
        <v>1</v>
      </c>
      <c r="C17" s="13" t="s">
        <v>7</v>
      </c>
      <c r="D17" s="30" t="s">
        <v>95</v>
      </c>
      <c r="E17" s="14" t="s">
        <v>101</v>
      </c>
      <c r="F17" s="14">
        <v>1</v>
      </c>
      <c r="H17" s="17" t="str" cm="1">
        <f t="array" ref="H17">IF(INDEX($K:$AA,ROW(C17),MATCH($H$7,$K$8:$AA$8,0))="","",INDEX($K:$AA,ROW(C17),MATCH($H$7,$K$8:$AA$8,0)))</f>
        <v/>
      </c>
      <c r="I17" s="17"/>
      <c r="K17" s="17"/>
      <c r="L17" s="17"/>
      <c r="M17" s="17"/>
      <c r="N17" s="17"/>
      <c r="O17" s="17"/>
    </row>
    <row r="18" spans="2:15" ht="15" customHeight="1">
      <c r="B18" s="13" t="s">
        <v>1</v>
      </c>
      <c r="C18" s="13" t="s">
        <v>8</v>
      </c>
      <c r="D18" s="30" t="s">
        <v>94</v>
      </c>
      <c r="E18" s="14" t="s">
        <v>100</v>
      </c>
      <c r="F18" s="14">
        <v>4</v>
      </c>
      <c r="H18" s="17" t="str" cm="1">
        <f t="array" ref="H18">IF(INDEX($K:$AA,ROW(C18),MATCH($H$7,$K$8:$AA$8,0))="","",INDEX($K:$AA,ROW(C18),MATCH($H$7,$K$8:$AA$8,0)))</f>
        <v/>
      </c>
      <c r="I18" s="17"/>
      <c r="K18" s="17"/>
      <c r="L18" s="17"/>
      <c r="M18" s="17"/>
      <c r="N18" s="17"/>
      <c r="O18" s="17"/>
    </row>
    <row r="19" spans="2:15" ht="15" customHeight="1">
      <c r="B19" s="13" t="s">
        <v>1</v>
      </c>
      <c r="C19" s="13" t="s">
        <v>8</v>
      </c>
      <c r="D19" s="30" t="s">
        <v>95</v>
      </c>
      <c r="E19" s="14" t="s">
        <v>101</v>
      </c>
      <c r="F19" s="14">
        <v>1</v>
      </c>
      <c r="H19" s="17" t="str" cm="1">
        <f t="array" ref="H19">IF(INDEX($K:$AA,ROW(C19),MATCH($H$7,$K$8:$AA$8,0))="","",INDEX($K:$AA,ROW(C19),MATCH($H$7,$K$8:$AA$8,0)))</f>
        <v/>
      </c>
      <c r="I19" s="17"/>
      <c r="K19" s="17"/>
      <c r="L19" s="17"/>
      <c r="M19" s="17"/>
      <c r="N19" s="17"/>
      <c r="O19" s="17"/>
    </row>
    <row r="20" spans="2:15" ht="15" customHeight="1">
      <c r="B20" s="13" t="s">
        <v>1</v>
      </c>
      <c r="C20" s="13" t="s">
        <v>9</v>
      </c>
      <c r="D20" s="30" t="s">
        <v>95</v>
      </c>
      <c r="E20" s="14" t="s">
        <v>101</v>
      </c>
      <c r="F20" s="14">
        <v>1</v>
      </c>
      <c r="H20" s="17" t="str" cm="1">
        <f t="array" ref="H20">IF(INDEX($K:$AA,ROW(C20),MATCH($H$7,$K$8:$AA$8,0))="","",INDEX($K:$AA,ROW(C20),MATCH($H$7,$K$8:$AA$8,0)))</f>
        <v/>
      </c>
      <c r="I20" s="17"/>
      <c r="K20" s="17"/>
      <c r="L20" s="17"/>
      <c r="M20" s="17"/>
      <c r="N20" s="17"/>
      <c r="O20" s="17"/>
    </row>
    <row r="21" spans="2:15" ht="15" customHeight="1">
      <c r="B21" s="13" t="s">
        <v>1</v>
      </c>
      <c r="C21" s="13" t="s">
        <v>10</v>
      </c>
      <c r="D21" s="30" t="s">
        <v>94</v>
      </c>
      <c r="E21" s="14" t="s">
        <v>101</v>
      </c>
      <c r="F21" s="14">
        <v>2</v>
      </c>
      <c r="H21" s="17" t="str" cm="1">
        <f t="array" ref="H21">IF(INDEX($K:$AA,ROW(C21),MATCH($H$7,$K$8:$AA$8,0))="","",INDEX($K:$AA,ROW(C21),MATCH($H$7,$K$8:$AA$8,0)))</f>
        <v/>
      </c>
      <c r="I21" s="17"/>
      <c r="K21" s="17"/>
      <c r="L21" s="17"/>
      <c r="M21" s="17"/>
      <c r="N21" s="17"/>
      <c r="O21" s="17"/>
    </row>
    <row r="22" spans="2:15" ht="15" customHeight="1">
      <c r="B22" s="13" t="s">
        <v>1</v>
      </c>
      <c r="C22" s="13" t="s">
        <v>10</v>
      </c>
      <c r="D22" s="30" t="s">
        <v>95</v>
      </c>
      <c r="E22" s="14" t="s">
        <v>101</v>
      </c>
      <c r="F22" s="14">
        <v>1</v>
      </c>
      <c r="H22" s="17" t="str" cm="1">
        <f t="array" ref="H22">IF(INDEX($K:$AA,ROW(C22),MATCH($H$7,$K$8:$AA$8,0))="","",INDEX($K:$AA,ROW(C22),MATCH($H$7,$K$8:$AA$8,0)))</f>
        <v/>
      </c>
      <c r="I22" s="17"/>
      <c r="K22" s="17"/>
      <c r="L22" s="17"/>
      <c r="M22" s="17"/>
      <c r="N22" s="17"/>
      <c r="O22" s="17"/>
    </row>
    <row r="23" spans="2:15" ht="15" customHeight="1">
      <c r="B23" s="13" t="s">
        <v>1</v>
      </c>
      <c r="C23" s="13" t="s">
        <v>10</v>
      </c>
      <c r="D23" s="30" t="s">
        <v>96</v>
      </c>
      <c r="E23" s="14" t="s">
        <v>101</v>
      </c>
      <c r="F23" s="14">
        <v>2</v>
      </c>
      <c r="H23" s="17" t="str" cm="1">
        <f t="array" ref="H23">IF(INDEX($K:$AA,ROW(C23),MATCH($H$7,$K$8:$AA$8,0))="","",INDEX($K:$AA,ROW(C23),MATCH($H$7,$K$8:$AA$8,0)))</f>
        <v/>
      </c>
      <c r="I23" s="17"/>
      <c r="K23" s="17"/>
      <c r="L23" s="17"/>
      <c r="M23" s="17"/>
      <c r="N23" s="17"/>
      <c r="O23" s="17"/>
    </row>
    <row r="24" spans="2:15" ht="15" customHeight="1">
      <c r="B24" s="13" t="s">
        <v>1</v>
      </c>
      <c r="C24" s="13" t="s">
        <v>11</v>
      </c>
      <c r="D24" s="30" t="s">
        <v>94</v>
      </c>
      <c r="E24" s="14" t="s">
        <v>101</v>
      </c>
      <c r="F24" s="14">
        <v>2</v>
      </c>
      <c r="H24" s="17" t="str" cm="1">
        <f t="array" ref="H24">IF(INDEX($K:$AA,ROW(C24),MATCH($H$7,$K$8:$AA$8,0))="","",INDEX($K:$AA,ROW(C24),MATCH($H$7,$K$8:$AA$8,0)))</f>
        <v/>
      </c>
      <c r="I24" s="17"/>
      <c r="K24" s="17"/>
      <c r="L24" s="17"/>
      <c r="M24" s="17"/>
      <c r="N24" s="17"/>
      <c r="O24" s="17"/>
    </row>
    <row r="25" spans="2:15" ht="15" customHeight="1">
      <c r="B25" s="13" t="s">
        <v>1</v>
      </c>
      <c r="C25" s="13" t="s">
        <v>11</v>
      </c>
      <c r="D25" s="30" t="s">
        <v>95</v>
      </c>
      <c r="E25" s="14" t="s">
        <v>101</v>
      </c>
      <c r="F25" s="14">
        <v>1</v>
      </c>
      <c r="H25" s="17" t="str" cm="1">
        <f t="array" ref="H25">IF(INDEX($K:$AA,ROW(C25),MATCH($H$7,$K$8:$AA$8,0))="","",INDEX($K:$AA,ROW(C25),MATCH($H$7,$K$8:$AA$8,0)))</f>
        <v/>
      </c>
      <c r="I25" s="17"/>
      <c r="K25" s="17"/>
      <c r="L25" s="17"/>
      <c r="M25" s="17"/>
      <c r="N25" s="17"/>
      <c r="O25" s="17"/>
    </row>
    <row r="26" spans="2:15" ht="15" customHeight="1">
      <c r="B26" s="13" t="s">
        <v>1</v>
      </c>
      <c r="C26" s="13" t="s">
        <v>11</v>
      </c>
      <c r="D26" s="30" t="s">
        <v>96</v>
      </c>
      <c r="E26" s="14" t="s">
        <v>101</v>
      </c>
      <c r="F26" s="14">
        <v>2</v>
      </c>
      <c r="H26" s="17" t="str" cm="1">
        <f t="array" ref="H26">IF(INDEX($K:$AA,ROW(C26),MATCH($H$7,$K$8:$AA$8,0))="","",INDEX($K:$AA,ROW(C26),MATCH($H$7,$K$8:$AA$8,0)))</f>
        <v/>
      </c>
      <c r="I26" s="17"/>
      <c r="K26" s="17"/>
      <c r="L26" s="17"/>
      <c r="M26" s="17"/>
      <c r="N26" s="17"/>
      <c r="O26" s="17"/>
    </row>
    <row r="27" spans="2:15" ht="15" customHeight="1">
      <c r="B27" s="13" t="s">
        <v>1</v>
      </c>
      <c r="C27" s="13" t="s">
        <v>12</v>
      </c>
      <c r="D27" s="30" t="s">
        <v>94</v>
      </c>
      <c r="E27" s="14" t="s">
        <v>100</v>
      </c>
      <c r="F27" s="14">
        <v>4</v>
      </c>
      <c r="H27" s="17" t="str" cm="1">
        <f t="array" ref="H27">IF(INDEX($K:$AA,ROW(C27),MATCH($H$7,$K$8:$AA$8,0))="","",INDEX($K:$AA,ROW(C27),MATCH($H$7,$K$8:$AA$8,0)))</f>
        <v/>
      </c>
      <c r="I27" s="17"/>
      <c r="K27" s="17"/>
      <c r="L27" s="17"/>
      <c r="M27" s="17"/>
      <c r="N27" s="17"/>
      <c r="O27" s="17"/>
    </row>
    <row r="28" spans="2:15" ht="15" customHeight="1">
      <c r="B28" s="13" t="s">
        <v>1</v>
      </c>
      <c r="C28" s="13" t="s">
        <v>12</v>
      </c>
      <c r="D28" s="30" t="s">
        <v>95</v>
      </c>
      <c r="E28" s="14" t="s">
        <v>101</v>
      </c>
      <c r="F28" s="14">
        <v>1</v>
      </c>
      <c r="H28" s="17" t="str" cm="1">
        <f t="array" ref="H28">IF(INDEX($K:$AA,ROW(C28),MATCH($H$7,$K$8:$AA$8,0))="","",INDEX($K:$AA,ROW(C28),MATCH($H$7,$K$8:$AA$8,0)))</f>
        <v/>
      </c>
      <c r="I28" s="17"/>
      <c r="K28" s="17"/>
      <c r="L28" s="17"/>
      <c r="M28" s="17"/>
      <c r="N28" s="17"/>
      <c r="O28" s="17"/>
    </row>
    <row r="29" spans="2:15" ht="15" customHeight="1">
      <c r="B29" s="13" t="s">
        <v>1</v>
      </c>
      <c r="C29" s="13" t="s">
        <v>13</v>
      </c>
      <c r="D29" s="30" t="s">
        <v>94</v>
      </c>
      <c r="E29" s="14" t="s">
        <v>101</v>
      </c>
      <c r="F29" s="14">
        <v>2</v>
      </c>
      <c r="H29" s="17" t="str" cm="1">
        <f t="array" ref="H29">IF(INDEX($K:$AA,ROW(C29),MATCH($H$7,$K$8:$AA$8,0))="","",INDEX($K:$AA,ROW(C29),MATCH($H$7,$K$8:$AA$8,0)))</f>
        <v/>
      </c>
      <c r="I29" s="17"/>
      <c r="K29" s="17"/>
      <c r="L29" s="17"/>
      <c r="M29" s="17"/>
      <c r="N29" s="17"/>
      <c r="O29" s="17"/>
    </row>
    <row r="30" spans="2:15" ht="15" customHeight="1">
      <c r="B30" s="13" t="s">
        <v>1</v>
      </c>
      <c r="C30" s="13" t="s">
        <v>13</v>
      </c>
      <c r="D30" s="30" t="s">
        <v>95</v>
      </c>
      <c r="E30" s="14" t="s">
        <v>101</v>
      </c>
      <c r="F30" s="14">
        <v>1</v>
      </c>
      <c r="H30" s="17" t="str" cm="1">
        <f t="array" ref="H30">IF(INDEX($K:$AA,ROW(C30),MATCH($H$7,$K$8:$AA$8,0))="","",INDEX($K:$AA,ROW(C30),MATCH($H$7,$K$8:$AA$8,0)))</f>
        <v/>
      </c>
      <c r="I30" s="17"/>
      <c r="K30" s="17"/>
      <c r="L30" s="17"/>
      <c r="M30" s="17"/>
      <c r="N30" s="17"/>
      <c r="O30" s="17"/>
    </row>
    <row r="31" spans="2:15" ht="15" customHeight="1">
      <c r="B31" s="13" t="s">
        <v>1</v>
      </c>
      <c r="C31" s="13" t="s">
        <v>14</v>
      </c>
      <c r="D31" s="30" t="s">
        <v>94</v>
      </c>
      <c r="E31" s="14" t="s">
        <v>101</v>
      </c>
      <c r="F31" s="14">
        <v>2</v>
      </c>
      <c r="H31" s="17" t="str" cm="1">
        <f t="array" ref="H31">IF(INDEX($K:$AA,ROW(C31),MATCH($H$7,$K$8:$AA$8,0))="","",INDEX($K:$AA,ROW(C31),MATCH($H$7,$K$8:$AA$8,0)))</f>
        <v/>
      </c>
      <c r="I31" s="17"/>
      <c r="K31" s="17"/>
      <c r="L31" s="17"/>
      <c r="M31" s="17"/>
      <c r="N31" s="17"/>
      <c r="O31" s="17"/>
    </row>
    <row r="32" spans="2:15" ht="15" customHeight="1">
      <c r="B32" s="13" t="s">
        <v>1</v>
      </c>
      <c r="C32" s="13" t="s">
        <v>14</v>
      </c>
      <c r="D32" s="30" t="s">
        <v>95</v>
      </c>
      <c r="E32" s="14" t="s">
        <v>101</v>
      </c>
      <c r="F32" s="14">
        <v>1</v>
      </c>
      <c r="H32" s="17" t="str" cm="1">
        <f t="array" ref="H32">IF(INDEX($K:$AA,ROW(C32),MATCH($H$7,$K$8:$AA$8,0))="","",INDEX($K:$AA,ROW(C32),MATCH($H$7,$K$8:$AA$8,0)))</f>
        <v/>
      </c>
      <c r="I32" s="17"/>
      <c r="K32" s="17"/>
      <c r="L32" s="17"/>
      <c r="M32" s="17"/>
      <c r="N32" s="17"/>
      <c r="O32" s="17"/>
    </row>
    <row r="33" spans="2:15" ht="15" customHeight="1">
      <c r="B33" s="13" t="s">
        <v>1</v>
      </c>
      <c r="C33" s="13" t="s">
        <v>15</v>
      </c>
      <c r="D33" s="30" t="s">
        <v>94</v>
      </c>
      <c r="E33" s="14" t="s">
        <v>101</v>
      </c>
      <c r="F33" s="14">
        <v>2</v>
      </c>
      <c r="H33" s="17" t="str" cm="1">
        <f t="array" ref="H33">IF(INDEX($K:$AA,ROW(C33),MATCH($H$7,$K$8:$AA$8,0))="","",INDEX($K:$AA,ROW(C33),MATCH($H$7,$K$8:$AA$8,0)))</f>
        <v/>
      </c>
      <c r="I33" s="17"/>
      <c r="K33" s="17"/>
      <c r="L33" s="17"/>
      <c r="M33" s="17"/>
      <c r="N33" s="17"/>
      <c r="O33" s="17"/>
    </row>
    <row r="34" spans="2:15" ht="15" customHeight="1">
      <c r="B34" s="13" t="s">
        <v>1</v>
      </c>
      <c r="C34" s="13" t="s">
        <v>15</v>
      </c>
      <c r="D34" s="30" t="s">
        <v>95</v>
      </c>
      <c r="E34" s="14" t="s">
        <v>101</v>
      </c>
      <c r="F34" s="14">
        <v>1</v>
      </c>
      <c r="H34" s="17" t="str" cm="1">
        <f t="array" ref="H34">IF(INDEX($K:$AA,ROW(C34),MATCH($H$7,$K$8:$AA$8,0))="","",INDEX($K:$AA,ROW(C34),MATCH($H$7,$K$8:$AA$8,0)))</f>
        <v/>
      </c>
      <c r="I34" s="17"/>
      <c r="K34" s="17"/>
      <c r="L34" s="17"/>
      <c r="M34" s="17"/>
      <c r="N34" s="17"/>
      <c r="O34" s="17"/>
    </row>
    <row r="35" spans="2:15" ht="15" customHeight="1">
      <c r="B35" s="13" t="s">
        <v>1</v>
      </c>
      <c r="C35" s="13" t="s">
        <v>16</v>
      </c>
      <c r="D35" s="30" t="s">
        <v>94</v>
      </c>
      <c r="E35" s="14" t="s">
        <v>101</v>
      </c>
      <c r="F35" s="14">
        <v>2</v>
      </c>
      <c r="H35" s="17" t="str" cm="1">
        <f t="array" ref="H35">IF(INDEX($K:$AA,ROW(C35),MATCH($H$7,$K$8:$AA$8,0))="","",INDEX($K:$AA,ROW(C35),MATCH($H$7,$K$8:$AA$8,0)))</f>
        <v/>
      </c>
      <c r="I35" s="17"/>
      <c r="K35" s="17"/>
      <c r="L35" s="17"/>
      <c r="M35" s="17"/>
      <c r="N35" s="17"/>
      <c r="O35" s="17"/>
    </row>
    <row r="36" spans="2:15" ht="15" customHeight="1">
      <c r="B36" s="13" t="s">
        <v>1</v>
      </c>
      <c r="C36" s="13" t="s">
        <v>16</v>
      </c>
      <c r="D36" s="30" t="s">
        <v>95</v>
      </c>
      <c r="E36" s="14" t="s">
        <v>101</v>
      </c>
      <c r="F36" s="14">
        <v>1</v>
      </c>
      <c r="H36" s="17" t="str" cm="1">
        <f t="array" ref="H36">IF(INDEX($K:$AA,ROW(C36),MATCH($H$7,$K$8:$AA$8,0))="","",INDEX($K:$AA,ROW(C36),MATCH($H$7,$K$8:$AA$8,0)))</f>
        <v/>
      </c>
      <c r="I36" s="17"/>
      <c r="K36" s="17"/>
      <c r="L36" s="17"/>
      <c r="M36" s="17"/>
      <c r="N36" s="17"/>
      <c r="O36" s="17"/>
    </row>
    <row r="37" spans="2:15" ht="15" customHeight="1">
      <c r="B37" s="13" t="s">
        <v>1</v>
      </c>
      <c r="C37" s="13" t="s">
        <v>17</v>
      </c>
      <c r="D37" s="30" t="s">
        <v>94</v>
      </c>
      <c r="E37" s="14" t="s">
        <v>101</v>
      </c>
      <c r="F37" s="14">
        <v>2</v>
      </c>
      <c r="H37" s="17" t="str" cm="1">
        <f t="array" ref="H37">IF(INDEX($K:$AA,ROW(C37),MATCH($H$7,$K$8:$AA$8,0))="","",INDEX($K:$AA,ROW(C37),MATCH($H$7,$K$8:$AA$8,0)))</f>
        <v/>
      </c>
      <c r="I37" s="17"/>
      <c r="K37" s="17"/>
      <c r="L37" s="17"/>
      <c r="M37" s="17"/>
      <c r="N37" s="17"/>
      <c r="O37" s="17"/>
    </row>
    <row r="38" spans="2:15" ht="15" customHeight="1">
      <c r="B38" s="13" t="s">
        <v>1</v>
      </c>
      <c r="C38" s="13" t="s">
        <v>17</v>
      </c>
      <c r="D38" s="30" t="s">
        <v>95</v>
      </c>
      <c r="E38" s="14" t="s">
        <v>101</v>
      </c>
      <c r="F38" s="14">
        <v>1</v>
      </c>
      <c r="H38" s="17" t="str" cm="1">
        <f t="array" ref="H38">IF(INDEX($K:$AA,ROW(C38),MATCH($H$7,$K$8:$AA$8,0))="","",INDEX($K:$AA,ROW(C38),MATCH($H$7,$K$8:$AA$8,0)))</f>
        <v/>
      </c>
      <c r="I38" s="17"/>
      <c r="K38" s="17"/>
      <c r="L38" s="17"/>
      <c r="M38" s="17"/>
      <c r="N38" s="17"/>
      <c r="O38" s="17"/>
    </row>
    <row r="39" spans="2:15" ht="15" customHeight="1">
      <c r="B39" s="13" t="s">
        <v>1</v>
      </c>
      <c r="C39" s="13" t="s">
        <v>18</v>
      </c>
      <c r="D39" s="30" t="s">
        <v>94</v>
      </c>
      <c r="E39" s="14" t="s">
        <v>100</v>
      </c>
      <c r="F39" s="14">
        <v>4</v>
      </c>
      <c r="H39" s="17" t="str" cm="1">
        <f t="array" ref="H39">IF(INDEX($K:$AA,ROW(C39),MATCH($H$7,$K$8:$AA$8,0))="","",INDEX($K:$AA,ROW(C39),MATCH($H$7,$K$8:$AA$8,0)))</f>
        <v/>
      </c>
      <c r="I39" s="17"/>
      <c r="K39" s="17"/>
      <c r="L39" s="17"/>
      <c r="M39" s="17"/>
      <c r="N39" s="17"/>
      <c r="O39" s="17"/>
    </row>
    <row r="40" spans="2:15" ht="15" customHeight="1">
      <c r="B40" s="13" t="s">
        <v>1</v>
      </c>
      <c r="C40" s="13" t="s">
        <v>18</v>
      </c>
      <c r="D40" s="30" t="s">
        <v>95</v>
      </c>
      <c r="E40" s="14" t="s">
        <v>101</v>
      </c>
      <c r="F40" s="14">
        <v>1</v>
      </c>
      <c r="H40" s="17" t="str" cm="1">
        <f t="array" ref="H40">IF(INDEX($K:$AA,ROW(C40),MATCH($H$7,$K$8:$AA$8,0))="","",INDEX($K:$AA,ROW(C40),MATCH($H$7,$K$8:$AA$8,0)))</f>
        <v/>
      </c>
      <c r="I40" s="17"/>
      <c r="K40" s="17"/>
      <c r="L40" s="17"/>
      <c r="M40" s="17"/>
      <c r="N40" s="17"/>
      <c r="O40" s="17"/>
    </row>
    <row r="41" spans="2:15" ht="15" customHeight="1">
      <c r="B41" s="13" t="s">
        <v>1</v>
      </c>
      <c r="C41" s="13" t="s">
        <v>19</v>
      </c>
      <c r="D41" s="30" t="s">
        <v>94</v>
      </c>
      <c r="E41" s="14" t="s">
        <v>101</v>
      </c>
      <c r="F41" s="14">
        <v>2</v>
      </c>
      <c r="H41" s="17" t="str" cm="1">
        <f t="array" ref="H41">IF(INDEX($K:$AA,ROW(C41),MATCH($H$7,$K$8:$AA$8,0))="","",INDEX($K:$AA,ROW(C41),MATCH($H$7,$K$8:$AA$8,0)))</f>
        <v/>
      </c>
      <c r="I41" s="17"/>
      <c r="K41" s="17"/>
      <c r="L41" s="17"/>
      <c r="M41" s="17"/>
      <c r="N41" s="17"/>
      <c r="O41" s="17"/>
    </row>
    <row r="42" spans="2:15" ht="15" customHeight="1">
      <c r="B42" s="13" t="s">
        <v>1</v>
      </c>
      <c r="C42" s="13" t="s">
        <v>19</v>
      </c>
      <c r="D42" s="30" t="s">
        <v>95</v>
      </c>
      <c r="E42" s="14" t="s">
        <v>101</v>
      </c>
      <c r="F42" s="14">
        <v>1</v>
      </c>
      <c r="H42" s="17" t="str" cm="1">
        <f t="array" ref="H42">IF(INDEX($K:$AA,ROW(C42),MATCH($H$7,$K$8:$AA$8,0))="","",INDEX($K:$AA,ROW(C42),MATCH($H$7,$K$8:$AA$8,0)))</f>
        <v/>
      </c>
      <c r="I42" s="17"/>
      <c r="K42" s="17"/>
      <c r="L42" s="17"/>
      <c r="M42" s="17"/>
      <c r="N42" s="17"/>
      <c r="O42" s="17"/>
    </row>
    <row r="43" spans="2:15" ht="15" customHeight="1">
      <c r="B43" s="13" t="s">
        <v>1</v>
      </c>
      <c r="C43" s="13" t="s">
        <v>20</v>
      </c>
      <c r="D43" s="30" t="s">
        <v>94</v>
      </c>
      <c r="E43" s="14" t="s">
        <v>100</v>
      </c>
      <c r="F43" s="14">
        <v>4</v>
      </c>
      <c r="H43" s="17" t="str" cm="1">
        <f t="array" ref="H43">IF(INDEX($K:$AA,ROW(C43),MATCH($H$7,$K$8:$AA$8,0))="","",INDEX($K:$AA,ROW(C43),MATCH($H$7,$K$8:$AA$8,0)))</f>
        <v/>
      </c>
      <c r="I43" s="17"/>
      <c r="K43" s="17"/>
      <c r="L43" s="17"/>
      <c r="M43" s="17"/>
      <c r="N43" s="17"/>
      <c r="O43" s="17"/>
    </row>
    <row r="44" spans="2:15" ht="15" customHeight="1">
      <c r="B44" s="13" t="s">
        <v>1</v>
      </c>
      <c r="C44" s="13" t="s">
        <v>20</v>
      </c>
      <c r="D44" s="30" t="s">
        <v>95</v>
      </c>
      <c r="E44" s="14" t="s">
        <v>101</v>
      </c>
      <c r="F44" s="14">
        <v>1</v>
      </c>
      <c r="H44" s="17" t="str" cm="1">
        <f t="array" ref="H44">IF(INDEX($K:$AA,ROW(C44),MATCH($H$7,$K$8:$AA$8,0))="","",INDEX($K:$AA,ROW(C44),MATCH($H$7,$K$8:$AA$8,0)))</f>
        <v/>
      </c>
      <c r="I44" s="17"/>
      <c r="K44" s="17"/>
      <c r="L44" s="17"/>
      <c r="M44" s="17"/>
      <c r="N44" s="17"/>
      <c r="O44" s="17"/>
    </row>
    <row r="45" spans="2:15" ht="15" customHeight="1">
      <c r="B45" s="13" t="s">
        <v>1</v>
      </c>
      <c r="C45" s="13" t="s">
        <v>21</v>
      </c>
      <c r="D45" s="30" t="s">
        <v>94</v>
      </c>
      <c r="E45" s="14" t="s">
        <v>100</v>
      </c>
      <c r="F45" s="14">
        <v>4</v>
      </c>
      <c r="H45" s="17" t="str" cm="1">
        <f t="array" ref="H45">IF(INDEX($K:$AA,ROW(C45),MATCH($H$7,$K$8:$AA$8,0))="","",INDEX($K:$AA,ROW(C45),MATCH($H$7,$K$8:$AA$8,0)))</f>
        <v/>
      </c>
      <c r="I45" s="17"/>
      <c r="K45" s="17"/>
      <c r="L45" s="17"/>
      <c r="M45" s="17"/>
      <c r="N45" s="17"/>
      <c r="O45" s="17"/>
    </row>
    <row r="46" spans="2:15" ht="15" customHeight="1">
      <c r="B46" s="13" t="s">
        <v>1</v>
      </c>
      <c r="C46" s="13" t="s">
        <v>21</v>
      </c>
      <c r="D46" s="30" t="s">
        <v>95</v>
      </c>
      <c r="E46" s="14" t="s">
        <v>101</v>
      </c>
      <c r="F46" s="14">
        <v>1</v>
      </c>
      <c r="H46" s="17" t="str" cm="1">
        <f t="array" ref="H46">IF(INDEX($K:$AA,ROW(C46),MATCH($H$7,$K$8:$AA$8,0))="","",INDEX($K:$AA,ROW(C46),MATCH($H$7,$K$8:$AA$8,0)))</f>
        <v/>
      </c>
      <c r="I46" s="17"/>
      <c r="K46" s="17"/>
      <c r="L46" s="17"/>
      <c r="M46" s="17"/>
      <c r="N46" s="17"/>
      <c r="O46" s="17"/>
    </row>
    <row r="47" spans="2:15" ht="15" customHeight="1">
      <c r="B47" s="13" t="s">
        <v>1</v>
      </c>
      <c r="C47" s="13" t="s">
        <v>22</v>
      </c>
      <c r="D47" s="30" t="s">
        <v>94</v>
      </c>
      <c r="E47" s="14" t="s">
        <v>101</v>
      </c>
      <c r="F47" s="14">
        <v>2</v>
      </c>
      <c r="H47" s="17" t="str" cm="1">
        <f t="array" ref="H47">IF(INDEX($K:$AA,ROW(C47),MATCH($H$7,$K$8:$AA$8,0))="","",INDEX($K:$AA,ROW(C47),MATCH($H$7,$K$8:$AA$8,0)))</f>
        <v/>
      </c>
      <c r="I47" s="17"/>
      <c r="K47" s="17"/>
      <c r="L47" s="17"/>
      <c r="M47" s="17"/>
      <c r="N47" s="17"/>
      <c r="O47" s="17"/>
    </row>
    <row r="48" spans="2:15" ht="15" customHeight="1">
      <c r="B48" s="13" t="s">
        <v>1</v>
      </c>
      <c r="C48" s="13" t="s">
        <v>22</v>
      </c>
      <c r="D48" s="30" t="s">
        <v>95</v>
      </c>
      <c r="E48" s="14" t="s">
        <v>101</v>
      </c>
      <c r="F48" s="14">
        <v>1</v>
      </c>
      <c r="H48" s="17" t="str" cm="1">
        <f t="array" ref="H48">IF(INDEX($K:$AA,ROW(C48),MATCH($H$7,$K$8:$AA$8,0))="","",INDEX($K:$AA,ROW(C48),MATCH($H$7,$K$8:$AA$8,0)))</f>
        <v/>
      </c>
      <c r="I48" s="17"/>
      <c r="K48" s="17"/>
      <c r="L48" s="17"/>
      <c r="M48" s="17"/>
      <c r="N48" s="17"/>
      <c r="O48" s="17"/>
    </row>
    <row r="49" spans="2:15" ht="15" customHeight="1">
      <c r="B49" s="13" t="s">
        <v>1</v>
      </c>
      <c r="C49" s="13" t="s">
        <v>23</v>
      </c>
      <c r="D49" s="30" t="s">
        <v>94</v>
      </c>
      <c r="E49" s="14" t="s">
        <v>100</v>
      </c>
      <c r="F49" s="14">
        <v>4</v>
      </c>
      <c r="H49" s="17" t="str" cm="1">
        <f t="array" ref="H49">IF(INDEX($K:$AA,ROW(C49),MATCH($H$7,$K$8:$AA$8,0))="","",INDEX($K:$AA,ROW(C49),MATCH($H$7,$K$8:$AA$8,0)))</f>
        <v/>
      </c>
      <c r="I49" s="17"/>
      <c r="K49" s="17"/>
      <c r="L49" s="17"/>
      <c r="M49" s="17"/>
      <c r="N49" s="17"/>
      <c r="O49" s="17"/>
    </row>
    <row r="50" spans="2:15" ht="15" customHeight="1">
      <c r="B50" s="13" t="s">
        <v>1</v>
      </c>
      <c r="C50" s="13" t="s">
        <v>23</v>
      </c>
      <c r="D50" s="30" t="s">
        <v>95</v>
      </c>
      <c r="E50" s="14" t="s">
        <v>101</v>
      </c>
      <c r="F50" s="14">
        <v>1</v>
      </c>
      <c r="H50" s="17" t="str" cm="1">
        <f t="array" ref="H50">IF(INDEX($K:$AA,ROW(C50),MATCH($H$7,$K$8:$AA$8,0))="","",INDEX($K:$AA,ROW(C50),MATCH($H$7,$K$8:$AA$8,0)))</f>
        <v/>
      </c>
      <c r="I50" s="17"/>
      <c r="K50" s="17"/>
      <c r="L50" s="17"/>
      <c r="M50" s="17"/>
      <c r="N50" s="17"/>
      <c r="O50" s="17"/>
    </row>
    <row r="51" spans="2:15" ht="15" customHeight="1">
      <c r="B51" s="13" t="s">
        <v>1</v>
      </c>
      <c r="C51" s="13" t="s">
        <v>24</v>
      </c>
      <c r="D51" s="30" t="s">
        <v>94</v>
      </c>
      <c r="E51" s="14" t="s">
        <v>100</v>
      </c>
      <c r="F51" s="14">
        <v>4</v>
      </c>
      <c r="H51" s="17" t="str" cm="1">
        <f t="array" ref="H51">IF(INDEX($K:$AA,ROW(C51),MATCH($H$7,$K$8:$AA$8,0))="","",INDEX($K:$AA,ROW(C51),MATCH($H$7,$K$8:$AA$8,0)))</f>
        <v/>
      </c>
      <c r="I51" s="17"/>
      <c r="K51" s="17"/>
      <c r="L51" s="17"/>
      <c r="M51" s="17"/>
      <c r="N51" s="17"/>
      <c r="O51" s="17"/>
    </row>
    <row r="52" spans="2:15" ht="15" customHeight="1">
      <c r="B52" s="13" t="s">
        <v>1</v>
      </c>
      <c r="C52" s="13" t="s">
        <v>24</v>
      </c>
      <c r="D52" s="30" t="s">
        <v>95</v>
      </c>
      <c r="E52" s="14" t="s">
        <v>101</v>
      </c>
      <c r="F52" s="14">
        <v>1</v>
      </c>
      <c r="H52" s="17" t="str" cm="1">
        <f t="array" ref="H52">IF(INDEX($K:$AA,ROW(C52),MATCH($H$7,$K$8:$AA$8,0))="","",INDEX($K:$AA,ROW(C52),MATCH($H$7,$K$8:$AA$8,0)))</f>
        <v/>
      </c>
      <c r="I52" s="17"/>
      <c r="K52" s="17"/>
      <c r="L52" s="17"/>
      <c r="M52" s="17"/>
      <c r="N52" s="17"/>
      <c r="O52" s="17"/>
    </row>
    <row r="53" spans="2:15" ht="15" customHeight="1">
      <c r="B53" s="13" t="s">
        <v>1</v>
      </c>
      <c r="C53" s="13" t="s">
        <v>25</v>
      </c>
      <c r="D53" s="30" t="s">
        <v>94</v>
      </c>
      <c r="E53" s="14" t="s">
        <v>101</v>
      </c>
      <c r="F53" s="14">
        <v>2</v>
      </c>
      <c r="H53" s="17" t="str" cm="1">
        <f t="array" ref="H53">IF(INDEX($K:$AA,ROW(C53),MATCH($H$7,$K$8:$AA$8,0))="","",INDEX($K:$AA,ROW(C53),MATCH($H$7,$K$8:$AA$8,0)))</f>
        <v/>
      </c>
      <c r="I53" s="17"/>
      <c r="K53" s="17"/>
      <c r="L53" s="17"/>
      <c r="M53" s="17"/>
      <c r="N53" s="17"/>
      <c r="O53" s="17"/>
    </row>
    <row r="54" spans="2:15" ht="15" customHeight="1">
      <c r="B54" s="13" t="s">
        <v>1</v>
      </c>
      <c r="C54" s="13" t="s">
        <v>25</v>
      </c>
      <c r="D54" s="30" t="s">
        <v>95</v>
      </c>
      <c r="E54" s="14" t="s">
        <v>101</v>
      </c>
      <c r="F54" s="14">
        <v>1</v>
      </c>
      <c r="H54" s="17" t="str" cm="1">
        <f t="array" ref="H54">IF(INDEX($K:$AA,ROW(C54),MATCH($H$7,$K$8:$AA$8,0))="","",INDEX($K:$AA,ROW(C54),MATCH($H$7,$K$8:$AA$8,0)))</f>
        <v/>
      </c>
      <c r="I54" s="17"/>
      <c r="K54" s="17"/>
      <c r="L54" s="17"/>
      <c r="M54" s="17"/>
      <c r="N54" s="17"/>
      <c r="O54" s="17"/>
    </row>
    <row r="55" spans="2:15" ht="15" customHeight="1">
      <c r="B55" s="13" t="s">
        <v>1</v>
      </c>
      <c r="C55" s="13" t="s">
        <v>26</v>
      </c>
      <c r="D55" s="30" t="s">
        <v>94</v>
      </c>
      <c r="E55" s="14" t="s">
        <v>101</v>
      </c>
      <c r="F55" s="14">
        <v>2</v>
      </c>
      <c r="H55" s="17" t="str" cm="1">
        <f t="array" ref="H55">IF(INDEX($K:$AA,ROW(C55),MATCH($H$7,$K$8:$AA$8,0))="","",INDEX($K:$AA,ROW(C55),MATCH($H$7,$K$8:$AA$8,0)))</f>
        <v/>
      </c>
      <c r="I55" s="17"/>
      <c r="K55" s="17"/>
      <c r="L55" s="17"/>
      <c r="M55" s="17"/>
      <c r="N55" s="17"/>
      <c r="O55" s="17"/>
    </row>
    <row r="56" spans="2:15" ht="15" customHeight="1">
      <c r="B56" s="13" t="s">
        <v>1</v>
      </c>
      <c r="C56" s="13" t="s">
        <v>26</v>
      </c>
      <c r="D56" s="30" t="s">
        <v>95</v>
      </c>
      <c r="E56" s="14" t="s">
        <v>101</v>
      </c>
      <c r="F56" s="14">
        <v>1</v>
      </c>
      <c r="H56" s="17" t="str" cm="1">
        <f t="array" ref="H56">IF(INDEX($K:$AA,ROW(C56),MATCH($H$7,$K$8:$AA$8,0))="","",INDEX($K:$AA,ROW(C56),MATCH($H$7,$K$8:$AA$8,0)))</f>
        <v/>
      </c>
      <c r="I56" s="17"/>
      <c r="K56" s="17"/>
      <c r="L56" s="17"/>
      <c r="M56" s="17"/>
      <c r="N56" s="17"/>
      <c r="O56" s="17"/>
    </row>
    <row r="57" spans="2:15" ht="15" customHeight="1">
      <c r="B57" s="13" t="s">
        <v>1</v>
      </c>
      <c r="C57" s="13" t="s">
        <v>27</v>
      </c>
      <c r="D57" s="30" t="s">
        <v>94</v>
      </c>
      <c r="E57" s="14" t="s">
        <v>101</v>
      </c>
      <c r="F57" s="14">
        <v>2</v>
      </c>
      <c r="H57" s="17" t="str" cm="1">
        <f t="array" ref="H57">IF(INDEX($K:$AA,ROW(C57),MATCH($H$7,$K$8:$AA$8,0))="","",INDEX($K:$AA,ROW(C57),MATCH($H$7,$K$8:$AA$8,0)))</f>
        <v/>
      </c>
      <c r="I57" s="17"/>
      <c r="K57" s="17"/>
      <c r="L57" s="17"/>
      <c r="M57" s="17"/>
      <c r="N57" s="17"/>
      <c r="O57" s="17"/>
    </row>
    <row r="58" spans="2:15" ht="15" customHeight="1">
      <c r="B58" s="13" t="s">
        <v>1</v>
      </c>
      <c r="C58" s="13" t="s">
        <v>27</v>
      </c>
      <c r="D58" s="30" t="s">
        <v>95</v>
      </c>
      <c r="E58" s="14" t="s">
        <v>101</v>
      </c>
      <c r="F58" s="14">
        <v>1</v>
      </c>
      <c r="H58" s="17" t="str" cm="1">
        <f t="array" ref="H58">IF(INDEX($K:$AA,ROW(C58),MATCH($H$7,$K$8:$AA$8,0))="","",INDEX($K:$AA,ROW(C58),MATCH($H$7,$K$8:$AA$8,0)))</f>
        <v/>
      </c>
      <c r="I58" s="17"/>
      <c r="K58" s="17"/>
      <c r="L58" s="17"/>
      <c r="M58" s="17"/>
      <c r="N58" s="17"/>
      <c r="O58" s="17"/>
    </row>
    <row r="59" spans="2:15" ht="15" customHeight="1">
      <c r="B59" s="13" t="s">
        <v>1</v>
      </c>
      <c r="C59" s="13" t="s">
        <v>28</v>
      </c>
      <c r="D59" s="30" t="s">
        <v>94</v>
      </c>
      <c r="E59" s="14" t="s">
        <v>101</v>
      </c>
      <c r="F59" s="14">
        <v>2</v>
      </c>
      <c r="H59" s="17" t="str" cm="1">
        <f t="array" ref="H59">IF(INDEX($K:$AA,ROW(C59),MATCH($H$7,$K$8:$AA$8,0))="","",INDEX($K:$AA,ROW(C59),MATCH($H$7,$K$8:$AA$8,0)))</f>
        <v/>
      </c>
      <c r="I59" s="17"/>
      <c r="K59" s="17"/>
      <c r="L59" s="17"/>
      <c r="M59" s="17"/>
      <c r="N59" s="17"/>
      <c r="O59" s="17"/>
    </row>
    <row r="60" spans="2:15" ht="15" customHeight="1">
      <c r="B60" s="13" t="s">
        <v>1</v>
      </c>
      <c r="C60" s="13" t="s">
        <v>28</v>
      </c>
      <c r="D60" s="30" t="s">
        <v>95</v>
      </c>
      <c r="E60" s="14" t="s">
        <v>101</v>
      </c>
      <c r="F60" s="14">
        <v>1</v>
      </c>
      <c r="H60" s="17" t="str" cm="1">
        <f t="array" ref="H60">IF(INDEX($K:$AA,ROW(C60),MATCH($H$7,$K$8:$AA$8,0))="","",INDEX($K:$AA,ROW(C60),MATCH($H$7,$K$8:$AA$8,0)))</f>
        <v/>
      </c>
      <c r="I60" s="17"/>
      <c r="K60" s="17"/>
      <c r="L60" s="17"/>
      <c r="M60" s="17"/>
      <c r="N60" s="17"/>
      <c r="O60" s="17"/>
    </row>
    <row r="61" spans="2:15" ht="15" customHeight="1">
      <c r="B61" s="13" t="s">
        <v>1</v>
      </c>
      <c r="C61" s="13" t="s">
        <v>29</v>
      </c>
      <c r="D61" s="30" t="s">
        <v>94</v>
      </c>
      <c r="E61" s="14" t="s">
        <v>101</v>
      </c>
      <c r="F61" s="14">
        <v>2</v>
      </c>
      <c r="H61" s="17" t="str" cm="1">
        <f t="array" ref="H61">IF(INDEX($K:$AA,ROW(C61),MATCH($H$7,$K$8:$AA$8,0))="","",INDEX($K:$AA,ROW(C61),MATCH($H$7,$K$8:$AA$8,0)))</f>
        <v/>
      </c>
      <c r="I61" s="17"/>
      <c r="K61" s="17"/>
      <c r="L61" s="17"/>
      <c r="M61" s="17"/>
      <c r="N61" s="17"/>
      <c r="O61" s="17"/>
    </row>
    <row r="62" spans="2:15" ht="15" customHeight="1">
      <c r="B62" s="13" t="s">
        <v>1</v>
      </c>
      <c r="C62" s="13" t="s">
        <v>29</v>
      </c>
      <c r="D62" s="30" t="s">
        <v>95</v>
      </c>
      <c r="E62" s="14" t="s">
        <v>101</v>
      </c>
      <c r="F62" s="14">
        <v>1</v>
      </c>
      <c r="H62" s="17" t="str" cm="1">
        <f t="array" ref="H62">IF(INDEX($K:$AA,ROW(C62),MATCH($H$7,$K$8:$AA$8,0))="","",INDEX($K:$AA,ROW(C62),MATCH($H$7,$K$8:$AA$8,0)))</f>
        <v/>
      </c>
      <c r="I62" s="17"/>
      <c r="K62" s="17"/>
      <c r="L62" s="17"/>
      <c r="M62" s="17"/>
      <c r="N62" s="17"/>
      <c r="O62" s="17"/>
    </row>
    <row r="63" spans="2:15" ht="15" customHeight="1">
      <c r="B63" s="13" t="s">
        <v>1</v>
      </c>
      <c r="C63" s="13" t="s">
        <v>30</v>
      </c>
      <c r="D63" s="30" t="s">
        <v>94</v>
      </c>
      <c r="E63" s="14" t="s">
        <v>101</v>
      </c>
      <c r="F63" s="14">
        <v>2</v>
      </c>
      <c r="H63" s="17" t="str" cm="1">
        <f t="array" ref="H63">IF(INDEX($K:$AA,ROW(C63),MATCH($H$7,$K$8:$AA$8,0))="","",INDEX($K:$AA,ROW(C63),MATCH($H$7,$K$8:$AA$8,0)))</f>
        <v/>
      </c>
      <c r="I63" s="17"/>
      <c r="K63" s="17"/>
      <c r="L63" s="17"/>
      <c r="M63" s="17"/>
      <c r="N63" s="17"/>
      <c r="O63" s="17"/>
    </row>
    <row r="64" spans="2:15" ht="15" customHeight="1">
      <c r="B64" s="13" t="s">
        <v>1</v>
      </c>
      <c r="C64" s="13" t="s">
        <v>30</v>
      </c>
      <c r="D64" s="30" t="s">
        <v>95</v>
      </c>
      <c r="E64" s="14" t="s">
        <v>101</v>
      </c>
      <c r="F64" s="14">
        <v>1</v>
      </c>
      <c r="H64" s="17" t="str" cm="1">
        <f t="array" ref="H64">IF(INDEX($K:$AA,ROW(C64),MATCH($H$7,$K$8:$AA$8,0))="","",INDEX($K:$AA,ROW(C64),MATCH($H$7,$K$8:$AA$8,0)))</f>
        <v/>
      </c>
      <c r="I64" s="17"/>
      <c r="K64" s="17"/>
      <c r="L64" s="17"/>
      <c r="M64" s="17"/>
      <c r="N64" s="17"/>
      <c r="O64" s="17"/>
    </row>
    <row r="65" spans="2:15" ht="15" customHeight="1">
      <c r="B65" s="13" t="s">
        <v>1</v>
      </c>
      <c r="C65" s="13" t="s">
        <v>31</v>
      </c>
      <c r="D65" s="30" t="s">
        <v>94</v>
      </c>
      <c r="E65" s="14" t="s">
        <v>101</v>
      </c>
      <c r="F65" s="14">
        <v>2</v>
      </c>
      <c r="H65" s="17" t="str" cm="1">
        <f t="array" ref="H65">IF(INDEX($K:$AA,ROW(C65),MATCH($H$7,$K$8:$AA$8,0))="","",INDEX($K:$AA,ROW(C65),MATCH($H$7,$K$8:$AA$8,0)))</f>
        <v/>
      </c>
      <c r="I65" s="17"/>
      <c r="K65" s="17"/>
      <c r="L65" s="17"/>
      <c r="M65" s="17"/>
      <c r="N65" s="17"/>
      <c r="O65" s="17"/>
    </row>
    <row r="66" spans="2:15" ht="15" customHeight="1">
      <c r="B66" s="13" t="s">
        <v>1</v>
      </c>
      <c r="C66" s="13" t="s">
        <v>31</v>
      </c>
      <c r="D66" s="30" t="s">
        <v>95</v>
      </c>
      <c r="E66" s="14" t="s">
        <v>101</v>
      </c>
      <c r="F66" s="14">
        <v>1</v>
      </c>
      <c r="H66" s="17" t="str" cm="1">
        <f t="array" ref="H66">IF(INDEX($K:$AA,ROW(C66),MATCH($H$7,$K$8:$AA$8,0))="","",INDEX($K:$AA,ROW(C66),MATCH($H$7,$K$8:$AA$8,0)))</f>
        <v/>
      </c>
      <c r="I66" s="17"/>
      <c r="K66" s="17"/>
      <c r="L66" s="17"/>
      <c r="M66" s="17"/>
      <c r="N66" s="17"/>
      <c r="O66" s="17"/>
    </row>
    <row r="67" spans="2:15" ht="15" customHeight="1">
      <c r="B67" s="13" t="s">
        <v>1</v>
      </c>
      <c r="C67" s="13" t="s">
        <v>32</v>
      </c>
      <c r="D67" s="30" t="s">
        <v>94</v>
      </c>
      <c r="E67" s="14" t="s">
        <v>101</v>
      </c>
      <c r="F67" s="14">
        <v>2</v>
      </c>
      <c r="H67" s="17" t="str" cm="1">
        <f t="array" ref="H67">IF(INDEX($K:$AA,ROW(C67),MATCH($H$7,$K$8:$AA$8,0))="","",INDEX($K:$AA,ROW(C67),MATCH($H$7,$K$8:$AA$8,0)))</f>
        <v/>
      </c>
      <c r="I67" s="17"/>
      <c r="K67" s="17"/>
      <c r="L67" s="17"/>
      <c r="M67" s="17"/>
      <c r="N67" s="17"/>
      <c r="O67" s="17"/>
    </row>
    <row r="68" spans="2:15" ht="15" customHeight="1">
      <c r="B68" s="13" t="s">
        <v>1</v>
      </c>
      <c r="C68" s="13" t="s">
        <v>32</v>
      </c>
      <c r="D68" s="30" t="s">
        <v>95</v>
      </c>
      <c r="E68" s="14" t="s">
        <v>101</v>
      </c>
      <c r="F68" s="14">
        <v>1</v>
      </c>
      <c r="H68" s="17" t="str" cm="1">
        <f t="array" ref="H68">IF(INDEX($K:$AA,ROW(C68),MATCH($H$7,$K$8:$AA$8,0))="","",INDEX($K:$AA,ROW(C68),MATCH($H$7,$K$8:$AA$8,0)))</f>
        <v/>
      </c>
      <c r="I68" s="17"/>
      <c r="K68" s="17"/>
      <c r="L68" s="17"/>
      <c r="M68" s="17"/>
      <c r="N68" s="17"/>
      <c r="O68" s="17"/>
    </row>
    <row r="69" spans="2:15" ht="15" customHeight="1">
      <c r="B69" s="13" t="s">
        <v>1</v>
      </c>
      <c r="C69" s="13" t="s">
        <v>52</v>
      </c>
      <c r="D69" s="30" t="s">
        <v>94</v>
      </c>
      <c r="E69" s="14" t="s">
        <v>99</v>
      </c>
      <c r="F69" s="14">
        <v>8</v>
      </c>
      <c r="H69" s="17" t="str" cm="1">
        <f t="array" ref="H69">IF(INDEX($K:$AA,ROW(C69),MATCH($H$7,$K$8:$AA$8,0))="","",INDEX($K:$AA,ROW(C69),MATCH($H$7,$K$8:$AA$8,0)))</f>
        <v/>
      </c>
      <c r="I69" s="17"/>
      <c r="K69" s="17"/>
      <c r="L69" s="17"/>
      <c r="M69" s="17"/>
      <c r="N69" s="17"/>
      <c r="O69" s="17"/>
    </row>
    <row r="70" spans="2:15" ht="15" customHeight="1">
      <c r="B70" s="13" t="s">
        <v>1</v>
      </c>
      <c r="C70" s="13" t="s">
        <v>52</v>
      </c>
      <c r="D70" s="30" t="s">
        <v>95</v>
      </c>
      <c r="E70" s="14" t="s">
        <v>101</v>
      </c>
      <c r="F70" s="14">
        <v>1</v>
      </c>
      <c r="H70" s="17" t="str" cm="1">
        <f t="array" ref="H70">IF(INDEX($K:$AA,ROW(C70),MATCH($H$7,$K$8:$AA$8,0))="","",INDEX($K:$AA,ROW(C70),MATCH($H$7,$K$8:$AA$8,0)))</f>
        <v/>
      </c>
      <c r="I70" s="17"/>
      <c r="K70" s="17"/>
      <c r="L70" s="17"/>
      <c r="M70" s="17"/>
      <c r="N70" s="17"/>
      <c r="O70" s="17"/>
    </row>
    <row r="71" spans="2:15" ht="15" customHeight="1">
      <c r="B71" s="13" t="s">
        <v>1</v>
      </c>
      <c r="C71" s="13" t="s">
        <v>52</v>
      </c>
      <c r="D71" s="30" t="s">
        <v>97</v>
      </c>
      <c r="E71" s="14" t="s">
        <v>99</v>
      </c>
      <c r="F71" s="14">
        <v>2</v>
      </c>
      <c r="H71" s="17" t="str" cm="1">
        <f t="array" ref="H71">IF(INDEX($K:$AA,ROW(C71),MATCH($H$7,$K$8:$AA$8,0))="","",INDEX($K:$AA,ROW(C71),MATCH($H$7,$K$8:$AA$8,0)))</f>
        <v/>
      </c>
      <c r="I71" s="17"/>
      <c r="K71" s="17"/>
      <c r="L71" s="17"/>
      <c r="M71" s="17"/>
      <c r="N71" s="17"/>
      <c r="O71" s="17"/>
    </row>
    <row r="72" spans="2:15" ht="15" customHeight="1">
      <c r="B72" s="13" t="s">
        <v>1</v>
      </c>
      <c r="C72" s="13" t="s">
        <v>53</v>
      </c>
      <c r="D72" s="30" t="s">
        <v>94</v>
      </c>
      <c r="E72" s="14" t="s">
        <v>99</v>
      </c>
      <c r="F72" s="14">
        <v>8</v>
      </c>
      <c r="H72" s="17" t="str" cm="1">
        <f t="array" ref="H72">IF(INDEX($K:$AA,ROW(C72),MATCH($H$7,$K$8:$AA$8,0))="","",INDEX($K:$AA,ROW(C72),MATCH($H$7,$K$8:$AA$8,0)))</f>
        <v/>
      </c>
      <c r="I72" s="17"/>
      <c r="K72" s="17"/>
      <c r="L72" s="17"/>
      <c r="M72" s="17"/>
      <c r="N72" s="17"/>
      <c r="O72" s="17"/>
    </row>
    <row r="73" spans="2:15" ht="15" customHeight="1">
      <c r="B73" s="13" t="s">
        <v>1</v>
      </c>
      <c r="C73" s="13" t="s">
        <v>53</v>
      </c>
      <c r="D73" s="30" t="s">
        <v>96</v>
      </c>
      <c r="E73" s="14" t="s">
        <v>101</v>
      </c>
      <c r="F73" s="14">
        <v>2</v>
      </c>
      <c r="H73" s="17" t="str" cm="1">
        <f t="array" ref="H73">IF(INDEX($K:$AA,ROW(C73),MATCH($H$7,$K$8:$AA$8,0))="","",INDEX($K:$AA,ROW(C73),MATCH($H$7,$K$8:$AA$8,0)))</f>
        <v/>
      </c>
      <c r="I73" s="17"/>
      <c r="K73" s="17"/>
      <c r="L73" s="17"/>
      <c r="M73" s="17"/>
      <c r="N73" s="17"/>
      <c r="O73" s="17"/>
    </row>
    <row r="74" spans="2:15" ht="15" customHeight="1">
      <c r="B74" s="13" t="s">
        <v>1</v>
      </c>
      <c r="C74" s="13" t="s">
        <v>53</v>
      </c>
      <c r="D74" s="30" t="s">
        <v>95</v>
      </c>
      <c r="E74" s="14" t="s">
        <v>101</v>
      </c>
      <c r="F74" s="14">
        <v>1</v>
      </c>
      <c r="H74" s="17" t="str" cm="1">
        <f t="array" ref="H74">IF(INDEX($K:$AA,ROW(C74),MATCH($H$7,$K$8:$AA$8,0))="","",INDEX($K:$AA,ROW(C74),MATCH($H$7,$K$8:$AA$8,0)))</f>
        <v/>
      </c>
      <c r="I74" s="17"/>
      <c r="K74" s="17"/>
      <c r="L74" s="17"/>
      <c r="M74" s="17"/>
      <c r="N74" s="17"/>
      <c r="O74" s="17"/>
    </row>
    <row r="75" spans="2:15" ht="15" customHeight="1">
      <c r="B75" s="13" t="s">
        <v>1</v>
      </c>
      <c r="C75" s="13" t="s">
        <v>33</v>
      </c>
      <c r="D75" s="30" t="s">
        <v>97</v>
      </c>
      <c r="E75" s="14" t="s">
        <v>101</v>
      </c>
      <c r="F75" s="14">
        <v>2</v>
      </c>
      <c r="H75" s="17" t="str" cm="1">
        <f t="array" ref="H75">IF(INDEX($K:$AA,ROW(C75),MATCH($H$7,$K$8:$AA$8,0))="","",INDEX($K:$AA,ROW(C75),MATCH($H$7,$K$8:$AA$8,0)))</f>
        <v/>
      </c>
      <c r="I75" s="17"/>
      <c r="K75" s="17"/>
      <c r="L75" s="17"/>
      <c r="M75" s="17"/>
      <c r="N75" s="17"/>
      <c r="O75" s="17"/>
    </row>
    <row r="76" spans="2:15" ht="15" customHeight="1">
      <c r="B76" s="13" t="s">
        <v>1</v>
      </c>
      <c r="C76" s="13" t="s">
        <v>33</v>
      </c>
      <c r="D76" s="30" t="s">
        <v>95</v>
      </c>
      <c r="E76" s="14" t="s">
        <v>101</v>
      </c>
      <c r="F76" s="14">
        <v>1</v>
      </c>
      <c r="H76" s="17" t="str" cm="1">
        <f t="array" ref="H76">IF(INDEX($K:$AA,ROW(C76),MATCH($H$7,$K$8:$AA$8,0))="","",INDEX($K:$AA,ROW(C76),MATCH($H$7,$K$8:$AA$8,0)))</f>
        <v/>
      </c>
      <c r="I76" s="17"/>
      <c r="K76" s="17"/>
      <c r="L76" s="17"/>
      <c r="M76" s="17"/>
      <c r="N76" s="17"/>
      <c r="O76" s="17"/>
    </row>
    <row r="77" spans="2:15" ht="15" customHeight="1">
      <c r="B77" s="13" t="s">
        <v>1</v>
      </c>
      <c r="C77" s="13" t="s">
        <v>34</v>
      </c>
      <c r="D77" s="30" t="s">
        <v>97</v>
      </c>
      <c r="E77" s="14" t="s">
        <v>101</v>
      </c>
      <c r="F77" s="14">
        <v>2</v>
      </c>
      <c r="H77" s="17" t="str" cm="1">
        <f t="array" ref="H77">IF(INDEX($K:$AA,ROW(C77),MATCH($H$7,$K$8:$AA$8,0))="","",INDEX($K:$AA,ROW(C77),MATCH($H$7,$K$8:$AA$8,0)))</f>
        <v/>
      </c>
      <c r="I77" s="17"/>
      <c r="K77" s="17"/>
      <c r="L77" s="17"/>
      <c r="M77" s="17"/>
      <c r="N77" s="17"/>
      <c r="O77" s="17"/>
    </row>
    <row r="78" spans="2:15" ht="15" customHeight="1">
      <c r="B78" s="13" t="s">
        <v>1</v>
      </c>
      <c r="C78" s="13" t="s">
        <v>34</v>
      </c>
      <c r="D78" s="30" t="s">
        <v>95</v>
      </c>
      <c r="E78" s="14" t="s">
        <v>101</v>
      </c>
      <c r="F78" s="14">
        <v>1</v>
      </c>
      <c r="H78" s="17" t="str" cm="1">
        <f t="array" ref="H78">IF(INDEX($K:$AA,ROW(C78),MATCH($H$7,$K$8:$AA$8,0))="","",INDEX($K:$AA,ROW(C78),MATCH($H$7,$K$8:$AA$8,0)))</f>
        <v/>
      </c>
      <c r="I78" s="17"/>
      <c r="K78" s="17"/>
      <c r="L78" s="17"/>
      <c r="M78" s="17"/>
      <c r="N78" s="17"/>
      <c r="O78" s="17"/>
    </row>
    <row r="79" spans="2:15" ht="15" customHeight="1">
      <c r="B79" s="13" t="s">
        <v>1</v>
      </c>
      <c r="C79" s="13" t="s">
        <v>35</v>
      </c>
      <c r="D79" s="30" t="s">
        <v>97</v>
      </c>
      <c r="E79" s="14" t="s">
        <v>101</v>
      </c>
      <c r="F79" s="14">
        <v>2</v>
      </c>
      <c r="H79" s="17" t="str" cm="1">
        <f t="array" ref="H79">IF(INDEX($K:$AA,ROW(C79),MATCH($H$7,$K$8:$AA$8,0))="","",INDEX($K:$AA,ROW(C79),MATCH($H$7,$K$8:$AA$8,0)))</f>
        <v/>
      </c>
      <c r="I79" s="17"/>
      <c r="K79" s="17"/>
      <c r="L79" s="17"/>
      <c r="M79" s="17"/>
      <c r="N79" s="17"/>
      <c r="O79" s="17"/>
    </row>
    <row r="80" spans="2:15" ht="15" customHeight="1">
      <c r="B80" s="13" t="s">
        <v>1</v>
      </c>
      <c r="C80" s="13" t="s">
        <v>35</v>
      </c>
      <c r="D80" s="30" t="s">
        <v>95</v>
      </c>
      <c r="E80" s="14" t="s">
        <v>101</v>
      </c>
      <c r="F80" s="14">
        <v>1</v>
      </c>
      <c r="H80" s="17" t="str" cm="1">
        <f t="array" ref="H80">IF(INDEX($K:$AA,ROW(C80),MATCH($H$7,$K$8:$AA$8,0))="","",INDEX($K:$AA,ROW(C80),MATCH($H$7,$K$8:$AA$8,0)))</f>
        <v/>
      </c>
      <c r="I80" s="17"/>
      <c r="K80" s="17"/>
      <c r="L80" s="17"/>
      <c r="M80" s="17"/>
      <c r="N80" s="17"/>
      <c r="O80" s="17"/>
    </row>
    <row r="81" spans="2:15" ht="15" customHeight="1">
      <c r="B81" s="13" t="s">
        <v>1</v>
      </c>
      <c r="C81" s="13" t="s">
        <v>36</v>
      </c>
      <c r="D81" s="30" t="s">
        <v>97</v>
      </c>
      <c r="E81" s="14" t="s">
        <v>101</v>
      </c>
      <c r="F81" s="14">
        <v>2</v>
      </c>
      <c r="H81" s="17" t="str" cm="1">
        <f t="array" ref="H81">IF(INDEX($K:$AA,ROW(C81),MATCH($H$7,$K$8:$AA$8,0))="","",INDEX($K:$AA,ROW(C81),MATCH($H$7,$K$8:$AA$8,0)))</f>
        <v/>
      </c>
      <c r="I81" s="17"/>
      <c r="K81" s="17"/>
      <c r="L81" s="17"/>
      <c r="M81" s="17"/>
      <c r="N81" s="17"/>
      <c r="O81" s="17"/>
    </row>
    <row r="82" spans="2:15" ht="15" customHeight="1">
      <c r="B82" s="13" t="s">
        <v>1</v>
      </c>
      <c r="C82" s="13" t="s">
        <v>36</v>
      </c>
      <c r="D82" s="30" t="s">
        <v>95</v>
      </c>
      <c r="E82" s="14" t="s">
        <v>101</v>
      </c>
      <c r="F82" s="14">
        <v>1</v>
      </c>
      <c r="H82" s="17" t="str" cm="1">
        <f t="array" ref="H82">IF(INDEX($K:$AA,ROW(C82),MATCH($H$7,$K$8:$AA$8,0))="","",INDEX($K:$AA,ROW(C82),MATCH($H$7,$K$8:$AA$8,0)))</f>
        <v/>
      </c>
      <c r="I82" s="17"/>
      <c r="K82" s="17"/>
      <c r="L82" s="17"/>
      <c r="M82" s="17"/>
      <c r="N82" s="17"/>
      <c r="O82" s="17"/>
    </row>
    <row r="83" spans="2:15" ht="15" customHeight="1">
      <c r="B83" s="13" t="s">
        <v>1</v>
      </c>
      <c r="C83" s="13" t="s">
        <v>37</v>
      </c>
      <c r="D83" s="30" t="s">
        <v>97</v>
      </c>
      <c r="E83" s="14" t="s">
        <v>101</v>
      </c>
      <c r="F83" s="14">
        <v>2</v>
      </c>
      <c r="H83" s="17" t="str" cm="1">
        <f t="array" ref="H83">IF(INDEX($K:$AA,ROW(C83),MATCH($H$7,$K$8:$AA$8,0))="","",INDEX($K:$AA,ROW(C83),MATCH($H$7,$K$8:$AA$8,0)))</f>
        <v/>
      </c>
      <c r="I83" s="17"/>
      <c r="K83" s="17"/>
      <c r="L83" s="17"/>
      <c r="M83" s="17"/>
      <c r="N83" s="17"/>
      <c r="O83" s="17"/>
    </row>
    <row r="84" spans="2:15" ht="15" customHeight="1">
      <c r="B84" s="13" t="s">
        <v>1</v>
      </c>
      <c r="C84" s="13" t="s">
        <v>37</v>
      </c>
      <c r="D84" s="30" t="s">
        <v>95</v>
      </c>
      <c r="E84" s="14" t="s">
        <v>101</v>
      </c>
      <c r="F84" s="14">
        <v>1</v>
      </c>
      <c r="H84" s="17" t="str" cm="1">
        <f t="array" ref="H84">IF(INDEX($K:$AA,ROW(C84),MATCH($H$7,$K$8:$AA$8,0))="","",INDEX($K:$AA,ROW(C84),MATCH($H$7,$K$8:$AA$8,0)))</f>
        <v/>
      </c>
      <c r="I84" s="17"/>
      <c r="K84" s="17"/>
      <c r="L84" s="17"/>
      <c r="M84" s="17"/>
      <c r="N84" s="17"/>
      <c r="O84" s="17"/>
    </row>
    <row r="85" spans="2:15" ht="15" customHeight="1">
      <c r="B85" s="13" t="s">
        <v>1</v>
      </c>
      <c r="C85" s="13" t="s">
        <v>38</v>
      </c>
      <c r="D85" s="30" t="s">
        <v>97</v>
      </c>
      <c r="E85" s="14" t="s">
        <v>101</v>
      </c>
      <c r="F85" s="14">
        <v>2</v>
      </c>
      <c r="H85" s="17" t="str" cm="1">
        <f t="array" ref="H85">IF(INDEX($K:$AA,ROW(C85),MATCH($H$7,$K$8:$AA$8,0))="","",INDEX($K:$AA,ROW(C85),MATCH($H$7,$K$8:$AA$8,0)))</f>
        <v/>
      </c>
      <c r="I85" s="17"/>
      <c r="K85" s="17"/>
      <c r="L85" s="17"/>
      <c r="M85" s="17"/>
      <c r="N85" s="17"/>
      <c r="O85" s="17"/>
    </row>
    <row r="86" spans="2:15" ht="15" customHeight="1">
      <c r="B86" s="13" t="s">
        <v>1</v>
      </c>
      <c r="C86" s="13" t="s">
        <v>38</v>
      </c>
      <c r="D86" s="30" t="s">
        <v>95</v>
      </c>
      <c r="E86" s="14" t="s">
        <v>101</v>
      </c>
      <c r="F86" s="14">
        <v>1</v>
      </c>
      <c r="H86" s="17" t="str" cm="1">
        <f t="array" ref="H86">IF(INDEX($K:$AA,ROW(C86),MATCH($H$7,$K$8:$AA$8,0))="","",INDEX($K:$AA,ROW(C86),MATCH($H$7,$K$8:$AA$8,0)))</f>
        <v/>
      </c>
      <c r="I86" s="17"/>
      <c r="K86" s="17"/>
      <c r="L86" s="17"/>
      <c r="M86" s="17"/>
      <c r="N86" s="17"/>
      <c r="O86" s="17"/>
    </row>
    <row r="87" spans="2:15" ht="15" customHeight="1">
      <c r="B87" s="13" t="s">
        <v>1</v>
      </c>
      <c r="C87" s="13" t="s">
        <v>39</v>
      </c>
      <c r="D87" s="30" t="s">
        <v>97</v>
      </c>
      <c r="E87" s="14" t="s">
        <v>101</v>
      </c>
      <c r="F87" s="14">
        <v>2</v>
      </c>
      <c r="H87" s="17" t="str" cm="1">
        <f t="array" ref="H87">IF(INDEX($K:$AA,ROW(C87),MATCH($H$7,$K$8:$AA$8,0))="","",INDEX($K:$AA,ROW(C87),MATCH($H$7,$K$8:$AA$8,0)))</f>
        <v/>
      </c>
      <c r="I87" s="17"/>
      <c r="K87" s="17"/>
      <c r="L87" s="17"/>
      <c r="M87" s="17"/>
      <c r="N87" s="17"/>
      <c r="O87" s="17"/>
    </row>
    <row r="88" spans="2:15" ht="15" customHeight="1">
      <c r="B88" s="13" t="s">
        <v>1</v>
      </c>
      <c r="C88" s="13" t="s">
        <v>39</v>
      </c>
      <c r="D88" s="30" t="s">
        <v>95</v>
      </c>
      <c r="E88" s="14" t="s">
        <v>101</v>
      </c>
      <c r="F88" s="14">
        <v>1</v>
      </c>
      <c r="H88" s="17" t="str" cm="1">
        <f t="array" ref="H88">IF(INDEX($K:$AA,ROW(C88),MATCH($H$7,$K$8:$AA$8,0))="","",INDEX($K:$AA,ROW(C88),MATCH($H$7,$K$8:$AA$8,0)))</f>
        <v/>
      </c>
      <c r="I88" s="17"/>
      <c r="K88" s="17"/>
      <c r="L88" s="17"/>
      <c r="M88" s="17"/>
      <c r="N88" s="17"/>
      <c r="O88" s="17"/>
    </row>
    <row r="89" spans="2:15" ht="15" customHeight="1">
      <c r="B89" s="13" t="s">
        <v>1</v>
      </c>
      <c r="C89" s="13" t="s">
        <v>39</v>
      </c>
      <c r="D89" s="30" t="s">
        <v>96</v>
      </c>
      <c r="E89" s="14" t="s">
        <v>101</v>
      </c>
      <c r="F89" s="14">
        <v>2</v>
      </c>
      <c r="H89" s="17" t="str" cm="1">
        <f t="array" ref="H89">IF(INDEX($K:$AA,ROW(C89),MATCH($H$7,$K$8:$AA$8,0))="","",INDEX($K:$AA,ROW(C89),MATCH($H$7,$K$8:$AA$8,0)))</f>
        <v/>
      </c>
      <c r="I89" s="17"/>
      <c r="K89" s="17"/>
      <c r="L89" s="17"/>
      <c r="M89" s="17"/>
      <c r="N89" s="17"/>
      <c r="O89" s="17"/>
    </row>
    <row r="90" spans="2:15" ht="15" customHeight="1">
      <c r="B90" s="13" t="s">
        <v>1</v>
      </c>
      <c r="C90" s="13" t="s">
        <v>40</v>
      </c>
      <c r="D90" s="30" t="s">
        <v>97</v>
      </c>
      <c r="E90" s="14" t="s">
        <v>101</v>
      </c>
      <c r="F90" s="14">
        <v>2</v>
      </c>
      <c r="H90" s="17" t="str" cm="1">
        <f t="array" ref="H90">IF(INDEX($K:$AA,ROW(C90),MATCH($H$7,$K$8:$AA$8,0))="","",INDEX($K:$AA,ROW(C90),MATCH($H$7,$K$8:$AA$8,0)))</f>
        <v/>
      </c>
      <c r="I90" s="17"/>
      <c r="K90" s="17"/>
      <c r="L90" s="17"/>
      <c r="M90" s="17"/>
      <c r="N90" s="17"/>
      <c r="O90" s="17"/>
    </row>
    <row r="91" spans="2:15" ht="15" customHeight="1">
      <c r="B91" s="13" t="s">
        <v>1</v>
      </c>
      <c r="C91" s="13" t="s">
        <v>40</v>
      </c>
      <c r="D91" s="30" t="s">
        <v>95</v>
      </c>
      <c r="E91" s="14" t="s">
        <v>101</v>
      </c>
      <c r="F91" s="14">
        <v>1</v>
      </c>
      <c r="H91" s="17" t="str" cm="1">
        <f t="array" ref="H91">IF(INDEX($K:$AA,ROW(C91),MATCH($H$7,$K$8:$AA$8,0))="","",INDEX($K:$AA,ROW(C91),MATCH($H$7,$K$8:$AA$8,0)))</f>
        <v/>
      </c>
      <c r="I91" s="17"/>
      <c r="K91" s="17"/>
      <c r="L91" s="17"/>
      <c r="M91" s="17"/>
      <c r="N91" s="17"/>
      <c r="O91" s="17"/>
    </row>
    <row r="92" spans="2:15" ht="15" customHeight="1">
      <c r="B92" s="13" t="s">
        <v>1</v>
      </c>
      <c r="C92" s="13" t="s">
        <v>40</v>
      </c>
      <c r="D92" s="30" t="s">
        <v>96</v>
      </c>
      <c r="E92" s="14" t="s">
        <v>101</v>
      </c>
      <c r="F92" s="14">
        <v>2</v>
      </c>
      <c r="H92" s="17" t="str" cm="1">
        <f t="array" ref="H92">IF(INDEX($K:$AA,ROW(C92),MATCH($H$7,$K$8:$AA$8,0))="","",INDEX($K:$AA,ROW(C92),MATCH($H$7,$K$8:$AA$8,0)))</f>
        <v/>
      </c>
      <c r="I92" s="17"/>
      <c r="K92" s="17"/>
      <c r="L92" s="17"/>
      <c r="M92" s="17"/>
      <c r="N92" s="17"/>
      <c r="O92" s="17"/>
    </row>
    <row r="93" spans="2:15" ht="15" customHeight="1">
      <c r="B93" s="13" t="s">
        <v>1</v>
      </c>
      <c r="C93" s="13" t="s">
        <v>41</v>
      </c>
      <c r="D93" s="30" t="s">
        <v>97</v>
      </c>
      <c r="E93" s="14" t="s">
        <v>101</v>
      </c>
      <c r="F93" s="14">
        <v>2</v>
      </c>
      <c r="H93" s="17" t="str" cm="1">
        <f t="array" ref="H93">IF(INDEX($K:$AA,ROW(C93),MATCH($H$7,$K$8:$AA$8,0))="","",INDEX($K:$AA,ROW(C93),MATCH($H$7,$K$8:$AA$8,0)))</f>
        <v/>
      </c>
      <c r="I93" s="17"/>
      <c r="K93" s="17"/>
      <c r="L93" s="17"/>
      <c r="M93" s="17"/>
      <c r="N93" s="17"/>
      <c r="O93" s="17"/>
    </row>
    <row r="94" spans="2:15" ht="15" customHeight="1">
      <c r="B94" s="13" t="s">
        <v>1</v>
      </c>
      <c r="C94" s="13" t="s">
        <v>41</v>
      </c>
      <c r="D94" s="30" t="s">
        <v>95</v>
      </c>
      <c r="E94" s="14" t="s">
        <v>101</v>
      </c>
      <c r="F94" s="14">
        <v>1</v>
      </c>
      <c r="H94" s="17" t="str" cm="1">
        <f t="array" ref="H94">IF(INDEX($K:$AA,ROW(C94),MATCH($H$7,$K$8:$AA$8,0))="","",INDEX($K:$AA,ROW(C94),MATCH($H$7,$K$8:$AA$8,0)))</f>
        <v/>
      </c>
      <c r="I94" s="17"/>
      <c r="K94" s="17"/>
      <c r="L94" s="17"/>
      <c r="M94" s="17"/>
      <c r="N94" s="17"/>
      <c r="O94" s="17"/>
    </row>
    <row r="95" spans="2:15" ht="15" customHeight="1">
      <c r="B95" s="13" t="s">
        <v>1</v>
      </c>
      <c r="C95" s="13" t="s">
        <v>41</v>
      </c>
      <c r="D95" s="30" t="s">
        <v>96</v>
      </c>
      <c r="E95" s="14" t="s">
        <v>101</v>
      </c>
      <c r="F95" s="14">
        <v>2</v>
      </c>
      <c r="H95" s="17" t="str" cm="1">
        <f t="array" ref="H95">IF(INDEX($K:$AA,ROW(C95),MATCH($H$7,$K$8:$AA$8,0))="","",INDEX($K:$AA,ROW(C95),MATCH($H$7,$K$8:$AA$8,0)))</f>
        <v/>
      </c>
      <c r="I95" s="17"/>
      <c r="K95" s="17"/>
      <c r="L95" s="17"/>
      <c r="M95" s="17"/>
      <c r="N95" s="17"/>
      <c r="O95" s="17"/>
    </row>
    <row r="96" spans="2:15" ht="15" customHeight="1">
      <c r="B96" s="13" t="s">
        <v>1</v>
      </c>
      <c r="C96" s="13" t="s">
        <v>42</v>
      </c>
      <c r="D96" s="30" t="s">
        <v>97</v>
      </c>
      <c r="E96" s="14" t="s">
        <v>101</v>
      </c>
      <c r="F96" s="14">
        <v>2</v>
      </c>
      <c r="H96" s="17" t="str" cm="1">
        <f t="array" ref="H96">IF(INDEX($K:$AA,ROW(C96),MATCH($H$7,$K$8:$AA$8,0))="","",INDEX($K:$AA,ROW(C96),MATCH($H$7,$K$8:$AA$8,0)))</f>
        <v/>
      </c>
      <c r="I96" s="17"/>
      <c r="K96" s="17"/>
      <c r="L96" s="17"/>
      <c r="M96" s="17"/>
      <c r="N96" s="17"/>
      <c r="O96" s="17"/>
    </row>
    <row r="97" spans="2:15" ht="15" customHeight="1">
      <c r="B97" s="13" t="s">
        <v>1</v>
      </c>
      <c r="C97" s="13" t="s">
        <v>42</v>
      </c>
      <c r="D97" s="30" t="s">
        <v>95</v>
      </c>
      <c r="E97" s="14" t="s">
        <v>101</v>
      </c>
      <c r="F97" s="14">
        <v>1</v>
      </c>
      <c r="H97" s="17" t="str" cm="1">
        <f t="array" ref="H97">IF(INDEX($K:$AA,ROW(C97),MATCH($H$7,$K$8:$AA$8,0))="","",INDEX($K:$AA,ROW(C97),MATCH($H$7,$K$8:$AA$8,0)))</f>
        <v/>
      </c>
      <c r="I97" s="17"/>
      <c r="K97" s="17"/>
      <c r="L97" s="17"/>
      <c r="M97" s="17"/>
      <c r="N97" s="17"/>
      <c r="O97" s="17"/>
    </row>
    <row r="98" spans="2:15" ht="15" customHeight="1">
      <c r="B98" s="13" t="s">
        <v>1</v>
      </c>
      <c r="C98" s="13" t="s">
        <v>42</v>
      </c>
      <c r="D98" s="30" t="s">
        <v>96</v>
      </c>
      <c r="E98" s="14" t="s">
        <v>101</v>
      </c>
      <c r="F98" s="14">
        <v>2</v>
      </c>
      <c r="H98" s="17" t="str" cm="1">
        <f t="array" ref="H98">IF(INDEX($K:$AA,ROW(C98),MATCH($H$7,$K$8:$AA$8,0))="","",INDEX($K:$AA,ROW(C98),MATCH($H$7,$K$8:$AA$8,0)))</f>
        <v/>
      </c>
      <c r="I98" s="17"/>
      <c r="K98" s="17"/>
      <c r="L98" s="17"/>
      <c r="M98" s="17"/>
      <c r="N98" s="17"/>
      <c r="O98" s="17"/>
    </row>
    <row r="99" spans="2:15" ht="15" customHeight="1">
      <c r="B99" s="13" t="s">
        <v>1</v>
      </c>
      <c r="C99" s="13" t="s">
        <v>43</v>
      </c>
      <c r="D99" s="30" t="s">
        <v>97</v>
      </c>
      <c r="E99" s="14" t="s">
        <v>101</v>
      </c>
      <c r="F99" s="14">
        <v>2</v>
      </c>
      <c r="H99" s="17" t="str" cm="1">
        <f t="array" ref="H99">IF(INDEX($K:$AA,ROW(C99),MATCH($H$7,$K$8:$AA$8,0))="","",INDEX($K:$AA,ROW(C99),MATCH($H$7,$K$8:$AA$8,0)))</f>
        <v/>
      </c>
      <c r="I99" s="17"/>
      <c r="K99" s="17"/>
      <c r="L99" s="17"/>
      <c r="M99" s="17"/>
      <c r="N99" s="17"/>
      <c r="O99" s="17"/>
    </row>
    <row r="100" spans="2:15" ht="15" customHeight="1">
      <c r="B100" s="13" t="s">
        <v>1</v>
      </c>
      <c r="C100" s="13" t="s">
        <v>43</v>
      </c>
      <c r="D100" s="30" t="s">
        <v>95</v>
      </c>
      <c r="E100" s="14" t="s">
        <v>101</v>
      </c>
      <c r="F100" s="14">
        <v>1</v>
      </c>
      <c r="H100" s="17" t="str" cm="1">
        <f t="array" ref="H100">IF(INDEX($K:$AA,ROW(C100),MATCH($H$7,$K$8:$AA$8,0))="","",INDEX($K:$AA,ROW(C100),MATCH($H$7,$K$8:$AA$8,0)))</f>
        <v/>
      </c>
      <c r="I100" s="17"/>
      <c r="K100" s="17"/>
      <c r="L100" s="17"/>
      <c r="M100" s="17"/>
      <c r="N100" s="17"/>
      <c r="O100" s="17"/>
    </row>
    <row r="101" spans="2:15" ht="15" customHeight="1">
      <c r="B101" s="13" t="s">
        <v>1</v>
      </c>
      <c r="C101" s="13" t="s">
        <v>44</v>
      </c>
      <c r="D101" s="30" t="s">
        <v>97</v>
      </c>
      <c r="E101" s="14" t="s">
        <v>101</v>
      </c>
      <c r="F101" s="14">
        <v>2</v>
      </c>
      <c r="H101" s="17" t="str" cm="1">
        <f t="array" ref="H101">IF(INDEX($K:$AA,ROW(C101),MATCH($H$7,$K$8:$AA$8,0))="","",INDEX($K:$AA,ROW(C101),MATCH($H$7,$K$8:$AA$8,0)))</f>
        <v/>
      </c>
      <c r="I101" s="17"/>
      <c r="K101" s="17"/>
      <c r="L101" s="17"/>
      <c r="M101" s="17"/>
      <c r="N101" s="17"/>
      <c r="O101" s="17"/>
    </row>
    <row r="102" spans="2:15" ht="15" customHeight="1">
      <c r="B102" s="13" t="s">
        <v>1</v>
      </c>
      <c r="C102" s="13" t="s">
        <v>44</v>
      </c>
      <c r="D102" s="30" t="s">
        <v>95</v>
      </c>
      <c r="E102" s="14" t="s">
        <v>101</v>
      </c>
      <c r="F102" s="14">
        <v>1</v>
      </c>
      <c r="H102" s="17" t="str" cm="1">
        <f t="array" ref="H102">IF(INDEX($K:$AA,ROW(C102),MATCH($H$7,$K$8:$AA$8,0))="","",INDEX($K:$AA,ROW(C102),MATCH($H$7,$K$8:$AA$8,0)))</f>
        <v/>
      </c>
      <c r="I102" s="17"/>
      <c r="K102" s="17"/>
      <c r="L102" s="17"/>
      <c r="M102" s="17"/>
      <c r="N102" s="17"/>
      <c r="O102" s="17"/>
    </row>
    <row r="103" spans="2:15" ht="15" customHeight="1">
      <c r="B103" s="13" t="s">
        <v>1</v>
      </c>
      <c r="C103" s="13" t="s">
        <v>45</v>
      </c>
      <c r="D103" s="30" t="s">
        <v>97</v>
      </c>
      <c r="E103" s="14" t="s">
        <v>101</v>
      </c>
      <c r="F103" s="14">
        <v>2</v>
      </c>
      <c r="H103" s="17" t="str" cm="1">
        <f t="array" ref="H103">IF(INDEX($K:$AA,ROW(C103),MATCH($H$7,$K$8:$AA$8,0))="","",INDEX($K:$AA,ROW(C103),MATCH($H$7,$K$8:$AA$8,0)))</f>
        <v/>
      </c>
      <c r="I103" s="17"/>
      <c r="K103" s="17"/>
      <c r="L103" s="17"/>
      <c r="M103" s="17"/>
      <c r="N103" s="17"/>
      <c r="O103" s="17"/>
    </row>
    <row r="104" spans="2:15" ht="15" customHeight="1">
      <c r="B104" s="13" t="s">
        <v>1</v>
      </c>
      <c r="C104" s="13" t="s">
        <v>45</v>
      </c>
      <c r="D104" s="30" t="s">
        <v>95</v>
      </c>
      <c r="E104" s="14" t="s">
        <v>101</v>
      </c>
      <c r="F104" s="14">
        <v>1</v>
      </c>
      <c r="H104" s="17" t="str" cm="1">
        <f t="array" ref="H104">IF(INDEX($K:$AA,ROW(C104),MATCH($H$7,$K$8:$AA$8,0))="","",INDEX($K:$AA,ROW(C104),MATCH($H$7,$K$8:$AA$8,0)))</f>
        <v/>
      </c>
      <c r="I104" s="17"/>
      <c r="K104" s="17"/>
      <c r="L104" s="17"/>
      <c r="M104" s="17"/>
      <c r="N104" s="17"/>
      <c r="O104" s="17"/>
    </row>
    <row r="105" spans="2:15" ht="15" customHeight="1">
      <c r="B105" s="13" t="s">
        <v>1</v>
      </c>
      <c r="C105" s="13" t="s">
        <v>45</v>
      </c>
      <c r="D105" s="30" t="s">
        <v>96</v>
      </c>
      <c r="E105" s="14" t="s">
        <v>101</v>
      </c>
      <c r="F105" s="14">
        <v>2</v>
      </c>
      <c r="H105" s="17" t="str" cm="1">
        <f t="array" ref="H105">IF(INDEX($K:$AA,ROW(C105),MATCH($H$7,$K$8:$AA$8,0))="","",INDEX($K:$AA,ROW(C105),MATCH($H$7,$K$8:$AA$8,0)))</f>
        <v/>
      </c>
      <c r="I105" s="17"/>
      <c r="K105" s="17"/>
      <c r="L105" s="17"/>
      <c r="M105" s="17"/>
      <c r="N105" s="17"/>
      <c r="O105" s="17"/>
    </row>
    <row r="106" spans="2:15" ht="15" customHeight="1">
      <c r="B106" s="13" t="s">
        <v>1</v>
      </c>
      <c r="C106" s="13" t="s">
        <v>46</v>
      </c>
      <c r="D106" s="30" t="s">
        <v>97</v>
      </c>
      <c r="E106" s="14" t="s">
        <v>101</v>
      </c>
      <c r="F106" s="14">
        <v>2</v>
      </c>
      <c r="H106" s="17" t="str" cm="1">
        <f t="array" ref="H106">IF(INDEX($K:$AA,ROW(C106),MATCH($H$7,$K$8:$AA$8,0))="","",INDEX($K:$AA,ROW(C106),MATCH($H$7,$K$8:$AA$8,0)))</f>
        <v/>
      </c>
      <c r="I106" s="17"/>
      <c r="K106" s="17"/>
      <c r="L106" s="17"/>
      <c r="M106" s="17"/>
      <c r="N106" s="17"/>
      <c r="O106" s="17"/>
    </row>
    <row r="107" spans="2:15" ht="15" customHeight="1">
      <c r="B107" s="13" t="s">
        <v>1</v>
      </c>
      <c r="C107" s="13" t="s">
        <v>46</v>
      </c>
      <c r="D107" s="30" t="s">
        <v>95</v>
      </c>
      <c r="E107" s="14" t="s">
        <v>101</v>
      </c>
      <c r="F107" s="14">
        <v>1</v>
      </c>
      <c r="H107" s="17" t="str" cm="1">
        <f t="array" ref="H107">IF(INDEX($K:$AA,ROW(C107),MATCH($H$7,$K$8:$AA$8,0))="","",INDEX($K:$AA,ROW(C107),MATCH($H$7,$K$8:$AA$8,0)))</f>
        <v/>
      </c>
      <c r="I107" s="17"/>
      <c r="K107" s="17"/>
      <c r="L107" s="17"/>
      <c r="M107" s="17"/>
      <c r="N107" s="17"/>
      <c r="O107" s="17"/>
    </row>
    <row r="108" spans="2:15" ht="15" customHeight="1">
      <c r="B108" s="13" t="s">
        <v>1</v>
      </c>
      <c r="C108" s="13" t="s">
        <v>47</v>
      </c>
      <c r="D108" s="30" t="s">
        <v>97</v>
      </c>
      <c r="E108" s="14" t="s">
        <v>101</v>
      </c>
      <c r="F108" s="14">
        <v>2</v>
      </c>
      <c r="H108" s="17" t="str" cm="1">
        <f t="array" ref="H108">IF(INDEX($K:$AA,ROW(C108),MATCH($H$7,$K$8:$AA$8,0))="","",INDEX($K:$AA,ROW(C108),MATCH($H$7,$K$8:$AA$8,0)))</f>
        <v/>
      </c>
      <c r="I108" s="17"/>
      <c r="K108" s="17"/>
      <c r="L108" s="17"/>
      <c r="M108" s="17"/>
      <c r="N108" s="17"/>
      <c r="O108" s="17"/>
    </row>
    <row r="109" spans="2:15" ht="15" customHeight="1">
      <c r="B109" s="13" t="s">
        <v>1</v>
      </c>
      <c r="C109" s="13" t="s">
        <v>47</v>
      </c>
      <c r="D109" s="30" t="s">
        <v>95</v>
      </c>
      <c r="E109" s="14" t="s">
        <v>101</v>
      </c>
      <c r="F109" s="14">
        <v>1</v>
      </c>
      <c r="H109" s="17" t="str" cm="1">
        <f t="array" ref="H109">IF(INDEX($K:$AA,ROW(C109),MATCH($H$7,$K$8:$AA$8,0))="","",INDEX($K:$AA,ROW(C109),MATCH($H$7,$K$8:$AA$8,0)))</f>
        <v/>
      </c>
      <c r="I109" s="17"/>
      <c r="K109" s="17"/>
      <c r="L109" s="17"/>
      <c r="M109" s="17"/>
      <c r="N109" s="17"/>
      <c r="O109" s="17"/>
    </row>
    <row r="110" spans="2:15" ht="15" customHeight="1">
      <c r="B110" s="13" t="s">
        <v>1</v>
      </c>
      <c r="C110" s="13" t="s">
        <v>48</v>
      </c>
      <c r="D110" s="30" t="s">
        <v>97</v>
      </c>
      <c r="E110" s="14" t="s">
        <v>101</v>
      </c>
      <c r="F110" s="14">
        <v>2</v>
      </c>
      <c r="H110" s="17" t="str" cm="1">
        <f t="array" ref="H110">IF(INDEX($K:$AA,ROW(C110),MATCH($H$7,$K$8:$AA$8,0))="","",INDEX($K:$AA,ROW(C110),MATCH($H$7,$K$8:$AA$8,0)))</f>
        <v/>
      </c>
      <c r="I110" s="17"/>
      <c r="K110" s="17"/>
      <c r="L110" s="17"/>
      <c r="M110" s="17"/>
      <c r="N110" s="17"/>
      <c r="O110" s="17"/>
    </row>
    <row r="111" spans="2:15" ht="15" customHeight="1">
      <c r="B111" s="13" t="s">
        <v>1</v>
      </c>
      <c r="C111" s="13" t="s">
        <v>48</v>
      </c>
      <c r="D111" s="30" t="s">
        <v>95</v>
      </c>
      <c r="E111" s="14" t="s">
        <v>101</v>
      </c>
      <c r="F111" s="14">
        <v>1</v>
      </c>
      <c r="H111" s="17" t="str" cm="1">
        <f t="array" ref="H111">IF(INDEX($K:$AA,ROW(C111),MATCH($H$7,$K$8:$AA$8,0))="","",INDEX($K:$AA,ROW(C111),MATCH($H$7,$K$8:$AA$8,0)))</f>
        <v/>
      </c>
      <c r="I111" s="17"/>
      <c r="K111" s="17"/>
      <c r="L111" s="17"/>
      <c r="M111" s="17"/>
      <c r="N111" s="17"/>
      <c r="O111" s="17"/>
    </row>
    <row r="112" spans="2:15" ht="15" customHeight="1">
      <c r="B112" s="13" t="s">
        <v>1</v>
      </c>
      <c r="C112" s="13" t="s">
        <v>49</v>
      </c>
      <c r="D112" s="30" t="s">
        <v>97</v>
      </c>
      <c r="E112" s="14" t="s">
        <v>101</v>
      </c>
      <c r="F112" s="14">
        <v>2</v>
      </c>
      <c r="H112" s="17" t="str" cm="1">
        <f t="array" ref="H112">IF(INDEX($K:$AA,ROW(C112),MATCH($H$7,$K$8:$AA$8,0))="","",INDEX($K:$AA,ROW(C112),MATCH($H$7,$K$8:$AA$8,0)))</f>
        <v/>
      </c>
      <c r="I112" s="17"/>
      <c r="K112" s="17"/>
      <c r="L112" s="17"/>
      <c r="M112" s="17"/>
      <c r="N112" s="17"/>
      <c r="O112" s="17"/>
    </row>
    <row r="113" spans="2:15" ht="15" customHeight="1">
      <c r="B113" s="13" t="s">
        <v>1</v>
      </c>
      <c r="C113" s="13" t="s">
        <v>49</v>
      </c>
      <c r="D113" s="30" t="s">
        <v>95</v>
      </c>
      <c r="E113" s="14" t="s">
        <v>101</v>
      </c>
      <c r="F113" s="14">
        <v>1</v>
      </c>
      <c r="H113" s="17" t="str" cm="1">
        <f t="array" ref="H113">IF(INDEX($K:$AA,ROW(C113),MATCH($H$7,$K$8:$AA$8,0))="","",INDEX($K:$AA,ROW(C113),MATCH($H$7,$K$8:$AA$8,0)))</f>
        <v/>
      </c>
      <c r="I113" s="17"/>
      <c r="K113" s="17"/>
      <c r="L113" s="17"/>
      <c r="M113" s="17"/>
      <c r="N113" s="17"/>
      <c r="O113" s="17"/>
    </row>
    <row r="114" spans="2:15" ht="15" customHeight="1">
      <c r="B114" s="13" t="s">
        <v>1</v>
      </c>
      <c r="C114" s="13" t="s">
        <v>50</v>
      </c>
      <c r="D114" s="30" t="s">
        <v>97</v>
      </c>
      <c r="E114" s="14" t="s">
        <v>101</v>
      </c>
      <c r="F114" s="14">
        <v>2</v>
      </c>
      <c r="H114" s="17" t="str" cm="1">
        <f t="array" ref="H114">IF(INDEX($K:$AA,ROW(C114),MATCH($H$7,$K$8:$AA$8,0))="","",INDEX($K:$AA,ROW(C114),MATCH($H$7,$K$8:$AA$8,0)))</f>
        <v/>
      </c>
      <c r="I114" s="17"/>
      <c r="K114" s="17"/>
      <c r="L114" s="17"/>
      <c r="M114" s="17"/>
      <c r="N114" s="17"/>
      <c r="O114" s="17"/>
    </row>
    <row r="115" spans="2:15" ht="15" customHeight="1">
      <c r="B115" s="13" t="s">
        <v>1</v>
      </c>
      <c r="C115" s="13" t="s">
        <v>50</v>
      </c>
      <c r="D115" s="30" t="s">
        <v>95</v>
      </c>
      <c r="E115" s="14" t="s">
        <v>101</v>
      </c>
      <c r="F115" s="14">
        <v>1</v>
      </c>
      <c r="H115" s="17" t="str" cm="1">
        <f t="array" ref="H115">IF(INDEX($K:$AA,ROW(C115),MATCH($H$7,$K$8:$AA$8,0))="","",INDEX($K:$AA,ROW(C115),MATCH($H$7,$K$8:$AA$8,0)))</f>
        <v/>
      </c>
      <c r="I115" s="17"/>
      <c r="K115" s="17"/>
      <c r="L115" s="17"/>
      <c r="M115" s="17"/>
      <c r="N115" s="17"/>
      <c r="O115" s="17"/>
    </row>
    <row r="116" spans="2:15" ht="15" customHeight="1">
      <c r="B116" s="13" t="s">
        <v>1</v>
      </c>
      <c r="C116" s="13" t="s">
        <v>51</v>
      </c>
      <c r="D116" s="30" t="s">
        <v>97</v>
      </c>
      <c r="E116" s="14" t="s">
        <v>101</v>
      </c>
      <c r="F116" s="14">
        <v>2</v>
      </c>
      <c r="H116" s="17" t="str" cm="1">
        <f t="array" ref="H116">IF(INDEX($K:$AA,ROW(C116),MATCH($H$7,$K$8:$AA$8,0))="","",INDEX($K:$AA,ROW(C116),MATCH($H$7,$K$8:$AA$8,0)))</f>
        <v/>
      </c>
      <c r="I116" s="17"/>
      <c r="K116" s="17"/>
      <c r="L116" s="17"/>
      <c r="M116" s="17"/>
      <c r="N116" s="17"/>
      <c r="O116" s="17"/>
    </row>
    <row r="117" spans="2:15" ht="15" customHeight="1">
      <c r="B117" s="13" t="s">
        <v>1</v>
      </c>
      <c r="C117" s="13" t="s">
        <v>51</v>
      </c>
      <c r="D117" s="30" t="s">
        <v>95</v>
      </c>
      <c r="E117" s="14" t="s">
        <v>101</v>
      </c>
      <c r="F117" s="14">
        <v>1</v>
      </c>
      <c r="H117" s="17" t="str" cm="1">
        <f t="array" ref="H117">IF(INDEX($K:$AA,ROW(C117),MATCH($H$7,$K$8:$AA$8,0))="","",INDEX($K:$AA,ROW(C117),MATCH($H$7,$K$8:$AA$8,0)))</f>
        <v/>
      </c>
      <c r="I117" s="17"/>
      <c r="K117" s="17"/>
      <c r="L117" s="17"/>
      <c r="M117" s="17"/>
      <c r="N117" s="17"/>
      <c r="O117" s="17"/>
    </row>
    <row r="118" spans="2:15" ht="15" customHeight="1">
      <c r="B118" s="13" t="s">
        <v>1</v>
      </c>
      <c r="C118" s="13" t="s">
        <v>51</v>
      </c>
      <c r="D118" s="30" t="s">
        <v>94</v>
      </c>
      <c r="E118" s="14" t="s">
        <v>100</v>
      </c>
      <c r="F118" s="14">
        <v>4</v>
      </c>
      <c r="H118" s="17" t="str" cm="1">
        <f t="array" ref="H118">IF(INDEX($K:$AA,ROW(C118),MATCH($H$7,$K$8:$AA$8,0))="","",INDEX($K:$AA,ROW(C118),MATCH($H$7,$K$8:$AA$8,0)))</f>
        <v/>
      </c>
      <c r="I118" s="17"/>
      <c r="K118" s="17"/>
      <c r="L118" s="17"/>
      <c r="M118" s="17"/>
      <c r="N118" s="17"/>
      <c r="O118" s="17"/>
    </row>
    <row r="119" spans="2:15" ht="15" customHeight="1">
      <c r="B119" s="13" t="s">
        <v>1</v>
      </c>
      <c r="C119" s="13" t="s">
        <v>54</v>
      </c>
      <c r="D119" s="30" t="s">
        <v>97</v>
      </c>
      <c r="E119" s="14" t="s">
        <v>101</v>
      </c>
      <c r="F119" s="14">
        <v>2</v>
      </c>
      <c r="H119" s="17" t="str" cm="1">
        <f t="array" ref="H119">IF(INDEX($K:$AA,ROW(C119),MATCH($H$7,$K$8:$AA$8,0))="","",INDEX($K:$AA,ROW(C119),MATCH($H$7,$K$8:$AA$8,0)))</f>
        <v/>
      </c>
      <c r="I119" s="17"/>
      <c r="K119" s="17"/>
      <c r="L119" s="17"/>
      <c r="M119" s="17"/>
      <c r="N119" s="17"/>
      <c r="O119" s="17"/>
    </row>
    <row r="120" spans="2:15" ht="15" customHeight="1">
      <c r="B120" s="13" t="s">
        <v>1</v>
      </c>
      <c r="C120" s="13" t="s">
        <v>54</v>
      </c>
      <c r="D120" s="30" t="s">
        <v>95</v>
      </c>
      <c r="E120" s="14" t="s">
        <v>101</v>
      </c>
      <c r="F120" s="14">
        <v>1</v>
      </c>
      <c r="H120" s="17" t="str" cm="1">
        <f t="array" ref="H120">IF(INDEX($K:$AA,ROW(C120),MATCH($H$7,$K$8:$AA$8,0))="","",INDEX($K:$AA,ROW(C120),MATCH($H$7,$K$8:$AA$8,0)))</f>
        <v/>
      </c>
      <c r="I120" s="17"/>
      <c r="K120" s="17"/>
      <c r="L120" s="17"/>
      <c r="M120" s="17"/>
      <c r="N120" s="17"/>
      <c r="O120" s="17"/>
    </row>
    <row r="121" spans="2:15" ht="15" customHeight="1">
      <c r="B121" s="13" t="s">
        <v>1</v>
      </c>
      <c r="C121" s="13" t="s">
        <v>54</v>
      </c>
      <c r="D121" s="30" t="s">
        <v>94</v>
      </c>
      <c r="E121" s="14" t="s">
        <v>100</v>
      </c>
      <c r="F121" s="14">
        <v>4</v>
      </c>
      <c r="H121" s="17" t="str" cm="1">
        <f t="array" ref="H121">IF(INDEX($K:$AA,ROW(C121),MATCH($H$7,$K$8:$AA$8,0))="","",INDEX($K:$AA,ROW(C121),MATCH($H$7,$K$8:$AA$8,0)))</f>
        <v/>
      </c>
      <c r="I121" s="17"/>
      <c r="K121" s="17"/>
      <c r="L121" s="17"/>
      <c r="M121" s="17"/>
      <c r="N121" s="17"/>
      <c r="O121" s="17"/>
    </row>
    <row r="122" spans="2:15" ht="15" customHeight="1">
      <c r="B122" s="13" t="s">
        <v>55</v>
      </c>
      <c r="C122" s="13" t="s">
        <v>90</v>
      </c>
      <c r="D122" s="30" t="s">
        <v>93</v>
      </c>
      <c r="E122" s="14" t="s">
        <v>100</v>
      </c>
      <c r="F122" s="14">
        <v>6</v>
      </c>
      <c r="H122" s="17" cm="1">
        <f t="array" ref="H122">IF(INDEX($K:$AA,ROW(C122),MATCH($H$7,$K$8:$AA$8,0))="","",INDEX($K:$AA,ROW(C122),MATCH($H$7,$K$8:$AA$8,0)))</f>
        <v>0</v>
      </c>
      <c r="I122" s="17"/>
      <c r="K122" s="17">
        <v>0</v>
      </c>
      <c r="L122" s="17"/>
      <c r="M122" s="17"/>
      <c r="N122" s="17"/>
      <c r="O122" s="17"/>
    </row>
    <row r="123" spans="2:15" ht="15" customHeight="1">
      <c r="B123" s="13" t="s">
        <v>55</v>
      </c>
      <c r="C123" s="13" t="s">
        <v>36</v>
      </c>
      <c r="D123" s="30" t="s">
        <v>97</v>
      </c>
      <c r="E123" s="14" t="s">
        <v>101</v>
      </c>
      <c r="F123" s="14">
        <v>2</v>
      </c>
      <c r="H123" s="17" t="str" cm="1">
        <f t="array" ref="H123">IF(INDEX($K:$AA,ROW(C123),MATCH($H$7,$K$8:$AA$8,0))="","",INDEX($K:$AA,ROW(C123),MATCH($H$7,$K$8:$AA$8,0)))</f>
        <v/>
      </c>
      <c r="I123" s="17"/>
      <c r="K123" s="17"/>
      <c r="L123" s="17"/>
      <c r="M123" s="17"/>
      <c r="N123" s="17"/>
      <c r="O123" s="17"/>
    </row>
    <row r="124" spans="2:15" ht="15" customHeight="1">
      <c r="B124" s="13" t="s">
        <v>55</v>
      </c>
      <c r="C124" s="13" t="s">
        <v>36</v>
      </c>
      <c r="D124" s="30" t="s">
        <v>95</v>
      </c>
      <c r="E124" s="14" t="s">
        <v>101</v>
      </c>
      <c r="F124" s="14">
        <v>1</v>
      </c>
      <c r="H124" s="17" t="str" cm="1">
        <f t="array" ref="H124">IF(INDEX($K:$AA,ROW(C124),MATCH($H$7,$K$8:$AA$8,0))="","",INDEX($K:$AA,ROW(C124),MATCH($H$7,$K$8:$AA$8,0)))</f>
        <v/>
      </c>
      <c r="I124" s="17"/>
      <c r="K124" s="17"/>
      <c r="L124" s="17"/>
      <c r="M124" s="17"/>
      <c r="N124" s="17"/>
      <c r="O124" s="17"/>
    </row>
    <row r="125" spans="2:15" ht="15" customHeight="1">
      <c r="B125" s="13" t="s">
        <v>55</v>
      </c>
      <c r="C125" s="13" t="s">
        <v>38</v>
      </c>
      <c r="D125" s="30" t="s">
        <v>97</v>
      </c>
      <c r="E125" s="14" t="s">
        <v>101</v>
      </c>
      <c r="F125" s="14">
        <v>2</v>
      </c>
      <c r="H125" s="17" t="str" cm="1">
        <f t="array" ref="H125">IF(INDEX($K:$AA,ROW(C125),MATCH($H$7,$K$8:$AA$8,0))="","",INDEX($K:$AA,ROW(C125),MATCH($H$7,$K$8:$AA$8,0)))</f>
        <v/>
      </c>
      <c r="I125" s="17"/>
      <c r="K125" s="17"/>
      <c r="L125" s="17"/>
      <c r="M125" s="17"/>
      <c r="N125" s="17"/>
      <c r="O125" s="17"/>
    </row>
    <row r="126" spans="2:15" ht="15" customHeight="1">
      <c r="B126" s="13" t="s">
        <v>55</v>
      </c>
      <c r="C126" s="13" t="s">
        <v>38</v>
      </c>
      <c r="D126" s="30" t="s">
        <v>95</v>
      </c>
      <c r="E126" s="14" t="s">
        <v>101</v>
      </c>
      <c r="F126" s="14">
        <v>1</v>
      </c>
      <c r="H126" s="17" t="str" cm="1">
        <f t="array" ref="H126">IF(INDEX($K:$AA,ROW(C126),MATCH($H$7,$K$8:$AA$8,0))="","",INDEX($K:$AA,ROW(C126),MATCH($H$7,$K$8:$AA$8,0)))</f>
        <v/>
      </c>
      <c r="I126" s="17"/>
      <c r="K126" s="17"/>
      <c r="L126" s="17"/>
      <c r="M126" s="17"/>
      <c r="N126" s="17"/>
      <c r="O126" s="17"/>
    </row>
    <row r="127" spans="2:15" ht="15" customHeight="1">
      <c r="B127" s="13" t="s">
        <v>55</v>
      </c>
      <c r="C127" s="13" t="s">
        <v>56</v>
      </c>
      <c r="D127" s="30" t="s">
        <v>97</v>
      </c>
      <c r="E127" s="14" t="s">
        <v>101</v>
      </c>
      <c r="F127" s="14">
        <v>2</v>
      </c>
      <c r="H127" s="17" t="str" cm="1">
        <f t="array" ref="H127">IF(INDEX($K:$AA,ROW(C127),MATCH($H$7,$K$8:$AA$8,0))="","",INDEX($K:$AA,ROW(C127),MATCH($H$7,$K$8:$AA$8,0)))</f>
        <v/>
      </c>
      <c r="I127" s="17"/>
      <c r="K127" s="17"/>
      <c r="L127" s="17"/>
      <c r="M127" s="17"/>
      <c r="N127" s="17"/>
      <c r="O127" s="17"/>
    </row>
    <row r="128" spans="2:15" ht="15" customHeight="1">
      <c r="B128" s="13" t="s">
        <v>55</v>
      </c>
      <c r="C128" s="13" t="s">
        <v>56</v>
      </c>
      <c r="D128" s="30" t="s">
        <v>95</v>
      </c>
      <c r="E128" s="14" t="s">
        <v>101</v>
      </c>
      <c r="F128" s="14">
        <v>1</v>
      </c>
      <c r="H128" s="17" t="str" cm="1">
        <f t="array" ref="H128">IF(INDEX($K:$AA,ROW(C128),MATCH($H$7,$K$8:$AA$8,0))="","",INDEX($K:$AA,ROW(C128),MATCH($H$7,$K$8:$AA$8,0)))</f>
        <v/>
      </c>
      <c r="I128" s="17"/>
      <c r="K128" s="17"/>
      <c r="L128" s="17"/>
      <c r="M128" s="17"/>
      <c r="N128" s="17"/>
      <c r="O128" s="17"/>
    </row>
    <row r="129" spans="2:15" ht="15" customHeight="1">
      <c r="B129" s="13" t="s">
        <v>55</v>
      </c>
      <c r="C129" s="13" t="s">
        <v>57</v>
      </c>
      <c r="D129" s="30" t="s">
        <v>97</v>
      </c>
      <c r="E129" s="14" t="s">
        <v>101</v>
      </c>
      <c r="F129" s="14">
        <v>2</v>
      </c>
      <c r="H129" s="17" t="str" cm="1">
        <f t="array" ref="H129">IF(INDEX($K:$AA,ROW(C129),MATCH($H$7,$K$8:$AA$8,0))="","",INDEX($K:$AA,ROW(C129),MATCH($H$7,$K$8:$AA$8,0)))</f>
        <v/>
      </c>
      <c r="I129" s="17"/>
      <c r="K129" s="17"/>
      <c r="L129" s="17"/>
      <c r="M129" s="17"/>
      <c r="N129" s="17"/>
      <c r="O129" s="17"/>
    </row>
    <row r="130" spans="2:15" ht="15" customHeight="1">
      <c r="B130" s="13" t="s">
        <v>55</v>
      </c>
      <c r="C130" s="13" t="s">
        <v>57</v>
      </c>
      <c r="D130" s="30" t="s">
        <v>95</v>
      </c>
      <c r="E130" s="14" t="s">
        <v>101</v>
      </c>
      <c r="F130" s="14">
        <v>1</v>
      </c>
      <c r="H130" s="17" t="str" cm="1">
        <f t="array" ref="H130">IF(INDEX($K:$AA,ROW(C130),MATCH($H$7,$K$8:$AA$8,0))="","",INDEX($K:$AA,ROW(C130),MATCH($H$7,$K$8:$AA$8,0)))</f>
        <v/>
      </c>
      <c r="I130" s="17"/>
      <c r="K130" s="17"/>
      <c r="L130" s="17"/>
      <c r="M130" s="17"/>
      <c r="N130" s="17"/>
      <c r="O130" s="17"/>
    </row>
    <row r="131" spans="2:15" ht="15" customHeight="1">
      <c r="B131" s="13" t="s">
        <v>55</v>
      </c>
      <c r="C131" s="13" t="s">
        <v>57</v>
      </c>
      <c r="D131" s="30" t="s">
        <v>96</v>
      </c>
      <c r="E131" s="14" t="s">
        <v>101</v>
      </c>
      <c r="F131" s="14">
        <v>2</v>
      </c>
      <c r="H131" s="17" t="str" cm="1">
        <f t="array" ref="H131">IF(INDEX($K:$AA,ROW(C131),MATCH($H$7,$K$8:$AA$8,0))="","",INDEX($K:$AA,ROW(C131),MATCH($H$7,$K$8:$AA$8,0)))</f>
        <v/>
      </c>
      <c r="I131" s="17"/>
      <c r="K131" s="17"/>
      <c r="L131" s="17"/>
      <c r="M131" s="17"/>
      <c r="N131" s="17"/>
      <c r="O131" s="17"/>
    </row>
    <row r="132" spans="2:15" ht="15" customHeight="1">
      <c r="B132" s="13" t="s">
        <v>55</v>
      </c>
      <c r="C132" s="13" t="s">
        <v>58</v>
      </c>
      <c r="D132" s="30" t="s">
        <v>97</v>
      </c>
      <c r="E132" s="14" t="s">
        <v>101</v>
      </c>
      <c r="F132" s="14">
        <v>2</v>
      </c>
      <c r="H132" s="17" t="str" cm="1">
        <f t="array" ref="H132">IF(INDEX($K:$AA,ROW(C132),MATCH($H$7,$K$8:$AA$8,0))="","",INDEX($K:$AA,ROW(C132),MATCH($H$7,$K$8:$AA$8,0)))</f>
        <v/>
      </c>
      <c r="I132" s="17"/>
      <c r="K132" s="17"/>
      <c r="L132" s="17"/>
      <c r="M132" s="17"/>
      <c r="N132" s="17"/>
      <c r="O132" s="17"/>
    </row>
    <row r="133" spans="2:15" ht="15" customHeight="1">
      <c r="B133" s="13" t="s">
        <v>55</v>
      </c>
      <c r="C133" s="13" t="s">
        <v>58</v>
      </c>
      <c r="D133" s="30" t="s">
        <v>95</v>
      </c>
      <c r="E133" s="14" t="s">
        <v>101</v>
      </c>
      <c r="F133" s="14">
        <v>1</v>
      </c>
      <c r="H133" s="17" t="str" cm="1">
        <f t="array" ref="H133">IF(INDEX($K:$AA,ROW(C133),MATCH($H$7,$K$8:$AA$8,0))="","",INDEX($K:$AA,ROW(C133),MATCH($H$7,$K$8:$AA$8,0)))</f>
        <v/>
      </c>
      <c r="I133" s="17"/>
      <c r="K133" s="17"/>
      <c r="L133" s="17"/>
      <c r="M133" s="17"/>
      <c r="N133" s="17"/>
      <c r="O133" s="17"/>
    </row>
    <row r="134" spans="2:15" ht="15" customHeight="1">
      <c r="B134" s="13" t="s">
        <v>55</v>
      </c>
      <c r="C134" s="13" t="s">
        <v>59</v>
      </c>
      <c r="D134" s="30" t="s">
        <v>97</v>
      </c>
      <c r="E134" s="14" t="s">
        <v>100</v>
      </c>
      <c r="F134" s="14">
        <v>2</v>
      </c>
      <c r="H134" s="17" t="str" cm="1">
        <f t="array" ref="H134">IF(INDEX($K:$AA,ROW(C134),MATCH($H$7,$K$8:$AA$8,0))="","",INDEX($K:$AA,ROW(C134),MATCH($H$7,$K$8:$AA$8,0)))</f>
        <v/>
      </c>
      <c r="I134" s="17"/>
      <c r="K134" s="17"/>
      <c r="L134" s="17"/>
      <c r="M134" s="17"/>
      <c r="N134" s="17"/>
      <c r="O134" s="17"/>
    </row>
    <row r="135" spans="2:15" ht="15" customHeight="1">
      <c r="B135" s="13" t="s">
        <v>55</v>
      </c>
      <c r="C135" s="13" t="s">
        <v>59</v>
      </c>
      <c r="D135" s="30" t="s">
        <v>95</v>
      </c>
      <c r="E135" s="14" t="s">
        <v>101</v>
      </c>
      <c r="F135" s="14">
        <v>1</v>
      </c>
      <c r="H135" s="17" cm="1">
        <f t="array" ref="H135">IF(INDEX($K:$AA,ROW(C135),MATCH($H$7,$K$8:$AA$8,0))="","",INDEX($K:$AA,ROW(C135),MATCH($H$7,$K$8:$AA$8,0)))</f>
        <v>0</v>
      </c>
      <c r="I135" s="17"/>
      <c r="K135" s="17">
        <v>0</v>
      </c>
      <c r="L135" s="17"/>
      <c r="M135" s="17"/>
      <c r="N135" s="17"/>
      <c r="O135" s="17"/>
    </row>
    <row r="136" spans="2:15" ht="15" customHeight="1">
      <c r="B136" s="13" t="s">
        <v>55</v>
      </c>
      <c r="C136" s="13" t="s">
        <v>59</v>
      </c>
      <c r="D136" s="30" t="s">
        <v>96</v>
      </c>
      <c r="E136" s="14" t="s">
        <v>101</v>
      </c>
      <c r="F136" s="14">
        <v>2</v>
      </c>
      <c r="H136" s="17" cm="1">
        <f t="array" ref="H136">IF(INDEX($K:$AA,ROW(C136),MATCH($H$7,$K$8:$AA$8,0))="","",INDEX($K:$AA,ROW(C136),MATCH($H$7,$K$8:$AA$8,0)))</f>
        <v>0</v>
      </c>
      <c r="I136" s="17"/>
      <c r="K136" s="17">
        <v>0</v>
      </c>
      <c r="L136" s="17"/>
      <c r="M136" s="17"/>
      <c r="N136" s="17"/>
      <c r="O136" s="17"/>
    </row>
    <row r="137" spans="2:15" ht="15" customHeight="1">
      <c r="B137" s="13" t="s">
        <v>55</v>
      </c>
      <c r="C137" s="13" t="s">
        <v>59</v>
      </c>
      <c r="D137" s="30" t="s">
        <v>94</v>
      </c>
      <c r="E137" s="14" t="s">
        <v>100</v>
      </c>
      <c r="F137" s="14">
        <v>4</v>
      </c>
      <c r="H137" s="17" cm="1">
        <f t="array" ref="H137">IF(INDEX($K:$AA,ROW(C137),MATCH($H$7,$K$8:$AA$8,0))="","",INDEX($K:$AA,ROW(C137),MATCH($H$7,$K$8:$AA$8,0)))</f>
        <v>0</v>
      </c>
      <c r="I137" s="17"/>
      <c r="K137" s="17">
        <v>0</v>
      </c>
      <c r="L137" s="17"/>
      <c r="M137" s="17"/>
      <c r="N137" s="17"/>
      <c r="O137" s="17"/>
    </row>
    <row r="138" spans="2:15" ht="15" customHeight="1">
      <c r="B138" s="13" t="s">
        <v>55</v>
      </c>
      <c r="C138" s="13" t="s">
        <v>60</v>
      </c>
      <c r="D138" s="30" t="s">
        <v>95</v>
      </c>
      <c r="E138" s="14" t="s">
        <v>101</v>
      </c>
      <c r="F138" s="14">
        <v>1</v>
      </c>
      <c r="H138" s="17" t="str" cm="1">
        <f t="array" ref="H138">IF(INDEX($K:$AA,ROW(C138),MATCH($H$7,$K$8:$AA$8,0))="","",INDEX($K:$AA,ROW(C138),MATCH($H$7,$K$8:$AA$8,0)))</f>
        <v/>
      </c>
      <c r="I138" s="17"/>
      <c r="K138" s="17"/>
      <c r="L138" s="17"/>
      <c r="M138" s="17"/>
      <c r="N138" s="17"/>
      <c r="O138" s="17"/>
    </row>
    <row r="139" spans="2:15" ht="15" customHeight="1">
      <c r="B139" s="13" t="s">
        <v>55</v>
      </c>
      <c r="C139" s="13" t="s">
        <v>60</v>
      </c>
      <c r="D139" s="30" t="s">
        <v>96</v>
      </c>
      <c r="E139" s="14" t="s">
        <v>101</v>
      </c>
      <c r="F139" s="14">
        <v>2</v>
      </c>
      <c r="H139" s="17" t="str" cm="1">
        <f t="array" ref="H139">IF(INDEX($K:$AA,ROW(C139),MATCH($H$7,$K$8:$AA$8,0))="","",INDEX($K:$AA,ROW(C139),MATCH($H$7,$K$8:$AA$8,0)))</f>
        <v/>
      </c>
      <c r="I139" s="17"/>
      <c r="K139" s="17"/>
      <c r="L139" s="17"/>
      <c r="M139" s="17"/>
      <c r="N139" s="17"/>
      <c r="O139" s="17"/>
    </row>
    <row r="140" spans="2:15" ht="15" customHeight="1">
      <c r="B140" s="13" t="s">
        <v>55</v>
      </c>
      <c r="C140" s="13" t="s">
        <v>60</v>
      </c>
      <c r="D140" s="30" t="s">
        <v>94</v>
      </c>
      <c r="E140" s="14" t="s">
        <v>100</v>
      </c>
      <c r="F140" s="14">
        <v>4</v>
      </c>
      <c r="H140" s="17" t="str" cm="1">
        <f t="array" ref="H140">IF(INDEX($K:$AA,ROW(C140),MATCH($H$7,$K$8:$AA$8,0))="","",INDEX($K:$AA,ROW(C140),MATCH($H$7,$K$8:$AA$8,0)))</f>
        <v/>
      </c>
      <c r="I140" s="17"/>
      <c r="K140" s="17"/>
      <c r="L140" s="17"/>
      <c r="M140" s="17"/>
      <c r="N140" s="17"/>
      <c r="O140" s="17"/>
    </row>
    <row r="141" spans="2:15" ht="15" customHeight="1">
      <c r="B141" s="13" t="s">
        <v>61</v>
      </c>
      <c r="C141" s="13" t="s">
        <v>90</v>
      </c>
      <c r="D141" s="30" t="s">
        <v>93</v>
      </c>
      <c r="E141" s="14" t="s">
        <v>100</v>
      </c>
      <c r="F141" s="14">
        <v>6</v>
      </c>
      <c r="H141" s="17" t="str" cm="1">
        <f t="array" ref="H141">IF(INDEX($K:$AA,ROW(C141),MATCH($H$7,$K$8:$AA$8,0))="","",INDEX($K:$AA,ROW(C141),MATCH($H$7,$K$8:$AA$8,0)))</f>
        <v/>
      </c>
      <c r="I141" s="17"/>
      <c r="K141" s="17"/>
      <c r="L141" s="17"/>
      <c r="M141" s="17"/>
      <c r="N141" s="17"/>
      <c r="O141" s="17"/>
    </row>
    <row r="142" spans="2:15" ht="15" customHeight="1">
      <c r="B142" s="13" t="s">
        <v>61</v>
      </c>
      <c r="C142" s="13" t="s">
        <v>36</v>
      </c>
      <c r="D142" s="30" t="s">
        <v>94</v>
      </c>
      <c r="E142" s="14" t="s">
        <v>101</v>
      </c>
      <c r="F142" s="14">
        <v>2</v>
      </c>
      <c r="H142" s="17" t="str" cm="1">
        <f t="array" ref="H142">IF(INDEX($K:$AA,ROW(C142),MATCH($H$7,$K$8:$AA$8,0))="","",INDEX($K:$AA,ROW(C142),MATCH($H$7,$K$8:$AA$8,0)))</f>
        <v/>
      </c>
      <c r="I142" s="17"/>
      <c r="K142" s="17"/>
      <c r="L142" s="17"/>
      <c r="M142" s="17"/>
      <c r="N142" s="17"/>
      <c r="O142" s="17"/>
    </row>
    <row r="143" spans="2:15" ht="15" customHeight="1">
      <c r="B143" s="13" t="s">
        <v>61</v>
      </c>
      <c r="C143" s="13" t="s">
        <v>36</v>
      </c>
      <c r="D143" s="30" t="s">
        <v>95</v>
      </c>
      <c r="E143" s="14" t="s">
        <v>101</v>
      </c>
      <c r="F143" s="14">
        <v>1</v>
      </c>
      <c r="H143" s="17" t="str" cm="1">
        <f t="array" ref="H143">IF(INDEX($K:$AA,ROW(C143),MATCH($H$7,$K$8:$AA$8,0))="","",INDEX($K:$AA,ROW(C143),MATCH($H$7,$K$8:$AA$8,0)))</f>
        <v/>
      </c>
      <c r="I143" s="17"/>
      <c r="K143" s="17"/>
      <c r="L143" s="17"/>
      <c r="M143" s="17"/>
      <c r="N143" s="17"/>
      <c r="O143" s="17"/>
    </row>
    <row r="144" spans="2:15" ht="15" customHeight="1">
      <c r="B144" s="13" t="s">
        <v>61</v>
      </c>
      <c r="C144" s="13" t="s">
        <v>38</v>
      </c>
      <c r="D144" s="30" t="s">
        <v>94</v>
      </c>
      <c r="E144" s="14" t="s">
        <v>101</v>
      </c>
      <c r="F144" s="14">
        <v>2</v>
      </c>
      <c r="H144" s="17" t="str" cm="1">
        <f t="array" ref="H144">IF(INDEX($K:$AA,ROW(C144),MATCH($H$7,$K$8:$AA$8,0))="","",INDEX($K:$AA,ROW(C144),MATCH($H$7,$K$8:$AA$8,0)))</f>
        <v/>
      </c>
      <c r="I144" s="17"/>
      <c r="K144" s="17"/>
      <c r="L144" s="17"/>
      <c r="M144" s="17"/>
      <c r="N144" s="17"/>
      <c r="O144" s="17"/>
    </row>
    <row r="145" spans="2:15" ht="15" customHeight="1">
      <c r="B145" s="13" t="s">
        <v>61</v>
      </c>
      <c r="C145" s="13" t="s">
        <v>38</v>
      </c>
      <c r="D145" s="30" t="s">
        <v>95</v>
      </c>
      <c r="E145" s="14" t="s">
        <v>101</v>
      </c>
      <c r="F145" s="14">
        <v>1</v>
      </c>
      <c r="H145" s="17" t="str" cm="1">
        <f t="array" ref="H145">IF(INDEX($K:$AA,ROW(C145),MATCH($H$7,$K$8:$AA$8,0))="","",INDEX($K:$AA,ROW(C145),MATCH($H$7,$K$8:$AA$8,0)))</f>
        <v/>
      </c>
      <c r="I145" s="17"/>
      <c r="K145" s="17"/>
      <c r="L145" s="17"/>
      <c r="M145" s="17"/>
      <c r="N145" s="17"/>
      <c r="O145" s="17"/>
    </row>
    <row r="146" spans="2:15" ht="15" customHeight="1">
      <c r="B146" s="13" t="s">
        <v>61</v>
      </c>
      <c r="C146" s="13" t="s">
        <v>54</v>
      </c>
      <c r="D146" s="30" t="s">
        <v>94</v>
      </c>
      <c r="E146" s="14" t="s">
        <v>101</v>
      </c>
      <c r="F146" s="14">
        <v>2</v>
      </c>
      <c r="H146" s="17" t="str" cm="1">
        <f t="array" ref="H146">IF(INDEX($K:$AA,ROW(C146),MATCH($H$7,$K$8:$AA$8,0))="","",INDEX($K:$AA,ROW(C146),MATCH($H$7,$K$8:$AA$8,0)))</f>
        <v/>
      </c>
      <c r="I146" s="17"/>
      <c r="K146" s="17"/>
      <c r="L146" s="17"/>
      <c r="M146" s="17"/>
      <c r="N146" s="17"/>
      <c r="O146" s="17"/>
    </row>
    <row r="147" spans="2:15" ht="15" customHeight="1">
      <c r="B147" s="13" t="s">
        <v>61</v>
      </c>
      <c r="C147" s="13" t="s">
        <v>54</v>
      </c>
      <c r="D147" s="30" t="s">
        <v>95</v>
      </c>
      <c r="E147" s="14" t="s">
        <v>101</v>
      </c>
      <c r="F147" s="14">
        <v>1</v>
      </c>
      <c r="H147" s="17" t="str" cm="1">
        <f t="array" ref="H147">IF(INDEX($K:$AA,ROW(C147),MATCH($H$7,$K$8:$AA$8,0))="","",INDEX($K:$AA,ROW(C147),MATCH($H$7,$K$8:$AA$8,0)))</f>
        <v/>
      </c>
      <c r="I147" s="17"/>
      <c r="K147" s="17"/>
      <c r="L147" s="17"/>
      <c r="M147" s="17"/>
      <c r="N147" s="17"/>
      <c r="O147" s="17"/>
    </row>
    <row r="148" spans="2:15" ht="15" customHeight="1">
      <c r="B148" s="13" t="s">
        <v>61</v>
      </c>
      <c r="C148" s="13" t="s">
        <v>56</v>
      </c>
      <c r="D148" s="30" t="s">
        <v>94</v>
      </c>
      <c r="E148" s="14" t="s">
        <v>101</v>
      </c>
      <c r="F148" s="14">
        <v>2</v>
      </c>
      <c r="H148" s="17" t="str" cm="1">
        <f t="array" ref="H148">IF(INDEX($K:$AA,ROW(C148),MATCH($H$7,$K$8:$AA$8,0))="","",INDEX($K:$AA,ROW(C148),MATCH($H$7,$K$8:$AA$8,0)))</f>
        <v/>
      </c>
      <c r="I148" s="17"/>
      <c r="K148" s="17"/>
      <c r="L148" s="17"/>
      <c r="M148" s="17"/>
      <c r="N148" s="17"/>
      <c r="O148" s="17"/>
    </row>
    <row r="149" spans="2:15" ht="15" customHeight="1">
      <c r="B149" s="13" t="s">
        <v>61</v>
      </c>
      <c r="C149" s="13" t="s">
        <v>56</v>
      </c>
      <c r="D149" s="30" t="s">
        <v>95</v>
      </c>
      <c r="E149" s="14" t="s">
        <v>101</v>
      </c>
      <c r="F149" s="14">
        <v>1</v>
      </c>
      <c r="H149" s="17" t="str" cm="1">
        <f t="array" ref="H149">IF(INDEX($K:$AA,ROW(C149),MATCH($H$7,$K$8:$AA$8,0))="","",INDEX($K:$AA,ROW(C149),MATCH($H$7,$K$8:$AA$8,0)))</f>
        <v/>
      </c>
      <c r="I149" s="17"/>
      <c r="K149" s="17"/>
      <c r="L149" s="17"/>
      <c r="M149" s="17"/>
      <c r="N149" s="17"/>
      <c r="O149" s="17"/>
    </row>
    <row r="150" spans="2:15" ht="15" customHeight="1">
      <c r="B150" s="13" t="s">
        <v>61</v>
      </c>
      <c r="C150" s="13" t="s">
        <v>62</v>
      </c>
      <c r="D150" s="30" t="s">
        <v>97</v>
      </c>
      <c r="E150" s="14" t="s">
        <v>100</v>
      </c>
      <c r="F150" s="14">
        <v>2</v>
      </c>
      <c r="H150" s="17" t="str" cm="1">
        <f t="array" ref="H150">IF(INDEX($K:$AA,ROW(C150),MATCH($H$7,$K$8:$AA$8,0))="","",INDEX($K:$AA,ROW(C150),MATCH($H$7,$K$8:$AA$8,0)))</f>
        <v/>
      </c>
      <c r="I150" s="17"/>
      <c r="K150" s="17"/>
      <c r="L150" s="17"/>
      <c r="M150" s="17"/>
      <c r="N150" s="17"/>
      <c r="O150" s="17"/>
    </row>
    <row r="151" spans="2:15" ht="15" customHeight="1">
      <c r="B151" s="13" t="s">
        <v>61</v>
      </c>
      <c r="C151" s="13" t="s">
        <v>62</v>
      </c>
      <c r="D151" s="30" t="s">
        <v>95</v>
      </c>
      <c r="E151" s="14" t="s">
        <v>101</v>
      </c>
      <c r="F151" s="14">
        <v>1</v>
      </c>
      <c r="H151" s="17" t="str" cm="1">
        <f t="array" ref="H151">IF(INDEX($K:$AA,ROW(C151),MATCH($H$7,$K$8:$AA$8,0))="","",INDEX($K:$AA,ROW(C151),MATCH($H$7,$K$8:$AA$8,0)))</f>
        <v/>
      </c>
      <c r="I151" s="17"/>
      <c r="K151" s="17"/>
      <c r="L151" s="17"/>
      <c r="M151" s="17"/>
      <c r="N151" s="17"/>
      <c r="O151" s="17"/>
    </row>
    <row r="152" spans="2:15" ht="15" customHeight="1">
      <c r="B152" s="13" t="s">
        <v>61</v>
      </c>
      <c r="C152" s="13" t="s">
        <v>62</v>
      </c>
      <c r="D152" s="30" t="s">
        <v>96</v>
      </c>
      <c r="E152" s="14" t="s">
        <v>101</v>
      </c>
      <c r="F152" s="14">
        <v>2</v>
      </c>
      <c r="H152" s="17" t="str" cm="1">
        <f t="array" ref="H152">IF(INDEX($K:$AA,ROW(C152),MATCH($H$7,$K$8:$AA$8,0))="","",INDEX($K:$AA,ROW(C152),MATCH($H$7,$K$8:$AA$8,0)))</f>
        <v/>
      </c>
      <c r="I152" s="17"/>
      <c r="K152" s="17"/>
      <c r="L152" s="17"/>
      <c r="M152" s="17"/>
      <c r="N152" s="17"/>
      <c r="O152" s="17"/>
    </row>
    <row r="153" spans="2:15" ht="15" customHeight="1">
      <c r="B153" s="13" t="s">
        <v>61</v>
      </c>
      <c r="C153" s="13" t="s">
        <v>62</v>
      </c>
      <c r="D153" s="30" t="s">
        <v>94</v>
      </c>
      <c r="E153" s="14" t="s">
        <v>100</v>
      </c>
      <c r="F153" s="14">
        <v>4</v>
      </c>
      <c r="H153" s="17" t="str" cm="1">
        <f t="array" ref="H153">IF(INDEX($K:$AA,ROW(C153),MATCH($H$7,$K$8:$AA$8,0))="","",INDEX($K:$AA,ROW(C153),MATCH($H$7,$K$8:$AA$8,0)))</f>
        <v/>
      </c>
      <c r="I153" s="17"/>
      <c r="K153" s="17"/>
      <c r="L153" s="17"/>
      <c r="M153" s="17"/>
      <c r="N153" s="17"/>
      <c r="O153" s="17"/>
    </row>
    <row r="154" spans="2:15" ht="15" customHeight="1">
      <c r="B154" s="13" t="s">
        <v>63</v>
      </c>
      <c r="C154" s="13" t="s">
        <v>90</v>
      </c>
      <c r="D154" s="30" t="s">
        <v>93</v>
      </c>
      <c r="E154" s="14" t="s">
        <v>99</v>
      </c>
      <c r="F154" s="14">
        <v>16</v>
      </c>
      <c r="H154" s="17" t="str" cm="1">
        <f t="array" ref="H154">IF(INDEX($K:$AA,ROW(C154),MATCH($H$7,$K$8:$AA$8,0))="","",INDEX($K:$AA,ROW(C154),MATCH($H$7,$K$8:$AA$8,0)))</f>
        <v/>
      </c>
      <c r="I154" s="17"/>
      <c r="K154" s="17"/>
      <c r="L154" s="17"/>
      <c r="M154" s="17"/>
      <c r="N154" s="17"/>
      <c r="O154" s="17"/>
    </row>
    <row r="155" spans="2:15" ht="15" customHeight="1">
      <c r="B155" s="13" t="s">
        <v>63</v>
      </c>
      <c r="C155" s="13" t="s">
        <v>36</v>
      </c>
      <c r="D155" s="30" t="s">
        <v>97</v>
      </c>
      <c r="E155" s="14" t="s">
        <v>101</v>
      </c>
      <c r="F155" s="14">
        <v>2</v>
      </c>
      <c r="H155" s="17" t="str" cm="1">
        <f t="array" ref="H155">IF(INDEX($K:$AA,ROW(C155),MATCH($H$7,$K$8:$AA$8,0))="","",INDEX($K:$AA,ROW(C155),MATCH($H$7,$K$8:$AA$8,0)))</f>
        <v/>
      </c>
      <c r="I155" s="17"/>
      <c r="K155" s="17"/>
      <c r="L155" s="17"/>
      <c r="M155" s="17"/>
      <c r="N155" s="17"/>
      <c r="O155" s="17"/>
    </row>
    <row r="156" spans="2:15" ht="15" customHeight="1">
      <c r="B156" s="13" t="s">
        <v>63</v>
      </c>
      <c r="C156" s="13" t="s">
        <v>36</v>
      </c>
      <c r="D156" s="30" t="s">
        <v>95</v>
      </c>
      <c r="E156" s="14" t="s">
        <v>101</v>
      </c>
      <c r="F156" s="14">
        <v>1</v>
      </c>
      <c r="H156" s="17" t="str" cm="1">
        <f t="array" ref="H156">IF(INDEX($K:$AA,ROW(C156),MATCH($H$7,$K$8:$AA$8,0))="","",INDEX($K:$AA,ROW(C156),MATCH($H$7,$K$8:$AA$8,0)))</f>
        <v/>
      </c>
      <c r="I156" s="17"/>
      <c r="K156" s="17"/>
      <c r="L156" s="17"/>
      <c r="M156" s="17"/>
      <c r="N156" s="17"/>
      <c r="O156" s="17"/>
    </row>
    <row r="157" spans="2:15" ht="15" customHeight="1">
      <c r="B157" s="13" t="s">
        <v>63</v>
      </c>
      <c r="C157" s="13" t="s">
        <v>38</v>
      </c>
      <c r="D157" s="30" t="s">
        <v>97</v>
      </c>
      <c r="E157" s="14" t="s">
        <v>101</v>
      </c>
      <c r="F157" s="14">
        <v>2</v>
      </c>
      <c r="H157" s="17" t="str" cm="1">
        <f t="array" ref="H157">IF(INDEX($K:$AA,ROW(C157),MATCH($H$7,$K$8:$AA$8,0))="","",INDEX($K:$AA,ROW(C157),MATCH($H$7,$K$8:$AA$8,0)))</f>
        <v/>
      </c>
      <c r="I157" s="17"/>
      <c r="K157" s="17"/>
      <c r="L157" s="17"/>
      <c r="M157" s="17"/>
      <c r="N157" s="17"/>
      <c r="O157" s="17"/>
    </row>
    <row r="158" spans="2:15" ht="15" customHeight="1">
      <c r="B158" s="13" t="s">
        <v>63</v>
      </c>
      <c r="C158" s="13" t="s">
        <v>38</v>
      </c>
      <c r="D158" s="30" t="s">
        <v>95</v>
      </c>
      <c r="E158" s="14" t="s">
        <v>101</v>
      </c>
      <c r="F158" s="14">
        <v>1</v>
      </c>
      <c r="H158" s="17" t="str" cm="1">
        <f t="array" ref="H158">IF(INDEX($K:$AA,ROW(C158),MATCH($H$7,$K$8:$AA$8,0))="","",INDEX($K:$AA,ROW(C158),MATCH($H$7,$K$8:$AA$8,0)))</f>
        <v/>
      </c>
      <c r="I158" s="17"/>
      <c r="K158" s="17"/>
      <c r="L158" s="17"/>
      <c r="M158" s="17"/>
      <c r="N158" s="17"/>
      <c r="O158" s="17"/>
    </row>
    <row r="159" spans="2:15" ht="15" customHeight="1">
      <c r="B159" s="13" t="s">
        <v>63</v>
      </c>
      <c r="C159" s="13" t="s">
        <v>54</v>
      </c>
      <c r="D159" s="30" t="s">
        <v>97</v>
      </c>
      <c r="E159" s="14" t="s">
        <v>101</v>
      </c>
      <c r="F159" s="14">
        <v>2</v>
      </c>
      <c r="H159" s="17" t="str" cm="1">
        <f t="array" ref="H159">IF(INDEX($K:$AA,ROW(C159),MATCH($H$7,$K$8:$AA$8,0))="","",INDEX($K:$AA,ROW(C159),MATCH($H$7,$K$8:$AA$8,0)))</f>
        <v/>
      </c>
      <c r="I159" s="17"/>
      <c r="K159" s="17"/>
      <c r="L159" s="17"/>
      <c r="M159" s="17"/>
      <c r="N159" s="17"/>
      <c r="O159" s="17"/>
    </row>
    <row r="160" spans="2:15" ht="15" customHeight="1">
      <c r="B160" s="13" t="s">
        <v>63</v>
      </c>
      <c r="C160" s="13" t="s">
        <v>54</v>
      </c>
      <c r="D160" s="30" t="s">
        <v>95</v>
      </c>
      <c r="E160" s="14" t="s">
        <v>101</v>
      </c>
      <c r="F160" s="14">
        <v>1</v>
      </c>
      <c r="H160" s="17" t="str" cm="1">
        <f t="array" ref="H160">IF(INDEX($K:$AA,ROW(C160),MATCH($H$7,$K$8:$AA$8,0))="","",INDEX($K:$AA,ROW(C160),MATCH($H$7,$K$8:$AA$8,0)))</f>
        <v/>
      </c>
      <c r="I160" s="17"/>
      <c r="K160" s="17"/>
      <c r="L160" s="17"/>
      <c r="M160" s="17"/>
      <c r="N160" s="17"/>
      <c r="O160" s="17"/>
    </row>
    <row r="161" spans="2:15" ht="15" customHeight="1">
      <c r="B161" s="13" t="s">
        <v>63</v>
      </c>
      <c r="C161" s="13" t="s">
        <v>66</v>
      </c>
      <c r="D161" s="30" t="s">
        <v>94</v>
      </c>
      <c r="E161" s="14" t="s">
        <v>100</v>
      </c>
      <c r="F161" s="14">
        <v>4</v>
      </c>
      <c r="H161" s="17" t="str" cm="1">
        <f t="array" ref="H161">IF(INDEX($K:$AA,ROW(C161),MATCH($H$7,$K$8:$AA$8,0))="","",INDEX($K:$AA,ROW(C161),MATCH($H$7,$K$8:$AA$8,0)))</f>
        <v/>
      </c>
      <c r="I161" s="17"/>
      <c r="K161" s="17"/>
      <c r="L161" s="17"/>
      <c r="M161" s="17"/>
      <c r="N161" s="17"/>
      <c r="O161" s="17"/>
    </row>
    <row r="162" spans="2:15" ht="15" customHeight="1">
      <c r="B162" s="13" t="s">
        <v>63</v>
      </c>
      <c r="C162" s="13" t="s">
        <v>66</v>
      </c>
      <c r="D162" s="30" t="s">
        <v>96</v>
      </c>
      <c r="E162" s="14" t="s">
        <v>101</v>
      </c>
      <c r="F162" s="14">
        <v>2</v>
      </c>
      <c r="H162" s="17" t="str" cm="1">
        <f t="array" ref="H162">IF(INDEX($K:$AA,ROW(C162),MATCH($H$7,$K$8:$AA$8,0))="","",INDEX($K:$AA,ROW(C162),MATCH($H$7,$K$8:$AA$8,0)))</f>
        <v/>
      </c>
      <c r="I162" s="17"/>
      <c r="K162" s="17"/>
      <c r="L162" s="17"/>
      <c r="M162" s="17"/>
      <c r="N162" s="17"/>
      <c r="O162" s="17"/>
    </row>
    <row r="163" spans="2:15" ht="15" customHeight="1">
      <c r="B163" s="13" t="s">
        <v>63</v>
      </c>
      <c r="C163" s="13" t="s">
        <v>66</v>
      </c>
      <c r="D163" s="30" t="s">
        <v>97</v>
      </c>
      <c r="E163" s="14" t="s">
        <v>100</v>
      </c>
      <c r="F163" s="14">
        <v>2</v>
      </c>
      <c r="H163" s="17" t="str" cm="1">
        <f t="array" ref="H163">IF(INDEX($K:$AA,ROW(C163),MATCH($H$7,$K$8:$AA$8,0))="","",INDEX($K:$AA,ROW(C163),MATCH($H$7,$K$8:$AA$8,0)))</f>
        <v/>
      </c>
      <c r="I163" s="17"/>
      <c r="K163" s="17"/>
      <c r="L163" s="17"/>
      <c r="M163" s="17"/>
      <c r="N163" s="17"/>
      <c r="O163" s="17"/>
    </row>
    <row r="164" spans="2:15" ht="15" customHeight="1">
      <c r="B164" s="13" t="s">
        <v>63</v>
      </c>
      <c r="C164" s="13" t="s">
        <v>66</v>
      </c>
      <c r="D164" s="30" t="s">
        <v>95</v>
      </c>
      <c r="E164" s="14" t="s">
        <v>101</v>
      </c>
      <c r="F164" s="14">
        <v>1</v>
      </c>
      <c r="H164" s="17" t="str" cm="1">
        <f t="array" ref="H164">IF(INDEX($K:$AA,ROW(C164),MATCH($H$7,$K$8:$AA$8,0))="","",INDEX($K:$AA,ROW(C164),MATCH($H$7,$K$8:$AA$8,0)))</f>
        <v/>
      </c>
      <c r="I164" s="17"/>
      <c r="K164" s="17"/>
      <c r="L164" s="17"/>
      <c r="M164" s="17"/>
      <c r="N164" s="17"/>
      <c r="O164" s="17"/>
    </row>
    <row r="165" spans="2:15" ht="15" customHeight="1">
      <c r="B165" s="13" t="s">
        <v>63</v>
      </c>
      <c r="C165" s="13" t="s">
        <v>65</v>
      </c>
      <c r="D165" s="30" t="s">
        <v>94</v>
      </c>
      <c r="E165" s="14" t="s">
        <v>99</v>
      </c>
      <c r="F165" s="14">
        <v>8</v>
      </c>
      <c r="H165" s="17" t="str" cm="1">
        <f t="array" ref="H165">IF(INDEX($K:$AA,ROW(C165),MATCH($H$7,$K$8:$AA$8,0))="","",INDEX($K:$AA,ROW(C165),MATCH($H$7,$K$8:$AA$8,0)))</f>
        <v/>
      </c>
      <c r="I165" s="17"/>
      <c r="K165" s="17"/>
      <c r="L165" s="17"/>
      <c r="M165" s="17"/>
      <c r="N165" s="17"/>
      <c r="O165" s="17"/>
    </row>
    <row r="166" spans="2:15" ht="15" customHeight="1">
      <c r="B166" s="13" t="s">
        <v>63</v>
      </c>
      <c r="C166" s="13" t="s">
        <v>65</v>
      </c>
      <c r="D166" s="30" t="s">
        <v>96</v>
      </c>
      <c r="E166" s="14" t="s">
        <v>101</v>
      </c>
      <c r="F166" s="14">
        <v>2</v>
      </c>
      <c r="H166" s="17" t="str" cm="1">
        <f t="array" ref="H166">IF(INDEX($K:$AA,ROW(C166),MATCH($H$7,$K$8:$AA$8,0))="","",INDEX($K:$AA,ROW(C166),MATCH($H$7,$K$8:$AA$8,0)))</f>
        <v/>
      </c>
      <c r="I166" s="17"/>
      <c r="K166" s="17"/>
      <c r="L166" s="17"/>
      <c r="M166" s="17"/>
      <c r="N166" s="17"/>
      <c r="O166" s="17"/>
    </row>
    <row r="167" spans="2:15" ht="15" customHeight="1">
      <c r="B167" s="13" t="s">
        <v>63</v>
      </c>
      <c r="C167" s="13" t="s">
        <v>65</v>
      </c>
      <c r="D167" s="30" t="s">
        <v>97</v>
      </c>
      <c r="E167" s="14" t="s">
        <v>99</v>
      </c>
      <c r="F167" s="14">
        <v>2</v>
      </c>
      <c r="H167" s="17" t="str" cm="1">
        <f t="array" ref="H167">IF(INDEX($K:$AA,ROW(C167),MATCH($H$7,$K$8:$AA$8,0))="","",INDEX($K:$AA,ROW(C167),MATCH($H$7,$K$8:$AA$8,0)))</f>
        <v/>
      </c>
      <c r="I167" s="17"/>
      <c r="K167" s="17"/>
      <c r="L167" s="17"/>
      <c r="M167" s="17"/>
      <c r="N167" s="17"/>
      <c r="O167" s="17"/>
    </row>
    <row r="168" spans="2:15" ht="15" customHeight="1">
      <c r="B168" s="13" t="s">
        <v>63</v>
      </c>
      <c r="C168" s="13" t="s">
        <v>65</v>
      </c>
      <c r="D168" s="30" t="s">
        <v>95</v>
      </c>
      <c r="E168" s="14" t="s">
        <v>101</v>
      </c>
      <c r="F168" s="14">
        <v>1</v>
      </c>
      <c r="H168" s="17" t="str" cm="1">
        <f t="array" ref="H168">IF(INDEX($K:$AA,ROW(C168),MATCH($H$7,$K$8:$AA$8,0))="","",INDEX($K:$AA,ROW(C168),MATCH($H$7,$K$8:$AA$8,0)))</f>
        <v/>
      </c>
      <c r="I168" s="17"/>
      <c r="K168" s="17"/>
      <c r="L168" s="17"/>
      <c r="M168" s="17"/>
      <c r="N168" s="17"/>
      <c r="O168" s="17"/>
    </row>
    <row r="169" spans="2:15" ht="15" customHeight="1">
      <c r="B169" s="13" t="s">
        <v>63</v>
      </c>
      <c r="C169" s="13" t="s">
        <v>64</v>
      </c>
      <c r="D169" s="30" t="s">
        <v>94</v>
      </c>
      <c r="E169" s="14" t="s">
        <v>99</v>
      </c>
      <c r="F169" s="14">
        <v>8</v>
      </c>
      <c r="H169" s="17" t="str" cm="1">
        <f t="array" ref="H169">IF(INDEX($K:$AA,ROW(C169),MATCH($H$7,$K$8:$AA$8,0))="","",INDEX($K:$AA,ROW(C169),MATCH($H$7,$K$8:$AA$8,0)))</f>
        <v/>
      </c>
      <c r="I169" s="17"/>
      <c r="K169" s="17"/>
      <c r="L169" s="17"/>
      <c r="M169" s="17"/>
      <c r="N169" s="17"/>
      <c r="O169" s="17"/>
    </row>
    <row r="170" spans="2:15" ht="15" customHeight="1">
      <c r="B170" s="13" t="s">
        <v>63</v>
      </c>
      <c r="C170" s="13" t="s">
        <v>64</v>
      </c>
      <c r="D170" s="30" t="s">
        <v>97</v>
      </c>
      <c r="E170" s="14" t="s">
        <v>99</v>
      </c>
      <c r="F170" s="14">
        <v>2</v>
      </c>
      <c r="H170" s="17" t="str" cm="1">
        <f t="array" ref="H170">IF(INDEX($K:$AA,ROW(C170),MATCH($H$7,$K$8:$AA$8,0))="","",INDEX($K:$AA,ROW(C170),MATCH($H$7,$K$8:$AA$8,0)))</f>
        <v/>
      </c>
      <c r="I170" s="17"/>
      <c r="K170" s="17"/>
      <c r="L170" s="17"/>
      <c r="M170" s="17"/>
      <c r="N170" s="17"/>
      <c r="O170" s="17"/>
    </row>
    <row r="171" spans="2:15" ht="15" customHeight="1">
      <c r="B171" s="13" t="s">
        <v>63</v>
      </c>
      <c r="C171" s="13" t="s">
        <v>64</v>
      </c>
      <c r="D171" s="30" t="s">
        <v>95</v>
      </c>
      <c r="E171" s="14" t="s">
        <v>101</v>
      </c>
      <c r="F171" s="14">
        <v>1</v>
      </c>
      <c r="H171" s="17" t="str" cm="1">
        <f t="array" ref="H171">IF(INDEX($K:$AA,ROW(C171),MATCH($H$7,$K$8:$AA$8,0))="","",INDEX($K:$AA,ROW(C171),MATCH($H$7,$K$8:$AA$8,0)))</f>
        <v/>
      </c>
      <c r="I171" s="17"/>
      <c r="K171" s="17"/>
      <c r="L171" s="17"/>
      <c r="M171" s="17"/>
      <c r="N171" s="17"/>
      <c r="O171" s="17"/>
    </row>
  </sheetData>
  <autoFilter ref="B8:F171" xr:uid="{1E18BA37-0576-4DA3-B105-E9A64F054832}"/>
  <mergeCells count="1">
    <mergeCell ref="K7:O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dimension ref="A1:V53"/>
  <sheetViews>
    <sheetView showGridLines="0" topLeftCell="A2" zoomScale="90" zoomScaleNormal="90" workbookViewId="0">
      <selection activeCell="B26" sqref="B26"/>
    </sheetView>
  </sheetViews>
  <sheetFormatPr defaultColWidth="0" defaultRowHeight="12.75"/>
  <cols>
    <col min="1" max="1" width="3.7109375" style="3" customWidth="1"/>
    <col min="2" max="2" width="39.5703125" style="3" customWidth="1"/>
    <col min="3" max="3" width="114.7109375" style="3" customWidth="1"/>
    <col min="4" max="4" width="3.7109375" style="3" customWidth="1"/>
    <col min="5" max="22" width="0" style="3" hidden="1" customWidth="1"/>
    <col min="23" max="16384" width="9.140625" style="3" hidden="1"/>
  </cols>
  <sheetData>
    <row r="1" spans="1:4" ht="16.149999999999999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6" t="s">
        <v>110</v>
      </c>
      <c r="C7" s="35"/>
    </row>
    <row r="8" spans="1:4" ht="6.95" customHeight="1"/>
    <row r="9" spans="1:4" ht="15" customHeight="1">
      <c r="B9" s="12" t="s">
        <v>103</v>
      </c>
      <c r="C9" s="12" t="s">
        <v>104</v>
      </c>
    </row>
    <row r="10" spans="1:4" ht="30" customHeight="1">
      <c r="B10" s="32" t="s">
        <v>93</v>
      </c>
      <c r="C10" s="33" t="s">
        <v>105</v>
      </c>
    </row>
    <row r="11" spans="1:4" ht="30" customHeight="1">
      <c r="B11" s="32" t="s">
        <v>94</v>
      </c>
      <c r="C11" s="33" t="s">
        <v>106</v>
      </c>
    </row>
    <row r="12" spans="1:4" ht="30" customHeight="1">
      <c r="B12" s="32" t="s">
        <v>96</v>
      </c>
      <c r="C12" s="33" t="s">
        <v>107</v>
      </c>
    </row>
    <row r="13" spans="1:4" ht="30" customHeight="1">
      <c r="B13" s="32" t="s">
        <v>97</v>
      </c>
      <c r="C13" s="33" t="s">
        <v>108</v>
      </c>
    </row>
    <row r="14" spans="1:4" ht="30" customHeight="1">
      <c r="B14" s="32" t="s">
        <v>95</v>
      </c>
      <c r="C14" s="33" t="s">
        <v>109</v>
      </c>
    </row>
    <row r="17" spans="2:4">
      <c r="B17" s="34" t="s">
        <v>127</v>
      </c>
      <c r="C17" s="35"/>
      <c r="D17" s="35"/>
    </row>
    <row r="18" spans="2:4" ht="6.95" customHeight="1"/>
    <row r="19" spans="2:4" ht="15" customHeight="1">
      <c r="B19" s="47" t="s">
        <v>114</v>
      </c>
      <c r="C19" s="12" t="s">
        <v>104</v>
      </c>
    </row>
    <row r="20" spans="2:4" ht="15" customHeight="1">
      <c r="B20" s="42" t="s">
        <v>115</v>
      </c>
      <c r="C20" s="28" t="s">
        <v>119</v>
      </c>
    </row>
    <row r="21" spans="2:4" ht="15" customHeight="1">
      <c r="B21" s="43" t="s">
        <v>118</v>
      </c>
      <c r="C21" s="28" t="s">
        <v>120</v>
      </c>
    </row>
    <row r="22" spans="2:4" ht="15" customHeight="1">
      <c r="B22" s="44" t="s">
        <v>116</v>
      </c>
      <c r="C22" s="28" t="s">
        <v>121</v>
      </c>
    </row>
    <row r="23" spans="2:4" ht="15" customHeight="1">
      <c r="B23" s="45" t="s">
        <v>117</v>
      </c>
      <c r="C23" s="28" t="s">
        <v>122</v>
      </c>
    </row>
    <row r="24" spans="2:4" ht="15" customHeight="1">
      <c r="B24" s="46" t="s">
        <v>123</v>
      </c>
      <c r="C24" s="28" t="s">
        <v>124</v>
      </c>
    </row>
    <row r="25" spans="2:4" ht="15" customHeight="1">
      <c r="B25" s="173" t="s">
        <v>125</v>
      </c>
      <c r="C25" s="28" t="s">
        <v>126</v>
      </c>
    </row>
    <row r="26" spans="2:4">
      <c r="B26" s="174" t="s">
        <v>292</v>
      </c>
      <c r="C26" s="172" t="s">
        <v>293</v>
      </c>
    </row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965F36-B1FE-454B-9914-7A0427868E06}"/>
</file>

<file path=customXml/itemProps3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Status Resumo old</vt:lpstr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Duarte Manuel André Gomes</cp:lastModifiedBy>
  <dcterms:created xsi:type="dcterms:W3CDTF">2025-05-09T17:10:42Z</dcterms:created>
  <dcterms:modified xsi:type="dcterms:W3CDTF">2025-05-19T15:26:50Z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