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namedSheetViews/namedSheetView1.xml" ContentType="application/vnd.ms-excel.namedsheetviews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hidePivotFieldList="1"/>
  <mc:AlternateContent xmlns:mc="http://schemas.openxmlformats.org/markup-compatibility/2006">
    <mc:Choice Requires="x15">
      <x15ac:absPath xmlns:x15ac="http://schemas.microsoft.com/office/spreadsheetml/2010/11/ac" url="https://santandernet.sharepoint.com/sites/LoanTapeGD-Testes/Shared Documents/Geral/01. Gestão/03. PdS/02. Fase 2 - Testes/"/>
    </mc:Choice>
  </mc:AlternateContent>
  <xr:revisionPtr revIDLastSave="163" documentId="8_{3636DA04-904C-4938-9291-FFB2EE1167DD}" xr6:coauthVersionLast="47" xr6:coauthVersionMax="47" xr10:uidLastSave="{8A367789-4F42-440C-A8E4-A9D258039A3B}"/>
  <bookViews>
    <workbookView xWindow="-108" yWindow="-108" windowWidth="23256" windowHeight="12456" tabRatio="849" activeTab="4" xr2:uid="{98B4704B-8397-4F36-BA6C-DBF8269E9D42}"/>
  </bookViews>
  <sheets>
    <sheet name="Status Resumo" sheetId="11" r:id="rId1"/>
    <sheet name="Aux Gráficos" sheetId="10" state="hidden" r:id="rId2"/>
    <sheet name="MacroPlano" sheetId="8" r:id="rId3"/>
    <sheet name="MacroPlano Equipa" sheetId="1" state="hidden" r:id="rId4"/>
    <sheet name="Detalhe Entregas e Status" sheetId="2" r:id="rId5"/>
    <sheet name="Detalhe Testes" sheetId="6" state="hidden" r:id="rId6"/>
    <sheet name="Aux Testes_Status" sheetId="7" r:id="rId7"/>
    <sheet name="Aux Simulações e Testes" sheetId="12" state="hidden" r:id="rId8"/>
    <sheet name="Comuns com PM" sheetId="14" state="hidden" r:id="rId9"/>
  </sheets>
  <definedNames>
    <definedName name="_xlnm._FilterDatabase" localSheetId="1" hidden="1">'Aux Gráficos'!$B$2:$D$75</definedName>
    <definedName name="_xlnm._FilterDatabase" localSheetId="7" hidden="1">'Aux Simulações e Testes'!$B$4:$J$77</definedName>
    <definedName name="_xlnm._FilterDatabase" localSheetId="4" hidden="1">'Detalhe Entregas e Status'!$A$8:$X$81</definedName>
    <definedName name="_xlnm._FilterDatabase" localSheetId="5" hidden="1">'Detalhe Testes'!$B$8:$N$171</definedName>
    <definedName name="asefadf">#REF!</definedName>
    <definedName name="bn">#REF!</definedName>
  </definedNames>
  <calcPr calcId="191029"/>
  <pivotCaches>
    <pivotCache cacheId="0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" i="10" l="1"/>
  <c r="J74" i="11"/>
  <c r="I74" i="11"/>
  <c r="J92" i="11"/>
  <c r="I92" i="11"/>
  <c r="J110" i="11"/>
  <c r="I110" i="11"/>
  <c r="J56" i="11"/>
  <c r="I56" i="11"/>
  <c r="P10" i="10"/>
  <c r="O10" i="10"/>
  <c r="K110" i="11" l="1"/>
  <c r="K74" i="11"/>
  <c r="K56" i="11"/>
  <c r="K92" i="11"/>
  <c r="O9" i="10" l="1"/>
  <c r="P9" i="10" s="1"/>
  <c r="I59" i="11" l="1"/>
  <c r="G25" i="11"/>
  <c r="G24" i="11"/>
  <c r="G23" i="11"/>
  <c r="G22" i="11"/>
  <c r="O8" i="10"/>
  <c r="P8" i="10" s="1"/>
  <c r="O7" i="10"/>
  <c r="P7" i="10" s="1"/>
  <c r="O6" i="10"/>
  <c r="P6" i="10" s="1"/>
  <c r="O5" i="10"/>
  <c r="P5" i="10" s="1"/>
  <c r="P4" i="10"/>
  <c r="J49" i="11"/>
  <c r="I49" i="11"/>
  <c r="P3" i="10" l="1"/>
  <c r="E22" i="11"/>
  <c r="D22" i="11"/>
  <c r="I113" i="11"/>
  <c r="I95" i="11"/>
  <c r="I77" i="11"/>
  <c r="J102" i="11"/>
  <c r="I102" i="11"/>
  <c r="J84" i="11"/>
  <c r="I84" i="11"/>
  <c r="J66" i="11"/>
  <c r="I66" i="11"/>
  <c r="J91" i="11" l="1"/>
  <c r="J90" i="11"/>
  <c r="J89" i="11"/>
  <c r="J88" i="11"/>
  <c r="J87" i="11"/>
  <c r="J86" i="11"/>
  <c r="J85" i="11"/>
  <c r="I91" i="11"/>
  <c r="I90" i="11"/>
  <c r="I89" i="11"/>
  <c r="I88" i="11"/>
  <c r="I87" i="11"/>
  <c r="I86" i="11"/>
  <c r="I85" i="11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J93" i="11" l="1"/>
  <c r="I93" i="11"/>
  <c r="H9" i="6" a="1"/>
  <c r="H9" i="6" s="1"/>
  <c r="H17" i="6" a="1"/>
  <c r="H17" i="6" s="1"/>
  <c r="H25" i="6" a="1"/>
  <c r="H25" i="6" s="1"/>
  <c r="H33" i="6" a="1"/>
  <c r="H33" i="6" s="1"/>
  <c r="H41" i="6" a="1"/>
  <c r="H41" i="6" s="1"/>
  <c r="H49" i="6" a="1"/>
  <c r="H49" i="6" s="1"/>
  <c r="H57" i="6" a="1"/>
  <c r="H57" i="6" s="1"/>
  <c r="H65" i="6" a="1"/>
  <c r="H65" i="6" s="1"/>
  <c r="H73" i="6" a="1"/>
  <c r="H73" i="6" s="1"/>
  <c r="H81" i="6" a="1"/>
  <c r="H81" i="6" s="1"/>
  <c r="H89" i="6" a="1"/>
  <c r="H89" i="6" s="1"/>
  <c r="H97" i="6" a="1"/>
  <c r="H97" i="6" s="1"/>
  <c r="H105" i="6" a="1"/>
  <c r="H105" i="6" s="1"/>
  <c r="H113" i="6" a="1"/>
  <c r="H113" i="6" s="1"/>
  <c r="H121" i="6" a="1"/>
  <c r="H121" i="6" s="1"/>
  <c r="H129" i="6" a="1"/>
  <c r="H129" i="6" s="1"/>
  <c r="H137" i="6" a="1"/>
  <c r="H137" i="6" s="1"/>
  <c r="H145" i="6" a="1"/>
  <c r="H145" i="6" s="1"/>
  <c r="H153" i="6" a="1"/>
  <c r="H153" i="6" s="1"/>
  <c r="H161" i="6" a="1"/>
  <c r="H161" i="6" s="1"/>
  <c r="H169" i="6" a="1"/>
  <c r="H169" i="6" s="1"/>
  <c r="H154" i="6" a="1"/>
  <c r="H154" i="6" s="1"/>
  <c r="H162" i="6" a="1"/>
  <c r="H162" i="6" s="1"/>
  <c r="H155" i="6" a="1"/>
  <c r="H155" i="6" s="1"/>
  <c r="H79" i="6" a="1"/>
  <c r="H79" i="6" s="1"/>
  <c r="H143" i="6" a="1"/>
  <c r="H143" i="6" s="1"/>
  <c r="H32" i="6" a="1"/>
  <c r="H32" i="6" s="1"/>
  <c r="H96" i="6" a="1"/>
  <c r="H96" i="6" s="1"/>
  <c r="H160" i="6" a="1"/>
  <c r="H160" i="6" s="1"/>
  <c r="H10" i="6" a="1"/>
  <c r="H10" i="6" s="1"/>
  <c r="H18" i="6" a="1"/>
  <c r="H18" i="6" s="1"/>
  <c r="H26" i="6" a="1"/>
  <c r="H26" i="6" s="1"/>
  <c r="H34" i="6" a="1"/>
  <c r="H34" i="6" s="1"/>
  <c r="H42" i="6" a="1"/>
  <c r="H42" i="6" s="1"/>
  <c r="H50" i="6" a="1"/>
  <c r="H50" i="6" s="1"/>
  <c r="H58" i="6" a="1"/>
  <c r="H58" i="6" s="1"/>
  <c r="H66" i="6" a="1"/>
  <c r="H66" i="6" s="1"/>
  <c r="H74" i="6" a="1"/>
  <c r="H74" i="6" s="1"/>
  <c r="H82" i="6" a="1"/>
  <c r="H82" i="6" s="1"/>
  <c r="H90" i="6" a="1"/>
  <c r="H90" i="6" s="1"/>
  <c r="H98" i="6" a="1"/>
  <c r="H98" i="6" s="1"/>
  <c r="H106" i="6" a="1"/>
  <c r="H106" i="6" s="1"/>
  <c r="H114" i="6" a="1"/>
  <c r="H114" i="6" s="1"/>
  <c r="H122" i="6" a="1"/>
  <c r="H122" i="6" s="1"/>
  <c r="H130" i="6" a="1"/>
  <c r="H130" i="6" s="1"/>
  <c r="H138" i="6" a="1"/>
  <c r="H138" i="6" s="1"/>
  <c r="H146" i="6" a="1"/>
  <c r="H146" i="6" s="1"/>
  <c r="H170" i="6" a="1"/>
  <c r="H170" i="6" s="1"/>
  <c r="H171" i="6" a="1"/>
  <c r="H171" i="6" s="1"/>
  <c r="H95" i="6" a="1"/>
  <c r="H95" i="6" s="1"/>
  <c r="H167" i="6" a="1"/>
  <c r="H167" i="6" s="1"/>
  <c r="H56" i="6" a="1"/>
  <c r="H56" i="6" s="1"/>
  <c r="H112" i="6" a="1"/>
  <c r="H112" i="6" s="1"/>
  <c r="H11" i="6" a="1"/>
  <c r="H11" i="6" s="1"/>
  <c r="H19" i="6" a="1"/>
  <c r="H19" i="6" s="1"/>
  <c r="H27" i="6" a="1"/>
  <c r="H27" i="6" s="1"/>
  <c r="H35" i="6" a="1"/>
  <c r="H35" i="6" s="1"/>
  <c r="H43" i="6" a="1"/>
  <c r="H43" i="6" s="1"/>
  <c r="H51" i="6" a="1"/>
  <c r="H51" i="6" s="1"/>
  <c r="H59" i="6" a="1"/>
  <c r="H59" i="6" s="1"/>
  <c r="H67" i="6" a="1"/>
  <c r="H67" i="6" s="1"/>
  <c r="H75" i="6" a="1"/>
  <c r="H75" i="6" s="1"/>
  <c r="H83" i="6" a="1"/>
  <c r="H83" i="6" s="1"/>
  <c r="H91" i="6" a="1"/>
  <c r="H91" i="6" s="1"/>
  <c r="H99" i="6" a="1"/>
  <c r="H99" i="6" s="1"/>
  <c r="H107" i="6" a="1"/>
  <c r="H107" i="6" s="1"/>
  <c r="H115" i="6" a="1"/>
  <c r="H115" i="6" s="1"/>
  <c r="H123" i="6" a="1"/>
  <c r="H123" i="6" s="1"/>
  <c r="H131" i="6" a="1"/>
  <c r="H131" i="6" s="1"/>
  <c r="H139" i="6" a="1"/>
  <c r="H139" i="6" s="1"/>
  <c r="H147" i="6" a="1"/>
  <c r="H147" i="6" s="1"/>
  <c r="H163" i="6" a="1"/>
  <c r="H163" i="6" s="1"/>
  <c r="H103" i="6" a="1"/>
  <c r="H103" i="6" s="1"/>
  <c r="H159" i="6" a="1"/>
  <c r="H159" i="6" s="1"/>
  <c r="H64" i="6" a="1"/>
  <c r="H64" i="6" s="1"/>
  <c r="H152" i="6" a="1"/>
  <c r="H152" i="6" s="1"/>
  <c r="H12" i="6" a="1"/>
  <c r="H12" i="6" s="1"/>
  <c r="H20" i="6" a="1"/>
  <c r="H20" i="6" s="1"/>
  <c r="H28" i="6" a="1"/>
  <c r="H28" i="6" s="1"/>
  <c r="H36" i="6" a="1"/>
  <c r="H36" i="6" s="1"/>
  <c r="H44" i="6" a="1"/>
  <c r="H44" i="6" s="1"/>
  <c r="H52" i="6" a="1"/>
  <c r="H52" i="6" s="1"/>
  <c r="H60" i="6" a="1"/>
  <c r="H60" i="6" s="1"/>
  <c r="H68" i="6" a="1"/>
  <c r="H68" i="6" s="1"/>
  <c r="H76" i="6" a="1"/>
  <c r="H76" i="6" s="1"/>
  <c r="H84" i="6" a="1"/>
  <c r="H84" i="6" s="1"/>
  <c r="H92" i="6" a="1"/>
  <c r="H92" i="6" s="1"/>
  <c r="H100" i="6" a="1"/>
  <c r="H100" i="6" s="1"/>
  <c r="H108" i="6" a="1"/>
  <c r="H108" i="6" s="1"/>
  <c r="H116" i="6" a="1"/>
  <c r="H116" i="6" s="1"/>
  <c r="H124" i="6" a="1"/>
  <c r="H124" i="6" s="1"/>
  <c r="H132" i="6" a="1"/>
  <c r="H132" i="6" s="1"/>
  <c r="H140" i="6" a="1"/>
  <c r="H140" i="6" s="1"/>
  <c r="H148" i="6" a="1"/>
  <c r="H148" i="6" s="1"/>
  <c r="H156" i="6" a="1"/>
  <c r="H156" i="6" s="1"/>
  <c r="H164" i="6" a="1"/>
  <c r="H164" i="6" s="1"/>
  <c r="H150" i="6" a="1"/>
  <c r="H150" i="6" s="1"/>
  <c r="H166" i="6" a="1"/>
  <c r="H166" i="6" s="1"/>
  <c r="H39" i="6" a="1"/>
  <c r="H39" i="6" s="1"/>
  <c r="H55" i="6" a="1"/>
  <c r="H55" i="6" s="1"/>
  <c r="H87" i="6" a="1"/>
  <c r="H87" i="6" s="1"/>
  <c r="H135" i="6" a="1"/>
  <c r="H135" i="6" s="1"/>
  <c r="H24" i="6" a="1"/>
  <c r="H24" i="6" s="1"/>
  <c r="H80" i="6" a="1"/>
  <c r="H80" i="6" s="1"/>
  <c r="H136" i="6" a="1"/>
  <c r="H136" i="6" s="1"/>
  <c r="H168" i="6" a="1"/>
  <c r="H168" i="6" s="1"/>
  <c r="H13" i="6" a="1"/>
  <c r="H13" i="6" s="1"/>
  <c r="H21" i="6" a="1"/>
  <c r="H21" i="6" s="1"/>
  <c r="H29" i="6" a="1"/>
  <c r="H29" i="6" s="1"/>
  <c r="H37" i="6" a="1"/>
  <c r="H37" i="6" s="1"/>
  <c r="H45" i="6" a="1"/>
  <c r="H45" i="6" s="1"/>
  <c r="H53" i="6" a="1"/>
  <c r="H53" i="6" s="1"/>
  <c r="H61" i="6" a="1"/>
  <c r="H61" i="6" s="1"/>
  <c r="H69" i="6" a="1"/>
  <c r="H69" i="6" s="1"/>
  <c r="H77" i="6" a="1"/>
  <c r="H77" i="6" s="1"/>
  <c r="H85" i="6" a="1"/>
  <c r="H85" i="6" s="1"/>
  <c r="H93" i="6" a="1"/>
  <c r="H93" i="6" s="1"/>
  <c r="H101" i="6" a="1"/>
  <c r="H101" i="6" s="1"/>
  <c r="H109" i="6" a="1"/>
  <c r="H109" i="6" s="1"/>
  <c r="H117" i="6" a="1"/>
  <c r="H117" i="6" s="1"/>
  <c r="H125" i="6" a="1"/>
  <c r="H125" i="6" s="1"/>
  <c r="H133" i="6" a="1"/>
  <c r="H133" i="6" s="1"/>
  <c r="H141" i="6" a="1"/>
  <c r="H141" i="6" s="1"/>
  <c r="H149" i="6" a="1"/>
  <c r="H149" i="6" s="1"/>
  <c r="H157" i="6" a="1"/>
  <c r="H157" i="6" s="1"/>
  <c r="H165" i="6" a="1"/>
  <c r="H165" i="6" s="1"/>
  <c r="H142" i="6" a="1"/>
  <c r="H142" i="6" s="1"/>
  <c r="H23" i="6" a="1"/>
  <c r="H23" i="6" s="1"/>
  <c r="H47" i="6" a="1"/>
  <c r="H47" i="6" s="1"/>
  <c r="H71" i="6" a="1"/>
  <c r="H71" i="6" s="1"/>
  <c r="H111" i="6" a="1"/>
  <c r="H111" i="6" s="1"/>
  <c r="H151" i="6" a="1"/>
  <c r="H151" i="6" s="1"/>
  <c r="H40" i="6" a="1"/>
  <c r="H40" i="6" s="1"/>
  <c r="H88" i="6" a="1"/>
  <c r="H88" i="6" s="1"/>
  <c r="H128" i="6" a="1"/>
  <c r="H128" i="6" s="1"/>
  <c r="H14" i="6" a="1"/>
  <c r="H14" i="6" s="1"/>
  <c r="H22" i="6" a="1"/>
  <c r="H22" i="6" s="1"/>
  <c r="H30" i="6" a="1"/>
  <c r="H30" i="6" s="1"/>
  <c r="H38" i="6" a="1"/>
  <c r="H38" i="6" s="1"/>
  <c r="H46" i="6" a="1"/>
  <c r="H46" i="6" s="1"/>
  <c r="H54" i="6" a="1"/>
  <c r="H54" i="6" s="1"/>
  <c r="H62" i="6" a="1"/>
  <c r="H62" i="6" s="1"/>
  <c r="H70" i="6" a="1"/>
  <c r="H70" i="6" s="1"/>
  <c r="H78" i="6" a="1"/>
  <c r="H78" i="6" s="1"/>
  <c r="H86" i="6" a="1"/>
  <c r="H86" i="6" s="1"/>
  <c r="H94" i="6" a="1"/>
  <c r="H94" i="6" s="1"/>
  <c r="H102" i="6" a="1"/>
  <c r="H102" i="6" s="1"/>
  <c r="H110" i="6" a="1"/>
  <c r="H110" i="6" s="1"/>
  <c r="H118" i="6" a="1"/>
  <c r="H118" i="6" s="1"/>
  <c r="H126" i="6" a="1"/>
  <c r="H126" i="6" s="1"/>
  <c r="H134" i="6" a="1"/>
  <c r="H134" i="6" s="1"/>
  <c r="H158" i="6" a="1"/>
  <c r="H158" i="6" s="1"/>
  <c r="H31" i="6" a="1"/>
  <c r="H31" i="6" s="1"/>
  <c r="H63" i="6" a="1"/>
  <c r="H63" i="6" s="1"/>
  <c r="H119" i="6" a="1"/>
  <c r="H119" i="6" s="1"/>
  <c r="H16" i="6" a="1"/>
  <c r="H16" i="6" s="1"/>
  <c r="H72" i="6" a="1"/>
  <c r="H72" i="6" s="1"/>
  <c r="H120" i="6" a="1"/>
  <c r="H120" i="6" s="1"/>
  <c r="H144" i="6" a="1"/>
  <c r="H144" i="6" s="1"/>
  <c r="H15" i="6" a="1"/>
  <c r="H15" i="6" s="1"/>
  <c r="H127" i="6" a="1"/>
  <c r="H127" i="6" s="1"/>
  <c r="H48" i="6" a="1"/>
  <c r="H48" i="6" s="1"/>
  <c r="H104" i="6" a="1"/>
  <c r="H104" i="6" s="1"/>
  <c r="K91" i="11"/>
  <c r="K90" i="11"/>
  <c r="K89" i="11"/>
  <c r="K88" i="11"/>
  <c r="K87" i="11"/>
  <c r="K86" i="11"/>
  <c r="K85" i="11"/>
  <c r="J109" i="11" l="1"/>
  <c r="J108" i="11"/>
  <c r="J107" i="11"/>
  <c r="J106" i="11"/>
  <c r="J105" i="11"/>
  <c r="J104" i="11"/>
  <c r="J103" i="11"/>
  <c r="I109" i="11"/>
  <c r="I108" i="11"/>
  <c r="I107" i="11"/>
  <c r="I106" i="11"/>
  <c r="I105" i="11"/>
  <c r="I104" i="11"/>
  <c r="I103" i="11"/>
  <c r="F25" i="11"/>
  <c r="F24" i="11"/>
  <c r="F23" i="11"/>
  <c r="F22" i="11"/>
  <c r="G26" i="11"/>
  <c r="E26" i="11"/>
  <c r="D26" i="11"/>
  <c r="J55" i="11"/>
  <c r="J54" i="11"/>
  <c r="J53" i="11"/>
  <c r="J52" i="11"/>
  <c r="J51" i="11"/>
  <c r="J50" i="11"/>
  <c r="I73" i="11"/>
  <c r="I72" i="11"/>
  <c r="I71" i="11"/>
  <c r="I70" i="11"/>
  <c r="I69" i="11"/>
  <c r="I68" i="11"/>
  <c r="J73" i="11"/>
  <c r="J72" i="11"/>
  <c r="J71" i="11"/>
  <c r="J70" i="11"/>
  <c r="J69" i="11"/>
  <c r="J68" i="11"/>
  <c r="J67" i="11"/>
  <c r="J57" i="11" l="1"/>
  <c r="K108" i="11"/>
  <c r="K109" i="11"/>
  <c r="J111" i="11"/>
  <c r="K104" i="11"/>
  <c r="K106" i="11"/>
  <c r="K107" i="11"/>
  <c r="K105" i="11"/>
  <c r="I111" i="11"/>
  <c r="K103" i="11"/>
  <c r="F26" i="11"/>
  <c r="K68" i="11"/>
  <c r="K69" i="11"/>
  <c r="K70" i="11"/>
  <c r="K71" i="11"/>
  <c r="K72" i="11"/>
  <c r="K73" i="11"/>
  <c r="J75" i="11"/>
  <c r="I55" i="11" l="1"/>
  <c r="K55" i="11" s="1"/>
  <c r="I67" i="11"/>
  <c r="I54" i="11"/>
  <c r="K54" i="11" s="1"/>
  <c r="I53" i="11"/>
  <c r="K53" i="11" s="1"/>
  <c r="I52" i="11"/>
  <c r="K52" i="11" s="1"/>
  <c r="I51" i="11"/>
  <c r="K51" i="11" s="1"/>
  <c r="I50" i="11"/>
  <c r="K49" i="11"/>
  <c r="K50" i="11" l="1"/>
  <c r="I57" i="11"/>
  <c r="K67" i="11"/>
  <c r="I75" i="11"/>
  <c r="B23" i="8" l="1"/>
  <c r="M18" i="1"/>
  <c r="BY12" i="1"/>
  <c r="BX12" i="1"/>
  <c r="BW12" i="1"/>
  <c r="BV12" i="1"/>
  <c r="BU12" i="1"/>
  <c r="BT12" i="1"/>
  <c r="BS12" i="1"/>
  <c r="BR12" i="1"/>
  <c r="BQ12" i="1"/>
  <c r="BP12" i="1"/>
  <c r="BO12" i="1"/>
  <c r="BN12" i="1"/>
  <c r="BM12" i="1"/>
  <c r="BL12" i="1"/>
  <c r="BK12" i="1"/>
  <c r="BJ12" i="1"/>
  <c r="BI12" i="1"/>
  <c r="BH12" i="1"/>
  <c r="BG12" i="1"/>
  <c r="BF12" i="1"/>
  <c r="BE12" i="1"/>
  <c r="BD12" i="1"/>
  <c r="BC12" i="1"/>
  <c r="BB12" i="1"/>
  <c r="BA12" i="1"/>
  <c r="AZ12" i="1"/>
  <c r="AY12" i="1"/>
  <c r="AX12" i="1"/>
  <c r="AW12" i="1"/>
  <c r="AV12" i="1"/>
  <c r="AU12" i="1"/>
  <c r="AT12" i="1"/>
  <c r="AS12" i="1"/>
  <c r="AR12" i="1"/>
  <c r="AQ12" i="1"/>
  <c r="AP12" i="1"/>
  <c r="AO12" i="1"/>
  <c r="AN12" i="1"/>
  <c r="AM12" i="1"/>
  <c r="AL12" i="1"/>
  <c r="AK12" i="1"/>
  <c r="AJ12" i="1"/>
  <c r="AI12" i="1"/>
  <c r="AH12" i="1"/>
  <c r="AG12" i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M101" i="1"/>
  <c r="M99" i="1"/>
  <c r="M34" i="1" l="1"/>
  <c r="BY13" i="1"/>
  <c r="BX13" i="1"/>
  <c r="BW13" i="1"/>
  <c r="BV13" i="1"/>
  <c r="BU13" i="1"/>
  <c r="BT13" i="1"/>
  <c r="BS13" i="1"/>
  <c r="BR13" i="1"/>
  <c r="BQ13" i="1"/>
  <c r="BL13" i="1"/>
  <c r="BK13" i="1"/>
  <c r="BJ13" i="1"/>
  <c r="BI13" i="1"/>
  <c r="BH13" i="1"/>
  <c r="BG13" i="1"/>
  <c r="BF13" i="1"/>
  <c r="BE13" i="1"/>
  <c r="BD13" i="1"/>
  <c r="BC13" i="1"/>
  <c r="BB13" i="1"/>
  <c r="BA13" i="1"/>
  <c r="AZ13" i="1"/>
  <c r="AY13" i="1"/>
  <c r="AX13" i="1"/>
  <c r="AW13" i="1"/>
  <c r="AV13" i="1"/>
  <c r="AU13" i="1"/>
  <c r="AT13" i="1"/>
  <c r="AS13" i="1"/>
  <c r="AR13" i="1"/>
  <c r="AQ13" i="1"/>
  <c r="AP13" i="1"/>
  <c r="AO13" i="1"/>
  <c r="AN13" i="1"/>
  <c r="AM13" i="1"/>
  <c r="AL13" i="1"/>
  <c r="AK13" i="1"/>
  <c r="AJ13" i="1"/>
  <c r="AI13" i="1"/>
  <c r="AG13" i="1"/>
  <c r="AF13" i="1"/>
  <c r="AE13" i="1"/>
  <c r="AD13" i="1"/>
  <c r="AC13" i="1"/>
  <c r="AB13" i="1"/>
  <c r="AA13" i="1"/>
  <c r="Z13" i="1"/>
  <c r="Y13" i="1"/>
  <c r="X13" i="1"/>
  <c r="W13" i="1"/>
  <c r="V13" i="1"/>
  <c r="U13" i="1"/>
  <c r="S13" i="1"/>
  <c r="R13" i="1"/>
  <c r="Q13" i="1"/>
  <c r="P13" i="1"/>
  <c r="O13" i="1"/>
  <c r="G18" i="1"/>
  <c r="F97" i="1"/>
  <c r="F96" i="1"/>
  <c r="F95" i="1"/>
  <c r="F94" i="1"/>
  <c r="F93" i="1"/>
  <c r="F92" i="1"/>
  <c r="F91" i="1"/>
  <c r="F90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51" i="1"/>
  <c r="G51" i="1" s="1"/>
  <c r="F52" i="1"/>
  <c r="G52" i="1" s="1"/>
  <c r="F53" i="1"/>
  <c r="G53" i="1" s="1"/>
  <c r="F54" i="1"/>
  <c r="G54" i="1" s="1"/>
  <c r="F55" i="1"/>
  <c r="G55" i="1" s="1"/>
  <c r="F56" i="1"/>
  <c r="G56" i="1" s="1"/>
  <c r="F57" i="1"/>
  <c r="G57" i="1" s="1"/>
  <c r="F58" i="1"/>
  <c r="G58" i="1" s="1"/>
  <c r="F59" i="1"/>
  <c r="G59" i="1" s="1"/>
  <c r="F60" i="1"/>
  <c r="G60" i="1" s="1"/>
  <c r="F61" i="1"/>
  <c r="G61" i="1" s="1"/>
  <c r="F50" i="1"/>
  <c r="G50" i="1" s="1"/>
  <c r="F48" i="1"/>
  <c r="G48" i="1" s="1"/>
  <c r="F47" i="1"/>
  <c r="G47" i="1" s="1"/>
  <c r="F46" i="1"/>
  <c r="G46" i="1" s="1"/>
  <c r="F45" i="1"/>
  <c r="G45" i="1" s="1"/>
  <c r="F44" i="1"/>
  <c r="G44" i="1" s="1"/>
  <c r="F43" i="1"/>
  <c r="G43" i="1" s="1"/>
  <c r="F42" i="1"/>
  <c r="G42" i="1" s="1"/>
  <c r="F41" i="1"/>
  <c r="G41" i="1" s="1"/>
  <c r="F40" i="1"/>
  <c r="G40" i="1" s="1"/>
  <c r="F39" i="1"/>
  <c r="G39" i="1" s="1"/>
  <c r="F38" i="1"/>
  <c r="G38" i="1" s="1"/>
  <c r="F37" i="1"/>
  <c r="G37" i="1" s="1"/>
  <c r="F36" i="1"/>
  <c r="G36" i="1" s="1"/>
  <c r="F35" i="1"/>
  <c r="G35" i="1" s="1"/>
  <c r="F33" i="1"/>
  <c r="G33" i="1" s="1"/>
  <c r="F32" i="1"/>
  <c r="G32" i="1" s="1"/>
  <c r="F31" i="1"/>
  <c r="G31" i="1" s="1"/>
  <c r="F30" i="1"/>
  <c r="G30" i="1" s="1"/>
  <c r="F29" i="1"/>
  <c r="G29" i="1" s="1"/>
  <c r="F28" i="1"/>
  <c r="G28" i="1" s="1"/>
  <c r="F27" i="1"/>
  <c r="M27" i="1" s="1"/>
  <c r="F26" i="1"/>
  <c r="M26" i="1" s="1"/>
  <c r="F25" i="1"/>
  <c r="G25" i="1" s="1"/>
  <c r="F24" i="1"/>
  <c r="G24" i="1" s="1"/>
  <c r="F23" i="1"/>
  <c r="G23" i="1" s="1"/>
  <c r="F22" i="1"/>
  <c r="G22" i="1" s="1"/>
  <c r="F21" i="1"/>
  <c r="G21" i="1" s="1"/>
  <c r="BP13" i="1"/>
  <c r="BO13" i="1"/>
  <c r="BN13" i="1"/>
  <c r="BM13" i="1"/>
  <c r="AH13" i="1"/>
  <c r="T13" i="1"/>
  <c r="B24" i="1"/>
  <c r="G19" i="1"/>
  <c r="AM16" i="1"/>
  <c r="AN16" i="1" s="1"/>
  <c r="AO16" i="1" s="1"/>
  <c r="AP16" i="1" s="1"/>
  <c r="AQ16" i="1" s="1"/>
  <c r="AR16" i="1" s="1"/>
  <c r="AJ16" i="1"/>
  <c r="AK16" i="1" s="1"/>
  <c r="P16" i="1"/>
  <c r="K75" i="2"/>
  <c r="K69" i="2"/>
  <c r="K61" i="2"/>
  <c r="K9" i="2"/>
  <c r="M9" i="2" l="1"/>
  <c r="M69" i="2"/>
  <c r="M61" i="2"/>
  <c r="M75" i="2"/>
  <c r="M11" i="2"/>
  <c r="M13" i="2"/>
  <c r="M15" i="2"/>
  <c r="M53" i="2"/>
  <c r="M55" i="2"/>
  <c r="M57" i="2"/>
  <c r="M71" i="2"/>
  <c r="M73" i="2"/>
  <c r="G94" i="1"/>
  <c r="M94" i="1"/>
  <c r="G77" i="1"/>
  <c r="M77" i="1"/>
  <c r="G78" i="1"/>
  <c r="M78" i="1"/>
  <c r="G95" i="1"/>
  <c r="M95" i="1"/>
  <c r="G96" i="1"/>
  <c r="M96" i="1"/>
  <c r="G97" i="1"/>
  <c r="M97" i="1"/>
  <c r="G81" i="1"/>
  <c r="M81" i="1"/>
  <c r="G82" i="1"/>
  <c r="M82" i="1"/>
  <c r="G76" i="1"/>
  <c r="M76" i="1"/>
  <c r="G63" i="1"/>
  <c r="M63" i="1"/>
  <c r="G79" i="1"/>
  <c r="M79" i="1"/>
  <c r="G80" i="1"/>
  <c r="M80" i="1"/>
  <c r="G65" i="1"/>
  <c r="M65" i="1"/>
  <c r="G66" i="1"/>
  <c r="M66" i="1"/>
  <c r="G67" i="1"/>
  <c r="M67" i="1"/>
  <c r="G83" i="1"/>
  <c r="M83" i="1"/>
  <c r="G64" i="1"/>
  <c r="M64" i="1"/>
  <c r="G27" i="1"/>
  <c r="G68" i="1"/>
  <c r="M68" i="1"/>
  <c r="G84" i="1"/>
  <c r="M84" i="1"/>
  <c r="G85" i="1"/>
  <c r="M85" i="1"/>
  <c r="G86" i="1"/>
  <c r="M86" i="1"/>
  <c r="Q16" i="1"/>
  <c r="R16" i="1" s="1"/>
  <c r="S16" i="1" s="1"/>
  <c r="T16" i="1" s="1"/>
  <c r="U16" i="1" s="1"/>
  <c r="V16" i="1" s="1"/>
  <c r="W16" i="1" s="1"/>
  <c r="X16" i="1" s="1"/>
  <c r="Y16" i="1" s="1"/>
  <c r="Z16" i="1" s="1"/>
  <c r="AA16" i="1" s="1"/>
  <c r="AB16" i="1" s="1"/>
  <c r="AC16" i="1" s="1"/>
  <c r="AD16" i="1" s="1"/>
  <c r="AE16" i="1" s="1"/>
  <c r="AF16" i="1" s="1"/>
  <c r="AG16" i="1" s="1"/>
  <c r="AH16" i="1" s="1"/>
  <c r="G69" i="1"/>
  <c r="M69" i="1"/>
  <c r="G70" i="1"/>
  <c r="M70" i="1"/>
  <c r="G71" i="1"/>
  <c r="M71" i="1"/>
  <c r="G87" i="1"/>
  <c r="M87" i="1"/>
  <c r="G73" i="1"/>
  <c r="M73" i="1"/>
  <c r="G72" i="1"/>
  <c r="M72" i="1"/>
  <c r="G88" i="1"/>
  <c r="M88" i="1"/>
  <c r="G90" i="1"/>
  <c r="M90" i="1"/>
  <c r="G91" i="1"/>
  <c r="M91" i="1"/>
  <c r="G74" i="1"/>
  <c r="M74" i="1"/>
  <c r="G75" i="1"/>
  <c r="M75" i="1"/>
  <c r="G92" i="1"/>
  <c r="M92" i="1"/>
  <c r="G93" i="1"/>
  <c r="M93" i="1"/>
  <c r="M29" i="1"/>
  <c r="M45" i="1"/>
  <c r="M30" i="1"/>
  <c r="M46" i="1"/>
  <c r="M31" i="1"/>
  <c r="M47" i="1"/>
  <c r="M32" i="1"/>
  <c r="M48" i="1"/>
  <c r="M33" i="1"/>
  <c r="M50" i="1"/>
  <c r="M51" i="1"/>
  <c r="M35" i="1"/>
  <c r="M52" i="1"/>
  <c r="M36" i="1"/>
  <c r="M53" i="1"/>
  <c r="M21" i="1"/>
  <c r="M37" i="1"/>
  <c r="M54" i="1"/>
  <c r="G26" i="1"/>
  <c r="M22" i="1"/>
  <c r="M38" i="1"/>
  <c r="M55" i="1"/>
  <c r="M23" i="1"/>
  <c r="M39" i="1"/>
  <c r="M56" i="1"/>
  <c r="M24" i="1"/>
  <c r="M40" i="1"/>
  <c r="M57" i="1"/>
  <c r="M25" i="1"/>
  <c r="M41" i="1"/>
  <c r="M58" i="1"/>
  <c r="M42" i="1"/>
  <c r="M59" i="1"/>
  <c r="M43" i="1"/>
  <c r="M60" i="1"/>
  <c r="M28" i="1"/>
  <c r="M44" i="1"/>
  <c r="M61" i="1"/>
  <c r="AS16" i="1"/>
  <c r="AT16" i="1" s="1"/>
  <c r="AU16" i="1" s="1"/>
  <c r="AV16" i="1" s="1"/>
  <c r="AW16" i="1" s="1"/>
  <c r="AX16" i="1" s="1"/>
  <c r="AY16" i="1" s="1"/>
  <c r="AZ16" i="1" s="1"/>
  <c r="BA16" i="1" s="1"/>
  <c r="BB16" i="1" s="1"/>
  <c r="BC16" i="1" s="1"/>
  <c r="BD16" i="1" s="1"/>
  <c r="BE16" i="1" s="1"/>
  <c r="BF16" i="1" s="1"/>
  <c r="BG16" i="1" s="1"/>
  <c r="BH16" i="1" s="1"/>
  <c r="BI16" i="1" s="1"/>
  <c r="BJ16" i="1" s="1"/>
  <c r="BK16" i="1" s="1"/>
  <c r="BL16" i="1" s="1"/>
  <c r="BM16" i="1" s="1"/>
  <c r="BN16" i="1" s="1"/>
  <c r="BO16" i="1" s="1"/>
  <c r="BP16" i="1" s="1"/>
  <c r="BQ16" i="1" s="1"/>
  <c r="BR16" i="1" s="1"/>
  <c r="BS16" i="1" s="1"/>
  <c r="BT16" i="1" s="1"/>
  <c r="BU16" i="1" s="1"/>
  <c r="BV16" i="1" s="1"/>
  <c r="BW16" i="1" s="1"/>
  <c r="BX16" i="1" s="1"/>
  <c r="BY16" i="1" s="1"/>
  <c r="M72" i="2" l="1"/>
  <c r="M56" i="2"/>
  <c r="M80" i="2"/>
  <c r="M63" i="2"/>
  <c r="M60" i="2"/>
  <c r="M59" i="2"/>
  <c r="M45" i="2"/>
  <c r="M66" i="2"/>
  <c r="M32" i="2"/>
  <c r="M28" i="2"/>
  <c r="M64" i="2"/>
  <c r="M36" i="2"/>
  <c r="M20" i="2"/>
  <c r="M41" i="2"/>
  <c r="M81" i="2"/>
  <c r="M14" i="2"/>
  <c r="M44" i="2"/>
  <c r="M50" i="2"/>
  <c r="M23" i="2"/>
  <c r="M17" i="2"/>
  <c r="M77" i="2"/>
  <c r="M58" i="2"/>
  <c r="M79" i="2"/>
  <c r="M62" i="2"/>
  <c r="M34" i="2"/>
  <c r="M18" i="2"/>
  <c r="M78" i="2"/>
  <c r="M65" i="2"/>
  <c r="M37" i="2"/>
  <c r="M21" i="2"/>
  <c r="M46" i="2"/>
  <c r="M47" i="2"/>
  <c r="M35" i="2"/>
  <c r="M19" i="2"/>
  <c r="M43" i="2"/>
  <c r="M30" i="2"/>
  <c r="M74" i="2"/>
  <c r="M33" i="2"/>
  <c r="M31" i="2"/>
  <c r="M16" i="2"/>
  <c r="M39" i="2"/>
  <c r="M26" i="2"/>
  <c r="M70" i="2"/>
  <c r="M54" i="2"/>
  <c r="M12" i="2"/>
  <c r="M42" i="2"/>
  <c r="M29" i="2"/>
  <c r="M24" i="2"/>
  <c r="M68" i="2"/>
  <c r="M52" i="2"/>
  <c r="M10" i="2"/>
  <c r="M40" i="2"/>
  <c r="M27" i="2"/>
  <c r="M51" i="2"/>
  <c r="M48" i="2"/>
  <c r="M49" i="2"/>
  <c r="M38" i="2"/>
  <c r="M22" i="2"/>
  <c r="M67" i="2"/>
  <c r="M76" i="2"/>
  <c r="M25" i="2"/>
  <c r="H18" i="1" a="1"/>
  <c r="H18" i="1" s="1"/>
  <c r="K18" i="1" s="1" a="1"/>
  <c r="K18" i="1" s="1"/>
  <c r="J18" i="1" a="1"/>
  <c r="J18" i="1" s="1"/>
  <c r="H26" i="1" a="1"/>
  <c r="H26" i="1" s="1"/>
  <c r="I26" i="1" s="1"/>
  <c r="H88" i="1" a="1"/>
  <c r="H88" i="1" s="1"/>
  <c r="I88" i="1" s="1"/>
  <c r="H67" i="1" a="1"/>
  <c r="H67" i="1" s="1"/>
  <c r="I67" i="1" s="1"/>
  <c r="H50" i="1" a="1"/>
  <c r="H50" i="1" s="1"/>
  <c r="I50" i="1" s="1"/>
  <c r="H22" i="1" a="1"/>
  <c r="H22" i="1" s="1"/>
  <c r="I22" i="1" s="1"/>
  <c r="H39" i="1" a="1"/>
  <c r="H39" i="1" s="1"/>
  <c r="I39" i="1" s="1"/>
  <c r="H83" i="1" a="1"/>
  <c r="H83" i="1" s="1"/>
  <c r="I83" i="1" s="1"/>
  <c r="H73" i="1" a="1"/>
  <c r="H73" i="1" s="1"/>
  <c r="I73" i="1" s="1"/>
  <c r="H51" i="1" a="1"/>
  <c r="H51" i="1" s="1"/>
  <c r="I51" i="1" s="1"/>
  <c r="H71" i="1" a="1"/>
  <c r="H71" i="1" s="1"/>
  <c r="I71" i="1" s="1"/>
  <c r="H38" i="1" a="1"/>
  <c r="H38" i="1" s="1"/>
  <c r="I38" i="1" s="1"/>
  <c r="H25" i="1" a="1"/>
  <c r="H25" i="1" s="1"/>
  <c r="I25" i="1" s="1"/>
  <c r="H42" i="1" a="1"/>
  <c r="H42" i="1" s="1"/>
  <c r="I42" i="1" s="1"/>
  <c r="H84" i="1" a="1"/>
  <c r="H84" i="1" s="1"/>
  <c r="I84" i="1" s="1"/>
  <c r="H37" i="1" a="1"/>
  <c r="H37" i="1" s="1"/>
  <c r="I37" i="1" s="1"/>
  <c r="H60" i="1" a="1"/>
  <c r="H60" i="1" s="1"/>
  <c r="I60" i="1" s="1"/>
  <c r="H28" i="1" a="1"/>
  <c r="H28" i="1" s="1"/>
  <c r="I28" i="1" s="1"/>
  <c r="H96" i="1" a="1"/>
  <c r="H96" i="1" s="1"/>
  <c r="I96" i="1" s="1"/>
  <c r="H70" i="1" a="1"/>
  <c r="H70" i="1" s="1"/>
  <c r="I70" i="1" s="1"/>
  <c r="H21" i="1" a="1"/>
  <c r="H21" i="1" s="1"/>
  <c r="I21" i="1" s="1"/>
  <c r="H55" i="1" a="1"/>
  <c r="H55" i="1" s="1"/>
  <c r="I55" i="1" s="1"/>
  <c r="H72" i="1" a="1"/>
  <c r="H72" i="1" s="1"/>
  <c r="I72" i="1" s="1"/>
  <c r="H46" i="1" a="1"/>
  <c r="H46" i="1" s="1"/>
  <c r="I46" i="1" s="1"/>
  <c r="H59" i="1" a="1"/>
  <c r="H59" i="1" s="1"/>
  <c r="I59" i="1" s="1"/>
  <c r="H80" i="1" a="1"/>
  <c r="H80" i="1" s="1"/>
  <c r="I80" i="1" s="1"/>
  <c r="H56" i="1" a="1"/>
  <c r="H56" i="1" s="1"/>
  <c r="I56" i="1" s="1"/>
  <c r="H94" i="1" a="1"/>
  <c r="H94" i="1" s="1"/>
  <c r="I94" i="1" s="1"/>
  <c r="H85" i="1" a="1"/>
  <c r="H85" i="1" s="1"/>
  <c r="I85" i="1" s="1"/>
  <c r="H90" i="1" a="1"/>
  <c r="H90" i="1" s="1"/>
  <c r="I90" i="1" s="1"/>
  <c r="H54" i="1" a="1"/>
  <c r="H54" i="1" s="1"/>
  <c r="I54" i="1" s="1"/>
  <c r="H53" i="1" a="1"/>
  <c r="H53" i="1" s="1"/>
  <c r="I53" i="1" s="1"/>
  <c r="H74" i="1" a="1"/>
  <c r="H74" i="1" s="1"/>
  <c r="I74" i="1" s="1"/>
  <c r="H77" i="1" a="1"/>
  <c r="H77" i="1" s="1"/>
  <c r="I77" i="1" s="1"/>
  <c r="H29" i="1" a="1"/>
  <c r="H29" i="1" s="1"/>
  <c r="I29" i="1" s="1"/>
  <c r="H91" i="1" a="1"/>
  <c r="H91" i="1" s="1"/>
  <c r="I91" i="1" s="1"/>
  <c r="H27" i="1" a="1"/>
  <c r="H27" i="1" s="1"/>
  <c r="I27" i="1" s="1"/>
  <c r="H35" i="1" a="1"/>
  <c r="H35" i="1" s="1"/>
  <c r="I35" i="1" s="1"/>
  <c r="H24" i="1" a="1"/>
  <c r="H24" i="1" s="1"/>
  <c r="I24" i="1" s="1"/>
  <c r="H44" i="1" a="1"/>
  <c r="H44" i="1" s="1"/>
  <c r="I44" i="1" s="1"/>
  <c r="H86" i="1" a="1"/>
  <c r="H86" i="1" s="1"/>
  <c r="I86" i="1" s="1"/>
  <c r="H41" i="1" a="1"/>
  <c r="H41" i="1" s="1"/>
  <c r="I41" i="1" s="1"/>
  <c r="H61" i="1" a="1"/>
  <c r="H61" i="1" s="1"/>
  <c r="I61" i="1" s="1"/>
  <c r="H58" i="1" a="1"/>
  <c r="H58" i="1" s="1"/>
  <c r="I58" i="1" s="1"/>
  <c r="H78" i="1" a="1"/>
  <c r="H78" i="1" s="1"/>
  <c r="I78" i="1" s="1"/>
  <c r="H43" i="1" a="1"/>
  <c r="H43" i="1" s="1"/>
  <c r="I43" i="1" s="1"/>
  <c r="H52" i="1" a="1"/>
  <c r="H52" i="1" s="1"/>
  <c r="I52" i="1" s="1"/>
  <c r="H95" i="1" a="1"/>
  <c r="H95" i="1" s="1"/>
  <c r="I95" i="1" s="1"/>
  <c r="H64" i="1" a="1"/>
  <c r="H64" i="1" s="1"/>
  <c r="I64" i="1" s="1"/>
  <c r="H33" i="1" a="1"/>
  <c r="H33" i="1" s="1"/>
  <c r="I33" i="1" s="1"/>
  <c r="H69" i="1" a="1"/>
  <c r="H69" i="1" s="1"/>
  <c r="I69" i="1" s="1"/>
  <c r="H75" i="1" a="1"/>
  <c r="H75" i="1" s="1"/>
  <c r="I75" i="1" s="1"/>
  <c r="H87" i="1" a="1"/>
  <c r="H87" i="1" s="1"/>
  <c r="I87" i="1" s="1"/>
  <c r="H92" i="1" a="1"/>
  <c r="H92" i="1" s="1"/>
  <c r="I92" i="1" s="1"/>
  <c r="H68" i="1" a="1"/>
  <c r="H68" i="1" s="1"/>
  <c r="I68" i="1" s="1"/>
  <c r="H97" i="1" a="1"/>
  <c r="H97" i="1" s="1"/>
  <c r="I97" i="1" s="1"/>
  <c r="H23" i="1" a="1"/>
  <c r="H23" i="1" s="1"/>
  <c r="I23" i="1" s="1"/>
  <c r="H76" i="1" a="1"/>
  <c r="H76" i="1" s="1"/>
  <c r="I76" i="1" s="1"/>
  <c r="H45" i="1" a="1"/>
  <c r="H45" i="1" s="1"/>
  <c r="I45" i="1" s="1"/>
  <c r="H30" i="1" a="1"/>
  <c r="H30" i="1" s="1"/>
  <c r="I30" i="1" s="1"/>
  <c r="H40" i="1" a="1"/>
  <c r="H40" i="1" s="1"/>
  <c r="I40" i="1" s="1"/>
  <c r="H93" i="1" a="1"/>
  <c r="H93" i="1" s="1"/>
  <c r="I93" i="1" s="1"/>
  <c r="H63" i="1" a="1"/>
  <c r="H63" i="1" s="1"/>
  <c r="I63" i="1" s="1"/>
  <c r="H47" i="1" a="1"/>
  <c r="H47" i="1" s="1"/>
  <c r="I47" i="1" s="1"/>
  <c r="H57" i="1" a="1"/>
  <c r="H57" i="1" s="1"/>
  <c r="I57" i="1" s="1"/>
  <c r="H36" i="1" a="1"/>
  <c r="H36" i="1" s="1"/>
  <c r="I36" i="1" s="1"/>
  <c r="H79" i="1" a="1"/>
  <c r="H79" i="1" s="1"/>
  <c r="I79" i="1" s="1"/>
  <c r="H65" i="1" a="1"/>
  <c r="H65" i="1" s="1"/>
  <c r="I65" i="1" s="1"/>
  <c r="H81" i="1" a="1"/>
  <c r="H81" i="1" s="1"/>
  <c r="I81" i="1" s="1"/>
  <c r="H99" i="1" a="1"/>
  <c r="H99" i="1" s="1"/>
  <c r="I99" i="1" s="1"/>
  <c r="H31" i="1" a="1"/>
  <c r="H31" i="1" s="1"/>
  <c r="I31" i="1" s="1"/>
  <c r="H48" i="1" a="1"/>
  <c r="H48" i="1" s="1"/>
  <c r="I48" i="1" s="1"/>
  <c r="H66" i="1" a="1"/>
  <c r="H66" i="1" s="1"/>
  <c r="I66" i="1" s="1"/>
  <c r="H82" i="1" a="1"/>
  <c r="H82" i="1" s="1"/>
  <c r="I82" i="1" s="1"/>
  <c r="H101" i="1" a="1"/>
  <c r="H101" i="1" s="1"/>
  <c r="I101" i="1" s="1"/>
  <c r="H32" i="1" a="1"/>
  <c r="H32" i="1" s="1"/>
  <c r="I32" i="1" s="1"/>
  <c r="L18" i="1" l="1"/>
  <c r="I18" i="1"/>
  <c r="K81" i="2"/>
  <c r="K80" i="2"/>
  <c r="K79" i="2"/>
  <c r="K78" i="2"/>
  <c r="K77" i="2"/>
  <c r="K76" i="2"/>
  <c r="K74" i="2"/>
  <c r="K73" i="2"/>
  <c r="K72" i="2"/>
  <c r="K71" i="2"/>
  <c r="K70" i="2"/>
  <c r="K68" i="2"/>
  <c r="K67" i="2"/>
  <c r="K66" i="2"/>
  <c r="K65" i="2"/>
  <c r="K64" i="2"/>
  <c r="K63" i="2"/>
  <c r="K62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43" i="2"/>
  <c r="K42" i="2"/>
  <c r="K41" i="2"/>
  <c r="K40" i="2"/>
  <c r="K39" i="2"/>
  <c r="K38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<sst xmlns="http://schemas.openxmlformats.org/spreadsheetml/2006/main" count="3672" uniqueCount="417">
  <si>
    <t>Pillar III ESG</t>
  </si>
  <si>
    <t>lt002_instrument</t>
  </si>
  <si>
    <t>AVRG_BLNC</t>
  </si>
  <si>
    <t>N</t>
  </si>
  <si>
    <t>Y</t>
  </si>
  <si>
    <t>NW_BSNSS</t>
  </si>
  <si>
    <t>GRSS_INTRST_INCM</t>
  </si>
  <si>
    <t>GRSS_CMMSSN_INCM</t>
  </si>
  <si>
    <t>INTRNL_TRNSFR_RT</t>
  </si>
  <si>
    <t>NT_LN_LSS_PRVSN</t>
  </si>
  <si>
    <t>BSNSS_AREA</t>
  </si>
  <si>
    <t>MNGMNT_PRDCT</t>
  </si>
  <si>
    <t>GRSS_CMMSSN_EXPNS</t>
  </si>
  <si>
    <t>GNS_FNNCL_TRNSCTN_EXCHNG_DFFRNCS</t>
  </si>
  <si>
    <t>FLG_INTRBSNSS</t>
  </si>
  <si>
    <t>INTRBSNSS_ADJ_COD</t>
  </si>
  <si>
    <t>COD_SOC_DSTNTN</t>
  </si>
  <si>
    <t>BSNSS_AREA_DSTNTN</t>
  </si>
  <si>
    <t>AVRG_BLNC_OFF_BLNC</t>
  </si>
  <si>
    <t>INTRNL_TRNSFR_RT_OFF_BLNC</t>
  </si>
  <si>
    <t>GRSS_CMMSSN_INCM_OFF_BLNC</t>
  </si>
  <si>
    <t>GRSS_CMMSSN_EXPNS_OFF_BLNC</t>
  </si>
  <si>
    <t>RWA_OFF_BLNC</t>
  </si>
  <si>
    <t>GRSS_INTRST_EXPNS</t>
  </si>
  <si>
    <t>NT_LN_LSS_PRVSN_OFF_BLNC</t>
  </si>
  <si>
    <t>GRSS_INTRST_INCM_CCRR</t>
  </si>
  <si>
    <t>GRSS_INTRST_EXPNS_CCRR</t>
  </si>
  <si>
    <t>GRSS_CMMSSN_INCM_CCRR</t>
  </si>
  <si>
    <t>GRSS_CMMSSN_EXPNS_CCRR</t>
  </si>
  <si>
    <t>GNS_FNNCL_TRNSCTN_EXCHNG_CCRR</t>
  </si>
  <si>
    <t>BSNSS_AREA_CCRR</t>
  </si>
  <si>
    <t>GRSS_CMMSSN_INCM_OFF_BLNC_CCRR</t>
  </si>
  <si>
    <t>GRSS_CMMSSN_EXPNS_OFF_BLNC_CCRR</t>
  </si>
  <si>
    <t>CCF</t>
  </si>
  <si>
    <t>EAD</t>
  </si>
  <si>
    <t>TYP_OFF_BLNC_PRDCT</t>
  </si>
  <si>
    <t>COD_SOC</t>
  </si>
  <si>
    <t>SUBPORTFOLIO_ID</t>
  </si>
  <si>
    <t>DT_RFRNC</t>
  </si>
  <si>
    <t>DFLT_STTS_INSTRMNT</t>
  </si>
  <si>
    <t>IMPRMNT_STTS</t>
  </si>
  <si>
    <t>PRFRMNG_STTS</t>
  </si>
  <si>
    <t>TYP_INSTRMNT</t>
  </si>
  <si>
    <t>GRSS_CRRYNG_AMNT_INSTRMNT</t>
  </si>
  <si>
    <t>ACCMLTD_CHNGS_FV_CR_INSTRMNT</t>
  </si>
  <si>
    <t>ACCNTNG_CLSSFCTN</t>
  </si>
  <si>
    <t>OFF_BLNC_SHT_AMNT_INSTRMNT</t>
  </si>
  <si>
    <t>PRVSNS_OFF_BLNC_SHT</t>
  </si>
  <si>
    <t>RWA</t>
  </si>
  <si>
    <t>ACCMLTD_IMPRMNT_INSTRMNT</t>
  </si>
  <si>
    <t>COD_SOC_INTRGRP</t>
  </si>
  <si>
    <t>LCL_INSTMRNT_ID</t>
  </si>
  <si>
    <t>IDCMB</t>
  </si>
  <si>
    <t>CNCLLD_INSTRMNT_STTS</t>
  </si>
  <si>
    <t>INSTRMNT_ID</t>
  </si>
  <si>
    <t>lt004_protection</t>
  </si>
  <si>
    <t>PRTCTN_ID</t>
  </si>
  <si>
    <t>TYP_PRTCTN</t>
  </si>
  <si>
    <t>PRTCTN_VL</t>
  </si>
  <si>
    <t>TYP_VHCL</t>
  </si>
  <si>
    <t>FLG_ELCTRC_VHCL</t>
  </si>
  <si>
    <t>lt006_instr_protection</t>
  </si>
  <si>
    <t>TYP_RLTN</t>
  </si>
  <si>
    <t>lt007_instr_activity</t>
  </si>
  <si>
    <t>PRCNTG_ACTVTY</t>
  </si>
  <si>
    <t>SSTNBL_INDCTR</t>
  </si>
  <si>
    <t>SSTNBL_CTGRY</t>
  </si>
  <si>
    <t>Data Prevista</t>
  </si>
  <si>
    <t>Entrega Neyond</t>
  </si>
  <si>
    <t>Entrega IT</t>
  </si>
  <si>
    <t>Data Real</t>
  </si>
  <si>
    <t>Atraso (em dias)</t>
  </si>
  <si>
    <t># Incidências</t>
  </si>
  <si>
    <t>Package 1</t>
  </si>
  <si>
    <t>Package 2</t>
  </si>
  <si>
    <t>Package 3</t>
  </si>
  <si>
    <t>Package 4</t>
  </si>
  <si>
    <t>Package 5</t>
  </si>
  <si>
    <t>Package 6</t>
  </si>
  <si>
    <t>Package 7</t>
  </si>
  <si>
    <t>Tabela</t>
  </si>
  <si>
    <t>Campo</t>
  </si>
  <si>
    <t>Structural</t>
  </si>
  <si>
    <t>Dt Prevista Correção</t>
  </si>
  <si>
    <t>Re-especificação Neyond</t>
  </si>
  <si>
    <t>Correção IT</t>
  </si>
  <si>
    <t>Green Dashboard</t>
  </si>
  <si>
    <t>Dt c/ Pedido Correção</t>
  </si>
  <si>
    <t>Re-testes</t>
  </si>
  <si>
    <t>UNIVERSO</t>
  </si>
  <si>
    <t>-</t>
  </si>
  <si>
    <t>Tipologia de Teste</t>
  </si>
  <si>
    <t>1. Teste de universo</t>
  </si>
  <si>
    <t>3. Testes comparativos (Espec. VS Impl.)</t>
  </si>
  <si>
    <t>6. Validação de formatos</t>
  </si>
  <si>
    <t>4. Validação de parametrizações</t>
  </si>
  <si>
    <t>5. Teste comparativos com LT</t>
  </si>
  <si>
    <t>Complexidade</t>
  </si>
  <si>
    <t>Alta</t>
  </si>
  <si>
    <t>Média</t>
  </si>
  <si>
    <t>Baixa</t>
  </si>
  <si>
    <t>Horas Estimadas</t>
  </si>
  <si>
    <t>Categoria do Teste</t>
  </si>
  <si>
    <t>Descrição</t>
  </si>
  <si>
    <t>1. Validação de universo de contratos (quando comparado âmbito "CDG" e "PM", e numero de registos)
2. Controlos sobre o desdobramento de chaves nas relações FR-MIS</t>
  </si>
  <si>
    <t xml:space="preserve">A partir da simulação realizada, comparar resultados com a implementação de IT. </t>
  </si>
  <si>
    <t xml:space="preserve">A partir da simulação realizada, comparar com as parametrizações implementadas por IT. </t>
  </si>
  <si>
    <t>Garantir que a informação do campo da LT-ESTR âmbito 'PM' está espelhado no âmbito 'CDG'.</t>
  </si>
  <si>
    <t>Validação de formato de acordo com o que é esperado pela Corporação (incluindo validação de codelists, missing e default values)
Validar especificação e controlos da especificação vs o que está implementado</t>
  </si>
  <si>
    <t>Descrição das tipologias de testes aplicadas:</t>
  </si>
  <si>
    <t>Notas</t>
  </si>
  <si>
    <t>Status Atual</t>
  </si>
  <si>
    <t>Status Anterior</t>
  </si>
  <si>
    <t>Status</t>
  </si>
  <si>
    <t>1. Concluído</t>
  </si>
  <si>
    <t>3. Em Re-especificação</t>
  </si>
  <si>
    <t>4. Em Correção</t>
  </si>
  <si>
    <t>2. Em Teste</t>
  </si>
  <si>
    <t>Campo concluído com sucesso.</t>
  </si>
  <si>
    <t>Campo em teste pela equipa Neyond.</t>
  </si>
  <si>
    <t>Campo em re-especificação pela equipa Neyond.</t>
  </si>
  <si>
    <t>Campo em correção pela equipa IT.</t>
  </si>
  <si>
    <t>5. Em Re-teste</t>
  </si>
  <si>
    <t>Campo em re-teste pela equipa Neyond.</t>
  </si>
  <si>
    <t>6. Por Iniciar</t>
  </si>
  <si>
    <t>Campo não iniciado pela equipa Neyond.</t>
  </si>
  <si>
    <r>
      <rPr>
        <b/>
        <i/>
        <sz val="10"/>
        <color theme="1"/>
        <rFont val="Arial"/>
        <family val="2"/>
      </rPr>
      <t>Status</t>
    </r>
    <r>
      <rPr>
        <b/>
        <sz val="10"/>
        <color theme="1"/>
        <rFont val="Arial"/>
        <family val="2"/>
      </rPr>
      <t xml:space="preserve"> para Testes/Re-Testes</t>
    </r>
  </si>
  <si>
    <t>ID</t>
  </si>
  <si>
    <t>Atividade</t>
  </si>
  <si>
    <t>Owner</t>
  </si>
  <si>
    <t>Tempo Previsto</t>
  </si>
  <si>
    <t>Horas</t>
  </si>
  <si>
    <t>Dias</t>
  </si>
  <si>
    <t>Tempo Real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</si>
  <si>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</si>
  <si>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</si>
  <si>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</si>
  <si>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</si>
  <si>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</si>
  <si>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</si>
  <si>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</si>
  <si>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</si>
  <si>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</si>
  <si>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0.</t>
  </si>
  <si>
    <t>Gestão</t>
  </si>
  <si>
    <t>1.</t>
  </si>
  <si>
    <t>0.1</t>
  </si>
  <si>
    <t>Reuniões de PdS</t>
  </si>
  <si>
    <t>Neyond/CdG/IT</t>
  </si>
  <si>
    <t>Testes - Entrega 1</t>
  </si>
  <si>
    <t>1.1</t>
  </si>
  <si>
    <t>1.2</t>
  </si>
  <si>
    <t>1.3</t>
  </si>
  <si>
    <t>1.5</t>
  </si>
  <si>
    <t>1.6</t>
  </si>
  <si>
    <t>1.7</t>
  </si>
  <si>
    <t>1.8</t>
  </si>
  <si>
    <t>1.9</t>
  </si>
  <si>
    <t>1.10</t>
  </si>
  <si>
    <t>1.11</t>
  </si>
  <si>
    <t>1.12</t>
  </si>
  <si>
    <t>1.13</t>
  </si>
  <si>
    <t>FTE's</t>
  </si>
  <si>
    <t>SUM(FTE's)</t>
  </si>
  <si>
    <t>VAL</t>
  </si>
  <si>
    <t>2.</t>
  </si>
  <si>
    <t>Testes - Entrega 2</t>
  </si>
  <si>
    <t>2.11</t>
  </si>
  <si>
    <t>2.12</t>
  </si>
  <si>
    <t>2.13</t>
  </si>
  <si>
    <t>2.1</t>
  </si>
  <si>
    <t>2.2</t>
  </si>
  <si>
    <t>2.3</t>
  </si>
  <si>
    <t>2.4</t>
  </si>
  <si>
    <t>2.5</t>
  </si>
  <si>
    <t>2.6</t>
  </si>
  <si>
    <t>2.7</t>
  </si>
  <si>
    <t>2.8</t>
  </si>
  <si>
    <t>2.9</t>
  </si>
  <si>
    <t>2.10</t>
  </si>
  <si>
    <t>2.14</t>
  </si>
  <si>
    <t>3.</t>
  </si>
  <si>
    <t>Testes - Entrega 3</t>
  </si>
  <si>
    <t>3.1</t>
  </si>
  <si>
    <t>3.2</t>
  </si>
  <si>
    <t>3.4</t>
  </si>
  <si>
    <t>3.3</t>
  </si>
  <si>
    <t>3.5</t>
  </si>
  <si>
    <t>5.5</t>
  </si>
  <si>
    <t>3.6</t>
  </si>
  <si>
    <t>5.6</t>
  </si>
  <si>
    <t>3.7</t>
  </si>
  <si>
    <t>5.7</t>
  </si>
  <si>
    <t>3.8</t>
  </si>
  <si>
    <t>3.9</t>
  </si>
  <si>
    <t>3.10</t>
  </si>
  <si>
    <t>3.11</t>
  </si>
  <si>
    <t>3.12</t>
  </si>
  <si>
    <t>4.</t>
  </si>
  <si>
    <t>Testes - Entrega 4</t>
  </si>
  <si>
    <t>4.1</t>
  </si>
  <si>
    <t>4.2</t>
  </si>
  <si>
    <t>4.3</t>
  </si>
  <si>
    <t>4.4</t>
  </si>
  <si>
    <t>4.5</t>
  </si>
  <si>
    <t>4.6</t>
  </si>
  <si>
    <t>4.7</t>
  </si>
  <si>
    <t>4.8</t>
  </si>
  <si>
    <t>4.9</t>
  </si>
  <si>
    <t>4.10</t>
  </si>
  <si>
    <t>4.11</t>
  </si>
  <si>
    <t>4.12</t>
  </si>
  <si>
    <t>4.13</t>
  </si>
  <si>
    <t>4.14</t>
  </si>
  <si>
    <t>4.15</t>
  </si>
  <si>
    <t>4.16</t>
  </si>
  <si>
    <t>4.17</t>
  </si>
  <si>
    <t>4.18</t>
  </si>
  <si>
    <t>4.19</t>
  </si>
  <si>
    <t>4.20</t>
  </si>
  <si>
    <t>4.21</t>
  </si>
  <si>
    <t>4.22</t>
  </si>
  <si>
    <t>4.23</t>
  </si>
  <si>
    <t>4.24</t>
  </si>
  <si>
    <t>4.25</t>
  </si>
  <si>
    <t>4.26</t>
  </si>
  <si>
    <t>5.</t>
  </si>
  <si>
    <t>Testes - Entrega 5</t>
  </si>
  <si>
    <t>5.1</t>
  </si>
  <si>
    <t>5.2</t>
  </si>
  <si>
    <t>5.3</t>
  </si>
  <si>
    <t>5.4</t>
  </si>
  <si>
    <t>5.8</t>
  </si>
  <si>
    <t>Neyond</t>
  </si>
  <si>
    <t>0.2</t>
  </si>
  <si>
    <t>SetUp</t>
  </si>
  <si>
    <t>Val</t>
  </si>
  <si>
    <t>6.</t>
  </si>
  <si>
    <t>Re-Testes</t>
  </si>
  <si>
    <t>6.1</t>
  </si>
  <si>
    <t>Re-Testes às correções efetuadas</t>
  </si>
  <si>
    <t>7.</t>
  </si>
  <si>
    <t>Documentação</t>
  </si>
  <si>
    <t>7.1</t>
  </si>
  <si>
    <t>Atualização do documento de especificação</t>
  </si>
  <si>
    <t>♦</t>
  </si>
  <si>
    <t>Previsto</t>
  </si>
  <si>
    <t>Real</t>
  </si>
  <si>
    <t>Desvio (%)</t>
  </si>
  <si>
    <t>Legenda:</t>
  </si>
  <si>
    <t>Entregas da equipa de IT</t>
  </si>
  <si>
    <t>Tempo estimado para a realização da atividade</t>
  </si>
  <si>
    <t>Reuniões de PdS com cliente</t>
  </si>
  <si>
    <t>Feriados</t>
  </si>
  <si>
    <t>Fins-de-semana</t>
  </si>
  <si>
    <t>sai</t>
  </si>
  <si>
    <t>12/mai a 15/mai</t>
  </si>
  <si>
    <t>16/mai a 22/mai</t>
  </si>
  <si>
    <t>23/mai a 29/mai</t>
  </si>
  <si>
    <t>30/mai a 05/jun</t>
  </si>
  <si>
    <t>06/jun a 13/jun</t>
  </si>
  <si>
    <t>16/jun a 20/jun</t>
  </si>
  <si>
    <t>23/jun a 26/jun</t>
  </si>
  <si>
    <t>27/jun a 03/jul</t>
  </si>
  <si>
    <t>04/jul a 11/jul</t>
  </si>
  <si>
    <t>Tracking da evolução do # incidências (Data das entregas de IT)</t>
  </si>
  <si>
    <t>Resumo</t>
  </si>
  <si>
    <t>Highlights</t>
  </si>
  <si>
    <t>Total</t>
  </si>
  <si>
    <t>1. LT002_INSTRUMENT</t>
  </si>
  <si>
    <t>Row Labels</t>
  </si>
  <si>
    <t>Count of Status Atual</t>
  </si>
  <si>
    <t>2. LT004_PROTECTION</t>
  </si>
  <si>
    <t>ok</t>
  </si>
  <si>
    <r>
      <t>Status</t>
    </r>
    <r>
      <rPr>
        <b/>
        <sz val="10"/>
        <color theme="1"/>
        <rFont val="Arial"/>
        <family val="2"/>
      </rPr>
      <t xml:space="preserve"> (Campos)</t>
    </r>
  </si>
  <si>
    <r>
      <t>Status</t>
    </r>
    <r>
      <rPr>
        <b/>
        <sz val="10"/>
        <color theme="1"/>
        <rFont val="Arial"/>
        <family val="2"/>
      </rPr>
      <t xml:space="preserve"> (Universo)</t>
    </r>
  </si>
  <si>
    <r>
      <t xml:space="preserve">Status </t>
    </r>
    <r>
      <rPr>
        <b/>
        <sz val="10"/>
        <color theme="1"/>
        <rFont val="Arial"/>
        <family val="2"/>
      </rPr>
      <t>(Campos)</t>
    </r>
  </si>
  <si>
    <t>7. Por Entregar</t>
  </si>
  <si>
    <t>Campo ainda não entregue para testes por parte da equipa de IT.</t>
  </si>
  <si>
    <t>(Multiple Items)</t>
  </si>
  <si>
    <t>«</t>
  </si>
  <si>
    <t>Sim</t>
  </si>
  <si>
    <t>IT estava calcular mal a ponderação quando o msaldo_final é zero (20/mai: "Já estivemos a validar e parece-nos um erro na forma como tínhamos interpretado a especificação das ponderações, quando o saldo final das chaves FR é zero estávamos a dividir sempre 1 pelo número de chaves, em vez do kpm em si, vamos corrigir")</t>
  </si>
  <si>
    <t>Necessário incluir na especificação o minimo da dinioper por chave FINREP</t>
  </si>
  <si>
    <t>∆</t>
  </si>
  <si>
    <t>Planeado</t>
  </si>
  <si>
    <t>Tema</t>
  </si>
  <si>
    <t>Descritivo</t>
  </si>
  <si>
    <t>Done</t>
  </si>
  <si>
    <t>Resumo das entregas da equipa de IT</t>
  </si>
  <si>
    <t>Concat</t>
  </si>
  <si>
    <t>Foi também realizado um teste vs a nossa simulação</t>
  </si>
  <si>
    <t/>
  </si>
  <si>
    <t>Necessário Simular?</t>
  </si>
  <si>
    <t>Tipo de teste</t>
  </si>
  <si>
    <t>Comum PM + Cancelados</t>
  </si>
  <si>
    <t>Simulação vs IT</t>
  </si>
  <si>
    <t>Não</t>
  </si>
  <si>
    <t>Validação que IT tem sempre o mesmo valor para este campo de acordo com o que está na especificação</t>
  </si>
  <si>
    <t>Foi apenas realizada a comparação vs Pilar3</t>
  </si>
  <si>
    <t>REVER FORMULA</t>
  </si>
  <si>
    <t>3. LT006_INSTR_PROTECTION</t>
  </si>
  <si>
    <t>4. LT007_INSTR_ACTIVITY</t>
  </si>
  <si>
    <r>
      <rPr>
        <b/>
        <i/>
        <u/>
        <sz val="10"/>
        <rFont val="Arial"/>
        <family val="2"/>
      </rPr>
      <t>Tracking</t>
    </r>
    <r>
      <rPr>
        <b/>
        <u/>
        <sz val="10"/>
        <rFont val="Arial"/>
        <family val="2"/>
      </rPr>
      <t xml:space="preserve"> das incidências detetadas e correções efetuadas pela equipa de IT</t>
    </r>
  </si>
  <si>
    <t>Campos provenientes de rentabilidade</t>
  </si>
  <si>
    <t>Campos "_CCRR"</t>
  </si>
  <si>
    <t>Comunicado</t>
  </si>
  <si>
    <t>Universo</t>
  </si>
  <si>
    <t>Em correção</t>
  </si>
  <si>
    <t>Status Neyond</t>
  </si>
  <si>
    <t>Status IT</t>
  </si>
  <si>
    <t>N/A</t>
  </si>
  <si>
    <t>O campo não foi entregue na data prevista</t>
  </si>
  <si>
    <t>Univ Cancelados: validar que IT colocou sempre a 0
Univ Comum PM: validar para todos os contratos que o valor é o mesmo entre âmbito PM e GD</t>
  </si>
  <si>
    <t>Univ Cancelados: validar que IT colocou o valor de default estipulado pela Corporação
Univ Comum PM: validar para todos os contratos que o valor é o mesmo entre âmbito PM e GD</t>
  </si>
  <si>
    <t>Garantir que a data de referência diz respeito à data para que estamos a testar</t>
  </si>
  <si>
    <t>Cancelados</t>
  </si>
  <si>
    <t>Univ Cancelados: comparar a nossa simulação com a execução de IT
Univ Comum PM: validar para todos os contratos que o valor é o mesmo entre âmbito PM e GD</t>
  </si>
  <si>
    <t>Universo a simular</t>
  </si>
  <si>
    <t>Valor Expectável</t>
  </si>
  <si>
    <t>00000</t>
  </si>
  <si>
    <t>Univ Cancelados: 11111111111</t>
  </si>
  <si>
    <t>Para o universo de contratos cancelados obter o typ_off_blnc _prdct para a última data que o contrato apareceu na fr001 (garantir que a data é a mesma para os vários campos em que se aplica esta metodologia)</t>
  </si>
  <si>
    <t>Para o universo de contratos cancelados obter o subportfolio_id para a última data que o contrato apareceu na fr001 (garantir que a data é a mesma para os vários campos em que se aplica esta metodologia)</t>
  </si>
  <si>
    <t>Para o universo de contratos cancelados obter o dflt_stts_instrmnt para a última data que o contrato apareceu na fr001 (garantir que a data é a mesma para os vários campos em que se aplica esta metodologia)</t>
  </si>
  <si>
    <t>Para o universo de contratos cancelados obter o typ_instrmnt para a última data que o contrato apareceu na fr001 (garantir que a data é a mesma para os vários campos em que se aplica esta metodologia)</t>
  </si>
  <si>
    <t>Para o universo de contratos cancelados obter o accntng_clssfctn para a última data que o contrato apareceu na fr001 (garantir que a data é a mesma para os vários campos em que se aplica esta metodologia)</t>
  </si>
  <si>
    <t>Para o universo de contratos cancelados obter o cod_soc_intrgrp para a última data que o contrato apareceu na fr001 (garantir que a data é a mesma para os vários campos em que se aplica esta metodologia)</t>
  </si>
  <si>
    <t>(ver regras word especificação + Diogo)</t>
  </si>
  <si>
    <t>Igual ao instrmnt_id</t>
  </si>
  <si>
    <t>Universo igual a Pilar 3</t>
  </si>
  <si>
    <t>Validar simulação vs execução IT
Validar execução IT GD vs Pilar 3</t>
  </si>
  <si>
    <t>Validar simulação vs execução IT</t>
  </si>
  <si>
    <t>Validar execução IT GD vs Pilar 3</t>
  </si>
  <si>
    <t>Âmbitos aplicáveis</t>
  </si>
  <si>
    <t>00411</t>
  </si>
  <si>
    <t>Garantir que todos os contratos apresentam o mesmo código na execução de IT (00411)</t>
  </si>
  <si>
    <t>Univ Cancelados: 0</t>
  </si>
  <si>
    <t>Identificação de contratos exclusivos entre a simulação da equipa de testes e a execução de IT</t>
  </si>
  <si>
    <t>Re-especificado</t>
  </si>
  <si>
    <t>Erro na forma como estava a ser aplicada a ponderação aos kpm para obtenção do valor em termos de chave FinRep (13 campos afetados)</t>
  </si>
  <si>
    <t>Entegue</t>
  </si>
  <si>
    <t>Será entregue dia 2/jun</t>
  </si>
  <si>
    <t>Grupo 1</t>
  </si>
  <si>
    <t>Grupo 1:</t>
  </si>
  <si>
    <t>preencher com zero os cancelaods</t>
  </si>
  <si>
    <t>validar execução IT GD vs PM</t>
  </si>
  <si>
    <t>Universo Comum PM</t>
  </si>
  <si>
    <t>Universo Cancelados</t>
  </si>
  <si>
    <t>Grupo 2</t>
  </si>
  <si>
    <t>Grupo 2:</t>
  </si>
  <si>
    <t>preencher com valor de default</t>
  </si>
  <si>
    <t>Grupo 3</t>
  </si>
  <si>
    <t>Grupo 4</t>
  </si>
  <si>
    <t>Grupo 4:</t>
  </si>
  <si>
    <t>preencher com o valor para a última data que aparece na fr001</t>
  </si>
  <si>
    <t>Grupo 3:</t>
  </si>
  <si>
    <t>Grupo 5</t>
  </si>
  <si>
    <t>preencher com o 00411</t>
  </si>
  <si>
    <t>Foi enviada uma nova especificação</t>
  </si>
  <si>
    <t>Em teste</t>
  </si>
  <si>
    <t>Por iniciar</t>
  </si>
  <si>
    <t>Com incidências</t>
  </si>
  <si>
    <t>Ok</t>
  </si>
  <si>
    <t>ver especificação com o Diogo</t>
  </si>
  <si>
    <t>Ok, para o universo comum</t>
  </si>
  <si>
    <t>Duplicação de linhas na tabela</t>
  </si>
  <si>
    <r>
      <t xml:space="preserve">Incorreta aplicação de </t>
    </r>
    <r>
      <rPr>
        <i/>
        <sz val="10"/>
        <rFont val="Arial"/>
        <family val="2"/>
      </rPr>
      <t>defaults</t>
    </r>
  </si>
  <si>
    <t>Preenchimento incorreto do campo. Encontra-se preenchido com 'N' e 'Miss'. Apenas o 'N' era admissível</t>
  </si>
  <si>
    <r>
      <t xml:space="preserve">Preenchimento com os valores </t>
    </r>
    <r>
      <rPr>
        <i/>
        <sz val="10"/>
        <rFont val="Arial"/>
        <family val="2"/>
      </rPr>
      <t>default</t>
    </r>
    <r>
      <rPr>
        <sz val="10"/>
        <rFont val="Arial"/>
        <family val="2"/>
      </rPr>
      <t xml:space="preserve"> para os campos com o sufixo '_CCRR'</t>
    </r>
  </si>
  <si>
    <t>Flg_intrbsnss</t>
  </si>
  <si>
    <t>Flg_elctrc_vhcl</t>
  </si>
  <si>
    <t>Preenchimento duplicado de grande parte do universo da tabela - Afeta 12 campos</t>
  </si>
  <si>
    <r>
      <t>Preenchimento incorreto para as linhas onde se aplica o '</t>
    </r>
    <r>
      <rPr>
        <i/>
        <sz val="10"/>
        <rFont val="Arial"/>
        <family val="2"/>
      </rPr>
      <t>Default Value</t>
    </r>
    <r>
      <rPr>
        <sz val="10"/>
        <rFont val="Arial"/>
        <family val="2"/>
      </rPr>
      <t>' e o '</t>
    </r>
    <r>
      <rPr>
        <i/>
        <sz val="10"/>
        <rFont val="Arial"/>
        <family val="2"/>
      </rPr>
      <t xml:space="preserve">Non Applicable Value' </t>
    </r>
    <r>
      <rPr>
        <sz val="10"/>
        <rFont val="Arial"/>
        <family val="2"/>
      </rPr>
      <t>- Afeta 12 campos</t>
    </r>
  </si>
  <si>
    <t>18/jun e 26/jun</t>
  </si>
  <si>
    <t>em correção</t>
  </si>
  <si>
    <t>Total campos</t>
  </si>
  <si>
    <t>Entregas IT</t>
  </si>
  <si>
    <t>Campos em correção</t>
  </si>
  <si>
    <t>Testados</t>
  </si>
  <si>
    <t>Concluidos</t>
  </si>
  <si>
    <r>
      <rPr>
        <vertAlign val="superscript"/>
        <sz val="8"/>
        <rFont val="Arial"/>
        <family val="2"/>
      </rPr>
      <t xml:space="preserve">1 </t>
    </r>
    <r>
      <rPr>
        <sz val="8"/>
        <rFont val="Arial"/>
        <family val="2"/>
      </rPr>
      <t xml:space="preserve">Inclui os campos classificados com o </t>
    </r>
    <r>
      <rPr>
        <i/>
        <sz val="8"/>
        <rFont val="Arial"/>
        <family val="2"/>
      </rPr>
      <t>status</t>
    </r>
    <r>
      <rPr>
        <sz val="8"/>
        <rFont val="Arial"/>
        <family val="2"/>
      </rPr>
      <t xml:space="preserve"> "1. Concluído" e "4. Em Correção".</t>
    </r>
  </si>
  <si>
    <r>
      <rPr>
        <vertAlign val="superscript"/>
        <sz val="8"/>
        <rFont val="Arial"/>
        <family val="2"/>
      </rPr>
      <t xml:space="preserve">2 </t>
    </r>
    <r>
      <rPr>
        <sz val="8"/>
        <rFont val="Arial"/>
        <family val="2"/>
      </rPr>
      <t xml:space="preserve">Inclui os campos classificados com o </t>
    </r>
    <r>
      <rPr>
        <i/>
        <sz val="8"/>
        <rFont val="Arial"/>
        <family val="2"/>
      </rPr>
      <t>status</t>
    </r>
    <r>
      <rPr>
        <sz val="8"/>
        <rFont val="Arial"/>
        <family val="2"/>
      </rPr>
      <t xml:space="preserve"> "1. Concluído".</t>
    </r>
  </si>
  <si>
    <t>Os registos cancelados estão corretos, os restantos deviam estar com 11111111111 e estão com NULL</t>
  </si>
  <si>
    <t>Preenchimento de campos</t>
  </si>
  <si>
    <r>
      <t xml:space="preserve">Preenchimento incorreto dos campos </t>
    </r>
    <r>
      <rPr>
        <i/>
        <sz val="10"/>
        <rFont val="Arial"/>
        <family val="2"/>
      </rPr>
      <t>prtctn_vl</t>
    </r>
    <r>
      <rPr>
        <sz val="10"/>
        <rFont val="Arial"/>
        <family val="2"/>
      </rPr>
      <t xml:space="preserve"> e </t>
    </r>
    <r>
      <rPr>
        <i/>
        <sz val="10"/>
        <rFont val="Arial"/>
        <family val="2"/>
      </rPr>
      <t>flg_elctrcl_vhcl.</t>
    </r>
  </si>
  <si>
    <r>
      <t xml:space="preserve">Preenchimento incorreto do campo </t>
    </r>
    <r>
      <rPr>
        <i/>
        <sz val="10"/>
        <rFont val="Arial"/>
        <family val="2"/>
      </rPr>
      <t>typ_rltn.</t>
    </r>
  </si>
  <si>
    <t>Diferenças detetadas entre o universo GD e o universo Pilar3.</t>
  </si>
  <si>
    <t>Diferenças detetadas entre o preenchimento dos campos para o âmbito GD e Pilar3.</t>
  </si>
  <si>
    <t>Dt c/ Novo Pedido Correção</t>
  </si>
  <si>
    <t>Diferenças detetadas entre a simulação da equipa de testes e a execução de IT para os campos typ_off_blnc_prdct, subportfolio_id, dflt_stts_instrmnt, typ_instrmnt, accntng_clssfctn, nw_bsnss, grss_intrst_incm, intrnl_trnsfr_rt.</t>
  </si>
  <si>
    <t>Em Re-teste</t>
  </si>
  <si>
    <t>x</t>
  </si>
  <si>
    <t>Comentários</t>
  </si>
  <si>
    <t>Já foi disponibilizado no âmbito Pilar2, por isso já pode ser testado.</t>
  </si>
  <si>
    <t>TBD</t>
  </si>
  <si>
    <r>
      <t xml:space="preserve">Relativamente à tabela </t>
    </r>
    <r>
      <rPr>
        <i/>
        <sz val="10"/>
        <rFont val="Arial"/>
        <family val="2"/>
      </rPr>
      <t>lt006_protection</t>
    </r>
    <r>
      <rPr>
        <sz val="10"/>
        <rFont val="Arial"/>
        <family val="2"/>
      </rPr>
      <t xml:space="preserve">, foram efetuadas as seguintes validações: 
    • Simulação equipa de testes vs Execução IT
    • Execução IT GD vs Execução IT Pilar 3
Existe coerência entre a informação reportado em âmbito GD assim como em Pilar 3.
Encontra-se para re-teste o o campo </t>
    </r>
    <r>
      <rPr>
        <i/>
        <sz val="10"/>
        <rFont val="Arial"/>
        <family val="2"/>
      </rPr>
      <t>typ_rltn</t>
    </r>
    <r>
      <rPr>
        <sz val="10"/>
        <rFont val="Arial"/>
        <family val="2"/>
      </rPr>
      <t>.</t>
    </r>
  </si>
  <si>
    <r>
      <t xml:space="preserve">Relativamente à tabela </t>
    </r>
    <r>
      <rPr>
        <i/>
        <sz val="10"/>
        <rFont val="Arial"/>
        <family val="2"/>
      </rPr>
      <t>lt007_instr_activity</t>
    </r>
    <r>
      <rPr>
        <sz val="10"/>
        <rFont val="Arial"/>
        <family val="2"/>
      </rPr>
      <t>, foram efetuadas as seguintes validações: 
    • Execução IT GD vs Execução IT Pilar 3</t>
    </r>
  </si>
  <si>
    <t>Dts Anteriores</t>
  </si>
  <si>
    <t>OK</t>
  </si>
  <si>
    <t>NOK</t>
  </si>
  <si>
    <t>Enviadas incidências no dia 15/jul</t>
  </si>
  <si>
    <t>60 NOK devido a diferenças na BA</t>
  </si>
  <si>
    <t>nok</t>
  </si>
  <si>
    <t>ok para univ comum</t>
  </si>
  <si>
    <t>Tem várias incidências</t>
  </si>
  <si>
    <t>10 NOK</t>
  </si>
  <si>
    <t>Ainda não foi entregue</t>
  </si>
  <si>
    <t>Pendente de outras areas</t>
  </si>
  <si>
    <t xml:space="preserve">8. Pendente </t>
  </si>
  <si>
    <t>Campo pendente de correções em outros âmbitos</t>
  </si>
  <si>
    <t>Pendente</t>
  </si>
  <si>
    <t>Sumário Executivo | 11/jul a 17/jul</t>
  </si>
  <si>
    <r>
      <rPr>
        <b/>
        <sz val="10"/>
        <rFont val="Arial"/>
        <family val="2"/>
      </rPr>
      <t>1.</t>
    </r>
    <r>
      <rPr>
        <sz val="10"/>
        <rFont val="Arial"/>
        <family val="2"/>
      </rPr>
      <t xml:space="preserve"> Encontram-se 3 campos em correção do lado da equipa de IT assim como o universo da tabela </t>
    </r>
    <r>
      <rPr>
        <i/>
        <sz val="10"/>
        <rFont val="Arial"/>
        <family val="2"/>
      </rPr>
      <t>lt002_instrument.</t>
    </r>
    <r>
      <rPr>
        <sz val="10"/>
        <rFont val="Arial"/>
        <family val="2"/>
      </rPr>
      <t xml:space="preserve">
</t>
    </r>
    <r>
      <rPr>
        <b/>
        <sz val="10"/>
        <rFont val="Arial"/>
        <family val="2"/>
      </rPr>
      <t>2.</t>
    </r>
    <r>
      <rPr>
        <sz val="10"/>
        <rFont val="Arial"/>
        <family val="2"/>
      </rPr>
      <t xml:space="preserve"> O foco da equipa de testes durante a última semana foi:
    • Ajustar a simulação para a data de referência de junho/2025.    
</t>
    </r>
    <r>
      <rPr>
        <i/>
        <sz val="10"/>
        <rFont val="Arial"/>
        <family val="2"/>
      </rPr>
      <t xml:space="preserve">    •</t>
    </r>
    <r>
      <rPr>
        <sz val="10"/>
        <rFont val="Arial"/>
        <family val="2"/>
      </rPr>
      <t xml:space="preserve"> Validação das correções efetuadas pela equipa de IT referentes às entregas dos dias 11 e 16 de julho.</t>
    </r>
  </si>
  <si>
    <t>em análise</t>
  </si>
  <si>
    <t xml:space="preserve">Dos 51 campos entregues por IT, encontram-se 3 em correção e 17 para re-teste.
</t>
  </si>
  <si>
    <r>
      <t xml:space="preserve">Relativamente à tabela </t>
    </r>
    <r>
      <rPr>
        <i/>
        <sz val="10"/>
        <rFont val="Arial"/>
        <family val="2"/>
      </rPr>
      <t>lt004_protection</t>
    </r>
    <r>
      <rPr>
        <sz val="10"/>
        <rFont val="Arial"/>
        <family val="2"/>
      </rPr>
      <t xml:space="preserve">, foram efetuadas as seguintes validações: 
    • Simulação equipa de testes vs Execução IT
    • Execução IT GD vs Execução IT Pilar 3
Encontram-se em re-teste os campos </t>
    </r>
    <r>
      <rPr>
        <i/>
        <sz val="10"/>
        <rFont val="Arial"/>
        <family val="2"/>
      </rPr>
      <t>prtctn_vl</t>
    </r>
    <r>
      <rPr>
        <sz val="10"/>
        <rFont val="Arial"/>
        <family val="2"/>
      </rPr>
      <t xml:space="preserve"> e </t>
    </r>
    <r>
      <rPr>
        <i/>
        <sz val="10"/>
        <rFont val="Arial"/>
        <family val="2"/>
      </rPr>
      <t>flg_elctrcl_vhcl.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</si>
</sst>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4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0"/>
      <name val="Arial"/>
      <family val="2"/>
    </font>
    <font>
      <b/>
      <sz val="10"/>
      <name val="Arial"/>
      <family val="2"/>
    </font>
    <font>
      <b/>
      <i/>
      <sz val="10"/>
      <color theme="1"/>
      <name val="Arial"/>
      <family val="2"/>
    </font>
    <font>
      <b/>
      <i/>
      <sz val="10"/>
      <color theme="0"/>
      <name val="Arial"/>
      <family val="2"/>
    </font>
    <font>
      <sz val="8"/>
      <name val="Aptos Narrow"/>
      <family val="2"/>
      <scheme val="minor"/>
    </font>
    <font>
      <sz val="9"/>
      <color theme="1"/>
      <name val="Arial"/>
      <family val="2"/>
    </font>
    <font>
      <sz val="8"/>
      <color theme="1"/>
      <name val="Arial"/>
      <family val="2"/>
    </font>
    <font>
      <b/>
      <sz val="9"/>
      <color rgb="FFFFC000"/>
      <name val="Muli Light"/>
    </font>
    <font>
      <sz val="9"/>
      <color rgb="FFFFC000"/>
      <name val="Arial"/>
      <family val="2"/>
    </font>
    <font>
      <sz val="11"/>
      <color theme="3"/>
      <name val="Arial"/>
      <family val="2"/>
    </font>
    <font>
      <sz val="1"/>
      <color theme="0" tint="-0.14999847407452621"/>
      <name val="Arial"/>
      <family val="2"/>
    </font>
    <font>
      <b/>
      <u/>
      <sz val="10"/>
      <color theme="1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sz val="16"/>
      <color theme="1"/>
      <name val="Arial"/>
      <family val="2"/>
    </font>
    <font>
      <b/>
      <i/>
      <u/>
      <sz val="10"/>
      <color theme="1"/>
      <name val="Arial"/>
      <family val="2"/>
    </font>
    <font>
      <i/>
      <sz val="10"/>
      <name val="Arial"/>
      <family val="2"/>
    </font>
    <font>
      <b/>
      <sz val="11"/>
      <name val="Arial"/>
      <family val="2"/>
    </font>
    <font>
      <b/>
      <sz val="11"/>
      <color rgb="FFFF0000"/>
      <name val="Arial"/>
      <family val="2"/>
    </font>
    <font>
      <i/>
      <sz val="11"/>
      <color theme="1"/>
      <name val="Arial"/>
      <family val="2"/>
    </font>
    <font>
      <b/>
      <sz val="11"/>
      <color rgb="FFFFC000"/>
      <name val="Arial"/>
      <family val="2"/>
    </font>
    <font>
      <i/>
      <sz val="10"/>
      <color theme="1"/>
      <name val="Arial"/>
      <family val="2"/>
    </font>
    <font>
      <b/>
      <sz val="10"/>
      <color rgb="FF92D050"/>
      <name val="Arial"/>
      <family val="2"/>
    </font>
    <font>
      <b/>
      <sz val="9"/>
      <color rgb="FFFF0000"/>
      <name val="Wingdings"/>
      <charset val="2"/>
    </font>
    <font>
      <sz val="10"/>
      <color rgb="FF00B050"/>
      <name val="Arial"/>
      <family val="2"/>
    </font>
    <font>
      <b/>
      <u/>
      <sz val="10"/>
      <name val="Arial"/>
      <family val="2"/>
    </font>
    <font>
      <b/>
      <i/>
      <u/>
      <sz val="10"/>
      <name val="Arial"/>
      <family val="2"/>
    </font>
    <font>
      <b/>
      <sz val="10"/>
      <color rgb="FFFF0000"/>
      <name val="Arial"/>
      <family val="2"/>
    </font>
    <font>
      <sz val="10"/>
      <color theme="1"/>
      <name val="Arial"/>
      <family val="2"/>
    </font>
    <font>
      <sz val="10"/>
      <color theme="5"/>
      <name val="Arial"/>
      <family val="2"/>
    </font>
    <font>
      <b/>
      <i/>
      <sz val="10"/>
      <name val="Arial"/>
      <family val="2"/>
    </font>
    <font>
      <sz val="10"/>
      <color rgb="FF00B050"/>
      <name val="Arial"/>
      <family val="2"/>
    </font>
    <font>
      <b/>
      <sz val="11"/>
      <color theme="1"/>
      <name val="Aptos Narrow"/>
      <family val="2"/>
      <scheme val="minor"/>
    </font>
    <font>
      <sz val="8"/>
      <name val="Arial"/>
      <family val="2"/>
    </font>
    <font>
      <vertAlign val="superscript"/>
      <sz val="8"/>
      <name val="Arial"/>
      <family val="2"/>
    </font>
    <font>
      <i/>
      <sz val="8"/>
      <name val="Arial"/>
      <family val="2"/>
    </font>
    <font>
      <sz val="10"/>
      <color rgb="FFEE0000"/>
      <name val="Arial"/>
      <family val="2"/>
    </font>
    <font>
      <b/>
      <sz val="10"/>
      <color rgb="FFFFC000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DDDD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62B967"/>
        <bgColor indexed="64"/>
      </patternFill>
    </fill>
    <fill>
      <patternFill patternType="solid">
        <fgColor rgb="FFFFE084"/>
        <bgColor indexed="64"/>
      </patternFill>
    </fill>
    <fill>
      <patternFill patternType="solid">
        <fgColor rgb="FFE6AC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13868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4D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93366"/>
        <bgColor indexed="64"/>
      </patternFill>
    </fill>
    <fill>
      <patternFill patternType="solid">
        <fgColor rgb="FF92D050"/>
        <bgColor indexed="64"/>
      </patternFill>
    </fill>
  </fills>
  <borders count="69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/>
      </left>
      <right style="thin">
        <color theme="0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/>
      </left>
      <right style="hair">
        <color theme="0"/>
      </right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/>
      </left>
      <right style="hair">
        <color theme="0"/>
      </right>
      <top/>
      <bottom style="hair">
        <color theme="0" tint="-0.34998626667073579"/>
      </bottom>
      <diagonal/>
    </border>
    <border>
      <left style="hair">
        <color theme="0"/>
      </left>
      <right style="hair">
        <color theme="0"/>
      </right>
      <top/>
      <bottom/>
      <diagonal/>
    </border>
    <border>
      <left style="hair">
        <color theme="0"/>
      </left>
      <right style="hair">
        <color theme="0"/>
      </right>
      <top style="hair">
        <color theme="0" tint="-0.34998626667073579"/>
      </top>
      <bottom/>
      <diagonal/>
    </border>
    <border>
      <left style="hair">
        <color theme="0"/>
      </left>
      <right/>
      <top/>
      <bottom style="hair">
        <color theme="0" tint="-0.34998626667073579"/>
      </bottom>
      <diagonal/>
    </border>
    <border>
      <left style="hair">
        <color theme="0"/>
      </left>
      <right/>
      <top style="hair">
        <color theme="0" tint="-0.34998626667073579"/>
      </top>
      <bottom style="hair">
        <color theme="0" tint="-0.34998626667073579"/>
      </bottom>
      <diagonal/>
    </border>
    <border>
      <left/>
      <right/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/>
      <top style="hair">
        <color theme="0" tint="-0.34998626667073579"/>
      </top>
      <bottom style="hair">
        <color theme="0" tint="-0.34998626667073579"/>
      </bottom>
      <diagonal/>
    </border>
    <border>
      <left/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/>
      <top/>
      <bottom/>
      <diagonal/>
    </border>
    <border>
      <left/>
      <right style="hair">
        <color theme="0" tint="-0.34998626667073579"/>
      </right>
      <top/>
      <bottom/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/>
      <diagonal/>
    </border>
    <border>
      <left style="hair">
        <color theme="0" tint="-0.34998626667073579"/>
      </left>
      <right style="hair">
        <color theme="0" tint="-0.34998626667073579"/>
      </right>
      <top/>
      <bottom/>
      <diagonal/>
    </border>
    <border>
      <left/>
      <right/>
      <top style="medium">
        <color theme="0"/>
      </top>
      <bottom style="hair">
        <color theme="0" tint="-0.34998626667073579"/>
      </bottom>
      <diagonal/>
    </border>
    <border>
      <left style="hair">
        <color theme="0"/>
      </left>
      <right/>
      <top/>
      <bottom/>
      <diagonal/>
    </border>
    <border>
      <left style="hair">
        <color theme="0"/>
      </left>
      <right/>
      <top style="hair">
        <color theme="0" tint="-0.34998626667073579"/>
      </top>
      <bottom/>
      <diagonal/>
    </border>
    <border>
      <left/>
      <right/>
      <top style="medium">
        <color theme="0"/>
      </top>
      <bottom style="medium">
        <color theme="0"/>
      </bottom>
      <diagonal/>
    </border>
    <border>
      <left style="hair">
        <color theme="0" tint="-0.34998626667073579"/>
      </left>
      <right style="thin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/>
      <right style="thin">
        <color theme="0" tint="-0.34998626667073579"/>
      </right>
      <top/>
      <bottom/>
      <diagonal/>
    </border>
    <border>
      <left/>
      <right style="thin">
        <color theme="0" tint="-0.34998626667073579"/>
      </right>
      <top style="hair">
        <color theme="0" tint="-0.34998626667073579"/>
      </top>
      <bottom/>
      <diagonal/>
    </border>
    <border>
      <left style="hair">
        <color theme="0" tint="-0.34998626667073579"/>
      </left>
      <right style="thin">
        <color theme="0" tint="-0.34998626667073579"/>
      </right>
      <top style="medium">
        <color theme="0"/>
      </top>
      <bottom/>
      <diagonal/>
    </border>
    <border>
      <left style="hair">
        <color theme="0" tint="-0.34998626667073579"/>
      </left>
      <right style="thin">
        <color theme="0" tint="-0.34998626667073579"/>
      </right>
      <top/>
      <bottom/>
      <diagonal/>
    </border>
    <border>
      <left/>
      <right style="thin">
        <color theme="0" tint="-0.34998626667073579"/>
      </right>
      <top style="medium">
        <color theme="0"/>
      </top>
      <bottom style="hair">
        <color theme="0" tint="-0.34998626667073579"/>
      </bottom>
      <diagonal/>
    </border>
    <border>
      <left/>
      <right style="thin">
        <color theme="0" tint="-0.34998626667073579"/>
      </right>
      <top style="medium">
        <color theme="0"/>
      </top>
      <bottom/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/>
      <top style="thin">
        <color indexed="64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/>
      <right/>
      <top style="thin">
        <color theme="0" tint="-0.249977111117893"/>
      </top>
      <bottom/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/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/>
      </right>
      <top style="thin">
        <color theme="0" tint="-0.34998626667073579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/>
      </left>
      <right style="thin">
        <color theme="0"/>
      </right>
      <top/>
      <bottom style="thin">
        <color theme="0" tint="-0.34998626667073579"/>
      </bottom>
      <diagonal/>
    </border>
    <border>
      <left style="thin">
        <color theme="0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308">
    <xf numFmtId="0" fontId="0" fillId="0" borderId="0" xfId="0"/>
    <xf numFmtId="14" fontId="2" fillId="0" borderId="0" xfId="0" applyNumberFormat="1" applyFont="1" applyAlignment="1" applyProtection="1">
      <alignment vertical="top"/>
      <protection hidden="1"/>
    </xf>
    <xf numFmtId="0" fontId="3" fillId="2" borderId="0" xfId="1" applyFont="1" applyFill="1" applyProtection="1">
      <protection hidden="1"/>
    </xf>
    <xf numFmtId="0" fontId="3" fillId="0" borderId="0" xfId="0" applyFont="1"/>
    <xf numFmtId="0" fontId="3" fillId="0" borderId="0" xfId="1" applyFont="1" applyProtection="1">
      <protection hidden="1"/>
    </xf>
    <xf numFmtId="0" fontId="4" fillId="0" borderId="0" xfId="1" applyFont="1" applyAlignment="1" applyProtection="1">
      <alignment horizontal="left"/>
      <protection hidden="1"/>
    </xf>
    <xf numFmtId="0" fontId="3" fillId="0" borderId="0" xfId="1" applyFont="1" applyAlignment="1" applyProtection="1">
      <alignment horizontal="centerContinuous"/>
      <protection hidden="1"/>
    </xf>
    <xf numFmtId="14" fontId="4" fillId="0" borderId="0" xfId="0" applyNumberFormat="1" applyFont="1" applyAlignment="1" applyProtection="1">
      <alignment vertical="top"/>
      <protection hidden="1"/>
    </xf>
    <xf numFmtId="0" fontId="3" fillId="0" borderId="0" xfId="0" applyFont="1" applyAlignment="1">
      <alignment horizontal="center" vertical="center"/>
    </xf>
    <xf numFmtId="0" fontId="3" fillId="0" borderId="0" xfId="1" applyFont="1" applyAlignment="1" applyProtection="1">
      <alignment horizontal="center" vertical="center"/>
      <protection hidden="1"/>
    </xf>
    <xf numFmtId="0" fontId="3" fillId="2" borderId="0" xfId="1" applyFont="1" applyFill="1" applyAlignment="1" applyProtection="1">
      <alignment horizontal="center" vertical="center"/>
      <protection hidden="1"/>
    </xf>
    <xf numFmtId="0" fontId="3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16" fontId="3" fillId="0" borderId="1" xfId="0" applyNumberFormat="1" applyFont="1" applyBorder="1" applyAlignment="1">
      <alignment horizontal="right" vertical="center"/>
    </xf>
    <xf numFmtId="16" fontId="3" fillId="0" borderId="1" xfId="0" applyNumberFormat="1" applyFont="1" applyBorder="1"/>
    <xf numFmtId="0" fontId="3" fillId="0" borderId="1" xfId="0" applyFont="1" applyBorder="1"/>
    <xf numFmtId="0" fontId="3" fillId="3" borderId="2" xfId="0" applyFont="1" applyFill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16" fontId="3" fillId="0" borderId="2" xfId="0" applyNumberFormat="1" applyFont="1" applyBorder="1" applyAlignment="1">
      <alignment horizontal="right" vertical="center"/>
    </xf>
    <xf numFmtId="16" fontId="3" fillId="0" borderId="2" xfId="0" applyNumberFormat="1" applyFont="1" applyBorder="1"/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14" fontId="4" fillId="0" borderId="0" xfId="0" applyNumberFormat="1" applyFont="1" applyAlignment="1" applyProtection="1">
      <alignment horizontal="center" vertical="center"/>
      <protection hidden="1"/>
    </xf>
    <xf numFmtId="0" fontId="3" fillId="0" borderId="1" xfId="0" applyFont="1" applyBorder="1" applyAlignment="1">
      <alignment horizontal="left" vertical="center"/>
    </xf>
    <xf numFmtId="0" fontId="5" fillId="2" borderId="7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4" fillId="0" borderId="8" xfId="0" applyFont="1" applyBorder="1"/>
    <xf numFmtId="0" fontId="3" fillId="0" borderId="8" xfId="0" applyFont="1" applyBorder="1"/>
    <xf numFmtId="0" fontId="4" fillId="0" borderId="8" xfId="0" applyFont="1" applyBorder="1" applyAlignment="1">
      <alignment vertical="center"/>
    </xf>
    <xf numFmtId="0" fontId="5" fillId="4" borderId="5" xfId="0" applyFont="1" applyFill="1" applyBorder="1" applyAlignment="1">
      <alignment horizontal="center" vertical="center"/>
    </xf>
    <xf numFmtId="16" fontId="5" fillId="4" borderId="5" xfId="0" applyNumberFormat="1" applyFont="1" applyFill="1" applyBorder="1" applyAlignment="1">
      <alignment horizontal="center" vertical="center"/>
    </xf>
    <xf numFmtId="16" fontId="5" fillId="4" borderId="6" xfId="0" applyNumberFormat="1" applyFont="1" applyFill="1" applyBorder="1" applyAlignment="1">
      <alignment horizontal="center" vertical="center"/>
    </xf>
    <xf numFmtId="16" fontId="5" fillId="4" borderId="7" xfId="0" applyNumberFormat="1" applyFont="1" applyFill="1" applyBorder="1" applyAlignment="1">
      <alignment horizontal="center" vertical="center"/>
    </xf>
    <xf numFmtId="16" fontId="3" fillId="0" borderId="0" xfId="0" applyNumberFormat="1" applyFont="1"/>
    <xf numFmtId="0" fontId="4" fillId="7" borderId="1" xfId="0" applyFont="1" applyFill="1" applyBorder="1" applyAlignment="1">
      <alignment vertical="center"/>
    </xf>
    <xf numFmtId="0" fontId="4" fillId="8" borderId="1" xfId="0" applyFont="1" applyFill="1" applyBorder="1" applyAlignment="1">
      <alignment vertical="center"/>
    </xf>
    <xf numFmtId="0" fontId="4" fillId="9" borderId="1" xfId="0" applyFont="1" applyFill="1" applyBorder="1" applyAlignment="1">
      <alignment vertical="center"/>
    </xf>
    <xf numFmtId="0" fontId="4" fillId="10" borderId="1" xfId="0" applyFont="1" applyFill="1" applyBorder="1" applyAlignment="1">
      <alignment vertical="center"/>
    </xf>
    <xf numFmtId="0" fontId="4" fillId="11" borderId="1" xfId="0" applyFont="1" applyFill="1" applyBorder="1" applyAlignment="1">
      <alignment vertical="center"/>
    </xf>
    <xf numFmtId="0" fontId="8" fillId="2" borderId="1" xfId="0" applyFont="1" applyFill="1" applyBorder="1" applyAlignment="1">
      <alignment horizontal="center" vertical="center"/>
    </xf>
    <xf numFmtId="0" fontId="10" fillId="0" borderId="0" xfId="0" applyFont="1"/>
    <xf numFmtId="0" fontId="10" fillId="0" borderId="0" xfId="1" applyFont="1" applyProtection="1">
      <protection hidden="1"/>
    </xf>
    <xf numFmtId="0" fontId="10" fillId="2" borderId="0" xfId="1" applyFont="1" applyFill="1" applyProtection="1">
      <protection hidden="1"/>
    </xf>
    <xf numFmtId="0" fontId="5" fillId="2" borderId="10" xfId="0" applyFont="1" applyFill="1" applyBorder="1" applyAlignment="1">
      <alignment horizontal="center" vertical="center"/>
    </xf>
    <xf numFmtId="16" fontId="10" fillId="5" borderId="10" xfId="0" applyNumberFormat="1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center" vertical="center"/>
    </xf>
    <xf numFmtId="0" fontId="3" fillId="13" borderId="0" xfId="0" applyFont="1" applyFill="1" applyAlignment="1">
      <alignment horizontal="center" vertical="center"/>
    </xf>
    <xf numFmtId="0" fontId="10" fillId="13" borderId="0" xfId="0" applyFont="1" applyFill="1" applyAlignment="1">
      <alignment horizontal="center" vertical="center"/>
    </xf>
    <xf numFmtId="0" fontId="4" fillId="13" borderId="0" xfId="0" applyFont="1" applyFill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4" xfId="0" applyFont="1" applyBorder="1" applyAlignment="1">
      <alignment horizontal="left" vertical="center"/>
    </xf>
    <xf numFmtId="0" fontId="3" fillId="0" borderId="15" xfId="0" applyFont="1" applyBorder="1" applyAlignment="1">
      <alignment horizontal="center" vertical="center"/>
    </xf>
    <xf numFmtId="0" fontId="3" fillId="0" borderId="15" xfId="0" applyFont="1" applyBorder="1" applyAlignment="1">
      <alignment horizontal="left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10" fillId="0" borderId="13" xfId="0" applyFont="1" applyBorder="1"/>
    <xf numFmtId="0" fontId="3" fillId="0" borderId="13" xfId="0" applyFont="1" applyBorder="1"/>
    <xf numFmtId="2" fontId="3" fillId="0" borderId="20" xfId="0" applyNumberFormat="1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0" fillId="0" borderId="21" xfId="0" applyFont="1" applyBorder="1"/>
    <xf numFmtId="0" fontId="10" fillId="0" borderId="22" xfId="0" applyFont="1" applyBorder="1" applyAlignment="1">
      <alignment horizontal="center" vertical="center"/>
    </xf>
    <xf numFmtId="0" fontId="10" fillId="0" borderId="22" xfId="0" applyFont="1" applyBorder="1"/>
    <xf numFmtId="0" fontId="3" fillId="0" borderId="21" xfId="0" applyFont="1" applyBorder="1" applyAlignment="1">
      <alignment horizontal="center" vertical="center"/>
    </xf>
    <xf numFmtId="0" fontId="3" fillId="0" borderId="21" xfId="0" applyFont="1" applyBorder="1"/>
    <xf numFmtId="0" fontId="3" fillId="0" borderId="22" xfId="0" applyFont="1" applyBorder="1" applyAlignment="1">
      <alignment horizontal="center" vertical="center"/>
    </xf>
    <xf numFmtId="0" fontId="3" fillId="0" borderId="22" xfId="0" applyFont="1" applyBorder="1"/>
    <xf numFmtId="0" fontId="3" fillId="14" borderId="25" xfId="0" applyFont="1" applyFill="1" applyBorder="1" applyAlignment="1">
      <alignment horizontal="center" vertical="center"/>
    </xf>
    <xf numFmtId="0" fontId="3" fillId="14" borderId="26" xfId="0" applyFont="1" applyFill="1" applyBorder="1" applyAlignment="1">
      <alignment horizontal="center" vertical="center"/>
    </xf>
    <xf numFmtId="0" fontId="3" fillId="14" borderId="26" xfId="0" applyFont="1" applyFill="1" applyBorder="1"/>
    <xf numFmtId="0" fontId="11" fillId="0" borderId="0" xfId="0" applyFont="1"/>
    <xf numFmtId="0" fontId="11" fillId="0" borderId="0" xfId="0" applyFont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2" fontId="3" fillId="0" borderId="14" xfId="0" applyNumberFormat="1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64" fontId="3" fillId="13" borderId="0" xfId="0" applyNumberFormat="1" applyFont="1" applyFill="1" applyAlignment="1">
      <alignment horizontal="center" vertical="center"/>
    </xf>
    <xf numFmtId="0" fontId="13" fillId="15" borderId="13" xfId="0" applyFont="1" applyFill="1" applyBorder="1" applyAlignment="1">
      <alignment horizontal="center" vertical="center"/>
    </xf>
    <xf numFmtId="0" fontId="13" fillId="15" borderId="21" xfId="0" applyFont="1" applyFill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5" fillId="12" borderId="0" xfId="0" applyFont="1" applyFill="1" applyAlignment="1">
      <alignment horizontal="center" vertical="center"/>
    </xf>
    <xf numFmtId="0" fontId="15" fillId="12" borderId="23" xfId="0" applyFont="1" applyFill="1" applyBorder="1" applyAlignment="1">
      <alignment horizontal="center" vertical="center"/>
    </xf>
    <xf numFmtId="0" fontId="15" fillId="12" borderId="24" xfId="0" applyFont="1" applyFill="1" applyBorder="1" applyAlignment="1">
      <alignment horizontal="center" vertical="center"/>
    </xf>
    <xf numFmtId="2" fontId="3" fillId="13" borderId="0" xfId="0" applyNumberFormat="1" applyFont="1" applyFill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2" fontId="3" fillId="0" borderId="19" xfId="0" applyNumberFormat="1" applyFont="1" applyBorder="1" applyAlignment="1">
      <alignment horizontal="center" vertical="center"/>
    </xf>
    <xf numFmtId="2" fontId="3" fillId="0" borderId="18" xfId="0" applyNumberFormat="1" applyFont="1" applyBorder="1" applyAlignment="1">
      <alignment horizontal="center" vertical="center"/>
    </xf>
    <xf numFmtId="2" fontId="3" fillId="0" borderId="28" xfId="0" applyNumberFormat="1" applyFont="1" applyBorder="1" applyAlignment="1">
      <alignment horizontal="center" vertical="center"/>
    </xf>
    <xf numFmtId="2" fontId="3" fillId="0" borderId="29" xfId="0" applyNumberFormat="1" applyFont="1" applyBorder="1" applyAlignment="1">
      <alignment horizontal="center" vertical="center"/>
    </xf>
    <xf numFmtId="10" fontId="3" fillId="0" borderId="20" xfId="0" applyNumberFormat="1" applyFont="1" applyBorder="1" applyAlignment="1">
      <alignment horizontal="center" vertical="center"/>
    </xf>
    <xf numFmtId="9" fontId="3" fillId="16" borderId="20" xfId="2" applyFont="1" applyFill="1" applyBorder="1" applyAlignment="1">
      <alignment horizontal="center" vertical="center"/>
    </xf>
    <xf numFmtId="0" fontId="16" fillId="0" borderId="0" xfId="0" applyFont="1"/>
    <xf numFmtId="0" fontId="3" fillId="0" borderId="0" xfId="0" applyFont="1" applyAlignment="1">
      <alignment horizontal="left" vertical="center" indent="1"/>
    </xf>
    <xf numFmtId="1" fontId="3" fillId="0" borderId="14" xfId="0" applyNumberFormat="1" applyFont="1" applyBorder="1" applyAlignment="1">
      <alignment horizontal="center" vertical="center"/>
    </xf>
    <xf numFmtId="0" fontId="10" fillId="15" borderId="0" xfId="0" applyFont="1" applyFill="1" applyAlignment="1">
      <alignment horizontal="center" vertical="center"/>
    </xf>
    <xf numFmtId="0" fontId="13" fillId="0" borderId="21" xfId="0" applyFont="1" applyBorder="1" applyAlignment="1">
      <alignment horizontal="center" vertical="center"/>
    </xf>
    <xf numFmtId="0" fontId="3" fillId="15" borderId="0" xfId="0" applyFont="1" applyFill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4" fillId="0" borderId="31" xfId="0" applyFont="1" applyBorder="1" applyAlignment="1">
      <alignment horizontal="center" vertical="center"/>
    </xf>
    <xf numFmtId="0" fontId="10" fillId="15" borderId="32" xfId="0" applyFont="1" applyFill="1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0" fontId="10" fillId="0" borderId="20" xfId="0" applyFont="1" applyBorder="1"/>
    <xf numFmtId="0" fontId="10" fillId="13" borderId="33" xfId="0" applyFont="1" applyFill="1" applyBorder="1" applyAlignment="1">
      <alignment horizontal="center" vertical="center"/>
    </xf>
    <xf numFmtId="0" fontId="10" fillId="0" borderId="31" xfId="0" applyFont="1" applyBorder="1"/>
    <xf numFmtId="0" fontId="10" fillId="13" borderId="32" xfId="0" applyFont="1" applyFill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13" borderId="32" xfId="0" applyFont="1" applyFill="1" applyBorder="1" applyAlignment="1">
      <alignment horizontal="center" vertical="center"/>
    </xf>
    <xf numFmtId="0" fontId="3" fillId="0" borderId="31" xfId="0" applyFont="1" applyBorder="1"/>
    <xf numFmtId="0" fontId="3" fillId="15" borderId="32" xfId="0" applyFont="1" applyFill="1" applyBorder="1" applyAlignment="1">
      <alignment horizontal="center" vertical="center"/>
    </xf>
    <xf numFmtId="0" fontId="3" fillId="14" borderId="34" xfId="0" applyFont="1" applyFill="1" applyBorder="1" applyAlignment="1">
      <alignment horizontal="center" vertical="center"/>
    </xf>
    <xf numFmtId="0" fontId="3" fillId="14" borderId="35" xfId="0" applyFont="1" applyFill="1" applyBorder="1" applyAlignment="1">
      <alignment horizontal="center" vertical="center"/>
    </xf>
    <xf numFmtId="0" fontId="3" fillId="14" borderId="35" xfId="0" applyFont="1" applyFill="1" applyBorder="1"/>
    <xf numFmtId="0" fontId="3" fillId="13" borderId="36" xfId="0" applyFont="1" applyFill="1" applyBorder="1" applyAlignment="1">
      <alignment horizontal="center" vertical="center"/>
    </xf>
    <xf numFmtId="0" fontId="3" fillId="13" borderId="34" xfId="0" applyFont="1" applyFill="1" applyBorder="1" applyAlignment="1">
      <alignment horizontal="center" vertical="center"/>
    </xf>
    <xf numFmtId="0" fontId="3" fillId="13" borderId="35" xfId="0" applyFont="1" applyFill="1" applyBorder="1" applyAlignment="1">
      <alignment horizontal="center" vertical="center"/>
    </xf>
    <xf numFmtId="0" fontId="3" fillId="15" borderId="35" xfId="0" applyFont="1" applyFill="1" applyBorder="1" applyAlignment="1">
      <alignment horizontal="center" vertical="center"/>
    </xf>
    <xf numFmtId="0" fontId="3" fillId="13" borderId="37" xfId="0" applyFont="1" applyFill="1" applyBorder="1" applyAlignment="1">
      <alignment horizontal="center" vertical="center"/>
    </xf>
    <xf numFmtId="0" fontId="10" fillId="13" borderId="36" xfId="0" applyFont="1" applyFill="1" applyBorder="1" applyAlignment="1">
      <alignment horizontal="center" vertical="center"/>
    </xf>
    <xf numFmtId="0" fontId="10" fillId="0" borderId="13" xfId="0" applyFont="1" applyBorder="1" applyAlignment="1">
      <alignment horizontal="center"/>
    </xf>
    <xf numFmtId="0" fontId="3" fillId="17" borderId="14" xfId="0" applyFont="1" applyFill="1" applyBorder="1" applyAlignment="1">
      <alignment horizontal="left" vertical="center"/>
    </xf>
    <xf numFmtId="0" fontId="20" fillId="0" borderId="0" xfId="0" applyFont="1"/>
    <xf numFmtId="0" fontId="20" fillId="0" borderId="41" xfId="0" applyFont="1" applyBorder="1"/>
    <xf numFmtId="0" fontId="20" fillId="0" borderId="42" xfId="0" applyFont="1" applyBorder="1"/>
    <xf numFmtId="0" fontId="20" fillId="0" borderId="43" xfId="0" applyFont="1" applyBorder="1"/>
    <xf numFmtId="0" fontId="20" fillId="0" borderId="44" xfId="0" applyFont="1" applyBorder="1"/>
    <xf numFmtId="0" fontId="22" fillId="0" borderId="0" xfId="0" applyFont="1"/>
    <xf numFmtId="0" fontId="20" fillId="0" borderId="32" xfId="0" applyFont="1" applyBorder="1"/>
    <xf numFmtId="0" fontId="23" fillId="0" borderId="0" xfId="0" applyFont="1" applyAlignment="1">
      <alignment vertical="center"/>
    </xf>
    <xf numFmtId="165" fontId="20" fillId="0" borderId="0" xfId="2" applyNumberFormat="1" applyFont="1" applyFill="1" applyBorder="1" applyAlignment="1">
      <alignment vertical="center"/>
    </xf>
    <xf numFmtId="0" fontId="20" fillId="0" borderId="45" xfId="0" applyFont="1" applyBorder="1"/>
    <xf numFmtId="0" fontId="20" fillId="0" borderId="46" xfId="0" applyFont="1" applyBorder="1"/>
    <xf numFmtId="0" fontId="20" fillId="0" borderId="47" xfId="0" applyFont="1" applyBorder="1"/>
    <xf numFmtId="0" fontId="3" fillId="0" borderId="0" xfId="0" applyFont="1" applyAlignment="1">
      <alignment vertical="center"/>
    </xf>
    <xf numFmtId="0" fontId="4" fillId="0" borderId="48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21" fillId="0" borderId="0" xfId="0" applyFont="1"/>
    <xf numFmtId="0" fontId="24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 wrapText="1"/>
    </xf>
    <xf numFmtId="0" fontId="27" fillId="0" borderId="0" xfId="0" applyFont="1"/>
    <xf numFmtId="0" fontId="7" fillId="0" borderId="8" xfId="0" applyFont="1" applyBorder="1" applyAlignment="1">
      <alignment vertical="center"/>
    </xf>
    <xf numFmtId="0" fontId="28" fillId="0" borderId="0" xfId="0" applyFont="1" applyAlignment="1">
      <alignment vertical="center"/>
    </xf>
    <xf numFmtId="0" fontId="29" fillId="0" borderId="0" xfId="0" applyFont="1" applyAlignment="1">
      <alignment horizontal="right" vertical="center"/>
    </xf>
    <xf numFmtId="0" fontId="30" fillId="0" borderId="0" xfId="0" applyFont="1" applyAlignment="1">
      <alignment vertical="center"/>
    </xf>
    <xf numFmtId="16" fontId="31" fillId="0" borderId="0" xfId="0" applyNumberFormat="1" applyFont="1" applyAlignment="1">
      <alignment horizontal="right" vertical="center"/>
    </xf>
    <xf numFmtId="0" fontId="3" fillId="0" borderId="4" xfId="0" applyFont="1" applyBorder="1" applyAlignment="1">
      <alignment vertical="center"/>
    </xf>
    <xf numFmtId="0" fontId="4" fillId="12" borderId="50" xfId="0" applyFont="1" applyFill="1" applyBorder="1" applyAlignment="1">
      <alignment vertical="center"/>
    </xf>
    <xf numFmtId="0" fontId="32" fillId="13" borderId="13" xfId="0" applyFont="1" applyFill="1" applyBorder="1" applyAlignment="1">
      <alignment horizontal="center" vertical="center"/>
    </xf>
    <xf numFmtId="0" fontId="3" fillId="14" borderId="13" xfId="0" applyFont="1" applyFill="1" applyBorder="1" applyAlignment="1">
      <alignment horizontal="center" vertical="center"/>
    </xf>
    <xf numFmtId="0" fontId="3" fillId="18" borderId="14" xfId="0" applyFont="1" applyFill="1" applyBorder="1" applyAlignment="1">
      <alignment horizontal="left" vertical="center"/>
    </xf>
    <xf numFmtId="3" fontId="3" fillId="0" borderId="1" xfId="0" applyNumberFormat="1" applyFont="1" applyBorder="1"/>
    <xf numFmtId="3" fontId="3" fillId="0" borderId="2" xfId="0" applyNumberFormat="1" applyFont="1" applyBorder="1"/>
    <xf numFmtId="16" fontId="4" fillId="0" borderId="0" xfId="0" applyNumberFormat="1" applyFont="1"/>
    <xf numFmtId="16" fontId="4" fillId="0" borderId="8" xfId="0" applyNumberFormat="1" applyFont="1" applyBorder="1" applyAlignment="1">
      <alignment vertical="center"/>
    </xf>
    <xf numFmtId="16" fontId="21" fillId="0" borderId="8" xfId="0" applyNumberFormat="1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3" borderId="41" xfId="0" quotePrefix="1" applyFont="1" applyFill="1" applyBorder="1" applyAlignment="1">
      <alignment vertical="center" wrapText="1"/>
    </xf>
    <xf numFmtId="0" fontId="18" fillId="3" borderId="42" xfId="0" applyFont="1" applyFill="1" applyBorder="1" applyAlignment="1">
      <alignment vertical="center" wrapText="1"/>
    </xf>
    <xf numFmtId="0" fontId="18" fillId="3" borderId="43" xfId="0" applyFont="1" applyFill="1" applyBorder="1" applyAlignment="1">
      <alignment vertical="center" wrapText="1"/>
    </xf>
    <xf numFmtId="0" fontId="18" fillId="3" borderId="44" xfId="0" applyFont="1" applyFill="1" applyBorder="1" applyAlignment="1">
      <alignment vertical="center" wrapText="1"/>
    </xf>
    <xf numFmtId="0" fontId="18" fillId="3" borderId="0" xfId="0" applyFont="1" applyFill="1" applyAlignment="1">
      <alignment vertical="center" wrapText="1"/>
    </xf>
    <xf numFmtId="0" fontId="18" fillId="3" borderId="32" xfId="0" applyFont="1" applyFill="1" applyBorder="1" applyAlignment="1">
      <alignment vertical="center" wrapText="1"/>
    </xf>
    <xf numFmtId="0" fontId="18" fillId="3" borderId="45" xfId="0" applyFont="1" applyFill="1" applyBorder="1" applyAlignment="1">
      <alignment vertical="center" wrapText="1"/>
    </xf>
    <xf numFmtId="0" fontId="18" fillId="3" borderId="46" xfId="0" applyFont="1" applyFill="1" applyBorder="1" applyAlignment="1">
      <alignment vertical="center" wrapText="1"/>
    </xf>
    <xf numFmtId="0" fontId="18" fillId="3" borderId="47" xfId="0" applyFont="1" applyFill="1" applyBorder="1" applyAlignment="1">
      <alignment vertical="center" wrapText="1"/>
    </xf>
    <xf numFmtId="0" fontId="18" fillId="3" borderId="44" xfId="0" quotePrefix="1" applyFont="1" applyFill="1" applyBorder="1" applyAlignment="1">
      <alignment vertical="center" wrapText="1"/>
    </xf>
    <xf numFmtId="0" fontId="5" fillId="2" borderId="49" xfId="0" applyFont="1" applyFill="1" applyBorder="1" applyAlignment="1">
      <alignment horizontal="center" vertical="center" wrapText="1"/>
    </xf>
    <xf numFmtId="0" fontId="6" fillId="13" borderId="49" xfId="0" applyFont="1" applyFill="1" applyBorder="1" applyAlignment="1">
      <alignment vertical="center" wrapText="1"/>
    </xf>
    <xf numFmtId="0" fontId="6" fillId="13" borderId="49" xfId="0" applyFont="1" applyFill="1" applyBorder="1" applyAlignment="1">
      <alignment horizontal="center" vertical="center" wrapText="1"/>
    </xf>
    <xf numFmtId="0" fontId="34" fillId="3" borderId="0" xfId="0" applyFont="1" applyFill="1" applyAlignment="1">
      <alignment vertical="center"/>
    </xf>
    <xf numFmtId="0" fontId="18" fillId="0" borderId="49" xfId="0" applyFont="1" applyBorder="1" applyAlignment="1">
      <alignment horizontal="center" vertical="center" wrapText="1"/>
    </xf>
    <xf numFmtId="0" fontId="17" fillId="3" borderId="0" xfId="0" applyFont="1" applyFill="1" applyAlignment="1">
      <alignment vertical="center"/>
    </xf>
    <xf numFmtId="0" fontId="24" fillId="3" borderId="0" xfId="0" applyFont="1" applyFill="1" applyAlignment="1">
      <alignment horizontal="left" vertical="center"/>
    </xf>
    <xf numFmtId="0" fontId="8" fillId="2" borderId="49" xfId="0" applyFont="1" applyFill="1" applyBorder="1" applyAlignment="1">
      <alignment horizontal="center" vertical="center" wrapText="1"/>
    </xf>
    <xf numFmtId="0" fontId="33" fillId="17" borderId="49" xfId="0" applyFont="1" applyFill="1" applyBorder="1" applyAlignment="1">
      <alignment horizontal="center" vertical="center" wrapText="1"/>
    </xf>
    <xf numFmtId="16" fontId="37" fillId="0" borderId="1" xfId="0" applyNumberFormat="1" applyFont="1" applyBorder="1"/>
    <xf numFmtId="16" fontId="37" fillId="0" borderId="1" xfId="0" applyNumberFormat="1" applyFont="1" applyBorder="1" applyAlignment="1">
      <alignment horizontal="right" vertical="center"/>
    </xf>
    <xf numFmtId="16" fontId="37" fillId="0" borderId="2" xfId="0" applyNumberFormat="1" applyFont="1" applyBorder="1" applyAlignment="1">
      <alignment horizontal="right" vertical="center"/>
    </xf>
    <xf numFmtId="0" fontId="37" fillId="0" borderId="0" xfId="0" applyFont="1"/>
    <xf numFmtId="3" fontId="37" fillId="0" borderId="1" xfId="0" applyNumberFormat="1" applyFont="1" applyBorder="1"/>
    <xf numFmtId="0" fontId="37" fillId="3" borderId="1" xfId="0" applyFont="1" applyFill="1" applyBorder="1" applyAlignment="1">
      <alignment vertical="center"/>
    </xf>
    <xf numFmtId="16" fontId="18" fillId="0" borderId="59" xfId="0" applyNumberFormat="1" applyFont="1" applyBorder="1" applyAlignment="1">
      <alignment horizontal="center" vertical="center"/>
    </xf>
    <xf numFmtId="0" fontId="3" fillId="0" borderId="0" xfId="0" quotePrefix="1" applyFont="1"/>
    <xf numFmtId="0" fontId="38" fillId="18" borderId="49" xfId="0" applyFont="1" applyFill="1" applyBorder="1" applyAlignment="1">
      <alignment horizontal="center" vertical="center" wrapText="1"/>
    </xf>
    <xf numFmtId="0" fontId="39" fillId="0" borderId="49" xfId="0" applyFont="1" applyBorder="1" applyAlignment="1">
      <alignment vertical="center" wrapText="1"/>
    </xf>
    <xf numFmtId="0" fontId="3" fillId="0" borderId="0" xfId="0" applyFont="1" applyAlignment="1">
      <alignment horizontal="left" vertical="center"/>
    </xf>
    <xf numFmtId="0" fontId="3" fillId="0" borderId="3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0" fontId="3" fillId="0" borderId="49" xfId="0" applyFont="1" applyBorder="1" applyAlignment="1">
      <alignment horizontal="center" vertical="center"/>
    </xf>
    <xf numFmtId="0" fontId="3" fillId="0" borderId="49" xfId="0" applyFont="1" applyBorder="1" applyAlignment="1">
      <alignment horizontal="left" vertical="center" wrapText="1"/>
    </xf>
    <xf numFmtId="0" fontId="3" fillId="0" borderId="49" xfId="0" applyFont="1" applyBorder="1" applyAlignment="1">
      <alignment horizontal="left" vertical="center"/>
    </xf>
    <xf numFmtId="0" fontId="3" fillId="0" borderId="49" xfId="0" applyFont="1" applyBorder="1" applyAlignment="1">
      <alignment horizontal="center" vertical="center" wrapText="1"/>
    </xf>
    <xf numFmtId="0" fontId="4" fillId="5" borderId="62" xfId="0" applyFont="1" applyFill="1" applyBorder="1" applyAlignment="1">
      <alignment horizontal="center" vertical="center"/>
    </xf>
    <xf numFmtId="0" fontId="5" fillId="19" borderId="60" xfId="0" applyFont="1" applyFill="1" applyBorder="1" applyAlignment="1">
      <alignment horizontal="center" vertical="center"/>
    </xf>
    <xf numFmtId="0" fontId="3" fillId="0" borderId="49" xfId="0" applyFont="1" applyBorder="1" applyAlignment="1">
      <alignment vertical="center"/>
    </xf>
    <xf numFmtId="0" fontId="3" fillId="0" borderId="49" xfId="0" applyFont="1" applyBorder="1" applyAlignment="1">
      <alignment vertical="center" wrapText="1"/>
    </xf>
    <xf numFmtId="0" fontId="3" fillId="0" borderId="49" xfId="0" quotePrefix="1" applyFont="1" applyBorder="1" applyAlignment="1">
      <alignment horizontal="center" vertical="center"/>
    </xf>
    <xf numFmtId="0" fontId="5" fillId="2" borderId="49" xfId="0" applyFont="1" applyFill="1" applyBorder="1" applyAlignment="1">
      <alignment horizontal="center" vertical="center"/>
    </xf>
    <xf numFmtId="0" fontId="40" fillId="17" borderId="49" xfId="0" applyFont="1" applyFill="1" applyBorder="1" applyAlignment="1">
      <alignment horizontal="center" vertical="center" wrapText="1"/>
    </xf>
    <xf numFmtId="0" fontId="3" fillId="17" borderId="15" xfId="0" applyFont="1" applyFill="1" applyBorder="1" applyAlignment="1">
      <alignment horizontal="left" vertical="center"/>
    </xf>
    <xf numFmtId="0" fontId="3" fillId="20" borderId="14" xfId="0" applyFont="1" applyFill="1" applyBorder="1" applyAlignment="1">
      <alignment horizontal="left" vertical="center"/>
    </xf>
    <xf numFmtId="0" fontId="19" fillId="20" borderId="14" xfId="0" applyFont="1" applyFill="1" applyBorder="1" applyAlignment="1">
      <alignment horizontal="left" vertical="center"/>
    </xf>
    <xf numFmtId="0" fontId="3" fillId="21" borderId="14" xfId="0" applyFont="1" applyFill="1" applyBorder="1" applyAlignment="1">
      <alignment horizontal="left" vertical="center"/>
    </xf>
    <xf numFmtId="0" fontId="5" fillId="2" borderId="6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vertical="center"/>
    </xf>
    <xf numFmtId="0" fontId="0" fillId="0" borderId="49" xfId="0" applyBorder="1"/>
    <xf numFmtId="0" fontId="41" fillId="0" borderId="0" xfId="0" applyFont="1"/>
    <xf numFmtId="0" fontId="36" fillId="0" borderId="0" xfId="0" applyFont="1" applyAlignment="1">
      <alignment horizontal="center" vertical="center"/>
    </xf>
    <xf numFmtId="0" fontId="4" fillId="5" borderId="8" xfId="0" applyFont="1" applyFill="1" applyBorder="1" applyAlignment="1">
      <alignment vertical="center"/>
    </xf>
    <xf numFmtId="9" fontId="4" fillId="5" borderId="8" xfId="0" applyNumberFormat="1" applyFont="1" applyFill="1" applyBorder="1" applyAlignment="1">
      <alignment vertical="center"/>
    </xf>
    <xf numFmtId="0" fontId="3" fillId="3" borderId="0" xfId="0" applyFont="1" applyFill="1" applyAlignment="1">
      <alignment vertical="center"/>
    </xf>
    <xf numFmtId="165" fontId="3" fillId="3" borderId="0" xfId="2" applyNumberFormat="1" applyFont="1" applyFill="1" applyAlignment="1">
      <alignment vertical="center"/>
    </xf>
    <xf numFmtId="0" fontId="3" fillId="0" borderId="48" xfId="0" applyFont="1" applyBorder="1" applyAlignment="1">
      <alignment horizontal="left" vertical="center" indent="1"/>
    </xf>
    <xf numFmtId="0" fontId="3" fillId="0" borderId="48" xfId="0" applyFont="1" applyBorder="1" applyAlignment="1">
      <alignment vertical="center"/>
    </xf>
    <xf numFmtId="165" fontId="3" fillId="0" borderId="48" xfId="2" applyNumberFormat="1" applyFont="1" applyBorder="1" applyAlignment="1">
      <alignment vertical="center"/>
    </xf>
    <xf numFmtId="165" fontId="3" fillId="0" borderId="0" xfId="2" applyNumberFormat="1" applyFont="1" applyAlignment="1">
      <alignment vertical="center"/>
    </xf>
    <xf numFmtId="0" fontId="3" fillId="3" borderId="66" xfId="0" applyFont="1" applyFill="1" applyBorder="1" applyAlignment="1">
      <alignment vertical="center"/>
    </xf>
    <xf numFmtId="165" fontId="3" fillId="3" borderId="66" xfId="2" applyNumberFormat="1" applyFont="1" applyFill="1" applyBorder="1" applyAlignment="1">
      <alignment vertical="center"/>
    </xf>
    <xf numFmtId="0" fontId="42" fillId="3" borderId="0" xfId="0" applyFont="1" applyFill="1" applyAlignment="1">
      <alignment horizontal="left" vertical="center"/>
    </xf>
    <xf numFmtId="0" fontId="3" fillId="18" borderId="3" xfId="0" applyFont="1" applyFill="1" applyBorder="1" applyAlignment="1">
      <alignment vertical="center"/>
    </xf>
    <xf numFmtId="0" fontId="3" fillId="18" borderId="49" xfId="0" applyFont="1" applyFill="1" applyBorder="1" applyAlignment="1">
      <alignment vertical="center"/>
    </xf>
    <xf numFmtId="0" fontId="0" fillId="18" borderId="49" xfId="0" applyFill="1" applyBorder="1"/>
    <xf numFmtId="0" fontId="3" fillId="22" borderId="3" xfId="0" applyFont="1" applyFill="1" applyBorder="1" applyAlignment="1">
      <alignment vertical="center"/>
    </xf>
    <xf numFmtId="0" fontId="3" fillId="22" borderId="49" xfId="0" applyFont="1" applyFill="1" applyBorder="1" applyAlignment="1">
      <alignment vertical="center"/>
    </xf>
    <xf numFmtId="0" fontId="0" fillId="22" borderId="49" xfId="0" applyFill="1" applyBorder="1"/>
    <xf numFmtId="0" fontId="5" fillId="2" borderId="0" xfId="0" applyFont="1" applyFill="1" applyAlignment="1">
      <alignment horizontal="center" vertical="center"/>
    </xf>
    <xf numFmtId="16" fontId="3" fillId="0" borderId="1" xfId="0" applyNumberFormat="1" applyFont="1" applyBorder="1" applyAlignment="1">
      <alignment horizontal="left" vertical="center"/>
    </xf>
    <xf numFmtId="16" fontId="3" fillId="0" borderId="2" xfId="0" applyNumberFormat="1" applyFont="1" applyBorder="1" applyAlignment="1">
      <alignment horizontal="left" vertical="center"/>
    </xf>
    <xf numFmtId="0" fontId="3" fillId="0" borderId="0" xfId="1" applyFont="1" applyAlignment="1" applyProtection="1">
      <alignment horizontal="left" vertical="center"/>
      <protection hidden="1"/>
    </xf>
    <xf numFmtId="14" fontId="4" fillId="0" borderId="0" xfId="0" applyNumberFormat="1" applyFont="1" applyAlignment="1" applyProtection="1">
      <alignment horizontal="left" vertical="center"/>
      <protection hidden="1"/>
    </xf>
    <xf numFmtId="0" fontId="3" fillId="2" borderId="0" xfId="1" applyFont="1" applyFill="1" applyAlignment="1" applyProtection="1">
      <alignment horizontal="left" vertical="center"/>
      <protection hidden="1"/>
    </xf>
    <xf numFmtId="16" fontId="3" fillId="0" borderId="1" xfId="0" quotePrefix="1" applyNumberFormat="1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center" vertical="center"/>
    </xf>
    <xf numFmtId="0" fontId="3" fillId="23" borderId="1" xfId="0" applyFont="1" applyFill="1" applyBorder="1" applyAlignment="1">
      <alignment vertical="center"/>
    </xf>
    <xf numFmtId="16" fontId="3" fillId="16" borderId="1" xfId="0" applyNumberFormat="1" applyFont="1" applyFill="1" applyBorder="1" applyAlignment="1">
      <alignment horizontal="left" vertical="center"/>
    </xf>
    <xf numFmtId="0" fontId="4" fillId="2" borderId="49" xfId="0" applyFont="1" applyFill="1" applyBorder="1" applyAlignment="1">
      <alignment vertical="center"/>
    </xf>
    <xf numFmtId="0" fontId="4" fillId="24" borderId="49" xfId="0" applyFont="1" applyFill="1" applyBorder="1" applyAlignment="1">
      <alignment vertical="center"/>
    </xf>
    <xf numFmtId="0" fontId="46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3" fillId="17" borderId="1" xfId="0" applyFont="1" applyFill="1" applyBorder="1" applyAlignment="1">
      <alignment vertical="center"/>
    </xf>
    <xf numFmtId="0" fontId="3" fillId="25" borderId="1" xfId="0" applyFont="1" applyFill="1" applyBorder="1" applyAlignment="1">
      <alignment vertical="center"/>
    </xf>
    <xf numFmtId="0" fontId="3" fillId="25" borderId="2" xfId="0" applyFont="1" applyFill="1" applyBorder="1" applyAlignment="1">
      <alignment vertical="center"/>
    </xf>
    <xf numFmtId="0" fontId="18" fillId="3" borderId="52" xfId="0" applyFont="1" applyFill="1" applyBorder="1" applyAlignment="1">
      <alignment horizontal="left" vertical="center" wrapText="1" indent="1"/>
    </xf>
    <xf numFmtId="0" fontId="18" fillId="3" borderId="51" xfId="0" applyFont="1" applyFill="1" applyBorder="1" applyAlignment="1">
      <alignment horizontal="left" vertical="center" wrapText="1" indent="1"/>
    </xf>
    <xf numFmtId="0" fontId="18" fillId="3" borderId="53" xfId="0" applyFont="1" applyFill="1" applyBorder="1" applyAlignment="1">
      <alignment horizontal="left" vertical="center" wrapText="1" indent="1"/>
    </xf>
    <xf numFmtId="0" fontId="18" fillId="3" borderId="54" xfId="0" applyFont="1" applyFill="1" applyBorder="1" applyAlignment="1">
      <alignment horizontal="left" vertical="center" wrapText="1" indent="1"/>
    </xf>
    <xf numFmtId="0" fontId="18" fillId="3" borderId="0" xfId="0" applyFont="1" applyFill="1" applyAlignment="1">
      <alignment horizontal="left" vertical="center" wrapText="1" indent="1"/>
    </xf>
    <xf numFmtId="0" fontId="18" fillId="3" borderId="55" xfId="0" applyFont="1" applyFill="1" applyBorder="1" applyAlignment="1">
      <alignment horizontal="left" vertical="center" wrapText="1" indent="1"/>
    </xf>
    <xf numFmtId="0" fontId="18" fillId="3" borderId="56" xfId="0" applyFont="1" applyFill="1" applyBorder="1" applyAlignment="1">
      <alignment horizontal="left" vertical="center" wrapText="1" indent="1"/>
    </xf>
    <xf numFmtId="0" fontId="18" fillId="3" borderId="57" xfId="0" applyFont="1" applyFill="1" applyBorder="1" applyAlignment="1">
      <alignment horizontal="left" vertical="center" wrapText="1" indent="1"/>
    </xf>
    <xf numFmtId="0" fontId="18" fillId="3" borderId="58" xfId="0" applyFont="1" applyFill="1" applyBorder="1" applyAlignment="1">
      <alignment horizontal="left" vertical="center" wrapText="1" indent="1"/>
    </xf>
    <xf numFmtId="0" fontId="18" fillId="3" borderId="49" xfId="0" applyFont="1" applyFill="1" applyBorder="1" applyAlignment="1">
      <alignment horizontal="left" vertical="center" wrapText="1" indent="1"/>
    </xf>
    <xf numFmtId="0" fontId="45" fillId="3" borderId="49" xfId="0" applyFont="1" applyFill="1" applyBorder="1" applyAlignment="1">
      <alignment horizontal="left" vertical="center" wrapText="1" indent="1"/>
    </xf>
    <xf numFmtId="0" fontId="26" fillId="5" borderId="0" xfId="0" applyFont="1" applyFill="1" applyAlignment="1">
      <alignment horizontal="center" vertical="center"/>
    </xf>
    <xf numFmtId="0" fontId="18" fillId="0" borderId="61" xfId="0" applyFont="1" applyBorder="1" applyAlignment="1">
      <alignment horizontal="left" vertical="center" wrapText="1"/>
    </xf>
    <xf numFmtId="0" fontId="18" fillId="0" borderId="67" xfId="0" applyFont="1" applyBorder="1" applyAlignment="1">
      <alignment horizontal="left" vertical="center" wrapText="1"/>
    </xf>
    <xf numFmtId="0" fontId="18" fillId="0" borderId="68" xfId="0" applyFont="1" applyBorder="1" applyAlignment="1">
      <alignment horizontal="left" vertical="center" wrapText="1"/>
    </xf>
    <xf numFmtId="0" fontId="25" fillId="0" borderId="61" xfId="0" applyFont="1" applyBorder="1" applyAlignment="1">
      <alignment horizontal="left" vertical="center" wrapText="1"/>
    </xf>
    <xf numFmtId="0" fontId="25" fillId="0" borderId="67" xfId="0" applyFont="1" applyBorder="1" applyAlignment="1">
      <alignment horizontal="left" vertical="center" wrapText="1"/>
    </xf>
    <xf numFmtId="0" fontId="25" fillId="0" borderId="68" xfId="0" applyFont="1" applyBorder="1" applyAlignment="1">
      <alignment horizontal="left" vertical="center" wrapText="1"/>
    </xf>
    <xf numFmtId="0" fontId="5" fillId="2" borderId="64" xfId="0" applyFont="1" applyFill="1" applyBorder="1" applyAlignment="1">
      <alignment horizontal="center" vertical="center" wrapText="1"/>
    </xf>
    <xf numFmtId="0" fontId="5" fillId="2" borderId="65" xfId="0" applyFont="1" applyFill="1" applyBorder="1" applyAlignment="1">
      <alignment horizontal="center" vertical="center" wrapText="1"/>
    </xf>
    <xf numFmtId="0" fontId="18" fillId="0" borderId="52" xfId="0" applyFont="1" applyBorder="1" applyAlignment="1">
      <alignment horizontal="left" vertical="center" wrapText="1" indent="1"/>
    </xf>
    <xf numFmtId="0" fontId="18" fillId="0" borderId="51" xfId="0" applyFont="1" applyBorder="1" applyAlignment="1">
      <alignment horizontal="left" vertical="center" wrapText="1" indent="1"/>
    </xf>
    <xf numFmtId="0" fontId="18" fillId="0" borderId="53" xfId="0" applyFont="1" applyBorder="1" applyAlignment="1">
      <alignment horizontal="left" vertical="center" wrapText="1" indent="1"/>
    </xf>
    <xf numFmtId="0" fontId="18" fillId="0" borderId="54" xfId="0" applyFont="1" applyBorder="1" applyAlignment="1">
      <alignment horizontal="left" vertical="center" wrapText="1" indent="1"/>
    </xf>
    <xf numFmtId="0" fontId="18" fillId="0" borderId="0" xfId="0" applyFont="1" applyAlignment="1">
      <alignment horizontal="left" vertical="center" wrapText="1" indent="1"/>
    </xf>
    <xf numFmtId="0" fontId="18" fillId="0" borderId="55" xfId="0" applyFont="1" applyBorder="1" applyAlignment="1">
      <alignment horizontal="left" vertical="center" wrapText="1" indent="1"/>
    </xf>
    <xf numFmtId="0" fontId="18" fillId="0" borderId="56" xfId="0" applyFont="1" applyBorder="1" applyAlignment="1">
      <alignment horizontal="left" vertical="center" wrapText="1" indent="1"/>
    </xf>
    <xf numFmtId="0" fontId="18" fillId="0" borderId="57" xfId="0" applyFont="1" applyBorder="1" applyAlignment="1">
      <alignment horizontal="left" vertical="center" wrapText="1" indent="1"/>
    </xf>
    <xf numFmtId="0" fontId="18" fillId="0" borderId="58" xfId="0" applyFont="1" applyBorder="1" applyAlignment="1">
      <alignment horizontal="left" vertical="center" wrapText="1" indent="1"/>
    </xf>
    <xf numFmtId="0" fontId="5" fillId="19" borderId="49" xfId="0" applyFont="1" applyFill="1" applyBorder="1" applyAlignment="1">
      <alignment horizontal="center" vertical="center"/>
    </xf>
    <xf numFmtId="0" fontId="5" fillId="2" borderId="61" xfId="0" applyFont="1" applyFill="1" applyBorder="1" applyAlignment="1">
      <alignment horizontal="center" vertical="center" wrapText="1"/>
    </xf>
    <xf numFmtId="0" fontId="4" fillId="13" borderId="20" xfId="0" applyFont="1" applyFill="1" applyBorder="1" applyAlignment="1">
      <alignment horizontal="left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4" fillId="13" borderId="27" xfId="0" applyFont="1" applyFill="1" applyBorder="1" applyAlignment="1">
      <alignment horizontal="left" vertical="center"/>
    </xf>
    <xf numFmtId="0" fontId="3" fillId="0" borderId="20" xfId="0" applyFont="1" applyBorder="1" applyAlignment="1">
      <alignment horizontal="left" vertical="center"/>
    </xf>
    <xf numFmtId="0" fontId="17" fillId="5" borderId="38" xfId="0" applyFont="1" applyFill="1" applyBorder="1" applyAlignment="1">
      <alignment horizontal="center" vertical="center"/>
    </xf>
    <xf numFmtId="0" fontId="18" fillId="5" borderId="39" xfId="0" applyFont="1" applyFill="1" applyBorder="1" applyAlignment="1">
      <alignment horizontal="center" vertical="center"/>
    </xf>
    <xf numFmtId="0" fontId="18" fillId="5" borderId="40" xfId="0" applyFont="1" applyFill="1" applyBorder="1" applyAlignment="1">
      <alignment horizontal="center" vertical="center"/>
    </xf>
    <xf numFmtId="0" fontId="17" fillId="5" borderId="11" xfId="0" applyFont="1" applyFill="1" applyBorder="1" applyAlignment="1">
      <alignment horizontal="center" vertical="center"/>
    </xf>
    <xf numFmtId="0" fontId="18" fillId="5" borderId="30" xfId="0" applyFont="1" applyFill="1" applyBorder="1" applyAlignment="1">
      <alignment horizontal="center" vertical="center"/>
    </xf>
    <xf numFmtId="0" fontId="18" fillId="5" borderId="12" xfId="0" applyFont="1" applyFill="1" applyBorder="1" applyAlignment="1">
      <alignment horizontal="center" vertical="center"/>
    </xf>
    <xf numFmtId="0" fontId="5" fillId="2" borderId="30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/>
    </xf>
    <xf numFmtId="0" fontId="5" fillId="2" borderId="10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49" xfId="0" applyFont="1" applyFill="1" applyBorder="1" applyAlignment="1">
      <alignment horizontal="center" vertical="center"/>
    </xf>
  </cellXfs>
  <cellStyles count="3">
    <cellStyle name="Normal" xfId="0" builtinId="0"/>
    <cellStyle name="Normal 3" xfId="1" xr:uid="{BD6AD493-3F2F-4E7D-8C28-7029BAE83D40}"/>
    <cellStyle name="Percent" xfId="2" builtinId="5"/>
  </cellStyles>
  <dxfs count="25">
    <dxf>
      <fill>
        <patternFill>
          <bgColor rgb="FF993366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rgb="FFFFDDDD"/>
        </patternFill>
      </fill>
    </dxf>
    <dxf>
      <fill>
        <patternFill>
          <bgColor rgb="FF62B967"/>
        </patternFill>
      </fill>
    </dxf>
    <dxf>
      <fill>
        <patternFill>
          <bgColor rgb="FFFFE084"/>
        </patternFill>
      </fill>
    </dxf>
    <dxf>
      <fill>
        <patternFill>
          <bgColor rgb="FFE6AC00"/>
        </patternFill>
      </fill>
    </dxf>
    <dxf>
      <fill>
        <patternFill>
          <bgColor rgb="FFC00000"/>
        </patternFill>
      </fill>
    </dxf>
    <dxf>
      <fill>
        <patternFill>
          <bgColor rgb="FF13868C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993366"/>
        </patternFill>
      </fill>
    </dxf>
    <dxf>
      <font>
        <color rgb="FFFF0000"/>
      </font>
      <fill>
        <patternFill>
          <bgColor rgb="FFFFDDDD"/>
        </patternFill>
      </fill>
    </dxf>
    <dxf>
      <font>
        <color theme="9"/>
      </font>
      <fill>
        <patternFill>
          <bgColor theme="9" tint="0.79998168889431442"/>
        </patternFill>
      </fill>
    </dxf>
    <dxf>
      <font>
        <color theme="0" tint="-0.499984740745262"/>
      </font>
      <fill>
        <patternFill>
          <bgColor theme="0" tint="-4.9989318521683403E-2"/>
        </patternFill>
      </fill>
    </dxf>
    <dxf>
      <fill>
        <patternFill patternType="darkUp">
          <fgColor theme="0" tint="-0.14996795556505021"/>
          <bgColor theme="0" tint="-0.24994659260841701"/>
        </patternFill>
      </fill>
    </dxf>
    <dxf>
      <fill>
        <patternFill>
          <bgColor rgb="FFCEEAB0"/>
        </patternFill>
      </fill>
    </dxf>
    <dxf>
      <fill>
        <patternFill>
          <bgColor rgb="FFFFDDDD"/>
        </patternFill>
      </fill>
    </dxf>
    <dxf>
      <fill>
        <patternFill patternType="darkUp">
          <fgColor theme="0" tint="-0.14996795556505021"/>
          <bgColor theme="0" tint="-0.24994659260841701"/>
        </patternFill>
      </fill>
    </dxf>
    <dxf>
      <fill>
        <patternFill>
          <bgColor rgb="FF62B967"/>
        </patternFill>
      </fill>
    </dxf>
    <dxf>
      <fill>
        <patternFill>
          <bgColor rgb="FFFFE084"/>
        </patternFill>
      </fill>
    </dxf>
    <dxf>
      <fill>
        <patternFill>
          <bgColor rgb="FFE6AC00"/>
        </patternFill>
      </fill>
    </dxf>
    <dxf>
      <fill>
        <patternFill>
          <bgColor rgb="FFC00000"/>
        </patternFill>
      </fill>
    </dxf>
    <dxf>
      <fill>
        <patternFill>
          <bgColor rgb="FF13868C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993366"/>
      <color rgb="FF13868C"/>
      <color rgb="FFFFDDDD"/>
      <color rgb="FF62B967"/>
      <color rgb="FF1CC6CE"/>
      <color rgb="FFFFE084"/>
      <color rgb="FFE6AC00"/>
      <color rgb="FFC00000"/>
      <color rgb="FFFFF4F4"/>
      <color rgb="FFCEEAB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ln>
                    <a:noFill/>
                  </a:ln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bg1">
              <a:lumMod val="75000"/>
            </a:schemeClr>
          </a:solidFill>
          <a:ln>
            <a:noFill/>
          </a:ln>
          <a:effectLst/>
        </c:spPr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v>1. Concluído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lt002_instrument</c:v>
              </c:pt>
              <c:pt idx="1">
                <c:v>lt004_protection</c:v>
              </c:pt>
              <c:pt idx="2">
                <c:v>lt006_instr_protection</c:v>
              </c:pt>
              <c:pt idx="3">
                <c:v>lt007_instr_activity</c:v>
              </c:pt>
              <c:pt idx="4">
                <c:v>lt824_assoc_kpi_gd</c:v>
              </c:pt>
            </c:strLit>
          </c:cat>
          <c:val>
            <c:numLit>
              <c:formatCode>General</c:formatCode>
              <c:ptCount val="5"/>
              <c:pt idx="0">
                <c:v>40</c:v>
              </c:pt>
              <c:pt idx="1">
                <c:v>5</c:v>
              </c:pt>
              <c:pt idx="2">
                <c:v>4</c:v>
              </c:pt>
              <c:pt idx="3">
                <c:v>0</c:v>
              </c:pt>
              <c:pt idx="4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48D8-4D7A-B07B-102AF28B5383}"/>
            </c:ext>
          </c:extLst>
        </c:ser>
        <c:ser>
          <c:idx val="1"/>
          <c:order val="1"/>
          <c:tx>
            <c:v>2. Em Especificação/Re-especificação</c:v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lt002_instrument</c:v>
              </c:pt>
              <c:pt idx="1">
                <c:v>lt004_protection</c:v>
              </c:pt>
              <c:pt idx="2">
                <c:v>lt006_instr_protection</c:v>
              </c:pt>
              <c:pt idx="3">
                <c:v>lt007_instr_activity</c:v>
              </c:pt>
              <c:pt idx="4">
                <c:v>lt824_assoc_kpi_gd</c:v>
              </c:pt>
            </c:strLit>
          </c:cat>
          <c:val>
            <c:numLit>
              <c:formatCode>General</c:formatCode>
              <c:ptCount val="5"/>
              <c:pt idx="0">
                <c:v>9</c:v>
              </c:pt>
              <c:pt idx="1">
                <c:v>0</c:v>
              </c:pt>
              <c:pt idx="2">
                <c:v>0</c:v>
              </c:pt>
              <c:pt idx="3">
                <c:v>3</c:v>
              </c:pt>
              <c:pt idx="4">
                <c:v>6</c:v>
              </c:pt>
            </c:numLit>
          </c:val>
          <c:extLst>
            <c:ext xmlns:c16="http://schemas.microsoft.com/office/drawing/2014/chart" uri="{C3380CC4-5D6E-409C-BE32-E72D297353CC}">
              <c16:uniqueId val="{00000001-48D8-4D7A-B07B-102AF28B5383}"/>
            </c:ext>
          </c:extLst>
        </c:ser>
        <c:ser>
          <c:idx val="2"/>
          <c:order val="2"/>
          <c:tx>
            <c:v>5. Por Iniciar</c:v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ln>
                      <a:noFill/>
                    </a:ln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lt002_instrument</c:v>
              </c:pt>
              <c:pt idx="1">
                <c:v>lt004_protection</c:v>
              </c:pt>
              <c:pt idx="2">
                <c:v>lt006_instr_protection</c:v>
              </c:pt>
              <c:pt idx="3">
                <c:v>lt007_instr_activity</c:v>
              </c:pt>
              <c:pt idx="4">
                <c:v>lt824_assoc_kpi_gd</c:v>
              </c:pt>
            </c:strLit>
          </c:cat>
          <c:val>
            <c:numLit>
              <c:formatCode>General</c:formatCode>
              <c:ptCount val="5"/>
              <c:pt idx="0">
                <c:v>2</c:v>
              </c:pt>
              <c:pt idx="1">
                <c:v>1</c:v>
              </c:pt>
              <c:pt idx="2">
                <c:v>1</c:v>
              </c:pt>
              <c:pt idx="3">
                <c:v>3</c:v>
              </c:pt>
              <c:pt idx="4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2-48D8-4D7A-B07B-102AF28B53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62007519"/>
        <c:axId val="961995519"/>
      </c:barChart>
      <c:catAx>
        <c:axId val="9620075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Santander Text" panose="020B0504020201020104" pitchFamily="34" charset="0"/>
                <a:ea typeface="+mn-ea"/>
                <a:cs typeface="+mn-cs"/>
              </a:defRPr>
            </a:pPr>
            <a:endParaRPr lang="pt-PT"/>
          </a:p>
        </c:txPr>
        <c:crossAx val="961995519"/>
        <c:crosses val="autoZero"/>
        <c:auto val="1"/>
        <c:lblAlgn val="ctr"/>
        <c:lblOffset val="100"/>
        <c:noMultiLvlLbl val="0"/>
      </c:catAx>
      <c:valAx>
        <c:axId val="96199551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620075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[BS_TestesGD_Fase2_MacroPlano_v1.13.xlsx]Aux Gráficos!PivotTable2</c:name>
    <c:fmtId val="10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rgbClr val="99336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rgbClr val="E6AC00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rgbClr val="99336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rgbClr val="13868C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rgbClr val="993366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'Aux Gráficos'!$G$5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993366"/>
            </a:solidFill>
          </c:spPr>
          <c:dPt>
            <c:idx val="0"/>
            <c:bubble3D val="0"/>
            <c:spPr>
              <a:solidFill>
                <a:srgbClr val="62B96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04C-439A-998A-52FA0B0A2FF1}"/>
              </c:ext>
            </c:extLst>
          </c:dPt>
          <c:dPt>
            <c:idx val="1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E04C-439A-998A-52FA0B0A2FF1}"/>
              </c:ext>
            </c:extLst>
          </c:dPt>
          <c:dPt>
            <c:idx val="2"/>
            <c:bubble3D val="0"/>
            <c:spPr>
              <a:solidFill>
                <a:srgbClr val="13868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778-40CC-ABF6-A7C05077E334}"/>
              </c:ext>
            </c:extLst>
          </c:dPt>
          <c:dPt>
            <c:idx val="3"/>
            <c:bubble3D val="0"/>
            <c:spPr>
              <a:solidFill>
                <a:srgbClr val="99336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47F-4322-845D-5F230D4AD318}"/>
              </c:ext>
            </c:extLst>
          </c:dPt>
          <c:dPt>
            <c:idx val="4"/>
            <c:bubble3D val="0"/>
            <c:spPr>
              <a:solidFill>
                <a:srgbClr val="99336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47F-4322-845D-5F230D4AD31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'Aux Gráficos'!$F$6:$F$8</c:f>
              <c:strCache>
                <c:ptCount val="3"/>
                <c:pt idx="0">
                  <c:v>1. Concluído</c:v>
                </c:pt>
                <c:pt idx="1">
                  <c:v>4. Em Correção</c:v>
                </c:pt>
                <c:pt idx="2">
                  <c:v>5. Em Re-teste</c:v>
                </c:pt>
              </c:strCache>
            </c:strRef>
          </c:cat>
          <c:val>
            <c:numRef>
              <c:f>'Aux Gráficos'!$G$6:$G$8</c:f>
              <c:numCache>
                <c:formatCode>General</c:formatCode>
                <c:ptCount val="3"/>
                <c:pt idx="0">
                  <c:v>31</c:v>
                </c:pt>
                <c:pt idx="1">
                  <c:v>3</c:v>
                </c:pt>
                <c:pt idx="2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04C-439A-998A-52FA0B0A2FF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[BS_TestesGD_Fase2_MacroPlano_v1.13.xlsx]Aux Gráficos!PivotTable3</c:name>
    <c:fmtId val="12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rgbClr val="13868C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'Aux Gráficos'!$G$19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62B96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060-4816-94BD-E24F43E28A06}"/>
              </c:ext>
            </c:extLst>
          </c:dPt>
          <c:dPt>
            <c:idx val="1"/>
            <c:bubble3D val="0"/>
            <c:spPr>
              <a:solidFill>
                <a:srgbClr val="13868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F060-4816-94BD-E24F43E28A0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B47-4287-B169-3CF102116B5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'Aux Gráficos'!$F$20:$F$21</c:f>
              <c:strCache>
                <c:ptCount val="2"/>
                <c:pt idx="0">
                  <c:v>1. Concluído</c:v>
                </c:pt>
                <c:pt idx="1">
                  <c:v>5. Em Re-teste</c:v>
                </c:pt>
              </c:strCache>
            </c:strRef>
          </c:cat>
          <c:val>
            <c:numRef>
              <c:f>'Aux Gráficos'!$G$20:$G$21</c:f>
              <c:numCache>
                <c:formatCode>General</c:formatCode>
                <c:ptCount val="2"/>
                <c:pt idx="0">
                  <c:v>5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060-4816-94BD-E24F43E28A0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[BS_TestesGD_Fase2_MacroPlano_v1.13.xlsx]Aux Gráficos!PivotTable1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rgbClr val="993366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'Aux Gráficos'!$G$27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62B96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1F6-4BA8-8035-627883CBB0F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1F6-4BA8-8035-627883CBB0F7}"/>
              </c:ext>
            </c:extLst>
          </c:dPt>
          <c:dPt>
            <c:idx val="2"/>
            <c:bubble3D val="0"/>
            <c:spPr>
              <a:solidFill>
                <a:srgbClr val="99336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FD7-44E1-B514-67A9FA93F97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'Aux Gráficos'!$F$28:$F$30</c:f>
              <c:strCache>
                <c:ptCount val="3"/>
                <c:pt idx="0">
                  <c:v>1. Concluído</c:v>
                </c:pt>
                <c:pt idx="1">
                  <c:v>5. Em Re-teste</c:v>
                </c:pt>
                <c:pt idx="2">
                  <c:v>8. Pendente </c:v>
                </c:pt>
              </c:strCache>
            </c:strRef>
          </c:cat>
          <c:val>
            <c:numRef>
              <c:f>'Aux Gráficos'!$G$28:$G$30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1F6-4BA8-8035-627883CBB0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[BS_TestesGD_Fase2_MacroPlano_v1.13.xlsx]Aux Gráficos!PivotTable4</c:name>
    <c:fmtId val="7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rgbClr val="13868C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'Aux Gráficos'!$K$27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2B967"/>
            </a:solidFill>
          </c:spPr>
          <c:dPt>
            <c:idx val="0"/>
            <c:bubble3D val="0"/>
            <c:spPr>
              <a:solidFill>
                <a:srgbClr val="62B96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9AD-4564-9B1D-CC7074DDA96E}"/>
              </c:ext>
            </c:extLst>
          </c:dPt>
          <c:dPt>
            <c:idx val="1"/>
            <c:bubble3D val="0"/>
            <c:spPr>
              <a:solidFill>
                <a:srgbClr val="13868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E709-4E23-9481-227ADD26D81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'Aux Gráficos'!$J$28:$J$29</c:f>
              <c:strCache>
                <c:ptCount val="2"/>
                <c:pt idx="0">
                  <c:v>1. Concluído</c:v>
                </c:pt>
                <c:pt idx="1">
                  <c:v>5. Em Re-teste</c:v>
                </c:pt>
              </c:strCache>
            </c:strRef>
          </c:cat>
          <c:val>
            <c:numRef>
              <c:f>'Aux Gráficos'!$K$28:$K$29</c:f>
              <c:numCache>
                <c:formatCode>General</c:formatCode>
                <c:ptCount val="2"/>
                <c:pt idx="0">
                  <c:v>4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9AD-4564-9B1D-CC7074DDA96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5.xml"/><Relationship Id="rId3" Type="http://schemas.openxmlformats.org/officeDocument/2006/relationships/image" Target="../media/image3.svg"/><Relationship Id="rId7" Type="http://schemas.openxmlformats.org/officeDocument/2006/relationships/chart" Target="../charts/chart4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chart" Target="../charts/chart3.xml"/><Relationship Id="rId5" Type="http://schemas.openxmlformats.org/officeDocument/2006/relationships/chart" Target="../charts/chart2.xml"/><Relationship Id="rId4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152434</xdr:colOff>
      <xdr:row>0</xdr:row>
      <xdr:rowOff>109683</xdr:rowOff>
    </xdr:from>
    <xdr:to>
      <xdr:col>4</xdr:col>
      <xdr:colOff>433463</xdr:colOff>
      <xdr:row>3</xdr:row>
      <xdr:rowOff>0</xdr:rowOff>
    </xdr:to>
    <xdr:pic>
      <xdr:nvPicPr>
        <xdr:cNvPr id="2" name="Graphic 267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20934" y="109683"/>
          <a:ext cx="1233529" cy="525317"/>
        </a:xfrm>
        <a:prstGeom prst="rect">
          <a:avLst/>
        </a:prstGeom>
      </xdr:spPr>
    </xdr:pic>
    <xdr:clientData/>
  </xdr:twoCellAnchor>
  <xdr:twoCellAnchor editAs="absolute">
    <xdr:from>
      <xdr:col>0</xdr:col>
      <xdr:colOff>187165</xdr:colOff>
      <xdr:row>1</xdr:row>
      <xdr:rowOff>2312</xdr:rowOff>
    </xdr:from>
    <xdr:to>
      <xdr:col>2</xdr:col>
      <xdr:colOff>1196764</xdr:colOff>
      <xdr:row>2</xdr:row>
      <xdr:rowOff>113823</xdr:rowOff>
    </xdr:to>
    <xdr:pic>
      <xdr:nvPicPr>
        <xdr:cNvPr id="8" name="Gráfico 10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87165" y="213979"/>
          <a:ext cx="1548502" cy="323177"/>
        </a:xfrm>
        <a:prstGeom prst="rect">
          <a:avLst/>
        </a:prstGeom>
      </xdr:spPr>
    </xdr:pic>
    <xdr:clientData/>
  </xdr:twoCellAnchor>
  <xdr:twoCellAnchor>
    <xdr:from>
      <xdr:col>1</xdr:col>
      <xdr:colOff>103372</xdr:colOff>
      <xdr:row>62</xdr:row>
      <xdr:rowOff>0</xdr:rowOff>
    </xdr:from>
    <xdr:to>
      <xdr:col>6</xdr:col>
      <xdr:colOff>542925</xdr:colOff>
      <xdr:row>62</xdr:row>
      <xdr:rowOff>0</xdr:rowOff>
    </xdr:to>
    <xdr:graphicFrame macro="">
      <xdr:nvGraphicFramePr>
        <xdr:cNvPr id="10" name="Chart 1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73342</xdr:colOff>
      <xdr:row>46</xdr:row>
      <xdr:rowOff>169070</xdr:rowOff>
    </xdr:from>
    <xdr:to>
      <xdr:col>5</xdr:col>
      <xdr:colOff>0</xdr:colOff>
      <xdr:row>56</xdr:row>
      <xdr:rowOff>174515</xdr:rowOff>
    </xdr:to>
    <xdr:graphicFrame macro="">
      <xdr:nvGraphicFramePr>
        <xdr:cNvPr id="42" name="Chart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73342</xdr:colOff>
      <xdr:row>64</xdr:row>
      <xdr:rowOff>186690</xdr:rowOff>
    </xdr:from>
    <xdr:to>
      <xdr:col>5</xdr:col>
      <xdr:colOff>0</xdr:colOff>
      <xdr:row>74</xdr:row>
      <xdr:rowOff>211185</xdr:rowOff>
    </xdr:to>
    <xdr:graphicFrame macro="">
      <xdr:nvGraphicFramePr>
        <xdr:cNvPr id="63" name="Chart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514955</xdr:colOff>
      <xdr:row>48</xdr:row>
      <xdr:rowOff>60413</xdr:rowOff>
    </xdr:from>
    <xdr:to>
      <xdr:col>5</xdr:col>
      <xdr:colOff>623257</xdr:colOff>
      <xdr:row>48</xdr:row>
      <xdr:rowOff>175831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>
          <a:spLocks noChangeAspect="1"/>
        </xdr:cNvSpPr>
      </xdr:nvSpPr>
      <xdr:spPr>
        <a:xfrm>
          <a:off x="4511222" y="8544013"/>
          <a:ext cx="108302" cy="115418"/>
        </a:xfrm>
        <a:prstGeom prst="ellipse">
          <a:avLst/>
        </a:prstGeom>
        <a:solidFill>
          <a:srgbClr val="62B967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5</xdr:col>
      <xdr:colOff>514955</xdr:colOff>
      <xdr:row>49</xdr:row>
      <xdr:rowOff>58653</xdr:rowOff>
    </xdr:from>
    <xdr:to>
      <xdr:col>5</xdr:col>
      <xdr:colOff>623257</xdr:colOff>
      <xdr:row>49</xdr:row>
      <xdr:rowOff>174071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>
          <a:spLocks noChangeAspect="1"/>
        </xdr:cNvSpPr>
      </xdr:nvSpPr>
      <xdr:spPr>
        <a:xfrm>
          <a:off x="4511222" y="8762386"/>
          <a:ext cx="108302" cy="115418"/>
        </a:xfrm>
        <a:prstGeom prst="ellipse">
          <a:avLst/>
        </a:prstGeom>
        <a:solidFill>
          <a:srgbClr val="FFE08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5</xdr:col>
      <xdr:colOff>514955</xdr:colOff>
      <xdr:row>50</xdr:row>
      <xdr:rowOff>60602</xdr:rowOff>
    </xdr:from>
    <xdr:to>
      <xdr:col>5</xdr:col>
      <xdr:colOff>623257</xdr:colOff>
      <xdr:row>50</xdr:row>
      <xdr:rowOff>168507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>
          <a:spLocks noChangeAspect="1"/>
        </xdr:cNvSpPr>
      </xdr:nvSpPr>
      <xdr:spPr>
        <a:xfrm>
          <a:off x="4511222" y="8984469"/>
          <a:ext cx="108302" cy="107905"/>
        </a:xfrm>
        <a:prstGeom prst="ellipse">
          <a:avLst/>
        </a:prstGeom>
        <a:solidFill>
          <a:srgbClr val="E6AC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5</xdr:col>
      <xdr:colOff>517627</xdr:colOff>
      <xdr:row>51</xdr:row>
      <xdr:rowOff>55178</xdr:rowOff>
    </xdr:from>
    <xdr:to>
      <xdr:col>5</xdr:col>
      <xdr:colOff>627722</xdr:colOff>
      <xdr:row>51</xdr:row>
      <xdr:rowOff>168764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>
          <a:spLocks noChangeAspect="1"/>
        </xdr:cNvSpPr>
      </xdr:nvSpPr>
      <xdr:spPr>
        <a:xfrm>
          <a:off x="4513894" y="9199178"/>
          <a:ext cx="110095" cy="113586"/>
        </a:xfrm>
        <a:prstGeom prst="ellipse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5</xdr:col>
      <xdr:colOff>515605</xdr:colOff>
      <xdr:row>52</xdr:row>
      <xdr:rowOff>50335</xdr:rowOff>
    </xdr:from>
    <xdr:to>
      <xdr:col>5</xdr:col>
      <xdr:colOff>622608</xdr:colOff>
      <xdr:row>52</xdr:row>
      <xdr:rowOff>167212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SpPr>
          <a:spLocks noChangeAspect="1"/>
        </xdr:cNvSpPr>
      </xdr:nvSpPr>
      <xdr:spPr>
        <a:xfrm>
          <a:off x="4511872" y="9414468"/>
          <a:ext cx="107003" cy="116877"/>
        </a:xfrm>
        <a:prstGeom prst="ellipse">
          <a:avLst/>
        </a:prstGeom>
        <a:solidFill>
          <a:srgbClr val="13868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5</xdr:col>
      <xdr:colOff>518025</xdr:colOff>
      <xdr:row>53</xdr:row>
      <xdr:rowOff>56999</xdr:rowOff>
    </xdr:from>
    <xdr:to>
      <xdr:col>5</xdr:col>
      <xdr:colOff>627325</xdr:colOff>
      <xdr:row>53</xdr:row>
      <xdr:rowOff>170585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SpPr>
          <a:spLocks noChangeAspect="1"/>
        </xdr:cNvSpPr>
      </xdr:nvSpPr>
      <xdr:spPr>
        <a:xfrm>
          <a:off x="4514292" y="9641266"/>
          <a:ext cx="109300" cy="113586"/>
        </a:xfrm>
        <a:prstGeom prst="ellipse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5</xdr:col>
      <xdr:colOff>525545</xdr:colOff>
      <xdr:row>54</xdr:row>
      <xdr:rowOff>56002</xdr:rowOff>
    </xdr:from>
    <xdr:to>
      <xdr:col>5</xdr:col>
      <xdr:colOff>622958</xdr:colOff>
      <xdr:row>54</xdr:row>
      <xdr:rowOff>171202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SpPr>
          <a:spLocks noChangeAspect="1"/>
        </xdr:cNvSpPr>
      </xdr:nvSpPr>
      <xdr:spPr>
        <a:xfrm>
          <a:off x="4521812" y="9860402"/>
          <a:ext cx="97413" cy="115200"/>
        </a:xfrm>
        <a:prstGeom prst="ellipse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pt-PT" sz="1100"/>
        </a:p>
      </xdr:txBody>
    </xdr:sp>
    <xdr:clientData/>
  </xdr:twoCellAnchor>
  <xdr:twoCellAnchor>
    <xdr:from>
      <xdr:col>5</xdr:col>
      <xdr:colOff>514955</xdr:colOff>
      <xdr:row>66</xdr:row>
      <xdr:rowOff>59690</xdr:rowOff>
    </xdr:from>
    <xdr:to>
      <xdr:col>5</xdr:col>
      <xdr:colOff>627722</xdr:colOff>
      <xdr:row>72</xdr:row>
      <xdr:rowOff>174580</xdr:rowOff>
    </xdr:to>
    <xdr:grpSp>
      <xdr:nvGrpSpPr>
        <xdr:cNvPr id="34" name="Group 33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GrpSpPr/>
      </xdr:nvGrpSpPr>
      <xdr:grpSpPr>
        <a:xfrm>
          <a:off x="4511222" y="12336357"/>
          <a:ext cx="112767" cy="1435690"/>
          <a:chOff x="4676745" y="3155403"/>
          <a:chExt cx="120387" cy="1450295"/>
        </a:xfrm>
      </xdr:grpSpPr>
      <xdr:sp macro="" textlink="">
        <xdr:nvSpPr>
          <xdr:cNvPr id="35" name="Oval 34">
            <a:extLst>
              <a:ext uri="{FF2B5EF4-FFF2-40B4-BE49-F238E27FC236}">
                <a16:creationId xmlns:a16="http://schemas.microsoft.com/office/drawing/2014/main" id="{00000000-0008-0000-0100-000023000000}"/>
              </a:ext>
            </a:extLst>
          </xdr:cNvPr>
          <xdr:cNvSpPr>
            <a:spLocks noChangeAspect="1"/>
          </xdr:cNvSpPr>
        </xdr:nvSpPr>
        <xdr:spPr>
          <a:xfrm>
            <a:off x="4676745" y="3155403"/>
            <a:ext cx="115620" cy="117058"/>
          </a:xfrm>
          <a:prstGeom prst="ellipse">
            <a:avLst/>
          </a:prstGeom>
          <a:solidFill>
            <a:srgbClr val="62B967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36" name="Oval 35">
            <a:extLst>
              <a:ext uri="{FF2B5EF4-FFF2-40B4-BE49-F238E27FC236}">
                <a16:creationId xmlns:a16="http://schemas.microsoft.com/office/drawing/2014/main" id="{00000000-0008-0000-0100-000024000000}"/>
              </a:ext>
            </a:extLst>
          </xdr:cNvPr>
          <xdr:cNvSpPr>
            <a:spLocks noChangeAspect="1"/>
          </xdr:cNvSpPr>
        </xdr:nvSpPr>
        <xdr:spPr>
          <a:xfrm>
            <a:off x="4676745" y="3376879"/>
            <a:ext cx="115620" cy="117058"/>
          </a:xfrm>
          <a:prstGeom prst="ellipse">
            <a:avLst/>
          </a:prstGeom>
          <a:solidFill>
            <a:srgbClr val="FFE084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37" name="Oval 36">
            <a:extLst>
              <a:ext uri="{FF2B5EF4-FFF2-40B4-BE49-F238E27FC236}">
                <a16:creationId xmlns:a16="http://schemas.microsoft.com/office/drawing/2014/main" id="{00000000-0008-0000-0100-000025000000}"/>
              </a:ext>
            </a:extLst>
          </xdr:cNvPr>
          <xdr:cNvSpPr>
            <a:spLocks noChangeAspect="1"/>
          </xdr:cNvSpPr>
        </xdr:nvSpPr>
        <xdr:spPr>
          <a:xfrm>
            <a:off x="4676745" y="3602118"/>
            <a:ext cx="115620" cy="109438"/>
          </a:xfrm>
          <a:prstGeom prst="ellipse">
            <a:avLst/>
          </a:prstGeom>
          <a:solidFill>
            <a:srgbClr val="E6AC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38" name="Oval 37">
            <a:extLst>
              <a:ext uri="{FF2B5EF4-FFF2-40B4-BE49-F238E27FC236}">
                <a16:creationId xmlns:a16="http://schemas.microsoft.com/office/drawing/2014/main" id="{00000000-0008-0000-0100-000026000000}"/>
              </a:ext>
            </a:extLst>
          </xdr:cNvPr>
          <xdr:cNvSpPr>
            <a:spLocks noChangeAspect="1"/>
          </xdr:cNvSpPr>
        </xdr:nvSpPr>
        <xdr:spPr>
          <a:xfrm>
            <a:off x="4679598" y="3819878"/>
            <a:ext cx="117534" cy="115200"/>
          </a:xfrm>
          <a:prstGeom prst="ellipse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39" name="Oval 38">
            <a:extLst>
              <a:ext uri="{FF2B5EF4-FFF2-40B4-BE49-F238E27FC236}">
                <a16:creationId xmlns:a16="http://schemas.microsoft.com/office/drawing/2014/main" id="{00000000-0008-0000-0100-000027000000}"/>
              </a:ext>
            </a:extLst>
          </xdr:cNvPr>
          <xdr:cNvSpPr>
            <a:spLocks noChangeAspect="1"/>
          </xdr:cNvSpPr>
        </xdr:nvSpPr>
        <xdr:spPr>
          <a:xfrm>
            <a:off x="4677439" y="4038227"/>
            <a:ext cx="114233" cy="118538"/>
          </a:xfrm>
          <a:prstGeom prst="ellipse">
            <a:avLst/>
          </a:prstGeom>
          <a:solidFill>
            <a:srgbClr val="13868C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40" name="Oval 39">
            <a:extLst>
              <a:ext uri="{FF2B5EF4-FFF2-40B4-BE49-F238E27FC236}">
                <a16:creationId xmlns:a16="http://schemas.microsoft.com/office/drawing/2014/main" id="{00000000-0008-0000-0100-000028000000}"/>
              </a:ext>
            </a:extLst>
          </xdr:cNvPr>
          <xdr:cNvSpPr>
            <a:spLocks noChangeAspect="1"/>
          </xdr:cNvSpPr>
        </xdr:nvSpPr>
        <xdr:spPr>
          <a:xfrm>
            <a:off x="4680022" y="4268248"/>
            <a:ext cx="116686" cy="115200"/>
          </a:xfrm>
          <a:prstGeom prst="ellipse">
            <a:avLst/>
          </a:prstGeom>
          <a:solidFill>
            <a:schemeClr val="bg1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41" name="Oval 40">
            <a:extLst>
              <a:ext uri="{FF2B5EF4-FFF2-40B4-BE49-F238E27FC236}">
                <a16:creationId xmlns:a16="http://schemas.microsoft.com/office/drawing/2014/main" id="{00000000-0008-0000-0100-000029000000}"/>
              </a:ext>
            </a:extLst>
          </xdr:cNvPr>
          <xdr:cNvSpPr>
            <a:spLocks noChangeAspect="1"/>
          </xdr:cNvSpPr>
        </xdr:nvSpPr>
        <xdr:spPr>
          <a:xfrm>
            <a:off x="4688049" y="4490498"/>
            <a:ext cx="102538" cy="115200"/>
          </a:xfrm>
          <a:prstGeom prst="ellipse">
            <a:avLst/>
          </a:prstGeom>
          <a:solidFill>
            <a:srgbClr val="FF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 sz="1100"/>
          </a:p>
        </xdr:txBody>
      </xdr:sp>
    </xdr:grpSp>
    <xdr:clientData/>
  </xdr:twoCellAnchor>
  <xdr:twoCellAnchor>
    <xdr:from>
      <xdr:col>5</xdr:col>
      <xdr:colOff>511145</xdr:colOff>
      <xdr:row>102</xdr:row>
      <xdr:rowOff>55880</xdr:rowOff>
    </xdr:from>
    <xdr:to>
      <xdr:col>5</xdr:col>
      <xdr:colOff>631532</xdr:colOff>
      <xdr:row>109</xdr:row>
      <xdr:rowOff>1437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0B5D7F23-980B-4F0F-A800-73BEAD32F0F3}"/>
            </a:ext>
          </a:extLst>
        </xdr:cNvPr>
        <xdr:cNvGrpSpPr/>
      </xdr:nvGrpSpPr>
      <xdr:grpSpPr>
        <a:xfrm>
          <a:off x="4507412" y="19918680"/>
          <a:ext cx="120387" cy="1486490"/>
          <a:chOff x="4676745" y="3155403"/>
          <a:chExt cx="120387" cy="1450295"/>
        </a:xfrm>
      </xdr:grpSpPr>
      <xdr:sp macro="" textlink="">
        <xdr:nvSpPr>
          <xdr:cNvPr id="9" name="Oval 8">
            <a:extLst>
              <a:ext uri="{FF2B5EF4-FFF2-40B4-BE49-F238E27FC236}">
                <a16:creationId xmlns:a16="http://schemas.microsoft.com/office/drawing/2014/main" id="{E721572A-29E3-335A-7EDF-6FF4E6011FA0}"/>
              </a:ext>
            </a:extLst>
          </xdr:cNvPr>
          <xdr:cNvSpPr>
            <a:spLocks noChangeAspect="1"/>
          </xdr:cNvSpPr>
        </xdr:nvSpPr>
        <xdr:spPr>
          <a:xfrm>
            <a:off x="4676745" y="3155403"/>
            <a:ext cx="115620" cy="117058"/>
          </a:xfrm>
          <a:prstGeom prst="ellipse">
            <a:avLst/>
          </a:prstGeom>
          <a:solidFill>
            <a:srgbClr val="62B967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12" name="Oval 11">
            <a:extLst>
              <a:ext uri="{FF2B5EF4-FFF2-40B4-BE49-F238E27FC236}">
                <a16:creationId xmlns:a16="http://schemas.microsoft.com/office/drawing/2014/main" id="{F9C19BED-B856-984F-DEF3-BB23F1CF415A}"/>
              </a:ext>
            </a:extLst>
          </xdr:cNvPr>
          <xdr:cNvSpPr>
            <a:spLocks noChangeAspect="1"/>
          </xdr:cNvSpPr>
        </xdr:nvSpPr>
        <xdr:spPr>
          <a:xfrm>
            <a:off x="4676745" y="3376879"/>
            <a:ext cx="115620" cy="117058"/>
          </a:xfrm>
          <a:prstGeom prst="ellipse">
            <a:avLst/>
          </a:prstGeom>
          <a:solidFill>
            <a:srgbClr val="FFE084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13" name="Oval 12">
            <a:extLst>
              <a:ext uri="{FF2B5EF4-FFF2-40B4-BE49-F238E27FC236}">
                <a16:creationId xmlns:a16="http://schemas.microsoft.com/office/drawing/2014/main" id="{27F2FD11-E751-9C68-F26B-29689A7818E9}"/>
              </a:ext>
            </a:extLst>
          </xdr:cNvPr>
          <xdr:cNvSpPr>
            <a:spLocks noChangeAspect="1"/>
          </xdr:cNvSpPr>
        </xdr:nvSpPr>
        <xdr:spPr>
          <a:xfrm>
            <a:off x="4676745" y="3602118"/>
            <a:ext cx="115620" cy="109438"/>
          </a:xfrm>
          <a:prstGeom prst="ellipse">
            <a:avLst/>
          </a:prstGeom>
          <a:solidFill>
            <a:srgbClr val="E6AC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14" name="Oval 13">
            <a:extLst>
              <a:ext uri="{FF2B5EF4-FFF2-40B4-BE49-F238E27FC236}">
                <a16:creationId xmlns:a16="http://schemas.microsoft.com/office/drawing/2014/main" id="{65EE4120-D440-44C3-BE01-31DD220BE15D}"/>
              </a:ext>
            </a:extLst>
          </xdr:cNvPr>
          <xdr:cNvSpPr>
            <a:spLocks noChangeAspect="1"/>
          </xdr:cNvSpPr>
        </xdr:nvSpPr>
        <xdr:spPr>
          <a:xfrm>
            <a:off x="4679598" y="3819878"/>
            <a:ext cx="117534" cy="115200"/>
          </a:xfrm>
          <a:prstGeom prst="ellipse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15" name="Oval 14">
            <a:extLst>
              <a:ext uri="{FF2B5EF4-FFF2-40B4-BE49-F238E27FC236}">
                <a16:creationId xmlns:a16="http://schemas.microsoft.com/office/drawing/2014/main" id="{81CE0861-4707-50FE-2EBC-B5763BBAE9C9}"/>
              </a:ext>
            </a:extLst>
          </xdr:cNvPr>
          <xdr:cNvSpPr>
            <a:spLocks noChangeAspect="1"/>
          </xdr:cNvSpPr>
        </xdr:nvSpPr>
        <xdr:spPr>
          <a:xfrm>
            <a:off x="4677439" y="4038227"/>
            <a:ext cx="114233" cy="118538"/>
          </a:xfrm>
          <a:prstGeom prst="ellipse">
            <a:avLst/>
          </a:prstGeom>
          <a:solidFill>
            <a:srgbClr val="13868C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16" name="Oval 15">
            <a:extLst>
              <a:ext uri="{FF2B5EF4-FFF2-40B4-BE49-F238E27FC236}">
                <a16:creationId xmlns:a16="http://schemas.microsoft.com/office/drawing/2014/main" id="{10288815-56F2-45CD-127E-84D8268234C4}"/>
              </a:ext>
            </a:extLst>
          </xdr:cNvPr>
          <xdr:cNvSpPr>
            <a:spLocks noChangeAspect="1"/>
          </xdr:cNvSpPr>
        </xdr:nvSpPr>
        <xdr:spPr>
          <a:xfrm>
            <a:off x="4680022" y="4268248"/>
            <a:ext cx="116686" cy="115200"/>
          </a:xfrm>
          <a:prstGeom prst="ellipse">
            <a:avLst/>
          </a:prstGeom>
          <a:solidFill>
            <a:schemeClr val="bg1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17" name="Oval 16">
            <a:extLst>
              <a:ext uri="{FF2B5EF4-FFF2-40B4-BE49-F238E27FC236}">
                <a16:creationId xmlns:a16="http://schemas.microsoft.com/office/drawing/2014/main" id="{65130143-93EB-371C-360B-04B53A0BDF32}"/>
              </a:ext>
            </a:extLst>
          </xdr:cNvPr>
          <xdr:cNvSpPr>
            <a:spLocks noChangeAspect="1"/>
          </xdr:cNvSpPr>
        </xdr:nvSpPr>
        <xdr:spPr>
          <a:xfrm>
            <a:off x="4688049" y="4490498"/>
            <a:ext cx="102538" cy="115200"/>
          </a:xfrm>
          <a:prstGeom prst="ellipse">
            <a:avLst/>
          </a:prstGeom>
          <a:solidFill>
            <a:srgbClr val="FF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 sz="1100"/>
          </a:p>
        </xdr:txBody>
      </xdr:sp>
    </xdr:grpSp>
    <xdr:clientData/>
  </xdr:twoCellAnchor>
  <xdr:twoCellAnchor>
    <xdr:from>
      <xdr:col>1</xdr:col>
      <xdr:colOff>146261</xdr:colOff>
      <xdr:row>101</xdr:row>
      <xdr:rowOff>22225</xdr:rowOff>
    </xdr:from>
    <xdr:to>
      <xdr:col>5</xdr:col>
      <xdr:colOff>71978</xdr:colOff>
      <xdr:row>111</xdr:row>
      <xdr:rowOff>51840</xdr:rowOff>
    </xdr:to>
    <xdr:graphicFrame macro="">
      <xdr:nvGraphicFramePr>
        <xdr:cNvPr id="43" name="Chart 18">
          <a:extLst>
            <a:ext uri="{FF2B5EF4-FFF2-40B4-BE49-F238E27FC236}">
              <a16:creationId xmlns:a16="http://schemas.microsoft.com/office/drawing/2014/main" id="{4535DA08-5DDB-41E0-A824-10CA429720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511145</xdr:colOff>
      <xdr:row>84</xdr:row>
      <xdr:rowOff>55880</xdr:rowOff>
    </xdr:from>
    <xdr:to>
      <xdr:col>5</xdr:col>
      <xdr:colOff>631532</xdr:colOff>
      <xdr:row>91</xdr:row>
      <xdr:rowOff>1437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5CFB59A7-A858-4C2E-85A6-D9260AADE41B}"/>
            </a:ext>
          </a:extLst>
        </xdr:cNvPr>
        <xdr:cNvGrpSpPr/>
      </xdr:nvGrpSpPr>
      <xdr:grpSpPr>
        <a:xfrm>
          <a:off x="4507412" y="16125613"/>
          <a:ext cx="120387" cy="1486491"/>
          <a:chOff x="4676745" y="3155403"/>
          <a:chExt cx="120387" cy="1450295"/>
        </a:xfrm>
      </xdr:grpSpPr>
      <xdr:sp macro="" textlink="">
        <xdr:nvSpPr>
          <xdr:cNvPr id="24" name="Oval 23">
            <a:extLst>
              <a:ext uri="{FF2B5EF4-FFF2-40B4-BE49-F238E27FC236}">
                <a16:creationId xmlns:a16="http://schemas.microsoft.com/office/drawing/2014/main" id="{76B6A0F4-7782-1251-4C79-01E19AA9802B}"/>
              </a:ext>
            </a:extLst>
          </xdr:cNvPr>
          <xdr:cNvSpPr>
            <a:spLocks noChangeAspect="1"/>
          </xdr:cNvSpPr>
        </xdr:nvSpPr>
        <xdr:spPr>
          <a:xfrm>
            <a:off x="4676745" y="3155403"/>
            <a:ext cx="115620" cy="117058"/>
          </a:xfrm>
          <a:prstGeom prst="ellipse">
            <a:avLst/>
          </a:prstGeom>
          <a:solidFill>
            <a:srgbClr val="62B967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25" name="Oval 24">
            <a:extLst>
              <a:ext uri="{FF2B5EF4-FFF2-40B4-BE49-F238E27FC236}">
                <a16:creationId xmlns:a16="http://schemas.microsoft.com/office/drawing/2014/main" id="{FE95AC0D-ACAF-3F46-DF41-55A04BD2A286}"/>
              </a:ext>
            </a:extLst>
          </xdr:cNvPr>
          <xdr:cNvSpPr>
            <a:spLocks noChangeAspect="1"/>
          </xdr:cNvSpPr>
        </xdr:nvSpPr>
        <xdr:spPr>
          <a:xfrm>
            <a:off x="4676745" y="3376879"/>
            <a:ext cx="115620" cy="117058"/>
          </a:xfrm>
          <a:prstGeom prst="ellipse">
            <a:avLst/>
          </a:prstGeom>
          <a:solidFill>
            <a:srgbClr val="FFE084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26" name="Oval 25">
            <a:extLst>
              <a:ext uri="{FF2B5EF4-FFF2-40B4-BE49-F238E27FC236}">
                <a16:creationId xmlns:a16="http://schemas.microsoft.com/office/drawing/2014/main" id="{1FE67F69-B29F-91D7-2FFC-34DFF5EFD324}"/>
              </a:ext>
            </a:extLst>
          </xdr:cNvPr>
          <xdr:cNvSpPr>
            <a:spLocks noChangeAspect="1"/>
          </xdr:cNvSpPr>
        </xdr:nvSpPr>
        <xdr:spPr>
          <a:xfrm>
            <a:off x="4676745" y="3602118"/>
            <a:ext cx="115620" cy="109438"/>
          </a:xfrm>
          <a:prstGeom prst="ellipse">
            <a:avLst/>
          </a:prstGeom>
          <a:solidFill>
            <a:srgbClr val="E6AC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27" name="Oval 26">
            <a:extLst>
              <a:ext uri="{FF2B5EF4-FFF2-40B4-BE49-F238E27FC236}">
                <a16:creationId xmlns:a16="http://schemas.microsoft.com/office/drawing/2014/main" id="{813AC618-11A7-E332-14BD-D1CE8776E9E2}"/>
              </a:ext>
            </a:extLst>
          </xdr:cNvPr>
          <xdr:cNvSpPr>
            <a:spLocks noChangeAspect="1"/>
          </xdr:cNvSpPr>
        </xdr:nvSpPr>
        <xdr:spPr>
          <a:xfrm>
            <a:off x="4679598" y="3819878"/>
            <a:ext cx="117534" cy="115200"/>
          </a:xfrm>
          <a:prstGeom prst="ellipse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28" name="Oval 27">
            <a:extLst>
              <a:ext uri="{FF2B5EF4-FFF2-40B4-BE49-F238E27FC236}">
                <a16:creationId xmlns:a16="http://schemas.microsoft.com/office/drawing/2014/main" id="{BC093B91-74C9-0881-5335-7F97255BE8E9}"/>
              </a:ext>
            </a:extLst>
          </xdr:cNvPr>
          <xdr:cNvSpPr>
            <a:spLocks noChangeAspect="1"/>
          </xdr:cNvSpPr>
        </xdr:nvSpPr>
        <xdr:spPr>
          <a:xfrm>
            <a:off x="4677439" y="4038227"/>
            <a:ext cx="114233" cy="118538"/>
          </a:xfrm>
          <a:prstGeom prst="ellipse">
            <a:avLst/>
          </a:prstGeom>
          <a:solidFill>
            <a:srgbClr val="13868C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29" name="Oval 28">
            <a:extLst>
              <a:ext uri="{FF2B5EF4-FFF2-40B4-BE49-F238E27FC236}">
                <a16:creationId xmlns:a16="http://schemas.microsoft.com/office/drawing/2014/main" id="{2A803DD9-13D5-9518-094B-6873D2D7CDF2}"/>
              </a:ext>
            </a:extLst>
          </xdr:cNvPr>
          <xdr:cNvSpPr>
            <a:spLocks noChangeAspect="1"/>
          </xdr:cNvSpPr>
        </xdr:nvSpPr>
        <xdr:spPr>
          <a:xfrm>
            <a:off x="4680022" y="4268248"/>
            <a:ext cx="116686" cy="115200"/>
          </a:xfrm>
          <a:prstGeom prst="ellipse">
            <a:avLst/>
          </a:prstGeom>
          <a:solidFill>
            <a:schemeClr val="bg1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30" name="Oval 29">
            <a:extLst>
              <a:ext uri="{FF2B5EF4-FFF2-40B4-BE49-F238E27FC236}">
                <a16:creationId xmlns:a16="http://schemas.microsoft.com/office/drawing/2014/main" id="{D01EDDCE-F05A-E0E5-90CC-38B7EA8572A2}"/>
              </a:ext>
            </a:extLst>
          </xdr:cNvPr>
          <xdr:cNvSpPr>
            <a:spLocks noChangeAspect="1"/>
          </xdr:cNvSpPr>
        </xdr:nvSpPr>
        <xdr:spPr>
          <a:xfrm>
            <a:off x="4688049" y="4490498"/>
            <a:ext cx="102538" cy="115200"/>
          </a:xfrm>
          <a:prstGeom prst="ellipse">
            <a:avLst/>
          </a:prstGeom>
          <a:solidFill>
            <a:srgbClr val="FF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 sz="1100"/>
          </a:p>
        </xdr:txBody>
      </xdr:sp>
    </xdr:grpSp>
    <xdr:clientData/>
  </xdr:twoCellAnchor>
  <xdr:twoCellAnchor>
    <xdr:from>
      <xdr:col>1</xdr:col>
      <xdr:colOff>73342</xdr:colOff>
      <xdr:row>82</xdr:row>
      <xdr:rowOff>149227</xdr:rowOff>
    </xdr:from>
    <xdr:to>
      <xdr:col>5</xdr:col>
      <xdr:colOff>531</xdr:colOff>
      <xdr:row>92</xdr:row>
      <xdr:rowOff>182652</xdr:rowOff>
    </xdr:to>
    <xdr:graphicFrame macro="">
      <xdr:nvGraphicFramePr>
        <xdr:cNvPr id="84" name="Chart 30">
          <a:extLst>
            <a:ext uri="{FF2B5EF4-FFF2-40B4-BE49-F238E27FC236}">
              <a16:creationId xmlns:a16="http://schemas.microsoft.com/office/drawing/2014/main" id="{A45B0B63-9749-404E-8C43-3F0167CB7F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</xdr:col>
      <xdr:colOff>554566</xdr:colOff>
      <xdr:row>10</xdr:row>
      <xdr:rowOff>131022</xdr:rowOff>
    </xdr:from>
    <xdr:to>
      <xdr:col>4</xdr:col>
      <xdr:colOff>285115</xdr:colOff>
      <xdr:row>12</xdr:row>
      <xdr:rowOff>67733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FB5ED2CA-F843-5095-0ABA-88C7CDA41F11}"/>
            </a:ext>
          </a:extLst>
        </xdr:cNvPr>
        <xdr:cNvSpPr txBox="1"/>
      </xdr:nvSpPr>
      <xdr:spPr>
        <a:xfrm>
          <a:off x="2956983" y="1782022"/>
          <a:ext cx="534882" cy="2753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PT" sz="1400">
              <a:latin typeface="Arial" panose="020B0604020202020204" pitchFamily="34" charset="0"/>
              <a:cs typeface="Arial" panose="020B0604020202020204" pitchFamily="34" charset="0"/>
            </a:rPr>
            <a:t>vs</a:t>
          </a:r>
        </a:p>
      </xdr:txBody>
    </xdr:sp>
    <xdr:clientData/>
  </xdr:twoCellAnchor>
  <xdr:twoCellAnchor>
    <xdr:from>
      <xdr:col>2</xdr:col>
      <xdr:colOff>588062</xdr:colOff>
      <xdr:row>9</xdr:row>
      <xdr:rowOff>1</xdr:rowOff>
    </xdr:from>
    <xdr:to>
      <xdr:col>3</xdr:col>
      <xdr:colOff>327598</xdr:colOff>
      <xdr:row>14</xdr:row>
      <xdr:rowOff>21802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36D39320-1657-A6F7-8111-27A8A9411602}"/>
            </a:ext>
          </a:extLst>
        </xdr:cNvPr>
        <xdr:cNvGrpSpPr/>
      </xdr:nvGrpSpPr>
      <xdr:grpSpPr>
        <a:xfrm>
          <a:off x="1129929" y="1473201"/>
          <a:ext cx="1585269" cy="910801"/>
          <a:chOff x="1138395" y="1481668"/>
          <a:chExt cx="1591620" cy="868467"/>
        </a:xfrm>
      </xdr:grpSpPr>
      <xdr:sp macro="" textlink="'Aux Gráficos'!P4">
        <xdr:nvSpPr>
          <xdr:cNvPr id="11" name="Rectangle 10">
            <a:extLst>
              <a:ext uri="{FF2B5EF4-FFF2-40B4-BE49-F238E27FC236}">
                <a16:creationId xmlns:a16="http://schemas.microsoft.com/office/drawing/2014/main" id="{7B57F7EC-71B3-C85C-183F-C93FBA4746F5}"/>
              </a:ext>
            </a:extLst>
          </xdr:cNvPr>
          <xdr:cNvSpPr/>
        </xdr:nvSpPr>
        <xdr:spPr>
          <a:xfrm>
            <a:off x="1161199" y="1650338"/>
            <a:ext cx="1546013" cy="69979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3950BF89-D384-4113-91D5-4906F6D3EB64}" type="TxLink">
              <a:rPr lang="en-US" sz="2400" b="0" i="0" u="none" strike="noStrike">
                <a:solidFill>
                  <a:srgbClr val="13868C"/>
                </a:solidFill>
                <a:latin typeface="Arial" panose="020B0604020202020204" pitchFamily="34" charset="0"/>
                <a:cs typeface="Arial" panose="020B0604020202020204" pitchFamily="34" charset="0"/>
              </a:rPr>
              <a:pPr algn="ctr"/>
              <a:t>65,2%</a:t>
            </a:fld>
            <a:endParaRPr lang="pt-PT" sz="2400">
              <a:solidFill>
                <a:srgbClr val="13868C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44" name="TextBox 43">
            <a:extLst>
              <a:ext uri="{FF2B5EF4-FFF2-40B4-BE49-F238E27FC236}">
                <a16:creationId xmlns:a16="http://schemas.microsoft.com/office/drawing/2014/main" id="{DE7549C9-F53D-4814-9D08-0B2A268F6E7E}"/>
              </a:ext>
            </a:extLst>
          </xdr:cNvPr>
          <xdr:cNvSpPr txBox="1"/>
        </xdr:nvSpPr>
        <xdr:spPr>
          <a:xfrm>
            <a:off x="1138395" y="1481668"/>
            <a:ext cx="1591620" cy="30391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PT" sz="1200">
                <a:solidFill>
                  <a:srgbClr val="13868C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Campos</a:t>
            </a:r>
            <a:r>
              <a:rPr lang="pt-PT" sz="1200" baseline="0">
                <a:solidFill>
                  <a:srgbClr val="13868C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testados</a:t>
            </a:r>
            <a:r>
              <a:rPr lang="pt-PT" sz="1200" baseline="30000">
                <a:solidFill>
                  <a:srgbClr val="13868C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1</a:t>
            </a:r>
          </a:p>
        </xdr:txBody>
      </xdr:sp>
    </xdr:grpSp>
    <xdr:clientData/>
  </xdr:twoCellAnchor>
  <xdr:twoCellAnchor>
    <xdr:from>
      <xdr:col>4</xdr:col>
      <xdr:colOff>555940</xdr:colOff>
      <xdr:row>9</xdr:row>
      <xdr:rowOff>1</xdr:rowOff>
    </xdr:from>
    <xdr:to>
      <xdr:col>6</xdr:col>
      <xdr:colOff>531273</xdr:colOff>
      <xdr:row>14</xdr:row>
      <xdr:rowOff>21802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2617FFC7-90C1-055F-92A3-A9D31CA7379E}"/>
            </a:ext>
          </a:extLst>
        </xdr:cNvPr>
        <xdr:cNvGrpSpPr/>
      </xdr:nvGrpSpPr>
      <xdr:grpSpPr>
        <a:xfrm>
          <a:off x="3747873" y="1473201"/>
          <a:ext cx="1584000" cy="910801"/>
          <a:chOff x="3762690" y="1481668"/>
          <a:chExt cx="1584000" cy="868467"/>
        </a:xfrm>
      </xdr:grpSpPr>
      <xdr:sp macro="" textlink="'Aux Gráficos'!P5">
        <xdr:nvSpPr>
          <xdr:cNvPr id="18" name="Rectangle 17">
            <a:extLst>
              <a:ext uri="{FF2B5EF4-FFF2-40B4-BE49-F238E27FC236}">
                <a16:creationId xmlns:a16="http://schemas.microsoft.com/office/drawing/2014/main" id="{07761926-31F1-414F-9959-8CA570DF24C8}"/>
              </a:ext>
            </a:extLst>
          </xdr:cNvPr>
          <xdr:cNvSpPr/>
        </xdr:nvSpPr>
        <xdr:spPr>
          <a:xfrm>
            <a:off x="3790254" y="1650338"/>
            <a:ext cx="1528873" cy="69979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fld id="{50A2A6B6-F3E9-45E2-AE8F-91079277F5E6}" type="TxLink">
              <a:rPr lang="en-US" sz="2400" b="0" i="0" u="none" strike="noStrike">
                <a:solidFill>
                  <a:srgbClr val="00B05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pPr marL="0" indent="0" algn="ctr"/>
              <a:t>60,9%</a:t>
            </a:fld>
            <a:endParaRPr lang="pt-PT" sz="2400" b="0" i="0" u="none" strike="noStrike">
              <a:solidFill>
                <a:srgbClr val="00B05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endParaRPr>
          </a:p>
        </xdr:txBody>
      </xdr:sp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41A70256-49A2-43BF-B347-811D928F79ED}"/>
              </a:ext>
            </a:extLst>
          </xdr:cNvPr>
          <xdr:cNvSpPr txBox="1"/>
        </xdr:nvSpPr>
        <xdr:spPr>
          <a:xfrm>
            <a:off x="3762690" y="1481668"/>
            <a:ext cx="1584000" cy="30391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PT" sz="1200">
                <a:solidFill>
                  <a:srgbClr val="00B05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Campos</a:t>
            </a:r>
            <a:r>
              <a:rPr lang="pt-PT" sz="1200" baseline="0">
                <a:solidFill>
                  <a:srgbClr val="00B05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concluídos</a:t>
            </a:r>
            <a:r>
              <a:rPr lang="pt-PT" sz="1200" baseline="30000">
                <a:solidFill>
                  <a:srgbClr val="00B05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2</a:t>
            </a:r>
          </a:p>
        </xdr:txBody>
      </xdr:sp>
    </xdr:grpSp>
    <xdr:clientData/>
  </xdr:twoCellAnchor>
  <xdr:twoCellAnchor>
    <xdr:from>
      <xdr:col>5</xdr:col>
      <xdr:colOff>526492</xdr:colOff>
      <xdr:row>55</xdr:row>
      <xdr:rowOff>73933</xdr:rowOff>
    </xdr:from>
    <xdr:to>
      <xdr:col>5</xdr:col>
      <xdr:colOff>635792</xdr:colOff>
      <xdr:row>55</xdr:row>
      <xdr:rowOff>187519</xdr:rowOff>
    </xdr:to>
    <xdr:sp macro="" textlink="">
      <xdr:nvSpPr>
        <xdr:cNvPr id="46" name="Oval 45">
          <a:extLst>
            <a:ext uri="{FF2B5EF4-FFF2-40B4-BE49-F238E27FC236}">
              <a16:creationId xmlns:a16="http://schemas.microsoft.com/office/drawing/2014/main" id="{41EBB422-4F19-4DC4-BC24-0DDF703B0BEF}"/>
            </a:ext>
          </a:extLst>
        </xdr:cNvPr>
        <xdr:cNvSpPr>
          <a:spLocks noChangeAspect="1"/>
        </xdr:cNvSpPr>
      </xdr:nvSpPr>
      <xdr:spPr>
        <a:xfrm>
          <a:off x="4522759" y="10098466"/>
          <a:ext cx="109300" cy="113586"/>
        </a:xfrm>
        <a:prstGeom prst="ellipse">
          <a:avLst/>
        </a:prstGeom>
        <a:solidFill>
          <a:srgbClr val="99336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5</xdr:col>
      <xdr:colOff>526492</xdr:colOff>
      <xdr:row>73</xdr:row>
      <xdr:rowOff>56999</xdr:rowOff>
    </xdr:from>
    <xdr:to>
      <xdr:col>5</xdr:col>
      <xdr:colOff>635792</xdr:colOff>
      <xdr:row>73</xdr:row>
      <xdr:rowOff>170585</xdr:rowOff>
    </xdr:to>
    <xdr:sp macro="" textlink="">
      <xdr:nvSpPr>
        <xdr:cNvPr id="47" name="Oval 46">
          <a:extLst>
            <a:ext uri="{FF2B5EF4-FFF2-40B4-BE49-F238E27FC236}">
              <a16:creationId xmlns:a16="http://schemas.microsoft.com/office/drawing/2014/main" id="{291FA02C-1CE0-47EF-BE59-503E246465D3}"/>
            </a:ext>
          </a:extLst>
        </xdr:cNvPr>
        <xdr:cNvSpPr>
          <a:spLocks noChangeAspect="1"/>
        </xdr:cNvSpPr>
      </xdr:nvSpPr>
      <xdr:spPr>
        <a:xfrm>
          <a:off x="4522759" y="13874599"/>
          <a:ext cx="109300" cy="113586"/>
        </a:xfrm>
        <a:prstGeom prst="ellipse">
          <a:avLst/>
        </a:prstGeom>
        <a:solidFill>
          <a:srgbClr val="99336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5</xdr:col>
      <xdr:colOff>526492</xdr:colOff>
      <xdr:row>91</xdr:row>
      <xdr:rowOff>82398</xdr:rowOff>
    </xdr:from>
    <xdr:to>
      <xdr:col>5</xdr:col>
      <xdr:colOff>635792</xdr:colOff>
      <xdr:row>91</xdr:row>
      <xdr:rowOff>195984</xdr:rowOff>
    </xdr:to>
    <xdr:sp macro="" textlink="">
      <xdr:nvSpPr>
        <xdr:cNvPr id="48" name="Oval 47">
          <a:extLst>
            <a:ext uri="{FF2B5EF4-FFF2-40B4-BE49-F238E27FC236}">
              <a16:creationId xmlns:a16="http://schemas.microsoft.com/office/drawing/2014/main" id="{AB4F97A6-B9E3-47B1-8B7A-383208DFEF0B}"/>
            </a:ext>
          </a:extLst>
        </xdr:cNvPr>
        <xdr:cNvSpPr>
          <a:spLocks noChangeAspect="1"/>
        </xdr:cNvSpPr>
      </xdr:nvSpPr>
      <xdr:spPr>
        <a:xfrm>
          <a:off x="4522759" y="17693065"/>
          <a:ext cx="109300" cy="113586"/>
        </a:xfrm>
        <a:prstGeom prst="ellipse">
          <a:avLst/>
        </a:prstGeom>
        <a:solidFill>
          <a:srgbClr val="99336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5</xdr:col>
      <xdr:colOff>534959</xdr:colOff>
      <xdr:row>109</xdr:row>
      <xdr:rowOff>90865</xdr:rowOff>
    </xdr:from>
    <xdr:to>
      <xdr:col>5</xdr:col>
      <xdr:colOff>644259</xdr:colOff>
      <xdr:row>109</xdr:row>
      <xdr:rowOff>204451</xdr:rowOff>
    </xdr:to>
    <xdr:sp macro="" textlink="">
      <xdr:nvSpPr>
        <xdr:cNvPr id="49" name="Oval 48">
          <a:extLst>
            <a:ext uri="{FF2B5EF4-FFF2-40B4-BE49-F238E27FC236}">
              <a16:creationId xmlns:a16="http://schemas.microsoft.com/office/drawing/2014/main" id="{57C879B3-2620-44D2-A7BD-489EA856AB8E}"/>
            </a:ext>
          </a:extLst>
        </xdr:cNvPr>
        <xdr:cNvSpPr>
          <a:spLocks noChangeAspect="1"/>
        </xdr:cNvSpPr>
      </xdr:nvSpPr>
      <xdr:spPr>
        <a:xfrm>
          <a:off x="4531226" y="21494598"/>
          <a:ext cx="109300" cy="113586"/>
        </a:xfrm>
        <a:prstGeom prst="ellipse">
          <a:avLst/>
        </a:prstGeom>
        <a:solidFill>
          <a:srgbClr val="99336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228600" y="231962"/>
    <xdr:ext cx="1263734" cy="222306"/>
    <xdr:pic>
      <xdr:nvPicPr>
        <xdr:cNvPr id="2" name="Gráfico 10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28600" y="231962"/>
          <a:ext cx="1263734" cy="222306"/>
        </a:xfrm>
        <a:prstGeom prst="rect">
          <a:avLst/>
        </a:prstGeom>
      </xdr:spPr>
    </xdr:pic>
    <xdr:clientData/>
  </xdr:absoluteAnchor>
  <xdr:twoCellAnchor>
    <xdr:from>
      <xdr:col>2</xdr:col>
      <xdr:colOff>1112207</xdr:colOff>
      <xdr:row>0</xdr:row>
      <xdr:rowOff>129540</xdr:rowOff>
    </xdr:from>
    <xdr:to>
      <xdr:col>3</xdr:col>
      <xdr:colOff>975360</xdr:colOff>
      <xdr:row>3</xdr:row>
      <xdr:rowOff>21519</xdr:rowOff>
    </xdr:to>
    <xdr:pic>
      <xdr:nvPicPr>
        <xdr:cNvPr id="3" name="Graphic 267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37047" y="129540"/>
          <a:ext cx="1257613" cy="43299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228600" y="231962"/>
    <xdr:ext cx="1263734" cy="222306"/>
    <xdr:pic>
      <xdr:nvPicPr>
        <xdr:cNvPr id="3" name="Gráfico 10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28600" y="231962"/>
          <a:ext cx="1263734" cy="222306"/>
        </a:xfrm>
        <a:prstGeom prst="rect">
          <a:avLst/>
        </a:prstGeom>
      </xdr:spPr>
    </xdr:pic>
    <xdr:clientData/>
  </xdr:absoluteAnchor>
  <xdr:twoCellAnchor>
    <xdr:from>
      <xdr:col>2</xdr:col>
      <xdr:colOff>1112207</xdr:colOff>
      <xdr:row>0</xdr:row>
      <xdr:rowOff>173565</xdr:rowOff>
    </xdr:from>
    <xdr:to>
      <xdr:col>3</xdr:col>
      <xdr:colOff>1174750</xdr:colOff>
      <xdr:row>2</xdr:row>
      <xdr:rowOff>158749</xdr:rowOff>
    </xdr:to>
    <xdr:pic>
      <xdr:nvPicPr>
        <xdr:cNvPr id="4" name="Graphic 267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15457" y="173565"/>
          <a:ext cx="1417210" cy="34501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177800" y="223496"/>
    <xdr:ext cx="1263734" cy="222306"/>
    <xdr:pic>
      <xdr:nvPicPr>
        <xdr:cNvPr id="3" name="Gráfico 10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77800" y="223496"/>
          <a:ext cx="1263734" cy="222306"/>
        </a:xfrm>
        <a:prstGeom prst="rect">
          <a:avLst/>
        </a:prstGeom>
      </xdr:spPr>
    </xdr:pic>
    <xdr:clientData/>
  </xdr:absoluteAnchor>
  <xdr:twoCellAnchor>
    <xdr:from>
      <xdr:col>2</xdr:col>
      <xdr:colOff>355600</xdr:colOff>
      <xdr:row>0</xdr:row>
      <xdr:rowOff>152400</xdr:rowOff>
    </xdr:from>
    <xdr:to>
      <xdr:col>2</xdr:col>
      <xdr:colOff>1471185</xdr:colOff>
      <xdr:row>2</xdr:row>
      <xdr:rowOff>163131</xdr:rowOff>
    </xdr:to>
    <xdr:pic>
      <xdr:nvPicPr>
        <xdr:cNvPr id="5" name="Graphic 267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98133" y="152400"/>
          <a:ext cx="1115585" cy="40019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177800" y="223496"/>
    <xdr:ext cx="1263734" cy="222306"/>
    <xdr:pic>
      <xdr:nvPicPr>
        <xdr:cNvPr id="2" name="Gráfico 10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77800" y="223496"/>
          <a:ext cx="1263734" cy="222306"/>
        </a:xfrm>
        <a:prstGeom prst="rect">
          <a:avLst/>
        </a:prstGeom>
      </xdr:spPr>
    </xdr:pic>
    <xdr:clientData/>
  </xdr:absoluteAnchor>
  <xdr:twoCellAnchor>
    <xdr:from>
      <xdr:col>2</xdr:col>
      <xdr:colOff>355600</xdr:colOff>
      <xdr:row>0</xdr:row>
      <xdr:rowOff>152400</xdr:rowOff>
    </xdr:from>
    <xdr:to>
      <xdr:col>2</xdr:col>
      <xdr:colOff>1471185</xdr:colOff>
      <xdr:row>2</xdr:row>
      <xdr:rowOff>163131</xdr:rowOff>
    </xdr:to>
    <xdr:pic>
      <xdr:nvPicPr>
        <xdr:cNvPr id="3" name="Graphic 267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46275" y="152400"/>
          <a:ext cx="1115585" cy="37268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211667" y="187513"/>
    <xdr:ext cx="1263734" cy="222306"/>
    <xdr:pic>
      <xdr:nvPicPr>
        <xdr:cNvPr id="3" name="Gráfico 10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11667" y="187513"/>
          <a:ext cx="1263734" cy="222306"/>
        </a:xfrm>
        <a:prstGeom prst="rect">
          <a:avLst/>
        </a:prstGeom>
      </xdr:spPr>
    </xdr:pic>
    <xdr:clientData/>
  </xdr:absoluteAnchor>
  <xdr:twoCellAnchor>
    <xdr:from>
      <xdr:col>1</xdr:col>
      <xdr:colOff>1744133</xdr:colOff>
      <xdr:row>0</xdr:row>
      <xdr:rowOff>116417</xdr:rowOff>
    </xdr:from>
    <xdr:to>
      <xdr:col>2</xdr:col>
      <xdr:colOff>224468</xdr:colOff>
      <xdr:row>2</xdr:row>
      <xdr:rowOff>127148</xdr:rowOff>
    </xdr:to>
    <xdr:pic>
      <xdr:nvPicPr>
        <xdr:cNvPr id="4" name="Graphic 267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87550" y="116417"/>
          <a:ext cx="1115585" cy="370564"/>
        </a:xfrm>
        <a:prstGeom prst="rect">
          <a:avLst/>
        </a:prstGeom>
      </xdr:spPr>
    </xdr:pic>
    <xdr:clientData/>
  </xdr:twoCellAnchor>
</xdr:wsDr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a Filipa Silva Carreira" refreshedDate="45855.524969212966" createdVersion="8" refreshedVersion="8" minRefreshableVersion="3" recordCount="73" xr:uid="{0A6962C9-0B82-43E9-9386-48C8E5A1214F}">
  <cacheSource type="worksheet">
    <worksheetSource ref="B2:D75" sheet="Aux Gráficos"/>
  </cacheSource>
  <cacheFields count="3">
    <cacheField name="Tabela" numFmtId="0">
      <sharedItems count="4">
        <s v="lt002_instrument"/>
        <s v="lt004_protection"/>
        <s v="lt006_instr_protection"/>
        <s v="lt007_instr_activity"/>
      </sharedItems>
    </cacheField>
    <cacheField name="Campo" numFmtId="0">
      <sharedItems count="61">
        <s v="UNIVERSO"/>
        <s v="AVRG_BLNC"/>
        <s v="NW_BSNSS"/>
        <s v="GRSS_INTRST_INCM"/>
        <s v="GRSS_CMMSSN_INCM"/>
        <s v="INTRNL_TRNSFR_RT"/>
        <s v="NT_LN_LSS_PRVSN"/>
        <s v="BSNSS_AREA"/>
        <s v="MNGMNT_PRDCT"/>
        <s v="GRSS_CMMSSN_EXPNS"/>
        <s v="GNS_FNNCL_TRNSCTN_EXCHNG_DFFRNCS"/>
        <s v="FLG_INTRBSNSS"/>
        <s v="INTRBSNSS_ADJ_COD"/>
        <s v="COD_SOC_DSTNTN"/>
        <s v="BSNSS_AREA_DSTNTN"/>
        <s v="AVRG_BLNC_OFF_BLNC"/>
        <s v="INTRNL_TRNSFR_RT_OFF_BLNC"/>
        <s v="GRSS_CMMSSN_INCM_OFF_BLNC"/>
        <s v="GRSS_CMMSSN_EXPNS_OFF_BLNC"/>
        <s v="RWA_OFF_BLNC"/>
        <s v="GRSS_INTRST_EXPNS"/>
        <s v="NT_LN_LSS_PRVSN_OFF_BLNC"/>
        <s v="GRSS_INTRST_INCM_CCRR"/>
        <s v="GRSS_INTRST_EXPNS_CCRR"/>
        <s v="GRSS_CMMSSN_INCM_CCRR"/>
        <s v="GRSS_CMMSSN_EXPNS_CCRR"/>
        <s v="GNS_FNNCL_TRNSCTN_EXCHNG_CCRR"/>
        <s v="BSNSS_AREA_CCRR"/>
        <s v="GRSS_CMMSSN_INCM_OFF_BLNC_CCRR"/>
        <s v="GRSS_CMMSSN_EXPNS_OFF_BLNC_CCRR"/>
        <s v="CCF"/>
        <s v="EAD"/>
        <s v="TYP_OFF_BLNC_PRDCT"/>
        <s v="COD_SOC"/>
        <s v="SUBPORTFOLIO_ID"/>
        <s v="DT_RFRNC"/>
        <s v="DFLT_STTS_INSTRMNT"/>
        <s v="IMPRMNT_STTS"/>
        <s v="PRFRMNG_STTS"/>
        <s v="TYP_INSTRMNT"/>
        <s v="GRSS_CRRYNG_AMNT_INSTRMNT"/>
        <s v="ACCMLTD_CHNGS_FV_CR_INSTRMNT"/>
        <s v="ACCNTNG_CLSSFCTN"/>
        <s v="OFF_BLNC_SHT_AMNT_INSTRMNT"/>
        <s v="PRVSNS_OFF_BLNC_SHT"/>
        <s v="RWA"/>
        <s v="ACCMLTD_IMPRMNT_INSTRMNT"/>
        <s v="COD_SOC_INTRGRP"/>
        <s v="LCL_INSTMRNT_ID"/>
        <s v="IDCMB"/>
        <s v="CNCLLD_INSTRMNT_STTS"/>
        <s v="INSTRMNT_ID"/>
        <s v="PRTCTN_ID"/>
        <s v="TYP_PRTCTN"/>
        <s v="PRTCTN_VL"/>
        <s v="TYP_VHCL"/>
        <s v="FLG_ELCTRC_VHCL"/>
        <s v="TYP_RLTN"/>
        <s v="PRCNTG_ACTVTY"/>
        <s v="SSTNBL_INDCTR"/>
        <s v="SSTNBL_CTGRY"/>
      </sharedItems>
    </cacheField>
    <cacheField name="Status Atual" numFmtId="0">
      <sharedItems count="8">
        <s v="4. Em Correção"/>
        <s v="5. Em Re-teste"/>
        <s v="1. Concluído"/>
        <s v="8. Pendente "/>
        <s v="3. Em Re-especificação" u="1"/>
        <s v="6. Por Iniciar" u="1"/>
        <s v="2. Em Teste" u="1"/>
        <s v="7. Por Entregar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3">
  <r>
    <x v="0"/>
    <x v="0"/>
    <x v="0"/>
  </r>
  <r>
    <x v="0"/>
    <x v="1"/>
    <x v="1"/>
  </r>
  <r>
    <x v="0"/>
    <x v="2"/>
    <x v="1"/>
  </r>
  <r>
    <x v="0"/>
    <x v="3"/>
    <x v="1"/>
  </r>
  <r>
    <x v="0"/>
    <x v="4"/>
    <x v="1"/>
  </r>
  <r>
    <x v="0"/>
    <x v="5"/>
    <x v="1"/>
  </r>
  <r>
    <x v="0"/>
    <x v="6"/>
    <x v="1"/>
  </r>
  <r>
    <x v="0"/>
    <x v="7"/>
    <x v="0"/>
  </r>
  <r>
    <x v="0"/>
    <x v="8"/>
    <x v="2"/>
  </r>
  <r>
    <x v="0"/>
    <x v="9"/>
    <x v="1"/>
  </r>
  <r>
    <x v="0"/>
    <x v="10"/>
    <x v="2"/>
  </r>
  <r>
    <x v="0"/>
    <x v="11"/>
    <x v="1"/>
  </r>
  <r>
    <x v="0"/>
    <x v="12"/>
    <x v="2"/>
  </r>
  <r>
    <x v="0"/>
    <x v="13"/>
    <x v="2"/>
  </r>
  <r>
    <x v="0"/>
    <x v="14"/>
    <x v="2"/>
  </r>
  <r>
    <x v="0"/>
    <x v="15"/>
    <x v="1"/>
  </r>
  <r>
    <x v="0"/>
    <x v="16"/>
    <x v="2"/>
  </r>
  <r>
    <x v="0"/>
    <x v="17"/>
    <x v="1"/>
  </r>
  <r>
    <x v="0"/>
    <x v="18"/>
    <x v="2"/>
  </r>
  <r>
    <x v="0"/>
    <x v="19"/>
    <x v="2"/>
  </r>
  <r>
    <x v="0"/>
    <x v="20"/>
    <x v="2"/>
  </r>
  <r>
    <x v="0"/>
    <x v="21"/>
    <x v="1"/>
  </r>
  <r>
    <x v="0"/>
    <x v="22"/>
    <x v="2"/>
  </r>
  <r>
    <x v="0"/>
    <x v="23"/>
    <x v="2"/>
  </r>
  <r>
    <x v="0"/>
    <x v="24"/>
    <x v="2"/>
  </r>
  <r>
    <x v="0"/>
    <x v="25"/>
    <x v="2"/>
  </r>
  <r>
    <x v="0"/>
    <x v="26"/>
    <x v="2"/>
  </r>
  <r>
    <x v="0"/>
    <x v="27"/>
    <x v="2"/>
  </r>
  <r>
    <x v="0"/>
    <x v="28"/>
    <x v="2"/>
  </r>
  <r>
    <x v="0"/>
    <x v="29"/>
    <x v="2"/>
  </r>
  <r>
    <x v="0"/>
    <x v="30"/>
    <x v="2"/>
  </r>
  <r>
    <x v="0"/>
    <x v="31"/>
    <x v="2"/>
  </r>
  <r>
    <x v="0"/>
    <x v="32"/>
    <x v="1"/>
  </r>
  <r>
    <x v="0"/>
    <x v="33"/>
    <x v="2"/>
  </r>
  <r>
    <x v="0"/>
    <x v="34"/>
    <x v="1"/>
  </r>
  <r>
    <x v="0"/>
    <x v="35"/>
    <x v="2"/>
  </r>
  <r>
    <x v="0"/>
    <x v="36"/>
    <x v="1"/>
  </r>
  <r>
    <x v="0"/>
    <x v="37"/>
    <x v="2"/>
  </r>
  <r>
    <x v="0"/>
    <x v="38"/>
    <x v="2"/>
  </r>
  <r>
    <x v="0"/>
    <x v="39"/>
    <x v="0"/>
  </r>
  <r>
    <x v="0"/>
    <x v="40"/>
    <x v="2"/>
  </r>
  <r>
    <x v="0"/>
    <x v="41"/>
    <x v="2"/>
  </r>
  <r>
    <x v="0"/>
    <x v="42"/>
    <x v="1"/>
  </r>
  <r>
    <x v="0"/>
    <x v="43"/>
    <x v="2"/>
  </r>
  <r>
    <x v="0"/>
    <x v="44"/>
    <x v="2"/>
  </r>
  <r>
    <x v="0"/>
    <x v="45"/>
    <x v="1"/>
  </r>
  <r>
    <x v="0"/>
    <x v="46"/>
    <x v="2"/>
  </r>
  <r>
    <x v="0"/>
    <x v="47"/>
    <x v="2"/>
  </r>
  <r>
    <x v="0"/>
    <x v="48"/>
    <x v="2"/>
  </r>
  <r>
    <x v="0"/>
    <x v="49"/>
    <x v="0"/>
  </r>
  <r>
    <x v="0"/>
    <x v="50"/>
    <x v="1"/>
  </r>
  <r>
    <x v="0"/>
    <x v="51"/>
    <x v="2"/>
  </r>
  <r>
    <x v="1"/>
    <x v="0"/>
    <x v="2"/>
  </r>
  <r>
    <x v="1"/>
    <x v="33"/>
    <x v="2"/>
  </r>
  <r>
    <x v="1"/>
    <x v="35"/>
    <x v="2"/>
  </r>
  <r>
    <x v="1"/>
    <x v="52"/>
    <x v="2"/>
  </r>
  <r>
    <x v="1"/>
    <x v="53"/>
    <x v="2"/>
  </r>
  <r>
    <x v="1"/>
    <x v="54"/>
    <x v="1"/>
  </r>
  <r>
    <x v="1"/>
    <x v="55"/>
    <x v="2"/>
  </r>
  <r>
    <x v="1"/>
    <x v="56"/>
    <x v="1"/>
  </r>
  <r>
    <x v="2"/>
    <x v="0"/>
    <x v="2"/>
  </r>
  <r>
    <x v="2"/>
    <x v="33"/>
    <x v="2"/>
  </r>
  <r>
    <x v="2"/>
    <x v="35"/>
    <x v="2"/>
  </r>
  <r>
    <x v="2"/>
    <x v="51"/>
    <x v="2"/>
  </r>
  <r>
    <x v="2"/>
    <x v="52"/>
    <x v="2"/>
  </r>
  <r>
    <x v="2"/>
    <x v="57"/>
    <x v="1"/>
  </r>
  <r>
    <x v="3"/>
    <x v="0"/>
    <x v="3"/>
  </r>
  <r>
    <x v="3"/>
    <x v="58"/>
    <x v="1"/>
  </r>
  <r>
    <x v="3"/>
    <x v="59"/>
    <x v="1"/>
  </r>
  <r>
    <x v="3"/>
    <x v="60"/>
    <x v="3"/>
  </r>
  <r>
    <x v="3"/>
    <x v="33"/>
    <x v="2"/>
  </r>
  <r>
    <x v="3"/>
    <x v="35"/>
    <x v="2"/>
  </r>
  <r>
    <x v="3"/>
    <x v="51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1072FB-1936-410B-81A9-8BC8F5E1F650}" name="PivotTable2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multipleFieldFilters="0" chartFormat="1">
  <location ref="F5:G8" firstHeaderRow="1" firstDataRow="1" firstDataCol="1" rowPageCount="2" colPageCount="1"/>
  <pivotFields count="3">
    <pivotField axis="axisPage" multipleItemSelectionAllowed="1" showAll="0">
      <items count="5">
        <item x="0"/>
        <item h="1" x="1"/>
        <item h="1" x="2"/>
        <item h="1" x="3"/>
        <item t="default"/>
      </items>
    </pivotField>
    <pivotField axis="axisPage" multipleItemSelectionAllowed="1" showAll="0">
      <items count="62">
        <item x="41"/>
        <item x="46"/>
        <item x="42"/>
        <item x="1"/>
        <item x="15"/>
        <item x="7"/>
        <item x="27"/>
        <item x="14"/>
        <item x="30"/>
        <item x="50"/>
        <item x="33"/>
        <item x="13"/>
        <item x="47"/>
        <item x="36"/>
        <item x="35"/>
        <item x="31"/>
        <item x="56"/>
        <item x="11"/>
        <item x="26"/>
        <item x="10"/>
        <item x="9"/>
        <item x="25"/>
        <item x="18"/>
        <item x="29"/>
        <item x="4"/>
        <item x="24"/>
        <item x="17"/>
        <item x="28"/>
        <item x="40"/>
        <item x="20"/>
        <item x="23"/>
        <item x="3"/>
        <item x="22"/>
        <item x="49"/>
        <item x="37"/>
        <item x="51"/>
        <item x="12"/>
        <item x="5"/>
        <item x="16"/>
        <item x="48"/>
        <item x="8"/>
        <item x="6"/>
        <item x="21"/>
        <item x="2"/>
        <item x="43"/>
        <item x="58"/>
        <item x="38"/>
        <item x="52"/>
        <item x="54"/>
        <item x="44"/>
        <item x="45"/>
        <item x="19"/>
        <item x="60"/>
        <item x="59"/>
        <item x="34"/>
        <item x="39"/>
        <item x="32"/>
        <item x="53"/>
        <item x="57"/>
        <item x="55"/>
        <item h="1" x="0"/>
        <item t="default"/>
      </items>
    </pivotField>
    <pivotField axis="axisRow" dataField="1" showAll="0">
      <items count="9">
        <item x="2"/>
        <item m="1" x="6"/>
        <item m="1" x="5"/>
        <item m="1" x="7"/>
        <item m="1" x="4"/>
        <item x="0"/>
        <item x="1"/>
        <item x="3"/>
        <item t="default"/>
      </items>
    </pivotField>
  </pivotFields>
  <rowFields count="1">
    <field x="2"/>
  </rowFields>
  <rowItems count="3">
    <i>
      <x/>
    </i>
    <i>
      <x v="5"/>
    </i>
    <i>
      <x v="6"/>
    </i>
  </rowItems>
  <colItems count="1">
    <i/>
  </colItems>
  <pageFields count="2">
    <pageField fld="0" hier="-1"/>
    <pageField fld="1" hier="-1"/>
  </pageFields>
  <dataFields count="1">
    <dataField name="Count of Status Atual" fld="2" subtotal="count" baseField="0" baseItem="0"/>
  </dataFields>
  <chartFormats count="8">
    <chartFormat chart="10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0" format="2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0" format="2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0" format="2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0" format="25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0" format="26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0" format="27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E4C949-6A2B-4A6E-8E41-0255CC9510E0}" name="PivotTable3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multipleFieldFilters="0" chartFormat="9">
  <location ref="F19:G21" firstHeaderRow="1" firstDataRow="1" firstDataCol="1" rowPageCount="2" colPageCount="1"/>
  <pivotFields count="3">
    <pivotField axis="axisPage" multipleItemSelectionAllowed="1" showAll="0">
      <items count="5">
        <item h="1" x="0"/>
        <item x="1"/>
        <item h="1" x="2"/>
        <item h="1" x="3"/>
        <item t="default"/>
      </items>
    </pivotField>
    <pivotField axis="axisPage" multipleItemSelectionAllowed="1" showAll="0">
      <items count="62">
        <item x="41"/>
        <item x="46"/>
        <item x="42"/>
        <item x="1"/>
        <item x="15"/>
        <item x="7"/>
        <item x="27"/>
        <item x="14"/>
        <item x="30"/>
        <item x="50"/>
        <item x="33"/>
        <item x="13"/>
        <item x="47"/>
        <item x="36"/>
        <item x="35"/>
        <item x="31"/>
        <item x="56"/>
        <item x="11"/>
        <item x="26"/>
        <item x="10"/>
        <item x="9"/>
        <item x="25"/>
        <item x="18"/>
        <item x="29"/>
        <item x="4"/>
        <item x="24"/>
        <item x="17"/>
        <item x="28"/>
        <item x="40"/>
        <item x="20"/>
        <item x="23"/>
        <item x="3"/>
        <item x="22"/>
        <item x="49"/>
        <item x="37"/>
        <item x="51"/>
        <item x="12"/>
        <item x="5"/>
        <item x="16"/>
        <item x="48"/>
        <item x="8"/>
        <item x="6"/>
        <item x="21"/>
        <item x="2"/>
        <item x="43"/>
        <item x="58"/>
        <item x="38"/>
        <item x="52"/>
        <item x="54"/>
        <item x="44"/>
        <item x="45"/>
        <item x="19"/>
        <item x="60"/>
        <item x="59"/>
        <item x="34"/>
        <item x="39"/>
        <item x="32"/>
        <item x="53"/>
        <item x="57"/>
        <item x="55"/>
        <item h="1" x="0"/>
        <item t="default"/>
      </items>
    </pivotField>
    <pivotField axis="axisRow" dataField="1" showAll="0">
      <items count="9">
        <item x="2"/>
        <item m="1" x="6"/>
        <item m="1" x="5"/>
        <item m="1" x="7"/>
        <item m="1" x="4"/>
        <item x="0"/>
        <item x="1"/>
        <item x="3"/>
        <item t="default"/>
      </items>
    </pivotField>
  </pivotFields>
  <rowFields count="1">
    <field x="2"/>
  </rowFields>
  <rowItems count="2">
    <i>
      <x/>
    </i>
    <i>
      <x v="6"/>
    </i>
  </rowItems>
  <colItems count="1">
    <i/>
  </colItems>
  <pageFields count="2">
    <pageField fld="0" hier="-1"/>
    <pageField fld="1" hier="-1"/>
  </pageFields>
  <dataFields count="1">
    <dataField name="Count of Status Atual" fld="2" subtotal="count" baseField="0" baseItem="0"/>
  </dataFields>
  <chartFormats count="9">
    <chartFormat chart="1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22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2" format="2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2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2" format="23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2" format="2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2" format="25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2" format="26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CE1B74-9833-4DDB-B63B-05E5628BC8E6}" name="PivotTable4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multipleFieldFilters="0" chartFormat="12">
  <location ref="J27:K29" firstHeaderRow="1" firstDataRow="1" firstDataCol="1" rowPageCount="2" colPageCount="1"/>
  <pivotFields count="3">
    <pivotField axis="axisPage" multipleItemSelectionAllowed="1" showAll="0">
      <items count="5">
        <item h="1" x="0"/>
        <item h="1" x="1"/>
        <item x="2"/>
        <item h="1" x="3"/>
        <item t="default"/>
      </items>
    </pivotField>
    <pivotField axis="axisPage" multipleItemSelectionAllowed="1" showAll="0">
      <items count="62">
        <item x="41"/>
        <item x="46"/>
        <item x="42"/>
        <item x="1"/>
        <item x="15"/>
        <item x="7"/>
        <item x="27"/>
        <item x="14"/>
        <item x="30"/>
        <item x="50"/>
        <item x="33"/>
        <item x="13"/>
        <item x="47"/>
        <item x="36"/>
        <item x="35"/>
        <item x="31"/>
        <item x="56"/>
        <item x="11"/>
        <item x="26"/>
        <item x="10"/>
        <item x="9"/>
        <item x="25"/>
        <item x="18"/>
        <item x="29"/>
        <item x="4"/>
        <item x="24"/>
        <item x="17"/>
        <item x="28"/>
        <item x="40"/>
        <item x="20"/>
        <item x="23"/>
        <item x="3"/>
        <item x="22"/>
        <item x="49"/>
        <item x="37"/>
        <item x="51"/>
        <item x="12"/>
        <item x="5"/>
        <item x="16"/>
        <item x="48"/>
        <item x="8"/>
        <item x="6"/>
        <item x="21"/>
        <item x="2"/>
        <item x="43"/>
        <item x="58"/>
        <item x="38"/>
        <item x="52"/>
        <item x="54"/>
        <item x="44"/>
        <item x="45"/>
        <item x="19"/>
        <item x="60"/>
        <item x="59"/>
        <item x="34"/>
        <item x="39"/>
        <item x="32"/>
        <item x="53"/>
        <item x="57"/>
        <item x="55"/>
        <item h="1" x="0"/>
        <item t="default"/>
      </items>
    </pivotField>
    <pivotField axis="axisRow" dataField="1" showAll="0">
      <items count="9">
        <item x="2"/>
        <item m="1" x="6"/>
        <item m="1" x="5"/>
        <item m="1" x="7"/>
        <item m="1" x="4"/>
        <item x="0"/>
        <item x="1"/>
        <item x="3"/>
        <item t="default"/>
      </items>
    </pivotField>
  </pivotFields>
  <rowFields count="1">
    <field x="2"/>
  </rowFields>
  <rowItems count="2">
    <i>
      <x/>
    </i>
    <i>
      <x v="6"/>
    </i>
  </rowItems>
  <colItems count="1">
    <i/>
  </colItems>
  <pageFields count="2">
    <pageField fld="0" hier="-1"/>
    <pageField fld="1" hier="-1"/>
  </pageFields>
  <dataFields count="1">
    <dataField name="Count of Status Atual" fld="2" subtotal="count" baseField="0" baseItem="0"/>
  </dataFields>
  <chartFormats count="14">
    <chartFormat chart="12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5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2" format="16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22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7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8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7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7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8C92C8-774F-4A3F-927A-6608EDDC78A2}" name="PivotTable1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multipleFieldFilters="0" chartFormat="7">
  <location ref="F27:G30" firstHeaderRow="1" firstDataRow="1" firstDataCol="1" rowPageCount="2" colPageCount="1"/>
  <pivotFields count="3">
    <pivotField axis="axisPage" multipleItemSelectionAllowed="1" showAll="0">
      <items count="5">
        <item h="1" x="0"/>
        <item h="1" x="1"/>
        <item h="1" x="2"/>
        <item x="3"/>
        <item t="default"/>
      </items>
    </pivotField>
    <pivotField axis="axisPage" multipleItemSelectionAllowed="1" showAll="0">
      <items count="62">
        <item x="41"/>
        <item x="46"/>
        <item x="42"/>
        <item x="1"/>
        <item x="15"/>
        <item x="7"/>
        <item x="27"/>
        <item x="14"/>
        <item x="30"/>
        <item x="50"/>
        <item x="33"/>
        <item x="13"/>
        <item x="47"/>
        <item x="36"/>
        <item x="35"/>
        <item x="31"/>
        <item x="56"/>
        <item x="11"/>
        <item x="26"/>
        <item x="10"/>
        <item x="9"/>
        <item x="25"/>
        <item x="18"/>
        <item x="29"/>
        <item x="4"/>
        <item x="24"/>
        <item x="17"/>
        <item x="28"/>
        <item x="40"/>
        <item x="20"/>
        <item x="23"/>
        <item x="3"/>
        <item x="22"/>
        <item x="49"/>
        <item x="37"/>
        <item x="51"/>
        <item x="12"/>
        <item x="5"/>
        <item x="16"/>
        <item x="48"/>
        <item x="8"/>
        <item x="6"/>
        <item x="21"/>
        <item x="2"/>
        <item x="43"/>
        <item x="58"/>
        <item x="38"/>
        <item x="52"/>
        <item x="54"/>
        <item x="44"/>
        <item x="45"/>
        <item x="19"/>
        <item x="60"/>
        <item x="59"/>
        <item x="34"/>
        <item x="39"/>
        <item x="32"/>
        <item x="53"/>
        <item x="57"/>
        <item x="55"/>
        <item h="1" x="0"/>
        <item t="default"/>
      </items>
    </pivotField>
    <pivotField axis="axisRow" dataField="1" showAll="0">
      <items count="9">
        <item x="2"/>
        <item m="1" x="6"/>
        <item m="1" x="5"/>
        <item m="1" x="7"/>
        <item m="1" x="4"/>
        <item x="0"/>
        <item x="1"/>
        <item x="3"/>
        <item t="default"/>
      </items>
    </pivotField>
  </pivotFields>
  <rowFields count="1">
    <field x="2"/>
  </rowFields>
  <rowItems count="3">
    <i>
      <x/>
    </i>
    <i>
      <x v="6"/>
    </i>
    <i>
      <x v="7"/>
    </i>
  </rowItems>
  <colItems count="1">
    <i/>
  </colItems>
  <pageFields count="2">
    <pageField fld="0" hier="-1"/>
    <pageField fld="1" hier="-1"/>
  </pageFields>
  <dataFields count="1">
    <dataField name="Count of Status Atual" fld="2" subtotal="count" baseField="0" baseItem="0"/>
  </dataFields>
  <chartFormats count="12">
    <chartFormat chart="12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5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2" format="16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22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9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4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4" format="13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CC64C-E4C5-42F7-B1DE-543EB2FB79B3}">
  <sheetPr>
    <tabColor rgb="FFFF0000"/>
  </sheetPr>
  <dimension ref="A1:AX122"/>
  <sheetViews>
    <sheetView showGridLines="0" topLeftCell="A38" zoomScale="90" zoomScaleNormal="90" workbookViewId="0">
      <selection activeCell="I53" sqref="I53"/>
    </sheetView>
  </sheetViews>
  <sheetFormatPr defaultColWidth="0" defaultRowHeight="13.8" zeroHeight="1"/>
  <cols>
    <col min="1" max="2" width="4" style="135" customWidth="1"/>
    <col min="3" max="3" width="26.88671875" style="135" customWidth="1"/>
    <col min="4" max="12" width="11.6640625" style="135" customWidth="1"/>
    <col min="13" max="16" width="13.33203125" style="135" customWidth="1"/>
    <col min="17" max="17" width="15" style="135" customWidth="1"/>
    <col min="18" max="18" width="13.33203125" style="135" customWidth="1"/>
    <col min="19" max="20" width="4" style="135" customWidth="1"/>
    <col min="21" max="27" width="4" style="135" hidden="1" customWidth="1"/>
    <col min="28" max="16384" width="9.5546875" style="135" hidden="1"/>
  </cols>
  <sheetData>
    <row r="1" spans="1:50" ht="16.2" customHeight="1"/>
    <row r="2" spans="1:50" ht="16.2" customHeight="1"/>
    <row r="3" spans="1:50" ht="16.2" customHeight="1"/>
    <row r="4" spans="1:50" ht="16.2" customHeight="1"/>
    <row r="5" spans="1:50" s="3" customFormat="1" ht="3" customHeight="1">
      <c r="A5" s="2"/>
      <c r="B5" s="2"/>
      <c r="C5" s="2"/>
      <c r="D5" s="2"/>
      <c r="E5" s="2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</row>
    <row r="6" spans="1:50"/>
    <row r="7" spans="1:50">
      <c r="B7" s="154" t="s">
        <v>412</v>
      </c>
    </row>
    <row r="8" spans="1:50" ht="6.9" customHeight="1"/>
    <row r="9" spans="1:50" ht="13.95" customHeight="1">
      <c r="B9" s="171"/>
      <c r="C9" s="172"/>
      <c r="D9" s="172"/>
      <c r="E9" s="172"/>
      <c r="F9" s="172"/>
      <c r="G9" s="172"/>
      <c r="H9" s="172"/>
      <c r="I9" s="172"/>
      <c r="J9" s="172"/>
      <c r="K9" s="172"/>
      <c r="L9" s="172"/>
      <c r="M9" s="172"/>
      <c r="N9" s="172"/>
      <c r="O9" s="172"/>
      <c r="P9" s="172"/>
      <c r="Q9" s="172"/>
      <c r="R9" s="172"/>
      <c r="S9" s="173"/>
    </row>
    <row r="10" spans="1:50" ht="13.95" customHeight="1">
      <c r="B10" s="180"/>
      <c r="C10" s="175"/>
      <c r="D10" s="175"/>
      <c r="E10" s="175"/>
      <c r="F10" s="175"/>
      <c r="G10" s="175"/>
      <c r="H10" s="175"/>
      <c r="I10" s="175"/>
      <c r="J10" s="175"/>
      <c r="K10" s="175"/>
      <c r="L10" s="175"/>
      <c r="M10" s="175"/>
      <c r="N10" s="175"/>
      <c r="O10" s="175"/>
      <c r="P10" s="175"/>
      <c r="Q10" s="175"/>
      <c r="R10" s="175"/>
      <c r="S10" s="176"/>
    </row>
    <row r="11" spans="1:50" ht="13.95" customHeight="1">
      <c r="B11" s="180"/>
      <c r="C11" s="175"/>
      <c r="D11" s="175"/>
      <c r="E11" s="175"/>
      <c r="F11" s="175"/>
      <c r="G11" s="175"/>
      <c r="H11" s="175"/>
      <c r="I11" s="175"/>
      <c r="J11" s="187"/>
      <c r="K11" s="175"/>
      <c r="L11" s="175"/>
      <c r="M11" s="175"/>
      <c r="N11" s="175"/>
      <c r="O11" s="175"/>
      <c r="P11" s="175"/>
      <c r="Q11" s="175"/>
      <c r="R11" s="175"/>
      <c r="S11" s="176"/>
    </row>
    <row r="12" spans="1:50" ht="13.95" customHeight="1">
      <c r="B12" s="180"/>
      <c r="C12" s="175"/>
      <c r="D12" s="175"/>
      <c r="E12" s="175"/>
      <c r="F12" s="175"/>
      <c r="G12" s="175"/>
      <c r="H12" s="175"/>
      <c r="I12" s="175"/>
      <c r="J12" s="175"/>
      <c r="K12" s="175"/>
      <c r="L12" s="175"/>
      <c r="M12" s="175"/>
      <c r="N12" s="175"/>
      <c r="O12" s="175"/>
      <c r="P12" s="175"/>
      <c r="Q12" s="175"/>
      <c r="R12" s="175"/>
      <c r="S12" s="176"/>
    </row>
    <row r="13" spans="1:50" ht="13.95" customHeight="1">
      <c r="B13" s="180"/>
      <c r="C13" s="175"/>
      <c r="D13" s="175"/>
      <c r="E13" s="175"/>
      <c r="F13" s="175"/>
      <c r="G13" s="175"/>
      <c r="H13" s="175"/>
      <c r="I13" s="175"/>
      <c r="J13" s="175"/>
      <c r="K13" s="175"/>
      <c r="L13" s="175"/>
      <c r="M13" s="175"/>
      <c r="N13" s="175"/>
      <c r="O13" s="175"/>
      <c r="P13" s="175"/>
      <c r="Q13" s="175"/>
      <c r="R13" s="175"/>
      <c r="S13" s="176"/>
    </row>
    <row r="14" spans="1:50" ht="13.95" customHeight="1">
      <c r="B14" s="180"/>
      <c r="C14" s="175"/>
      <c r="D14" s="175"/>
      <c r="E14" s="175"/>
      <c r="F14" s="175"/>
      <c r="G14" s="175"/>
      <c r="H14" s="175"/>
      <c r="I14" s="175"/>
      <c r="J14" s="175"/>
      <c r="K14" s="175"/>
      <c r="L14" s="175"/>
      <c r="M14" s="175"/>
      <c r="N14" s="175"/>
      <c r="O14" s="175"/>
      <c r="P14" s="175"/>
      <c r="Q14" s="175"/>
      <c r="R14" s="175"/>
      <c r="S14" s="176"/>
    </row>
    <row r="15" spans="1:50" ht="13.95" customHeight="1">
      <c r="B15" s="180"/>
      <c r="C15" s="233" t="s">
        <v>381</v>
      </c>
      <c r="D15" s="175"/>
      <c r="E15" s="175"/>
      <c r="F15" s="175"/>
      <c r="G15" s="175"/>
      <c r="H15" s="175"/>
      <c r="I15" s="175"/>
      <c r="J15" s="175"/>
      <c r="K15" s="175"/>
      <c r="L15" s="175"/>
      <c r="M15" s="175"/>
      <c r="N15" s="175"/>
      <c r="O15" s="175"/>
      <c r="P15" s="175"/>
      <c r="Q15" s="175"/>
      <c r="R15" s="175"/>
      <c r="S15" s="176"/>
    </row>
    <row r="16" spans="1:50" ht="13.95" customHeight="1">
      <c r="B16" s="180"/>
      <c r="C16" s="233" t="s">
        <v>382</v>
      </c>
      <c r="D16" s="175"/>
      <c r="E16" s="175"/>
      <c r="F16" s="175"/>
      <c r="G16" s="175"/>
      <c r="H16" s="175"/>
      <c r="I16" s="175"/>
      <c r="J16" s="175"/>
      <c r="K16" s="175"/>
      <c r="L16" s="175"/>
      <c r="M16" s="175"/>
      <c r="N16" s="175"/>
      <c r="O16" s="175"/>
      <c r="P16" s="175"/>
      <c r="Q16" s="175"/>
      <c r="R16" s="175"/>
      <c r="S16" s="176"/>
    </row>
    <row r="17" spans="2:19" ht="13.95" customHeight="1">
      <c r="B17" s="180"/>
      <c r="C17" s="175"/>
      <c r="D17" s="175"/>
      <c r="E17" s="175"/>
      <c r="F17" s="175"/>
      <c r="G17" s="175"/>
      <c r="H17" s="175"/>
      <c r="I17" s="175"/>
      <c r="J17" s="175"/>
      <c r="K17" s="175"/>
      <c r="L17" s="175"/>
      <c r="M17" s="175"/>
      <c r="N17" s="175"/>
      <c r="O17" s="175"/>
      <c r="P17" s="175"/>
      <c r="Q17" s="175"/>
      <c r="R17" s="175"/>
      <c r="S17" s="176"/>
    </row>
    <row r="18" spans="2:19" ht="13.95" customHeight="1">
      <c r="B18" s="180"/>
      <c r="C18" s="184" t="s">
        <v>289</v>
      </c>
      <c r="D18" s="175"/>
      <c r="E18" s="175"/>
      <c r="F18" s="175"/>
      <c r="G18" s="175"/>
      <c r="H18" s="175"/>
      <c r="I18" s="187" t="s">
        <v>267</v>
      </c>
      <c r="J18" s="175"/>
      <c r="K18" s="175"/>
      <c r="L18" s="175"/>
      <c r="M18" s="175"/>
      <c r="N18" s="175"/>
      <c r="O18" s="175"/>
      <c r="P18" s="175"/>
      <c r="Q18" s="175"/>
      <c r="R18" s="175"/>
      <c r="S18" s="176"/>
    </row>
    <row r="19" spans="2:19" ht="7.2" customHeight="1">
      <c r="B19" s="180"/>
      <c r="C19" s="175"/>
      <c r="D19" s="175"/>
      <c r="E19" s="175"/>
      <c r="F19" s="175"/>
      <c r="G19" s="175"/>
      <c r="H19" s="175"/>
      <c r="I19" s="175"/>
      <c r="J19" s="175"/>
      <c r="K19" s="175"/>
      <c r="L19" s="175"/>
      <c r="M19" s="175"/>
      <c r="N19" s="175"/>
      <c r="O19" s="175"/>
      <c r="P19" s="175"/>
      <c r="Q19" s="175"/>
      <c r="R19" s="175"/>
      <c r="S19" s="176"/>
    </row>
    <row r="20" spans="2:19" ht="15.6" customHeight="1">
      <c r="B20" s="174"/>
      <c r="C20" s="175"/>
      <c r="D20" s="286" t="s">
        <v>377</v>
      </c>
      <c r="E20" s="286"/>
      <c r="F20" s="286"/>
      <c r="G20" s="275" t="s">
        <v>378</v>
      </c>
      <c r="H20" s="175"/>
      <c r="I20" s="277" t="s">
        <v>413</v>
      </c>
      <c r="J20" s="278"/>
      <c r="K20" s="278"/>
      <c r="L20" s="278"/>
      <c r="M20" s="278"/>
      <c r="N20" s="278"/>
      <c r="O20" s="278"/>
      <c r="P20" s="278"/>
      <c r="Q20" s="278"/>
      <c r="R20" s="279"/>
      <c r="S20" s="176"/>
    </row>
    <row r="21" spans="2:19">
      <c r="B21" s="174"/>
      <c r="C21" s="181" t="s">
        <v>80</v>
      </c>
      <c r="D21" s="183" t="s">
        <v>285</v>
      </c>
      <c r="E21" s="183" t="s">
        <v>247</v>
      </c>
      <c r="F21" s="183" t="s">
        <v>284</v>
      </c>
      <c r="G21" s="276"/>
      <c r="H21" s="175"/>
      <c r="I21" s="280"/>
      <c r="J21" s="281"/>
      <c r="K21" s="281"/>
      <c r="L21" s="281"/>
      <c r="M21" s="281"/>
      <c r="N21" s="281"/>
      <c r="O21" s="281"/>
      <c r="P21" s="281"/>
      <c r="Q21" s="281"/>
      <c r="R21" s="282"/>
      <c r="S21" s="176"/>
    </row>
    <row r="22" spans="2:19">
      <c r="B22" s="174"/>
      <c r="C22" s="199" t="s">
        <v>1</v>
      </c>
      <c r="D22" s="185">
        <f>43+8</f>
        <v>51</v>
      </c>
      <c r="E22" s="185">
        <f>43+8</f>
        <v>51</v>
      </c>
      <c r="F22" s="185">
        <f>E22-D22</f>
        <v>0</v>
      </c>
      <c r="G22" s="185">
        <f>COUNTIFS('Aux Gráficos'!$D$3:$D$75,"4. Em Correção",'Aux Gráficos'!$B$3:$B$75,'Status Resumo'!C22,'Aux Gráficos'!$C$3:$C$75,"&lt;&gt;"&amp;"UNIVERSO")</f>
        <v>3</v>
      </c>
      <c r="H22" s="175"/>
      <c r="I22" s="280"/>
      <c r="J22" s="281"/>
      <c r="K22" s="281"/>
      <c r="L22" s="281"/>
      <c r="M22" s="281"/>
      <c r="N22" s="281"/>
      <c r="O22" s="281"/>
      <c r="P22" s="281"/>
      <c r="Q22" s="281"/>
      <c r="R22" s="282"/>
      <c r="S22" s="176"/>
    </row>
    <row r="23" spans="2:19">
      <c r="B23" s="174"/>
      <c r="C23" s="199" t="s">
        <v>55</v>
      </c>
      <c r="D23" s="185">
        <v>7</v>
      </c>
      <c r="E23" s="185">
        <v>7</v>
      </c>
      <c r="F23" s="185">
        <f>E23-D23</f>
        <v>0</v>
      </c>
      <c r="G23" s="185">
        <f>COUNTIFS('Aux Gráficos'!$D$3:$D$75,"4. Em Correção",'Aux Gráficos'!$B$3:$B$75,'Status Resumo'!C23,'Aux Gráficos'!$C$3:$C$75,"&lt;&gt;"&amp;"UNIVERSO")</f>
        <v>0</v>
      </c>
      <c r="H23" s="175"/>
      <c r="I23" s="280"/>
      <c r="J23" s="281"/>
      <c r="K23" s="281"/>
      <c r="L23" s="281"/>
      <c r="M23" s="281"/>
      <c r="N23" s="281"/>
      <c r="O23" s="281"/>
      <c r="P23" s="281"/>
      <c r="Q23" s="281"/>
      <c r="R23" s="282"/>
      <c r="S23" s="176"/>
    </row>
    <row r="24" spans="2:19">
      <c r="B24" s="174"/>
      <c r="C24" s="199" t="s">
        <v>61</v>
      </c>
      <c r="D24" s="185">
        <v>5</v>
      </c>
      <c r="E24" s="185">
        <v>5</v>
      </c>
      <c r="F24" s="185">
        <f>E24-D24</f>
        <v>0</v>
      </c>
      <c r="G24" s="185">
        <f>COUNTIFS('Aux Gráficos'!$D$3:$D$75,"4. Em Correção",'Aux Gráficos'!$B$3:$B$75,'Status Resumo'!C24,'Aux Gráficos'!$C$3:$C$75,"&lt;&gt;"&amp;"UNIVERSO")</f>
        <v>0</v>
      </c>
      <c r="H24" s="175"/>
      <c r="I24" s="280"/>
      <c r="J24" s="281"/>
      <c r="K24" s="281"/>
      <c r="L24" s="281"/>
      <c r="M24" s="281"/>
      <c r="N24" s="281"/>
      <c r="O24" s="281"/>
      <c r="P24" s="281"/>
      <c r="Q24" s="281"/>
      <c r="R24" s="282"/>
      <c r="S24" s="176"/>
    </row>
    <row r="25" spans="2:19">
      <c r="B25" s="174"/>
      <c r="C25" s="199" t="s">
        <v>63</v>
      </c>
      <c r="D25" s="185">
        <v>6</v>
      </c>
      <c r="E25" s="185">
        <v>6</v>
      </c>
      <c r="F25" s="185">
        <f>E25-D25</f>
        <v>0</v>
      </c>
      <c r="G25" s="185">
        <f>COUNTIFS('Aux Gráficos'!$D$3:$D$75,"4. Em Correção",'Aux Gráficos'!$B$3:$B$75,'Status Resumo'!C25,'Aux Gráficos'!$C$3:$C$75,"&lt;&gt;"&amp;"UNIVERSO")</f>
        <v>0</v>
      </c>
      <c r="H25" s="175"/>
      <c r="I25" s="280"/>
      <c r="J25" s="281"/>
      <c r="K25" s="281"/>
      <c r="L25" s="281"/>
      <c r="M25" s="281"/>
      <c r="N25" s="281"/>
      <c r="O25" s="281"/>
      <c r="P25" s="281"/>
      <c r="Q25" s="281"/>
      <c r="R25" s="282"/>
      <c r="S25" s="176"/>
    </row>
    <row r="26" spans="2:19">
      <c r="B26" s="174"/>
      <c r="C26" s="182" t="s">
        <v>268</v>
      </c>
      <c r="D26" s="183">
        <f>SUM(D22:D25)</f>
        <v>69</v>
      </c>
      <c r="E26" s="183">
        <f t="shared" ref="E26:G26" si="0">SUM(E22:E25)</f>
        <v>69</v>
      </c>
      <c r="F26" s="183">
        <f t="shared" si="0"/>
        <v>0</v>
      </c>
      <c r="G26" s="183">
        <f t="shared" si="0"/>
        <v>3</v>
      </c>
      <c r="H26" s="175"/>
      <c r="I26" s="283"/>
      <c r="J26" s="284"/>
      <c r="K26" s="284"/>
      <c r="L26" s="284"/>
      <c r="M26" s="284"/>
      <c r="N26" s="284"/>
      <c r="O26" s="284"/>
      <c r="P26" s="284"/>
      <c r="Q26" s="284"/>
      <c r="R26" s="285"/>
      <c r="S26" s="176"/>
    </row>
    <row r="27" spans="2:19">
      <c r="B27" s="174"/>
      <c r="C27" s="186"/>
      <c r="D27" s="175"/>
      <c r="E27" s="175"/>
      <c r="F27" s="175"/>
      <c r="G27" s="175"/>
      <c r="H27" s="175"/>
      <c r="I27" s="175"/>
      <c r="J27" s="175"/>
      <c r="K27" s="175"/>
      <c r="L27" s="175"/>
      <c r="M27" s="175"/>
      <c r="N27" s="175"/>
      <c r="O27" s="175"/>
      <c r="P27" s="175"/>
      <c r="Q27" s="175"/>
      <c r="R27" s="175"/>
      <c r="S27" s="176"/>
    </row>
    <row r="28" spans="2:19">
      <c r="B28" s="174"/>
      <c r="C28" s="184" t="s">
        <v>303</v>
      </c>
      <c r="D28" s="175"/>
      <c r="E28" s="175"/>
      <c r="F28" s="175"/>
      <c r="G28" s="175"/>
      <c r="H28" s="175"/>
      <c r="I28" s="175"/>
      <c r="J28" s="175"/>
      <c r="K28" s="175"/>
      <c r="L28" s="175"/>
      <c r="M28" s="175"/>
      <c r="N28" s="175"/>
      <c r="O28" s="175"/>
      <c r="P28" s="175"/>
      <c r="Q28" s="175"/>
      <c r="R28" s="175"/>
      <c r="S28" s="176"/>
    </row>
    <row r="29" spans="2:19" ht="7.2" customHeight="1">
      <c r="B29" s="174"/>
      <c r="C29" s="184"/>
      <c r="D29" s="175"/>
      <c r="E29" s="175"/>
      <c r="F29" s="175"/>
      <c r="G29" s="175"/>
      <c r="H29" s="175"/>
      <c r="I29" s="175"/>
      <c r="J29" s="175"/>
      <c r="K29" s="175"/>
      <c r="L29" s="175"/>
      <c r="M29" s="175"/>
      <c r="N29" s="175"/>
      <c r="O29" s="175"/>
      <c r="P29" s="175"/>
      <c r="Q29" s="175"/>
      <c r="R29" s="175"/>
      <c r="S29" s="176"/>
    </row>
    <row r="30" spans="2:19" ht="13.95" customHeight="1">
      <c r="B30" s="174"/>
      <c r="C30" s="181" t="s">
        <v>80</v>
      </c>
      <c r="D30" s="287" t="s">
        <v>286</v>
      </c>
      <c r="E30" s="287"/>
      <c r="F30" s="287"/>
      <c r="G30" s="287" t="s">
        <v>287</v>
      </c>
      <c r="H30" s="287"/>
      <c r="I30" s="287"/>
      <c r="J30" s="287"/>
      <c r="K30" s="287"/>
      <c r="L30" s="287"/>
      <c r="M30" s="287"/>
      <c r="N30" s="287"/>
      <c r="O30" s="287"/>
      <c r="P30" s="287"/>
      <c r="Q30" s="188" t="s">
        <v>309</v>
      </c>
      <c r="R30" s="188" t="s">
        <v>310</v>
      </c>
      <c r="S30" s="176"/>
    </row>
    <row r="31" spans="2:19" ht="15" customHeight="1">
      <c r="B31" s="174"/>
      <c r="C31" s="199" t="s">
        <v>1</v>
      </c>
      <c r="D31" s="269" t="s">
        <v>307</v>
      </c>
      <c r="E31" s="269"/>
      <c r="F31" s="269"/>
      <c r="G31" s="269" t="s">
        <v>338</v>
      </c>
      <c r="H31" s="269"/>
      <c r="I31" s="269"/>
      <c r="J31" s="269"/>
      <c r="K31" s="269"/>
      <c r="L31" s="269"/>
      <c r="M31" s="269"/>
      <c r="N31" s="269"/>
      <c r="O31" s="269"/>
      <c r="P31" s="269"/>
      <c r="Q31" s="189" t="s">
        <v>306</v>
      </c>
      <c r="R31" s="189" t="s">
        <v>288</v>
      </c>
      <c r="S31" s="176"/>
    </row>
    <row r="32" spans="2:19">
      <c r="B32" s="174"/>
      <c r="C32" s="199" t="s">
        <v>1</v>
      </c>
      <c r="D32" s="269" t="s">
        <v>304</v>
      </c>
      <c r="E32" s="269"/>
      <c r="F32" s="269"/>
      <c r="G32" s="269" t="s">
        <v>340</v>
      </c>
      <c r="H32" s="269"/>
      <c r="I32" s="269"/>
      <c r="J32" s="269"/>
      <c r="K32" s="269"/>
      <c r="L32" s="269"/>
      <c r="M32" s="269"/>
      <c r="N32" s="269"/>
      <c r="O32" s="269"/>
      <c r="P32" s="269"/>
      <c r="Q32" s="189" t="s">
        <v>339</v>
      </c>
      <c r="R32" s="189" t="s">
        <v>288</v>
      </c>
      <c r="S32" s="176"/>
    </row>
    <row r="33" spans="2:19">
      <c r="B33" s="174"/>
      <c r="C33" s="199" t="s">
        <v>1</v>
      </c>
      <c r="D33" s="269" t="s">
        <v>305</v>
      </c>
      <c r="E33" s="269"/>
      <c r="F33" s="269"/>
      <c r="G33" s="269" t="s">
        <v>369</v>
      </c>
      <c r="H33" s="269"/>
      <c r="I33" s="269"/>
      <c r="J33" s="269"/>
      <c r="K33" s="269"/>
      <c r="L33" s="269"/>
      <c r="M33" s="269"/>
      <c r="N33" s="269"/>
      <c r="O33" s="269"/>
      <c r="P33" s="269"/>
      <c r="Q33" s="213" t="s">
        <v>288</v>
      </c>
      <c r="R33" s="189" t="s">
        <v>288</v>
      </c>
      <c r="S33" s="176"/>
    </row>
    <row r="34" spans="2:19" ht="14.25" customHeight="1">
      <c r="B34" s="174"/>
      <c r="C34" s="199" t="s">
        <v>1</v>
      </c>
      <c r="D34" s="272" t="s">
        <v>370</v>
      </c>
      <c r="E34" s="272"/>
      <c r="F34" s="272"/>
      <c r="G34" s="269" t="s">
        <v>368</v>
      </c>
      <c r="H34" s="269"/>
      <c r="I34" s="269"/>
      <c r="J34" s="269"/>
      <c r="K34" s="269"/>
      <c r="L34" s="269"/>
      <c r="M34" s="269"/>
      <c r="N34" s="269"/>
      <c r="O34" s="269"/>
      <c r="P34" s="269"/>
      <c r="Q34" s="189" t="s">
        <v>306</v>
      </c>
      <c r="R34" s="189" t="s">
        <v>288</v>
      </c>
      <c r="S34" s="176"/>
    </row>
    <row r="35" spans="2:19" ht="14.25" customHeight="1">
      <c r="B35" s="174"/>
      <c r="C35" s="199" t="s">
        <v>1</v>
      </c>
      <c r="D35" s="269" t="s">
        <v>366</v>
      </c>
      <c r="E35" s="269"/>
      <c r="F35" s="269"/>
      <c r="G35" s="269" t="s">
        <v>372</v>
      </c>
      <c r="H35" s="269"/>
      <c r="I35" s="269"/>
      <c r="J35" s="269"/>
      <c r="K35" s="269"/>
      <c r="L35" s="269"/>
      <c r="M35" s="269"/>
      <c r="N35" s="269"/>
      <c r="O35" s="269"/>
      <c r="P35" s="269"/>
      <c r="Q35" s="189" t="s">
        <v>306</v>
      </c>
      <c r="R35" s="198" t="s">
        <v>308</v>
      </c>
      <c r="S35" s="176"/>
    </row>
    <row r="36" spans="2:19" ht="14.25" customHeight="1">
      <c r="B36" s="174"/>
      <c r="C36" s="199" t="s">
        <v>1</v>
      </c>
      <c r="D36" s="269" t="s">
        <v>367</v>
      </c>
      <c r="E36" s="269"/>
      <c r="F36" s="269"/>
      <c r="G36" s="269" t="s">
        <v>373</v>
      </c>
      <c r="H36" s="269"/>
      <c r="I36" s="269"/>
      <c r="J36" s="269"/>
      <c r="K36" s="269"/>
      <c r="L36" s="269"/>
      <c r="M36" s="269"/>
      <c r="N36" s="269"/>
      <c r="O36" s="269"/>
      <c r="P36" s="269"/>
      <c r="Q36" s="189" t="s">
        <v>306</v>
      </c>
      <c r="R36" s="198" t="s">
        <v>308</v>
      </c>
      <c r="S36" s="176"/>
    </row>
    <row r="37" spans="2:19" ht="14.25" customHeight="1">
      <c r="B37" s="174"/>
      <c r="C37" s="199" t="s">
        <v>55</v>
      </c>
      <c r="D37" s="272" t="s">
        <v>371</v>
      </c>
      <c r="E37" s="273"/>
      <c r="F37" s="274"/>
      <c r="G37" s="269" t="s">
        <v>312</v>
      </c>
      <c r="H37" s="270"/>
      <c r="I37" s="270"/>
      <c r="J37" s="270"/>
      <c r="K37" s="270"/>
      <c r="L37" s="270"/>
      <c r="M37" s="270"/>
      <c r="N37" s="270"/>
      <c r="O37" s="270"/>
      <c r="P37" s="271"/>
      <c r="Q37" s="189" t="s">
        <v>306</v>
      </c>
      <c r="R37" s="189" t="s">
        <v>288</v>
      </c>
      <c r="S37" s="176"/>
    </row>
    <row r="38" spans="2:19" ht="14.25" customHeight="1">
      <c r="B38" s="174"/>
      <c r="C38" s="199" t="s">
        <v>55</v>
      </c>
      <c r="D38" s="269" t="s">
        <v>384</v>
      </c>
      <c r="E38" s="270"/>
      <c r="F38" s="271"/>
      <c r="G38" s="269" t="s">
        <v>385</v>
      </c>
      <c r="H38" s="270"/>
      <c r="I38" s="270"/>
      <c r="J38" s="270"/>
      <c r="K38" s="270"/>
      <c r="L38" s="270"/>
      <c r="M38" s="270"/>
      <c r="N38" s="270"/>
      <c r="O38" s="270"/>
      <c r="P38" s="271"/>
      <c r="Q38" s="189" t="s">
        <v>306</v>
      </c>
      <c r="R38" s="189" t="s">
        <v>288</v>
      </c>
      <c r="S38" s="176"/>
    </row>
    <row r="39" spans="2:19" ht="14.25" customHeight="1">
      <c r="B39" s="174"/>
      <c r="C39" s="199" t="s">
        <v>61</v>
      </c>
      <c r="D39" s="269" t="s">
        <v>384</v>
      </c>
      <c r="E39" s="270"/>
      <c r="F39" s="271"/>
      <c r="G39" s="269" t="s">
        <v>386</v>
      </c>
      <c r="H39" s="270"/>
      <c r="I39" s="270"/>
      <c r="J39" s="270"/>
      <c r="K39" s="270"/>
      <c r="L39" s="270"/>
      <c r="M39" s="270"/>
      <c r="N39" s="270"/>
      <c r="O39" s="270"/>
      <c r="P39" s="271"/>
      <c r="Q39" s="189" t="s">
        <v>306</v>
      </c>
      <c r="R39" s="189" t="s">
        <v>288</v>
      </c>
      <c r="S39" s="176"/>
    </row>
    <row r="40" spans="2:19" ht="14.25" customHeight="1">
      <c r="B40" s="174"/>
      <c r="C40" s="199" t="s">
        <v>63</v>
      </c>
      <c r="D40" s="269" t="s">
        <v>307</v>
      </c>
      <c r="E40" s="270"/>
      <c r="F40" s="271"/>
      <c r="G40" s="269" t="s">
        <v>387</v>
      </c>
      <c r="H40" s="270"/>
      <c r="I40" s="270"/>
      <c r="J40" s="270"/>
      <c r="K40" s="270"/>
      <c r="L40" s="270"/>
      <c r="M40" s="270"/>
      <c r="N40" s="270"/>
      <c r="O40" s="270"/>
      <c r="P40" s="271"/>
      <c r="Q40" s="189" t="s">
        <v>306</v>
      </c>
      <c r="R40" s="198" t="s">
        <v>308</v>
      </c>
      <c r="S40" s="176"/>
    </row>
    <row r="41" spans="2:19" ht="14.25" customHeight="1">
      <c r="B41" s="174"/>
      <c r="C41" s="199" t="s">
        <v>63</v>
      </c>
      <c r="D41" s="269" t="s">
        <v>384</v>
      </c>
      <c r="E41" s="270"/>
      <c r="F41" s="271"/>
      <c r="G41" s="269" t="s">
        <v>388</v>
      </c>
      <c r="H41" s="270"/>
      <c r="I41" s="270"/>
      <c r="J41" s="270"/>
      <c r="K41" s="270"/>
      <c r="L41" s="270"/>
      <c r="M41" s="270"/>
      <c r="N41" s="270"/>
      <c r="O41" s="270"/>
      <c r="P41" s="271"/>
      <c r="Q41" s="189" t="s">
        <v>306</v>
      </c>
      <c r="R41" s="198" t="s">
        <v>308</v>
      </c>
      <c r="S41" s="176"/>
    </row>
    <row r="42" spans="2:19" ht="27" customHeight="1">
      <c r="B42" s="174"/>
      <c r="C42" s="199" t="s">
        <v>1</v>
      </c>
      <c r="D42" s="269" t="s">
        <v>384</v>
      </c>
      <c r="E42" s="270"/>
      <c r="F42" s="271"/>
      <c r="G42" s="269" t="s">
        <v>390</v>
      </c>
      <c r="H42" s="269"/>
      <c r="I42" s="269"/>
      <c r="J42" s="269"/>
      <c r="K42" s="269"/>
      <c r="L42" s="269"/>
      <c r="M42" s="269"/>
      <c r="N42" s="269"/>
      <c r="O42" s="269"/>
      <c r="P42" s="269"/>
      <c r="Q42" s="189" t="s">
        <v>306</v>
      </c>
      <c r="R42" s="189" t="s">
        <v>288</v>
      </c>
      <c r="S42" s="176"/>
    </row>
    <row r="43" spans="2:19">
      <c r="B43" s="177"/>
      <c r="C43" s="178"/>
      <c r="D43" s="178"/>
      <c r="E43" s="178"/>
      <c r="F43" s="178"/>
      <c r="G43" s="178"/>
      <c r="H43" s="178"/>
      <c r="I43" s="178"/>
      <c r="J43" s="178"/>
      <c r="K43" s="178"/>
      <c r="L43" s="178"/>
      <c r="M43" s="178"/>
      <c r="N43" s="178"/>
      <c r="O43" s="178"/>
      <c r="P43" s="178"/>
      <c r="Q43" s="178"/>
      <c r="R43" s="178"/>
      <c r="S43" s="179"/>
    </row>
    <row r="44" spans="2:19"/>
    <row r="45" spans="2:19" ht="18" customHeight="1">
      <c r="B45" s="268" t="s">
        <v>269</v>
      </c>
      <c r="C45" s="268"/>
      <c r="D45" s="268"/>
      <c r="E45" s="268"/>
      <c r="F45" s="268"/>
      <c r="G45" s="268"/>
      <c r="H45" s="268"/>
      <c r="I45" s="268"/>
      <c r="J45" s="268"/>
      <c r="K45" s="268"/>
      <c r="L45" s="268"/>
      <c r="M45" s="268"/>
      <c r="N45" s="268"/>
      <c r="O45" s="268"/>
      <c r="P45" s="268"/>
      <c r="Q45" s="268"/>
      <c r="R45" s="268"/>
      <c r="S45" s="268"/>
    </row>
    <row r="46" spans="2:19" ht="6.9" customHeight="1">
      <c r="G46" s="151"/>
    </row>
    <row r="47" spans="2:19" ht="17.399999999999999" customHeight="1">
      <c r="B47" s="136"/>
      <c r="C47" s="137"/>
      <c r="D47" s="137"/>
      <c r="E47" s="137"/>
      <c r="F47" s="137"/>
      <c r="G47" s="137"/>
      <c r="H47" s="137"/>
      <c r="I47" s="137"/>
      <c r="J47" s="137"/>
      <c r="K47" s="137"/>
      <c r="L47" s="137"/>
      <c r="M47" s="137"/>
      <c r="N47" s="137"/>
      <c r="O47" s="137"/>
      <c r="P47" s="137"/>
      <c r="Q47" s="137"/>
      <c r="R47" s="137"/>
      <c r="S47" s="138"/>
    </row>
    <row r="48" spans="2:19" ht="17.399999999999999" customHeight="1">
      <c r="B48" s="139"/>
      <c r="C48" s="140" t="s">
        <v>266</v>
      </c>
      <c r="G48" s="155" t="s">
        <v>276</v>
      </c>
      <c r="H48" s="155"/>
      <c r="I48" s="168">
        <v>45855</v>
      </c>
      <c r="J48" s="168">
        <v>45848</v>
      </c>
      <c r="K48" s="169" t="s">
        <v>284</v>
      </c>
      <c r="M48" s="152" t="s">
        <v>267</v>
      </c>
      <c r="S48" s="141"/>
    </row>
    <row r="49" spans="2:19" ht="17.399999999999999" customHeight="1">
      <c r="B49" s="139"/>
      <c r="G49" s="147" t="s">
        <v>114</v>
      </c>
      <c r="I49" s="147">
        <f>COUNTIFS('Detalhe Entregas e Status'!$V:$V,'Status Resumo'!G49,'Detalhe Entregas e Status'!$B:$B,"lt002_instrument",'Detalhe Entregas e Status'!$C:$C,"&lt;&gt;"&amp;"UNIVERSO")</f>
        <v>31</v>
      </c>
      <c r="J49" s="147">
        <f>COUNTIFS('Detalhe Entregas e Status'!$W:$W,'Status Resumo'!G49,'Detalhe Entregas e Status'!$B:$B,"lt002_instrument",'Detalhe Entregas e Status'!$C:$C,"&lt;&gt;"&amp;"UNIVERSO")</f>
        <v>31</v>
      </c>
      <c r="K49" s="170" t="str">
        <f>IF(I49-J49=0,"-",IF(I49-J49&gt;0,_xlfn.CONCAT("+ ",I49-J49),_xlfn.CONCAT("- ",J49-I49)))</f>
        <v>-</v>
      </c>
      <c r="M49" s="257" t="s">
        <v>415</v>
      </c>
      <c r="N49" s="258"/>
      <c r="O49" s="258"/>
      <c r="P49" s="258"/>
      <c r="Q49" s="258"/>
      <c r="R49" s="259"/>
      <c r="S49" s="141"/>
    </row>
    <row r="50" spans="2:19" ht="17.399999999999999" customHeight="1">
      <c r="B50" s="139"/>
      <c r="G50" s="147" t="s">
        <v>117</v>
      </c>
      <c r="I50" s="147">
        <f>COUNTIFS('Detalhe Entregas e Status'!$V:$V,'Status Resumo'!G50,'Detalhe Entregas e Status'!$B:$B,"lt002_instrument",'Detalhe Entregas e Status'!$C:$C,"&lt;&gt;"&amp;"UNIVERSO")</f>
        <v>0</v>
      </c>
      <c r="J50" s="147">
        <f>COUNTIFS('Detalhe Entregas e Status'!$W:$W,'Status Resumo'!G50,'Detalhe Entregas e Status'!$B:$B,"lt002_instrument",'Detalhe Entregas e Status'!$C:$C,"&lt;&gt;"&amp;"UNIVERSO")</f>
        <v>0</v>
      </c>
      <c r="K50" s="170" t="str">
        <f t="shared" ref="K50:K55" si="1">IF(I50-J50=0,"-",IF(I50-J50&gt;0,_xlfn.CONCAT("+ ",I50-J50),_xlfn.CONCAT("- ",J50-I50)))</f>
        <v>-</v>
      </c>
      <c r="M50" s="260"/>
      <c r="N50" s="261"/>
      <c r="O50" s="261"/>
      <c r="P50" s="261"/>
      <c r="Q50" s="261"/>
      <c r="R50" s="262"/>
      <c r="S50" s="141"/>
    </row>
    <row r="51" spans="2:19" ht="17.399999999999999" customHeight="1">
      <c r="B51" s="139"/>
      <c r="G51" s="147" t="s">
        <v>115</v>
      </c>
      <c r="I51" s="147">
        <f>COUNTIFS('Detalhe Entregas e Status'!$V:$V,'Status Resumo'!G51,'Detalhe Entregas e Status'!$B:$B,"lt002_instrument",'Detalhe Entregas e Status'!$C:$C,"&lt;&gt;"&amp;"UNIVERSO")</f>
        <v>0</v>
      </c>
      <c r="J51" s="147">
        <f>COUNTIFS('Detalhe Entregas e Status'!$W:$W,'Status Resumo'!G51,'Detalhe Entregas e Status'!$B:$B,"lt002_instrument",'Detalhe Entregas e Status'!$C:$C,"&lt;&gt;"&amp;"UNIVERSO")</f>
        <v>0</v>
      </c>
      <c r="K51" s="170" t="str">
        <f t="shared" si="1"/>
        <v>-</v>
      </c>
      <c r="M51" s="260"/>
      <c r="N51" s="261"/>
      <c r="O51" s="261"/>
      <c r="P51" s="261"/>
      <c r="Q51" s="261"/>
      <c r="R51" s="262"/>
      <c r="S51" s="141"/>
    </row>
    <row r="52" spans="2:19" ht="17.399999999999999" customHeight="1">
      <c r="B52" s="139"/>
      <c r="D52" s="142"/>
      <c r="E52" s="142"/>
      <c r="G52" s="147" t="s">
        <v>116</v>
      </c>
      <c r="I52" s="147">
        <f>COUNTIFS('Detalhe Entregas e Status'!$V:$V,'Status Resumo'!G52,'Detalhe Entregas e Status'!$B:$B,"lt002_instrument",'Detalhe Entregas e Status'!$C:$C,"&lt;&gt;"&amp;"UNIVERSO")</f>
        <v>3</v>
      </c>
      <c r="J52" s="147">
        <f>COUNTIFS('Detalhe Entregas e Status'!$W:$W,'Status Resumo'!G52,'Detalhe Entregas e Status'!$B:$B,"lt002_instrument",'Detalhe Entregas e Status'!$C:$C,"&lt;&gt;"&amp;"UNIVERSO")</f>
        <v>3</v>
      </c>
      <c r="K52" s="170" t="str">
        <f t="shared" si="1"/>
        <v>-</v>
      </c>
      <c r="M52" s="260"/>
      <c r="N52" s="261"/>
      <c r="O52" s="261"/>
      <c r="P52" s="261"/>
      <c r="Q52" s="261"/>
      <c r="R52" s="262"/>
      <c r="S52" s="141"/>
    </row>
    <row r="53" spans="2:19" ht="17.399999999999999" customHeight="1">
      <c r="B53" s="139"/>
      <c r="D53" s="142"/>
      <c r="E53" s="142"/>
      <c r="G53" s="147" t="s">
        <v>122</v>
      </c>
      <c r="I53" s="147">
        <f>COUNTIFS('Detalhe Entregas e Status'!$V:$V,'Status Resumo'!G53,'Detalhe Entregas e Status'!$B:$B,"lt002_instrument",'Detalhe Entregas e Status'!$C:$C,"&lt;&gt;"&amp;"UNIVERSO")</f>
        <v>17</v>
      </c>
      <c r="J53" s="147">
        <f>COUNTIFS('Detalhe Entregas e Status'!$W:$W,'Status Resumo'!G53,'Detalhe Entregas e Status'!$B:$B,"lt002_instrument",'Detalhe Entregas e Status'!$C:$C,"&lt;&gt;"&amp;"UNIVERSO")</f>
        <v>17</v>
      </c>
      <c r="K53" s="170" t="str">
        <f t="shared" si="1"/>
        <v>-</v>
      </c>
      <c r="M53" s="260"/>
      <c r="N53" s="261"/>
      <c r="O53" s="261"/>
      <c r="P53" s="261"/>
      <c r="Q53" s="261"/>
      <c r="R53" s="262"/>
      <c r="S53" s="141"/>
    </row>
    <row r="54" spans="2:19" ht="17.399999999999999" customHeight="1">
      <c r="B54" s="139"/>
      <c r="D54" s="142"/>
      <c r="E54" s="142"/>
      <c r="G54" s="147" t="s">
        <v>124</v>
      </c>
      <c r="I54" s="147">
        <f>COUNTIFS('Detalhe Entregas e Status'!$V:$V,'Status Resumo'!G54,'Detalhe Entregas e Status'!$B:$B,"lt002_instrument",'Detalhe Entregas e Status'!$C:$C,"&lt;&gt;"&amp;"UNIVERSO")</f>
        <v>0</v>
      </c>
      <c r="J54" s="147">
        <f>COUNTIFS('Detalhe Entregas e Status'!$W:$W,'Status Resumo'!G54,'Detalhe Entregas e Status'!$B:$B,"lt002_instrument",'Detalhe Entregas e Status'!$C:$C,"&lt;&gt;"&amp;"UNIVERSO")</f>
        <v>0</v>
      </c>
      <c r="K54" s="170" t="str">
        <f t="shared" si="1"/>
        <v>-</v>
      </c>
      <c r="M54" s="260"/>
      <c r="N54" s="261"/>
      <c r="O54" s="261"/>
      <c r="P54" s="261"/>
      <c r="Q54" s="261"/>
      <c r="R54" s="262"/>
      <c r="S54" s="141"/>
    </row>
    <row r="55" spans="2:19" ht="17.399999999999999" customHeight="1">
      <c r="B55" s="139"/>
      <c r="G55" s="147" t="s">
        <v>277</v>
      </c>
      <c r="H55" s="253"/>
      <c r="I55" s="147">
        <f>COUNTIFS('Detalhe Entregas e Status'!$V:$V,'Status Resumo'!G55,'Detalhe Entregas e Status'!$B:$B,"lt002_instrument",'Detalhe Entregas e Status'!$C:$C,"&lt;&gt;"&amp;"UNIVERSO")</f>
        <v>0</v>
      </c>
      <c r="J55" s="147">
        <f>COUNTIFS('Detalhe Entregas e Status'!$W:$W,'Status Resumo'!G55,'Detalhe Entregas e Status'!$B:$B,"lt002_instrument",'Detalhe Entregas e Status'!$C:$C,"&lt;&gt;"&amp;"UNIVERSO")</f>
        <v>0</v>
      </c>
      <c r="K55" s="170" t="str">
        <f t="shared" si="1"/>
        <v>-</v>
      </c>
      <c r="M55" s="260"/>
      <c r="N55" s="261"/>
      <c r="O55" s="261"/>
      <c r="P55" s="261"/>
      <c r="Q55" s="261"/>
      <c r="R55" s="262"/>
      <c r="S55" s="141"/>
    </row>
    <row r="56" spans="2:19" ht="17.399999999999999" customHeight="1">
      <c r="B56" s="139"/>
      <c r="G56" s="147" t="s">
        <v>409</v>
      </c>
      <c r="H56" s="253"/>
      <c r="I56" s="147">
        <f>COUNTIFS('Detalhe Entregas e Status'!$V:$V,'Status Resumo'!G56,'Detalhe Entregas e Status'!$B:$B,"lt002_instrument",'Detalhe Entregas e Status'!$C:$C,"&lt;&gt;"&amp;"UNIVERSO")</f>
        <v>0</v>
      </c>
      <c r="J56" s="147">
        <f>COUNTIFS('Detalhe Entregas e Status'!$W:$W,'Status Resumo'!G56,'Detalhe Entregas e Status'!$B:$B,"lt002_instrument",'Detalhe Entregas e Status'!$C:$C,"&lt;&gt;"&amp;"UNIVERSO")</f>
        <v>0</v>
      </c>
      <c r="K56" s="170" t="str">
        <f t="shared" ref="K56" si="2">IF(I56-J56=0,"-",IF(I56-J56&gt;0,_xlfn.CONCAT("+ ",I56-J56),_xlfn.CONCAT("- ",J56-I56)))</f>
        <v>-</v>
      </c>
      <c r="L56" s="143"/>
      <c r="M56" s="263"/>
      <c r="N56" s="264"/>
      <c r="O56" s="264"/>
      <c r="P56" s="264"/>
      <c r="Q56" s="264"/>
      <c r="R56" s="265"/>
      <c r="S56" s="141"/>
    </row>
    <row r="57" spans="2:19" ht="17.399999999999999" customHeight="1">
      <c r="B57" s="139"/>
      <c r="G57" s="148" t="s">
        <v>268</v>
      </c>
      <c r="H57" s="148"/>
      <c r="I57" s="148">
        <f>SUM(I49:I56)</f>
        <v>51</v>
      </c>
      <c r="J57" s="148">
        <f>SUM(J49:J56)</f>
        <v>51</v>
      </c>
      <c r="K57" s="148"/>
      <c r="L57" s="143"/>
      <c r="M57" s="143"/>
      <c r="N57" s="143"/>
      <c r="O57" s="143"/>
      <c r="P57" s="143"/>
      <c r="Q57" s="143"/>
      <c r="R57" s="143"/>
      <c r="S57" s="141"/>
    </row>
    <row r="58" spans="2:19" ht="17.399999999999999" customHeight="1">
      <c r="B58" s="139"/>
      <c r="K58" s="167"/>
      <c r="L58" s="143"/>
      <c r="M58" s="143"/>
      <c r="N58" s="143"/>
      <c r="O58" s="143"/>
      <c r="P58" s="143"/>
      <c r="Q58" s="143"/>
      <c r="R58" s="143"/>
      <c r="S58" s="141"/>
    </row>
    <row r="59" spans="2:19" ht="17.399999999999999" customHeight="1">
      <c r="B59" s="139"/>
      <c r="G59" s="155" t="s">
        <v>275</v>
      </c>
      <c r="H59" s="155"/>
      <c r="I59" s="168">
        <f>I48</f>
        <v>45855</v>
      </c>
      <c r="J59" s="167"/>
      <c r="K59" s="157"/>
      <c r="L59" s="143"/>
      <c r="S59" s="141"/>
    </row>
    <row r="60" spans="2:19" ht="17.399999999999999" customHeight="1">
      <c r="B60" s="139"/>
      <c r="G60" s="156" t="s">
        <v>1</v>
      </c>
      <c r="I60" s="252" t="s">
        <v>414</v>
      </c>
      <c r="J60" s="167"/>
      <c r="K60" s="157"/>
      <c r="L60" s="143"/>
      <c r="S60" s="141"/>
    </row>
    <row r="61" spans="2:19" ht="17.399999999999999" customHeight="1">
      <c r="B61" s="144"/>
      <c r="C61" s="145"/>
      <c r="D61" s="145"/>
      <c r="E61" s="145"/>
      <c r="F61" s="145"/>
      <c r="G61" s="145"/>
      <c r="H61" s="145"/>
      <c r="I61" s="145"/>
      <c r="J61" s="145"/>
      <c r="K61" s="145"/>
      <c r="L61" s="145"/>
      <c r="M61" s="145"/>
      <c r="N61" s="145"/>
      <c r="O61" s="145"/>
      <c r="P61" s="145"/>
      <c r="Q61" s="145"/>
      <c r="R61" s="145"/>
      <c r="S61" s="146"/>
    </row>
    <row r="62" spans="2:19"/>
    <row r="63" spans="2:19" ht="18" customHeight="1">
      <c r="B63" s="268" t="s">
        <v>272</v>
      </c>
      <c r="C63" s="268"/>
      <c r="D63" s="268"/>
      <c r="E63" s="268"/>
      <c r="F63" s="268"/>
      <c r="G63" s="268"/>
      <c r="H63" s="268"/>
      <c r="I63" s="268"/>
      <c r="J63" s="268"/>
      <c r="K63" s="268"/>
      <c r="L63" s="268"/>
      <c r="M63" s="268"/>
      <c r="N63" s="268"/>
      <c r="O63" s="268"/>
      <c r="P63" s="268"/>
      <c r="Q63" s="268"/>
      <c r="R63" s="268"/>
      <c r="S63" s="268"/>
    </row>
    <row r="64" spans="2:19" ht="6.9" customHeight="1">
      <c r="G64" s="151"/>
    </row>
    <row r="65" spans="2:19" ht="17.399999999999999" customHeight="1">
      <c r="B65" s="136"/>
      <c r="C65" s="137"/>
      <c r="D65" s="137"/>
      <c r="E65" s="137"/>
      <c r="F65" s="137"/>
      <c r="G65" s="137"/>
      <c r="H65" s="137"/>
      <c r="I65" s="137"/>
      <c r="J65" s="137"/>
      <c r="K65" s="137"/>
      <c r="L65" s="137"/>
      <c r="M65" s="137"/>
      <c r="N65" s="137"/>
      <c r="O65" s="137"/>
      <c r="P65" s="137"/>
      <c r="Q65" s="137"/>
      <c r="R65" s="137"/>
      <c r="S65" s="138"/>
    </row>
    <row r="66" spans="2:19" ht="17.399999999999999" customHeight="1">
      <c r="B66" s="139"/>
      <c r="C66" s="140" t="s">
        <v>266</v>
      </c>
      <c r="G66" s="155" t="s">
        <v>274</v>
      </c>
      <c r="H66" s="155"/>
      <c r="I66" s="168">
        <f>I48</f>
        <v>45855</v>
      </c>
      <c r="J66" s="168">
        <f>J48</f>
        <v>45848</v>
      </c>
      <c r="K66" s="169" t="s">
        <v>284</v>
      </c>
      <c r="M66" s="152" t="s">
        <v>267</v>
      </c>
      <c r="S66" s="141"/>
    </row>
    <row r="67" spans="2:19" ht="17.399999999999999" customHeight="1">
      <c r="B67" s="139"/>
      <c r="G67" s="147" t="s">
        <v>114</v>
      </c>
      <c r="I67" s="147">
        <f>COUNTIFS('Detalhe Entregas e Status'!$V:$V,'Status Resumo'!G67,'Detalhe Entregas e Status'!$B:$B,"lt004_protection",'Detalhe Entregas e Status'!$C:$C,"&lt;&gt;"&amp;"UNIVERSO")</f>
        <v>5</v>
      </c>
      <c r="J67" s="147">
        <f>COUNTIFS('Detalhe Entregas e Status'!$W:$W,'Status Resumo'!G67,'Detalhe Entregas e Status'!$B:$B,"lt004_protection",'Detalhe Entregas e Status'!$C:$C,"&lt;&gt;"&amp;"UNIVERSO")</f>
        <v>5</v>
      </c>
      <c r="K67" s="170" t="str">
        <f t="shared" ref="K67:K74" si="3">IF(I67-J67=0,"-",IF(I67-J67&gt;0,_xlfn.CONCAT("+ ",I67-J67),_xlfn.CONCAT("- ",J67-I67)))</f>
        <v>-</v>
      </c>
      <c r="M67" s="257" t="s">
        <v>416</v>
      </c>
      <c r="N67" s="258"/>
      <c r="O67" s="258"/>
      <c r="P67" s="258"/>
      <c r="Q67" s="258"/>
      <c r="R67" s="259"/>
      <c r="S67" s="141"/>
    </row>
    <row r="68" spans="2:19" ht="17.399999999999999" customHeight="1">
      <c r="B68" s="139"/>
      <c r="G68" s="147" t="s">
        <v>117</v>
      </c>
      <c r="I68" s="147">
        <f>COUNTIFS('Detalhe Entregas e Status'!$V:$V,'Status Resumo'!G68,'Detalhe Entregas e Status'!$B:$B,"lt004_protection",'Detalhe Entregas e Status'!$C:$C,"&lt;&gt;"&amp;"UNIVERSO")</f>
        <v>0</v>
      </c>
      <c r="J68" s="147">
        <f>COUNTIFS('Detalhe Entregas e Status'!$W:$W,'Status Resumo'!G68,'Detalhe Entregas e Status'!$B:$B,"lt004_protection",'Detalhe Entregas e Status'!$C:$C,"&lt;&gt;"&amp;"UNIVERSO")</f>
        <v>0</v>
      </c>
      <c r="K68" s="170" t="str">
        <f t="shared" si="3"/>
        <v>-</v>
      </c>
      <c r="M68" s="260"/>
      <c r="N68" s="261"/>
      <c r="O68" s="261"/>
      <c r="P68" s="261"/>
      <c r="Q68" s="261"/>
      <c r="R68" s="262"/>
      <c r="S68" s="141"/>
    </row>
    <row r="69" spans="2:19" ht="17.399999999999999" customHeight="1">
      <c r="B69" s="139"/>
      <c r="G69" s="147" t="s">
        <v>115</v>
      </c>
      <c r="I69" s="147">
        <f>COUNTIFS('Detalhe Entregas e Status'!$V:$V,'Status Resumo'!G69,'Detalhe Entregas e Status'!$B:$B,"lt004_protection",'Detalhe Entregas e Status'!$C:$C,"&lt;&gt;"&amp;"UNIVERSO")</f>
        <v>0</v>
      </c>
      <c r="J69" s="147">
        <f>COUNTIFS('Detalhe Entregas e Status'!$W:$W,'Status Resumo'!G69,'Detalhe Entregas e Status'!$B:$B,"lt004_protection",'Detalhe Entregas e Status'!$C:$C,"&lt;&gt;"&amp;"UNIVERSO")</f>
        <v>0</v>
      </c>
      <c r="K69" s="170" t="str">
        <f t="shared" si="3"/>
        <v>-</v>
      </c>
      <c r="M69" s="260"/>
      <c r="N69" s="261"/>
      <c r="O69" s="261"/>
      <c r="P69" s="261"/>
      <c r="Q69" s="261"/>
      <c r="R69" s="262"/>
      <c r="S69" s="141"/>
    </row>
    <row r="70" spans="2:19" ht="17.399999999999999" customHeight="1">
      <c r="B70" s="139"/>
      <c r="D70" s="142"/>
      <c r="E70" s="142"/>
      <c r="G70" s="147" t="s">
        <v>116</v>
      </c>
      <c r="I70" s="147">
        <f>COUNTIFS('Detalhe Entregas e Status'!$V:$V,'Status Resumo'!G70,'Detalhe Entregas e Status'!$B:$B,"lt004_protection",'Detalhe Entregas e Status'!$C:$C,"&lt;&gt;"&amp;"UNIVERSO")</f>
        <v>0</v>
      </c>
      <c r="J70" s="147">
        <f>COUNTIFS('Detalhe Entregas e Status'!$W:$W,'Status Resumo'!G70,'Detalhe Entregas e Status'!$B:$B,"lt004_protection",'Detalhe Entregas e Status'!$C:$C,"&lt;&gt;"&amp;"UNIVERSO")</f>
        <v>0</v>
      </c>
      <c r="K70" s="170" t="str">
        <f t="shared" si="3"/>
        <v>-</v>
      </c>
      <c r="M70" s="260"/>
      <c r="N70" s="261"/>
      <c r="O70" s="261"/>
      <c r="P70" s="261"/>
      <c r="Q70" s="261"/>
      <c r="R70" s="262"/>
      <c r="S70" s="141"/>
    </row>
    <row r="71" spans="2:19" ht="17.399999999999999" customHeight="1">
      <c r="B71" s="139"/>
      <c r="D71" s="142"/>
      <c r="E71" s="142"/>
      <c r="G71" s="147" t="s">
        <v>122</v>
      </c>
      <c r="I71" s="147">
        <f>COUNTIFS('Detalhe Entregas e Status'!$V:$V,'Status Resumo'!G71,'Detalhe Entregas e Status'!$B:$B,"lt004_protection",'Detalhe Entregas e Status'!$C:$C,"&lt;&gt;"&amp;"UNIVERSO")</f>
        <v>2</v>
      </c>
      <c r="J71" s="147">
        <f>COUNTIFS('Detalhe Entregas e Status'!$W:$W,'Status Resumo'!G71,'Detalhe Entregas e Status'!$B:$B,"lt004_protection",'Detalhe Entregas e Status'!$C:$C,"&lt;&gt;"&amp;"UNIVERSO")</f>
        <v>2</v>
      </c>
      <c r="K71" s="170" t="str">
        <f t="shared" si="3"/>
        <v>-</v>
      </c>
      <c r="M71" s="260"/>
      <c r="N71" s="261"/>
      <c r="O71" s="261"/>
      <c r="P71" s="261"/>
      <c r="Q71" s="261"/>
      <c r="R71" s="262"/>
      <c r="S71" s="141"/>
    </row>
    <row r="72" spans="2:19" ht="17.399999999999999" customHeight="1">
      <c r="B72" s="139"/>
      <c r="D72" s="142"/>
      <c r="E72" s="142"/>
      <c r="G72" s="147" t="s">
        <v>124</v>
      </c>
      <c r="I72" s="147">
        <f>COUNTIFS('Detalhe Entregas e Status'!$V:$V,'Status Resumo'!G72,'Detalhe Entregas e Status'!$B:$B,"lt004_protection",'Detalhe Entregas e Status'!$C:$C,"&lt;&gt;"&amp;"UNIVERSO")</f>
        <v>0</v>
      </c>
      <c r="J72" s="147">
        <f>COUNTIFS('Detalhe Entregas e Status'!$W:$W,'Status Resumo'!G72,'Detalhe Entregas e Status'!$B:$B,"lt004_protection",'Detalhe Entregas e Status'!$C:$C,"&lt;&gt;"&amp;"UNIVERSO")</f>
        <v>0</v>
      </c>
      <c r="K72" s="170" t="str">
        <f t="shared" si="3"/>
        <v>-</v>
      </c>
      <c r="M72" s="260"/>
      <c r="N72" s="261"/>
      <c r="O72" s="261"/>
      <c r="P72" s="261"/>
      <c r="Q72" s="261"/>
      <c r="R72" s="262"/>
      <c r="S72" s="141"/>
    </row>
    <row r="73" spans="2:19" ht="17.399999999999999" customHeight="1">
      <c r="B73" s="139"/>
      <c r="G73" s="147" t="s">
        <v>277</v>
      </c>
      <c r="H73" s="253"/>
      <c r="I73" s="147">
        <f>COUNTIFS('Detalhe Entregas e Status'!$V:$V,'Status Resumo'!G73,'Detalhe Entregas e Status'!$B:$B,"lt004_protection",'Detalhe Entregas e Status'!$C:$C,"&lt;&gt;"&amp;"UNIVERSO")</f>
        <v>0</v>
      </c>
      <c r="J73" s="147">
        <f>COUNTIFS('Detalhe Entregas e Status'!$W:$W,'Status Resumo'!G73,'Detalhe Entregas e Status'!$B:$B,"lt004_protection",'Detalhe Entregas e Status'!$C:$C,"&lt;&gt;"&amp;"UNIVERSO")</f>
        <v>0</v>
      </c>
      <c r="K73" s="170" t="str">
        <f t="shared" si="3"/>
        <v>-</v>
      </c>
      <c r="M73" s="260"/>
      <c r="N73" s="261"/>
      <c r="O73" s="261"/>
      <c r="P73" s="261"/>
      <c r="Q73" s="261"/>
      <c r="R73" s="262"/>
      <c r="S73" s="141"/>
    </row>
    <row r="74" spans="2:19" ht="17.399999999999999" customHeight="1">
      <c r="B74" s="139"/>
      <c r="G74" s="147" t="s">
        <v>409</v>
      </c>
      <c r="H74" s="253"/>
      <c r="I74" s="147">
        <f>COUNTIFS('Detalhe Entregas e Status'!$V:$V,'Status Resumo'!G74,'Detalhe Entregas e Status'!$B:$B,"lt004_protection",'Detalhe Entregas e Status'!$C:$C,"&lt;&gt;"&amp;"UNIVERSO")</f>
        <v>0</v>
      </c>
      <c r="J74" s="147">
        <f>COUNTIFS('Detalhe Entregas e Status'!$W:$W,'Status Resumo'!G74,'Detalhe Entregas e Status'!$B:$B,"lt004_protection",'Detalhe Entregas e Status'!$C:$C,"&lt;&gt;"&amp;"UNIVERSO")</f>
        <v>0</v>
      </c>
      <c r="K74" s="170" t="str">
        <f t="shared" si="3"/>
        <v>-</v>
      </c>
      <c r="L74" s="143"/>
      <c r="M74" s="263"/>
      <c r="N74" s="264"/>
      <c r="O74" s="264"/>
      <c r="P74" s="264"/>
      <c r="Q74" s="264"/>
      <c r="R74" s="265"/>
      <c r="S74" s="141"/>
    </row>
    <row r="75" spans="2:19" ht="17.399999999999999" customHeight="1">
      <c r="B75" s="139"/>
      <c r="C75" s="140"/>
      <c r="F75" s="140"/>
      <c r="G75" s="148" t="s">
        <v>268</v>
      </c>
      <c r="H75" s="148"/>
      <c r="I75" s="148">
        <f>SUM(I67:I73)</f>
        <v>7</v>
      </c>
      <c r="J75" s="148">
        <f>SUM(J67:J73)</f>
        <v>7</v>
      </c>
      <c r="K75" s="148"/>
      <c r="L75" s="143"/>
      <c r="S75" s="141"/>
    </row>
    <row r="76" spans="2:19" ht="17.399999999999999" customHeight="1">
      <c r="B76" s="139"/>
      <c r="J76" s="167"/>
      <c r="K76" s="167"/>
      <c r="L76" s="143"/>
      <c r="M76" s="153"/>
      <c r="N76" s="153"/>
      <c r="O76" s="153"/>
      <c r="P76" s="153"/>
      <c r="Q76" s="153"/>
      <c r="R76" s="153"/>
      <c r="S76" s="141"/>
    </row>
    <row r="77" spans="2:19" ht="17.399999999999999" customHeight="1">
      <c r="B77" s="139"/>
      <c r="G77" s="155" t="s">
        <v>275</v>
      </c>
      <c r="H77" s="155"/>
      <c r="I77" s="168">
        <f>I59</f>
        <v>45855</v>
      </c>
      <c r="J77" s="159"/>
      <c r="K77" s="159"/>
      <c r="L77" s="143"/>
      <c r="M77" s="153"/>
      <c r="N77" s="153"/>
      <c r="O77" s="153"/>
      <c r="P77" s="153"/>
      <c r="Q77" s="153"/>
      <c r="R77" s="153"/>
      <c r="S77" s="141"/>
    </row>
    <row r="78" spans="2:19" ht="17.399999999999999" customHeight="1">
      <c r="B78" s="139"/>
      <c r="G78" s="158" t="s">
        <v>55</v>
      </c>
      <c r="I78" s="159" t="s">
        <v>273</v>
      </c>
      <c r="J78" s="159"/>
      <c r="K78" s="159"/>
      <c r="L78" s="143"/>
      <c r="M78" s="153"/>
      <c r="N78" s="153"/>
      <c r="O78" s="153"/>
      <c r="P78" s="153"/>
      <c r="Q78" s="153"/>
      <c r="R78" s="153"/>
      <c r="S78" s="141"/>
    </row>
    <row r="79" spans="2:19" ht="17.399999999999999" customHeight="1">
      <c r="B79" s="144"/>
      <c r="C79" s="145"/>
      <c r="D79" s="145"/>
      <c r="E79" s="145"/>
      <c r="F79" s="145"/>
      <c r="G79" s="145"/>
      <c r="H79" s="145"/>
      <c r="I79" s="145"/>
      <c r="J79" s="145"/>
      <c r="K79" s="145"/>
      <c r="L79" s="145"/>
      <c r="M79" s="145"/>
      <c r="N79" s="145"/>
      <c r="O79" s="145"/>
      <c r="P79" s="145"/>
      <c r="Q79" s="145"/>
      <c r="R79" s="145"/>
      <c r="S79" s="146"/>
    </row>
    <row r="80" spans="2:19"/>
    <row r="81" spans="2:19" ht="18" customHeight="1">
      <c r="B81" s="268" t="s">
        <v>301</v>
      </c>
      <c r="C81" s="268"/>
      <c r="D81" s="268"/>
      <c r="E81" s="268"/>
      <c r="F81" s="268"/>
      <c r="G81" s="268"/>
      <c r="H81" s="268"/>
      <c r="I81" s="268"/>
      <c r="J81" s="268"/>
      <c r="K81" s="268"/>
      <c r="L81" s="268"/>
      <c r="M81" s="268"/>
      <c r="N81" s="268"/>
      <c r="O81" s="268"/>
      <c r="P81" s="268"/>
      <c r="Q81" s="268"/>
      <c r="R81" s="268"/>
      <c r="S81" s="268"/>
    </row>
    <row r="82" spans="2:19" ht="6.9" customHeight="1">
      <c r="G82" s="151"/>
    </row>
    <row r="83" spans="2:19" ht="17.399999999999999" customHeight="1">
      <c r="B83" s="136"/>
      <c r="C83" s="137"/>
      <c r="D83" s="137"/>
      <c r="E83" s="137"/>
      <c r="F83" s="137"/>
      <c r="G83" s="137"/>
      <c r="H83" s="137"/>
      <c r="I83" s="137"/>
      <c r="J83" s="137"/>
      <c r="K83" s="137"/>
      <c r="L83" s="137"/>
      <c r="M83" s="137"/>
      <c r="N83" s="137"/>
      <c r="O83" s="137"/>
      <c r="P83" s="137"/>
      <c r="Q83" s="137"/>
      <c r="R83" s="137"/>
      <c r="S83" s="138"/>
    </row>
    <row r="84" spans="2:19" ht="17.399999999999999" customHeight="1">
      <c r="B84" s="139"/>
      <c r="C84" s="140" t="s">
        <v>266</v>
      </c>
      <c r="G84" s="155" t="s">
        <v>274</v>
      </c>
      <c r="H84" s="155"/>
      <c r="I84" s="168">
        <f>I48</f>
        <v>45855</v>
      </c>
      <c r="J84" s="168">
        <f>J48</f>
        <v>45848</v>
      </c>
      <c r="K84" s="169" t="s">
        <v>284</v>
      </c>
      <c r="M84" s="152" t="s">
        <v>267</v>
      </c>
      <c r="S84" s="141"/>
    </row>
    <row r="85" spans="2:19" ht="17.399999999999999" customHeight="1">
      <c r="B85" s="139"/>
      <c r="G85" s="147" t="s">
        <v>114</v>
      </c>
      <c r="I85" s="147">
        <f>COUNTIFS('Detalhe Entregas e Status'!$V:$V,'Status Resumo'!G85,'Detalhe Entregas e Status'!$B:$B,"lt006_instr_protection",'Detalhe Entregas e Status'!$C:$C,"&lt;&gt;"&amp;"UNIVERSO")</f>
        <v>4</v>
      </c>
      <c r="J85" s="147">
        <f>COUNTIFS('Detalhe Entregas e Status'!$W:$W,'Status Resumo'!G85,'Detalhe Entregas e Status'!$B:$B,"lt006_instr_protection",'Detalhe Entregas e Status'!$C:$C,"&lt;&gt;"&amp;"UNIVERSO")</f>
        <v>4</v>
      </c>
      <c r="K85" s="170" t="str">
        <f t="shared" ref="K85:K92" si="4">IF(I85-J85=0,"-",IF(I85-J85&gt;0,_xlfn.CONCAT("+ ",I85-J85),_xlfn.CONCAT("- ",J85-I85)))</f>
        <v>-</v>
      </c>
      <c r="M85" s="257" t="s">
        <v>396</v>
      </c>
      <c r="N85" s="258"/>
      <c r="O85" s="258"/>
      <c r="P85" s="258"/>
      <c r="Q85" s="258"/>
      <c r="R85" s="259"/>
      <c r="S85" s="141"/>
    </row>
    <row r="86" spans="2:19" ht="17.399999999999999" customHeight="1">
      <c r="B86" s="139"/>
      <c r="G86" s="147" t="s">
        <v>117</v>
      </c>
      <c r="I86" s="147">
        <f>COUNTIFS('Detalhe Entregas e Status'!$V:$V,'Status Resumo'!G86,'Detalhe Entregas e Status'!$B:$B,"lt006_instr_protection",'Detalhe Entregas e Status'!$C:$C,"&lt;&gt;"&amp;"UNIVERSO")</f>
        <v>0</v>
      </c>
      <c r="J86" s="147">
        <f>COUNTIFS('Detalhe Entregas e Status'!$W:$W,'Status Resumo'!G86,'Detalhe Entregas e Status'!$B:$B,"lt006_instr_protection",'Detalhe Entregas e Status'!$C:$C,"&lt;&gt;"&amp;"UNIVERSO")</f>
        <v>0</v>
      </c>
      <c r="K86" s="170" t="str">
        <f t="shared" si="4"/>
        <v>-</v>
      </c>
      <c r="M86" s="260"/>
      <c r="N86" s="261"/>
      <c r="O86" s="261"/>
      <c r="P86" s="261"/>
      <c r="Q86" s="261"/>
      <c r="R86" s="262"/>
      <c r="S86" s="141"/>
    </row>
    <row r="87" spans="2:19" ht="17.399999999999999" customHeight="1">
      <c r="B87" s="139"/>
      <c r="G87" s="147" t="s">
        <v>115</v>
      </c>
      <c r="I87" s="147">
        <f>COUNTIFS('Detalhe Entregas e Status'!$V:$V,'Status Resumo'!G87,'Detalhe Entregas e Status'!$B:$B,"lt006_instr_protection",'Detalhe Entregas e Status'!$C:$C,"&lt;&gt;"&amp;"UNIVERSO")</f>
        <v>0</v>
      </c>
      <c r="J87" s="147">
        <f>COUNTIFS('Detalhe Entregas e Status'!$W:$W,'Status Resumo'!G87,'Detalhe Entregas e Status'!$B:$B,"lt006_instr_protection",'Detalhe Entregas e Status'!$C:$C,"&lt;&gt;"&amp;"UNIVERSO")</f>
        <v>0</v>
      </c>
      <c r="K87" s="170" t="str">
        <f t="shared" si="4"/>
        <v>-</v>
      </c>
      <c r="M87" s="260"/>
      <c r="N87" s="261"/>
      <c r="O87" s="261"/>
      <c r="P87" s="261"/>
      <c r="Q87" s="261"/>
      <c r="R87" s="262"/>
      <c r="S87" s="141"/>
    </row>
    <row r="88" spans="2:19" ht="17.399999999999999" customHeight="1">
      <c r="B88" s="139"/>
      <c r="D88" s="142"/>
      <c r="E88" s="142"/>
      <c r="G88" s="147" t="s">
        <v>116</v>
      </c>
      <c r="I88" s="147">
        <f>COUNTIFS('Detalhe Entregas e Status'!$V:$V,'Status Resumo'!G88,'Detalhe Entregas e Status'!$B:$B,"lt006_instr_protection",'Detalhe Entregas e Status'!$C:$C,"&lt;&gt;"&amp;"UNIVERSO")</f>
        <v>0</v>
      </c>
      <c r="J88" s="147">
        <f>COUNTIFS('Detalhe Entregas e Status'!$W:$W,'Status Resumo'!G88,'Detalhe Entregas e Status'!$B:$B,"lt006_instr_protection",'Detalhe Entregas e Status'!$C:$C,"&lt;&gt;"&amp;"UNIVERSO")</f>
        <v>0</v>
      </c>
      <c r="K88" s="170" t="str">
        <f t="shared" si="4"/>
        <v>-</v>
      </c>
      <c r="M88" s="260"/>
      <c r="N88" s="261"/>
      <c r="O88" s="261"/>
      <c r="P88" s="261"/>
      <c r="Q88" s="261"/>
      <c r="R88" s="262"/>
      <c r="S88" s="141"/>
    </row>
    <row r="89" spans="2:19" ht="17.399999999999999" customHeight="1">
      <c r="B89" s="139"/>
      <c r="D89" s="142"/>
      <c r="E89" s="142"/>
      <c r="G89" s="147" t="s">
        <v>122</v>
      </c>
      <c r="I89" s="147">
        <f>COUNTIFS('Detalhe Entregas e Status'!$V:$V,'Status Resumo'!G89,'Detalhe Entregas e Status'!$B:$B,"lt006_instr_protection",'Detalhe Entregas e Status'!$C:$C,"&lt;&gt;"&amp;"UNIVERSO")</f>
        <v>1</v>
      </c>
      <c r="J89" s="147">
        <f>COUNTIFS('Detalhe Entregas e Status'!$W:$W,'Status Resumo'!G89,'Detalhe Entregas e Status'!$B:$B,"lt006_instr_protection",'Detalhe Entregas e Status'!$C:$C,"&lt;&gt;"&amp;"UNIVERSO")</f>
        <v>1</v>
      </c>
      <c r="K89" s="170" t="str">
        <f t="shared" si="4"/>
        <v>-</v>
      </c>
      <c r="M89" s="260"/>
      <c r="N89" s="261"/>
      <c r="O89" s="261"/>
      <c r="P89" s="261"/>
      <c r="Q89" s="261"/>
      <c r="R89" s="262"/>
      <c r="S89" s="141"/>
    </row>
    <row r="90" spans="2:19" ht="17.399999999999999" customHeight="1">
      <c r="B90" s="139"/>
      <c r="D90" s="142"/>
      <c r="E90" s="142"/>
      <c r="G90" s="147" t="s">
        <v>124</v>
      </c>
      <c r="I90" s="147">
        <f>COUNTIFS('Detalhe Entregas e Status'!$V:$V,'Status Resumo'!G90,'Detalhe Entregas e Status'!$B:$B,"lt006_instr_protection",'Detalhe Entregas e Status'!$C:$C,"&lt;&gt;"&amp;"UNIVERSO")</f>
        <v>0</v>
      </c>
      <c r="J90" s="147">
        <f>COUNTIFS('Detalhe Entregas e Status'!$W:$W,'Status Resumo'!G90,'Detalhe Entregas e Status'!$B:$B,"lt006_instr_protection",'Detalhe Entregas e Status'!$C:$C,"&lt;&gt;"&amp;"UNIVERSO")</f>
        <v>0</v>
      </c>
      <c r="K90" s="170" t="str">
        <f t="shared" si="4"/>
        <v>-</v>
      </c>
      <c r="M90" s="260"/>
      <c r="N90" s="261"/>
      <c r="O90" s="261"/>
      <c r="P90" s="261"/>
      <c r="Q90" s="261"/>
      <c r="R90" s="262"/>
      <c r="S90" s="141"/>
    </row>
    <row r="91" spans="2:19" ht="17.399999999999999" customHeight="1">
      <c r="B91" s="139"/>
      <c r="G91" s="147" t="s">
        <v>277</v>
      </c>
      <c r="H91" s="253"/>
      <c r="I91" s="147">
        <f>COUNTIFS('Detalhe Entregas e Status'!$V:$V,'Status Resumo'!G91,'Detalhe Entregas e Status'!$B:$B,"lt006_instr_protection",'Detalhe Entregas e Status'!$C:$C,"&lt;&gt;"&amp;"UNIVERSO")</f>
        <v>0</v>
      </c>
      <c r="J91" s="147">
        <f>COUNTIFS('Detalhe Entregas e Status'!$W:$W,'Status Resumo'!G91,'Detalhe Entregas e Status'!$B:$B,"lt006_instr_protection",'Detalhe Entregas e Status'!$C:$C,"&lt;&gt;"&amp;"UNIVERSO")</f>
        <v>0</v>
      </c>
      <c r="K91" s="170" t="str">
        <f t="shared" si="4"/>
        <v>-</v>
      </c>
      <c r="M91" s="260"/>
      <c r="N91" s="261"/>
      <c r="O91" s="261"/>
      <c r="P91" s="261"/>
      <c r="Q91" s="261"/>
      <c r="R91" s="262"/>
      <c r="S91" s="141"/>
    </row>
    <row r="92" spans="2:19" ht="17.399999999999999" customHeight="1">
      <c r="B92" s="139"/>
      <c r="G92" s="147" t="s">
        <v>409</v>
      </c>
      <c r="H92" s="253"/>
      <c r="I92" s="147">
        <f>COUNTIFS('Detalhe Entregas e Status'!$V:$V,'Status Resumo'!G92,'Detalhe Entregas e Status'!$B:$B,"lt006_instr_protection",'Detalhe Entregas e Status'!$C:$C,"&lt;&gt;"&amp;"UNIVERSO")</f>
        <v>0</v>
      </c>
      <c r="J92" s="147">
        <f>COUNTIFS('Detalhe Entregas e Status'!$W:$W,'Status Resumo'!G92,'Detalhe Entregas e Status'!$B:$B,"lt006_instr_protection",'Detalhe Entregas e Status'!$C:$C,"&lt;&gt;"&amp;"UNIVERSO")</f>
        <v>0</v>
      </c>
      <c r="K92" s="170" t="str">
        <f t="shared" si="4"/>
        <v>-</v>
      </c>
      <c r="L92" s="143"/>
      <c r="M92" s="263"/>
      <c r="N92" s="264"/>
      <c r="O92" s="264"/>
      <c r="P92" s="264"/>
      <c r="Q92" s="264"/>
      <c r="R92" s="265"/>
      <c r="S92" s="141"/>
    </row>
    <row r="93" spans="2:19" ht="17.399999999999999" customHeight="1">
      <c r="B93" s="139"/>
      <c r="C93" s="140"/>
      <c r="F93" s="140"/>
      <c r="G93" s="148" t="s">
        <v>268</v>
      </c>
      <c r="H93" s="148"/>
      <c r="I93" s="148">
        <f>SUM(I86:I92)</f>
        <v>1</v>
      </c>
      <c r="J93" s="148">
        <f>SUM(J86:J92)</f>
        <v>1</v>
      </c>
      <c r="K93" s="148"/>
      <c r="L93" s="143"/>
      <c r="S93" s="141"/>
    </row>
    <row r="94" spans="2:19" ht="17.399999999999999" customHeight="1">
      <c r="B94" s="139"/>
      <c r="J94" s="167"/>
      <c r="K94" s="167"/>
      <c r="L94" s="143"/>
      <c r="M94" s="153"/>
      <c r="N94" s="153"/>
      <c r="O94" s="153"/>
      <c r="P94" s="153"/>
      <c r="Q94" s="153"/>
      <c r="R94" s="153"/>
      <c r="S94" s="141"/>
    </row>
    <row r="95" spans="2:19" ht="17.399999999999999" customHeight="1">
      <c r="B95" s="139"/>
      <c r="G95" s="155" t="s">
        <v>275</v>
      </c>
      <c r="H95" s="155"/>
      <c r="I95" s="168">
        <f>I59</f>
        <v>45855</v>
      </c>
      <c r="J95" s="159"/>
      <c r="K95" s="159"/>
      <c r="L95" s="143"/>
      <c r="M95" s="153"/>
      <c r="N95" s="153"/>
      <c r="O95" s="153"/>
      <c r="P95" s="153"/>
      <c r="Q95" s="153"/>
      <c r="R95" s="153"/>
      <c r="S95" s="141"/>
    </row>
    <row r="96" spans="2:19" ht="17.399999999999999" customHeight="1">
      <c r="B96" s="139"/>
      <c r="G96" s="158" t="s">
        <v>61</v>
      </c>
      <c r="I96" s="159" t="s">
        <v>273</v>
      </c>
      <c r="J96" s="159"/>
      <c r="K96" s="159"/>
      <c r="L96" s="143"/>
      <c r="M96" s="153"/>
      <c r="N96" s="153"/>
      <c r="O96" s="153"/>
      <c r="P96" s="153"/>
      <c r="Q96" s="153"/>
      <c r="R96" s="153"/>
      <c r="S96" s="141"/>
    </row>
    <row r="97" spans="2:19" ht="17.399999999999999" customHeight="1">
      <c r="B97" s="144"/>
      <c r="C97" s="145"/>
      <c r="D97" s="145"/>
      <c r="E97" s="145"/>
      <c r="F97" s="145"/>
      <c r="G97" s="145"/>
      <c r="H97" s="145"/>
      <c r="I97" s="145"/>
      <c r="J97" s="145"/>
      <c r="K97" s="145"/>
      <c r="L97" s="145"/>
      <c r="M97" s="145"/>
      <c r="N97" s="145"/>
      <c r="O97" s="145"/>
      <c r="P97" s="145"/>
      <c r="Q97" s="145"/>
      <c r="R97" s="145"/>
      <c r="S97" s="146"/>
    </row>
    <row r="98" spans="2:19"/>
    <row r="99" spans="2:19" ht="18" customHeight="1">
      <c r="B99" s="268" t="s">
        <v>302</v>
      </c>
      <c r="C99" s="268"/>
      <c r="D99" s="268"/>
      <c r="E99" s="268"/>
      <c r="F99" s="268"/>
      <c r="G99" s="268"/>
      <c r="H99" s="268"/>
      <c r="I99" s="268"/>
      <c r="J99" s="268"/>
      <c r="K99" s="268"/>
      <c r="L99" s="268"/>
      <c r="M99" s="268"/>
      <c r="N99" s="268"/>
      <c r="O99" s="268"/>
      <c r="P99" s="268"/>
      <c r="Q99" s="268"/>
      <c r="R99" s="268"/>
      <c r="S99" s="268"/>
    </row>
    <row r="100" spans="2:19" ht="6.9" customHeight="1">
      <c r="G100" s="151"/>
    </row>
    <row r="101" spans="2:19" ht="17.399999999999999" customHeight="1">
      <c r="B101" s="136"/>
      <c r="C101" s="137"/>
      <c r="D101" s="137"/>
      <c r="E101" s="137"/>
      <c r="F101" s="137"/>
      <c r="G101" s="137"/>
      <c r="H101" s="137"/>
      <c r="I101" s="137"/>
      <c r="J101" s="137"/>
      <c r="K101" s="137"/>
      <c r="L101" s="137"/>
      <c r="M101" s="137"/>
      <c r="N101" s="137"/>
      <c r="O101" s="137"/>
      <c r="P101" s="137"/>
      <c r="Q101" s="137"/>
      <c r="R101" s="137"/>
      <c r="S101" s="138"/>
    </row>
    <row r="102" spans="2:19" ht="17.399999999999999" customHeight="1">
      <c r="B102" s="139"/>
      <c r="C102" s="140" t="s">
        <v>266</v>
      </c>
      <c r="G102" s="155" t="s">
        <v>274</v>
      </c>
      <c r="H102" s="155"/>
      <c r="I102" s="168">
        <f>I48</f>
        <v>45855</v>
      </c>
      <c r="J102" s="168">
        <f>J48</f>
        <v>45848</v>
      </c>
      <c r="K102" s="169" t="s">
        <v>284</v>
      </c>
      <c r="M102" s="152" t="s">
        <v>267</v>
      </c>
      <c r="S102" s="141"/>
    </row>
    <row r="103" spans="2:19" ht="17.399999999999999" customHeight="1">
      <c r="B103" s="139"/>
      <c r="G103" s="147" t="s">
        <v>114</v>
      </c>
      <c r="I103" s="147">
        <f>COUNTIFS('Detalhe Entregas e Status'!$V:$V,'Status Resumo'!G103,'Detalhe Entregas e Status'!$B:$B,"lt007_instr_activity",'Detalhe Entregas e Status'!$C:$C,"&lt;&gt;"&amp;"UNIVERSO")</f>
        <v>2</v>
      </c>
      <c r="J103" s="147">
        <f>COUNTIFS('Detalhe Entregas e Status'!$W:$W,'Status Resumo'!G103,'Detalhe Entregas e Status'!$B:$B,"lt007_instr_activity",'Detalhe Entregas e Status'!$C:$C,"&lt;&gt;"&amp;"UNIVERSO")</f>
        <v>2</v>
      </c>
      <c r="K103" s="170" t="str">
        <f t="shared" ref="K103:K110" si="5">IF(I103-J103=0,"-",IF(I103-J103&gt;0,_xlfn.CONCAT("+ ",I103-J103),_xlfn.CONCAT("- ",J103-I103)))</f>
        <v>-</v>
      </c>
      <c r="M103" s="266" t="s">
        <v>397</v>
      </c>
      <c r="N103" s="267"/>
      <c r="O103" s="267"/>
      <c r="P103" s="267"/>
      <c r="Q103" s="267"/>
      <c r="R103" s="267"/>
      <c r="S103" s="141"/>
    </row>
    <row r="104" spans="2:19" ht="17.399999999999999" customHeight="1">
      <c r="B104" s="139"/>
      <c r="G104" s="147" t="s">
        <v>117</v>
      </c>
      <c r="I104" s="147">
        <f>COUNTIFS('Detalhe Entregas e Status'!$V:$V,'Status Resumo'!G104,'Detalhe Entregas e Status'!$B:$B,"lt007_instr_activity",'Detalhe Entregas e Status'!$C:$C,"&lt;&gt;"&amp;"UNIVERSO")</f>
        <v>0</v>
      </c>
      <c r="J104" s="147">
        <f>COUNTIFS('Detalhe Entregas e Status'!$W:$W,'Status Resumo'!G104,'Detalhe Entregas e Status'!$B:$B,"lt007_instr_activity",'Detalhe Entregas e Status'!$C:$C,"&lt;&gt;"&amp;"UNIVERSO")</f>
        <v>0</v>
      </c>
      <c r="K104" s="170" t="str">
        <f t="shared" si="5"/>
        <v>-</v>
      </c>
      <c r="M104" s="267"/>
      <c r="N104" s="267"/>
      <c r="O104" s="267"/>
      <c r="P104" s="267"/>
      <c r="Q104" s="267"/>
      <c r="R104" s="267"/>
      <c r="S104" s="141"/>
    </row>
    <row r="105" spans="2:19" ht="17.399999999999999" customHeight="1">
      <c r="B105" s="139"/>
      <c r="G105" s="147" t="s">
        <v>115</v>
      </c>
      <c r="I105" s="147">
        <f>COUNTIFS('Detalhe Entregas e Status'!$V:$V,'Status Resumo'!G105,'Detalhe Entregas e Status'!$B:$B,"lt007_instr_activity",'Detalhe Entregas e Status'!$C:$C,"&lt;&gt;"&amp;"UNIVERSO")</f>
        <v>0</v>
      </c>
      <c r="J105" s="147">
        <f>COUNTIFS('Detalhe Entregas e Status'!$W:$W,'Status Resumo'!G105,'Detalhe Entregas e Status'!$B:$B,"lt007_instr_activity",'Detalhe Entregas e Status'!$C:$C,"&lt;&gt;"&amp;"UNIVERSO")</f>
        <v>0</v>
      </c>
      <c r="K105" s="170" t="str">
        <f t="shared" si="5"/>
        <v>-</v>
      </c>
      <c r="M105" s="267"/>
      <c r="N105" s="267"/>
      <c r="O105" s="267"/>
      <c r="P105" s="267"/>
      <c r="Q105" s="267"/>
      <c r="R105" s="267"/>
      <c r="S105" s="141"/>
    </row>
    <row r="106" spans="2:19" ht="17.399999999999999" customHeight="1">
      <c r="B106" s="139"/>
      <c r="D106" s="142"/>
      <c r="E106" s="142"/>
      <c r="G106" s="147" t="s">
        <v>116</v>
      </c>
      <c r="I106" s="147">
        <f>COUNTIFS('Detalhe Entregas e Status'!$V:$V,'Status Resumo'!G106,'Detalhe Entregas e Status'!$B:$B,"lt007_instr_activity",'Detalhe Entregas e Status'!$C:$C,"&lt;&gt;"&amp;"UNIVERSO")</f>
        <v>0</v>
      </c>
      <c r="J106" s="147">
        <f>COUNTIFS('Detalhe Entregas e Status'!$W:$W,'Status Resumo'!G106,'Detalhe Entregas e Status'!$B:$B,"lt007_instr_activity",'Detalhe Entregas e Status'!$C:$C,"&lt;&gt;"&amp;"UNIVERSO")</f>
        <v>0</v>
      </c>
      <c r="K106" s="170" t="str">
        <f t="shared" si="5"/>
        <v>-</v>
      </c>
      <c r="M106" s="267"/>
      <c r="N106" s="267"/>
      <c r="O106" s="267"/>
      <c r="P106" s="267"/>
      <c r="Q106" s="267"/>
      <c r="R106" s="267"/>
      <c r="S106" s="141"/>
    </row>
    <row r="107" spans="2:19" ht="17.399999999999999" customHeight="1">
      <c r="B107" s="139"/>
      <c r="D107" s="142"/>
      <c r="E107" s="142"/>
      <c r="G107" s="147" t="s">
        <v>122</v>
      </c>
      <c r="I107" s="147">
        <f>COUNTIFS('Detalhe Entregas e Status'!$V:$V,'Status Resumo'!G107,'Detalhe Entregas e Status'!$B:$B,"lt007_instr_activity",'Detalhe Entregas e Status'!$C:$C,"&lt;&gt;"&amp;"UNIVERSO")</f>
        <v>2</v>
      </c>
      <c r="J107" s="147">
        <f>COUNTIFS('Detalhe Entregas e Status'!$W:$W,'Status Resumo'!G107,'Detalhe Entregas e Status'!$B:$B,"lt007_instr_activity",'Detalhe Entregas e Status'!$C:$C,"&lt;&gt;"&amp;"UNIVERSO")</f>
        <v>2</v>
      </c>
      <c r="K107" s="170" t="str">
        <f t="shared" si="5"/>
        <v>-</v>
      </c>
      <c r="M107" s="267"/>
      <c r="N107" s="267"/>
      <c r="O107" s="267"/>
      <c r="P107" s="267"/>
      <c r="Q107" s="267"/>
      <c r="R107" s="267"/>
      <c r="S107" s="141"/>
    </row>
    <row r="108" spans="2:19" ht="17.399999999999999" customHeight="1">
      <c r="B108" s="139"/>
      <c r="D108" s="142"/>
      <c r="E108" s="142"/>
      <c r="G108" s="147" t="s">
        <v>124</v>
      </c>
      <c r="I108" s="147">
        <f>COUNTIFS('Detalhe Entregas e Status'!$V:$V,'Status Resumo'!G108,'Detalhe Entregas e Status'!$B:$B,"lt007_instr_activity",'Detalhe Entregas e Status'!$C:$C,"&lt;&gt;"&amp;"UNIVERSO")</f>
        <v>0</v>
      </c>
      <c r="J108" s="147">
        <f>COUNTIFS('Detalhe Entregas e Status'!$W:$W,'Status Resumo'!G108,'Detalhe Entregas e Status'!$B:$B,"lt007_instr_activity",'Detalhe Entregas e Status'!$C:$C,"&lt;&gt;"&amp;"UNIVERSO")</f>
        <v>0</v>
      </c>
      <c r="K108" s="170" t="str">
        <f t="shared" si="5"/>
        <v>-</v>
      </c>
      <c r="M108" s="267"/>
      <c r="N108" s="267"/>
      <c r="O108" s="267"/>
      <c r="P108" s="267"/>
      <c r="Q108" s="267"/>
      <c r="R108" s="267"/>
      <c r="S108" s="141"/>
    </row>
    <row r="109" spans="2:19" ht="17.399999999999999" customHeight="1">
      <c r="B109" s="139"/>
      <c r="G109" s="147" t="s">
        <v>277</v>
      </c>
      <c r="H109" s="253"/>
      <c r="I109" s="147">
        <f>COUNTIFS('Detalhe Entregas e Status'!$V:$V,'Status Resumo'!G109,'Detalhe Entregas e Status'!$B:$B,"lt007_instr_activity",'Detalhe Entregas e Status'!$C:$C,"&lt;&gt;"&amp;"UNIVERSO")</f>
        <v>0</v>
      </c>
      <c r="J109" s="147">
        <f>COUNTIFS('Detalhe Entregas e Status'!$W:$W,'Status Resumo'!G109,'Detalhe Entregas e Status'!$B:$B,"lt007_instr_activity",'Detalhe Entregas e Status'!$C:$C,"&lt;&gt;"&amp;"UNIVERSO")</f>
        <v>0</v>
      </c>
      <c r="K109" s="170" t="str">
        <f t="shared" si="5"/>
        <v>-</v>
      </c>
      <c r="M109" s="267"/>
      <c r="N109" s="267"/>
      <c r="O109" s="267"/>
      <c r="P109" s="267"/>
      <c r="Q109" s="267"/>
      <c r="R109" s="267"/>
      <c r="S109" s="141"/>
    </row>
    <row r="110" spans="2:19" ht="17.399999999999999" customHeight="1">
      <c r="B110" s="139"/>
      <c r="G110" s="147" t="s">
        <v>409</v>
      </c>
      <c r="H110" s="253"/>
      <c r="I110" s="147">
        <f>COUNTIFS('Detalhe Entregas e Status'!$V:$V,'Status Resumo'!G110,'Detalhe Entregas e Status'!$B:$B,"lt007_instr_activity",'Detalhe Entregas e Status'!$C:$C,"&lt;&gt;"&amp;"UNIVERSO")</f>
        <v>2</v>
      </c>
      <c r="J110" s="147">
        <f>COUNTIFS('Detalhe Entregas e Status'!$W:$W,'Status Resumo'!G110,'Detalhe Entregas e Status'!$B:$B,"lt007_instr_activity",'Detalhe Entregas e Status'!$C:$C,"&lt;&gt;"&amp;"UNIVERSO")</f>
        <v>2</v>
      </c>
      <c r="K110" s="170" t="str">
        <f t="shared" si="5"/>
        <v>-</v>
      </c>
      <c r="L110" s="143"/>
      <c r="M110" s="267"/>
      <c r="N110" s="267"/>
      <c r="O110" s="267"/>
      <c r="P110" s="267"/>
      <c r="Q110" s="267"/>
      <c r="R110" s="267"/>
      <c r="S110" s="141"/>
    </row>
    <row r="111" spans="2:19" ht="17.399999999999999" customHeight="1">
      <c r="B111" s="139"/>
      <c r="C111" s="140"/>
      <c r="F111" s="140"/>
      <c r="G111" s="148" t="s">
        <v>268</v>
      </c>
      <c r="H111" s="148"/>
      <c r="I111" s="148">
        <f>SUM(I103:I109)</f>
        <v>4</v>
      </c>
      <c r="J111" s="148">
        <f>SUM(J103:J109)</f>
        <v>4</v>
      </c>
      <c r="K111" s="148"/>
      <c r="L111" s="143"/>
      <c r="M111" s="267"/>
      <c r="N111" s="267"/>
      <c r="O111" s="267"/>
      <c r="P111" s="267"/>
      <c r="Q111" s="267"/>
      <c r="R111" s="267"/>
      <c r="S111" s="141"/>
    </row>
    <row r="112" spans="2:19" ht="17.399999999999999" customHeight="1">
      <c r="B112" s="139"/>
      <c r="J112" s="167"/>
      <c r="K112" s="167"/>
      <c r="L112" s="143"/>
      <c r="M112" s="153"/>
      <c r="N112" s="153"/>
      <c r="O112" s="153"/>
      <c r="P112" s="153"/>
      <c r="Q112" s="153"/>
      <c r="R112" s="153"/>
      <c r="S112" s="141"/>
    </row>
    <row r="113" spans="2:19" ht="17.399999999999999" customHeight="1">
      <c r="B113" s="139"/>
      <c r="G113" s="155" t="s">
        <v>275</v>
      </c>
      <c r="H113" s="155"/>
      <c r="I113" s="168">
        <f>I59</f>
        <v>45855</v>
      </c>
      <c r="J113" s="159"/>
      <c r="K113" s="159"/>
      <c r="L113" s="143"/>
      <c r="M113" s="153"/>
      <c r="N113" s="153"/>
      <c r="O113" s="153"/>
      <c r="P113" s="153"/>
      <c r="Q113" s="153"/>
      <c r="R113" s="153"/>
      <c r="S113" s="141"/>
    </row>
    <row r="114" spans="2:19" ht="17.399999999999999" customHeight="1">
      <c r="B114" s="139"/>
      <c r="G114" s="158" t="s">
        <v>63</v>
      </c>
      <c r="I114" s="222" t="s">
        <v>375</v>
      </c>
      <c r="J114" s="159"/>
      <c r="K114" s="159"/>
      <c r="L114" s="143"/>
      <c r="M114" s="153"/>
      <c r="N114" s="153"/>
      <c r="O114" s="153"/>
      <c r="P114" s="153"/>
      <c r="Q114" s="153"/>
      <c r="R114" s="153"/>
      <c r="S114" s="141"/>
    </row>
    <row r="115" spans="2:19" ht="17.399999999999999" customHeight="1">
      <c r="B115" s="144"/>
      <c r="C115" s="145"/>
      <c r="D115" s="145"/>
      <c r="E115" s="145"/>
      <c r="F115" s="145"/>
      <c r="G115" s="145"/>
      <c r="H115" s="145"/>
      <c r="I115" s="145"/>
      <c r="J115" s="145"/>
      <c r="K115" s="145"/>
      <c r="L115" s="145"/>
      <c r="M115" s="145"/>
      <c r="N115" s="145"/>
      <c r="O115" s="145"/>
      <c r="P115" s="145"/>
      <c r="Q115" s="145"/>
      <c r="R115" s="145"/>
      <c r="S115" s="146"/>
    </row>
    <row r="116" spans="2:19"/>
    <row r="117" spans="2:19"/>
    <row r="118" spans="2:19"/>
    <row r="119" spans="2:19"/>
    <row r="120" spans="2:19"/>
    <row r="121" spans="2:19"/>
    <row r="122" spans="2:19"/>
  </sheetData>
  <mergeCells count="37">
    <mergeCell ref="D41:F41"/>
    <mergeCell ref="G20:G21"/>
    <mergeCell ref="I20:R26"/>
    <mergeCell ref="G34:P34"/>
    <mergeCell ref="D20:F20"/>
    <mergeCell ref="D32:F32"/>
    <mergeCell ref="D30:F30"/>
    <mergeCell ref="G30:P30"/>
    <mergeCell ref="D31:F31"/>
    <mergeCell ref="D33:F33"/>
    <mergeCell ref="D34:F34"/>
    <mergeCell ref="G31:P31"/>
    <mergeCell ref="G32:P32"/>
    <mergeCell ref="G33:P33"/>
    <mergeCell ref="D35:F35"/>
    <mergeCell ref="G35:P35"/>
    <mergeCell ref="D36:F36"/>
    <mergeCell ref="G36:P36"/>
    <mergeCell ref="B45:S45"/>
    <mergeCell ref="G37:P37"/>
    <mergeCell ref="D37:F37"/>
    <mergeCell ref="G38:P38"/>
    <mergeCell ref="G39:P39"/>
    <mergeCell ref="D42:F42"/>
    <mergeCell ref="G42:P42"/>
    <mergeCell ref="G40:P40"/>
    <mergeCell ref="G41:P41"/>
    <mergeCell ref="D38:F38"/>
    <mergeCell ref="D39:F39"/>
    <mergeCell ref="D40:F40"/>
    <mergeCell ref="M49:R56"/>
    <mergeCell ref="M67:R74"/>
    <mergeCell ref="M85:R92"/>
    <mergeCell ref="M103:R111"/>
    <mergeCell ref="B81:S81"/>
    <mergeCell ref="B63:S63"/>
    <mergeCell ref="B99:S99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31BFD-2A93-4D84-BF7F-C27A7AB7E2DC}">
  <sheetPr>
    <tabColor theme="0" tint="-0.499984740745262"/>
  </sheetPr>
  <dimension ref="B2:P75"/>
  <sheetViews>
    <sheetView showGridLines="0" topLeftCell="C1" workbookViewId="0">
      <selection activeCell="J12" sqref="J12"/>
    </sheetView>
  </sheetViews>
  <sheetFormatPr defaultRowHeight="14.4"/>
  <cols>
    <col min="1" max="1" width="3.6640625" customWidth="1"/>
    <col min="2" max="2" width="18.44140625" bestFit="1" customWidth="1"/>
    <col min="3" max="3" width="39.6640625" bestFit="1" customWidth="1"/>
    <col min="4" max="4" width="13.6640625" bestFit="1" customWidth="1"/>
    <col min="6" max="6" width="12.5546875" bestFit="1" customWidth="1"/>
    <col min="7" max="7" width="18.33203125" bestFit="1" customWidth="1"/>
    <col min="10" max="10" width="12.5546875" bestFit="1" customWidth="1"/>
    <col min="11" max="11" width="20.77734375" bestFit="1" customWidth="1"/>
    <col min="14" max="14" width="19.44140625" bestFit="1" customWidth="1"/>
  </cols>
  <sheetData>
    <row r="2" spans="2:16">
      <c r="B2" s="22" t="s">
        <v>80</v>
      </c>
      <c r="C2" s="23" t="s">
        <v>81</v>
      </c>
      <c r="D2" s="12" t="s">
        <v>111</v>
      </c>
      <c r="F2" s="149" t="s">
        <v>80</v>
      </c>
      <c r="G2" t="s">
        <v>1</v>
      </c>
    </row>
    <row r="3" spans="2:16">
      <c r="B3" s="13" t="s">
        <v>1</v>
      </c>
      <c r="C3" s="13" t="s">
        <v>89</v>
      </c>
      <c r="D3" s="29" t="s">
        <v>116</v>
      </c>
      <c r="F3" s="149" t="s">
        <v>81</v>
      </c>
      <c r="G3" t="s">
        <v>279</v>
      </c>
      <c r="N3" s="223" t="s">
        <v>376</v>
      </c>
      <c r="O3" s="223">
        <v>69</v>
      </c>
      <c r="P3" s="224">
        <f>P4+P7+P8</f>
        <v>0.65217391304347827</v>
      </c>
    </row>
    <row r="4" spans="2:16">
      <c r="B4" s="18" t="s">
        <v>1</v>
      </c>
      <c r="C4" s="18" t="s">
        <v>2</v>
      </c>
      <c r="D4" s="29" t="s">
        <v>122</v>
      </c>
      <c r="N4" s="225" t="s">
        <v>379</v>
      </c>
      <c r="O4" s="225">
        <f>COUNTIFS($D$3:$D$75,"&lt;&gt;"&amp;"6. Por Iniciar",$D$3:$D$75,"&lt;&gt;"&amp;"2. Em Teste",$C$3:$C$75,"&lt;&gt;"&amp;"UNIVERSO",$D$3:$D$75,"&lt;&gt;"&amp;"5. Em Re-teste",$D$3:$D$75,"&lt;&gt;"&amp;"8. Pendente ")</f>
        <v>45</v>
      </c>
      <c r="P4" s="226">
        <f>O4/$O$3</f>
        <v>0.65217391304347827</v>
      </c>
    </row>
    <row r="5" spans="2:16">
      <c r="B5" s="13" t="s">
        <v>1</v>
      </c>
      <c r="C5" s="13" t="s">
        <v>5</v>
      </c>
      <c r="D5" s="29" t="s">
        <v>122</v>
      </c>
      <c r="F5" s="149" t="s">
        <v>270</v>
      </c>
      <c r="G5" t="s">
        <v>271</v>
      </c>
      <c r="N5" s="227" t="s">
        <v>380</v>
      </c>
      <c r="O5" s="228">
        <f>COUNTIFS($D$3:$D$75,"1. Concluído",$C$3:$C$75,"&lt;&gt;"&amp;"UNIVERSO")</f>
        <v>42</v>
      </c>
      <c r="P5" s="229">
        <f t="shared" ref="P5:P8" si="0">O5/$O$3</f>
        <v>0.60869565217391308</v>
      </c>
    </row>
    <row r="6" spans="2:16">
      <c r="B6" s="13" t="s">
        <v>1</v>
      </c>
      <c r="C6" s="13" t="s">
        <v>6</v>
      </c>
      <c r="D6" s="29" t="s">
        <v>122</v>
      </c>
      <c r="F6" s="150" t="s">
        <v>114</v>
      </c>
      <c r="G6">
        <v>31</v>
      </c>
      <c r="N6" s="105" t="s">
        <v>308</v>
      </c>
      <c r="O6" s="147">
        <f>COUNTIFS($D$3:$D$75,"4. Em Correção",$C$3:$C$75,"&lt;&gt;"&amp;"UNIVERSO")</f>
        <v>3</v>
      </c>
      <c r="P6" s="230">
        <f t="shared" si="0"/>
        <v>4.3478260869565216E-2</v>
      </c>
    </row>
    <row r="7" spans="2:16">
      <c r="B7" s="13" t="s">
        <v>1</v>
      </c>
      <c r="C7" s="13" t="s">
        <v>7</v>
      </c>
      <c r="D7" s="29" t="s">
        <v>122</v>
      </c>
      <c r="F7" s="150" t="s">
        <v>116</v>
      </c>
      <c r="G7">
        <v>3</v>
      </c>
      <c r="N7" s="231" t="s">
        <v>360</v>
      </c>
      <c r="O7" s="231">
        <f>COUNTIFS($D$3:$D$75,"2. Em Teste",$C$3:$C$75,"&lt;&gt;"&amp;"UNIVERSO")</f>
        <v>0</v>
      </c>
      <c r="P7" s="232">
        <f t="shared" si="0"/>
        <v>0</v>
      </c>
    </row>
    <row r="8" spans="2:16">
      <c r="B8" s="13" t="s">
        <v>1</v>
      </c>
      <c r="C8" s="13" t="s">
        <v>8</v>
      </c>
      <c r="D8" s="29" t="s">
        <v>122</v>
      </c>
      <c r="F8" s="150" t="s">
        <v>122</v>
      </c>
      <c r="G8">
        <v>17</v>
      </c>
      <c r="N8" s="231" t="s">
        <v>361</v>
      </c>
      <c r="O8" s="231">
        <f>COUNTIFS($D$3:$D$75,"6. Por Iniciar",$C$3:$C$75,"&lt;&gt;"&amp;"UNIVERSO")</f>
        <v>0</v>
      </c>
      <c r="P8" s="232">
        <f t="shared" si="0"/>
        <v>0</v>
      </c>
    </row>
    <row r="9" spans="2:16">
      <c r="B9" s="13" t="s">
        <v>1</v>
      </c>
      <c r="C9" s="13" t="s">
        <v>9</v>
      </c>
      <c r="D9" s="29" t="s">
        <v>122</v>
      </c>
      <c r="N9" s="231" t="s">
        <v>391</v>
      </c>
      <c r="O9" s="231">
        <f>COUNTIFS($D$3:$D$75,"5. Em Re-teste",$C$3:$C$75,"&lt;&gt;"&amp;"UNIVERSO")</f>
        <v>22</v>
      </c>
      <c r="P9" s="232">
        <f t="shared" ref="P9:P10" si="1">O9/$O$3</f>
        <v>0.3188405797101449</v>
      </c>
    </row>
    <row r="10" spans="2:16">
      <c r="B10" s="13" t="s">
        <v>1</v>
      </c>
      <c r="C10" s="13" t="s">
        <v>10</v>
      </c>
      <c r="D10" s="29" t="s">
        <v>116</v>
      </c>
      <c r="N10" s="231" t="s">
        <v>411</v>
      </c>
      <c r="O10" s="231">
        <f>COUNTIFS($D$3:$D$75,"8. Pendente ",$C$3:$C$75,"&lt;&gt;"&amp;"UNIVERSO")</f>
        <v>2</v>
      </c>
      <c r="P10" s="232">
        <f t="shared" si="1"/>
        <v>2.8985507246376812E-2</v>
      </c>
    </row>
    <row r="11" spans="2:16">
      <c r="B11" s="13" t="s">
        <v>1</v>
      </c>
      <c r="C11" s="13" t="s">
        <v>11</v>
      </c>
      <c r="D11" s="29" t="s">
        <v>114</v>
      </c>
    </row>
    <row r="12" spans="2:16">
      <c r="B12" s="13" t="s">
        <v>1</v>
      </c>
      <c r="C12" s="13" t="s">
        <v>12</v>
      </c>
      <c r="D12" s="29" t="s">
        <v>122</v>
      </c>
    </row>
    <row r="13" spans="2:16">
      <c r="B13" s="13" t="s">
        <v>1</v>
      </c>
      <c r="C13" s="13" t="s">
        <v>13</v>
      </c>
      <c r="D13" s="29" t="s">
        <v>114</v>
      </c>
    </row>
    <row r="14" spans="2:16">
      <c r="B14" s="13" t="s">
        <v>1</v>
      </c>
      <c r="C14" s="13" t="s">
        <v>14</v>
      </c>
      <c r="D14" s="29" t="s">
        <v>122</v>
      </c>
    </row>
    <row r="15" spans="2:16">
      <c r="B15" s="13" t="s">
        <v>1</v>
      </c>
      <c r="C15" s="13" t="s">
        <v>15</v>
      </c>
      <c r="D15" s="29" t="s">
        <v>114</v>
      </c>
    </row>
    <row r="16" spans="2:16">
      <c r="B16" s="13" t="s">
        <v>1</v>
      </c>
      <c r="C16" s="13" t="s">
        <v>16</v>
      </c>
      <c r="D16" s="29" t="s">
        <v>114</v>
      </c>
      <c r="F16" s="149" t="s">
        <v>80</v>
      </c>
      <c r="G16" t="s">
        <v>55</v>
      </c>
    </row>
    <row r="17" spans="2:11">
      <c r="B17" s="13" t="s">
        <v>1</v>
      </c>
      <c r="C17" s="13" t="s">
        <v>17</v>
      </c>
      <c r="D17" s="29" t="s">
        <v>114</v>
      </c>
      <c r="F17" s="149" t="s">
        <v>81</v>
      </c>
      <c r="G17" t="s">
        <v>279</v>
      </c>
    </row>
    <row r="18" spans="2:11">
      <c r="B18" s="13" t="s">
        <v>1</v>
      </c>
      <c r="C18" s="13" t="s">
        <v>18</v>
      </c>
      <c r="D18" s="29" t="s">
        <v>122</v>
      </c>
    </row>
    <row r="19" spans="2:11">
      <c r="B19" s="13" t="s">
        <v>1</v>
      </c>
      <c r="C19" s="13" t="s">
        <v>19</v>
      </c>
      <c r="D19" s="29" t="s">
        <v>114</v>
      </c>
      <c r="F19" s="149" t="s">
        <v>270</v>
      </c>
      <c r="G19" t="s">
        <v>271</v>
      </c>
    </row>
    <row r="20" spans="2:11">
      <c r="B20" s="13" t="s">
        <v>1</v>
      </c>
      <c r="C20" s="13" t="s">
        <v>20</v>
      </c>
      <c r="D20" s="29" t="s">
        <v>122</v>
      </c>
      <c r="F20" s="150" t="s">
        <v>114</v>
      </c>
      <c r="G20">
        <v>5</v>
      </c>
    </row>
    <row r="21" spans="2:11">
      <c r="B21" s="13" t="s">
        <v>1</v>
      </c>
      <c r="C21" s="13" t="s">
        <v>21</v>
      </c>
      <c r="D21" s="29" t="s">
        <v>114</v>
      </c>
      <c r="F21" s="150" t="s">
        <v>122</v>
      </c>
      <c r="G21">
        <v>2</v>
      </c>
    </row>
    <row r="22" spans="2:11">
      <c r="B22" s="13" t="s">
        <v>1</v>
      </c>
      <c r="C22" s="13" t="s">
        <v>22</v>
      </c>
      <c r="D22" s="29" t="s">
        <v>114</v>
      </c>
    </row>
    <row r="23" spans="2:11">
      <c r="B23" s="13" t="s">
        <v>1</v>
      </c>
      <c r="C23" s="13" t="s">
        <v>23</v>
      </c>
      <c r="D23" s="29" t="s">
        <v>114</v>
      </c>
    </row>
    <row r="24" spans="2:11">
      <c r="B24" s="13" t="s">
        <v>1</v>
      </c>
      <c r="C24" s="13" t="s">
        <v>24</v>
      </c>
      <c r="D24" s="29" t="s">
        <v>122</v>
      </c>
      <c r="F24" s="149" t="s">
        <v>80</v>
      </c>
      <c r="G24" t="s">
        <v>63</v>
      </c>
      <c r="J24" s="149" t="s">
        <v>80</v>
      </c>
      <c r="K24" t="s">
        <v>61</v>
      </c>
    </row>
    <row r="25" spans="2:11">
      <c r="B25" s="13" t="s">
        <v>1</v>
      </c>
      <c r="C25" s="13" t="s">
        <v>25</v>
      </c>
      <c r="D25" s="29" t="s">
        <v>114</v>
      </c>
      <c r="F25" s="149" t="s">
        <v>81</v>
      </c>
      <c r="G25" t="s">
        <v>279</v>
      </c>
      <c r="J25" s="149" t="s">
        <v>81</v>
      </c>
      <c r="K25" t="s">
        <v>279</v>
      </c>
    </row>
    <row r="26" spans="2:11">
      <c r="B26" s="13" t="s">
        <v>1</v>
      </c>
      <c r="C26" s="13" t="s">
        <v>26</v>
      </c>
      <c r="D26" s="29" t="s">
        <v>114</v>
      </c>
    </row>
    <row r="27" spans="2:11">
      <c r="B27" s="13" t="s">
        <v>1</v>
      </c>
      <c r="C27" s="13" t="s">
        <v>27</v>
      </c>
      <c r="D27" s="29" t="s">
        <v>114</v>
      </c>
      <c r="F27" s="149" t="s">
        <v>270</v>
      </c>
      <c r="G27" t="s">
        <v>271</v>
      </c>
      <c r="J27" s="149" t="s">
        <v>270</v>
      </c>
      <c r="K27" t="s">
        <v>271</v>
      </c>
    </row>
    <row r="28" spans="2:11">
      <c r="B28" s="13" t="s">
        <v>1</v>
      </c>
      <c r="C28" s="13" t="s">
        <v>28</v>
      </c>
      <c r="D28" s="29" t="s">
        <v>114</v>
      </c>
      <c r="F28" s="150" t="s">
        <v>114</v>
      </c>
      <c r="G28">
        <v>2</v>
      </c>
      <c r="J28" s="150" t="s">
        <v>114</v>
      </c>
      <c r="K28">
        <v>4</v>
      </c>
    </row>
    <row r="29" spans="2:11">
      <c r="B29" s="13" t="s">
        <v>1</v>
      </c>
      <c r="C29" s="13" t="s">
        <v>29</v>
      </c>
      <c r="D29" s="29" t="s">
        <v>114</v>
      </c>
      <c r="F29" s="150" t="s">
        <v>122</v>
      </c>
      <c r="G29">
        <v>2</v>
      </c>
      <c r="J29" s="150" t="s">
        <v>122</v>
      </c>
      <c r="K29">
        <v>1</v>
      </c>
    </row>
    <row r="30" spans="2:11">
      <c r="B30" s="13" t="s">
        <v>1</v>
      </c>
      <c r="C30" s="13" t="s">
        <v>30</v>
      </c>
      <c r="D30" s="29" t="s">
        <v>114</v>
      </c>
      <c r="F30" s="150" t="s">
        <v>409</v>
      </c>
      <c r="G30">
        <v>2</v>
      </c>
    </row>
    <row r="31" spans="2:11">
      <c r="B31" s="13" t="s">
        <v>1</v>
      </c>
      <c r="C31" s="13" t="s">
        <v>31</v>
      </c>
      <c r="D31" s="29" t="s">
        <v>114</v>
      </c>
    </row>
    <row r="32" spans="2:11">
      <c r="B32" s="13" t="s">
        <v>1</v>
      </c>
      <c r="C32" s="13" t="s">
        <v>32</v>
      </c>
      <c r="D32" s="29" t="s">
        <v>114</v>
      </c>
    </row>
    <row r="33" spans="2:4">
      <c r="B33" s="13" t="s">
        <v>1</v>
      </c>
      <c r="C33" s="13" t="s">
        <v>33</v>
      </c>
      <c r="D33" s="29" t="s">
        <v>114</v>
      </c>
    </row>
    <row r="34" spans="2:4">
      <c r="B34" s="13" t="s">
        <v>1</v>
      </c>
      <c r="C34" s="13" t="s">
        <v>34</v>
      </c>
      <c r="D34" s="29" t="s">
        <v>114</v>
      </c>
    </row>
    <row r="35" spans="2:4">
      <c r="B35" s="13" t="s">
        <v>1</v>
      </c>
      <c r="C35" s="13" t="s">
        <v>35</v>
      </c>
      <c r="D35" s="29" t="s">
        <v>122</v>
      </c>
    </row>
    <row r="36" spans="2:4">
      <c r="B36" s="13" t="s">
        <v>1</v>
      </c>
      <c r="C36" s="13" t="s">
        <v>36</v>
      </c>
      <c r="D36" s="29" t="s">
        <v>114</v>
      </c>
    </row>
    <row r="37" spans="2:4">
      <c r="B37" s="13" t="s">
        <v>1</v>
      </c>
      <c r="C37" s="13" t="s">
        <v>37</v>
      </c>
      <c r="D37" s="29" t="s">
        <v>122</v>
      </c>
    </row>
    <row r="38" spans="2:4">
      <c r="B38" s="13" t="s">
        <v>1</v>
      </c>
      <c r="C38" s="13" t="s">
        <v>38</v>
      </c>
      <c r="D38" s="29" t="s">
        <v>114</v>
      </c>
    </row>
    <row r="39" spans="2:4">
      <c r="B39" s="13" t="s">
        <v>1</v>
      </c>
      <c r="C39" s="13" t="s">
        <v>39</v>
      </c>
      <c r="D39" s="29" t="s">
        <v>122</v>
      </c>
    </row>
    <row r="40" spans="2:4">
      <c r="B40" s="13" t="s">
        <v>1</v>
      </c>
      <c r="C40" s="13" t="s">
        <v>40</v>
      </c>
      <c r="D40" s="29" t="s">
        <v>114</v>
      </c>
    </row>
    <row r="41" spans="2:4">
      <c r="B41" s="13" t="s">
        <v>1</v>
      </c>
      <c r="C41" s="13" t="s">
        <v>41</v>
      </c>
      <c r="D41" s="29" t="s">
        <v>114</v>
      </c>
    </row>
    <row r="42" spans="2:4">
      <c r="B42" s="13" t="s">
        <v>1</v>
      </c>
      <c r="C42" s="13" t="s">
        <v>42</v>
      </c>
      <c r="D42" s="29" t="s">
        <v>116</v>
      </c>
    </row>
    <row r="43" spans="2:4">
      <c r="B43" s="13" t="s">
        <v>1</v>
      </c>
      <c r="C43" s="13" t="s">
        <v>43</v>
      </c>
      <c r="D43" s="29" t="s">
        <v>114</v>
      </c>
    </row>
    <row r="44" spans="2:4">
      <c r="B44" s="13" t="s">
        <v>1</v>
      </c>
      <c r="C44" s="13" t="s">
        <v>44</v>
      </c>
      <c r="D44" s="29" t="s">
        <v>114</v>
      </c>
    </row>
    <row r="45" spans="2:4">
      <c r="B45" s="13" t="s">
        <v>1</v>
      </c>
      <c r="C45" s="13" t="s">
        <v>45</v>
      </c>
      <c r="D45" s="29" t="s">
        <v>122</v>
      </c>
    </row>
    <row r="46" spans="2:4">
      <c r="B46" s="13" t="s">
        <v>1</v>
      </c>
      <c r="C46" s="13" t="s">
        <v>46</v>
      </c>
      <c r="D46" s="29" t="s">
        <v>114</v>
      </c>
    </row>
    <row r="47" spans="2:4">
      <c r="B47" s="13" t="s">
        <v>1</v>
      </c>
      <c r="C47" s="13" t="s">
        <v>47</v>
      </c>
      <c r="D47" s="29" t="s">
        <v>114</v>
      </c>
    </row>
    <row r="48" spans="2:4">
      <c r="B48" s="13" t="s">
        <v>1</v>
      </c>
      <c r="C48" s="13" t="s">
        <v>48</v>
      </c>
      <c r="D48" s="29" t="s">
        <v>122</v>
      </c>
    </row>
    <row r="49" spans="2:4">
      <c r="B49" s="13" t="s">
        <v>1</v>
      </c>
      <c r="C49" s="13" t="s">
        <v>49</v>
      </c>
      <c r="D49" s="29" t="s">
        <v>114</v>
      </c>
    </row>
    <row r="50" spans="2:4">
      <c r="B50" s="13" t="s">
        <v>1</v>
      </c>
      <c r="C50" s="13" t="s">
        <v>50</v>
      </c>
      <c r="D50" s="29" t="s">
        <v>114</v>
      </c>
    </row>
    <row r="51" spans="2:4">
      <c r="B51" s="13" t="s">
        <v>1</v>
      </c>
      <c r="C51" s="13" t="s">
        <v>51</v>
      </c>
      <c r="D51" s="29" t="s">
        <v>114</v>
      </c>
    </row>
    <row r="52" spans="2:4">
      <c r="B52" s="13" t="s">
        <v>1</v>
      </c>
      <c r="C52" s="13" t="s">
        <v>52</v>
      </c>
      <c r="D52" s="29" t="s">
        <v>116</v>
      </c>
    </row>
    <row r="53" spans="2:4">
      <c r="B53" s="13" t="s">
        <v>1</v>
      </c>
      <c r="C53" s="13" t="s">
        <v>53</v>
      </c>
      <c r="D53" s="29" t="s">
        <v>122</v>
      </c>
    </row>
    <row r="54" spans="2:4">
      <c r="B54" s="13" t="s">
        <v>1</v>
      </c>
      <c r="C54" s="13" t="s">
        <v>54</v>
      </c>
      <c r="D54" s="29" t="s">
        <v>114</v>
      </c>
    </row>
    <row r="55" spans="2:4">
      <c r="B55" s="13" t="s">
        <v>55</v>
      </c>
      <c r="C55" s="13" t="s">
        <v>89</v>
      </c>
      <c r="D55" s="29" t="s">
        <v>114</v>
      </c>
    </row>
    <row r="56" spans="2:4">
      <c r="B56" s="13" t="s">
        <v>55</v>
      </c>
      <c r="C56" s="13" t="s">
        <v>36</v>
      </c>
      <c r="D56" s="29" t="s">
        <v>114</v>
      </c>
    </row>
    <row r="57" spans="2:4">
      <c r="B57" s="13" t="s">
        <v>55</v>
      </c>
      <c r="C57" s="13" t="s">
        <v>38</v>
      </c>
      <c r="D57" s="29" t="s">
        <v>114</v>
      </c>
    </row>
    <row r="58" spans="2:4">
      <c r="B58" s="13" t="s">
        <v>55</v>
      </c>
      <c r="C58" s="13" t="s">
        <v>56</v>
      </c>
      <c r="D58" s="29" t="s">
        <v>114</v>
      </c>
    </row>
    <row r="59" spans="2:4">
      <c r="B59" s="13" t="s">
        <v>55</v>
      </c>
      <c r="C59" s="13" t="s">
        <v>57</v>
      </c>
      <c r="D59" s="29" t="s">
        <v>114</v>
      </c>
    </row>
    <row r="60" spans="2:4">
      <c r="B60" s="13" t="s">
        <v>55</v>
      </c>
      <c r="C60" s="13" t="s">
        <v>58</v>
      </c>
      <c r="D60" s="29" t="s">
        <v>122</v>
      </c>
    </row>
    <row r="61" spans="2:4">
      <c r="B61" s="13" t="s">
        <v>55</v>
      </c>
      <c r="C61" s="13" t="s">
        <v>59</v>
      </c>
      <c r="D61" s="29" t="s">
        <v>114</v>
      </c>
    </row>
    <row r="62" spans="2:4">
      <c r="B62" s="13" t="s">
        <v>55</v>
      </c>
      <c r="C62" s="13" t="s">
        <v>60</v>
      </c>
      <c r="D62" s="29" t="s">
        <v>122</v>
      </c>
    </row>
    <row r="63" spans="2:4">
      <c r="B63" s="13" t="s">
        <v>61</v>
      </c>
      <c r="C63" s="13" t="s">
        <v>89</v>
      </c>
      <c r="D63" s="29" t="s">
        <v>114</v>
      </c>
    </row>
    <row r="64" spans="2:4">
      <c r="B64" s="13" t="s">
        <v>61</v>
      </c>
      <c r="C64" s="13" t="s">
        <v>36</v>
      </c>
      <c r="D64" s="29" t="s">
        <v>114</v>
      </c>
    </row>
    <row r="65" spans="2:4">
      <c r="B65" s="13" t="s">
        <v>61</v>
      </c>
      <c r="C65" s="13" t="s">
        <v>38</v>
      </c>
      <c r="D65" s="29" t="s">
        <v>114</v>
      </c>
    </row>
    <row r="66" spans="2:4">
      <c r="B66" s="13" t="s">
        <v>61</v>
      </c>
      <c r="C66" s="13" t="s">
        <v>54</v>
      </c>
      <c r="D66" s="29" t="s">
        <v>114</v>
      </c>
    </row>
    <row r="67" spans="2:4">
      <c r="B67" s="13" t="s">
        <v>61</v>
      </c>
      <c r="C67" s="13" t="s">
        <v>56</v>
      </c>
      <c r="D67" s="29" t="s">
        <v>114</v>
      </c>
    </row>
    <row r="68" spans="2:4">
      <c r="B68" s="13" t="s">
        <v>61</v>
      </c>
      <c r="C68" s="13" t="s">
        <v>62</v>
      </c>
      <c r="D68" s="29" t="s">
        <v>122</v>
      </c>
    </row>
    <row r="69" spans="2:4">
      <c r="B69" s="13" t="s">
        <v>63</v>
      </c>
      <c r="C69" s="13" t="s">
        <v>89</v>
      </c>
      <c r="D69" s="29" t="s">
        <v>409</v>
      </c>
    </row>
    <row r="70" spans="2:4">
      <c r="B70" s="13" t="s">
        <v>63</v>
      </c>
      <c r="C70" s="13" t="s">
        <v>64</v>
      </c>
      <c r="D70" s="29" t="s">
        <v>122</v>
      </c>
    </row>
    <row r="71" spans="2:4">
      <c r="B71" s="13" t="s">
        <v>63</v>
      </c>
      <c r="C71" s="13" t="s">
        <v>65</v>
      </c>
      <c r="D71" s="29" t="s">
        <v>122</v>
      </c>
    </row>
    <row r="72" spans="2:4">
      <c r="B72" s="13" t="s">
        <v>63</v>
      </c>
      <c r="C72" s="13" t="s">
        <v>66</v>
      </c>
      <c r="D72" s="29" t="s">
        <v>409</v>
      </c>
    </row>
    <row r="73" spans="2:4">
      <c r="B73" s="13" t="s">
        <v>63</v>
      </c>
      <c r="C73" s="13" t="s">
        <v>36</v>
      </c>
      <c r="D73" s="29" t="s">
        <v>114</v>
      </c>
    </row>
    <row r="74" spans="2:4">
      <c r="B74" s="13" t="s">
        <v>63</v>
      </c>
      <c r="C74" s="13" t="s">
        <v>38</v>
      </c>
      <c r="D74" s="29" t="s">
        <v>114</v>
      </c>
    </row>
    <row r="75" spans="2:4">
      <c r="B75" s="13" t="s">
        <v>63</v>
      </c>
      <c r="C75" s="13" t="s">
        <v>54</v>
      </c>
      <c r="D75" s="29" t="s">
        <v>409</v>
      </c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equal" id="{DB26685F-C860-400D-9018-D6AD09DC5524}">
            <xm:f>'Aux Testes_Status'!$B$26</xm:f>
            <x14:dxf>
              <fill>
                <patternFill>
                  <bgColor rgb="FFFF0000"/>
                </patternFill>
              </fill>
            </x14:dxf>
          </x14:cfRule>
          <x14:cfRule type="cellIs" priority="2" operator="equal" id="{38F958FD-4D3B-4950-A79A-76378F8928D2}">
            <xm:f>'Aux Testes_Status'!$B$25</xm:f>
            <x14:dxf>
              <fill>
                <patternFill>
                  <bgColor rgb="FFBFBFBF"/>
                </patternFill>
              </fill>
            </x14:dxf>
          </x14:cfRule>
          <x14:cfRule type="cellIs" priority="3" operator="equal" id="{45E8E814-D253-4F68-99FB-9733A347E299}">
            <xm:f>'Aux Testes_Status'!$B$24</xm:f>
            <x14:dxf>
              <fill>
                <patternFill>
                  <bgColor rgb="FF13868C"/>
                </patternFill>
              </fill>
            </x14:dxf>
          </x14:cfRule>
          <x14:cfRule type="cellIs" priority="4" operator="equal" id="{DD6E67AA-037B-46A0-AD83-A83825228CDD}">
            <xm:f>'Aux Testes_Status'!$B$23</xm:f>
            <x14:dxf>
              <fill>
                <patternFill>
                  <bgColor rgb="FFC00000"/>
                </patternFill>
              </fill>
            </x14:dxf>
          </x14:cfRule>
          <x14:cfRule type="cellIs" priority="5" operator="equal" id="{2BD2E012-DFCA-419A-80CF-7423EED89293}">
            <xm:f>'Aux Testes_Status'!$B$22</xm:f>
            <x14:dxf>
              <fill>
                <patternFill>
                  <bgColor rgb="FFE6AC00"/>
                </patternFill>
              </fill>
            </x14:dxf>
          </x14:cfRule>
          <x14:cfRule type="cellIs" priority="6" operator="equal" id="{8560D463-0DF9-4974-B73F-1AB5F215A96D}">
            <xm:f>'Aux Testes_Status'!$B$21</xm:f>
            <x14:dxf>
              <fill>
                <patternFill>
                  <bgColor rgb="FFFFE084"/>
                </patternFill>
              </fill>
            </x14:dxf>
          </x14:cfRule>
          <x14:cfRule type="cellIs" priority="7" operator="equal" id="{81FDF2CB-8C14-4B86-830B-B1EDAC912F4F}">
            <xm:f>'Aux Testes_Status'!$B$20</xm:f>
            <x14:dxf>
              <fill>
                <patternFill>
                  <bgColor rgb="FF62B967"/>
                </patternFill>
              </fill>
            </x14:dxf>
          </x14:cfRule>
          <xm:sqref>D3:D75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66EB0E-8EDE-45B7-B625-6C756EBDFFC7}">
          <x14:formula1>
            <xm:f>'Aux Testes_Status'!$B$20:$B$26</xm:f>
          </x14:formula1>
          <xm:sqref>D3:D75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08EBA-5B4F-4B9A-A2FC-7461C7E6CE22}">
  <sheetPr>
    <tabColor theme="0" tint="-0.499984740745262"/>
  </sheetPr>
  <dimension ref="A1:AZ100"/>
  <sheetViews>
    <sheetView showGridLines="0" zoomScaleNormal="100" workbookViewId="0">
      <pane xSplit="6" ySplit="16" topLeftCell="G17" activePane="bottomRight" state="frozen"/>
      <selection pane="topRight" activeCell="G1" sqref="G1"/>
      <selection pane="bottomLeft" activeCell="A17" sqref="A17"/>
      <selection pane="bottomRight" activeCell="O27" sqref="O27"/>
    </sheetView>
  </sheetViews>
  <sheetFormatPr defaultColWidth="0" defaultRowHeight="13.2" outlineLevelRow="1"/>
  <cols>
    <col min="1" max="1" width="3.6640625" style="3" customWidth="1"/>
    <col min="2" max="2" width="5.44140625" style="3" bestFit="1" customWidth="1"/>
    <col min="3" max="3" width="20.33203125" style="3" bestFit="1" customWidth="1"/>
    <col min="4" max="4" width="42.5546875" style="3" customWidth="1"/>
    <col min="5" max="5" width="14.33203125" style="3" bestFit="1" customWidth="1"/>
    <col min="6" max="6" width="0.88671875" style="3" customWidth="1"/>
    <col min="7" max="21" width="3.6640625" style="47" customWidth="1"/>
    <col min="22" max="52" width="3.6640625" style="3" customWidth="1"/>
    <col min="53" max="16384" width="9.109375" style="3" hidden="1"/>
  </cols>
  <sheetData>
    <row r="1" spans="1:52" ht="16.2" customHeight="1"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7"/>
      <c r="AM1" s="47"/>
      <c r="AN1" s="47"/>
      <c r="AO1" s="47"/>
      <c r="AP1" s="47"/>
      <c r="AQ1" s="47"/>
      <c r="AR1" s="47"/>
      <c r="AS1" s="47"/>
      <c r="AT1" s="47"/>
      <c r="AU1" s="47"/>
      <c r="AV1" s="47"/>
      <c r="AW1" s="47"/>
      <c r="AX1" s="47"/>
      <c r="AY1" s="47"/>
      <c r="AZ1" s="47"/>
    </row>
    <row r="2" spans="1:52">
      <c r="A2" s="4"/>
      <c r="B2" s="4"/>
      <c r="C2" s="4"/>
      <c r="D2" s="4"/>
      <c r="E2" s="4"/>
      <c r="F2" s="4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8"/>
      <c r="AQ2" s="48"/>
      <c r="AR2" s="48"/>
      <c r="AS2" s="48"/>
      <c r="AT2" s="48"/>
      <c r="AU2" s="48"/>
      <c r="AV2" s="48"/>
      <c r="AW2" s="48"/>
      <c r="AX2" s="48"/>
      <c r="AY2" s="48"/>
      <c r="AZ2" s="48"/>
    </row>
    <row r="3" spans="1:52">
      <c r="A3" s="5"/>
      <c r="B3" s="5"/>
      <c r="C3" s="5"/>
      <c r="D3" s="5"/>
      <c r="E3" s="5"/>
      <c r="F3" s="7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>
      <c r="A4" s="4"/>
      <c r="B4" s="4"/>
      <c r="C4" s="4"/>
      <c r="D4" s="4"/>
      <c r="E4" s="4"/>
      <c r="F4" s="4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8"/>
      <c r="AS4" s="48"/>
      <c r="AT4" s="48"/>
      <c r="AU4" s="48"/>
      <c r="AV4" s="48"/>
      <c r="AW4" s="48"/>
      <c r="AX4" s="48"/>
      <c r="AY4" s="48"/>
      <c r="AZ4" s="48"/>
    </row>
    <row r="5" spans="1:52" ht="3" customHeight="1">
      <c r="A5" s="2"/>
      <c r="B5" s="2"/>
      <c r="C5" s="2"/>
      <c r="D5" s="2"/>
      <c r="E5" s="2"/>
      <c r="F5" s="2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</row>
    <row r="7" spans="1:52">
      <c r="B7" s="104" t="s">
        <v>249</v>
      </c>
    </row>
    <row r="8" spans="1:52" ht="6.9" customHeight="1"/>
    <row r="9" spans="1:52">
      <c r="B9" s="162" t="s">
        <v>280</v>
      </c>
      <c r="C9" s="105" t="s">
        <v>250</v>
      </c>
    </row>
    <row r="10" spans="1:52" ht="13.8">
      <c r="B10" s="92" t="s">
        <v>245</v>
      </c>
      <c r="C10" s="105" t="s">
        <v>252</v>
      </c>
    </row>
    <row r="11" spans="1:52" ht="14.4">
      <c r="B11" s="90">
        <v>3</v>
      </c>
      <c r="C11" s="105" t="s">
        <v>251</v>
      </c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</row>
    <row r="12" spans="1:52" ht="14.4">
      <c r="B12" s="163"/>
      <c r="C12" s="105" t="s">
        <v>253</v>
      </c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</row>
    <row r="13" spans="1:52" ht="13.8" thickBot="1"/>
    <row r="14" spans="1:52" ht="15" customHeight="1" thickBot="1">
      <c r="G14" s="289" t="s">
        <v>134</v>
      </c>
      <c r="H14" s="299"/>
      <c r="I14" s="299"/>
      <c r="J14" s="290"/>
      <c r="K14" s="289" t="s">
        <v>135</v>
      </c>
      <c r="L14" s="299"/>
      <c r="M14" s="299"/>
      <c r="N14" s="299"/>
      <c r="O14" s="290"/>
      <c r="P14" s="289" t="s">
        <v>136</v>
      </c>
      <c r="Q14" s="299"/>
      <c r="R14" s="299"/>
      <c r="S14" s="299"/>
      <c r="T14" s="290"/>
      <c r="U14" s="289" t="s">
        <v>137</v>
      </c>
      <c r="V14" s="299"/>
      <c r="W14" s="299"/>
      <c r="X14" s="299"/>
      <c r="Y14" s="299"/>
      <c r="Z14" s="289" t="s">
        <v>138</v>
      </c>
      <c r="AA14" s="299"/>
      <c r="AB14" s="299"/>
      <c r="AC14" s="299"/>
      <c r="AD14" s="299"/>
      <c r="AE14" s="290"/>
      <c r="AF14" s="289" t="s">
        <v>139</v>
      </c>
      <c r="AG14" s="299"/>
      <c r="AH14" s="299"/>
      <c r="AI14" s="299"/>
      <c r="AJ14" s="299"/>
      <c r="AK14" s="289" t="s">
        <v>140</v>
      </c>
      <c r="AL14" s="299"/>
      <c r="AM14" s="299"/>
      <c r="AN14" s="290"/>
      <c r="AO14" s="289" t="s">
        <v>141</v>
      </c>
      <c r="AP14" s="299"/>
      <c r="AQ14" s="299"/>
      <c r="AR14" s="299"/>
      <c r="AS14" s="299"/>
      <c r="AT14" s="289" t="s">
        <v>142</v>
      </c>
      <c r="AU14" s="299"/>
      <c r="AV14" s="299"/>
      <c r="AW14" s="299"/>
      <c r="AX14" s="299"/>
      <c r="AY14" s="290"/>
    </row>
    <row r="15" spans="1:52" ht="15" customHeight="1" thickBot="1">
      <c r="B15" s="50" t="s">
        <v>127</v>
      </c>
      <c r="C15" s="289" t="s">
        <v>128</v>
      </c>
      <c r="D15" s="290"/>
      <c r="E15" s="50" t="s">
        <v>129</v>
      </c>
      <c r="G15" s="296" t="s">
        <v>256</v>
      </c>
      <c r="H15" s="297"/>
      <c r="I15" s="297"/>
      <c r="J15" s="298"/>
      <c r="K15" s="296" t="s">
        <v>257</v>
      </c>
      <c r="L15" s="297"/>
      <c r="M15" s="297"/>
      <c r="N15" s="297"/>
      <c r="O15" s="298"/>
      <c r="P15" s="296" t="s">
        <v>258</v>
      </c>
      <c r="Q15" s="297"/>
      <c r="R15" s="297"/>
      <c r="S15" s="297"/>
      <c r="T15" s="298"/>
      <c r="U15" s="296" t="s">
        <v>259</v>
      </c>
      <c r="V15" s="297"/>
      <c r="W15" s="297"/>
      <c r="X15" s="297"/>
      <c r="Y15" s="298"/>
      <c r="Z15" s="293" t="s">
        <v>260</v>
      </c>
      <c r="AA15" s="294"/>
      <c r="AB15" s="294"/>
      <c r="AC15" s="294"/>
      <c r="AD15" s="294"/>
      <c r="AE15" s="295"/>
      <c r="AF15" s="296" t="s">
        <v>261</v>
      </c>
      <c r="AG15" s="297"/>
      <c r="AH15" s="297"/>
      <c r="AI15" s="297"/>
      <c r="AJ15" s="298"/>
      <c r="AK15" s="296" t="s">
        <v>262</v>
      </c>
      <c r="AL15" s="297"/>
      <c r="AM15" s="297"/>
      <c r="AN15" s="298"/>
      <c r="AO15" s="296" t="s">
        <v>263</v>
      </c>
      <c r="AP15" s="297"/>
      <c r="AQ15" s="297"/>
      <c r="AR15" s="297"/>
      <c r="AS15" s="298"/>
      <c r="AT15" s="296" t="s">
        <v>264</v>
      </c>
      <c r="AU15" s="297"/>
      <c r="AV15" s="297"/>
      <c r="AW15" s="297"/>
      <c r="AX15" s="297"/>
      <c r="AY15" s="298"/>
    </row>
    <row r="16" spans="1:52" s="8" customFormat="1" ht="15" customHeight="1">
      <c r="B16" s="55" t="s">
        <v>143</v>
      </c>
      <c r="C16" s="291" t="s">
        <v>144</v>
      </c>
      <c r="D16" s="291"/>
      <c r="E16" s="53"/>
      <c r="G16" s="54"/>
      <c r="H16" s="54"/>
      <c r="I16" s="54"/>
      <c r="J16" s="132"/>
      <c r="K16" s="54"/>
      <c r="L16" s="54"/>
      <c r="M16" s="54"/>
      <c r="N16" s="54"/>
      <c r="O16" s="132"/>
      <c r="P16" s="54"/>
      <c r="Q16" s="54"/>
      <c r="R16" s="54"/>
      <c r="S16" s="54"/>
      <c r="T16" s="132"/>
      <c r="U16" s="54"/>
      <c r="V16" s="53"/>
      <c r="W16" s="53"/>
      <c r="X16" s="53"/>
      <c r="Y16" s="127"/>
      <c r="Z16" s="53"/>
      <c r="AA16" s="53"/>
      <c r="AB16" s="76"/>
      <c r="AC16" s="53"/>
      <c r="AD16" s="53"/>
      <c r="AE16" s="124"/>
      <c r="AF16" s="53"/>
      <c r="AG16" s="53"/>
      <c r="AH16" s="53"/>
      <c r="AI16" s="76"/>
      <c r="AJ16" s="128"/>
      <c r="AK16" s="53"/>
      <c r="AL16" s="53"/>
      <c r="AM16" s="53"/>
      <c r="AN16" s="131"/>
      <c r="AO16" s="53"/>
      <c r="AP16" s="53"/>
      <c r="AQ16" s="53"/>
      <c r="AR16" s="53"/>
      <c r="AS16" s="131"/>
      <c r="AT16" s="53"/>
      <c r="AU16" s="53"/>
      <c r="AV16" s="53"/>
      <c r="AW16" s="53"/>
      <c r="AX16" s="53"/>
      <c r="AY16" s="131"/>
    </row>
    <row r="17" spans="2:51" s="8" customFormat="1" ht="15" customHeight="1" outlineLevel="1">
      <c r="B17" s="64" t="s">
        <v>146</v>
      </c>
      <c r="C17" s="292" t="s">
        <v>235</v>
      </c>
      <c r="D17" s="292"/>
      <c r="E17" s="64" t="s">
        <v>233</v>
      </c>
      <c r="G17" s="90"/>
      <c r="H17" s="90"/>
      <c r="I17" s="90"/>
      <c r="J17" s="112"/>
      <c r="K17" s="110"/>
      <c r="L17" s="57"/>
      <c r="M17" s="57"/>
      <c r="N17" s="57"/>
      <c r="O17" s="112"/>
      <c r="P17" s="70"/>
      <c r="Q17" s="57"/>
      <c r="R17" s="57"/>
      <c r="S17" s="57"/>
      <c r="T17" s="112"/>
      <c r="U17" s="70"/>
      <c r="V17" s="56"/>
      <c r="W17" s="56"/>
      <c r="X17" s="56"/>
      <c r="Y17" s="120"/>
      <c r="Z17" s="74"/>
      <c r="AA17" s="72"/>
      <c r="AB17" s="77"/>
      <c r="AC17" s="74"/>
      <c r="AD17" s="56"/>
      <c r="AE17" s="125"/>
      <c r="AF17" s="74"/>
      <c r="AG17" s="56"/>
      <c r="AH17" s="56"/>
      <c r="AI17" s="77"/>
      <c r="AJ17" s="120"/>
      <c r="AK17" s="74"/>
      <c r="AL17" s="56"/>
      <c r="AM17" s="56"/>
      <c r="AN17" s="120"/>
      <c r="AO17" s="74"/>
      <c r="AP17" s="56"/>
      <c r="AQ17" s="56"/>
      <c r="AR17" s="56"/>
      <c r="AS17" s="120"/>
      <c r="AT17" s="74"/>
      <c r="AU17" s="56"/>
      <c r="AV17" s="56"/>
      <c r="AW17" s="56"/>
      <c r="AX17" s="56"/>
      <c r="AY17" s="120"/>
    </row>
    <row r="18" spans="2:51" s="8" customFormat="1" ht="15" customHeight="1" outlineLevel="1">
      <c r="B18" s="64" t="s">
        <v>234</v>
      </c>
      <c r="C18" s="292" t="s">
        <v>147</v>
      </c>
      <c r="D18" s="292"/>
      <c r="E18" s="64" t="s">
        <v>148</v>
      </c>
      <c r="G18" s="57"/>
      <c r="H18" s="57"/>
      <c r="I18" s="57"/>
      <c r="J18" s="113" t="s">
        <v>245</v>
      </c>
      <c r="K18" s="110"/>
      <c r="L18" s="57"/>
      <c r="M18" s="57"/>
      <c r="N18" s="57"/>
      <c r="O18" s="113" t="s">
        <v>245</v>
      </c>
      <c r="P18" s="70"/>
      <c r="Q18" s="57"/>
      <c r="R18" s="57"/>
      <c r="S18" s="57"/>
      <c r="T18" s="113" t="s">
        <v>245</v>
      </c>
      <c r="U18" s="70"/>
      <c r="V18" s="56"/>
      <c r="W18" s="56"/>
      <c r="X18" s="56"/>
      <c r="Y18" s="113" t="s">
        <v>245</v>
      </c>
      <c r="Z18" s="74"/>
      <c r="AA18" s="72"/>
      <c r="AB18" s="77"/>
      <c r="AC18" s="74"/>
      <c r="AD18" s="92" t="s">
        <v>245</v>
      </c>
      <c r="AE18" s="125"/>
      <c r="AF18" s="74"/>
      <c r="AG18" s="56"/>
      <c r="AH18" s="56"/>
      <c r="AI18" s="77"/>
      <c r="AJ18" s="113" t="s">
        <v>245</v>
      </c>
      <c r="AK18" s="74"/>
      <c r="AL18" s="56"/>
      <c r="AM18" s="56"/>
      <c r="AN18" s="113" t="s">
        <v>245</v>
      </c>
      <c r="AO18" s="74"/>
      <c r="AP18" s="56"/>
      <c r="AQ18" s="56"/>
      <c r="AR18" s="56"/>
      <c r="AS18" s="113" t="s">
        <v>245</v>
      </c>
      <c r="AT18" s="74"/>
      <c r="AU18" s="56"/>
      <c r="AV18" s="56"/>
      <c r="AW18" s="56"/>
      <c r="AX18" s="92" t="s">
        <v>245</v>
      </c>
      <c r="AY18" s="120"/>
    </row>
    <row r="19" spans="2:51" s="8" customFormat="1" ht="15" customHeight="1">
      <c r="B19" s="55" t="s">
        <v>145</v>
      </c>
      <c r="C19" s="288" t="s">
        <v>149</v>
      </c>
      <c r="D19" s="288"/>
      <c r="E19" s="53"/>
      <c r="G19" s="162" t="s">
        <v>280</v>
      </c>
      <c r="H19" s="54"/>
      <c r="I19" s="54"/>
      <c r="J19" s="114"/>
      <c r="K19" s="107"/>
      <c r="L19" s="107"/>
      <c r="M19" s="107"/>
      <c r="N19" s="107"/>
      <c r="O19" s="119"/>
      <c r="P19" s="54"/>
      <c r="Q19" s="54"/>
      <c r="R19" s="54"/>
      <c r="S19" s="54"/>
      <c r="T19" s="119"/>
      <c r="U19" s="54"/>
      <c r="V19" s="53"/>
      <c r="W19" s="53"/>
      <c r="X19" s="53"/>
      <c r="Y19" s="121"/>
      <c r="Z19" s="53"/>
      <c r="AA19" s="53"/>
      <c r="AB19" s="77"/>
      <c r="AC19" s="53"/>
      <c r="AD19" s="53"/>
      <c r="AE19" s="125"/>
      <c r="AF19" s="53"/>
      <c r="AG19" s="53"/>
      <c r="AH19" s="53"/>
      <c r="AI19" s="77"/>
      <c r="AJ19" s="129"/>
      <c r="AK19" s="53"/>
      <c r="AL19" s="53"/>
      <c r="AM19" s="53"/>
      <c r="AN19" s="121"/>
      <c r="AO19" s="53"/>
      <c r="AP19" s="53"/>
      <c r="AQ19" s="53"/>
      <c r="AR19" s="53"/>
      <c r="AS19" s="121"/>
      <c r="AT19" s="53"/>
      <c r="AU19" s="53"/>
      <c r="AV19" s="53"/>
      <c r="AW19" s="53"/>
      <c r="AX19" s="53"/>
      <c r="AY19" s="121"/>
    </row>
    <row r="20" spans="2:51" s="8" customFormat="1" ht="15" customHeight="1" outlineLevel="1">
      <c r="B20" s="58" t="s">
        <v>150</v>
      </c>
      <c r="C20" s="59" t="s">
        <v>1</v>
      </c>
      <c r="D20" s="59" t="s">
        <v>89</v>
      </c>
      <c r="E20" s="58" t="s">
        <v>233</v>
      </c>
      <c r="G20" s="83"/>
      <c r="H20" s="57"/>
      <c r="I20" s="57"/>
      <c r="J20" s="112"/>
      <c r="K20" s="110"/>
      <c r="L20" s="57"/>
      <c r="M20" s="108"/>
      <c r="N20" s="57"/>
      <c r="O20" s="112"/>
      <c r="P20" s="70"/>
      <c r="Q20" s="57"/>
      <c r="R20" s="57"/>
      <c r="S20" s="57"/>
      <c r="T20" s="112"/>
      <c r="U20" s="70"/>
      <c r="V20" s="56"/>
      <c r="W20" s="56"/>
      <c r="X20" s="56"/>
      <c r="Y20" s="120"/>
      <c r="Z20" s="74"/>
      <c r="AA20" s="72"/>
      <c r="AB20" s="77"/>
      <c r="AC20" s="74"/>
      <c r="AD20" s="56"/>
      <c r="AE20" s="125"/>
      <c r="AF20" s="74"/>
      <c r="AG20" s="56"/>
      <c r="AH20" s="56"/>
      <c r="AI20" s="77"/>
      <c r="AJ20" s="120"/>
      <c r="AK20" s="74"/>
      <c r="AL20" s="56"/>
      <c r="AM20" s="56"/>
      <c r="AN20" s="120"/>
      <c r="AO20" s="74"/>
      <c r="AP20" s="56"/>
      <c r="AQ20" s="56"/>
      <c r="AR20" s="56"/>
      <c r="AS20" s="120"/>
      <c r="AT20" s="74"/>
      <c r="AU20" s="56"/>
      <c r="AV20" s="56"/>
      <c r="AW20" s="56"/>
      <c r="AX20" s="56"/>
      <c r="AY20" s="120"/>
    </row>
    <row r="21" spans="2:51" s="8" customFormat="1" ht="15" customHeight="1" outlineLevel="1">
      <c r="B21" s="58" t="s">
        <v>151</v>
      </c>
      <c r="C21" s="59" t="s">
        <v>1</v>
      </c>
      <c r="D21" s="59" t="s">
        <v>5</v>
      </c>
      <c r="E21" s="58" t="s">
        <v>233</v>
      </c>
      <c r="G21" s="57"/>
      <c r="H21" s="57"/>
      <c r="I21" s="57"/>
      <c r="J21" s="112"/>
      <c r="K21" s="110"/>
      <c r="L21" s="108"/>
      <c r="M21" s="108"/>
      <c r="N21" s="108"/>
      <c r="O21" s="112"/>
      <c r="P21" s="70"/>
      <c r="Q21" s="57"/>
      <c r="R21" s="57"/>
      <c r="S21" s="57"/>
      <c r="T21" s="112"/>
      <c r="U21" s="70"/>
      <c r="V21" s="56"/>
      <c r="W21" s="56"/>
      <c r="X21" s="56"/>
      <c r="Y21" s="120"/>
      <c r="Z21" s="74"/>
      <c r="AA21" s="72"/>
      <c r="AB21" s="77"/>
      <c r="AC21" s="74"/>
      <c r="AD21" s="56"/>
      <c r="AE21" s="125"/>
      <c r="AF21" s="74"/>
      <c r="AG21" s="56"/>
      <c r="AH21" s="56"/>
      <c r="AI21" s="77"/>
      <c r="AJ21" s="120"/>
      <c r="AK21" s="74"/>
      <c r="AL21" s="56"/>
      <c r="AM21" s="56"/>
      <c r="AN21" s="120"/>
      <c r="AO21" s="74"/>
      <c r="AP21" s="56"/>
      <c r="AQ21" s="56"/>
      <c r="AR21" s="56"/>
      <c r="AS21" s="120"/>
      <c r="AT21" s="74"/>
      <c r="AU21" s="56"/>
      <c r="AV21" s="56"/>
      <c r="AW21" s="56"/>
      <c r="AX21" s="56"/>
      <c r="AY21" s="120"/>
    </row>
    <row r="22" spans="2:51" s="8" customFormat="1" ht="15" customHeight="1" outlineLevel="1">
      <c r="B22" s="60" t="s">
        <v>152</v>
      </c>
      <c r="C22" s="59" t="s">
        <v>1</v>
      </c>
      <c r="D22" s="61" t="s">
        <v>25</v>
      </c>
      <c r="E22" s="58" t="s">
        <v>233</v>
      </c>
      <c r="G22" s="57"/>
      <c r="H22" s="57"/>
      <c r="I22" s="57"/>
      <c r="J22" s="115"/>
      <c r="K22" s="110"/>
      <c r="L22" s="57"/>
      <c r="M22" s="57"/>
      <c r="N22" s="57"/>
      <c r="O22" s="112"/>
      <c r="P22" s="70"/>
      <c r="Q22" s="57"/>
      <c r="R22" s="57"/>
      <c r="S22" s="57"/>
      <c r="T22" s="112"/>
      <c r="U22" s="70"/>
      <c r="V22" s="56"/>
      <c r="W22" s="56"/>
      <c r="X22" s="56"/>
      <c r="Y22" s="120"/>
      <c r="Z22" s="74"/>
      <c r="AA22" s="72"/>
      <c r="AB22" s="77"/>
      <c r="AC22" s="74"/>
      <c r="AD22" s="56"/>
      <c r="AE22" s="125"/>
      <c r="AF22" s="74"/>
      <c r="AG22" s="56"/>
      <c r="AH22" s="56"/>
      <c r="AI22" s="77"/>
      <c r="AJ22" s="120"/>
      <c r="AK22" s="74"/>
      <c r="AL22" s="56"/>
      <c r="AM22" s="56"/>
      <c r="AN22" s="120"/>
      <c r="AO22" s="74"/>
      <c r="AP22" s="56"/>
      <c r="AQ22" s="56"/>
      <c r="AR22" s="56"/>
      <c r="AS22" s="120"/>
      <c r="AT22" s="74"/>
      <c r="AU22" s="56"/>
      <c r="AV22" s="56"/>
      <c r="AW22" s="56"/>
      <c r="AX22" s="56"/>
      <c r="AY22" s="120"/>
    </row>
    <row r="23" spans="2:51" s="8" customFormat="1" ht="15" customHeight="1" outlineLevel="1">
      <c r="B23" s="58" t="str">
        <f>_xlfn.CONCAT(B19,RIGHT(B22,1)+1)</f>
        <v>1.4</v>
      </c>
      <c r="C23" s="59" t="s">
        <v>1</v>
      </c>
      <c r="D23" s="61" t="s">
        <v>26</v>
      </c>
      <c r="E23" s="58" t="s">
        <v>233</v>
      </c>
      <c r="G23" s="57"/>
      <c r="H23" s="57"/>
      <c r="I23" s="57"/>
      <c r="J23" s="115"/>
      <c r="K23" s="110"/>
      <c r="L23" s="57"/>
      <c r="M23" s="57"/>
      <c r="N23" s="57"/>
      <c r="O23" s="112"/>
      <c r="P23" s="70"/>
      <c r="Q23" s="57"/>
      <c r="R23" s="57"/>
      <c r="S23" s="57"/>
      <c r="T23" s="112"/>
      <c r="U23" s="70"/>
      <c r="V23" s="56"/>
      <c r="W23" s="56"/>
      <c r="X23" s="56"/>
      <c r="Y23" s="120"/>
      <c r="Z23" s="74"/>
      <c r="AA23" s="72"/>
      <c r="AB23" s="77"/>
      <c r="AC23" s="74"/>
      <c r="AD23" s="56"/>
      <c r="AE23" s="125"/>
      <c r="AF23" s="74"/>
      <c r="AG23" s="56"/>
      <c r="AH23" s="56"/>
      <c r="AI23" s="77"/>
      <c r="AJ23" s="120"/>
      <c r="AK23" s="74"/>
      <c r="AL23" s="56"/>
      <c r="AM23" s="56"/>
      <c r="AN23" s="120"/>
      <c r="AO23" s="74"/>
      <c r="AP23" s="56"/>
      <c r="AQ23" s="56"/>
      <c r="AR23" s="56"/>
      <c r="AS23" s="120"/>
      <c r="AT23" s="74"/>
      <c r="AU23" s="56"/>
      <c r="AV23" s="56"/>
      <c r="AW23" s="56"/>
      <c r="AX23" s="56"/>
      <c r="AY23" s="120"/>
    </row>
    <row r="24" spans="2:51" s="8" customFormat="1" ht="15" customHeight="1" outlineLevel="1">
      <c r="B24" s="62" t="s">
        <v>153</v>
      </c>
      <c r="C24" s="59" t="s">
        <v>1</v>
      </c>
      <c r="D24" s="61" t="s">
        <v>27</v>
      </c>
      <c r="E24" s="58" t="s">
        <v>233</v>
      </c>
      <c r="G24" s="57"/>
      <c r="H24" s="57"/>
      <c r="I24" s="57"/>
      <c r="J24" s="115"/>
      <c r="K24" s="110"/>
      <c r="L24" s="57"/>
      <c r="M24" s="57"/>
      <c r="N24" s="57"/>
      <c r="O24" s="112"/>
      <c r="P24" s="70"/>
      <c r="Q24" s="57"/>
      <c r="R24" s="57"/>
      <c r="S24" s="57"/>
      <c r="T24" s="112"/>
      <c r="U24" s="70"/>
      <c r="V24" s="56"/>
      <c r="W24" s="56"/>
      <c r="X24" s="56"/>
      <c r="Y24" s="120"/>
      <c r="Z24" s="74"/>
      <c r="AA24" s="72"/>
      <c r="AB24" s="77"/>
      <c r="AC24" s="74"/>
      <c r="AD24" s="56"/>
      <c r="AE24" s="125"/>
      <c r="AF24" s="74"/>
      <c r="AG24" s="56"/>
      <c r="AH24" s="56"/>
      <c r="AI24" s="77"/>
      <c r="AJ24" s="120"/>
      <c r="AK24" s="74"/>
      <c r="AL24" s="56"/>
      <c r="AM24" s="56"/>
      <c r="AN24" s="120"/>
      <c r="AO24" s="74"/>
      <c r="AP24" s="56"/>
      <c r="AQ24" s="56"/>
      <c r="AR24" s="56"/>
      <c r="AS24" s="120"/>
      <c r="AT24" s="74"/>
      <c r="AU24" s="56"/>
      <c r="AV24" s="56"/>
      <c r="AW24" s="56"/>
      <c r="AX24" s="56"/>
      <c r="AY24" s="120"/>
    </row>
    <row r="25" spans="2:51" s="8" customFormat="1" ht="15" customHeight="1" outlineLevel="1">
      <c r="B25" s="58" t="s">
        <v>154</v>
      </c>
      <c r="C25" s="59" t="s">
        <v>1</v>
      </c>
      <c r="D25" s="61" t="s">
        <v>28</v>
      </c>
      <c r="E25" s="58" t="s">
        <v>233</v>
      </c>
      <c r="G25" s="57"/>
      <c r="H25" s="57"/>
      <c r="I25" s="57"/>
      <c r="J25" s="115"/>
      <c r="K25" s="110"/>
      <c r="L25" s="57"/>
      <c r="M25" s="57"/>
      <c r="N25" s="57"/>
      <c r="O25" s="112"/>
      <c r="P25" s="70"/>
      <c r="Q25" s="57"/>
      <c r="R25" s="57"/>
      <c r="S25" s="57"/>
      <c r="T25" s="112"/>
      <c r="U25" s="70"/>
      <c r="V25" s="56"/>
      <c r="W25" s="56"/>
      <c r="X25" s="56"/>
      <c r="Y25" s="120"/>
      <c r="Z25" s="74"/>
      <c r="AA25" s="72"/>
      <c r="AB25" s="77"/>
      <c r="AC25" s="74"/>
      <c r="AD25" s="56"/>
      <c r="AE25" s="125"/>
      <c r="AF25" s="74"/>
      <c r="AG25" s="56"/>
      <c r="AH25" s="56"/>
      <c r="AI25" s="77"/>
      <c r="AJ25" s="120"/>
      <c r="AK25" s="74"/>
      <c r="AL25" s="56"/>
      <c r="AM25" s="56"/>
      <c r="AN25" s="120"/>
      <c r="AO25" s="74"/>
      <c r="AP25" s="56"/>
      <c r="AQ25" s="56"/>
      <c r="AR25" s="56"/>
      <c r="AS25" s="120"/>
      <c r="AT25" s="74"/>
      <c r="AU25" s="56"/>
      <c r="AV25" s="56"/>
      <c r="AW25" s="56"/>
      <c r="AX25" s="56"/>
      <c r="AY25" s="120"/>
    </row>
    <row r="26" spans="2:51" s="8" customFormat="1" ht="15" customHeight="1" outlineLevel="1">
      <c r="B26" s="62" t="s">
        <v>155</v>
      </c>
      <c r="C26" s="59" t="s">
        <v>1</v>
      </c>
      <c r="D26" s="61" t="s">
        <v>29</v>
      </c>
      <c r="E26" s="58" t="s">
        <v>233</v>
      </c>
      <c r="G26" s="57"/>
      <c r="H26" s="57"/>
      <c r="I26" s="57"/>
      <c r="J26" s="115"/>
      <c r="K26" s="110"/>
      <c r="L26" s="57"/>
      <c r="M26" s="57"/>
      <c r="N26" s="57"/>
      <c r="O26" s="112"/>
      <c r="P26" s="70"/>
      <c r="Q26" s="57"/>
      <c r="R26" s="57"/>
      <c r="S26" s="57"/>
      <c r="T26" s="112"/>
      <c r="U26" s="70"/>
      <c r="V26" s="56"/>
      <c r="W26" s="56"/>
      <c r="X26" s="56"/>
      <c r="Y26" s="120"/>
      <c r="Z26" s="74"/>
      <c r="AA26" s="72"/>
      <c r="AB26" s="77"/>
      <c r="AC26" s="74"/>
      <c r="AD26" s="56"/>
      <c r="AE26" s="125"/>
      <c r="AF26" s="74"/>
      <c r="AG26" s="56"/>
      <c r="AH26" s="56"/>
      <c r="AI26" s="77"/>
      <c r="AJ26" s="120"/>
      <c r="AK26" s="74"/>
      <c r="AL26" s="56"/>
      <c r="AM26" s="56"/>
      <c r="AN26" s="120"/>
      <c r="AO26" s="74"/>
      <c r="AP26" s="56"/>
      <c r="AQ26" s="56"/>
      <c r="AR26" s="56"/>
      <c r="AS26" s="120"/>
      <c r="AT26" s="74"/>
      <c r="AU26" s="56"/>
      <c r="AV26" s="56"/>
      <c r="AW26" s="56"/>
      <c r="AX26" s="56"/>
      <c r="AY26" s="120"/>
    </row>
    <row r="27" spans="2:51" s="8" customFormat="1" ht="15" customHeight="1" outlineLevel="1">
      <c r="B27" s="58" t="s">
        <v>156</v>
      </c>
      <c r="C27" s="59" t="s">
        <v>1</v>
      </c>
      <c r="D27" s="61" t="s">
        <v>30</v>
      </c>
      <c r="E27" s="58" t="s">
        <v>233</v>
      </c>
      <c r="G27" s="57"/>
      <c r="H27" s="57"/>
      <c r="I27" s="57"/>
      <c r="J27" s="115"/>
      <c r="K27" s="111"/>
      <c r="L27" s="57"/>
      <c r="M27" s="57"/>
      <c r="N27" s="57"/>
      <c r="O27" s="112"/>
      <c r="P27" s="70"/>
      <c r="Q27" s="57"/>
      <c r="R27" s="57"/>
      <c r="S27" s="57"/>
      <c r="T27" s="112"/>
      <c r="U27" s="70"/>
      <c r="V27" s="56"/>
      <c r="W27" s="56"/>
      <c r="X27" s="56"/>
      <c r="Y27" s="120"/>
      <c r="Z27" s="74"/>
      <c r="AA27" s="72"/>
      <c r="AB27" s="77"/>
      <c r="AC27" s="74"/>
      <c r="AD27" s="56"/>
      <c r="AE27" s="125"/>
      <c r="AF27" s="74"/>
      <c r="AG27" s="56"/>
      <c r="AH27" s="56"/>
      <c r="AI27" s="77"/>
      <c r="AJ27" s="120"/>
      <c r="AK27" s="74"/>
      <c r="AL27" s="56"/>
      <c r="AM27" s="56"/>
      <c r="AN27" s="120"/>
      <c r="AO27" s="74"/>
      <c r="AP27" s="56"/>
      <c r="AQ27" s="56"/>
      <c r="AR27" s="56"/>
      <c r="AS27" s="120"/>
      <c r="AT27" s="74"/>
      <c r="AU27" s="56"/>
      <c r="AV27" s="56"/>
      <c r="AW27" s="56"/>
      <c r="AX27" s="56"/>
      <c r="AY27" s="120"/>
    </row>
    <row r="28" spans="2:51" s="8" customFormat="1" ht="15" customHeight="1" outlineLevel="1">
      <c r="B28" s="62" t="s">
        <v>157</v>
      </c>
      <c r="C28" s="59" t="s">
        <v>1</v>
      </c>
      <c r="D28" s="61" t="s">
        <v>31</v>
      </c>
      <c r="E28" s="58" t="s">
        <v>233</v>
      </c>
      <c r="G28" s="57"/>
      <c r="H28" s="57"/>
      <c r="I28" s="57"/>
      <c r="J28" s="112"/>
      <c r="K28" s="111"/>
      <c r="L28" s="57"/>
      <c r="M28" s="57"/>
      <c r="N28" s="57"/>
      <c r="O28" s="112"/>
      <c r="P28" s="70"/>
      <c r="Q28" s="57"/>
      <c r="R28" s="57"/>
      <c r="S28" s="57"/>
      <c r="T28" s="112"/>
      <c r="U28" s="70"/>
      <c r="V28" s="56"/>
      <c r="W28" s="56"/>
      <c r="X28" s="56"/>
      <c r="Y28" s="120"/>
      <c r="Z28" s="74"/>
      <c r="AA28" s="72"/>
      <c r="AB28" s="77"/>
      <c r="AC28" s="74"/>
      <c r="AD28" s="56"/>
      <c r="AE28" s="125"/>
      <c r="AF28" s="74"/>
      <c r="AG28" s="56"/>
      <c r="AH28" s="56"/>
      <c r="AI28" s="77"/>
      <c r="AJ28" s="120"/>
      <c r="AK28" s="74"/>
      <c r="AL28" s="56"/>
      <c r="AM28" s="56"/>
      <c r="AN28" s="120"/>
      <c r="AO28" s="74"/>
      <c r="AP28" s="56"/>
      <c r="AQ28" s="56"/>
      <c r="AR28" s="56"/>
      <c r="AS28" s="120"/>
      <c r="AT28" s="74"/>
      <c r="AU28" s="56"/>
      <c r="AV28" s="56"/>
      <c r="AW28" s="56"/>
      <c r="AX28" s="56"/>
      <c r="AY28" s="120"/>
    </row>
    <row r="29" spans="2:51" s="8" customFormat="1" ht="15" customHeight="1" outlineLevel="1">
      <c r="B29" s="63" t="s">
        <v>158</v>
      </c>
      <c r="C29" s="59" t="s">
        <v>1</v>
      </c>
      <c r="D29" s="61" t="s">
        <v>32</v>
      </c>
      <c r="E29" s="58" t="s">
        <v>233</v>
      </c>
      <c r="G29" s="57"/>
      <c r="H29" s="57"/>
      <c r="I29" s="57"/>
      <c r="J29" s="112"/>
      <c r="K29" s="111"/>
      <c r="L29" s="57"/>
      <c r="M29" s="57"/>
      <c r="N29" s="57"/>
      <c r="O29" s="112"/>
      <c r="P29" s="70"/>
      <c r="Q29" s="57"/>
      <c r="R29" s="57"/>
      <c r="S29" s="57"/>
      <c r="T29" s="112"/>
      <c r="U29" s="70"/>
      <c r="V29" s="56"/>
      <c r="W29" s="56"/>
      <c r="X29" s="56"/>
      <c r="Y29" s="120"/>
      <c r="Z29" s="74"/>
      <c r="AA29" s="72"/>
      <c r="AB29" s="77"/>
      <c r="AC29" s="74"/>
      <c r="AD29" s="56"/>
      <c r="AE29" s="125"/>
      <c r="AF29" s="74"/>
      <c r="AG29" s="56"/>
      <c r="AH29" s="56"/>
      <c r="AI29" s="77"/>
      <c r="AJ29" s="120"/>
      <c r="AK29" s="74"/>
      <c r="AL29" s="56"/>
      <c r="AM29" s="56"/>
      <c r="AN29" s="120"/>
      <c r="AO29" s="74"/>
      <c r="AP29" s="56"/>
      <c r="AQ29" s="56"/>
      <c r="AR29" s="56"/>
      <c r="AS29" s="120"/>
      <c r="AT29" s="74"/>
      <c r="AU29" s="56"/>
      <c r="AV29" s="56"/>
      <c r="AW29" s="56"/>
      <c r="AX29" s="56"/>
      <c r="AY29" s="120"/>
    </row>
    <row r="30" spans="2:51" s="8" customFormat="1" ht="15" customHeight="1" outlineLevel="1">
      <c r="B30" s="58" t="s">
        <v>159</v>
      </c>
      <c r="C30" s="59" t="s">
        <v>1</v>
      </c>
      <c r="D30" s="61" t="s">
        <v>38</v>
      </c>
      <c r="E30" s="58" t="s">
        <v>233</v>
      </c>
      <c r="G30" s="57"/>
      <c r="H30" s="57"/>
      <c r="I30" s="57"/>
      <c r="J30" s="112"/>
      <c r="K30" s="111"/>
      <c r="L30" s="57"/>
      <c r="M30" s="57"/>
      <c r="N30" s="57"/>
      <c r="O30" s="112"/>
      <c r="P30" s="70"/>
      <c r="Q30" s="57"/>
      <c r="R30" s="57"/>
      <c r="S30" s="57"/>
      <c r="T30" s="112"/>
      <c r="U30" s="70"/>
      <c r="V30" s="56"/>
      <c r="W30" s="56"/>
      <c r="X30" s="56"/>
      <c r="Y30" s="120"/>
      <c r="Z30" s="74"/>
      <c r="AA30" s="72"/>
      <c r="AB30" s="77"/>
      <c r="AC30" s="74"/>
      <c r="AD30" s="56"/>
      <c r="AE30" s="125"/>
      <c r="AF30" s="74"/>
      <c r="AG30" s="56"/>
      <c r="AH30" s="56"/>
      <c r="AI30" s="77"/>
      <c r="AJ30" s="120"/>
      <c r="AK30" s="74"/>
      <c r="AL30" s="56"/>
      <c r="AM30" s="56"/>
      <c r="AN30" s="120"/>
      <c r="AO30" s="74"/>
      <c r="AP30" s="56"/>
      <c r="AQ30" s="56"/>
      <c r="AR30" s="56"/>
      <c r="AS30" s="120"/>
      <c r="AT30" s="74"/>
      <c r="AU30" s="56"/>
      <c r="AV30" s="56"/>
      <c r="AW30" s="56"/>
      <c r="AX30" s="56"/>
      <c r="AY30" s="120"/>
    </row>
    <row r="31" spans="2:51" s="8" customFormat="1" ht="15" customHeight="1" outlineLevel="1">
      <c r="B31" s="58" t="s">
        <v>160</v>
      </c>
      <c r="C31" s="59" t="s">
        <v>1</v>
      </c>
      <c r="D31" s="59" t="s">
        <v>53</v>
      </c>
      <c r="E31" s="58" t="s">
        <v>233</v>
      </c>
      <c r="G31" s="57"/>
      <c r="H31" s="57"/>
      <c r="I31" s="57"/>
      <c r="J31" s="112"/>
      <c r="K31" s="110"/>
      <c r="L31" s="57"/>
      <c r="M31" s="108"/>
      <c r="N31" s="57"/>
      <c r="O31" s="112"/>
      <c r="P31" s="70"/>
      <c r="Q31" s="57"/>
      <c r="R31" s="57"/>
      <c r="S31" s="57"/>
      <c r="T31" s="112"/>
      <c r="U31" s="70"/>
      <c r="V31" s="56"/>
      <c r="W31" s="56"/>
      <c r="X31" s="56"/>
      <c r="Y31" s="120"/>
      <c r="Z31" s="74"/>
      <c r="AA31" s="72"/>
      <c r="AB31" s="77"/>
      <c r="AC31" s="74"/>
      <c r="AD31" s="56"/>
      <c r="AE31" s="125"/>
      <c r="AF31" s="74"/>
      <c r="AG31" s="56"/>
      <c r="AH31" s="56"/>
      <c r="AI31" s="77"/>
      <c r="AJ31" s="120"/>
      <c r="AK31" s="74"/>
      <c r="AL31" s="56"/>
      <c r="AM31" s="56"/>
      <c r="AN31" s="120"/>
      <c r="AO31" s="74"/>
      <c r="AP31" s="56"/>
      <c r="AQ31" s="56"/>
      <c r="AR31" s="56"/>
      <c r="AS31" s="120"/>
      <c r="AT31" s="74"/>
      <c r="AU31" s="56"/>
      <c r="AV31" s="56"/>
      <c r="AW31" s="56"/>
      <c r="AX31" s="56"/>
      <c r="AY31" s="120"/>
    </row>
    <row r="32" spans="2:51" s="8" customFormat="1" ht="15" customHeight="1" outlineLevel="1">
      <c r="B32" s="58" t="s">
        <v>161</v>
      </c>
      <c r="C32" s="59" t="s">
        <v>1</v>
      </c>
      <c r="D32" s="59" t="s">
        <v>54</v>
      </c>
      <c r="E32" s="58" t="s">
        <v>233</v>
      </c>
      <c r="G32" s="57"/>
      <c r="H32" s="57"/>
      <c r="I32" s="57"/>
      <c r="J32" s="112"/>
      <c r="K32" s="111"/>
      <c r="L32" s="57"/>
      <c r="M32" s="57"/>
      <c r="N32" s="57"/>
      <c r="O32" s="112"/>
      <c r="P32" s="70"/>
      <c r="Q32" s="57"/>
      <c r="R32" s="57"/>
      <c r="S32" s="57"/>
      <c r="T32" s="112"/>
      <c r="U32" s="70"/>
      <c r="V32" s="56"/>
      <c r="W32" s="56"/>
      <c r="X32" s="56"/>
      <c r="Y32" s="120"/>
      <c r="Z32" s="74"/>
      <c r="AA32" s="72"/>
      <c r="AB32" s="77"/>
      <c r="AC32" s="74"/>
      <c r="AD32" s="56"/>
      <c r="AE32" s="125"/>
      <c r="AF32" s="74"/>
      <c r="AG32" s="56"/>
      <c r="AH32" s="56"/>
      <c r="AI32" s="77"/>
      <c r="AJ32" s="120"/>
      <c r="AK32" s="74"/>
      <c r="AL32" s="56"/>
      <c r="AM32" s="56"/>
      <c r="AN32" s="120"/>
      <c r="AO32" s="74"/>
      <c r="AP32" s="56"/>
      <c r="AQ32" s="56"/>
      <c r="AR32" s="56"/>
      <c r="AS32" s="120"/>
      <c r="AT32" s="74"/>
      <c r="AU32" s="56"/>
      <c r="AV32" s="56"/>
      <c r="AW32" s="56"/>
      <c r="AX32" s="56"/>
      <c r="AY32" s="120"/>
    </row>
    <row r="33" spans="2:51" s="8" customFormat="1" ht="15" customHeight="1">
      <c r="B33" s="55" t="s">
        <v>165</v>
      </c>
      <c r="C33" s="288" t="s">
        <v>166</v>
      </c>
      <c r="D33" s="288"/>
      <c r="E33" s="53"/>
      <c r="G33" s="162" t="s">
        <v>280</v>
      </c>
      <c r="H33" s="54"/>
      <c r="I33" s="54"/>
      <c r="J33" s="117"/>
      <c r="K33" s="54"/>
      <c r="L33" s="54"/>
      <c r="M33" s="54"/>
      <c r="N33" s="107"/>
      <c r="O33" s="114"/>
      <c r="P33" s="107"/>
      <c r="Q33" s="107"/>
      <c r="R33" s="53"/>
      <c r="S33" s="53"/>
      <c r="T33" s="121"/>
      <c r="U33" s="54"/>
      <c r="V33" s="53"/>
      <c r="W33" s="53"/>
      <c r="X33" s="53"/>
      <c r="Y33" s="121"/>
      <c r="Z33" s="53"/>
      <c r="AA33" s="53"/>
      <c r="AB33" s="77"/>
      <c r="AC33" s="53"/>
      <c r="AD33" s="53"/>
      <c r="AE33" s="125"/>
      <c r="AF33" s="53"/>
      <c r="AG33" s="53"/>
      <c r="AH33" s="109"/>
      <c r="AI33" s="77"/>
      <c r="AJ33" s="130"/>
      <c r="AK33" s="109"/>
      <c r="AL33" s="109"/>
      <c r="AM33" s="109"/>
      <c r="AN33" s="123"/>
      <c r="AO33" s="53"/>
      <c r="AP33" s="53"/>
      <c r="AQ33" s="53"/>
      <c r="AR33" s="53"/>
      <c r="AS33" s="121"/>
      <c r="AT33" s="53"/>
      <c r="AU33" s="53"/>
      <c r="AV33" s="53"/>
      <c r="AW33" s="53"/>
      <c r="AX33" s="53"/>
      <c r="AY33" s="121"/>
    </row>
    <row r="34" spans="2:51" s="8" customFormat="1" ht="15" customHeight="1" outlineLevel="1">
      <c r="B34" s="58" t="s">
        <v>170</v>
      </c>
      <c r="C34" s="59" t="s">
        <v>1</v>
      </c>
      <c r="D34" s="59" t="s">
        <v>6</v>
      </c>
      <c r="E34" s="58" t="s">
        <v>233</v>
      </c>
      <c r="G34" s="83"/>
      <c r="H34" s="57"/>
      <c r="I34" s="57"/>
      <c r="J34" s="112"/>
      <c r="K34" s="110"/>
      <c r="L34" s="57"/>
      <c r="M34" s="57"/>
      <c r="N34" s="108"/>
      <c r="O34" s="112"/>
      <c r="P34" s="70"/>
      <c r="Q34" s="57"/>
      <c r="R34" s="57"/>
      <c r="S34" s="57"/>
      <c r="T34" s="112"/>
      <c r="U34" s="70"/>
      <c r="V34" s="56"/>
      <c r="W34" s="56"/>
      <c r="X34" s="56"/>
      <c r="Y34" s="120"/>
      <c r="Z34" s="74"/>
      <c r="AA34" s="72"/>
      <c r="AB34" s="77"/>
      <c r="AC34" s="74"/>
      <c r="AD34" s="56"/>
      <c r="AE34" s="125"/>
      <c r="AF34" s="74"/>
      <c r="AG34" s="56"/>
      <c r="AH34" s="56"/>
      <c r="AI34" s="77"/>
      <c r="AJ34" s="120"/>
      <c r="AK34" s="74"/>
      <c r="AL34" s="56"/>
      <c r="AM34" s="56"/>
      <c r="AN34" s="120"/>
      <c r="AO34" s="74"/>
      <c r="AP34" s="56"/>
      <c r="AQ34" s="56"/>
      <c r="AR34" s="56"/>
      <c r="AS34" s="120"/>
      <c r="AT34" s="74"/>
      <c r="AU34" s="56"/>
      <c r="AV34" s="56"/>
      <c r="AW34" s="56"/>
      <c r="AX34" s="56"/>
      <c r="AY34" s="120"/>
    </row>
    <row r="35" spans="2:51" s="8" customFormat="1" ht="15" customHeight="1" outlineLevel="1">
      <c r="B35" s="58" t="s">
        <v>171</v>
      </c>
      <c r="C35" s="59" t="s">
        <v>1</v>
      </c>
      <c r="D35" s="59" t="s">
        <v>7</v>
      </c>
      <c r="E35" s="58" t="s">
        <v>233</v>
      </c>
      <c r="G35" s="57"/>
      <c r="H35" s="57"/>
      <c r="I35" s="57"/>
      <c r="J35" s="112"/>
      <c r="K35" s="110"/>
      <c r="L35" s="57"/>
      <c r="M35" s="57"/>
      <c r="N35" s="108"/>
      <c r="O35" s="115"/>
      <c r="P35" s="70"/>
      <c r="Q35" s="57"/>
      <c r="R35" s="57"/>
      <c r="S35" s="57"/>
      <c r="T35" s="112"/>
      <c r="U35" s="70"/>
      <c r="V35" s="56"/>
      <c r="W35" s="56"/>
      <c r="X35" s="56"/>
      <c r="Y35" s="120"/>
      <c r="Z35" s="74"/>
      <c r="AA35" s="72"/>
      <c r="AB35" s="77"/>
      <c r="AC35" s="74"/>
      <c r="AD35" s="56"/>
      <c r="AE35" s="125"/>
      <c r="AF35" s="74"/>
      <c r="AG35" s="56"/>
      <c r="AH35" s="56"/>
      <c r="AI35" s="77"/>
      <c r="AJ35" s="120"/>
      <c r="AK35" s="74"/>
      <c r="AL35" s="56"/>
      <c r="AM35" s="56"/>
      <c r="AN35" s="120"/>
      <c r="AO35" s="74"/>
      <c r="AP35" s="56"/>
      <c r="AQ35" s="56"/>
      <c r="AR35" s="56"/>
      <c r="AS35" s="120"/>
      <c r="AT35" s="74"/>
      <c r="AU35" s="56"/>
      <c r="AV35" s="56"/>
      <c r="AW35" s="56"/>
      <c r="AX35" s="56"/>
      <c r="AY35" s="120"/>
    </row>
    <row r="36" spans="2:51" s="8" customFormat="1" ht="15" customHeight="1" outlineLevel="1">
      <c r="B36" s="60" t="s">
        <v>172</v>
      </c>
      <c r="C36" s="59" t="s">
        <v>1</v>
      </c>
      <c r="D36" s="59" t="s">
        <v>12</v>
      </c>
      <c r="E36" s="58" t="s">
        <v>233</v>
      </c>
      <c r="G36" s="57"/>
      <c r="H36" s="57"/>
      <c r="I36" s="57"/>
      <c r="J36" s="112"/>
      <c r="K36" s="110"/>
      <c r="L36" s="57"/>
      <c r="M36" s="57"/>
      <c r="N36" s="57"/>
      <c r="O36" s="115"/>
      <c r="P36" s="111"/>
      <c r="Q36" s="57"/>
      <c r="R36" s="57"/>
      <c r="S36" s="57"/>
      <c r="T36" s="112"/>
      <c r="U36" s="70"/>
      <c r="V36" s="56"/>
      <c r="W36" s="56"/>
      <c r="X36" s="56"/>
      <c r="Y36" s="120"/>
      <c r="Z36" s="74"/>
      <c r="AA36" s="72"/>
      <c r="AB36" s="77"/>
      <c r="AC36" s="74"/>
      <c r="AD36" s="56"/>
      <c r="AE36" s="125"/>
      <c r="AF36" s="74"/>
      <c r="AG36" s="56"/>
      <c r="AH36" s="56"/>
      <c r="AI36" s="77"/>
      <c r="AJ36" s="120"/>
      <c r="AK36" s="74"/>
      <c r="AL36" s="56"/>
      <c r="AM36" s="56"/>
      <c r="AN36" s="120"/>
      <c r="AO36" s="74"/>
      <c r="AP36" s="56"/>
      <c r="AQ36" s="56"/>
      <c r="AR36" s="56"/>
      <c r="AS36" s="120"/>
      <c r="AT36" s="74"/>
      <c r="AU36" s="56"/>
      <c r="AV36" s="56"/>
      <c r="AW36" s="56"/>
      <c r="AX36" s="56"/>
      <c r="AY36" s="120"/>
    </row>
    <row r="37" spans="2:51" s="8" customFormat="1" ht="15" customHeight="1" outlineLevel="1">
      <c r="B37" s="58" t="s">
        <v>173</v>
      </c>
      <c r="C37" s="59" t="s">
        <v>1</v>
      </c>
      <c r="D37" s="59" t="s">
        <v>18</v>
      </c>
      <c r="E37" s="58" t="s">
        <v>233</v>
      </c>
      <c r="G37" s="57"/>
      <c r="H37" s="57"/>
      <c r="I37" s="57"/>
      <c r="J37" s="112"/>
      <c r="K37" s="110"/>
      <c r="L37" s="57"/>
      <c r="M37" s="57"/>
      <c r="N37" s="57"/>
      <c r="O37" s="112"/>
      <c r="P37" s="111"/>
      <c r="Q37" s="57"/>
      <c r="R37" s="57"/>
      <c r="S37" s="57"/>
      <c r="T37" s="112"/>
      <c r="U37" s="70"/>
      <c r="V37" s="56"/>
      <c r="W37" s="56"/>
      <c r="X37" s="56"/>
      <c r="Y37" s="120"/>
      <c r="Z37" s="74"/>
      <c r="AA37" s="72"/>
      <c r="AB37" s="77"/>
      <c r="AC37" s="74"/>
      <c r="AD37" s="56"/>
      <c r="AE37" s="125"/>
      <c r="AF37" s="74"/>
      <c r="AG37" s="56"/>
      <c r="AH37" s="56"/>
      <c r="AI37" s="77"/>
      <c r="AJ37" s="120"/>
      <c r="AK37" s="74"/>
      <c r="AL37" s="56"/>
      <c r="AM37" s="56"/>
      <c r="AN37" s="120"/>
      <c r="AO37" s="74"/>
      <c r="AP37" s="56"/>
      <c r="AQ37" s="56"/>
      <c r="AR37" s="56"/>
      <c r="AS37" s="120"/>
      <c r="AT37" s="74"/>
      <c r="AU37" s="56"/>
      <c r="AV37" s="56"/>
      <c r="AW37" s="56"/>
      <c r="AX37" s="56"/>
      <c r="AY37" s="120"/>
    </row>
    <row r="38" spans="2:51" s="8" customFormat="1" ht="15" customHeight="1" outlineLevel="1">
      <c r="B38" s="62" t="s">
        <v>174</v>
      </c>
      <c r="C38" s="59" t="s">
        <v>1</v>
      </c>
      <c r="D38" s="59" t="s">
        <v>20</v>
      </c>
      <c r="E38" s="58" t="s">
        <v>233</v>
      </c>
      <c r="G38" s="57"/>
      <c r="H38" s="57"/>
      <c r="I38" s="57"/>
      <c r="J38" s="112"/>
      <c r="K38" s="110"/>
      <c r="L38" s="57"/>
      <c r="M38" s="57"/>
      <c r="N38" s="57"/>
      <c r="O38" s="112"/>
      <c r="P38" s="111"/>
      <c r="Q38" s="108"/>
      <c r="R38" s="57"/>
      <c r="S38" s="57"/>
      <c r="T38" s="112"/>
      <c r="U38" s="70"/>
      <c r="V38" s="56"/>
      <c r="W38" s="56"/>
      <c r="X38" s="56"/>
      <c r="Y38" s="120"/>
      <c r="Z38" s="74"/>
      <c r="AA38" s="72"/>
      <c r="AB38" s="77"/>
      <c r="AC38" s="74"/>
      <c r="AD38" s="56"/>
      <c r="AE38" s="125"/>
      <c r="AF38" s="74"/>
      <c r="AG38" s="56"/>
      <c r="AH38" s="56"/>
      <c r="AI38" s="77"/>
      <c r="AJ38" s="120"/>
      <c r="AK38" s="74"/>
      <c r="AL38" s="56"/>
      <c r="AM38" s="56"/>
      <c r="AN38" s="120"/>
      <c r="AO38" s="74"/>
      <c r="AP38" s="56"/>
      <c r="AQ38" s="56"/>
      <c r="AR38" s="56"/>
      <c r="AS38" s="120"/>
      <c r="AT38" s="74"/>
      <c r="AU38" s="56"/>
      <c r="AV38" s="56"/>
      <c r="AW38" s="56"/>
      <c r="AX38" s="56"/>
      <c r="AY38" s="120"/>
    </row>
    <row r="39" spans="2:51" s="8" customFormat="1" ht="15" customHeight="1" outlineLevel="1">
      <c r="B39" s="58" t="s">
        <v>175</v>
      </c>
      <c r="C39" s="59" t="s">
        <v>1</v>
      </c>
      <c r="D39" s="59" t="s">
        <v>21</v>
      </c>
      <c r="E39" s="58" t="s">
        <v>233</v>
      </c>
      <c r="G39" s="57"/>
      <c r="H39" s="57"/>
      <c r="I39" s="57"/>
      <c r="J39" s="112"/>
      <c r="K39" s="110"/>
      <c r="L39" s="57"/>
      <c r="M39" s="57"/>
      <c r="N39" s="57"/>
      <c r="O39" s="112"/>
      <c r="P39" s="70"/>
      <c r="Q39" s="108"/>
      <c r="R39" s="57"/>
      <c r="S39" s="57"/>
      <c r="T39" s="112"/>
      <c r="U39" s="70"/>
      <c r="V39" s="56"/>
      <c r="W39" s="56"/>
      <c r="X39" s="56"/>
      <c r="Y39" s="120"/>
      <c r="Z39" s="74"/>
      <c r="AA39" s="72"/>
      <c r="AB39" s="77"/>
      <c r="AC39" s="74"/>
      <c r="AD39" s="56"/>
      <c r="AE39" s="125"/>
      <c r="AF39" s="74"/>
      <c r="AG39" s="56"/>
      <c r="AH39" s="56"/>
      <c r="AI39" s="77"/>
      <c r="AJ39" s="120"/>
      <c r="AK39" s="74"/>
      <c r="AL39" s="56"/>
      <c r="AM39" s="56"/>
      <c r="AN39" s="120"/>
      <c r="AO39" s="74"/>
      <c r="AP39" s="56"/>
      <c r="AQ39" s="56"/>
      <c r="AR39" s="56"/>
      <c r="AS39" s="120"/>
      <c r="AT39" s="74"/>
      <c r="AU39" s="56"/>
      <c r="AV39" s="56"/>
      <c r="AW39" s="56"/>
      <c r="AX39" s="56"/>
      <c r="AY39" s="120"/>
    </row>
    <row r="40" spans="2:51" s="8" customFormat="1" ht="15" customHeight="1" outlineLevel="1">
      <c r="B40" s="62" t="s">
        <v>176</v>
      </c>
      <c r="C40" s="59" t="s">
        <v>55</v>
      </c>
      <c r="D40" s="59" t="s">
        <v>89</v>
      </c>
      <c r="E40" s="58" t="s">
        <v>233</v>
      </c>
      <c r="G40" s="57"/>
      <c r="H40" s="57"/>
      <c r="I40" s="57"/>
      <c r="J40" s="112"/>
      <c r="K40" s="110"/>
      <c r="L40" s="57"/>
      <c r="M40" s="57"/>
      <c r="N40" s="108"/>
      <c r="O40" s="112"/>
      <c r="P40" s="70"/>
      <c r="Q40" s="57"/>
      <c r="R40" s="57"/>
      <c r="S40" s="57"/>
      <c r="T40" s="112"/>
      <c r="U40" s="70"/>
      <c r="V40" s="56"/>
      <c r="W40" s="56"/>
      <c r="X40" s="56"/>
      <c r="Y40" s="120"/>
      <c r="Z40" s="74"/>
      <c r="AA40" s="72"/>
      <c r="AB40" s="77"/>
      <c r="AC40" s="74"/>
      <c r="AD40" s="56"/>
      <c r="AE40" s="125"/>
      <c r="AF40" s="74"/>
      <c r="AG40" s="56"/>
      <c r="AH40" s="56"/>
      <c r="AI40" s="77"/>
      <c r="AJ40" s="120"/>
      <c r="AK40" s="74"/>
      <c r="AL40" s="56"/>
      <c r="AM40" s="56"/>
      <c r="AN40" s="120"/>
      <c r="AO40" s="74"/>
      <c r="AP40" s="56"/>
      <c r="AQ40" s="56"/>
      <c r="AR40" s="56"/>
      <c r="AS40" s="120"/>
      <c r="AT40" s="74"/>
      <c r="AU40" s="56"/>
      <c r="AV40" s="56"/>
      <c r="AW40" s="56"/>
      <c r="AX40" s="56"/>
      <c r="AY40" s="120"/>
    </row>
    <row r="41" spans="2:51" ht="15" customHeight="1" outlineLevel="1">
      <c r="B41" s="58" t="s">
        <v>177</v>
      </c>
      <c r="C41" s="59" t="s">
        <v>55</v>
      </c>
      <c r="D41" s="59" t="s">
        <v>59</v>
      </c>
      <c r="E41" s="58" t="s">
        <v>233</v>
      </c>
      <c r="G41" s="65"/>
      <c r="H41" s="65"/>
      <c r="I41" s="65"/>
      <c r="J41" s="118"/>
      <c r="K41" s="116"/>
      <c r="L41" s="65"/>
      <c r="M41" s="65"/>
      <c r="N41" s="108"/>
      <c r="O41" s="115"/>
      <c r="P41" s="70"/>
      <c r="Q41" s="57"/>
      <c r="R41" s="57"/>
      <c r="S41" s="57"/>
      <c r="T41" s="112"/>
      <c r="U41" s="70"/>
      <c r="V41" s="66"/>
      <c r="W41" s="66"/>
      <c r="X41" s="66"/>
      <c r="Y41" s="122"/>
      <c r="Z41" s="75"/>
      <c r="AA41" s="73"/>
      <c r="AB41" s="78"/>
      <c r="AC41" s="75"/>
      <c r="AD41" s="66"/>
      <c r="AE41" s="126"/>
      <c r="AF41" s="75"/>
      <c r="AG41" s="66"/>
      <c r="AH41" s="66"/>
      <c r="AI41" s="78"/>
      <c r="AJ41" s="122"/>
      <c r="AK41" s="75"/>
      <c r="AL41" s="66"/>
      <c r="AM41" s="66"/>
      <c r="AN41" s="122"/>
      <c r="AO41" s="75"/>
      <c r="AP41" s="66"/>
      <c r="AQ41" s="66"/>
      <c r="AR41" s="66"/>
      <c r="AS41" s="122"/>
      <c r="AT41" s="75"/>
      <c r="AU41" s="66"/>
      <c r="AV41" s="66"/>
      <c r="AW41" s="66"/>
      <c r="AX41" s="66"/>
      <c r="AY41" s="122"/>
    </row>
    <row r="42" spans="2:51" ht="15" customHeight="1" outlineLevel="1">
      <c r="B42" s="62" t="s">
        <v>178</v>
      </c>
      <c r="C42" s="59" t="s">
        <v>63</v>
      </c>
      <c r="D42" s="59" t="s">
        <v>89</v>
      </c>
      <c r="E42" s="58" t="s">
        <v>233</v>
      </c>
      <c r="G42" s="65"/>
      <c r="H42" s="65"/>
      <c r="I42" s="65"/>
      <c r="J42" s="118"/>
      <c r="K42" s="116"/>
      <c r="L42" s="65"/>
      <c r="M42" s="65"/>
      <c r="N42" s="57"/>
      <c r="O42" s="115"/>
      <c r="P42" s="111"/>
      <c r="Q42" s="108"/>
      <c r="R42" s="57"/>
      <c r="S42" s="57"/>
      <c r="T42" s="112"/>
      <c r="U42" s="70"/>
      <c r="V42" s="66"/>
      <c r="W42" s="66"/>
      <c r="X42" s="66"/>
      <c r="Y42" s="122"/>
      <c r="Z42" s="75"/>
      <c r="AA42" s="73"/>
      <c r="AB42" s="78"/>
      <c r="AC42" s="75"/>
      <c r="AD42" s="66"/>
      <c r="AE42" s="126"/>
      <c r="AF42" s="75"/>
      <c r="AG42" s="66"/>
      <c r="AH42" s="66"/>
      <c r="AI42" s="78"/>
      <c r="AJ42" s="122"/>
      <c r="AK42" s="75"/>
      <c r="AL42" s="66"/>
      <c r="AM42" s="66"/>
      <c r="AN42" s="122"/>
      <c r="AO42" s="75"/>
      <c r="AP42" s="66"/>
      <c r="AQ42" s="66"/>
      <c r="AR42" s="66"/>
      <c r="AS42" s="122"/>
      <c r="AT42" s="75"/>
      <c r="AU42" s="66"/>
      <c r="AV42" s="66"/>
      <c r="AW42" s="66"/>
      <c r="AX42" s="66"/>
      <c r="AY42" s="122"/>
    </row>
    <row r="43" spans="2:51" ht="15" customHeight="1" outlineLevel="1">
      <c r="B43" s="63" t="s">
        <v>179</v>
      </c>
      <c r="C43" s="59" t="s">
        <v>63</v>
      </c>
      <c r="D43" s="59" t="s">
        <v>64</v>
      </c>
      <c r="E43" s="58" t="s">
        <v>233</v>
      </c>
      <c r="G43" s="65"/>
      <c r="H43" s="65"/>
      <c r="I43" s="65"/>
      <c r="J43" s="118"/>
      <c r="K43" s="116"/>
      <c r="L43" s="65"/>
      <c r="M43" s="65"/>
      <c r="N43" s="57"/>
      <c r="O43" s="112"/>
      <c r="P43" s="70"/>
      <c r="Q43" s="57"/>
      <c r="R43" s="108"/>
      <c r="S43" s="108"/>
      <c r="T43" s="112"/>
      <c r="U43" s="70"/>
      <c r="V43" s="66"/>
      <c r="W43" s="66"/>
      <c r="X43" s="66"/>
      <c r="Y43" s="122"/>
      <c r="Z43" s="75"/>
      <c r="AA43" s="73"/>
      <c r="AB43" s="78"/>
      <c r="AC43" s="75"/>
      <c r="AD43" s="66"/>
      <c r="AE43" s="126"/>
      <c r="AF43" s="75"/>
      <c r="AG43" s="66"/>
      <c r="AH43" s="66"/>
      <c r="AI43" s="78"/>
      <c r="AJ43" s="122"/>
      <c r="AK43" s="75"/>
      <c r="AL43" s="66"/>
      <c r="AM43" s="66"/>
      <c r="AN43" s="122"/>
      <c r="AO43" s="75"/>
      <c r="AP43" s="66"/>
      <c r="AQ43" s="66"/>
      <c r="AR43" s="66"/>
      <c r="AS43" s="122"/>
      <c r="AT43" s="75"/>
      <c r="AU43" s="66"/>
      <c r="AV43" s="66"/>
      <c r="AW43" s="66"/>
      <c r="AX43" s="66"/>
      <c r="AY43" s="122"/>
    </row>
    <row r="44" spans="2:51" ht="15" customHeight="1" outlineLevel="1">
      <c r="B44" s="58" t="s">
        <v>167</v>
      </c>
      <c r="C44" s="59" t="s">
        <v>63</v>
      </c>
      <c r="D44" s="59" t="s">
        <v>66</v>
      </c>
      <c r="E44" s="58" t="s">
        <v>233</v>
      </c>
      <c r="G44" s="65"/>
      <c r="H44" s="65"/>
      <c r="I44" s="65"/>
      <c r="J44" s="118"/>
      <c r="K44" s="116"/>
      <c r="L44" s="65"/>
      <c r="M44" s="65"/>
      <c r="N44" s="57"/>
      <c r="O44" s="112"/>
      <c r="P44" s="70"/>
      <c r="Q44" s="57"/>
      <c r="R44" s="57"/>
      <c r="S44" s="108"/>
      <c r="T44" s="115"/>
      <c r="U44" s="70"/>
      <c r="V44" s="66"/>
      <c r="W44" s="66"/>
      <c r="X44" s="66"/>
      <c r="Y44" s="122"/>
      <c r="Z44" s="75"/>
      <c r="AA44" s="73"/>
      <c r="AB44" s="78"/>
      <c r="AC44" s="75"/>
      <c r="AD44" s="66"/>
      <c r="AE44" s="126"/>
      <c r="AF44" s="75"/>
      <c r="AG44" s="66"/>
      <c r="AH44" s="66"/>
      <c r="AI44" s="78"/>
      <c r="AJ44" s="122"/>
      <c r="AK44" s="75"/>
      <c r="AL44" s="66"/>
      <c r="AM44" s="66"/>
      <c r="AN44" s="122"/>
      <c r="AO44" s="75"/>
      <c r="AP44" s="66"/>
      <c r="AQ44" s="66"/>
      <c r="AR44" s="66"/>
      <c r="AS44" s="122"/>
      <c r="AT44" s="75"/>
      <c r="AU44" s="66"/>
      <c r="AV44" s="66"/>
      <c r="AW44" s="66"/>
      <c r="AX44" s="66"/>
      <c r="AY44" s="122"/>
    </row>
    <row r="45" spans="2:51" ht="15" customHeight="1" outlineLevel="1">
      <c r="B45" s="58" t="s">
        <v>168</v>
      </c>
      <c r="C45" s="59" t="s">
        <v>63</v>
      </c>
      <c r="D45" s="59" t="s">
        <v>36</v>
      </c>
      <c r="E45" s="58" t="s">
        <v>233</v>
      </c>
      <c r="G45" s="65"/>
      <c r="H45" s="65"/>
      <c r="I45" s="65"/>
      <c r="J45" s="118"/>
      <c r="K45" s="116"/>
      <c r="L45" s="65"/>
      <c r="M45" s="65"/>
      <c r="N45" s="57"/>
      <c r="O45" s="112"/>
      <c r="P45" s="70"/>
      <c r="Q45" s="57"/>
      <c r="R45" s="108"/>
      <c r="S45" s="57"/>
      <c r="T45" s="112"/>
      <c r="U45" s="70"/>
      <c r="V45" s="66"/>
      <c r="W45" s="66"/>
      <c r="X45" s="66"/>
      <c r="Y45" s="122"/>
      <c r="Z45" s="75"/>
      <c r="AA45" s="73"/>
      <c r="AB45" s="78"/>
      <c r="AC45" s="75"/>
      <c r="AD45" s="66"/>
      <c r="AE45" s="126"/>
      <c r="AF45" s="75"/>
      <c r="AG45" s="66"/>
      <c r="AH45" s="66"/>
      <c r="AI45" s="78"/>
      <c r="AJ45" s="122"/>
      <c r="AK45" s="75"/>
      <c r="AL45" s="66"/>
      <c r="AM45" s="66"/>
      <c r="AN45" s="122"/>
      <c r="AO45" s="75"/>
      <c r="AP45" s="66"/>
      <c r="AQ45" s="66"/>
      <c r="AR45" s="66"/>
      <c r="AS45" s="122"/>
      <c r="AT45" s="75"/>
      <c r="AU45" s="66"/>
      <c r="AV45" s="66"/>
      <c r="AW45" s="66"/>
      <c r="AX45" s="66"/>
      <c r="AY45" s="122"/>
    </row>
    <row r="46" spans="2:51" ht="15" customHeight="1" outlineLevel="1">
      <c r="B46" s="58" t="s">
        <v>169</v>
      </c>
      <c r="C46" s="59" t="s">
        <v>63</v>
      </c>
      <c r="D46" s="59" t="s">
        <v>38</v>
      </c>
      <c r="E46" s="58" t="s">
        <v>233</v>
      </c>
      <c r="G46" s="65"/>
      <c r="H46" s="65"/>
      <c r="I46" s="65"/>
      <c r="J46" s="118"/>
      <c r="K46" s="116"/>
      <c r="L46" s="65"/>
      <c r="M46" s="65"/>
      <c r="N46" s="57"/>
      <c r="O46" s="112"/>
      <c r="P46" s="70"/>
      <c r="Q46" s="57"/>
      <c r="R46" s="108"/>
      <c r="S46" s="57"/>
      <c r="T46" s="112"/>
      <c r="U46" s="70"/>
      <c r="V46" s="66"/>
      <c r="W46" s="66"/>
      <c r="X46" s="66"/>
      <c r="Y46" s="122"/>
      <c r="Z46" s="75"/>
      <c r="AA46" s="73"/>
      <c r="AB46" s="78"/>
      <c r="AC46" s="75"/>
      <c r="AD46" s="66"/>
      <c r="AE46" s="126"/>
      <c r="AF46" s="75"/>
      <c r="AG46" s="66"/>
      <c r="AH46" s="66"/>
      <c r="AI46" s="78"/>
      <c r="AJ46" s="122"/>
      <c r="AK46" s="75"/>
      <c r="AL46" s="66"/>
      <c r="AM46" s="66"/>
      <c r="AN46" s="122"/>
      <c r="AO46" s="75"/>
      <c r="AP46" s="66"/>
      <c r="AQ46" s="66"/>
      <c r="AR46" s="66"/>
      <c r="AS46" s="122"/>
      <c r="AT46" s="75"/>
      <c r="AU46" s="66"/>
      <c r="AV46" s="66"/>
      <c r="AW46" s="66"/>
      <c r="AX46" s="66"/>
      <c r="AY46" s="122"/>
    </row>
    <row r="47" spans="2:51" ht="15" customHeight="1" outlineLevel="1">
      <c r="B47" s="58" t="s">
        <v>180</v>
      </c>
      <c r="C47" s="59" t="s">
        <v>63</v>
      </c>
      <c r="D47" s="59" t="s">
        <v>54</v>
      </c>
      <c r="E47" s="58" t="s">
        <v>233</v>
      </c>
      <c r="G47" s="65"/>
      <c r="H47" s="65"/>
      <c r="I47" s="65"/>
      <c r="J47" s="118"/>
      <c r="K47" s="116"/>
      <c r="L47" s="65"/>
      <c r="M47" s="65"/>
      <c r="N47" s="57"/>
      <c r="O47" s="112"/>
      <c r="P47" s="70"/>
      <c r="Q47" s="108"/>
      <c r="R47" s="108"/>
      <c r="S47" s="57"/>
      <c r="T47" s="112"/>
      <c r="U47" s="70"/>
      <c r="V47" s="66"/>
      <c r="W47" s="66"/>
      <c r="X47" s="66"/>
      <c r="Y47" s="122"/>
      <c r="Z47" s="75"/>
      <c r="AA47" s="73"/>
      <c r="AB47" s="78"/>
      <c r="AC47" s="75"/>
      <c r="AD47" s="66"/>
      <c r="AE47" s="126"/>
      <c r="AF47" s="75"/>
      <c r="AG47" s="66"/>
      <c r="AH47" s="66"/>
      <c r="AI47" s="78"/>
      <c r="AJ47" s="122"/>
      <c r="AK47" s="75"/>
      <c r="AL47" s="66"/>
      <c r="AM47" s="66"/>
      <c r="AN47" s="122"/>
      <c r="AO47" s="75"/>
      <c r="AP47" s="66"/>
      <c r="AQ47" s="66"/>
      <c r="AR47" s="66"/>
      <c r="AS47" s="122"/>
      <c r="AT47" s="75"/>
      <c r="AU47" s="66"/>
      <c r="AV47" s="66"/>
      <c r="AW47" s="66"/>
      <c r="AX47" s="66"/>
      <c r="AY47" s="122"/>
    </row>
    <row r="48" spans="2:51" s="8" customFormat="1" ht="15" customHeight="1">
      <c r="B48" s="55" t="s">
        <v>181</v>
      </c>
      <c r="C48" s="288" t="s">
        <v>182</v>
      </c>
      <c r="D48" s="288"/>
      <c r="E48" s="53"/>
      <c r="G48" s="54"/>
      <c r="H48" s="54"/>
      <c r="I48" s="54"/>
      <c r="J48" s="119"/>
      <c r="K48" s="54"/>
      <c r="L48" s="162" t="s">
        <v>280</v>
      </c>
      <c r="M48" s="54"/>
      <c r="N48" s="107"/>
      <c r="O48" s="114"/>
      <c r="P48" s="107"/>
      <c r="Q48" s="107"/>
      <c r="R48" s="107"/>
      <c r="S48" s="54"/>
      <c r="T48" s="119"/>
      <c r="U48" s="54"/>
      <c r="V48" s="53"/>
      <c r="W48" s="53"/>
      <c r="X48" s="53"/>
      <c r="Y48" s="121"/>
      <c r="Z48" s="53"/>
      <c r="AA48" s="53"/>
      <c r="AB48" s="77"/>
      <c r="AC48" s="53"/>
      <c r="AD48" s="53"/>
      <c r="AE48" s="125"/>
      <c r="AF48" s="53"/>
      <c r="AG48" s="53"/>
      <c r="AH48" s="53"/>
      <c r="AI48" s="77"/>
      <c r="AJ48" s="129"/>
      <c r="AK48" s="53"/>
      <c r="AL48" s="53"/>
      <c r="AM48" s="53"/>
      <c r="AN48" s="121"/>
      <c r="AO48" s="53"/>
      <c r="AP48" s="53"/>
      <c r="AQ48" s="53"/>
      <c r="AR48" s="53"/>
      <c r="AS48" s="121"/>
      <c r="AT48" s="53"/>
      <c r="AU48" s="53"/>
      <c r="AV48" s="53"/>
      <c r="AW48" s="53"/>
      <c r="AX48" s="53"/>
      <c r="AY48" s="121"/>
    </row>
    <row r="49" spans="2:51" ht="15" customHeight="1" outlineLevel="1">
      <c r="B49" s="58" t="s">
        <v>183</v>
      </c>
      <c r="C49" s="59" t="s">
        <v>1</v>
      </c>
      <c r="D49" s="59" t="s">
        <v>2</v>
      </c>
      <c r="E49" s="58" t="s">
        <v>233</v>
      </c>
      <c r="G49" s="65"/>
      <c r="H49" s="65"/>
      <c r="I49" s="65"/>
      <c r="J49" s="118"/>
      <c r="K49" s="116"/>
      <c r="L49" s="65"/>
      <c r="M49" s="65"/>
      <c r="N49" s="65"/>
      <c r="O49" s="118"/>
      <c r="P49" s="71"/>
      <c r="Q49" s="65"/>
      <c r="R49" s="65"/>
      <c r="S49" s="57"/>
      <c r="T49" s="115"/>
      <c r="U49" s="111"/>
      <c r="V49" s="56"/>
      <c r="W49" s="56"/>
      <c r="X49" s="56"/>
      <c r="Y49" s="122"/>
      <c r="Z49" s="75"/>
      <c r="AA49" s="73"/>
      <c r="AB49" s="78"/>
      <c r="AC49" s="75"/>
      <c r="AD49" s="66"/>
      <c r="AE49" s="126"/>
      <c r="AF49" s="75"/>
      <c r="AG49" s="66"/>
      <c r="AH49" s="66"/>
      <c r="AI49" s="78"/>
      <c r="AJ49" s="122"/>
      <c r="AK49" s="75"/>
      <c r="AL49" s="66"/>
      <c r="AM49" s="66"/>
      <c r="AN49" s="122"/>
      <c r="AO49" s="75"/>
      <c r="AP49" s="66"/>
      <c r="AQ49" s="66"/>
      <c r="AR49" s="66"/>
      <c r="AS49" s="122"/>
      <c r="AT49" s="75"/>
      <c r="AU49" s="66"/>
      <c r="AV49" s="66"/>
      <c r="AW49" s="66"/>
      <c r="AX49" s="66"/>
      <c r="AY49" s="122"/>
    </row>
    <row r="50" spans="2:51" ht="15" customHeight="1" outlineLevel="1">
      <c r="B50" s="58" t="s">
        <v>184</v>
      </c>
      <c r="C50" s="59" t="s">
        <v>1</v>
      </c>
      <c r="D50" s="59" t="s">
        <v>8</v>
      </c>
      <c r="E50" s="58" t="s">
        <v>233</v>
      </c>
      <c r="G50" s="65"/>
      <c r="H50" s="65"/>
      <c r="I50" s="65"/>
      <c r="J50" s="118"/>
      <c r="K50" s="116"/>
      <c r="L50" s="65"/>
      <c r="M50" s="65"/>
      <c r="N50" s="65"/>
      <c r="O50" s="118"/>
      <c r="P50" s="71"/>
      <c r="Q50" s="65"/>
      <c r="R50" s="65"/>
      <c r="S50" s="57"/>
      <c r="T50" s="112"/>
      <c r="U50" s="111"/>
      <c r="V50" s="56"/>
      <c r="W50" s="56"/>
      <c r="X50" s="56"/>
      <c r="Y50" s="122"/>
      <c r="Z50" s="75"/>
      <c r="AA50" s="73"/>
      <c r="AB50" s="78"/>
      <c r="AC50" s="75"/>
      <c r="AD50" s="66"/>
      <c r="AE50" s="126"/>
      <c r="AF50" s="75"/>
      <c r="AG50" s="66"/>
      <c r="AH50" s="66"/>
      <c r="AI50" s="78"/>
      <c r="AJ50" s="122"/>
      <c r="AK50" s="75"/>
      <c r="AL50" s="66"/>
      <c r="AM50" s="66"/>
      <c r="AN50" s="122"/>
      <c r="AO50" s="75"/>
      <c r="AP50" s="66"/>
      <c r="AQ50" s="66"/>
      <c r="AR50" s="66"/>
      <c r="AS50" s="122"/>
      <c r="AT50" s="75"/>
      <c r="AU50" s="66"/>
      <c r="AV50" s="66"/>
      <c r="AW50" s="66"/>
      <c r="AX50" s="66"/>
      <c r="AY50" s="122"/>
    </row>
    <row r="51" spans="2:51" ht="15" customHeight="1" outlineLevel="1">
      <c r="B51" s="58" t="s">
        <v>186</v>
      </c>
      <c r="C51" s="59" t="s">
        <v>1</v>
      </c>
      <c r="D51" s="59" t="s">
        <v>9</v>
      </c>
      <c r="E51" s="58" t="s">
        <v>233</v>
      </c>
      <c r="G51" s="65"/>
      <c r="H51" s="65"/>
      <c r="I51" s="65"/>
      <c r="J51" s="118"/>
      <c r="K51" s="116"/>
      <c r="L51" s="65"/>
      <c r="M51" s="65"/>
      <c r="N51" s="65"/>
      <c r="O51" s="118"/>
      <c r="P51" s="71"/>
      <c r="Q51" s="65"/>
      <c r="R51" s="65"/>
      <c r="S51" s="57"/>
      <c r="T51" s="112"/>
      <c r="U51" s="111"/>
      <c r="V51" s="56"/>
      <c r="W51" s="56"/>
      <c r="X51" s="56"/>
      <c r="Y51" s="122"/>
      <c r="Z51" s="75"/>
      <c r="AA51" s="73"/>
      <c r="AB51" s="78"/>
      <c r="AC51" s="75"/>
      <c r="AD51" s="66"/>
      <c r="AE51" s="126"/>
      <c r="AF51" s="75"/>
      <c r="AG51" s="66"/>
      <c r="AH51" s="66"/>
      <c r="AI51" s="78"/>
      <c r="AJ51" s="122"/>
      <c r="AK51" s="75"/>
      <c r="AL51" s="66"/>
      <c r="AM51" s="66"/>
      <c r="AN51" s="122"/>
      <c r="AO51" s="75"/>
      <c r="AP51" s="66"/>
      <c r="AQ51" s="66"/>
      <c r="AR51" s="66"/>
      <c r="AS51" s="122"/>
      <c r="AT51" s="75"/>
      <c r="AU51" s="66"/>
      <c r="AV51" s="66"/>
      <c r="AW51" s="66"/>
      <c r="AX51" s="66"/>
      <c r="AY51" s="122"/>
    </row>
    <row r="52" spans="2:51" ht="15" customHeight="1" outlineLevel="1">
      <c r="B52" s="58" t="s">
        <v>185</v>
      </c>
      <c r="C52" s="59" t="s">
        <v>1</v>
      </c>
      <c r="D52" s="164" t="s">
        <v>11</v>
      </c>
      <c r="E52" s="58" t="s">
        <v>233</v>
      </c>
      <c r="G52" s="65"/>
      <c r="H52" s="65"/>
      <c r="I52" s="65"/>
      <c r="J52" s="118"/>
      <c r="K52" s="116"/>
      <c r="L52" s="65"/>
      <c r="M52" s="65"/>
      <c r="N52" s="65"/>
      <c r="O52" s="118"/>
      <c r="P52" s="71"/>
      <c r="Q52" s="65"/>
      <c r="R52" s="65"/>
      <c r="S52" s="57"/>
      <c r="T52" s="115"/>
      <c r="U52" s="111"/>
      <c r="V52" s="56"/>
      <c r="W52" s="56"/>
      <c r="X52" s="56"/>
      <c r="Y52" s="122"/>
      <c r="Z52" s="75"/>
      <c r="AA52" s="73"/>
      <c r="AB52" s="78"/>
      <c r="AC52" s="75"/>
      <c r="AD52" s="66"/>
      <c r="AE52" s="126"/>
      <c r="AF52" s="75"/>
      <c r="AG52" s="66"/>
      <c r="AH52" s="66"/>
      <c r="AI52" s="78"/>
      <c r="AJ52" s="122"/>
      <c r="AK52" s="75"/>
      <c r="AL52" s="66"/>
      <c r="AM52" s="66"/>
      <c r="AN52" s="122"/>
      <c r="AO52" s="75"/>
      <c r="AP52" s="66"/>
      <c r="AQ52" s="66"/>
      <c r="AR52" s="66"/>
      <c r="AS52" s="122"/>
      <c r="AT52" s="75"/>
      <c r="AU52" s="66"/>
      <c r="AV52" s="66"/>
      <c r="AW52" s="66"/>
      <c r="AX52" s="66"/>
      <c r="AY52" s="122"/>
    </row>
    <row r="53" spans="2:51" ht="15" customHeight="1" outlineLevel="1">
      <c r="B53" s="58" t="s">
        <v>187</v>
      </c>
      <c r="C53" s="59" t="s">
        <v>1</v>
      </c>
      <c r="D53" s="59" t="s">
        <v>13</v>
      </c>
      <c r="E53" s="58" t="s">
        <v>233</v>
      </c>
      <c r="G53" s="65"/>
      <c r="H53" s="65"/>
      <c r="I53" s="65"/>
      <c r="J53" s="118"/>
      <c r="K53" s="116"/>
      <c r="L53" s="65"/>
      <c r="M53" s="65"/>
      <c r="N53" s="65"/>
      <c r="O53" s="118"/>
      <c r="P53" s="71"/>
      <c r="Q53" s="65"/>
      <c r="R53" s="65"/>
      <c r="S53" s="57"/>
      <c r="T53" s="112"/>
      <c r="U53" s="111"/>
      <c r="V53" s="56"/>
      <c r="W53" s="56"/>
      <c r="X53" s="56"/>
      <c r="Y53" s="122"/>
      <c r="Z53" s="75"/>
      <c r="AA53" s="73"/>
      <c r="AB53" s="78"/>
      <c r="AC53" s="75"/>
      <c r="AD53" s="66"/>
      <c r="AE53" s="126"/>
      <c r="AF53" s="75"/>
      <c r="AG53" s="66"/>
      <c r="AH53" s="66"/>
      <c r="AI53" s="78"/>
      <c r="AJ53" s="122"/>
      <c r="AK53" s="75"/>
      <c r="AL53" s="66"/>
      <c r="AM53" s="66"/>
      <c r="AN53" s="122"/>
      <c r="AO53" s="75"/>
      <c r="AP53" s="66"/>
      <c r="AQ53" s="66"/>
      <c r="AR53" s="66"/>
      <c r="AS53" s="122"/>
      <c r="AT53" s="75"/>
      <c r="AU53" s="66"/>
      <c r="AV53" s="66"/>
      <c r="AW53" s="66"/>
      <c r="AX53" s="66"/>
      <c r="AY53" s="122"/>
    </row>
    <row r="54" spans="2:51" ht="15" customHeight="1" outlineLevel="1">
      <c r="B54" s="58" t="s">
        <v>189</v>
      </c>
      <c r="C54" s="59" t="s">
        <v>1</v>
      </c>
      <c r="D54" s="59" t="s">
        <v>14</v>
      </c>
      <c r="E54" s="58" t="s">
        <v>233</v>
      </c>
      <c r="G54" s="65"/>
      <c r="H54" s="65"/>
      <c r="I54" s="65"/>
      <c r="J54" s="118"/>
      <c r="K54" s="116"/>
      <c r="L54" s="65"/>
      <c r="M54" s="65"/>
      <c r="N54" s="65"/>
      <c r="O54" s="118"/>
      <c r="P54" s="71"/>
      <c r="Q54" s="65"/>
      <c r="R54" s="65"/>
      <c r="S54" s="108"/>
      <c r="T54" s="112"/>
      <c r="U54" s="70"/>
      <c r="V54" s="56"/>
      <c r="W54" s="56"/>
      <c r="X54" s="56"/>
      <c r="Y54" s="122"/>
      <c r="Z54" s="75"/>
      <c r="AA54" s="73"/>
      <c r="AB54" s="78"/>
      <c r="AC54" s="75"/>
      <c r="AD54" s="66"/>
      <c r="AE54" s="126"/>
      <c r="AF54" s="75"/>
      <c r="AG54" s="66"/>
      <c r="AH54" s="66"/>
      <c r="AI54" s="78"/>
      <c r="AJ54" s="122"/>
      <c r="AK54" s="75"/>
      <c r="AL54" s="66"/>
      <c r="AM54" s="66"/>
      <c r="AN54" s="122"/>
      <c r="AO54" s="75"/>
      <c r="AP54" s="66"/>
      <c r="AQ54" s="66"/>
      <c r="AR54" s="66"/>
      <c r="AS54" s="122"/>
      <c r="AT54" s="75"/>
      <c r="AU54" s="66"/>
      <c r="AV54" s="66"/>
      <c r="AW54" s="66"/>
      <c r="AX54" s="66"/>
      <c r="AY54" s="122"/>
    </row>
    <row r="55" spans="2:51" ht="15" customHeight="1" outlineLevel="1">
      <c r="B55" s="58" t="s">
        <v>191</v>
      </c>
      <c r="C55" s="59" t="s">
        <v>1</v>
      </c>
      <c r="D55" s="59" t="s">
        <v>15</v>
      </c>
      <c r="E55" s="58" t="s">
        <v>233</v>
      </c>
      <c r="G55" s="65"/>
      <c r="H55" s="65"/>
      <c r="I55" s="65"/>
      <c r="J55" s="118"/>
      <c r="K55" s="116"/>
      <c r="L55" s="65"/>
      <c r="M55" s="65"/>
      <c r="N55" s="65"/>
      <c r="O55" s="118"/>
      <c r="P55" s="71"/>
      <c r="Q55" s="65"/>
      <c r="R55" s="65"/>
      <c r="S55" s="108"/>
      <c r="T55" s="112"/>
      <c r="U55" s="70"/>
      <c r="V55" s="56"/>
      <c r="W55" s="56"/>
      <c r="X55" s="56"/>
      <c r="Y55" s="122"/>
      <c r="Z55" s="75"/>
      <c r="AA55" s="73"/>
      <c r="AB55" s="78"/>
      <c r="AC55" s="75"/>
      <c r="AD55" s="66"/>
      <c r="AE55" s="126"/>
      <c r="AF55" s="75"/>
      <c r="AG55" s="66"/>
      <c r="AH55" s="66"/>
      <c r="AI55" s="78"/>
      <c r="AJ55" s="122"/>
      <c r="AK55" s="75"/>
      <c r="AL55" s="66"/>
      <c r="AM55" s="66"/>
      <c r="AN55" s="122"/>
      <c r="AO55" s="75"/>
      <c r="AP55" s="66"/>
      <c r="AQ55" s="66"/>
      <c r="AR55" s="66"/>
      <c r="AS55" s="122"/>
      <c r="AT55" s="75"/>
      <c r="AU55" s="66"/>
      <c r="AV55" s="66"/>
      <c r="AW55" s="66"/>
      <c r="AX55" s="66"/>
      <c r="AY55" s="122"/>
    </row>
    <row r="56" spans="2:51" ht="15" customHeight="1" outlineLevel="1">
      <c r="B56" s="58" t="s">
        <v>193</v>
      </c>
      <c r="C56" s="59" t="s">
        <v>1</v>
      </c>
      <c r="D56" s="59" t="s">
        <v>16</v>
      </c>
      <c r="E56" s="58" t="s">
        <v>233</v>
      </c>
      <c r="G56" s="65"/>
      <c r="H56" s="65"/>
      <c r="I56" s="65"/>
      <c r="J56" s="118"/>
      <c r="K56" s="116"/>
      <c r="L56" s="65"/>
      <c r="M56" s="65"/>
      <c r="N56" s="65"/>
      <c r="O56" s="118"/>
      <c r="P56" s="71"/>
      <c r="Q56" s="65"/>
      <c r="R56" s="65"/>
      <c r="S56" s="108"/>
      <c r="T56" s="115"/>
      <c r="U56" s="70"/>
      <c r="V56" s="56"/>
      <c r="W56" s="56"/>
      <c r="X56" s="56"/>
      <c r="Y56" s="122"/>
      <c r="Z56" s="75"/>
      <c r="AA56" s="73"/>
      <c r="AB56" s="78"/>
      <c r="AC56" s="75"/>
      <c r="AD56" s="66"/>
      <c r="AE56" s="126"/>
      <c r="AF56" s="75"/>
      <c r="AG56" s="66"/>
      <c r="AH56" s="66"/>
      <c r="AI56" s="78"/>
      <c r="AJ56" s="122"/>
      <c r="AK56" s="75"/>
      <c r="AL56" s="66"/>
      <c r="AM56" s="66"/>
      <c r="AN56" s="122"/>
      <c r="AO56" s="75"/>
      <c r="AP56" s="66"/>
      <c r="AQ56" s="66"/>
      <c r="AR56" s="66"/>
      <c r="AS56" s="122"/>
      <c r="AT56" s="75"/>
      <c r="AU56" s="66"/>
      <c r="AV56" s="66"/>
      <c r="AW56" s="66"/>
      <c r="AX56" s="66"/>
      <c r="AY56" s="122"/>
    </row>
    <row r="57" spans="2:51" ht="15" customHeight="1" outlineLevel="1">
      <c r="B57" s="58" t="s">
        <v>194</v>
      </c>
      <c r="C57" s="59" t="s">
        <v>1</v>
      </c>
      <c r="D57" s="59" t="s">
        <v>17</v>
      </c>
      <c r="E57" s="58" t="s">
        <v>233</v>
      </c>
      <c r="G57" s="65"/>
      <c r="H57" s="65"/>
      <c r="I57" s="65"/>
      <c r="J57" s="118"/>
      <c r="K57" s="116"/>
      <c r="L57" s="65"/>
      <c r="M57" s="65"/>
      <c r="N57" s="65"/>
      <c r="O57" s="118"/>
      <c r="P57" s="71"/>
      <c r="Q57" s="65"/>
      <c r="R57" s="65"/>
      <c r="S57" s="57"/>
      <c r="T57" s="115"/>
      <c r="U57" s="70"/>
      <c r="V57" s="56"/>
      <c r="W57" s="56"/>
      <c r="X57" s="56"/>
      <c r="Y57" s="122"/>
      <c r="Z57" s="75"/>
      <c r="AA57" s="73"/>
      <c r="AB57" s="78"/>
      <c r="AC57" s="75"/>
      <c r="AD57" s="66"/>
      <c r="AE57" s="126"/>
      <c r="AF57" s="75"/>
      <c r="AG57" s="66"/>
      <c r="AH57" s="66"/>
      <c r="AI57" s="78"/>
      <c r="AJ57" s="122"/>
      <c r="AK57" s="75"/>
      <c r="AL57" s="66"/>
      <c r="AM57" s="66"/>
      <c r="AN57" s="122"/>
      <c r="AO57" s="75"/>
      <c r="AP57" s="66"/>
      <c r="AQ57" s="66"/>
      <c r="AR57" s="66"/>
      <c r="AS57" s="122"/>
      <c r="AT57" s="75"/>
      <c r="AU57" s="66"/>
      <c r="AV57" s="66"/>
      <c r="AW57" s="66"/>
      <c r="AX57" s="66"/>
      <c r="AY57" s="122"/>
    </row>
    <row r="58" spans="2:51" ht="15" customHeight="1" outlineLevel="1">
      <c r="B58" s="58" t="s">
        <v>195</v>
      </c>
      <c r="C58" s="59" t="s">
        <v>1</v>
      </c>
      <c r="D58" s="59" t="s">
        <v>19</v>
      </c>
      <c r="E58" s="58" t="s">
        <v>233</v>
      </c>
      <c r="G58" s="65"/>
      <c r="H58" s="65"/>
      <c r="I58" s="65"/>
      <c r="J58" s="118"/>
      <c r="K58" s="116"/>
      <c r="L58" s="65"/>
      <c r="M58" s="65"/>
      <c r="N58" s="65"/>
      <c r="O58" s="118"/>
      <c r="P58" s="71"/>
      <c r="Q58" s="65"/>
      <c r="R58" s="65"/>
      <c r="S58" s="57"/>
      <c r="T58" s="112"/>
      <c r="U58" s="111"/>
      <c r="V58" s="56"/>
      <c r="W58" s="56"/>
      <c r="X58" s="56"/>
      <c r="Y58" s="122"/>
      <c r="Z58" s="75"/>
      <c r="AA58" s="73"/>
      <c r="AB58" s="78"/>
      <c r="AC58" s="75"/>
      <c r="AD58" s="66"/>
      <c r="AE58" s="126"/>
      <c r="AF58" s="75"/>
      <c r="AG58" s="66"/>
      <c r="AH58" s="66"/>
      <c r="AI58" s="78"/>
      <c r="AJ58" s="122"/>
      <c r="AK58" s="75"/>
      <c r="AL58" s="66"/>
      <c r="AM58" s="66"/>
      <c r="AN58" s="122"/>
      <c r="AO58" s="75"/>
      <c r="AP58" s="66"/>
      <c r="AQ58" s="66"/>
      <c r="AR58" s="66"/>
      <c r="AS58" s="122"/>
      <c r="AT58" s="75"/>
      <c r="AU58" s="66"/>
      <c r="AV58" s="66"/>
      <c r="AW58" s="66"/>
      <c r="AX58" s="66"/>
      <c r="AY58" s="122"/>
    </row>
    <row r="59" spans="2:51" ht="15" customHeight="1" outlineLevel="1">
      <c r="B59" s="58" t="s">
        <v>196</v>
      </c>
      <c r="C59" s="59" t="s">
        <v>1</v>
      </c>
      <c r="D59" s="59" t="s">
        <v>23</v>
      </c>
      <c r="E59" s="58" t="s">
        <v>233</v>
      </c>
      <c r="G59" s="65"/>
      <c r="H59" s="65"/>
      <c r="I59" s="65"/>
      <c r="J59" s="118"/>
      <c r="K59" s="116"/>
      <c r="L59" s="65"/>
      <c r="M59" s="65"/>
      <c r="N59" s="65"/>
      <c r="O59" s="118"/>
      <c r="P59" s="71"/>
      <c r="Q59" s="65"/>
      <c r="R59" s="65"/>
      <c r="S59" s="57"/>
      <c r="T59" s="112"/>
      <c r="U59" s="70"/>
      <c r="V59" s="108"/>
      <c r="W59" s="56"/>
      <c r="X59" s="56"/>
      <c r="Y59" s="122"/>
      <c r="Z59" s="75"/>
      <c r="AA59" s="73"/>
      <c r="AB59" s="78"/>
      <c r="AC59" s="75"/>
      <c r="AD59" s="66"/>
      <c r="AE59" s="126"/>
      <c r="AF59" s="75"/>
      <c r="AG59" s="66"/>
      <c r="AH59" s="66"/>
      <c r="AI59" s="78"/>
      <c r="AJ59" s="122"/>
      <c r="AK59" s="75"/>
      <c r="AL59" s="66"/>
      <c r="AM59" s="66"/>
      <c r="AN59" s="122"/>
      <c r="AO59" s="75"/>
      <c r="AP59" s="66"/>
      <c r="AQ59" s="66"/>
      <c r="AR59" s="66"/>
      <c r="AS59" s="122"/>
      <c r="AT59" s="75"/>
      <c r="AU59" s="66"/>
      <c r="AV59" s="66"/>
      <c r="AW59" s="66"/>
      <c r="AX59" s="66"/>
      <c r="AY59" s="122"/>
    </row>
    <row r="60" spans="2:51" ht="15" customHeight="1" outlineLevel="1">
      <c r="B60" s="58" t="s">
        <v>197</v>
      </c>
      <c r="C60" s="59" t="s">
        <v>1</v>
      </c>
      <c r="D60" s="164" t="s">
        <v>50</v>
      </c>
      <c r="E60" s="58" t="s">
        <v>233</v>
      </c>
      <c r="G60" s="65"/>
      <c r="H60" s="65"/>
      <c r="I60" s="65"/>
      <c r="J60" s="118"/>
      <c r="K60" s="116"/>
      <c r="L60" s="65"/>
      <c r="M60" s="65"/>
      <c r="N60" s="65"/>
      <c r="O60" s="118"/>
      <c r="P60" s="71"/>
      <c r="Q60" s="65"/>
      <c r="R60" s="65"/>
      <c r="S60" s="57"/>
      <c r="T60" s="112"/>
      <c r="U60" s="111"/>
      <c r="V60" s="108"/>
      <c r="W60" s="56"/>
      <c r="X60" s="56"/>
      <c r="Y60" s="122"/>
      <c r="Z60" s="75"/>
      <c r="AA60" s="73"/>
      <c r="AB60" s="78"/>
      <c r="AC60" s="75"/>
      <c r="AD60" s="66"/>
      <c r="AE60" s="126"/>
      <c r="AF60" s="75"/>
      <c r="AG60" s="66"/>
      <c r="AH60" s="66"/>
      <c r="AI60" s="78"/>
      <c r="AJ60" s="122"/>
      <c r="AK60" s="75"/>
      <c r="AL60" s="66"/>
      <c r="AM60" s="66"/>
      <c r="AN60" s="122"/>
      <c r="AO60" s="75"/>
      <c r="AP60" s="66"/>
      <c r="AQ60" s="66"/>
      <c r="AR60" s="66"/>
      <c r="AS60" s="122"/>
      <c r="AT60" s="75"/>
      <c r="AU60" s="66"/>
      <c r="AV60" s="66"/>
      <c r="AW60" s="66"/>
      <c r="AX60" s="66"/>
      <c r="AY60" s="122"/>
    </row>
    <row r="61" spans="2:51" s="8" customFormat="1" ht="15" customHeight="1">
      <c r="B61" s="55" t="s">
        <v>198</v>
      </c>
      <c r="C61" s="288" t="s">
        <v>199</v>
      </c>
      <c r="D61" s="288"/>
      <c r="E61" s="53"/>
      <c r="G61" s="54"/>
      <c r="H61" s="54"/>
      <c r="I61" s="54"/>
      <c r="J61" s="119"/>
      <c r="K61" s="54"/>
      <c r="L61" s="54"/>
      <c r="M61" s="54"/>
      <c r="N61" s="54"/>
      <c r="O61" s="119"/>
      <c r="P61" s="54"/>
      <c r="Q61" s="162" t="s">
        <v>280</v>
      </c>
      <c r="R61" s="107"/>
      <c r="S61" s="107"/>
      <c r="T61" s="114"/>
      <c r="U61" s="107"/>
      <c r="V61" s="109"/>
      <c r="W61" s="109"/>
      <c r="X61" s="109"/>
      <c r="Y61" s="123"/>
      <c r="Z61" s="109"/>
      <c r="AA61" s="109"/>
      <c r="AB61" s="77"/>
      <c r="AC61" s="109"/>
      <c r="AD61" s="109"/>
      <c r="AE61" s="125"/>
      <c r="AF61" s="109"/>
      <c r="AG61" s="53"/>
      <c r="AH61" s="53"/>
      <c r="AI61" s="77"/>
      <c r="AJ61" s="129"/>
      <c r="AK61" s="53"/>
      <c r="AL61" s="53"/>
      <c r="AM61" s="53"/>
      <c r="AN61" s="123"/>
      <c r="AO61" s="109"/>
      <c r="AP61" s="53"/>
      <c r="AQ61" s="53"/>
      <c r="AR61" s="53"/>
      <c r="AS61" s="121"/>
      <c r="AT61" s="53"/>
      <c r="AU61" s="53"/>
      <c r="AV61" s="53"/>
      <c r="AW61" s="53"/>
      <c r="AX61" s="53"/>
      <c r="AY61" s="121"/>
    </row>
    <row r="62" spans="2:51" ht="15" customHeight="1" outlineLevel="1">
      <c r="B62" s="58" t="s">
        <v>200</v>
      </c>
      <c r="C62" s="59" t="s">
        <v>1</v>
      </c>
      <c r="D62" s="59" t="s">
        <v>10</v>
      </c>
      <c r="E62" s="58" t="s">
        <v>233</v>
      </c>
      <c r="G62" s="65"/>
      <c r="H62" s="65"/>
      <c r="I62" s="65"/>
      <c r="J62" s="118"/>
      <c r="K62" s="116"/>
      <c r="L62" s="65"/>
      <c r="M62" s="65"/>
      <c r="N62" s="65"/>
      <c r="O62" s="118"/>
      <c r="P62" s="71"/>
      <c r="Q62" s="83"/>
      <c r="R62" s="65"/>
      <c r="S62" s="57"/>
      <c r="T62" s="112"/>
      <c r="U62" s="70"/>
      <c r="V62" s="108"/>
      <c r="W62" s="108"/>
      <c r="X62" s="56"/>
      <c r="Y62" s="122"/>
      <c r="Z62" s="75"/>
      <c r="AA62" s="73"/>
      <c r="AB62" s="78"/>
      <c r="AC62" s="75"/>
      <c r="AD62" s="66"/>
      <c r="AE62" s="126"/>
      <c r="AF62" s="75"/>
      <c r="AG62" s="66"/>
      <c r="AH62" s="66"/>
      <c r="AI62" s="78"/>
      <c r="AJ62" s="122"/>
      <c r="AK62" s="75"/>
      <c r="AL62" s="66"/>
      <c r="AM62" s="66"/>
      <c r="AN62" s="122"/>
      <c r="AO62" s="75"/>
      <c r="AP62" s="66"/>
      <c r="AQ62" s="66"/>
      <c r="AR62" s="66"/>
      <c r="AS62" s="122"/>
      <c r="AT62" s="75"/>
      <c r="AU62" s="66"/>
      <c r="AV62" s="66"/>
      <c r="AW62" s="66"/>
      <c r="AX62" s="66"/>
      <c r="AY62" s="122"/>
    </row>
    <row r="63" spans="2:51" ht="15" customHeight="1" outlineLevel="1">
      <c r="B63" s="58" t="s">
        <v>201</v>
      </c>
      <c r="C63" s="59" t="s">
        <v>1</v>
      </c>
      <c r="D63" s="164" t="s">
        <v>22</v>
      </c>
      <c r="E63" s="58" t="s">
        <v>233</v>
      </c>
      <c r="G63" s="65"/>
      <c r="H63" s="65"/>
      <c r="I63" s="65"/>
      <c r="J63" s="118"/>
      <c r="K63" s="116"/>
      <c r="L63" s="65"/>
      <c r="M63" s="65"/>
      <c r="N63" s="65"/>
      <c r="O63" s="118"/>
      <c r="P63" s="71"/>
      <c r="Q63" s="65"/>
      <c r="R63" s="65"/>
      <c r="S63" s="57"/>
      <c r="T63" s="112"/>
      <c r="U63" s="70"/>
      <c r="V63" s="56"/>
      <c r="W63" s="108"/>
      <c r="X63" s="56"/>
      <c r="Y63" s="120"/>
      <c r="Z63" s="74"/>
      <c r="AA63" s="72"/>
      <c r="AB63" s="77"/>
      <c r="AC63" s="74"/>
      <c r="AD63" s="56"/>
      <c r="AE63" s="125"/>
      <c r="AF63" s="75"/>
      <c r="AG63" s="66"/>
      <c r="AH63" s="66"/>
      <c r="AI63" s="78"/>
      <c r="AJ63" s="122"/>
      <c r="AK63" s="75"/>
      <c r="AL63" s="66"/>
      <c r="AM63" s="66"/>
      <c r="AN63" s="122"/>
      <c r="AO63" s="75"/>
      <c r="AP63" s="66"/>
      <c r="AQ63" s="66"/>
      <c r="AR63" s="66"/>
      <c r="AS63" s="122"/>
      <c r="AT63" s="75"/>
      <c r="AU63" s="66"/>
      <c r="AV63" s="66"/>
      <c r="AW63" s="66"/>
      <c r="AX63" s="66"/>
      <c r="AY63" s="122"/>
    </row>
    <row r="64" spans="2:51" ht="15" customHeight="1" outlineLevel="1">
      <c r="B64" s="58" t="s">
        <v>202</v>
      </c>
      <c r="C64" s="59" t="s">
        <v>1</v>
      </c>
      <c r="D64" s="59" t="s">
        <v>24</v>
      </c>
      <c r="E64" s="58" t="s">
        <v>233</v>
      </c>
      <c r="G64" s="65"/>
      <c r="H64" s="65"/>
      <c r="I64" s="65"/>
      <c r="J64" s="118"/>
      <c r="K64" s="116"/>
      <c r="L64" s="65"/>
      <c r="M64" s="65"/>
      <c r="N64" s="65"/>
      <c r="O64" s="118"/>
      <c r="P64" s="71"/>
      <c r="Q64" s="65"/>
      <c r="R64" s="65"/>
      <c r="S64" s="57"/>
      <c r="T64" s="112"/>
      <c r="U64" s="70"/>
      <c r="V64" s="56"/>
      <c r="W64" s="108"/>
      <c r="X64" s="108"/>
      <c r="Y64" s="120"/>
      <c r="Z64" s="74"/>
      <c r="AA64" s="72"/>
      <c r="AB64" s="77"/>
      <c r="AC64" s="74"/>
      <c r="AD64" s="56"/>
      <c r="AE64" s="125"/>
      <c r="AF64" s="75"/>
      <c r="AG64" s="66"/>
      <c r="AH64" s="66"/>
      <c r="AI64" s="78"/>
      <c r="AJ64" s="122"/>
      <c r="AK64" s="75"/>
      <c r="AL64" s="66"/>
      <c r="AM64" s="66"/>
      <c r="AN64" s="122"/>
      <c r="AO64" s="75"/>
      <c r="AP64" s="66"/>
      <c r="AQ64" s="66"/>
      <c r="AR64" s="66"/>
      <c r="AS64" s="122"/>
      <c r="AT64" s="75"/>
      <c r="AU64" s="66"/>
      <c r="AV64" s="66"/>
      <c r="AW64" s="66"/>
      <c r="AX64" s="66"/>
      <c r="AY64" s="122"/>
    </row>
    <row r="65" spans="2:51" ht="15" customHeight="1" outlineLevel="1">
      <c r="B65" s="58" t="s">
        <v>203</v>
      </c>
      <c r="C65" s="59" t="s">
        <v>1</v>
      </c>
      <c r="D65" s="59" t="s">
        <v>33</v>
      </c>
      <c r="E65" s="58" t="s">
        <v>233</v>
      </c>
      <c r="G65" s="65"/>
      <c r="H65" s="65"/>
      <c r="I65" s="65"/>
      <c r="J65" s="118"/>
      <c r="K65" s="116"/>
      <c r="L65" s="65"/>
      <c r="M65" s="65"/>
      <c r="N65" s="65"/>
      <c r="O65" s="118"/>
      <c r="P65" s="71"/>
      <c r="Q65" s="65"/>
      <c r="R65" s="65"/>
      <c r="S65" s="57"/>
      <c r="T65" s="112"/>
      <c r="U65" s="70"/>
      <c r="V65" s="56"/>
      <c r="W65" s="56"/>
      <c r="X65" s="108"/>
      <c r="Y65" s="120"/>
      <c r="Z65" s="74"/>
      <c r="AA65" s="72"/>
      <c r="AB65" s="77"/>
      <c r="AC65" s="74"/>
      <c r="AD65" s="56"/>
      <c r="AE65" s="125"/>
      <c r="AF65" s="75"/>
      <c r="AG65" s="66"/>
      <c r="AH65" s="66"/>
      <c r="AI65" s="78"/>
      <c r="AJ65" s="122"/>
      <c r="AK65" s="75"/>
      <c r="AL65" s="66"/>
      <c r="AM65" s="66"/>
      <c r="AN65" s="122"/>
      <c r="AO65" s="75"/>
      <c r="AP65" s="66"/>
      <c r="AQ65" s="66"/>
      <c r="AR65" s="66"/>
      <c r="AS65" s="122"/>
      <c r="AT65" s="75"/>
      <c r="AU65" s="66"/>
      <c r="AV65" s="66"/>
      <c r="AW65" s="66"/>
      <c r="AX65" s="66"/>
      <c r="AY65" s="122"/>
    </row>
    <row r="66" spans="2:51" ht="15" customHeight="1" outlineLevel="1">
      <c r="B66" s="58" t="s">
        <v>204</v>
      </c>
      <c r="C66" s="59" t="s">
        <v>1</v>
      </c>
      <c r="D66" s="59" t="s">
        <v>36</v>
      </c>
      <c r="E66" s="58" t="s">
        <v>233</v>
      </c>
      <c r="G66" s="65"/>
      <c r="H66" s="65"/>
      <c r="I66" s="65"/>
      <c r="J66" s="118"/>
      <c r="K66" s="116"/>
      <c r="L66" s="65"/>
      <c r="M66" s="65"/>
      <c r="N66" s="65"/>
      <c r="O66" s="118"/>
      <c r="P66" s="71"/>
      <c r="Q66" s="65"/>
      <c r="R66" s="65"/>
      <c r="S66" s="57"/>
      <c r="T66" s="112"/>
      <c r="U66" s="70"/>
      <c r="V66" s="56"/>
      <c r="W66" s="56"/>
      <c r="X66" s="108"/>
      <c r="Y66" s="115"/>
      <c r="Z66" s="74"/>
      <c r="AA66" s="72"/>
      <c r="AB66" s="77"/>
      <c r="AC66" s="74"/>
      <c r="AD66" s="56"/>
      <c r="AE66" s="125"/>
      <c r="AF66" s="75"/>
      <c r="AG66" s="66"/>
      <c r="AH66" s="66"/>
      <c r="AI66" s="78"/>
      <c r="AJ66" s="122"/>
      <c r="AK66" s="75"/>
      <c r="AL66" s="66"/>
      <c r="AM66" s="66"/>
      <c r="AN66" s="122"/>
      <c r="AO66" s="75"/>
      <c r="AP66" s="66"/>
      <c r="AQ66" s="66"/>
      <c r="AR66" s="66"/>
      <c r="AS66" s="122"/>
      <c r="AT66" s="75"/>
      <c r="AU66" s="66"/>
      <c r="AV66" s="66"/>
      <c r="AW66" s="66"/>
      <c r="AX66" s="66"/>
      <c r="AY66" s="122"/>
    </row>
    <row r="67" spans="2:51" ht="15" customHeight="1" outlineLevel="1">
      <c r="B67" s="58" t="s">
        <v>205</v>
      </c>
      <c r="C67" s="59" t="s">
        <v>1</v>
      </c>
      <c r="D67" s="164" t="s">
        <v>37</v>
      </c>
      <c r="E67" s="58" t="s">
        <v>233</v>
      </c>
      <c r="G67" s="65"/>
      <c r="H67" s="65"/>
      <c r="I67" s="65"/>
      <c r="J67" s="118"/>
      <c r="K67" s="116"/>
      <c r="L67" s="65"/>
      <c r="M67" s="65"/>
      <c r="N67" s="65"/>
      <c r="O67" s="118"/>
      <c r="P67" s="71"/>
      <c r="Q67" s="65"/>
      <c r="R67" s="65"/>
      <c r="S67" s="65"/>
      <c r="T67" s="118"/>
      <c r="U67" s="71"/>
      <c r="V67" s="66"/>
      <c r="W67" s="66"/>
      <c r="X67" s="56"/>
      <c r="Y67" s="115"/>
      <c r="Z67" s="74"/>
      <c r="AA67" s="72"/>
      <c r="AB67" s="77"/>
      <c r="AC67" s="74"/>
      <c r="AD67" s="56"/>
      <c r="AE67" s="125"/>
      <c r="AF67" s="75"/>
      <c r="AG67" s="66"/>
      <c r="AH67" s="66"/>
      <c r="AI67" s="78"/>
      <c r="AJ67" s="122"/>
      <c r="AK67" s="75"/>
      <c r="AL67" s="66"/>
      <c r="AM67" s="66"/>
      <c r="AN67" s="122"/>
      <c r="AO67" s="75"/>
      <c r="AP67" s="66"/>
      <c r="AQ67" s="66"/>
      <c r="AR67" s="66"/>
      <c r="AS67" s="122"/>
      <c r="AT67" s="75"/>
      <c r="AU67" s="66"/>
      <c r="AV67" s="66"/>
      <c r="AW67" s="66"/>
      <c r="AX67" s="66"/>
      <c r="AY67" s="122"/>
    </row>
    <row r="68" spans="2:51" ht="15" customHeight="1" outlineLevel="1">
      <c r="B68" s="58" t="s">
        <v>206</v>
      </c>
      <c r="C68" s="59" t="s">
        <v>1</v>
      </c>
      <c r="D68" s="164" t="s">
        <v>39</v>
      </c>
      <c r="E68" s="58" t="s">
        <v>233</v>
      </c>
      <c r="G68" s="65"/>
      <c r="H68" s="65"/>
      <c r="I68" s="65"/>
      <c r="J68" s="118"/>
      <c r="K68" s="116"/>
      <c r="L68" s="65"/>
      <c r="M68" s="65"/>
      <c r="N68" s="65"/>
      <c r="O68" s="118"/>
      <c r="P68" s="71"/>
      <c r="Q68" s="65"/>
      <c r="R68" s="65"/>
      <c r="S68" s="65"/>
      <c r="T68" s="118"/>
      <c r="U68" s="71"/>
      <c r="V68" s="66"/>
      <c r="W68" s="66"/>
      <c r="X68" s="56"/>
      <c r="Y68" s="115"/>
      <c r="Z68" s="111"/>
      <c r="AA68" s="72"/>
      <c r="AB68" s="77"/>
      <c r="AC68" s="74"/>
      <c r="AD68" s="56"/>
      <c r="AE68" s="125"/>
      <c r="AF68" s="75"/>
      <c r="AG68" s="66"/>
      <c r="AH68" s="66"/>
      <c r="AI68" s="78"/>
      <c r="AJ68" s="122"/>
      <c r="AK68" s="75"/>
      <c r="AL68" s="66"/>
      <c r="AM68" s="66"/>
      <c r="AN68" s="122"/>
      <c r="AO68" s="75"/>
      <c r="AP68" s="66"/>
      <c r="AQ68" s="66"/>
      <c r="AR68" s="66"/>
      <c r="AS68" s="122"/>
      <c r="AT68" s="75"/>
      <c r="AU68" s="66"/>
      <c r="AV68" s="66"/>
      <c r="AW68" s="66"/>
      <c r="AX68" s="66"/>
      <c r="AY68" s="122"/>
    </row>
    <row r="69" spans="2:51" ht="15" customHeight="1" outlineLevel="1">
      <c r="B69" s="58" t="s">
        <v>207</v>
      </c>
      <c r="C69" s="59" t="s">
        <v>1</v>
      </c>
      <c r="D69" s="59" t="s">
        <v>40</v>
      </c>
      <c r="E69" s="58" t="s">
        <v>233</v>
      </c>
      <c r="G69" s="65"/>
      <c r="H69" s="65"/>
      <c r="I69" s="65"/>
      <c r="J69" s="118"/>
      <c r="K69" s="116"/>
      <c r="L69" s="65"/>
      <c r="M69" s="65"/>
      <c r="N69" s="65"/>
      <c r="O69" s="118"/>
      <c r="P69" s="71"/>
      <c r="Q69" s="65"/>
      <c r="R69" s="65"/>
      <c r="S69" s="65"/>
      <c r="T69" s="118"/>
      <c r="U69" s="71"/>
      <c r="V69" s="66"/>
      <c r="W69" s="66"/>
      <c r="X69" s="56"/>
      <c r="Y69" s="120"/>
      <c r="Z69" s="111"/>
      <c r="AA69" s="72"/>
      <c r="AB69" s="77"/>
      <c r="AC69" s="74"/>
      <c r="AD69" s="56"/>
      <c r="AE69" s="125"/>
      <c r="AF69" s="75"/>
      <c r="AG69" s="66"/>
      <c r="AH69" s="66"/>
      <c r="AI69" s="78"/>
      <c r="AJ69" s="122"/>
      <c r="AK69" s="75"/>
      <c r="AL69" s="66"/>
      <c r="AM69" s="66"/>
      <c r="AN69" s="122"/>
      <c r="AO69" s="75"/>
      <c r="AP69" s="66"/>
      <c r="AQ69" s="66"/>
      <c r="AR69" s="66"/>
      <c r="AS69" s="122"/>
      <c r="AT69" s="75"/>
      <c r="AU69" s="66"/>
      <c r="AV69" s="66"/>
      <c r="AW69" s="66"/>
      <c r="AX69" s="66"/>
      <c r="AY69" s="122"/>
    </row>
    <row r="70" spans="2:51" ht="15" customHeight="1" outlineLevel="1">
      <c r="B70" s="58" t="s">
        <v>208</v>
      </c>
      <c r="C70" s="59" t="s">
        <v>1</v>
      </c>
      <c r="D70" s="59" t="s">
        <v>41</v>
      </c>
      <c r="E70" s="58" t="s">
        <v>233</v>
      </c>
      <c r="G70" s="65"/>
      <c r="H70" s="65"/>
      <c r="I70" s="65"/>
      <c r="J70" s="118"/>
      <c r="K70" s="116"/>
      <c r="L70" s="65"/>
      <c r="M70" s="65"/>
      <c r="N70" s="65"/>
      <c r="O70" s="118"/>
      <c r="P70" s="71"/>
      <c r="Q70" s="65"/>
      <c r="R70" s="65"/>
      <c r="S70" s="65"/>
      <c r="T70" s="118"/>
      <c r="U70" s="71"/>
      <c r="V70" s="66"/>
      <c r="W70" s="66"/>
      <c r="X70" s="56"/>
      <c r="Y70" s="120"/>
      <c r="Z70" s="111"/>
      <c r="AA70" s="108"/>
      <c r="AB70" s="77"/>
      <c r="AC70" s="74"/>
      <c r="AD70" s="56"/>
      <c r="AE70" s="125"/>
      <c r="AF70" s="75"/>
      <c r="AG70" s="66"/>
      <c r="AH70" s="66"/>
      <c r="AI70" s="78"/>
      <c r="AJ70" s="122"/>
      <c r="AK70" s="75"/>
      <c r="AL70" s="66"/>
      <c r="AM70" s="66"/>
      <c r="AN70" s="122"/>
      <c r="AO70" s="75"/>
      <c r="AP70" s="66"/>
      <c r="AQ70" s="66"/>
      <c r="AR70" s="66"/>
      <c r="AS70" s="122"/>
      <c r="AT70" s="75"/>
      <c r="AU70" s="66"/>
      <c r="AV70" s="66"/>
      <c r="AW70" s="66"/>
      <c r="AX70" s="66"/>
      <c r="AY70" s="122"/>
    </row>
    <row r="71" spans="2:51" ht="15" customHeight="1" outlineLevel="1">
      <c r="B71" s="58" t="s">
        <v>209</v>
      </c>
      <c r="C71" s="59" t="s">
        <v>1</v>
      </c>
      <c r="D71" s="164" t="s">
        <v>42</v>
      </c>
      <c r="E71" s="58" t="s">
        <v>233</v>
      </c>
      <c r="G71" s="65"/>
      <c r="H71" s="65"/>
      <c r="I71" s="65"/>
      <c r="J71" s="118"/>
      <c r="K71" s="116"/>
      <c r="L71" s="65"/>
      <c r="M71" s="65"/>
      <c r="N71" s="65"/>
      <c r="O71" s="118"/>
      <c r="P71" s="71"/>
      <c r="Q71" s="65"/>
      <c r="R71" s="65"/>
      <c r="S71" s="65"/>
      <c r="T71" s="118"/>
      <c r="U71" s="71"/>
      <c r="V71" s="66"/>
      <c r="W71" s="66"/>
      <c r="X71" s="56"/>
      <c r="Y71" s="120"/>
      <c r="Z71" s="74"/>
      <c r="AA71" s="108"/>
      <c r="AB71" s="77"/>
      <c r="AC71" s="74"/>
      <c r="AD71" s="56"/>
      <c r="AE71" s="125"/>
      <c r="AF71" s="75"/>
      <c r="AG71" s="66"/>
      <c r="AH71" s="66"/>
      <c r="AI71" s="78"/>
      <c r="AJ71" s="122"/>
      <c r="AK71" s="75"/>
      <c r="AL71" s="66"/>
      <c r="AM71" s="66"/>
      <c r="AN71" s="122"/>
      <c r="AO71" s="75"/>
      <c r="AP71" s="66"/>
      <c r="AQ71" s="66"/>
      <c r="AR71" s="66"/>
      <c r="AS71" s="122"/>
      <c r="AT71" s="75"/>
      <c r="AU71" s="66"/>
      <c r="AV71" s="66"/>
      <c r="AW71" s="66"/>
      <c r="AX71" s="66"/>
      <c r="AY71" s="122"/>
    </row>
    <row r="72" spans="2:51" ht="15" customHeight="1" outlineLevel="1">
      <c r="B72" s="58" t="s">
        <v>210</v>
      </c>
      <c r="C72" s="59" t="s">
        <v>1</v>
      </c>
      <c r="D72" s="59" t="s">
        <v>43</v>
      </c>
      <c r="E72" s="58" t="s">
        <v>233</v>
      </c>
      <c r="G72" s="65"/>
      <c r="H72" s="65"/>
      <c r="I72" s="65"/>
      <c r="J72" s="118"/>
      <c r="K72" s="116"/>
      <c r="L72" s="65"/>
      <c r="M72" s="65"/>
      <c r="N72" s="65"/>
      <c r="O72" s="118"/>
      <c r="P72" s="71"/>
      <c r="Q72" s="65"/>
      <c r="R72" s="65"/>
      <c r="S72" s="65"/>
      <c r="T72" s="118"/>
      <c r="U72" s="71"/>
      <c r="V72" s="66"/>
      <c r="W72" s="66"/>
      <c r="X72" s="56"/>
      <c r="Y72" s="120"/>
      <c r="Z72" s="74"/>
      <c r="AA72" s="72"/>
      <c r="AB72" s="77"/>
      <c r="AC72" s="108"/>
      <c r="AD72" s="56"/>
      <c r="AE72" s="125"/>
      <c r="AF72" s="75"/>
      <c r="AG72" s="66"/>
      <c r="AH72" s="66"/>
      <c r="AI72" s="78"/>
      <c r="AJ72" s="122"/>
      <c r="AK72" s="75"/>
      <c r="AL72" s="66"/>
      <c r="AM72" s="66"/>
      <c r="AN72" s="122"/>
      <c r="AO72" s="75"/>
      <c r="AP72" s="66"/>
      <c r="AQ72" s="66"/>
      <c r="AR72" s="66"/>
      <c r="AS72" s="122"/>
      <c r="AT72" s="75"/>
      <c r="AU72" s="66"/>
      <c r="AV72" s="66"/>
      <c r="AW72" s="66"/>
      <c r="AX72" s="66"/>
      <c r="AY72" s="122"/>
    </row>
    <row r="73" spans="2:51" ht="15" customHeight="1" outlineLevel="1">
      <c r="B73" s="58" t="s">
        <v>211</v>
      </c>
      <c r="C73" s="59" t="s">
        <v>1</v>
      </c>
      <c r="D73" s="59" t="s">
        <v>47</v>
      </c>
      <c r="E73" s="58" t="s">
        <v>233</v>
      </c>
      <c r="G73" s="65"/>
      <c r="H73" s="65"/>
      <c r="I73" s="65"/>
      <c r="J73" s="118"/>
      <c r="K73" s="116"/>
      <c r="L73" s="65"/>
      <c r="M73" s="65"/>
      <c r="N73" s="65"/>
      <c r="O73" s="118"/>
      <c r="P73" s="71"/>
      <c r="Q73" s="65"/>
      <c r="R73" s="65"/>
      <c r="S73" s="65"/>
      <c r="T73" s="118"/>
      <c r="U73" s="71"/>
      <c r="V73" s="66"/>
      <c r="W73" s="66"/>
      <c r="X73" s="56"/>
      <c r="Y73" s="120"/>
      <c r="Z73" s="74"/>
      <c r="AA73" s="72"/>
      <c r="AB73" s="77"/>
      <c r="AC73" s="108"/>
      <c r="AD73" s="56"/>
      <c r="AE73" s="125"/>
      <c r="AF73" s="75"/>
      <c r="AG73" s="66"/>
      <c r="AH73" s="66"/>
      <c r="AI73" s="78"/>
      <c r="AJ73" s="122"/>
      <c r="AK73" s="75"/>
      <c r="AL73" s="66"/>
      <c r="AM73" s="66"/>
      <c r="AN73" s="122"/>
      <c r="AO73" s="75"/>
      <c r="AP73" s="66"/>
      <c r="AQ73" s="66"/>
      <c r="AR73" s="66"/>
      <c r="AS73" s="122"/>
      <c r="AT73" s="75"/>
      <c r="AU73" s="66"/>
      <c r="AV73" s="66"/>
      <c r="AW73" s="66"/>
      <c r="AX73" s="66"/>
      <c r="AY73" s="122"/>
    </row>
    <row r="74" spans="2:51" ht="15" customHeight="1" outlineLevel="1">
      <c r="B74" s="58" t="s">
        <v>212</v>
      </c>
      <c r="C74" s="59" t="s">
        <v>1</v>
      </c>
      <c r="D74" s="59" t="s">
        <v>51</v>
      </c>
      <c r="E74" s="58" t="s">
        <v>233</v>
      </c>
      <c r="G74" s="65"/>
      <c r="H74" s="65"/>
      <c r="I74" s="65"/>
      <c r="J74" s="118"/>
      <c r="K74" s="116"/>
      <c r="L74" s="65"/>
      <c r="M74" s="65"/>
      <c r="N74" s="65"/>
      <c r="O74" s="118"/>
      <c r="P74" s="71"/>
      <c r="Q74" s="65"/>
      <c r="R74" s="65"/>
      <c r="S74" s="65"/>
      <c r="T74" s="118"/>
      <c r="U74" s="71"/>
      <c r="V74" s="66"/>
      <c r="W74" s="66"/>
      <c r="X74" s="56"/>
      <c r="Y74" s="120"/>
      <c r="Z74" s="74"/>
      <c r="AA74" s="72"/>
      <c r="AB74" s="77"/>
      <c r="AC74" s="108"/>
      <c r="AD74" s="108"/>
      <c r="AE74" s="125"/>
      <c r="AF74" s="74"/>
      <c r="AG74" s="56"/>
      <c r="AH74" s="56"/>
      <c r="AI74" s="77"/>
      <c r="AJ74" s="122"/>
      <c r="AK74" s="75"/>
      <c r="AL74" s="66"/>
      <c r="AM74" s="66"/>
      <c r="AN74" s="122"/>
      <c r="AO74" s="75"/>
      <c r="AP74" s="66"/>
      <c r="AQ74" s="66"/>
      <c r="AR74" s="66"/>
      <c r="AS74" s="122"/>
      <c r="AT74" s="75"/>
      <c r="AU74" s="66"/>
      <c r="AV74" s="66"/>
      <c r="AW74" s="66"/>
      <c r="AX74" s="66"/>
      <c r="AY74" s="122"/>
    </row>
    <row r="75" spans="2:51" ht="15" customHeight="1" outlineLevel="1">
      <c r="B75" s="58" t="s">
        <v>213</v>
      </c>
      <c r="C75" s="59" t="s">
        <v>55</v>
      </c>
      <c r="D75" s="59" t="s">
        <v>36</v>
      </c>
      <c r="E75" s="58" t="s">
        <v>233</v>
      </c>
      <c r="G75" s="65"/>
      <c r="H75" s="65"/>
      <c r="I75" s="65"/>
      <c r="J75" s="118"/>
      <c r="K75" s="116"/>
      <c r="L75" s="65"/>
      <c r="M75" s="65"/>
      <c r="N75" s="65"/>
      <c r="O75" s="118"/>
      <c r="P75" s="71"/>
      <c r="Q75" s="65"/>
      <c r="R75" s="65"/>
      <c r="S75" s="65"/>
      <c r="T75" s="118"/>
      <c r="U75" s="71"/>
      <c r="V75" s="66"/>
      <c r="W75" s="66"/>
      <c r="X75" s="56"/>
      <c r="Y75" s="120"/>
      <c r="Z75" s="74"/>
      <c r="AA75" s="72"/>
      <c r="AB75" s="77"/>
      <c r="AC75" s="74"/>
      <c r="AD75" s="108"/>
      <c r="AE75" s="125"/>
      <c r="AF75" s="74"/>
      <c r="AG75" s="56"/>
      <c r="AH75" s="56"/>
      <c r="AI75" s="77"/>
      <c r="AJ75" s="122"/>
      <c r="AK75" s="75"/>
      <c r="AL75" s="66"/>
      <c r="AM75" s="66"/>
      <c r="AN75" s="122"/>
      <c r="AO75" s="75"/>
      <c r="AP75" s="66"/>
      <c r="AQ75" s="66"/>
      <c r="AR75" s="66"/>
      <c r="AS75" s="122"/>
      <c r="AT75" s="75"/>
      <c r="AU75" s="66"/>
      <c r="AV75" s="66"/>
      <c r="AW75" s="66"/>
      <c r="AX75" s="66"/>
      <c r="AY75" s="122"/>
    </row>
    <row r="76" spans="2:51" ht="15" customHeight="1" outlineLevel="1">
      <c r="B76" s="58" t="s">
        <v>214</v>
      </c>
      <c r="C76" s="59" t="s">
        <v>55</v>
      </c>
      <c r="D76" s="59" t="s">
        <v>38</v>
      </c>
      <c r="E76" s="58" t="s">
        <v>233</v>
      </c>
      <c r="G76" s="65"/>
      <c r="H76" s="65"/>
      <c r="I76" s="65"/>
      <c r="J76" s="118"/>
      <c r="K76" s="116"/>
      <c r="L76" s="65"/>
      <c r="M76" s="65"/>
      <c r="N76" s="65"/>
      <c r="O76" s="118"/>
      <c r="P76" s="71"/>
      <c r="Q76" s="65"/>
      <c r="R76" s="65"/>
      <c r="S76" s="65"/>
      <c r="T76" s="118"/>
      <c r="U76" s="71"/>
      <c r="V76" s="66"/>
      <c r="W76" s="66"/>
      <c r="X76" s="56"/>
      <c r="Y76" s="120"/>
      <c r="Z76" s="74"/>
      <c r="AA76" s="72"/>
      <c r="AB76" s="77"/>
      <c r="AC76" s="74"/>
      <c r="AD76" s="56"/>
      <c r="AE76" s="125"/>
      <c r="AF76" s="111"/>
      <c r="AG76" s="56"/>
      <c r="AH76" s="56"/>
      <c r="AI76" s="77"/>
      <c r="AJ76" s="122"/>
      <c r="AK76" s="75"/>
      <c r="AL76" s="66"/>
      <c r="AM76" s="66"/>
      <c r="AN76" s="122"/>
      <c r="AO76" s="75"/>
      <c r="AP76" s="66"/>
      <c r="AQ76" s="66"/>
      <c r="AR76" s="66"/>
      <c r="AS76" s="122"/>
      <c r="AT76" s="75"/>
      <c r="AU76" s="66"/>
      <c r="AV76" s="66"/>
      <c r="AW76" s="66"/>
      <c r="AX76" s="66"/>
      <c r="AY76" s="122"/>
    </row>
    <row r="77" spans="2:51" ht="15" customHeight="1" outlineLevel="1">
      <c r="B77" s="58" t="s">
        <v>215</v>
      </c>
      <c r="C77" s="59" t="s">
        <v>55</v>
      </c>
      <c r="D77" s="59" t="s">
        <v>56</v>
      </c>
      <c r="E77" s="58" t="s">
        <v>233</v>
      </c>
      <c r="G77" s="65"/>
      <c r="H77" s="65"/>
      <c r="I77" s="65"/>
      <c r="J77" s="118"/>
      <c r="K77" s="116"/>
      <c r="L77" s="65"/>
      <c r="M77" s="65"/>
      <c r="N77" s="65"/>
      <c r="O77" s="118"/>
      <c r="P77" s="71"/>
      <c r="Q77" s="65"/>
      <c r="R77" s="65"/>
      <c r="S77" s="65"/>
      <c r="T77" s="118"/>
      <c r="U77" s="71"/>
      <c r="V77" s="66"/>
      <c r="W77" s="66"/>
      <c r="X77" s="66"/>
      <c r="Y77" s="122"/>
      <c r="Z77" s="75"/>
      <c r="AA77" s="73"/>
      <c r="AB77" s="78"/>
      <c r="AC77" s="75"/>
      <c r="AD77" s="66"/>
      <c r="AE77" s="126"/>
      <c r="AF77" s="111"/>
      <c r="AG77" s="56"/>
      <c r="AH77" s="56"/>
      <c r="AI77" s="77"/>
      <c r="AJ77" s="122"/>
      <c r="AK77" s="75"/>
      <c r="AL77" s="66"/>
      <c r="AM77" s="66"/>
      <c r="AN77" s="122"/>
      <c r="AO77" s="75"/>
      <c r="AP77" s="66"/>
      <c r="AQ77" s="66"/>
      <c r="AR77" s="66"/>
      <c r="AS77" s="122"/>
      <c r="AT77" s="75"/>
      <c r="AU77" s="66"/>
      <c r="AV77" s="66"/>
      <c r="AW77" s="66"/>
      <c r="AX77" s="66"/>
      <c r="AY77" s="122"/>
    </row>
    <row r="78" spans="2:51" ht="15" customHeight="1" outlineLevel="1">
      <c r="B78" s="58" t="s">
        <v>216</v>
      </c>
      <c r="C78" s="59" t="s">
        <v>55</v>
      </c>
      <c r="D78" s="59" t="s">
        <v>57</v>
      </c>
      <c r="E78" s="58" t="s">
        <v>233</v>
      </c>
      <c r="G78" s="65"/>
      <c r="H78" s="65"/>
      <c r="I78" s="65"/>
      <c r="J78" s="118"/>
      <c r="K78" s="116"/>
      <c r="L78" s="65"/>
      <c r="M78" s="65"/>
      <c r="N78" s="65"/>
      <c r="O78" s="118"/>
      <c r="P78" s="71"/>
      <c r="Q78" s="65"/>
      <c r="R78" s="65"/>
      <c r="S78" s="65"/>
      <c r="T78" s="118"/>
      <c r="U78" s="71"/>
      <c r="V78" s="66"/>
      <c r="W78" s="66"/>
      <c r="X78" s="66"/>
      <c r="Y78" s="122"/>
      <c r="Z78" s="75"/>
      <c r="AA78" s="73"/>
      <c r="AB78" s="78"/>
      <c r="AC78" s="75"/>
      <c r="AD78" s="66"/>
      <c r="AE78" s="126"/>
      <c r="AF78" s="111"/>
      <c r="AG78" s="56"/>
      <c r="AH78" s="56"/>
      <c r="AI78" s="77"/>
      <c r="AJ78" s="122"/>
      <c r="AK78" s="75"/>
      <c r="AL78" s="66"/>
      <c r="AM78" s="66"/>
      <c r="AN78" s="122"/>
      <c r="AO78" s="75"/>
      <c r="AP78" s="66"/>
      <c r="AQ78" s="66"/>
      <c r="AR78" s="66"/>
      <c r="AS78" s="122"/>
      <c r="AT78" s="75"/>
      <c r="AU78" s="66"/>
      <c r="AV78" s="66"/>
      <c r="AW78" s="66"/>
      <c r="AX78" s="66"/>
      <c r="AY78" s="122"/>
    </row>
    <row r="79" spans="2:51" ht="15" customHeight="1" outlineLevel="1">
      <c r="B79" s="58" t="s">
        <v>217</v>
      </c>
      <c r="C79" s="59" t="s">
        <v>55</v>
      </c>
      <c r="D79" s="59" t="s">
        <v>58</v>
      </c>
      <c r="E79" s="58" t="s">
        <v>233</v>
      </c>
      <c r="G79" s="65"/>
      <c r="H79" s="65"/>
      <c r="I79" s="65"/>
      <c r="J79" s="118"/>
      <c r="K79" s="116"/>
      <c r="L79" s="65"/>
      <c r="M79" s="65"/>
      <c r="N79" s="65"/>
      <c r="O79" s="118"/>
      <c r="P79" s="71"/>
      <c r="Q79" s="65"/>
      <c r="R79" s="65"/>
      <c r="S79" s="65"/>
      <c r="T79" s="118"/>
      <c r="U79" s="71"/>
      <c r="V79" s="66"/>
      <c r="W79" s="66"/>
      <c r="X79" s="66"/>
      <c r="Y79" s="122"/>
      <c r="Z79" s="75"/>
      <c r="AA79" s="73"/>
      <c r="AB79" s="78"/>
      <c r="AC79" s="75"/>
      <c r="AD79" s="66"/>
      <c r="AE79" s="126"/>
      <c r="AF79" s="111"/>
      <c r="AG79" s="56"/>
      <c r="AH79" s="56"/>
      <c r="AI79" s="77"/>
      <c r="AJ79" s="122"/>
      <c r="AK79" s="75"/>
      <c r="AL79" s="66"/>
      <c r="AM79" s="66"/>
      <c r="AN79" s="122"/>
      <c r="AO79" s="75"/>
      <c r="AP79" s="66"/>
      <c r="AQ79" s="66"/>
      <c r="AR79" s="66"/>
      <c r="AS79" s="122"/>
      <c r="AT79" s="75"/>
      <c r="AU79" s="66"/>
      <c r="AV79" s="66"/>
      <c r="AW79" s="66"/>
      <c r="AX79" s="66"/>
      <c r="AY79" s="122"/>
    </row>
    <row r="80" spans="2:51" ht="15" customHeight="1" outlineLevel="1">
      <c r="B80" s="58" t="s">
        <v>218</v>
      </c>
      <c r="C80" s="59" t="s">
        <v>55</v>
      </c>
      <c r="D80" s="59" t="s">
        <v>60</v>
      </c>
      <c r="E80" s="58" t="s">
        <v>233</v>
      </c>
      <c r="G80" s="65"/>
      <c r="H80" s="65"/>
      <c r="I80" s="65"/>
      <c r="J80" s="118"/>
      <c r="K80" s="116"/>
      <c r="L80" s="65"/>
      <c r="M80" s="65"/>
      <c r="N80" s="65"/>
      <c r="O80" s="118"/>
      <c r="P80" s="71"/>
      <c r="Q80" s="65"/>
      <c r="R80" s="65"/>
      <c r="S80" s="65"/>
      <c r="T80" s="118"/>
      <c r="U80" s="71"/>
      <c r="V80" s="66"/>
      <c r="W80" s="66"/>
      <c r="X80" s="66"/>
      <c r="Y80" s="122"/>
      <c r="Z80" s="75"/>
      <c r="AA80" s="73"/>
      <c r="AB80" s="78"/>
      <c r="AC80" s="75"/>
      <c r="AD80" s="66"/>
      <c r="AE80" s="126"/>
      <c r="AF80" s="111"/>
      <c r="AG80" s="108"/>
      <c r="AH80" s="56"/>
      <c r="AI80" s="77"/>
      <c r="AJ80" s="122"/>
      <c r="AK80" s="75"/>
      <c r="AL80" s="66"/>
      <c r="AM80" s="66"/>
      <c r="AN80" s="122"/>
      <c r="AO80" s="75"/>
      <c r="AP80" s="66"/>
      <c r="AQ80" s="66"/>
      <c r="AR80" s="66"/>
      <c r="AS80" s="122"/>
      <c r="AT80" s="75"/>
      <c r="AU80" s="66"/>
      <c r="AV80" s="66"/>
      <c r="AW80" s="66"/>
      <c r="AX80" s="66"/>
      <c r="AY80" s="122"/>
    </row>
    <row r="81" spans="2:51" ht="15" customHeight="1" outlineLevel="1">
      <c r="B81" s="58" t="s">
        <v>219</v>
      </c>
      <c r="C81" s="59" t="s">
        <v>61</v>
      </c>
      <c r="D81" s="59" t="s">
        <v>89</v>
      </c>
      <c r="E81" s="58" t="s">
        <v>233</v>
      </c>
      <c r="G81" s="65"/>
      <c r="H81" s="65"/>
      <c r="I81" s="65"/>
      <c r="J81" s="118"/>
      <c r="K81" s="116"/>
      <c r="L81" s="65"/>
      <c r="M81" s="65"/>
      <c r="N81" s="65"/>
      <c r="O81" s="118"/>
      <c r="P81" s="71"/>
      <c r="Q81" s="65"/>
      <c r="R81" s="65"/>
      <c r="S81" s="65"/>
      <c r="T81" s="118"/>
      <c r="U81" s="71"/>
      <c r="V81" s="66"/>
      <c r="W81" s="66"/>
      <c r="X81" s="66"/>
      <c r="Y81" s="122"/>
      <c r="Z81" s="75"/>
      <c r="AA81" s="73"/>
      <c r="AB81" s="78"/>
      <c r="AC81" s="75"/>
      <c r="AD81" s="66"/>
      <c r="AE81" s="126"/>
      <c r="AF81" s="74"/>
      <c r="AG81" s="108"/>
      <c r="AH81" s="56"/>
      <c r="AI81" s="77"/>
      <c r="AJ81" s="122"/>
      <c r="AK81" s="75"/>
      <c r="AL81" s="66"/>
      <c r="AM81" s="66"/>
      <c r="AN81" s="122"/>
      <c r="AO81" s="75"/>
      <c r="AP81" s="66"/>
      <c r="AQ81" s="66"/>
      <c r="AR81" s="66"/>
      <c r="AS81" s="122"/>
      <c r="AT81" s="75"/>
      <c r="AU81" s="66"/>
      <c r="AV81" s="66"/>
      <c r="AW81" s="66"/>
      <c r="AX81" s="66"/>
      <c r="AY81" s="122"/>
    </row>
    <row r="82" spans="2:51" ht="15" customHeight="1" outlineLevel="1">
      <c r="B82" s="58" t="s">
        <v>220</v>
      </c>
      <c r="C82" s="59" t="s">
        <v>61</v>
      </c>
      <c r="D82" s="59" t="s">
        <v>36</v>
      </c>
      <c r="E82" s="58" t="s">
        <v>233</v>
      </c>
      <c r="G82" s="65"/>
      <c r="H82" s="65"/>
      <c r="I82" s="65"/>
      <c r="J82" s="118"/>
      <c r="K82" s="116"/>
      <c r="L82" s="65"/>
      <c r="M82" s="65"/>
      <c r="N82" s="65"/>
      <c r="O82" s="118"/>
      <c r="P82" s="71"/>
      <c r="Q82" s="65"/>
      <c r="R82" s="65"/>
      <c r="S82" s="65"/>
      <c r="T82" s="118"/>
      <c r="U82" s="71"/>
      <c r="V82" s="66"/>
      <c r="W82" s="66"/>
      <c r="X82" s="66"/>
      <c r="Y82" s="122"/>
      <c r="Z82" s="75"/>
      <c r="AA82" s="73"/>
      <c r="AB82" s="78"/>
      <c r="AC82" s="75"/>
      <c r="AD82" s="66"/>
      <c r="AE82" s="126"/>
      <c r="AF82" s="74"/>
      <c r="AG82" s="108"/>
      <c r="AH82" s="56"/>
      <c r="AI82" s="77"/>
      <c r="AJ82" s="122"/>
      <c r="AK82" s="75"/>
      <c r="AL82" s="66"/>
      <c r="AM82" s="66"/>
      <c r="AN82" s="122"/>
      <c r="AO82" s="75"/>
      <c r="AP82" s="66"/>
      <c r="AQ82" s="66"/>
      <c r="AR82" s="66"/>
      <c r="AS82" s="122"/>
      <c r="AT82" s="75"/>
      <c r="AU82" s="66"/>
      <c r="AV82" s="66"/>
      <c r="AW82" s="66"/>
      <c r="AX82" s="66"/>
      <c r="AY82" s="122"/>
    </row>
    <row r="83" spans="2:51" ht="15" customHeight="1" outlineLevel="1">
      <c r="B83" s="58" t="s">
        <v>221</v>
      </c>
      <c r="C83" s="59" t="s">
        <v>61</v>
      </c>
      <c r="D83" s="59" t="s">
        <v>38</v>
      </c>
      <c r="E83" s="58" t="s">
        <v>233</v>
      </c>
      <c r="G83" s="65"/>
      <c r="H83" s="65"/>
      <c r="I83" s="65"/>
      <c r="J83" s="118"/>
      <c r="K83" s="116"/>
      <c r="L83" s="65"/>
      <c r="M83" s="65"/>
      <c r="N83" s="65"/>
      <c r="O83" s="118"/>
      <c r="P83" s="71"/>
      <c r="Q83" s="65"/>
      <c r="R83" s="65"/>
      <c r="S83" s="65"/>
      <c r="T83" s="118"/>
      <c r="U83" s="71"/>
      <c r="V83" s="66"/>
      <c r="W83" s="66"/>
      <c r="X83" s="66"/>
      <c r="Y83" s="122"/>
      <c r="Z83" s="75"/>
      <c r="AA83" s="73"/>
      <c r="AB83" s="78"/>
      <c r="AC83" s="75"/>
      <c r="AD83" s="66"/>
      <c r="AE83" s="126"/>
      <c r="AF83" s="74"/>
      <c r="AG83" s="108"/>
      <c r="AH83" s="108"/>
      <c r="AI83" s="77"/>
      <c r="AJ83" s="122"/>
      <c r="AK83" s="75"/>
      <c r="AL83" s="66"/>
      <c r="AM83" s="66"/>
      <c r="AN83" s="122"/>
      <c r="AO83" s="75"/>
      <c r="AP83" s="66"/>
      <c r="AQ83" s="66"/>
      <c r="AR83" s="66"/>
      <c r="AS83" s="122"/>
      <c r="AT83" s="75"/>
      <c r="AU83" s="66"/>
      <c r="AV83" s="66"/>
      <c r="AW83" s="66"/>
      <c r="AX83" s="66"/>
      <c r="AY83" s="122"/>
    </row>
    <row r="84" spans="2:51" ht="15" customHeight="1" outlineLevel="1">
      <c r="B84" s="58" t="s">
        <v>222</v>
      </c>
      <c r="C84" s="59" t="s">
        <v>61</v>
      </c>
      <c r="D84" s="59" t="s">
        <v>54</v>
      </c>
      <c r="E84" s="58" t="s">
        <v>233</v>
      </c>
      <c r="G84" s="65"/>
      <c r="H84" s="65"/>
      <c r="I84" s="65"/>
      <c r="J84" s="118"/>
      <c r="K84" s="116"/>
      <c r="L84" s="65"/>
      <c r="M84" s="65"/>
      <c r="N84" s="65"/>
      <c r="O84" s="118"/>
      <c r="P84" s="71"/>
      <c r="Q84" s="65"/>
      <c r="R84" s="65"/>
      <c r="S84" s="65"/>
      <c r="T84" s="118"/>
      <c r="U84" s="71"/>
      <c r="V84" s="66"/>
      <c r="W84" s="66"/>
      <c r="X84" s="66"/>
      <c r="Y84" s="122"/>
      <c r="Z84" s="75"/>
      <c r="AA84" s="73"/>
      <c r="AB84" s="78"/>
      <c r="AC84" s="75"/>
      <c r="AD84" s="66"/>
      <c r="AE84" s="126"/>
      <c r="AF84" s="74"/>
      <c r="AG84" s="56"/>
      <c r="AH84" s="108"/>
      <c r="AI84" s="77"/>
      <c r="AJ84" s="122"/>
      <c r="AK84" s="75"/>
      <c r="AL84" s="66"/>
      <c r="AM84" s="66"/>
      <c r="AN84" s="122"/>
      <c r="AO84" s="75"/>
      <c r="AP84" s="66"/>
      <c r="AQ84" s="66"/>
      <c r="AR84" s="66"/>
      <c r="AS84" s="122"/>
      <c r="AT84" s="75"/>
      <c r="AU84" s="66"/>
      <c r="AV84" s="66"/>
      <c r="AW84" s="66"/>
      <c r="AX84" s="66"/>
      <c r="AY84" s="122"/>
    </row>
    <row r="85" spans="2:51" ht="15" customHeight="1" outlineLevel="1">
      <c r="B85" s="58" t="s">
        <v>223</v>
      </c>
      <c r="C85" s="59" t="s">
        <v>61</v>
      </c>
      <c r="D85" s="59" t="s">
        <v>56</v>
      </c>
      <c r="E85" s="58" t="s">
        <v>233</v>
      </c>
      <c r="G85" s="65"/>
      <c r="H85" s="65"/>
      <c r="I85" s="65"/>
      <c r="J85" s="118"/>
      <c r="K85" s="116"/>
      <c r="L85" s="65"/>
      <c r="M85" s="65"/>
      <c r="N85" s="65"/>
      <c r="O85" s="118"/>
      <c r="P85" s="71"/>
      <c r="Q85" s="65"/>
      <c r="R85" s="65"/>
      <c r="S85" s="65"/>
      <c r="T85" s="118"/>
      <c r="U85" s="71"/>
      <c r="V85" s="66"/>
      <c r="W85" s="66"/>
      <c r="X85" s="66"/>
      <c r="Y85" s="122"/>
      <c r="Z85" s="75"/>
      <c r="AA85" s="73"/>
      <c r="AB85" s="78"/>
      <c r="AC85" s="75"/>
      <c r="AD85" s="66"/>
      <c r="AE85" s="126"/>
      <c r="AF85" s="74"/>
      <c r="AG85" s="56"/>
      <c r="AH85" s="108"/>
      <c r="AI85" s="77"/>
      <c r="AJ85" s="120"/>
      <c r="AK85" s="74"/>
      <c r="AL85" s="56"/>
      <c r="AM85" s="56"/>
      <c r="AN85" s="120"/>
      <c r="AO85" s="74"/>
      <c r="AP85" s="66"/>
      <c r="AQ85" s="66"/>
      <c r="AR85" s="66"/>
      <c r="AS85" s="122"/>
      <c r="AT85" s="75"/>
      <c r="AU85" s="66"/>
      <c r="AV85" s="66"/>
      <c r="AW85" s="66"/>
      <c r="AX85" s="66"/>
      <c r="AY85" s="122"/>
    </row>
    <row r="86" spans="2:51" ht="15" customHeight="1" outlineLevel="1">
      <c r="B86" s="58" t="s">
        <v>224</v>
      </c>
      <c r="C86" s="59" t="s">
        <v>61</v>
      </c>
      <c r="D86" s="59" t="s">
        <v>62</v>
      </c>
      <c r="E86" s="58" t="s">
        <v>233</v>
      </c>
      <c r="G86" s="65"/>
      <c r="H86" s="65"/>
      <c r="I86" s="65"/>
      <c r="J86" s="118"/>
      <c r="K86" s="116"/>
      <c r="L86" s="65"/>
      <c r="M86" s="65"/>
      <c r="N86" s="65"/>
      <c r="O86" s="118"/>
      <c r="P86" s="71"/>
      <c r="Q86" s="65"/>
      <c r="R86" s="65"/>
      <c r="S86" s="65"/>
      <c r="T86" s="118"/>
      <c r="U86" s="71"/>
      <c r="V86" s="66"/>
      <c r="W86" s="66"/>
      <c r="X86" s="66"/>
      <c r="Y86" s="122"/>
      <c r="Z86" s="75"/>
      <c r="AA86" s="73"/>
      <c r="AB86" s="78"/>
      <c r="AC86" s="75"/>
      <c r="AD86" s="66"/>
      <c r="AE86" s="126"/>
      <c r="AF86" s="74"/>
      <c r="AG86" s="56"/>
      <c r="AH86" s="108"/>
      <c r="AI86" s="77"/>
      <c r="AJ86" s="115"/>
      <c r="AK86" s="74"/>
      <c r="AL86" s="56"/>
      <c r="AM86" s="56"/>
      <c r="AN86" s="120"/>
      <c r="AO86" s="74"/>
      <c r="AP86" s="66"/>
      <c r="AQ86" s="66"/>
      <c r="AR86" s="66"/>
      <c r="AS86" s="122"/>
      <c r="AT86" s="75"/>
      <c r="AU86" s="66"/>
      <c r="AV86" s="66"/>
      <c r="AW86" s="66"/>
      <c r="AX86" s="66"/>
      <c r="AY86" s="122"/>
    </row>
    <row r="87" spans="2:51" ht="15" customHeight="1" outlineLevel="1">
      <c r="B87" s="58" t="s">
        <v>225</v>
      </c>
      <c r="C87" s="59" t="s">
        <v>63</v>
      </c>
      <c r="D87" s="59" t="s">
        <v>65</v>
      </c>
      <c r="E87" s="58" t="s">
        <v>233</v>
      </c>
      <c r="G87" s="65"/>
      <c r="H87" s="65"/>
      <c r="I87" s="65"/>
      <c r="J87" s="118"/>
      <c r="K87" s="116"/>
      <c r="L87" s="65"/>
      <c r="M87" s="65"/>
      <c r="N87" s="65"/>
      <c r="O87" s="118"/>
      <c r="P87" s="71"/>
      <c r="Q87" s="65"/>
      <c r="R87" s="65"/>
      <c r="S87" s="65"/>
      <c r="T87" s="118"/>
      <c r="U87" s="71"/>
      <c r="V87" s="66"/>
      <c r="W87" s="66"/>
      <c r="X87" s="66"/>
      <c r="Y87" s="122"/>
      <c r="Z87" s="75"/>
      <c r="AA87" s="73"/>
      <c r="AB87" s="78"/>
      <c r="AC87" s="75"/>
      <c r="AD87" s="66"/>
      <c r="AE87" s="126"/>
      <c r="AF87" s="74"/>
      <c r="AG87" s="56"/>
      <c r="AH87" s="56"/>
      <c r="AI87" s="77"/>
      <c r="AJ87" s="120"/>
      <c r="AK87" s="111"/>
      <c r="AL87" s="108"/>
      <c r="AM87" s="56"/>
      <c r="AN87" s="120"/>
      <c r="AO87" s="74"/>
      <c r="AP87" s="66"/>
      <c r="AQ87" s="66"/>
      <c r="AR87" s="66"/>
      <c r="AS87" s="122"/>
      <c r="AT87" s="75"/>
      <c r="AU87" s="66"/>
      <c r="AV87" s="66"/>
      <c r="AW87" s="66"/>
      <c r="AX87" s="66"/>
      <c r="AY87" s="122"/>
    </row>
    <row r="88" spans="2:51" s="8" customFormat="1" ht="15" customHeight="1">
      <c r="B88" s="55" t="s">
        <v>226</v>
      </c>
      <c r="C88" s="288" t="s">
        <v>227</v>
      </c>
      <c r="D88" s="288"/>
      <c r="E88" s="53"/>
      <c r="G88" s="54"/>
      <c r="H88" s="54"/>
      <c r="I88" s="54"/>
      <c r="J88" s="119"/>
      <c r="K88" s="54"/>
      <c r="L88" s="54"/>
      <c r="M88" s="54"/>
      <c r="N88" s="54"/>
      <c r="O88" s="119"/>
      <c r="P88" s="54"/>
      <c r="Q88" s="54"/>
      <c r="R88" s="54"/>
      <c r="S88" s="54"/>
      <c r="T88" s="119"/>
      <c r="U88" s="54"/>
      <c r="V88" s="162" t="s">
        <v>280</v>
      </c>
      <c r="W88" s="53"/>
      <c r="X88" s="53"/>
      <c r="Y88" s="121"/>
      <c r="Z88" s="53"/>
      <c r="AA88" s="53"/>
      <c r="AB88" s="77"/>
      <c r="AC88" s="53"/>
      <c r="AD88" s="53"/>
      <c r="AE88" s="125"/>
      <c r="AF88" s="109"/>
      <c r="AG88" s="109"/>
      <c r="AH88" s="109"/>
      <c r="AI88" s="77"/>
      <c r="AJ88" s="129"/>
      <c r="AK88" s="53"/>
      <c r="AL88" s="53"/>
      <c r="AM88" s="53"/>
      <c r="AN88" s="121"/>
      <c r="AO88" s="53"/>
      <c r="AP88" s="53"/>
      <c r="AQ88" s="53"/>
      <c r="AR88" s="53"/>
      <c r="AS88" s="121"/>
      <c r="AT88" s="53"/>
      <c r="AU88" s="53"/>
      <c r="AV88" s="53"/>
      <c r="AW88" s="53"/>
      <c r="AX88" s="53"/>
      <c r="AY88" s="121"/>
    </row>
    <row r="89" spans="2:51" ht="15" customHeight="1" outlineLevel="1">
      <c r="B89" s="58" t="s">
        <v>228</v>
      </c>
      <c r="C89" s="59" t="s">
        <v>1</v>
      </c>
      <c r="D89" s="59" t="s">
        <v>34</v>
      </c>
      <c r="E89" s="58" t="s">
        <v>233</v>
      </c>
      <c r="G89" s="65"/>
      <c r="H89" s="65"/>
      <c r="I89" s="65"/>
      <c r="J89" s="118"/>
      <c r="K89" s="116"/>
      <c r="L89" s="65"/>
      <c r="M89" s="65"/>
      <c r="N89" s="65"/>
      <c r="O89" s="118"/>
      <c r="P89" s="71"/>
      <c r="Q89" s="65"/>
      <c r="R89" s="65"/>
      <c r="S89" s="65"/>
      <c r="T89" s="118"/>
      <c r="U89" s="71"/>
      <c r="V89" s="83"/>
      <c r="W89" s="66"/>
      <c r="X89" s="66"/>
      <c r="Y89" s="122"/>
      <c r="Z89" s="75"/>
      <c r="AA89" s="73"/>
      <c r="AB89" s="78"/>
      <c r="AC89" s="75"/>
      <c r="AD89" s="66"/>
      <c r="AE89" s="126"/>
      <c r="AF89" s="75"/>
      <c r="AG89" s="66"/>
      <c r="AH89" s="66"/>
      <c r="AI89" s="78"/>
      <c r="AJ89" s="120"/>
      <c r="AK89" s="74"/>
      <c r="AL89" s="108"/>
      <c r="AM89" s="56"/>
      <c r="AN89" s="120"/>
      <c r="AO89" s="74"/>
      <c r="AP89" s="66"/>
      <c r="AQ89" s="66"/>
      <c r="AR89" s="66"/>
      <c r="AS89" s="122"/>
      <c r="AT89" s="75"/>
      <c r="AU89" s="66"/>
      <c r="AV89" s="66"/>
      <c r="AW89" s="66"/>
      <c r="AX89" s="66"/>
      <c r="AY89" s="122"/>
    </row>
    <row r="90" spans="2:51" ht="15" customHeight="1" outlineLevel="1">
      <c r="B90" s="58" t="s">
        <v>229</v>
      </c>
      <c r="C90" s="59" t="s">
        <v>1</v>
      </c>
      <c r="D90" s="164" t="s">
        <v>35</v>
      </c>
      <c r="E90" s="58" t="s">
        <v>233</v>
      </c>
      <c r="G90" s="65"/>
      <c r="H90" s="65"/>
      <c r="I90" s="65"/>
      <c r="J90" s="118"/>
      <c r="K90" s="116"/>
      <c r="L90" s="65"/>
      <c r="M90" s="65"/>
      <c r="N90" s="65"/>
      <c r="O90" s="118"/>
      <c r="P90" s="71"/>
      <c r="Q90" s="65"/>
      <c r="R90" s="65"/>
      <c r="S90" s="65"/>
      <c r="T90" s="118"/>
      <c r="U90" s="71"/>
      <c r="V90" s="66"/>
      <c r="W90" s="66"/>
      <c r="X90" s="66"/>
      <c r="Y90" s="122"/>
      <c r="Z90" s="75"/>
      <c r="AA90" s="73"/>
      <c r="AB90" s="78"/>
      <c r="AC90" s="75"/>
      <c r="AD90" s="66"/>
      <c r="AE90" s="126"/>
      <c r="AF90" s="75"/>
      <c r="AG90" s="66"/>
      <c r="AH90" s="66"/>
      <c r="AI90" s="78"/>
      <c r="AJ90" s="120"/>
      <c r="AK90" s="74"/>
      <c r="AL90" s="56"/>
      <c r="AM90" s="108"/>
      <c r="AN90" s="120"/>
      <c r="AO90" s="74"/>
      <c r="AP90" s="66"/>
      <c r="AQ90" s="66"/>
      <c r="AR90" s="66"/>
      <c r="AS90" s="122"/>
      <c r="AT90" s="75"/>
      <c r="AU90" s="66"/>
      <c r="AV90" s="66"/>
      <c r="AW90" s="66"/>
      <c r="AX90" s="66"/>
      <c r="AY90" s="122"/>
    </row>
    <row r="91" spans="2:51" ht="15" customHeight="1" outlineLevel="1">
      <c r="B91" s="58" t="s">
        <v>230</v>
      </c>
      <c r="C91" s="59" t="s">
        <v>1</v>
      </c>
      <c r="D91" s="59" t="s">
        <v>44</v>
      </c>
      <c r="E91" s="58" t="s">
        <v>233</v>
      </c>
      <c r="G91" s="65"/>
      <c r="H91" s="65"/>
      <c r="I91" s="65"/>
      <c r="J91" s="118"/>
      <c r="K91" s="116"/>
      <c r="L91" s="65"/>
      <c r="M91" s="65"/>
      <c r="N91" s="65"/>
      <c r="O91" s="118"/>
      <c r="P91" s="71"/>
      <c r="Q91" s="65"/>
      <c r="R91" s="65"/>
      <c r="S91" s="65"/>
      <c r="T91" s="118"/>
      <c r="U91" s="71"/>
      <c r="V91" s="66"/>
      <c r="W91" s="66"/>
      <c r="X91" s="66"/>
      <c r="Y91" s="122"/>
      <c r="Z91" s="75"/>
      <c r="AA91" s="73"/>
      <c r="AB91" s="78"/>
      <c r="AC91" s="75"/>
      <c r="AD91" s="66"/>
      <c r="AE91" s="126"/>
      <c r="AF91" s="75"/>
      <c r="AG91" s="66"/>
      <c r="AH91" s="66"/>
      <c r="AI91" s="78"/>
      <c r="AJ91" s="120"/>
      <c r="AK91" s="74"/>
      <c r="AL91" s="56"/>
      <c r="AM91" s="108"/>
      <c r="AN91" s="120"/>
      <c r="AO91" s="74"/>
      <c r="AP91" s="66"/>
      <c r="AQ91" s="66"/>
      <c r="AR91" s="66"/>
      <c r="AS91" s="122"/>
      <c r="AT91" s="75"/>
      <c r="AU91" s="66"/>
      <c r="AV91" s="66"/>
      <c r="AW91" s="66"/>
      <c r="AX91" s="66"/>
      <c r="AY91" s="122"/>
    </row>
    <row r="92" spans="2:51" ht="15" customHeight="1" outlineLevel="1">
      <c r="B92" s="58" t="s">
        <v>231</v>
      </c>
      <c r="C92" s="59" t="s">
        <v>1</v>
      </c>
      <c r="D92" s="164" t="s">
        <v>45</v>
      </c>
      <c r="E92" s="58" t="s">
        <v>233</v>
      </c>
      <c r="G92" s="65"/>
      <c r="H92" s="65"/>
      <c r="I92" s="65"/>
      <c r="J92" s="118"/>
      <c r="K92" s="116"/>
      <c r="L92" s="65"/>
      <c r="M92" s="65"/>
      <c r="N92" s="65"/>
      <c r="O92" s="118"/>
      <c r="P92" s="71"/>
      <c r="Q92" s="65"/>
      <c r="R92" s="65"/>
      <c r="S92" s="65"/>
      <c r="T92" s="118"/>
      <c r="U92" s="71"/>
      <c r="V92" s="66"/>
      <c r="W92" s="66"/>
      <c r="X92" s="66"/>
      <c r="Y92" s="122"/>
      <c r="Z92" s="75"/>
      <c r="AA92" s="73"/>
      <c r="AB92" s="78"/>
      <c r="AC92" s="75"/>
      <c r="AD92" s="66"/>
      <c r="AE92" s="126"/>
      <c r="AF92" s="75"/>
      <c r="AG92" s="66"/>
      <c r="AH92" s="66"/>
      <c r="AI92" s="78"/>
      <c r="AJ92" s="120"/>
      <c r="AK92" s="74"/>
      <c r="AL92" s="56"/>
      <c r="AM92" s="108"/>
      <c r="AN92" s="115"/>
      <c r="AO92" s="74"/>
      <c r="AP92" s="66"/>
      <c r="AQ92" s="66"/>
      <c r="AR92" s="66"/>
      <c r="AS92" s="122"/>
      <c r="AT92" s="75"/>
      <c r="AU92" s="66"/>
      <c r="AV92" s="66"/>
      <c r="AW92" s="66"/>
      <c r="AX92" s="66"/>
      <c r="AY92" s="122"/>
    </row>
    <row r="93" spans="2:51" ht="15" customHeight="1" outlineLevel="1">
      <c r="B93" s="58" t="s">
        <v>188</v>
      </c>
      <c r="C93" s="59" t="s">
        <v>1</v>
      </c>
      <c r="D93" s="59" t="s">
        <v>46</v>
      </c>
      <c r="E93" s="58" t="s">
        <v>233</v>
      </c>
      <c r="G93" s="65"/>
      <c r="H93" s="65"/>
      <c r="I93" s="65"/>
      <c r="J93" s="118"/>
      <c r="K93" s="116"/>
      <c r="L93" s="65"/>
      <c r="M93" s="65"/>
      <c r="N93" s="65"/>
      <c r="O93" s="118"/>
      <c r="P93" s="71"/>
      <c r="Q93" s="65"/>
      <c r="R93" s="65"/>
      <c r="S93" s="65"/>
      <c r="T93" s="118"/>
      <c r="U93" s="71"/>
      <c r="V93" s="66"/>
      <c r="W93" s="66"/>
      <c r="X93" s="66"/>
      <c r="Y93" s="122"/>
      <c r="Z93" s="75"/>
      <c r="AA93" s="73"/>
      <c r="AB93" s="78"/>
      <c r="AC93" s="75"/>
      <c r="AD93" s="66"/>
      <c r="AE93" s="126"/>
      <c r="AF93" s="75"/>
      <c r="AG93" s="66"/>
      <c r="AH93" s="66"/>
      <c r="AI93" s="78"/>
      <c r="AJ93" s="120"/>
      <c r="AK93" s="74"/>
      <c r="AL93" s="56"/>
      <c r="AM93" s="56"/>
      <c r="AN93" s="115"/>
      <c r="AO93" s="74"/>
      <c r="AP93" s="66"/>
      <c r="AQ93" s="66"/>
      <c r="AR93" s="66"/>
      <c r="AS93" s="122"/>
      <c r="AT93" s="75"/>
      <c r="AU93" s="66"/>
      <c r="AV93" s="66"/>
      <c r="AW93" s="66"/>
      <c r="AX93" s="66"/>
      <c r="AY93" s="122"/>
    </row>
    <row r="94" spans="2:51" ht="15" customHeight="1" outlineLevel="1">
      <c r="B94" s="58" t="s">
        <v>190</v>
      </c>
      <c r="C94" s="59" t="s">
        <v>1</v>
      </c>
      <c r="D94" s="59" t="s">
        <v>48</v>
      </c>
      <c r="E94" s="58" t="s">
        <v>233</v>
      </c>
      <c r="G94" s="65"/>
      <c r="H94" s="65"/>
      <c r="I94" s="65"/>
      <c r="J94" s="118"/>
      <c r="K94" s="116"/>
      <c r="L94" s="65"/>
      <c r="M94" s="65"/>
      <c r="N94" s="65"/>
      <c r="O94" s="118"/>
      <c r="P94" s="71"/>
      <c r="Q94" s="65"/>
      <c r="R94" s="65"/>
      <c r="S94" s="65"/>
      <c r="T94" s="118"/>
      <c r="U94" s="71"/>
      <c r="V94" s="66"/>
      <c r="W94" s="66"/>
      <c r="X94" s="66"/>
      <c r="Y94" s="122"/>
      <c r="Z94" s="75"/>
      <c r="AA94" s="73"/>
      <c r="AB94" s="78"/>
      <c r="AC94" s="75"/>
      <c r="AD94" s="66"/>
      <c r="AE94" s="126"/>
      <c r="AF94" s="75"/>
      <c r="AG94" s="66"/>
      <c r="AH94" s="66"/>
      <c r="AI94" s="78"/>
      <c r="AJ94" s="120"/>
      <c r="AK94" s="74"/>
      <c r="AL94" s="56"/>
      <c r="AM94" s="56"/>
      <c r="AN94" s="115"/>
      <c r="AO94" s="111"/>
      <c r="AP94" s="66"/>
      <c r="AQ94" s="66"/>
      <c r="AR94" s="66"/>
      <c r="AS94" s="122"/>
      <c r="AT94" s="75"/>
      <c r="AU94" s="66"/>
      <c r="AV94" s="66"/>
      <c r="AW94" s="66"/>
      <c r="AX94" s="66"/>
      <c r="AY94" s="122"/>
    </row>
    <row r="95" spans="2:51" ht="15" customHeight="1" outlineLevel="1">
      <c r="B95" s="58" t="s">
        <v>192</v>
      </c>
      <c r="C95" s="59" t="s">
        <v>1</v>
      </c>
      <c r="D95" s="59" t="s">
        <v>49</v>
      </c>
      <c r="E95" s="58" t="s">
        <v>233</v>
      </c>
      <c r="G95" s="65"/>
      <c r="H95" s="65"/>
      <c r="I95" s="65"/>
      <c r="J95" s="118"/>
      <c r="K95" s="116"/>
      <c r="L95" s="65"/>
      <c r="M95" s="65"/>
      <c r="N95" s="65"/>
      <c r="O95" s="118"/>
      <c r="P95" s="71"/>
      <c r="Q95" s="65"/>
      <c r="R95" s="65"/>
      <c r="S95" s="65"/>
      <c r="T95" s="118"/>
      <c r="U95" s="71"/>
      <c r="V95" s="66"/>
      <c r="W95" s="66"/>
      <c r="X95" s="66"/>
      <c r="Y95" s="122"/>
      <c r="Z95" s="75"/>
      <c r="AA95" s="73"/>
      <c r="AB95" s="78"/>
      <c r="AC95" s="75"/>
      <c r="AD95" s="66"/>
      <c r="AE95" s="126"/>
      <c r="AF95" s="75"/>
      <c r="AG95" s="66"/>
      <c r="AH95" s="66"/>
      <c r="AI95" s="78"/>
      <c r="AJ95" s="120"/>
      <c r="AK95" s="74"/>
      <c r="AL95" s="56"/>
      <c r="AM95" s="56"/>
      <c r="AN95" s="120"/>
      <c r="AO95" s="111"/>
      <c r="AP95" s="66"/>
      <c r="AQ95" s="66"/>
      <c r="AR95" s="66"/>
      <c r="AS95" s="122"/>
      <c r="AT95" s="75"/>
      <c r="AU95" s="66"/>
      <c r="AV95" s="66"/>
      <c r="AW95" s="66"/>
      <c r="AX95" s="66"/>
      <c r="AY95" s="122"/>
    </row>
    <row r="96" spans="2:51" ht="15" customHeight="1" outlineLevel="1">
      <c r="B96" s="58" t="s">
        <v>232</v>
      </c>
      <c r="C96" s="59" t="s">
        <v>1</v>
      </c>
      <c r="D96" s="164" t="s">
        <v>52</v>
      </c>
      <c r="E96" s="58" t="s">
        <v>233</v>
      </c>
      <c r="G96" s="65"/>
      <c r="H96" s="65"/>
      <c r="I96" s="65"/>
      <c r="J96" s="118"/>
      <c r="K96" s="116"/>
      <c r="L96" s="65"/>
      <c r="M96" s="65"/>
      <c r="N96" s="65"/>
      <c r="O96" s="118"/>
      <c r="P96" s="71"/>
      <c r="Q96" s="65"/>
      <c r="R96" s="65"/>
      <c r="S96" s="65"/>
      <c r="T96" s="118"/>
      <c r="U96" s="71"/>
      <c r="V96" s="66"/>
      <c r="W96" s="66"/>
      <c r="X96" s="66"/>
      <c r="Y96" s="122"/>
      <c r="Z96" s="75"/>
      <c r="AA96" s="73"/>
      <c r="AB96" s="78"/>
      <c r="AC96" s="75"/>
      <c r="AD96" s="66"/>
      <c r="AE96" s="126"/>
      <c r="AF96" s="75"/>
      <c r="AG96" s="66"/>
      <c r="AH96" s="66"/>
      <c r="AI96" s="78"/>
      <c r="AJ96" s="120"/>
      <c r="AK96" s="74"/>
      <c r="AL96" s="56"/>
      <c r="AM96" s="56"/>
      <c r="AN96" s="120"/>
      <c r="AO96" s="111"/>
      <c r="AP96" s="108"/>
      <c r="AQ96" s="66"/>
      <c r="AR96" s="66"/>
      <c r="AS96" s="122"/>
      <c r="AT96" s="75"/>
      <c r="AU96" s="66"/>
      <c r="AV96" s="66"/>
      <c r="AW96" s="66"/>
      <c r="AX96" s="66"/>
      <c r="AY96" s="122"/>
    </row>
    <row r="97" spans="2:51" s="8" customFormat="1" ht="15" customHeight="1">
      <c r="B97" s="55" t="s">
        <v>237</v>
      </c>
      <c r="C97" s="288" t="s">
        <v>238</v>
      </c>
      <c r="D97" s="288"/>
      <c r="E97" s="53"/>
      <c r="G97" s="54"/>
      <c r="H97" s="54"/>
      <c r="I97" s="54"/>
      <c r="J97" s="119"/>
      <c r="K97" s="54"/>
      <c r="L97" s="54"/>
      <c r="M97" s="54"/>
      <c r="N97" s="54"/>
      <c r="O97" s="119"/>
      <c r="P97" s="54"/>
      <c r="Q97" s="54"/>
      <c r="R97" s="54"/>
      <c r="S97" s="54"/>
      <c r="T97" s="119"/>
      <c r="U97" s="54"/>
      <c r="V97" s="53"/>
      <c r="W97" s="53"/>
      <c r="X97" s="53"/>
      <c r="Y97" s="121"/>
      <c r="Z97" s="53"/>
      <c r="AA97" s="53"/>
      <c r="AB97" s="77"/>
      <c r="AC97" s="53"/>
      <c r="AD97" s="53"/>
      <c r="AE97" s="125"/>
      <c r="AF97" s="53"/>
      <c r="AG97" s="53"/>
      <c r="AH97" s="53"/>
      <c r="AI97" s="77"/>
      <c r="AJ97" s="129"/>
      <c r="AK97" s="53"/>
      <c r="AL97" s="53"/>
      <c r="AM97" s="53"/>
      <c r="AN97" s="121"/>
      <c r="AO97" s="53"/>
      <c r="AP97" s="109"/>
      <c r="AQ97" s="109"/>
      <c r="AR97" s="109"/>
      <c r="AS97" s="123"/>
      <c r="AT97" s="109"/>
      <c r="AU97" s="109"/>
      <c r="AV97" s="53"/>
      <c r="AW97" s="53"/>
      <c r="AX97" s="53"/>
      <c r="AY97" s="121"/>
    </row>
    <row r="98" spans="2:51" ht="15" customHeight="1" outlineLevel="1">
      <c r="B98" s="58" t="s">
        <v>239</v>
      </c>
      <c r="C98" s="59" t="s">
        <v>240</v>
      </c>
      <c r="D98" s="59"/>
      <c r="E98" s="58" t="s">
        <v>233</v>
      </c>
      <c r="G98" s="65"/>
      <c r="H98" s="65"/>
      <c r="I98" s="65"/>
      <c r="J98" s="118"/>
      <c r="K98" s="116"/>
      <c r="L98" s="65"/>
      <c r="M98" s="65"/>
      <c r="N98" s="65"/>
      <c r="O98" s="118"/>
      <c r="P98" s="71"/>
      <c r="Q98" s="65"/>
      <c r="R98" s="65"/>
      <c r="S98" s="65"/>
      <c r="T98" s="118"/>
      <c r="U98" s="71"/>
      <c r="V98" s="66"/>
      <c r="W98" s="66"/>
      <c r="X98" s="66"/>
      <c r="Y98" s="122"/>
      <c r="Z98" s="75"/>
      <c r="AA98" s="73"/>
      <c r="AB98" s="78"/>
      <c r="AC98" s="75"/>
      <c r="AD98" s="66"/>
      <c r="AE98" s="126"/>
      <c r="AF98" s="75"/>
      <c r="AG98" s="66"/>
      <c r="AH98" s="66"/>
      <c r="AI98" s="78"/>
      <c r="AJ98" s="122"/>
      <c r="AK98" s="75"/>
      <c r="AL98" s="66"/>
      <c r="AM98" s="66"/>
      <c r="AN98" s="122"/>
      <c r="AO98" s="75"/>
      <c r="AP98" s="108"/>
      <c r="AQ98" s="108"/>
      <c r="AR98" s="108"/>
      <c r="AS98" s="115"/>
      <c r="AT98" s="111"/>
      <c r="AU98" s="108"/>
      <c r="AV98" s="66"/>
      <c r="AW98" s="66"/>
      <c r="AX98" s="66"/>
      <c r="AY98" s="122"/>
    </row>
    <row r="99" spans="2:51" s="8" customFormat="1" ht="15" customHeight="1">
      <c r="B99" s="55" t="s">
        <v>241</v>
      </c>
      <c r="C99" s="288" t="s">
        <v>242</v>
      </c>
      <c r="D99" s="288"/>
      <c r="E99" s="53"/>
      <c r="G99" s="54"/>
      <c r="H99" s="54"/>
      <c r="I99" s="54"/>
      <c r="J99" s="119"/>
      <c r="K99" s="54"/>
      <c r="L99" s="54"/>
      <c r="M99" s="54"/>
      <c r="N99" s="54"/>
      <c r="O99" s="119"/>
      <c r="P99" s="54"/>
      <c r="Q99" s="54"/>
      <c r="R99" s="54"/>
      <c r="S99" s="54"/>
      <c r="T99" s="119"/>
      <c r="U99" s="54"/>
      <c r="V99" s="53"/>
      <c r="W99" s="53"/>
      <c r="X99" s="53"/>
      <c r="Y99" s="121"/>
      <c r="Z99" s="53"/>
      <c r="AA99" s="53"/>
      <c r="AB99" s="77"/>
      <c r="AC99" s="53"/>
      <c r="AD99" s="53"/>
      <c r="AE99" s="125"/>
      <c r="AF99" s="53"/>
      <c r="AG99" s="53"/>
      <c r="AH99" s="53"/>
      <c r="AI99" s="77"/>
      <c r="AJ99" s="129"/>
      <c r="AK99" s="53"/>
      <c r="AL99" s="53"/>
      <c r="AM99" s="53"/>
      <c r="AN99" s="121"/>
      <c r="AO99" s="53"/>
      <c r="AP99" s="53"/>
      <c r="AQ99" s="53"/>
      <c r="AR99" s="53"/>
      <c r="AS99" s="121"/>
      <c r="AT99" s="53"/>
      <c r="AU99" s="109"/>
      <c r="AV99" s="109"/>
      <c r="AW99" s="109"/>
      <c r="AX99" s="109"/>
      <c r="AY99" s="123"/>
    </row>
    <row r="100" spans="2:51" ht="15" customHeight="1" outlineLevel="1">
      <c r="B100" s="58" t="s">
        <v>243</v>
      </c>
      <c r="C100" s="59" t="s">
        <v>244</v>
      </c>
      <c r="D100" s="59"/>
      <c r="E100" s="58" t="s">
        <v>233</v>
      </c>
      <c r="G100" s="65"/>
      <c r="H100" s="65"/>
      <c r="I100" s="65"/>
      <c r="J100" s="118"/>
      <c r="K100" s="116"/>
      <c r="L100" s="65"/>
      <c r="M100" s="65"/>
      <c r="N100" s="65"/>
      <c r="O100" s="118"/>
      <c r="P100" s="71"/>
      <c r="Q100" s="65"/>
      <c r="R100" s="65"/>
      <c r="S100" s="65"/>
      <c r="T100" s="118"/>
      <c r="U100" s="71"/>
      <c r="V100" s="66"/>
      <c r="W100" s="66"/>
      <c r="X100" s="66"/>
      <c r="Y100" s="122"/>
      <c r="Z100" s="75"/>
      <c r="AA100" s="73"/>
      <c r="AB100" s="78"/>
      <c r="AC100" s="75"/>
      <c r="AD100" s="66"/>
      <c r="AE100" s="126"/>
      <c r="AF100" s="75"/>
      <c r="AG100" s="66"/>
      <c r="AH100" s="66"/>
      <c r="AI100" s="78"/>
      <c r="AJ100" s="122"/>
      <c r="AK100" s="75"/>
      <c r="AL100" s="66"/>
      <c r="AM100" s="66"/>
      <c r="AN100" s="122"/>
      <c r="AO100" s="75"/>
      <c r="AP100" s="56"/>
      <c r="AQ100" s="56"/>
      <c r="AR100" s="56"/>
      <c r="AS100" s="122"/>
      <c r="AT100" s="75"/>
      <c r="AU100" s="108"/>
      <c r="AV100" s="108"/>
      <c r="AW100" s="108"/>
      <c r="AX100" s="108"/>
      <c r="AY100" s="115"/>
    </row>
  </sheetData>
  <mergeCells count="29">
    <mergeCell ref="AK14:AN14"/>
    <mergeCell ref="AO14:AS14"/>
    <mergeCell ref="AT14:AY14"/>
    <mergeCell ref="AO15:AS15"/>
    <mergeCell ref="AT15:AY15"/>
    <mergeCell ref="AK15:AN15"/>
    <mergeCell ref="Z15:AE15"/>
    <mergeCell ref="AF15:AJ15"/>
    <mergeCell ref="G14:J14"/>
    <mergeCell ref="K14:O14"/>
    <mergeCell ref="P14:T14"/>
    <mergeCell ref="U14:Y14"/>
    <mergeCell ref="Z14:AE14"/>
    <mergeCell ref="K15:O15"/>
    <mergeCell ref="P15:T15"/>
    <mergeCell ref="U15:Y15"/>
    <mergeCell ref="G15:J15"/>
    <mergeCell ref="AF14:AJ14"/>
    <mergeCell ref="C48:D48"/>
    <mergeCell ref="C61:D61"/>
    <mergeCell ref="C88:D88"/>
    <mergeCell ref="C97:D97"/>
    <mergeCell ref="C99:D99"/>
    <mergeCell ref="C33:D33"/>
    <mergeCell ref="C15:D15"/>
    <mergeCell ref="C16:D16"/>
    <mergeCell ref="C17:D17"/>
    <mergeCell ref="C18:D18"/>
    <mergeCell ref="C19:D19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5BD0B-C090-49FC-A24D-57F4A1B4BB64}">
  <dimension ref="A1:BZ101"/>
  <sheetViews>
    <sheetView showGridLines="0" zoomScaleNormal="100" workbookViewId="0">
      <pane xSplit="14" ySplit="16" topLeftCell="O17" activePane="bottomRight" state="frozen"/>
      <selection pane="topRight"/>
      <selection pane="bottomLeft"/>
      <selection pane="bottomRight" activeCell="J1" sqref="J1:K1048576"/>
    </sheetView>
  </sheetViews>
  <sheetFormatPr defaultColWidth="9.109375" defaultRowHeight="13.2" outlineLevelRow="1"/>
  <cols>
    <col min="1" max="1" width="3.6640625" style="3" customWidth="1"/>
    <col min="2" max="2" width="5.44140625" style="3" bestFit="1" customWidth="1"/>
    <col min="3" max="3" width="20.33203125" style="3" bestFit="1" customWidth="1"/>
    <col min="4" max="4" width="42.5546875" style="3" customWidth="1"/>
    <col min="5" max="5" width="14.33203125" style="3" bestFit="1" customWidth="1"/>
    <col min="6" max="11" width="8.6640625" style="3" customWidth="1"/>
    <col min="12" max="12" width="10.33203125" style="3" customWidth="1"/>
    <col min="13" max="13" width="6.33203125" style="3" customWidth="1"/>
    <col min="14" max="14" width="0.88671875" style="3" customWidth="1"/>
    <col min="15" max="16" width="6.44140625" style="47" bestFit="1" customWidth="1"/>
    <col min="17" max="17" width="6.6640625" style="47" bestFit="1" customWidth="1"/>
    <col min="18" max="34" width="6.44140625" style="47" bestFit="1" customWidth="1"/>
    <col min="35" max="77" width="5.6640625" style="3" customWidth="1"/>
    <col min="78" max="78" width="3.6640625" style="3" customWidth="1"/>
    <col min="79" max="16384" width="9.109375" style="3"/>
  </cols>
  <sheetData>
    <row r="1" spans="1:78" ht="16.2" customHeight="1">
      <c r="AI1" s="47"/>
      <c r="AJ1" s="47"/>
      <c r="AK1" s="47"/>
      <c r="AL1" s="47"/>
      <c r="AM1" s="47"/>
      <c r="AN1" s="47"/>
      <c r="AO1" s="47"/>
      <c r="AP1" s="47"/>
      <c r="AQ1" s="47"/>
      <c r="AR1" s="47"/>
      <c r="AS1" s="47"/>
      <c r="AT1" s="47"/>
      <c r="AU1" s="47"/>
      <c r="AV1" s="47"/>
      <c r="AW1" s="47"/>
      <c r="AX1" s="47"/>
      <c r="AY1" s="47"/>
      <c r="AZ1" s="47"/>
      <c r="BA1" s="47"/>
      <c r="BB1" s="47"/>
      <c r="BC1" s="47"/>
      <c r="BD1" s="47"/>
      <c r="BE1" s="47"/>
      <c r="BF1" s="47"/>
      <c r="BG1" s="47"/>
      <c r="BH1" s="47"/>
      <c r="BI1" s="47"/>
      <c r="BJ1" s="47"/>
      <c r="BK1" s="47"/>
      <c r="BL1" s="47"/>
      <c r="BM1" s="47"/>
      <c r="BN1" s="47"/>
      <c r="BO1" s="47"/>
      <c r="BP1" s="47"/>
      <c r="BQ1" s="47"/>
      <c r="BR1" s="47"/>
      <c r="BS1" s="47"/>
      <c r="BT1" s="47"/>
      <c r="BU1" s="47"/>
      <c r="BV1" s="47"/>
      <c r="BW1" s="47"/>
      <c r="BX1" s="47"/>
      <c r="BY1" s="47"/>
      <c r="BZ1" s="47"/>
    </row>
    <row r="2" spans="1:78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8"/>
      <c r="AQ2" s="48"/>
      <c r="AR2" s="48"/>
      <c r="AS2" s="48"/>
      <c r="AT2" s="48"/>
      <c r="AU2" s="48"/>
      <c r="AV2" s="48"/>
      <c r="AW2" s="48"/>
      <c r="AX2" s="48"/>
      <c r="AY2" s="48"/>
      <c r="AZ2" s="48"/>
      <c r="BA2" s="48"/>
      <c r="BB2" s="48"/>
      <c r="BC2" s="48"/>
      <c r="BD2" s="48"/>
      <c r="BE2" s="48"/>
      <c r="BF2" s="48"/>
      <c r="BG2" s="48"/>
      <c r="BH2" s="48"/>
      <c r="BI2" s="48"/>
      <c r="BJ2" s="48"/>
      <c r="BK2" s="48"/>
      <c r="BL2" s="48"/>
      <c r="BM2" s="48"/>
      <c r="BN2" s="48"/>
      <c r="BO2" s="48"/>
      <c r="BP2" s="48"/>
      <c r="BQ2" s="48"/>
      <c r="BR2" s="48"/>
      <c r="BS2" s="48"/>
      <c r="BT2" s="48"/>
      <c r="BU2" s="48"/>
      <c r="BV2" s="48"/>
      <c r="BW2" s="48"/>
      <c r="BX2" s="48"/>
      <c r="BY2" s="48"/>
      <c r="BZ2" s="48"/>
    </row>
    <row r="3" spans="1:78">
      <c r="A3" s="5"/>
      <c r="B3" s="5"/>
      <c r="C3" s="5"/>
      <c r="D3" s="5"/>
      <c r="E3" s="5"/>
      <c r="F3" s="5"/>
      <c r="G3" s="6"/>
      <c r="H3" s="6"/>
      <c r="I3" s="6"/>
      <c r="J3" s="6"/>
      <c r="K3" s="6"/>
      <c r="L3" s="7"/>
      <c r="M3" s="7"/>
      <c r="N3" s="7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</row>
    <row r="4" spans="1:78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8"/>
      <c r="AS4" s="48"/>
      <c r="AT4" s="48"/>
      <c r="AU4" s="48"/>
      <c r="AV4" s="48"/>
      <c r="AW4" s="48"/>
      <c r="AX4" s="48"/>
      <c r="AY4" s="48"/>
      <c r="AZ4" s="48"/>
      <c r="BA4" s="48"/>
      <c r="BB4" s="48"/>
      <c r="BC4" s="48"/>
      <c r="BD4" s="48"/>
      <c r="BE4" s="48"/>
      <c r="BF4" s="48"/>
      <c r="BG4" s="48"/>
      <c r="BH4" s="48"/>
      <c r="BI4" s="48"/>
      <c r="BJ4" s="48"/>
      <c r="BK4" s="48"/>
      <c r="BL4" s="48"/>
      <c r="BM4" s="48"/>
      <c r="BN4" s="48"/>
      <c r="BO4" s="48"/>
      <c r="BP4" s="48"/>
      <c r="BQ4" s="48"/>
      <c r="BR4" s="48"/>
      <c r="BS4" s="48"/>
      <c r="BT4" s="48"/>
      <c r="BU4" s="48"/>
      <c r="BV4" s="48"/>
      <c r="BW4" s="48"/>
      <c r="BX4" s="48"/>
      <c r="BY4" s="48"/>
      <c r="BZ4" s="48"/>
    </row>
    <row r="5" spans="1:78" ht="3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49"/>
      <c r="BC5" s="49"/>
      <c r="BD5" s="49"/>
      <c r="BE5" s="49"/>
      <c r="BF5" s="49"/>
      <c r="BG5" s="49"/>
      <c r="BH5" s="49"/>
      <c r="BI5" s="49"/>
      <c r="BJ5" s="49"/>
      <c r="BK5" s="49"/>
      <c r="BL5" s="49"/>
      <c r="BM5" s="49"/>
      <c r="BN5" s="49"/>
      <c r="BO5" s="49"/>
      <c r="BP5" s="49"/>
      <c r="BQ5" s="49"/>
      <c r="BR5" s="49"/>
      <c r="BS5" s="49"/>
      <c r="BT5" s="49"/>
      <c r="BU5" s="49"/>
      <c r="BV5" s="49"/>
      <c r="BW5" s="49"/>
      <c r="BX5" s="49"/>
      <c r="BY5" s="49"/>
      <c r="BZ5" s="49"/>
    </row>
    <row r="7" spans="1:78">
      <c r="B7" s="104" t="s">
        <v>249</v>
      </c>
    </row>
    <row r="8" spans="1:78" ht="6.9" customHeight="1"/>
    <row r="9" spans="1:78">
      <c r="B9" s="162" t="s">
        <v>280</v>
      </c>
      <c r="C9" s="105" t="s">
        <v>250</v>
      </c>
    </row>
    <row r="10" spans="1:78" ht="13.8">
      <c r="B10" s="92" t="s">
        <v>245</v>
      </c>
      <c r="C10" s="105" t="s">
        <v>252</v>
      </c>
    </row>
    <row r="11" spans="1:78">
      <c r="B11" s="90">
        <v>3</v>
      </c>
      <c r="C11" s="105" t="s">
        <v>251</v>
      </c>
      <c r="L11" s="79" t="s">
        <v>162</v>
      </c>
      <c r="O11" s="80">
        <v>2</v>
      </c>
      <c r="P11" s="80">
        <v>2</v>
      </c>
      <c r="Q11" s="80">
        <v>2</v>
      </c>
      <c r="R11" s="80">
        <v>2</v>
      </c>
      <c r="S11" s="80">
        <v>2</v>
      </c>
      <c r="T11" s="80">
        <v>0</v>
      </c>
      <c r="U11" s="80">
        <v>0</v>
      </c>
      <c r="V11" s="80">
        <v>2</v>
      </c>
      <c r="W11" s="80">
        <v>2</v>
      </c>
      <c r="X11" s="80">
        <v>2</v>
      </c>
      <c r="Y11" s="80">
        <v>2</v>
      </c>
      <c r="Z11" s="80">
        <v>2</v>
      </c>
      <c r="AA11" s="80">
        <v>0</v>
      </c>
      <c r="AB11" s="80">
        <v>0</v>
      </c>
      <c r="AC11" s="80">
        <v>2</v>
      </c>
      <c r="AD11" s="80">
        <v>2</v>
      </c>
      <c r="AE11" s="80">
        <v>2</v>
      </c>
      <c r="AF11" s="80">
        <v>2</v>
      </c>
      <c r="AG11" s="80">
        <v>2</v>
      </c>
      <c r="AH11" s="80">
        <v>0</v>
      </c>
      <c r="AI11" s="80">
        <v>0</v>
      </c>
      <c r="AJ11" s="80">
        <v>1</v>
      </c>
      <c r="AK11" s="80">
        <v>1</v>
      </c>
      <c r="AL11" s="80">
        <v>1</v>
      </c>
      <c r="AM11" s="80">
        <v>1</v>
      </c>
      <c r="AN11" s="80">
        <v>1</v>
      </c>
      <c r="AO11" s="80">
        <v>0</v>
      </c>
      <c r="AP11" s="80">
        <v>0</v>
      </c>
      <c r="AQ11" s="80">
        <v>1</v>
      </c>
      <c r="AR11" s="80">
        <v>0</v>
      </c>
      <c r="AS11" s="80">
        <v>1</v>
      </c>
      <c r="AT11" s="80">
        <v>1</v>
      </c>
      <c r="AU11" s="80">
        <v>0</v>
      </c>
      <c r="AV11" s="80">
        <v>0</v>
      </c>
      <c r="AW11" s="80">
        <v>0</v>
      </c>
      <c r="AX11" s="80">
        <v>2</v>
      </c>
      <c r="AY11" s="80">
        <v>2</v>
      </c>
      <c r="AZ11" s="80">
        <v>1</v>
      </c>
      <c r="BA11" s="80">
        <v>0</v>
      </c>
      <c r="BB11" s="80">
        <v>1</v>
      </c>
      <c r="BC11" s="80">
        <v>0</v>
      </c>
      <c r="BD11" s="80">
        <v>0</v>
      </c>
      <c r="BE11" s="80">
        <v>1</v>
      </c>
      <c r="BF11" s="80">
        <v>1</v>
      </c>
      <c r="BG11" s="80">
        <v>1</v>
      </c>
      <c r="BH11" s="80">
        <v>1</v>
      </c>
      <c r="BI11" s="80">
        <v>1</v>
      </c>
      <c r="BJ11" s="80">
        <v>0</v>
      </c>
      <c r="BK11" s="80">
        <v>0</v>
      </c>
      <c r="BL11" s="80">
        <v>2</v>
      </c>
      <c r="BM11" s="80">
        <v>2</v>
      </c>
      <c r="BN11" s="80">
        <v>2</v>
      </c>
      <c r="BO11" s="80">
        <v>2</v>
      </c>
      <c r="BP11" s="80">
        <v>2</v>
      </c>
      <c r="BQ11" s="80">
        <v>0</v>
      </c>
      <c r="BR11" s="80">
        <v>0</v>
      </c>
      <c r="BS11" s="80">
        <v>2</v>
      </c>
      <c r="BT11" s="80">
        <v>2</v>
      </c>
      <c r="BU11" s="80">
        <v>2</v>
      </c>
      <c r="BV11" s="80">
        <v>2</v>
      </c>
      <c r="BW11" s="80">
        <v>2</v>
      </c>
      <c r="BX11" s="80">
        <v>0</v>
      </c>
      <c r="BY11" s="80">
        <v>0</v>
      </c>
    </row>
    <row r="12" spans="1:78">
      <c r="B12" s="77"/>
      <c r="C12" s="105" t="s">
        <v>253</v>
      </c>
      <c r="L12" s="79" t="s">
        <v>163</v>
      </c>
      <c r="O12" s="80">
        <f>SUM(O17:O101)/8</f>
        <v>2</v>
      </c>
      <c r="P12" s="80">
        <f t="shared" ref="P12:BY12" si="0">SUM(P17:P101)/8</f>
        <v>2</v>
      </c>
      <c r="Q12" s="80">
        <f t="shared" si="0"/>
        <v>2.1875</v>
      </c>
      <c r="R12" s="80">
        <f t="shared" si="0"/>
        <v>2</v>
      </c>
      <c r="S12" s="80">
        <f t="shared" si="0"/>
        <v>2</v>
      </c>
      <c r="T12" s="80">
        <f t="shared" si="0"/>
        <v>0</v>
      </c>
      <c r="U12" s="80">
        <f t="shared" si="0"/>
        <v>0</v>
      </c>
      <c r="V12" s="80">
        <f t="shared" si="0"/>
        <v>2</v>
      </c>
      <c r="W12" s="80">
        <f t="shared" si="0"/>
        <v>2</v>
      </c>
      <c r="X12" s="80">
        <f t="shared" si="0"/>
        <v>2</v>
      </c>
      <c r="Y12" s="80">
        <f t="shared" si="0"/>
        <v>2</v>
      </c>
      <c r="Z12" s="80">
        <f t="shared" si="0"/>
        <v>2</v>
      </c>
      <c r="AA12" s="80">
        <f t="shared" si="0"/>
        <v>0</v>
      </c>
      <c r="AB12" s="80">
        <f t="shared" si="0"/>
        <v>0</v>
      </c>
      <c r="AC12" s="80">
        <f t="shared" si="0"/>
        <v>2</v>
      </c>
      <c r="AD12" s="80">
        <f t="shared" si="0"/>
        <v>2</v>
      </c>
      <c r="AE12" s="80">
        <f t="shared" si="0"/>
        <v>2</v>
      </c>
      <c r="AF12" s="80">
        <f t="shared" si="0"/>
        <v>2</v>
      </c>
      <c r="AG12" s="80">
        <f t="shared" si="0"/>
        <v>2</v>
      </c>
      <c r="AH12" s="80">
        <f t="shared" si="0"/>
        <v>0</v>
      </c>
      <c r="AI12" s="80">
        <f t="shared" si="0"/>
        <v>0</v>
      </c>
      <c r="AJ12" s="80">
        <f t="shared" si="0"/>
        <v>1</v>
      </c>
      <c r="AK12" s="80">
        <f t="shared" si="0"/>
        <v>1</v>
      </c>
      <c r="AL12" s="80">
        <f t="shared" si="0"/>
        <v>1</v>
      </c>
      <c r="AM12" s="80">
        <f t="shared" si="0"/>
        <v>1</v>
      </c>
      <c r="AN12" s="80">
        <f t="shared" si="0"/>
        <v>1</v>
      </c>
      <c r="AO12" s="80">
        <f t="shared" si="0"/>
        <v>0</v>
      </c>
      <c r="AP12" s="80">
        <f t="shared" si="0"/>
        <v>0</v>
      </c>
      <c r="AQ12" s="80">
        <f t="shared" si="0"/>
        <v>1</v>
      </c>
      <c r="AR12" s="80">
        <f t="shared" si="0"/>
        <v>0</v>
      </c>
      <c r="AS12" s="80">
        <f t="shared" si="0"/>
        <v>1</v>
      </c>
      <c r="AT12" s="80">
        <f t="shared" si="0"/>
        <v>1</v>
      </c>
      <c r="AU12" s="80">
        <f t="shared" si="0"/>
        <v>0</v>
      </c>
      <c r="AV12" s="80">
        <f t="shared" si="0"/>
        <v>0</v>
      </c>
      <c r="AW12" s="80">
        <f t="shared" si="0"/>
        <v>0</v>
      </c>
      <c r="AX12" s="80">
        <f t="shared" si="0"/>
        <v>2</v>
      </c>
      <c r="AY12" s="80">
        <f t="shared" si="0"/>
        <v>2</v>
      </c>
      <c r="AZ12" s="80">
        <f t="shared" si="0"/>
        <v>1</v>
      </c>
      <c r="BA12" s="80">
        <f t="shared" si="0"/>
        <v>0</v>
      </c>
      <c r="BB12" s="80">
        <f t="shared" si="0"/>
        <v>1</v>
      </c>
      <c r="BC12" s="80">
        <f t="shared" si="0"/>
        <v>0</v>
      </c>
      <c r="BD12" s="80">
        <f t="shared" si="0"/>
        <v>0</v>
      </c>
      <c r="BE12" s="80">
        <f t="shared" si="0"/>
        <v>1</v>
      </c>
      <c r="BF12" s="80">
        <f t="shared" si="0"/>
        <v>1</v>
      </c>
      <c r="BG12" s="80">
        <f t="shared" si="0"/>
        <v>1</v>
      </c>
      <c r="BH12" s="80">
        <f t="shared" si="0"/>
        <v>1</v>
      </c>
      <c r="BI12" s="80">
        <f t="shared" si="0"/>
        <v>1</v>
      </c>
      <c r="BJ12" s="80">
        <f t="shared" si="0"/>
        <v>0</v>
      </c>
      <c r="BK12" s="80">
        <f t="shared" si="0"/>
        <v>0</v>
      </c>
      <c r="BL12" s="80">
        <f t="shared" si="0"/>
        <v>2</v>
      </c>
      <c r="BM12" s="80">
        <f t="shared" si="0"/>
        <v>2</v>
      </c>
      <c r="BN12" s="80">
        <f t="shared" si="0"/>
        <v>2</v>
      </c>
      <c r="BO12" s="80">
        <f t="shared" si="0"/>
        <v>2</v>
      </c>
      <c r="BP12" s="80">
        <f t="shared" si="0"/>
        <v>2</v>
      </c>
      <c r="BQ12" s="80">
        <f t="shared" si="0"/>
        <v>0</v>
      </c>
      <c r="BR12" s="80">
        <f t="shared" si="0"/>
        <v>0</v>
      </c>
      <c r="BS12" s="80">
        <f t="shared" si="0"/>
        <v>2</v>
      </c>
      <c r="BT12" s="80">
        <f t="shared" si="0"/>
        <v>2</v>
      </c>
      <c r="BU12" s="80">
        <f t="shared" si="0"/>
        <v>2</v>
      </c>
      <c r="BV12" s="80">
        <f t="shared" si="0"/>
        <v>2</v>
      </c>
      <c r="BW12" s="80">
        <f t="shared" si="0"/>
        <v>2</v>
      </c>
      <c r="BX12" s="80">
        <f t="shared" si="0"/>
        <v>0</v>
      </c>
      <c r="BY12" s="80">
        <f t="shared" si="0"/>
        <v>0</v>
      </c>
    </row>
    <row r="13" spans="1:78">
      <c r="B13" s="93">
        <v>0</v>
      </c>
      <c r="C13" s="105" t="s">
        <v>254</v>
      </c>
      <c r="L13" s="79" t="s">
        <v>164</v>
      </c>
      <c r="O13" s="80">
        <f>O11-O12</f>
        <v>0</v>
      </c>
      <c r="P13" s="80">
        <f t="shared" ref="P13:BY13" si="1">P11-P12</f>
        <v>0</v>
      </c>
      <c r="Q13" s="80">
        <f t="shared" si="1"/>
        <v>-0.1875</v>
      </c>
      <c r="R13" s="80">
        <f t="shared" si="1"/>
        <v>0</v>
      </c>
      <c r="S13" s="80">
        <f t="shared" si="1"/>
        <v>0</v>
      </c>
      <c r="T13" s="80">
        <f t="shared" si="1"/>
        <v>0</v>
      </c>
      <c r="U13" s="80">
        <f t="shared" si="1"/>
        <v>0</v>
      </c>
      <c r="V13" s="80">
        <f t="shared" si="1"/>
        <v>0</v>
      </c>
      <c r="W13" s="80">
        <f t="shared" si="1"/>
        <v>0</v>
      </c>
      <c r="X13" s="80">
        <f t="shared" si="1"/>
        <v>0</v>
      </c>
      <c r="Y13" s="80">
        <f t="shared" si="1"/>
        <v>0</v>
      </c>
      <c r="Z13" s="80">
        <f t="shared" si="1"/>
        <v>0</v>
      </c>
      <c r="AA13" s="80">
        <f t="shared" si="1"/>
        <v>0</v>
      </c>
      <c r="AB13" s="80">
        <f t="shared" si="1"/>
        <v>0</v>
      </c>
      <c r="AC13" s="80">
        <f t="shared" si="1"/>
        <v>0</v>
      </c>
      <c r="AD13" s="80">
        <f t="shared" si="1"/>
        <v>0</v>
      </c>
      <c r="AE13" s="80">
        <f t="shared" si="1"/>
        <v>0</v>
      </c>
      <c r="AF13" s="80">
        <f t="shared" si="1"/>
        <v>0</v>
      </c>
      <c r="AG13" s="80">
        <f t="shared" si="1"/>
        <v>0</v>
      </c>
      <c r="AH13" s="80">
        <f t="shared" si="1"/>
        <v>0</v>
      </c>
      <c r="AI13" s="80">
        <f t="shared" si="1"/>
        <v>0</v>
      </c>
      <c r="AJ13" s="80">
        <f t="shared" si="1"/>
        <v>0</v>
      </c>
      <c r="AK13" s="80">
        <f t="shared" si="1"/>
        <v>0</v>
      </c>
      <c r="AL13" s="80">
        <f t="shared" si="1"/>
        <v>0</v>
      </c>
      <c r="AM13" s="80">
        <f t="shared" si="1"/>
        <v>0</v>
      </c>
      <c r="AN13" s="80">
        <f t="shared" si="1"/>
        <v>0</v>
      </c>
      <c r="AO13" s="80">
        <f t="shared" si="1"/>
        <v>0</v>
      </c>
      <c r="AP13" s="80">
        <f t="shared" si="1"/>
        <v>0</v>
      </c>
      <c r="AQ13" s="80">
        <f t="shared" si="1"/>
        <v>0</v>
      </c>
      <c r="AR13" s="80">
        <f t="shared" si="1"/>
        <v>0</v>
      </c>
      <c r="AS13" s="80">
        <f t="shared" si="1"/>
        <v>0</v>
      </c>
      <c r="AT13" s="80">
        <f t="shared" si="1"/>
        <v>0</v>
      </c>
      <c r="AU13" s="80">
        <f t="shared" si="1"/>
        <v>0</v>
      </c>
      <c r="AV13" s="80">
        <f t="shared" si="1"/>
        <v>0</v>
      </c>
      <c r="AW13" s="80">
        <f t="shared" si="1"/>
        <v>0</v>
      </c>
      <c r="AX13" s="80">
        <f t="shared" si="1"/>
        <v>0</v>
      </c>
      <c r="AY13" s="80">
        <f t="shared" si="1"/>
        <v>0</v>
      </c>
      <c r="AZ13" s="80">
        <f t="shared" si="1"/>
        <v>0</v>
      </c>
      <c r="BA13" s="80">
        <f t="shared" si="1"/>
        <v>0</v>
      </c>
      <c r="BB13" s="80">
        <f t="shared" si="1"/>
        <v>0</v>
      </c>
      <c r="BC13" s="80">
        <f t="shared" si="1"/>
        <v>0</v>
      </c>
      <c r="BD13" s="80">
        <f t="shared" si="1"/>
        <v>0</v>
      </c>
      <c r="BE13" s="80">
        <f t="shared" si="1"/>
        <v>0</v>
      </c>
      <c r="BF13" s="80">
        <f t="shared" si="1"/>
        <v>0</v>
      </c>
      <c r="BG13" s="80">
        <f t="shared" si="1"/>
        <v>0</v>
      </c>
      <c r="BH13" s="80">
        <f t="shared" si="1"/>
        <v>0</v>
      </c>
      <c r="BI13" s="80">
        <f t="shared" si="1"/>
        <v>0</v>
      </c>
      <c r="BJ13" s="80">
        <f t="shared" si="1"/>
        <v>0</v>
      </c>
      <c r="BK13" s="80">
        <f t="shared" si="1"/>
        <v>0</v>
      </c>
      <c r="BL13" s="80">
        <f t="shared" si="1"/>
        <v>0</v>
      </c>
      <c r="BM13" s="80">
        <f t="shared" si="1"/>
        <v>0</v>
      </c>
      <c r="BN13" s="80">
        <f t="shared" si="1"/>
        <v>0</v>
      </c>
      <c r="BO13" s="80">
        <f t="shared" si="1"/>
        <v>0</v>
      </c>
      <c r="BP13" s="80">
        <f t="shared" si="1"/>
        <v>0</v>
      </c>
      <c r="BQ13" s="80">
        <f t="shared" si="1"/>
        <v>0</v>
      </c>
      <c r="BR13" s="80">
        <f t="shared" si="1"/>
        <v>0</v>
      </c>
      <c r="BS13" s="80">
        <f t="shared" si="1"/>
        <v>0</v>
      </c>
      <c r="BT13" s="80">
        <f t="shared" si="1"/>
        <v>0</v>
      </c>
      <c r="BU13" s="80">
        <f t="shared" si="1"/>
        <v>0</v>
      </c>
      <c r="BV13" s="80">
        <f t="shared" si="1"/>
        <v>0</v>
      </c>
      <c r="BW13" s="80">
        <f t="shared" si="1"/>
        <v>0</v>
      </c>
      <c r="BX13" s="80">
        <f t="shared" si="1"/>
        <v>0</v>
      </c>
      <c r="BY13" s="80">
        <f t="shared" si="1"/>
        <v>0</v>
      </c>
    </row>
    <row r="14" spans="1:78" ht="13.8" thickBot="1">
      <c r="L14" s="3" t="s">
        <v>255</v>
      </c>
    </row>
    <row r="15" spans="1:78" ht="15" customHeight="1" thickBot="1">
      <c r="F15" s="302" t="s">
        <v>130</v>
      </c>
      <c r="G15" s="302"/>
      <c r="H15" s="302" t="s">
        <v>133</v>
      </c>
      <c r="I15" s="302"/>
      <c r="J15" s="301" t="s">
        <v>113</v>
      </c>
      <c r="K15" s="301"/>
      <c r="L15" s="11"/>
      <c r="M15" s="11"/>
      <c r="O15" s="300" t="s">
        <v>134</v>
      </c>
      <c r="P15" s="300"/>
      <c r="Q15" s="300"/>
      <c r="R15" s="300"/>
      <c r="S15" s="300"/>
      <c r="T15" s="300"/>
      <c r="U15" s="300"/>
      <c r="V15" s="300" t="s">
        <v>135</v>
      </c>
      <c r="W15" s="300"/>
      <c r="X15" s="300"/>
      <c r="Y15" s="300"/>
      <c r="Z15" s="300"/>
      <c r="AA15" s="300"/>
      <c r="AB15" s="300"/>
      <c r="AC15" s="300" t="s">
        <v>136</v>
      </c>
      <c r="AD15" s="300"/>
      <c r="AE15" s="300"/>
      <c r="AF15" s="300"/>
      <c r="AG15" s="300"/>
      <c r="AH15" s="300"/>
      <c r="AI15" s="300"/>
      <c r="AJ15" s="300" t="s">
        <v>137</v>
      </c>
      <c r="AK15" s="300"/>
      <c r="AL15" s="300"/>
      <c r="AM15" s="300"/>
      <c r="AN15" s="300"/>
      <c r="AO15" s="300"/>
      <c r="AP15" s="300"/>
      <c r="AQ15" s="300" t="s">
        <v>138</v>
      </c>
      <c r="AR15" s="300"/>
      <c r="AS15" s="300"/>
      <c r="AT15" s="300"/>
      <c r="AU15" s="300"/>
      <c r="AV15" s="300"/>
      <c r="AW15" s="300"/>
      <c r="AX15" s="300" t="s">
        <v>139</v>
      </c>
      <c r="AY15" s="300"/>
      <c r="AZ15" s="300"/>
      <c r="BA15" s="300"/>
      <c r="BB15" s="300"/>
      <c r="BC15" s="300"/>
      <c r="BD15" s="300"/>
      <c r="BE15" s="300" t="s">
        <v>140</v>
      </c>
      <c r="BF15" s="300"/>
      <c r="BG15" s="300"/>
      <c r="BH15" s="300"/>
      <c r="BI15" s="300"/>
      <c r="BJ15" s="300"/>
      <c r="BK15" s="300"/>
      <c r="BL15" s="300" t="s">
        <v>141</v>
      </c>
      <c r="BM15" s="300"/>
      <c r="BN15" s="300"/>
      <c r="BO15" s="300"/>
      <c r="BP15" s="300"/>
      <c r="BQ15" s="300"/>
      <c r="BR15" s="300"/>
      <c r="BS15" s="300" t="s">
        <v>142</v>
      </c>
      <c r="BT15" s="300"/>
      <c r="BU15" s="300"/>
      <c r="BV15" s="300"/>
      <c r="BW15" s="300"/>
      <c r="BX15" s="300"/>
      <c r="BY15" s="300"/>
    </row>
    <row r="16" spans="1:78" ht="15" customHeight="1" thickBot="1">
      <c r="B16" s="50" t="s">
        <v>127</v>
      </c>
      <c r="C16" s="289" t="s">
        <v>128</v>
      </c>
      <c r="D16" s="290"/>
      <c r="E16" s="50" t="s">
        <v>129</v>
      </c>
      <c r="F16" s="52" t="s">
        <v>131</v>
      </c>
      <c r="G16" s="52" t="s">
        <v>132</v>
      </c>
      <c r="H16" s="52" t="s">
        <v>131</v>
      </c>
      <c r="I16" s="52" t="s">
        <v>132</v>
      </c>
      <c r="J16" s="97" t="s">
        <v>246</v>
      </c>
      <c r="K16" s="97" t="s">
        <v>247</v>
      </c>
      <c r="L16" s="81" t="s">
        <v>248</v>
      </c>
      <c r="M16" s="88" t="s">
        <v>236</v>
      </c>
      <c r="O16" s="51">
        <v>45789</v>
      </c>
      <c r="P16" s="51">
        <f>O16+1</f>
        <v>45790</v>
      </c>
      <c r="Q16" s="51">
        <f t="shared" ref="Q16:AK16" si="2">P16+1</f>
        <v>45791</v>
      </c>
      <c r="R16" s="51">
        <f t="shared" si="2"/>
        <v>45792</v>
      </c>
      <c r="S16" s="51">
        <f t="shared" si="2"/>
        <v>45793</v>
      </c>
      <c r="T16" s="51">
        <f t="shared" si="2"/>
        <v>45794</v>
      </c>
      <c r="U16" s="51">
        <f t="shared" si="2"/>
        <v>45795</v>
      </c>
      <c r="V16" s="51">
        <f t="shared" si="2"/>
        <v>45796</v>
      </c>
      <c r="W16" s="51">
        <f t="shared" si="2"/>
        <v>45797</v>
      </c>
      <c r="X16" s="51">
        <f t="shared" si="2"/>
        <v>45798</v>
      </c>
      <c r="Y16" s="51">
        <f t="shared" si="2"/>
        <v>45799</v>
      </c>
      <c r="Z16" s="51">
        <f t="shared" si="2"/>
        <v>45800</v>
      </c>
      <c r="AA16" s="51">
        <f t="shared" si="2"/>
        <v>45801</v>
      </c>
      <c r="AB16" s="51">
        <f t="shared" si="2"/>
        <v>45802</v>
      </c>
      <c r="AC16" s="51">
        <f t="shared" si="2"/>
        <v>45803</v>
      </c>
      <c r="AD16" s="51">
        <f t="shared" si="2"/>
        <v>45804</v>
      </c>
      <c r="AE16" s="51">
        <f t="shared" si="2"/>
        <v>45805</v>
      </c>
      <c r="AF16" s="51">
        <f t="shared" si="2"/>
        <v>45806</v>
      </c>
      <c r="AG16" s="51">
        <f t="shared" si="2"/>
        <v>45807</v>
      </c>
      <c r="AH16" s="51">
        <f t="shared" si="2"/>
        <v>45808</v>
      </c>
      <c r="AI16" s="51">
        <v>45809</v>
      </c>
      <c r="AJ16" s="51">
        <f t="shared" si="2"/>
        <v>45810</v>
      </c>
      <c r="AK16" s="51">
        <f t="shared" si="2"/>
        <v>45811</v>
      </c>
      <c r="AL16" s="51">
        <v>45812</v>
      </c>
      <c r="AM16" s="51">
        <f>AL16+1</f>
        <v>45813</v>
      </c>
      <c r="AN16" s="51">
        <f t="shared" ref="AN16:BR16" si="3">AM16+1</f>
        <v>45814</v>
      </c>
      <c r="AO16" s="51">
        <f t="shared" si="3"/>
        <v>45815</v>
      </c>
      <c r="AP16" s="51">
        <f t="shared" si="3"/>
        <v>45816</v>
      </c>
      <c r="AQ16" s="51">
        <f t="shared" si="3"/>
        <v>45817</v>
      </c>
      <c r="AR16" s="51">
        <f t="shared" si="3"/>
        <v>45818</v>
      </c>
      <c r="AS16" s="51">
        <f t="shared" si="3"/>
        <v>45819</v>
      </c>
      <c r="AT16" s="51">
        <f t="shared" si="3"/>
        <v>45820</v>
      </c>
      <c r="AU16" s="51">
        <f t="shared" si="3"/>
        <v>45821</v>
      </c>
      <c r="AV16" s="51">
        <f t="shared" si="3"/>
        <v>45822</v>
      </c>
      <c r="AW16" s="51">
        <f t="shared" si="3"/>
        <v>45823</v>
      </c>
      <c r="AX16" s="51">
        <f t="shared" si="3"/>
        <v>45824</v>
      </c>
      <c r="AY16" s="51">
        <f t="shared" si="3"/>
        <v>45825</v>
      </c>
      <c r="AZ16" s="51">
        <f t="shared" si="3"/>
        <v>45826</v>
      </c>
      <c r="BA16" s="51">
        <f t="shared" si="3"/>
        <v>45827</v>
      </c>
      <c r="BB16" s="51">
        <f t="shared" si="3"/>
        <v>45828</v>
      </c>
      <c r="BC16" s="51">
        <f t="shared" si="3"/>
        <v>45829</v>
      </c>
      <c r="BD16" s="51">
        <f t="shared" si="3"/>
        <v>45830</v>
      </c>
      <c r="BE16" s="51">
        <f t="shared" si="3"/>
        <v>45831</v>
      </c>
      <c r="BF16" s="51">
        <f t="shared" si="3"/>
        <v>45832</v>
      </c>
      <c r="BG16" s="51">
        <f t="shared" si="3"/>
        <v>45833</v>
      </c>
      <c r="BH16" s="51">
        <f t="shared" si="3"/>
        <v>45834</v>
      </c>
      <c r="BI16" s="51">
        <f t="shared" si="3"/>
        <v>45835</v>
      </c>
      <c r="BJ16" s="51">
        <f t="shared" si="3"/>
        <v>45836</v>
      </c>
      <c r="BK16" s="51">
        <f t="shared" si="3"/>
        <v>45837</v>
      </c>
      <c r="BL16" s="51">
        <f t="shared" si="3"/>
        <v>45838</v>
      </c>
      <c r="BM16" s="51">
        <f t="shared" si="3"/>
        <v>45839</v>
      </c>
      <c r="BN16" s="51">
        <f t="shared" si="3"/>
        <v>45840</v>
      </c>
      <c r="BO16" s="51">
        <f t="shared" si="3"/>
        <v>45841</v>
      </c>
      <c r="BP16" s="51">
        <f t="shared" si="3"/>
        <v>45842</v>
      </c>
      <c r="BQ16" s="51">
        <f t="shared" si="3"/>
        <v>45843</v>
      </c>
      <c r="BR16" s="51">
        <f t="shared" si="3"/>
        <v>45844</v>
      </c>
      <c r="BS16" s="51">
        <f t="shared" ref="BS16:BY16" si="4">BR16+1</f>
        <v>45845</v>
      </c>
      <c r="BT16" s="51">
        <f t="shared" si="4"/>
        <v>45846</v>
      </c>
      <c r="BU16" s="51">
        <f t="shared" si="4"/>
        <v>45847</v>
      </c>
      <c r="BV16" s="51">
        <f t="shared" si="4"/>
        <v>45848</v>
      </c>
      <c r="BW16" s="51">
        <f t="shared" si="4"/>
        <v>45849</v>
      </c>
      <c r="BX16" s="51">
        <f t="shared" si="4"/>
        <v>45850</v>
      </c>
      <c r="BY16" s="51">
        <f t="shared" si="4"/>
        <v>45851</v>
      </c>
    </row>
    <row r="17" spans="2:77" s="8" customFormat="1" ht="15" customHeight="1">
      <c r="B17" s="55" t="s">
        <v>143</v>
      </c>
      <c r="C17" s="291" t="s">
        <v>144</v>
      </c>
      <c r="D17" s="291"/>
      <c r="E17" s="53"/>
      <c r="F17" s="53"/>
      <c r="G17" s="53"/>
      <c r="H17" s="53"/>
      <c r="I17" s="53"/>
      <c r="J17" s="53"/>
      <c r="K17" s="53"/>
      <c r="L17" s="53"/>
      <c r="O17" s="54"/>
      <c r="P17" s="54"/>
      <c r="Q17" s="54"/>
      <c r="R17" s="54"/>
      <c r="S17" s="54"/>
      <c r="T17" s="93">
        <v>0</v>
      </c>
      <c r="U17" s="93">
        <v>0</v>
      </c>
      <c r="V17" s="54"/>
      <c r="W17" s="54"/>
      <c r="X17" s="54"/>
      <c r="Y17" s="54"/>
      <c r="Z17" s="54"/>
      <c r="AA17" s="93">
        <v>0</v>
      </c>
      <c r="AB17" s="93">
        <v>0</v>
      </c>
      <c r="AC17" s="54"/>
      <c r="AD17" s="54"/>
      <c r="AE17" s="54"/>
      <c r="AF17" s="54"/>
      <c r="AG17" s="54"/>
      <c r="AH17" s="93">
        <v>0</v>
      </c>
      <c r="AI17" s="93">
        <v>0</v>
      </c>
      <c r="AJ17" s="53"/>
      <c r="AK17" s="53"/>
      <c r="AL17" s="53"/>
      <c r="AM17" s="53"/>
      <c r="AN17" s="53"/>
      <c r="AO17" s="93">
        <v>0</v>
      </c>
      <c r="AP17" s="93">
        <v>0</v>
      </c>
      <c r="AQ17" s="53"/>
      <c r="AR17" s="76"/>
      <c r="AS17" s="53"/>
      <c r="AT17" s="53"/>
      <c r="AU17" s="76"/>
      <c r="AV17" s="93">
        <v>0</v>
      </c>
      <c r="AW17" s="93">
        <v>0</v>
      </c>
      <c r="AX17" s="53"/>
      <c r="AY17" s="53"/>
      <c r="AZ17" s="53"/>
      <c r="BA17" s="76"/>
      <c r="BB17" s="53"/>
      <c r="BC17" s="93">
        <v>0</v>
      </c>
      <c r="BD17" s="93">
        <v>0</v>
      </c>
      <c r="BE17" s="53"/>
      <c r="BF17" s="53"/>
      <c r="BG17" s="53"/>
      <c r="BH17" s="53"/>
      <c r="BI17" s="53"/>
      <c r="BJ17" s="93">
        <v>0</v>
      </c>
      <c r="BK17" s="93">
        <v>0</v>
      </c>
      <c r="BL17" s="53"/>
      <c r="BM17" s="53"/>
      <c r="BN17" s="53"/>
      <c r="BO17" s="53"/>
      <c r="BP17" s="53"/>
      <c r="BQ17" s="93">
        <v>0</v>
      </c>
      <c r="BR17" s="93">
        <v>0</v>
      </c>
      <c r="BS17" s="53"/>
      <c r="BT17" s="53"/>
      <c r="BU17" s="53"/>
      <c r="BV17" s="53"/>
      <c r="BW17" s="53"/>
      <c r="BX17" s="93">
        <v>0</v>
      </c>
      <c r="BY17" s="93">
        <v>0</v>
      </c>
    </row>
    <row r="18" spans="2:77" s="8" customFormat="1" ht="15" customHeight="1" outlineLevel="1">
      <c r="B18" s="64" t="s">
        <v>146</v>
      </c>
      <c r="C18" s="292" t="s">
        <v>235</v>
      </c>
      <c r="D18" s="292"/>
      <c r="E18" s="64" t="s">
        <v>233</v>
      </c>
      <c r="F18" s="64">
        <v>48</v>
      </c>
      <c r="G18" s="67">
        <f>F18/8/2</f>
        <v>3</v>
      </c>
      <c r="H18" s="58" cm="1">
        <f t="array" aca="1" ref="H18" ca="1">SUMPRODUCT((COLUMN(O18:BY18)&gt;=MIN(IF(O18:BY18&lt;&gt;"",COLUMN(O18:BY18))))*($O$16:$BY$16&lt;=TODAY())*(O18:BY18))</f>
        <v>48</v>
      </c>
      <c r="I18" s="67">
        <f ca="1">H18/8/2</f>
        <v>3</v>
      </c>
      <c r="J18" s="103" cm="1">
        <f t="array" aca="1" ref="J18" ca="1">SUMPRODUCT(($O$16:$Q$16&lt;=TODAY())*(O18:Q18))/F18</f>
        <v>1</v>
      </c>
      <c r="K18" s="103" cm="1">
        <f t="array" aca="1" ref="K18" ca="1">IFERROR(SUMPRODUCT(($O$16:$BY$16&lt;=TODAY())*(O18:BY18))/H18,"")</f>
        <v>1</v>
      </c>
      <c r="L18" s="102">
        <f ca="1">IFERROR(K18-J18,"")</f>
        <v>0</v>
      </c>
      <c r="M18" s="8">
        <f>SUM(O18:BY18)-F18</f>
        <v>0</v>
      </c>
      <c r="O18" s="90">
        <v>16</v>
      </c>
      <c r="P18" s="90">
        <v>16</v>
      </c>
      <c r="Q18" s="90">
        <v>16</v>
      </c>
      <c r="R18" s="57"/>
      <c r="S18" s="68"/>
      <c r="T18" s="94">
        <v>0</v>
      </c>
      <c r="U18" s="93">
        <v>0</v>
      </c>
      <c r="V18" s="70"/>
      <c r="W18" s="57"/>
      <c r="X18" s="57"/>
      <c r="Y18" s="57"/>
      <c r="Z18" s="57"/>
      <c r="AA18" s="94">
        <v>0</v>
      </c>
      <c r="AB18" s="93">
        <v>0</v>
      </c>
      <c r="AC18" s="57"/>
      <c r="AD18" s="57"/>
      <c r="AE18" s="57"/>
      <c r="AF18" s="57"/>
      <c r="AG18" s="57"/>
      <c r="AH18" s="94">
        <v>0</v>
      </c>
      <c r="AI18" s="93">
        <v>0</v>
      </c>
      <c r="AJ18" s="56"/>
      <c r="AK18" s="56"/>
      <c r="AL18" s="56"/>
      <c r="AM18" s="56"/>
      <c r="AN18" s="56"/>
      <c r="AO18" s="94">
        <v>0</v>
      </c>
      <c r="AP18" s="93">
        <v>0</v>
      </c>
      <c r="AQ18" s="72"/>
      <c r="AR18" s="77"/>
      <c r="AS18" s="74"/>
      <c r="AT18" s="56"/>
      <c r="AU18" s="77"/>
      <c r="AV18" s="94">
        <v>0</v>
      </c>
      <c r="AW18" s="93">
        <v>0</v>
      </c>
      <c r="AX18" s="56"/>
      <c r="AY18" s="56"/>
      <c r="AZ18" s="56"/>
      <c r="BA18" s="77"/>
      <c r="BB18" s="56"/>
      <c r="BC18" s="94">
        <v>0</v>
      </c>
      <c r="BD18" s="93">
        <v>0</v>
      </c>
      <c r="BE18" s="56"/>
      <c r="BF18" s="56"/>
      <c r="BG18" s="56"/>
      <c r="BH18" s="56"/>
      <c r="BI18" s="56"/>
      <c r="BJ18" s="94">
        <v>0</v>
      </c>
      <c r="BK18" s="93">
        <v>0</v>
      </c>
      <c r="BL18" s="56"/>
      <c r="BM18" s="56"/>
      <c r="BN18" s="56"/>
      <c r="BO18" s="56"/>
      <c r="BP18" s="56"/>
      <c r="BQ18" s="94">
        <v>0</v>
      </c>
      <c r="BR18" s="93">
        <v>0</v>
      </c>
      <c r="BS18" s="56"/>
      <c r="BT18" s="56"/>
      <c r="BU18" s="56"/>
      <c r="BV18" s="56"/>
      <c r="BW18" s="56"/>
      <c r="BX18" s="94">
        <v>0</v>
      </c>
      <c r="BY18" s="93">
        <v>0</v>
      </c>
    </row>
    <row r="19" spans="2:77" s="8" customFormat="1" ht="15" customHeight="1" outlineLevel="1">
      <c r="B19" s="64" t="s">
        <v>234</v>
      </c>
      <c r="C19" s="292" t="s">
        <v>147</v>
      </c>
      <c r="D19" s="292"/>
      <c r="E19" s="64" t="s">
        <v>148</v>
      </c>
      <c r="F19" s="64">
        <v>9</v>
      </c>
      <c r="G19" s="67">
        <f>F19/8</f>
        <v>1.125</v>
      </c>
      <c r="H19" s="64"/>
      <c r="I19" s="67"/>
      <c r="J19" s="67"/>
      <c r="K19" s="67"/>
      <c r="L19" s="64"/>
      <c r="O19" s="57"/>
      <c r="P19" s="57"/>
      <c r="Q19" s="57"/>
      <c r="R19" s="92" t="s">
        <v>245</v>
      </c>
      <c r="S19" s="68"/>
      <c r="T19" s="94">
        <v>0</v>
      </c>
      <c r="U19" s="95">
        <v>0</v>
      </c>
      <c r="V19" s="70"/>
      <c r="W19" s="57"/>
      <c r="X19" s="57"/>
      <c r="Y19" s="92" t="s">
        <v>245</v>
      </c>
      <c r="Z19" s="57"/>
      <c r="AA19" s="94">
        <v>0</v>
      </c>
      <c r="AB19" s="95">
        <v>0</v>
      </c>
      <c r="AC19" s="57"/>
      <c r="AD19" s="57"/>
      <c r="AE19" s="57"/>
      <c r="AF19" s="92" t="s">
        <v>245</v>
      </c>
      <c r="AG19" s="57"/>
      <c r="AH19" s="94">
        <v>0</v>
      </c>
      <c r="AI19" s="95">
        <v>0</v>
      </c>
      <c r="AJ19" s="56"/>
      <c r="AK19" s="56"/>
      <c r="AL19" s="56"/>
      <c r="AM19" s="92" t="s">
        <v>245</v>
      </c>
      <c r="AN19" s="56"/>
      <c r="AO19" s="94">
        <v>0</v>
      </c>
      <c r="AP19" s="95">
        <v>0</v>
      </c>
      <c r="AQ19" s="72"/>
      <c r="AR19" s="77"/>
      <c r="AS19" s="74"/>
      <c r="AT19" s="92" t="s">
        <v>245</v>
      </c>
      <c r="AU19" s="77"/>
      <c r="AV19" s="94">
        <v>0</v>
      </c>
      <c r="AW19" s="95">
        <v>0</v>
      </c>
      <c r="AX19" s="56"/>
      <c r="AY19" s="56"/>
      <c r="AZ19" s="92" t="s">
        <v>245</v>
      </c>
      <c r="BA19" s="77"/>
      <c r="BB19" s="56"/>
      <c r="BC19" s="94">
        <v>0</v>
      </c>
      <c r="BD19" s="95">
        <v>0</v>
      </c>
      <c r="BE19" s="56"/>
      <c r="BF19" s="56"/>
      <c r="BG19" s="56"/>
      <c r="BH19" s="92" t="s">
        <v>245</v>
      </c>
      <c r="BI19" s="56"/>
      <c r="BJ19" s="94">
        <v>0</v>
      </c>
      <c r="BK19" s="95">
        <v>0</v>
      </c>
      <c r="BL19" s="56"/>
      <c r="BM19" s="56"/>
      <c r="BN19" s="56"/>
      <c r="BO19" s="92" t="s">
        <v>245</v>
      </c>
      <c r="BP19" s="56"/>
      <c r="BQ19" s="94">
        <v>0</v>
      </c>
      <c r="BR19" s="95">
        <v>0</v>
      </c>
      <c r="BS19" s="56"/>
      <c r="BT19" s="56"/>
      <c r="BU19" s="56"/>
      <c r="BV19" s="92" t="s">
        <v>245</v>
      </c>
      <c r="BW19" s="56"/>
      <c r="BX19" s="94">
        <v>0</v>
      </c>
      <c r="BY19" s="95">
        <v>0</v>
      </c>
    </row>
    <row r="20" spans="2:77" s="8" customFormat="1" ht="15" customHeight="1">
      <c r="B20" s="55" t="s">
        <v>145</v>
      </c>
      <c r="C20" s="288" t="s">
        <v>149</v>
      </c>
      <c r="D20" s="288"/>
      <c r="E20" s="53"/>
      <c r="F20" s="53"/>
      <c r="G20" s="53"/>
      <c r="H20" s="53"/>
      <c r="I20" s="96"/>
      <c r="J20" s="96"/>
      <c r="K20" s="96"/>
      <c r="L20" s="53"/>
      <c r="O20" s="162" t="s">
        <v>280</v>
      </c>
      <c r="P20" s="54"/>
      <c r="Q20" s="54"/>
      <c r="R20" s="54"/>
      <c r="S20" s="54"/>
      <c r="T20" s="94">
        <v>0</v>
      </c>
      <c r="U20" s="95">
        <v>0</v>
      </c>
      <c r="V20" s="54"/>
      <c r="W20" s="54"/>
      <c r="X20" s="54"/>
      <c r="Y20" s="54"/>
      <c r="Z20" s="54"/>
      <c r="AA20" s="94">
        <v>0</v>
      </c>
      <c r="AB20" s="95">
        <v>0</v>
      </c>
      <c r="AC20" s="54"/>
      <c r="AD20" s="54"/>
      <c r="AE20" s="54"/>
      <c r="AF20" s="54"/>
      <c r="AG20" s="54"/>
      <c r="AH20" s="94">
        <v>0</v>
      </c>
      <c r="AI20" s="95">
        <v>0</v>
      </c>
      <c r="AJ20" s="53"/>
      <c r="AK20" s="53"/>
      <c r="AL20" s="53"/>
      <c r="AM20" s="53"/>
      <c r="AN20" s="53"/>
      <c r="AO20" s="94">
        <v>0</v>
      </c>
      <c r="AP20" s="95">
        <v>0</v>
      </c>
      <c r="AQ20" s="53"/>
      <c r="AR20" s="77"/>
      <c r="AS20" s="53"/>
      <c r="AT20" s="53"/>
      <c r="AU20" s="77"/>
      <c r="AV20" s="94">
        <v>0</v>
      </c>
      <c r="AW20" s="95">
        <v>0</v>
      </c>
      <c r="AX20" s="53"/>
      <c r="AY20" s="53"/>
      <c r="AZ20" s="53"/>
      <c r="BA20" s="77"/>
      <c r="BB20" s="53"/>
      <c r="BC20" s="94">
        <v>0</v>
      </c>
      <c r="BD20" s="95">
        <v>0</v>
      </c>
      <c r="BE20" s="53"/>
      <c r="BF20" s="53"/>
      <c r="BG20" s="53"/>
      <c r="BH20" s="53"/>
      <c r="BI20" s="53"/>
      <c r="BJ20" s="94">
        <v>0</v>
      </c>
      <c r="BK20" s="95">
        <v>0</v>
      </c>
      <c r="BL20" s="53"/>
      <c r="BM20" s="53"/>
      <c r="BN20" s="53"/>
      <c r="BO20" s="53"/>
      <c r="BP20" s="53"/>
      <c r="BQ20" s="94">
        <v>0</v>
      </c>
      <c r="BR20" s="95">
        <v>0</v>
      </c>
      <c r="BS20" s="53"/>
      <c r="BT20" s="53"/>
      <c r="BU20" s="53"/>
      <c r="BV20" s="53"/>
      <c r="BW20" s="53"/>
      <c r="BX20" s="94">
        <v>0</v>
      </c>
      <c r="BY20" s="95">
        <v>0</v>
      </c>
    </row>
    <row r="21" spans="2:77" s="8" customFormat="1" ht="15" customHeight="1" outlineLevel="1">
      <c r="B21" s="58" t="s">
        <v>150</v>
      </c>
      <c r="C21" s="59" t="s">
        <v>1</v>
      </c>
      <c r="D21" s="164" t="s">
        <v>89</v>
      </c>
      <c r="E21" s="58" t="s">
        <v>233</v>
      </c>
      <c r="F21" s="58">
        <f>SUMIFS('Detalhe Testes'!$F:$F,'Detalhe Testes'!$B:$B,'MacroPlano Equipa'!C21,'Detalhe Testes'!$C:$C,'MacroPlano Equipa'!D21)</f>
        <v>16</v>
      </c>
      <c r="G21" s="82">
        <f>F21/8</f>
        <v>2</v>
      </c>
      <c r="H21" s="58" cm="1">
        <f t="array" aca="1" ref="H21" ca="1">SUMPRODUCT((COLUMN(O21:BY21)&gt;=MIN(IF(O21:BY21&lt;&gt;"",COLUMN(O21:BY21))))*($O$16:$BY$16&lt;=TODAY())*(O21:BY21))</f>
        <v>16</v>
      </c>
      <c r="I21" s="82">
        <f ca="1">H21/8</f>
        <v>2</v>
      </c>
      <c r="J21" s="98"/>
      <c r="K21" s="98"/>
      <c r="L21" s="84"/>
      <c r="M21" s="8">
        <f t="shared" ref="M21:M48" si="5">SUM(O21:BY21)-F21</f>
        <v>0</v>
      </c>
      <c r="O21" s="83"/>
      <c r="P21" s="57"/>
      <c r="Q21" s="57"/>
      <c r="R21" s="57"/>
      <c r="S21" s="68"/>
      <c r="T21" s="94">
        <v>0</v>
      </c>
      <c r="U21" s="95">
        <v>0</v>
      </c>
      <c r="V21" s="91">
        <v>8</v>
      </c>
      <c r="W21" s="91">
        <v>8</v>
      </c>
      <c r="X21" s="57"/>
      <c r="Y21" s="57"/>
      <c r="Z21" s="57"/>
      <c r="AA21" s="94">
        <v>0</v>
      </c>
      <c r="AB21" s="95">
        <v>0</v>
      </c>
      <c r="AC21" s="57"/>
      <c r="AD21" s="57"/>
      <c r="AE21" s="57"/>
      <c r="AF21" s="57"/>
      <c r="AG21" s="57"/>
      <c r="AH21" s="94">
        <v>0</v>
      </c>
      <c r="AI21" s="95">
        <v>0</v>
      </c>
      <c r="AJ21" s="56"/>
      <c r="AK21" s="56"/>
      <c r="AL21" s="56"/>
      <c r="AM21" s="56"/>
      <c r="AN21" s="56"/>
      <c r="AO21" s="94">
        <v>0</v>
      </c>
      <c r="AP21" s="95">
        <v>0</v>
      </c>
      <c r="AQ21" s="72"/>
      <c r="AR21" s="77"/>
      <c r="AS21" s="74"/>
      <c r="AT21" s="56"/>
      <c r="AU21" s="77"/>
      <c r="AV21" s="94">
        <v>0</v>
      </c>
      <c r="AW21" s="95">
        <v>0</v>
      </c>
      <c r="AX21" s="56"/>
      <c r="AY21" s="56"/>
      <c r="AZ21" s="56"/>
      <c r="BA21" s="77"/>
      <c r="BB21" s="56"/>
      <c r="BC21" s="94">
        <v>0</v>
      </c>
      <c r="BD21" s="95">
        <v>0</v>
      </c>
      <c r="BE21" s="56"/>
      <c r="BF21" s="56"/>
      <c r="BG21" s="56"/>
      <c r="BH21" s="56"/>
      <c r="BI21" s="56"/>
      <c r="BJ21" s="94">
        <v>0</v>
      </c>
      <c r="BK21" s="95">
        <v>0</v>
      </c>
      <c r="BL21" s="56"/>
      <c r="BM21" s="56"/>
      <c r="BN21" s="56"/>
      <c r="BO21" s="56"/>
      <c r="BP21" s="56"/>
      <c r="BQ21" s="94">
        <v>0</v>
      </c>
      <c r="BR21" s="95">
        <v>0</v>
      </c>
      <c r="BS21" s="56"/>
      <c r="BT21" s="56"/>
      <c r="BU21" s="56"/>
      <c r="BV21" s="56"/>
      <c r="BW21" s="56"/>
      <c r="BX21" s="94">
        <v>0</v>
      </c>
      <c r="BY21" s="95">
        <v>0</v>
      </c>
    </row>
    <row r="22" spans="2:77" s="8" customFormat="1" ht="15" customHeight="1" outlineLevel="1">
      <c r="B22" s="58" t="s">
        <v>151</v>
      </c>
      <c r="C22" s="59" t="s">
        <v>1</v>
      </c>
      <c r="D22" s="164" t="s">
        <v>5</v>
      </c>
      <c r="E22" s="58" t="s">
        <v>233</v>
      </c>
      <c r="F22" s="58">
        <f>SUMIFS('Detalhe Testes'!$F:$F,'Detalhe Testes'!$B:$B,'MacroPlano Equipa'!C22,'Detalhe Testes'!$C:$C,'MacroPlano Equipa'!D22)</f>
        <v>5</v>
      </c>
      <c r="G22" s="82">
        <f t="shared" ref="G22:G85" si="6">F22/8</f>
        <v>0.625</v>
      </c>
      <c r="H22" s="58" cm="1">
        <f t="array" aca="1" ref="H22" ca="1">SUMPRODUCT((COLUMN(O22:BY22)&gt;=MIN(IF(O22:BY22&lt;&gt;"",COLUMN(O22:BY22))))*($O$16:$BY$16&lt;=TODAY())*(O22:BY22))</f>
        <v>5</v>
      </c>
      <c r="I22" s="82">
        <f t="shared" ref="I22:I33" ca="1" si="7">H22/8</f>
        <v>0.625</v>
      </c>
      <c r="J22" s="98"/>
      <c r="K22" s="98"/>
      <c r="L22" s="84"/>
      <c r="M22" s="8">
        <f t="shared" si="5"/>
        <v>0</v>
      </c>
      <c r="O22" s="57"/>
      <c r="P22" s="57"/>
      <c r="Q22" s="57"/>
      <c r="R22" s="57"/>
      <c r="S22" s="68"/>
      <c r="T22" s="94">
        <v>0</v>
      </c>
      <c r="U22" s="95">
        <v>0</v>
      </c>
      <c r="V22" s="70"/>
      <c r="W22" s="91">
        <v>3</v>
      </c>
      <c r="X22" s="91">
        <v>2</v>
      </c>
      <c r="Y22" s="57"/>
      <c r="Z22" s="57"/>
      <c r="AA22" s="94">
        <v>0</v>
      </c>
      <c r="AB22" s="95">
        <v>0</v>
      </c>
      <c r="AC22" s="57"/>
      <c r="AD22" s="57"/>
      <c r="AE22" s="57"/>
      <c r="AF22" s="57"/>
      <c r="AG22" s="57"/>
      <c r="AH22" s="94">
        <v>0</v>
      </c>
      <c r="AI22" s="95">
        <v>0</v>
      </c>
      <c r="AJ22" s="56"/>
      <c r="AK22" s="56"/>
      <c r="AL22" s="56"/>
      <c r="AM22" s="56"/>
      <c r="AN22" s="56"/>
      <c r="AO22" s="94">
        <v>0</v>
      </c>
      <c r="AP22" s="95">
        <v>0</v>
      </c>
      <c r="AQ22" s="72"/>
      <c r="AR22" s="77"/>
      <c r="AS22" s="74"/>
      <c r="AT22" s="56"/>
      <c r="AU22" s="77"/>
      <c r="AV22" s="94">
        <v>0</v>
      </c>
      <c r="AW22" s="95">
        <v>0</v>
      </c>
      <c r="AX22" s="56"/>
      <c r="AY22" s="56"/>
      <c r="AZ22" s="56"/>
      <c r="BA22" s="77"/>
      <c r="BB22" s="56"/>
      <c r="BC22" s="94">
        <v>0</v>
      </c>
      <c r="BD22" s="95">
        <v>0</v>
      </c>
      <c r="BE22" s="56"/>
      <c r="BF22" s="56"/>
      <c r="BG22" s="56"/>
      <c r="BH22" s="56"/>
      <c r="BI22" s="56"/>
      <c r="BJ22" s="94">
        <v>0</v>
      </c>
      <c r="BK22" s="95">
        <v>0</v>
      </c>
      <c r="BL22" s="56"/>
      <c r="BM22" s="56"/>
      <c r="BN22" s="56"/>
      <c r="BO22" s="56"/>
      <c r="BP22" s="56"/>
      <c r="BQ22" s="94">
        <v>0</v>
      </c>
      <c r="BR22" s="95">
        <v>0</v>
      </c>
      <c r="BS22" s="56"/>
      <c r="BT22" s="56"/>
      <c r="BU22" s="56"/>
      <c r="BV22" s="56"/>
      <c r="BW22" s="56"/>
      <c r="BX22" s="94">
        <v>0</v>
      </c>
      <c r="BY22" s="95">
        <v>0</v>
      </c>
    </row>
    <row r="23" spans="2:77" s="8" customFormat="1" ht="15" customHeight="1" outlineLevel="1">
      <c r="B23" s="60" t="s">
        <v>152</v>
      </c>
      <c r="C23" s="59" t="s">
        <v>1</v>
      </c>
      <c r="D23" s="214" t="s">
        <v>25</v>
      </c>
      <c r="E23" s="58" t="s">
        <v>233</v>
      </c>
      <c r="F23" s="60">
        <f>SUMIFS('Detalhe Testes'!$F:$F,'Detalhe Testes'!$B:$B,'MacroPlano Equipa'!C23,'Detalhe Testes'!$C:$C,'MacroPlano Equipa'!D23)</f>
        <v>3</v>
      </c>
      <c r="G23" s="82">
        <f t="shared" si="6"/>
        <v>0.375</v>
      </c>
      <c r="H23" s="58" cm="1">
        <f t="array" aca="1" ref="H23" ca="1">SUMPRODUCT((COLUMN(O23:BY23)&gt;=MIN(IF(O23:BY23&lt;&gt;"",COLUMN(O23:BY23))))*($O$16:$BY$16&lt;=TODAY())*(O23:BY23))</f>
        <v>3</v>
      </c>
      <c r="I23" s="82">
        <f t="shared" ca="1" si="7"/>
        <v>0.375</v>
      </c>
      <c r="J23" s="99"/>
      <c r="K23" s="99"/>
      <c r="L23" s="85"/>
      <c r="M23" s="8">
        <f t="shared" si="5"/>
        <v>0</v>
      </c>
      <c r="O23" s="57"/>
      <c r="P23" s="57"/>
      <c r="Q23" s="57"/>
      <c r="R23" s="90">
        <v>3</v>
      </c>
      <c r="S23" s="68"/>
      <c r="T23" s="94">
        <v>0</v>
      </c>
      <c r="U23" s="95">
        <v>0</v>
      </c>
      <c r="V23" s="70"/>
      <c r="W23" s="57"/>
      <c r="X23" s="57"/>
      <c r="Y23" s="57"/>
      <c r="Z23" s="57"/>
      <c r="AA23" s="94">
        <v>0</v>
      </c>
      <c r="AB23" s="95">
        <v>0</v>
      </c>
      <c r="AC23" s="57"/>
      <c r="AD23" s="57"/>
      <c r="AE23" s="57"/>
      <c r="AF23" s="57"/>
      <c r="AG23" s="57"/>
      <c r="AH23" s="94">
        <v>0</v>
      </c>
      <c r="AI23" s="95">
        <v>0</v>
      </c>
      <c r="AJ23" s="56"/>
      <c r="AK23" s="56"/>
      <c r="AL23" s="56"/>
      <c r="AM23" s="56"/>
      <c r="AN23" s="56"/>
      <c r="AO23" s="94">
        <v>0</v>
      </c>
      <c r="AP23" s="95">
        <v>0</v>
      </c>
      <c r="AQ23" s="72"/>
      <c r="AR23" s="77"/>
      <c r="AS23" s="74"/>
      <c r="AT23" s="56"/>
      <c r="AU23" s="77"/>
      <c r="AV23" s="94">
        <v>0</v>
      </c>
      <c r="AW23" s="95">
        <v>0</v>
      </c>
      <c r="AX23" s="56"/>
      <c r="AY23" s="56"/>
      <c r="AZ23" s="56"/>
      <c r="BA23" s="77"/>
      <c r="BB23" s="56"/>
      <c r="BC23" s="94">
        <v>0</v>
      </c>
      <c r="BD23" s="95">
        <v>0</v>
      </c>
      <c r="BE23" s="56"/>
      <c r="BF23" s="56"/>
      <c r="BG23" s="56"/>
      <c r="BH23" s="56"/>
      <c r="BI23" s="56"/>
      <c r="BJ23" s="94">
        <v>0</v>
      </c>
      <c r="BK23" s="95">
        <v>0</v>
      </c>
      <c r="BL23" s="56"/>
      <c r="BM23" s="56"/>
      <c r="BN23" s="56"/>
      <c r="BO23" s="56"/>
      <c r="BP23" s="56"/>
      <c r="BQ23" s="94">
        <v>0</v>
      </c>
      <c r="BR23" s="95">
        <v>0</v>
      </c>
      <c r="BS23" s="56"/>
      <c r="BT23" s="56"/>
      <c r="BU23" s="56"/>
      <c r="BV23" s="56"/>
      <c r="BW23" s="56"/>
      <c r="BX23" s="94">
        <v>0</v>
      </c>
      <c r="BY23" s="95">
        <v>0</v>
      </c>
    </row>
    <row r="24" spans="2:77" s="8" customFormat="1" ht="15" customHeight="1" outlineLevel="1">
      <c r="B24" s="58" t="str">
        <f>_xlfn.CONCAT(B20,RIGHT(B23,1)+1)</f>
        <v>1.4</v>
      </c>
      <c r="C24" s="59" t="s">
        <v>1</v>
      </c>
      <c r="D24" s="214" t="s">
        <v>26</v>
      </c>
      <c r="E24" s="58" t="s">
        <v>233</v>
      </c>
      <c r="F24" s="58">
        <f>SUMIFS('Detalhe Testes'!$F:$F,'Detalhe Testes'!$B:$B,'MacroPlano Equipa'!C24,'Detalhe Testes'!$C:$C,'MacroPlano Equipa'!D24)</f>
        <v>3</v>
      </c>
      <c r="G24" s="82">
        <f t="shared" si="6"/>
        <v>0.375</v>
      </c>
      <c r="H24" s="58" cm="1">
        <f t="array" aca="1" ref="H24" ca="1">SUMPRODUCT((COLUMN(O24:BY24)&gt;=MIN(IF(O24:BY24&lt;&gt;"",COLUMN(O24:BY24))))*($O$16:$BY$16&lt;=TODAY())*(O24:BY24))</f>
        <v>3</v>
      </c>
      <c r="I24" s="82">
        <f t="shared" ca="1" si="7"/>
        <v>0.375</v>
      </c>
      <c r="J24" s="98"/>
      <c r="K24" s="98"/>
      <c r="L24" s="84"/>
      <c r="M24" s="8">
        <f t="shared" si="5"/>
        <v>0</v>
      </c>
      <c r="O24" s="57"/>
      <c r="P24" s="57"/>
      <c r="Q24" s="57"/>
      <c r="R24" s="90">
        <v>3</v>
      </c>
      <c r="S24" s="68"/>
      <c r="T24" s="94">
        <v>0</v>
      </c>
      <c r="U24" s="95">
        <v>0</v>
      </c>
      <c r="V24" s="70"/>
      <c r="W24" s="57"/>
      <c r="X24" s="57"/>
      <c r="Y24" s="57"/>
      <c r="Z24" s="57"/>
      <c r="AA24" s="94">
        <v>0</v>
      </c>
      <c r="AB24" s="95">
        <v>0</v>
      </c>
      <c r="AC24" s="57"/>
      <c r="AD24" s="57"/>
      <c r="AE24" s="57"/>
      <c r="AF24" s="57"/>
      <c r="AG24" s="57"/>
      <c r="AH24" s="94">
        <v>0</v>
      </c>
      <c r="AI24" s="95">
        <v>0</v>
      </c>
      <c r="AJ24" s="56"/>
      <c r="AK24" s="56"/>
      <c r="AL24" s="56"/>
      <c r="AM24" s="56"/>
      <c r="AN24" s="56"/>
      <c r="AO24" s="94">
        <v>0</v>
      </c>
      <c r="AP24" s="95">
        <v>0</v>
      </c>
      <c r="AQ24" s="72"/>
      <c r="AR24" s="77"/>
      <c r="AS24" s="74"/>
      <c r="AT24" s="56"/>
      <c r="AU24" s="77"/>
      <c r="AV24" s="94">
        <v>0</v>
      </c>
      <c r="AW24" s="95">
        <v>0</v>
      </c>
      <c r="AX24" s="56"/>
      <c r="AY24" s="56"/>
      <c r="AZ24" s="56"/>
      <c r="BA24" s="77"/>
      <c r="BB24" s="56"/>
      <c r="BC24" s="94">
        <v>0</v>
      </c>
      <c r="BD24" s="95">
        <v>0</v>
      </c>
      <c r="BE24" s="56"/>
      <c r="BF24" s="56"/>
      <c r="BG24" s="56"/>
      <c r="BH24" s="56"/>
      <c r="BI24" s="56"/>
      <c r="BJ24" s="94">
        <v>0</v>
      </c>
      <c r="BK24" s="95">
        <v>0</v>
      </c>
      <c r="BL24" s="56"/>
      <c r="BM24" s="56"/>
      <c r="BN24" s="56"/>
      <c r="BO24" s="56"/>
      <c r="BP24" s="56"/>
      <c r="BQ24" s="94">
        <v>0</v>
      </c>
      <c r="BR24" s="95">
        <v>0</v>
      </c>
      <c r="BS24" s="56"/>
      <c r="BT24" s="56"/>
      <c r="BU24" s="56"/>
      <c r="BV24" s="56"/>
      <c r="BW24" s="56"/>
      <c r="BX24" s="94">
        <v>0</v>
      </c>
      <c r="BY24" s="95">
        <v>0</v>
      </c>
    </row>
    <row r="25" spans="2:77" s="8" customFormat="1" ht="15" customHeight="1" outlineLevel="1">
      <c r="B25" s="62" t="s">
        <v>153</v>
      </c>
      <c r="C25" s="59" t="s">
        <v>1</v>
      </c>
      <c r="D25" s="214" t="s">
        <v>27</v>
      </c>
      <c r="E25" s="58" t="s">
        <v>233</v>
      </c>
      <c r="F25" s="62">
        <f>SUMIFS('Detalhe Testes'!$F:$F,'Detalhe Testes'!$B:$B,'MacroPlano Equipa'!C25,'Detalhe Testes'!$C:$C,'MacroPlano Equipa'!D25)</f>
        <v>3</v>
      </c>
      <c r="G25" s="82">
        <f t="shared" si="6"/>
        <v>0.375</v>
      </c>
      <c r="H25" s="58" cm="1">
        <f t="array" aca="1" ref="H25" ca="1">SUMPRODUCT((COLUMN(O25:BY25)&gt;=MIN(IF(O25:BY25&lt;&gt;"",COLUMN(O25:BY25))))*($O$16:$BY$16&lt;=TODAY())*(O25:BY25))</f>
        <v>3</v>
      </c>
      <c r="I25" s="82">
        <f t="shared" ca="1" si="7"/>
        <v>0.375</v>
      </c>
      <c r="J25" s="100"/>
      <c r="K25" s="100"/>
      <c r="L25" s="86"/>
      <c r="M25" s="8">
        <f t="shared" si="5"/>
        <v>0</v>
      </c>
      <c r="O25" s="57"/>
      <c r="P25" s="57"/>
      <c r="Q25" s="57"/>
      <c r="R25" s="90">
        <v>3</v>
      </c>
      <c r="S25" s="68"/>
      <c r="T25" s="94">
        <v>0</v>
      </c>
      <c r="U25" s="95">
        <v>0</v>
      </c>
      <c r="V25" s="70"/>
      <c r="W25" s="57"/>
      <c r="X25" s="57"/>
      <c r="Y25" s="57"/>
      <c r="Z25" s="57"/>
      <c r="AA25" s="94">
        <v>0</v>
      </c>
      <c r="AB25" s="95">
        <v>0</v>
      </c>
      <c r="AC25" s="57"/>
      <c r="AD25" s="57"/>
      <c r="AE25" s="57"/>
      <c r="AF25" s="57"/>
      <c r="AG25" s="57"/>
      <c r="AH25" s="94">
        <v>0</v>
      </c>
      <c r="AI25" s="95">
        <v>0</v>
      </c>
      <c r="AJ25" s="56"/>
      <c r="AK25" s="56"/>
      <c r="AL25" s="56"/>
      <c r="AM25" s="56"/>
      <c r="AN25" s="56"/>
      <c r="AO25" s="94">
        <v>0</v>
      </c>
      <c r="AP25" s="95">
        <v>0</v>
      </c>
      <c r="AQ25" s="72"/>
      <c r="AR25" s="77"/>
      <c r="AS25" s="74"/>
      <c r="AT25" s="56"/>
      <c r="AU25" s="77"/>
      <c r="AV25" s="94">
        <v>0</v>
      </c>
      <c r="AW25" s="95">
        <v>0</v>
      </c>
      <c r="AX25" s="56"/>
      <c r="AY25" s="56"/>
      <c r="AZ25" s="56"/>
      <c r="BA25" s="77"/>
      <c r="BB25" s="56"/>
      <c r="BC25" s="94">
        <v>0</v>
      </c>
      <c r="BD25" s="95">
        <v>0</v>
      </c>
      <c r="BE25" s="56"/>
      <c r="BF25" s="56"/>
      <c r="BG25" s="56"/>
      <c r="BH25" s="56"/>
      <c r="BI25" s="56"/>
      <c r="BJ25" s="94">
        <v>0</v>
      </c>
      <c r="BK25" s="95">
        <v>0</v>
      </c>
      <c r="BL25" s="56"/>
      <c r="BM25" s="56"/>
      <c r="BN25" s="56"/>
      <c r="BO25" s="56"/>
      <c r="BP25" s="56"/>
      <c r="BQ25" s="94">
        <v>0</v>
      </c>
      <c r="BR25" s="95">
        <v>0</v>
      </c>
      <c r="BS25" s="56"/>
      <c r="BT25" s="56"/>
      <c r="BU25" s="56"/>
      <c r="BV25" s="56"/>
      <c r="BW25" s="56"/>
      <c r="BX25" s="94">
        <v>0</v>
      </c>
      <c r="BY25" s="95">
        <v>0</v>
      </c>
    </row>
    <row r="26" spans="2:77" s="8" customFormat="1" ht="15" customHeight="1" outlineLevel="1">
      <c r="B26" s="58" t="s">
        <v>154</v>
      </c>
      <c r="C26" s="59" t="s">
        <v>1</v>
      </c>
      <c r="D26" s="214" t="s">
        <v>28</v>
      </c>
      <c r="E26" s="58" t="s">
        <v>233</v>
      </c>
      <c r="F26" s="58">
        <f>SUMIFS('Detalhe Testes'!$F:$F,'Detalhe Testes'!$B:$B,'MacroPlano Equipa'!C26,'Detalhe Testes'!$C:$C,'MacroPlano Equipa'!D26)</f>
        <v>3</v>
      </c>
      <c r="G26" s="82">
        <f t="shared" si="6"/>
        <v>0.375</v>
      </c>
      <c r="H26" s="58" cm="1">
        <f t="array" aca="1" ref="H26" ca="1">SUMPRODUCT((COLUMN(O26:BY26)&gt;=MIN(IF(O26:BY26&lt;&gt;"",COLUMN(O26:BY26))))*($O$16:$BY$16&lt;=TODAY())*(O26:BY26))</f>
        <v>3</v>
      </c>
      <c r="I26" s="82">
        <f t="shared" ca="1" si="7"/>
        <v>0.375</v>
      </c>
      <c r="J26" s="98"/>
      <c r="K26" s="98"/>
      <c r="L26" s="84"/>
      <c r="M26" s="8">
        <f t="shared" si="5"/>
        <v>0</v>
      </c>
      <c r="O26" s="57"/>
      <c r="P26" s="57"/>
      <c r="Q26" s="57"/>
      <c r="R26" s="90">
        <v>3</v>
      </c>
      <c r="S26" s="68"/>
      <c r="T26" s="94">
        <v>0</v>
      </c>
      <c r="U26" s="95">
        <v>0</v>
      </c>
      <c r="V26" s="70"/>
      <c r="W26" s="57"/>
      <c r="X26" s="57"/>
      <c r="Y26" s="57"/>
      <c r="Z26" s="57"/>
      <c r="AA26" s="94">
        <v>0</v>
      </c>
      <c r="AB26" s="95">
        <v>0</v>
      </c>
      <c r="AC26" s="57"/>
      <c r="AD26" s="57"/>
      <c r="AE26" s="57"/>
      <c r="AF26" s="57"/>
      <c r="AG26" s="57"/>
      <c r="AH26" s="94">
        <v>0</v>
      </c>
      <c r="AI26" s="95">
        <v>0</v>
      </c>
      <c r="AJ26" s="56"/>
      <c r="AK26" s="56"/>
      <c r="AL26" s="56"/>
      <c r="AM26" s="56"/>
      <c r="AN26" s="56"/>
      <c r="AO26" s="94">
        <v>0</v>
      </c>
      <c r="AP26" s="95">
        <v>0</v>
      </c>
      <c r="AQ26" s="72"/>
      <c r="AR26" s="77"/>
      <c r="AS26" s="74"/>
      <c r="AT26" s="56"/>
      <c r="AU26" s="77"/>
      <c r="AV26" s="94">
        <v>0</v>
      </c>
      <c r="AW26" s="95">
        <v>0</v>
      </c>
      <c r="AX26" s="56"/>
      <c r="AY26" s="56"/>
      <c r="AZ26" s="56"/>
      <c r="BA26" s="77"/>
      <c r="BB26" s="56"/>
      <c r="BC26" s="94">
        <v>0</v>
      </c>
      <c r="BD26" s="95">
        <v>0</v>
      </c>
      <c r="BE26" s="56"/>
      <c r="BF26" s="56"/>
      <c r="BG26" s="56"/>
      <c r="BH26" s="56"/>
      <c r="BI26" s="56"/>
      <c r="BJ26" s="94">
        <v>0</v>
      </c>
      <c r="BK26" s="95">
        <v>0</v>
      </c>
      <c r="BL26" s="56"/>
      <c r="BM26" s="56"/>
      <c r="BN26" s="56"/>
      <c r="BO26" s="56"/>
      <c r="BP26" s="56"/>
      <c r="BQ26" s="94">
        <v>0</v>
      </c>
      <c r="BR26" s="95">
        <v>0</v>
      </c>
      <c r="BS26" s="56"/>
      <c r="BT26" s="56"/>
      <c r="BU26" s="56"/>
      <c r="BV26" s="56"/>
      <c r="BW26" s="56"/>
      <c r="BX26" s="94">
        <v>0</v>
      </c>
      <c r="BY26" s="95">
        <v>0</v>
      </c>
    </row>
    <row r="27" spans="2:77" s="8" customFormat="1" ht="15" customHeight="1" outlineLevel="1">
      <c r="B27" s="62" t="s">
        <v>155</v>
      </c>
      <c r="C27" s="59" t="s">
        <v>1</v>
      </c>
      <c r="D27" s="214" t="s">
        <v>29</v>
      </c>
      <c r="E27" s="58" t="s">
        <v>233</v>
      </c>
      <c r="F27" s="62">
        <f>SUMIFS('Detalhe Testes'!$F:$F,'Detalhe Testes'!$B:$B,'MacroPlano Equipa'!C27,'Detalhe Testes'!$C:$C,'MacroPlano Equipa'!D27)</f>
        <v>3</v>
      </c>
      <c r="G27" s="82">
        <f t="shared" si="6"/>
        <v>0.375</v>
      </c>
      <c r="H27" s="58" cm="1">
        <f t="array" aca="1" ref="H27" ca="1">SUMPRODUCT((COLUMN(O27:BY27)&gt;=MIN(IF(O27:BY27&lt;&gt;"",COLUMN(O27:BY27))))*($O$16:$BY$16&lt;=TODAY())*(O27:BY27))</f>
        <v>3</v>
      </c>
      <c r="I27" s="82">
        <f t="shared" ca="1" si="7"/>
        <v>0.375</v>
      </c>
      <c r="J27" s="100"/>
      <c r="K27" s="100"/>
      <c r="L27" s="86"/>
      <c r="M27" s="8">
        <f t="shared" si="5"/>
        <v>0</v>
      </c>
      <c r="O27" s="57"/>
      <c r="P27" s="57"/>
      <c r="Q27" s="57"/>
      <c r="R27" s="90">
        <v>3</v>
      </c>
      <c r="S27" s="68"/>
      <c r="T27" s="94">
        <v>0</v>
      </c>
      <c r="U27" s="95">
        <v>0</v>
      </c>
      <c r="V27" s="70"/>
      <c r="W27" s="57"/>
      <c r="X27" s="57"/>
      <c r="Y27" s="57"/>
      <c r="Z27" s="57"/>
      <c r="AA27" s="94">
        <v>0</v>
      </c>
      <c r="AB27" s="95">
        <v>0</v>
      </c>
      <c r="AC27" s="57"/>
      <c r="AD27" s="57"/>
      <c r="AE27" s="57"/>
      <c r="AF27" s="57"/>
      <c r="AG27" s="57"/>
      <c r="AH27" s="94">
        <v>0</v>
      </c>
      <c r="AI27" s="95">
        <v>0</v>
      </c>
      <c r="AJ27" s="56"/>
      <c r="AK27" s="56"/>
      <c r="AL27" s="56"/>
      <c r="AM27" s="56"/>
      <c r="AN27" s="56"/>
      <c r="AO27" s="94">
        <v>0</v>
      </c>
      <c r="AP27" s="95">
        <v>0</v>
      </c>
      <c r="AQ27" s="72"/>
      <c r="AR27" s="77"/>
      <c r="AS27" s="74"/>
      <c r="AT27" s="56"/>
      <c r="AU27" s="77"/>
      <c r="AV27" s="94">
        <v>0</v>
      </c>
      <c r="AW27" s="95">
        <v>0</v>
      </c>
      <c r="AX27" s="56"/>
      <c r="AY27" s="56"/>
      <c r="AZ27" s="56"/>
      <c r="BA27" s="77"/>
      <c r="BB27" s="56"/>
      <c r="BC27" s="94">
        <v>0</v>
      </c>
      <c r="BD27" s="95">
        <v>0</v>
      </c>
      <c r="BE27" s="56"/>
      <c r="BF27" s="56"/>
      <c r="BG27" s="56"/>
      <c r="BH27" s="56"/>
      <c r="BI27" s="56"/>
      <c r="BJ27" s="94">
        <v>0</v>
      </c>
      <c r="BK27" s="95">
        <v>0</v>
      </c>
      <c r="BL27" s="56"/>
      <c r="BM27" s="56"/>
      <c r="BN27" s="56"/>
      <c r="BO27" s="56"/>
      <c r="BP27" s="56"/>
      <c r="BQ27" s="94">
        <v>0</v>
      </c>
      <c r="BR27" s="95">
        <v>0</v>
      </c>
      <c r="BS27" s="56"/>
      <c r="BT27" s="56"/>
      <c r="BU27" s="56"/>
      <c r="BV27" s="56"/>
      <c r="BW27" s="56"/>
      <c r="BX27" s="94">
        <v>0</v>
      </c>
      <c r="BY27" s="95">
        <v>0</v>
      </c>
    </row>
    <row r="28" spans="2:77" s="8" customFormat="1" ht="15" customHeight="1" outlineLevel="1">
      <c r="B28" s="58" t="s">
        <v>156</v>
      </c>
      <c r="C28" s="59" t="s">
        <v>1</v>
      </c>
      <c r="D28" s="214" t="s">
        <v>30</v>
      </c>
      <c r="E28" s="58" t="s">
        <v>233</v>
      </c>
      <c r="F28" s="58">
        <f>SUMIFS('Detalhe Testes'!$F:$F,'Detalhe Testes'!$B:$B,'MacroPlano Equipa'!C28,'Detalhe Testes'!$C:$C,'MacroPlano Equipa'!D28)</f>
        <v>3</v>
      </c>
      <c r="G28" s="82">
        <f t="shared" si="6"/>
        <v>0.375</v>
      </c>
      <c r="H28" s="58" cm="1">
        <f t="array" aca="1" ref="H28" ca="1">SUMPRODUCT((COLUMN(O28:BY28)&gt;=MIN(IF(O28:BY28&lt;&gt;"",COLUMN(O28:BY28))))*($O$16:$BY$16&lt;=TODAY())*(O28:BY28))</f>
        <v>3</v>
      </c>
      <c r="I28" s="82">
        <f t="shared" ca="1" si="7"/>
        <v>0.375</v>
      </c>
      <c r="J28" s="98"/>
      <c r="K28" s="98"/>
      <c r="L28" s="84"/>
      <c r="M28" s="8">
        <f t="shared" si="5"/>
        <v>0</v>
      </c>
      <c r="O28" s="57"/>
      <c r="P28" s="57"/>
      <c r="Q28" s="57"/>
      <c r="R28" s="90">
        <v>1</v>
      </c>
      <c r="S28" s="91">
        <v>2</v>
      </c>
      <c r="T28" s="94">
        <v>0</v>
      </c>
      <c r="U28" s="95">
        <v>0</v>
      </c>
      <c r="V28" s="70"/>
      <c r="W28" s="57"/>
      <c r="X28" s="57"/>
      <c r="Y28" s="57"/>
      <c r="Z28" s="57"/>
      <c r="AA28" s="94">
        <v>0</v>
      </c>
      <c r="AB28" s="95">
        <v>0</v>
      </c>
      <c r="AC28" s="57"/>
      <c r="AD28" s="57"/>
      <c r="AE28" s="57"/>
      <c r="AF28" s="57"/>
      <c r="AG28" s="57"/>
      <c r="AH28" s="94">
        <v>0</v>
      </c>
      <c r="AI28" s="95">
        <v>0</v>
      </c>
      <c r="AJ28" s="56"/>
      <c r="AK28" s="56"/>
      <c r="AL28" s="56"/>
      <c r="AM28" s="56"/>
      <c r="AN28" s="56"/>
      <c r="AO28" s="94">
        <v>0</v>
      </c>
      <c r="AP28" s="95">
        <v>0</v>
      </c>
      <c r="AQ28" s="72"/>
      <c r="AR28" s="77"/>
      <c r="AS28" s="74"/>
      <c r="AT28" s="56"/>
      <c r="AU28" s="77"/>
      <c r="AV28" s="94">
        <v>0</v>
      </c>
      <c r="AW28" s="95">
        <v>0</v>
      </c>
      <c r="AX28" s="56"/>
      <c r="AY28" s="56"/>
      <c r="AZ28" s="56"/>
      <c r="BA28" s="77"/>
      <c r="BB28" s="56"/>
      <c r="BC28" s="94">
        <v>0</v>
      </c>
      <c r="BD28" s="95">
        <v>0</v>
      </c>
      <c r="BE28" s="56"/>
      <c r="BF28" s="56"/>
      <c r="BG28" s="56"/>
      <c r="BH28" s="56"/>
      <c r="BI28" s="56"/>
      <c r="BJ28" s="94">
        <v>0</v>
      </c>
      <c r="BK28" s="95">
        <v>0</v>
      </c>
      <c r="BL28" s="56"/>
      <c r="BM28" s="56"/>
      <c r="BN28" s="56"/>
      <c r="BO28" s="56"/>
      <c r="BP28" s="56"/>
      <c r="BQ28" s="94">
        <v>0</v>
      </c>
      <c r="BR28" s="95">
        <v>0</v>
      </c>
      <c r="BS28" s="56"/>
      <c r="BT28" s="56"/>
      <c r="BU28" s="56"/>
      <c r="BV28" s="56"/>
      <c r="BW28" s="56"/>
      <c r="BX28" s="94">
        <v>0</v>
      </c>
      <c r="BY28" s="95">
        <v>0</v>
      </c>
    </row>
    <row r="29" spans="2:77" s="8" customFormat="1" ht="15" customHeight="1" outlineLevel="1">
      <c r="B29" s="62" t="s">
        <v>157</v>
      </c>
      <c r="C29" s="59" t="s">
        <v>1</v>
      </c>
      <c r="D29" s="214" t="s">
        <v>31</v>
      </c>
      <c r="E29" s="58" t="s">
        <v>233</v>
      </c>
      <c r="F29" s="62">
        <f>SUMIFS('Detalhe Testes'!$F:$F,'Detalhe Testes'!$B:$B,'MacroPlano Equipa'!C29,'Detalhe Testes'!$C:$C,'MacroPlano Equipa'!D29)</f>
        <v>3</v>
      </c>
      <c r="G29" s="82">
        <f t="shared" si="6"/>
        <v>0.375</v>
      </c>
      <c r="H29" s="58" cm="1">
        <f t="array" aca="1" ref="H29" ca="1">SUMPRODUCT((COLUMN(O29:BY29)&gt;=MIN(IF(O29:BY29&lt;&gt;"",COLUMN(O29:BY29))))*($O$16:$BY$16&lt;=TODAY())*(O29:BY29))</f>
        <v>3</v>
      </c>
      <c r="I29" s="82">
        <f t="shared" ca="1" si="7"/>
        <v>0.375</v>
      </c>
      <c r="J29" s="100"/>
      <c r="K29" s="100"/>
      <c r="L29" s="86"/>
      <c r="M29" s="8">
        <f t="shared" si="5"/>
        <v>0</v>
      </c>
      <c r="O29" s="57"/>
      <c r="P29" s="57"/>
      <c r="Q29" s="57"/>
      <c r="R29" s="57"/>
      <c r="S29" s="91">
        <v>3</v>
      </c>
      <c r="T29" s="94">
        <v>0</v>
      </c>
      <c r="U29" s="95">
        <v>0</v>
      </c>
      <c r="V29" s="70"/>
      <c r="W29" s="57"/>
      <c r="X29" s="57"/>
      <c r="Y29" s="57"/>
      <c r="Z29" s="57"/>
      <c r="AA29" s="94">
        <v>0</v>
      </c>
      <c r="AB29" s="95">
        <v>0</v>
      </c>
      <c r="AC29" s="57"/>
      <c r="AD29" s="57"/>
      <c r="AE29" s="57"/>
      <c r="AF29" s="57"/>
      <c r="AG29" s="57"/>
      <c r="AH29" s="94">
        <v>0</v>
      </c>
      <c r="AI29" s="95">
        <v>0</v>
      </c>
      <c r="AJ29" s="56"/>
      <c r="AK29" s="56"/>
      <c r="AL29" s="56"/>
      <c r="AM29" s="56"/>
      <c r="AN29" s="56"/>
      <c r="AO29" s="94">
        <v>0</v>
      </c>
      <c r="AP29" s="95">
        <v>0</v>
      </c>
      <c r="AQ29" s="72"/>
      <c r="AR29" s="77"/>
      <c r="AS29" s="74"/>
      <c r="AT29" s="56"/>
      <c r="AU29" s="77"/>
      <c r="AV29" s="94">
        <v>0</v>
      </c>
      <c r="AW29" s="95">
        <v>0</v>
      </c>
      <c r="AX29" s="56"/>
      <c r="AY29" s="56"/>
      <c r="AZ29" s="56"/>
      <c r="BA29" s="77"/>
      <c r="BB29" s="56"/>
      <c r="BC29" s="94">
        <v>0</v>
      </c>
      <c r="BD29" s="95">
        <v>0</v>
      </c>
      <c r="BE29" s="56"/>
      <c r="BF29" s="56"/>
      <c r="BG29" s="56"/>
      <c r="BH29" s="56"/>
      <c r="BI29" s="56"/>
      <c r="BJ29" s="94">
        <v>0</v>
      </c>
      <c r="BK29" s="95">
        <v>0</v>
      </c>
      <c r="BL29" s="56"/>
      <c r="BM29" s="56"/>
      <c r="BN29" s="56"/>
      <c r="BO29" s="56"/>
      <c r="BP29" s="56"/>
      <c r="BQ29" s="94">
        <v>0</v>
      </c>
      <c r="BR29" s="95">
        <v>0</v>
      </c>
      <c r="BS29" s="56"/>
      <c r="BT29" s="56"/>
      <c r="BU29" s="56"/>
      <c r="BV29" s="56"/>
      <c r="BW29" s="56"/>
      <c r="BX29" s="94">
        <v>0</v>
      </c>
      <c r="BY29" s="95">
        <v>0</v>
      </c>
    </row>
    <row r="30" spans="2:77" s="8" customFormat="1" ht="15" customHeight="1" outlineLevel="1">
      <c r="B30" s="63" t="s">
        <v>158</v>
      </c>
      <c r="C30" s="59" t="s">
        <v>1</v>
      </c>
      <c r="D30" s="214" t="s">
        <v>32</v>
      </c>
      <c r="E30" s="58" t="s">
        <v>233</v>
      </c>
      <c r="F30" s="63">
        <f>SUMIFS('Detalhe Testes'!$F:$F,'Detalhe Testes'!$B:$B,'MacroPlano Equipa'!C30,'Detalhe Testes'!$C:$C,'MacroPlano Equipa'!D30)</f>
        <v>3</v>
      </c>
      <c r="G30" s="82">
        <f t="shared" si="6"/>
        <v>0.375</v>
      </c>
      <c r="H30" s="58" cm="1">
        <f t="array" aca="1" ref="H30" ca="1">SUMPRODUCT((COLUMN(O30:BY30)&gt;=MIN(IF(O30:BY30&lt;&gt;"",COLUMN(O30:BY30))))*($O$16:$BY$16&lt;=TODAY())*(O30:BY30))</f>
        <v>3</v>
      </c>
      <c r="I30" s="82">
        <f t="shared" ca="1" si="7"/>
        <v>0.375</v>
      </c>
      <c r="J30" s="101"/>
      <c r="K30" s="101"/>
      <c r="L30" s="87"/>
      <c r="M30" s="8">
        <f t="shared" si="5"/>
        <v>0</v>
      </c>
      <c r="O30" s="57"/>
      <c r="P30" s="57"/>
      <c r="Q30" s="57"/>
      <c r="R30" s="57"/>
      <c r="S30" s="91">
        <v>3</v>
      </c>
      <c r="T30" s="94">
        <v>0</v>
      </c>
      <c r="U30" s="95">
        <v>0</v>
      </c>
      <c r="V30" s="70"/>
      <c r="W30" s="57"/>
      <c r="X30" s="57"/>
      <c r="Y30" s="57"/>
      <c r="Z30" s="57"/>
      <c r="AA30" s="94">
        <v>0</v>
      </c>
      <c r="AB30" s="95">
        <v>0</v>
      </c>
      <c r="AC30" s="57"/>
      <c r="AD30" s="57"/>
      <c r="AE30" s="57"/>
      <c r="AF30" s="57"/>
      <c r="AG30" s="57"/>
      <c r="AH30" s="94">
        <v>0</v>
      </c>
      <c r="AI30" s="95">
        <v>0</v>
      </c>
      <c r="AJ30" s="56"/>
      <c r="AK30" s="56"/>
      <c r="AL30" s="56"/>
      <c r="AM30" s="56"/>
      <c r="AN30" s="56"/>
      <c r="AO30" s="94">
        <v>0</v>
      </c>
      <c r="AP30" s="95">
        <v>0</v>
      </c>
      <c r="AQ30" s="72"/>
      <c r="AR30" s="77"/>
      <c r="AS30" s="74"/>
      <c r="AT30" s="56"/>
      <c r="AU30" s="77"/>
      <c r="AV30" s="94">
        <v>0</v>
      </c>
      <c r="AW30" s="95">
        <v>0</v>
      </c>
      <c r="AX30" s="56"/>
      <c r="AY30" s="56"/>
      <c r="AZ30" s="56"/>
      <c r="BA30" s="77"/>
      <c r="BB30" s="56"/>
      <c r="BC30" s="94">
        <v>0</v>
      </c>
      <c r="BD30" s="95">
        <v>0</v>
      </c>
      <c r="BE30" s="56"/>
      <c r="BF30" s="56"/>
      <c r="BG30" s="56"/>
      <c r="BH30" s="56"/>
      <c r="BI30" s="56"/>
      <c r="BJ30" s="94">
        <v>0</v>
      </c>
      <c r="BK30" s="95">
        <v>0</v>
      </c>
      <c r="BL30" s="56"/>
      <c r="BM30" s="56"/>
      <c r="BN30" s="56"/>
      <c r="BO30" s="56"/>
      <c r="BP30" s="56"/>
      <c r="BQ30" s="94">
        <v>0</v>
      </c>
      <c r="BR30" s="95">
        <v>0</v>
      </c>
      <c r="BS30" s="56"/>
      <c r="BT30" s="56"/>
      <c r="BU30" s="56"/>
      <c r="BV30" s="56"/>
      <c r="BW30" s="56"/>
      <c r="BX30" s="94">
        <v>0</v>
      </c>
      <c r="BY30" s="95">
        <v>0</v>
      </c>
    </row>
    <row r="31" spans="2:77" s="8" customFormat="1" ht="15" customHeight="1" outlineLevel="1">
      <c r="B31" s="58" t="s">
        <v>159</v>
      </c>
      <c r="C31" s="59" t="s">
        <v>1</v>
      </c>
      <c r="D31" s="214" t="s">
        <v>38</v>
      </c>
      <c r="E31" s="58" t="s">
        <v>233</v>
      </c>
      <c r="F31" s="58">
        <f>SUMIFS('Detalhe Testes'!$F:$F,'Detalhe Testes'!$B:$B,'MacroPlano Equipa'!C31,'Detalhe Testes'!$C:$C,'MacroPlano Equipa'!D31)</f>
        <v>3</v>
      </c>
      <c r="G31" s="82">
        <f t="shared" si="6"/>
        <v>0.375</v>
      </c>
      <c r="H31" s="58" cm="1">
        <f t="array" aca="1" ref="H31" ca="1">SUMPRODUCT((COLUMN(O31:BY31)&gt;=MIN(IF(O31:BY31&lt;&gt;"",COLUMN(O31:BY31))))*($O$16:$BY$16&lt;=TODAY())*(O31:BY31))</f>
        <v>3</v>
      </c>
      <c r="I31" s="82">
        <f t="shared" ca="1" si="7"/>
        <v>0.375</v>
      </c>
      <c r="J31" s="98"/>
      <c r="K31" s="98"/>
      <c r="L31" s="84"/>
      <c r="M31" s="8">
        <f t="shared" si="5"/>
        <v>0</v>
      </c>
      <c r="O31" s="57"/>
      <c r="P31" s="57"/>
      <c r="Q31" s="57"/>
      <c r="R31" s="57"/>
      <c r="S31" s="91">
        <v>3</v>
      </c>
      <c r="T31" s="94">
        <v>0</v>
      </c>
      <c r="U31" s="95">
        <v>0</v>
      </c>
      <c r="V31" s="70"/>
      <c r="W31" s="57"/>
      <c r="X31" s="57"/>
      <c r="Y31" s="57"/>
      <c r="Z31" s="57"/>
      <c r="AA31" s="94">
        <v>0</v>
      </c>
      <c r="AB31" s="95">
        <v>0</v>
      </c>
      <c r="AC31" s="57"/>
      <c r="AD31" s="57"/>
      <c r="AE31" s="57"/>
      <c r="AF31" s="57"/>
      <c r="AG31" s="57"/>
      <c r="AH31" s="94">
        <v>0</v>
      </c>
      <c r="AI31" s="95">
        <v>0</v>
      </c>
      <c r="AJ31" s="56"/>
      <c r="AK31" s="56"/>
      <c r="AL31" s="56"/>
      <c r="AM31" s="56"/>
      <c r="AN31" s="56"/>
      <c r="AO31" s="94">
        <v>0</v>
      </c>
      <c r="AP31" s="95">
        <v>0</v>
      </c>
      <c r="AQ31" s="72"/>
      <c r="AR31" s="77"/>
      <c r="AS31" s="74"/>
      <c r="AT31" s="56"/>
      <c r="AU31" s="77"/>
      <c r="AV31" s="94">
        <v>0</v>
      </c>
      <c r="AW31" s="95">
        <v>0</v>
      </c>
      <c r="AX31" s="56"/>
      <c r="AY31" s="56"/>
      <c r="AZ31" s="56"/>
      <c r="BA31" s="77"/>
      <c r="BB31" s="56"/>
      <c r="BC31" s="94">
        <v>0</v>
      </c>
      <c r="BD31" s="95">
        <v>0</v>
      </c>
      <c r="BE31" s="56"/>
      <c r="BF31" s="56"/>
      <c r="BG31" s="56"/>
      <c r="BH31" s="56"/>
      <c r="BI31" s="56"/>
      <c r="BJ31" s="94">
        <v>0</v>
      </c>
      <c r="BK31" s="95">
        <v>0</v>
      </c>
      <c r="BL31" s="56"/>
      <c r="BM31" s="56"/>
      <c r="BN31" s="56"/>
      <c r="BO31" s="56"/>
      <c r="BP31" s="56"/>
      <c r="BQ31" s="94">
        <v>0</v>
      </c>
      <c r="BR31" s="95">
        <v>0</v>
      </c>
      <c r="BS31" s="56"/>
      <c r="BT31" s="56"/>
      <c r="BU31" s="56"/>
      <c r="BV31" s="56"/>
      <c r="BW31" s="56"/>
      <c r="BX31" s="94">
        <v>0</v>
      </c>
      <c r="BY31" s="95">
        <v>0</v>
      </c>
    </row>
    <row r="32" spans="2:77" s="8" customFormat="1" ht="15" customHeight="1" outlineLevel="1">
      <c r="B32" s="58" t="s">
        <v>160</v>
      </c>
      <c r="C32" s="59" t="s">
        <v>1</v>
      </c>
      <c r="D32" s="164" t="s">
        <v>53</v>
      </c>
      <c r="E32" s="58" t="s">
        <v>233</v>
      </c>
      <c r="F32" s="58">
        <f>SUMIFS('Detalhe Testes'!$F:$F,'Detalhe Testes'!$B:$B,'MacroPlano Equipa'!C32,'Detalhe Testes'!$C:$C,'MacroPlano Equipa'!D32)</f>
        <v>11</v>
      </c>
      <c r="G32" s="82">
        <f t="shared" si="6"/>
        <v>1.375</v>
      </c>
      <c r="H32" s="58" cm="1">
        <f t="array" aca="1" ref="H32" ca="1">SUMPRODUCT((COLUMN(O32:BY32)&gt;=MIN(IF(O32:BY32&lt;&gt;"",COLUMN(O32:BY32))))*($O$16:$BY$16&lt;=TODAY())*(O32:BY32))</f>
        <v>11</v>
      </c>
      <c r="I32" s="82">
        <f t="shared" ca="1" si="7"/>
        <v>1.375</v>
      </c>
      <c r="J32" s="98"/>
      <c r="K32" s="98"/>
      <c r="L32" s="84"/>
      <c r="M32" s="8">
        <f t="shared" si="5"/>
        <v>0</v>
      </c>
      <c r="O32" s="57"/>
      <c r="P32" s="57"/>
      <c r="Q32" s="57"/>
      <c r="R32" s="57"/>
      <c r="S32" s="68"/>
      <c r="T32" s="94">
        <v>0</v>
      </c>
      <c r="U32" s="95">
        <v>0</v>
      </c>
      <c r="V32" s="91">
        <v>6</v>
      </c>
      <c r="W32" s="91">
        <v>5</v>
      </c>
      <c r="X32" s="57"/>
      <c r="Y32" s="57"/>
      <c r="Z32" s="57"/>
      <c r="AA32" s="94">
        <v>0</v>
      </c>
      <c r="AB32" s="95">
        <v>0</v>
      </c>
      <c r="AC32" s="57"/>
      <c r="AD32" s="57"/>
      <c r="AE32" s="57"/>
      <c r="AF32" s="57"/>
      <c r="AG32" s="57"/>
      <c r="AH32" s="94">
        <v>0</v>
      </c>
      <c r="AI32" s="95">
        <v>0</v>
      </c>
      <c r="AJ32" s="56"/>
      <c r="AK32" s="56"/>
      <c r="AL32" s="56"/>
      <c r="AM32" s="56"/>
      <c r="AN32" s="56"/>
      <c r="AO32" s="94">
        <v>0</v>
      </c>
      <c r="AP32" s="95">
        <v>0</v>
      </c>
      <c r="AQ32" s="72"/>
      <c r="AR32" s="77"/>
      <c r="AS32" s="74"/>
      <c r="AT32" s="56"/>
      <c r="AU32" s="77"/>
      <c r="AV32" s="94">
        <v>0</v>
      </c>
      <c r="AW32" s="95">
        <v>0</v>
      </c>
      <c r="AX32" s="56"/>
      <c r="AY32" s="56"/>
      <c r="AZ32" s="56"/>
      <c r="BA32" s="77"/>
      <c r="BB32" s="56"/>
      <c r="BC32" s="94">
        <v>0</v>
      </c>
      <c r="BD32" s="95">
        <v>0</v>
      </c>
      <c r="BE32" s="56"/>
      <c r="BF32" s="56"/>
      <c r="BG32" s="56"/>
      <c r="BH32" s="56"/>
      <c r="BI32" s="56"/>
      <c r="BJ32" s="94">
        <v>0</v>
      </c>
      <c r="BK32" s="95">
        <v>0</v>
      </c>
      <c r="BL32" s="56"/>
      <c r="BM32" s="56"/>
      <c r="BN32" s="56"/>
      <c r="BO32" s="56"/>
      <c r="BP32" s="56"/>
      <c r="BQ32" s="94">
        <v>0</v>
      </c>
      <c r="BR32" s="95">
        <v>0</v>
      </c>
      <c r="BS32" s="56"/>
      <c r="BT32" s="56"/>
      <c r="BU32" s="56"/>
      <c r="BV32" s="56"/>
      <c r="BW32" s="56"/>
      <c r="BX32" s="94">
        <v>0</v>
      </c>
      <c r="BY32" s="95">
        <v>0</v>
      </c>
    </row>
    <row r="33" spans="2:77" s="8" customFormat="1" ht="15" customHeight="1" outlineLevel="1">
      <c r="B33" s="58" t="s">
        <v>161</v>
      </c>
      <c r="C33" s="59" t="s">
        <v>1</v>
      </c>
      <c r="D33" s="164" t="s">
        <v>54</v>
      </c>
      <c r="E33" s="58" t="s">
        <v>233</v>
      </c>
      <c r="F33" s="58">
        <f>SUMIFS('Detalhe Testes'!$F:$F,'Detalhe Testes'!$B:$B,'MacroPlano Equipa'!C33,'Detalhe Testes'!$C:$C,'MacroPlano Equipa'!D33)</f>
        <v>7</v>
      </c>
      <c r="G33" s="82">
        <f t="shared" si="6"/>
        <v>0.875</v>
      </c>
      <c r="H33" s="58" cm="1">
        <f t="array" aca="1" ref="H33" ca="1">SUMPRODUCT((COLUMN(O33:BY33)&gt;=MIN(IF(O33:BY33&lt;&gt;"",COLUMN(O33:BY33))))*($O$16:$BY$16&lt;=TODAY())*(O33:BY33))</f>
        <v>7</v>
      </c>
      <c r="I33" s="82">
        <f t="shared" ca="1" si="7"/>
        <v>0.875</v>
      </c>
      <c r="J33" s="98"/>
      <c r="K33" s="98"/>
      <c r="L33" s="84"/>
      <c r="M33" s="8">
        <f t="shared" si="5"/>
        <v>0</v>
      </c>
      <c r="O33" s="57"/>
      <c r="P33" s="57"/>
      <c r="Q33" s="57"/>
      <c r="R33" s="57"/>
      <c r="S33" s="91">
        <v>5</v>
      </c>
      <c r="T33" s="94">
        <v>0</v>
      </c>
      <c r="U33" s="95">
        <v>0</v>
      </c>
      <c r="V33" s="91">
        <v>2</v>
      </c>
      <c r="W33" s="57"/>
      <c r="X33" s="57"/>
      <c r="Y33" s="57"/>
      <c r="Z33" s="57"/>
      <c r="AA33" s="94">
        <v>0</v>
      </c>
      <c r="AB33" s="95">
        <v>0</v>
      </c>
      <c r="AC33" s="57"/>
      <c r="AD33" s="57"/>
      <c r="AE33" s="57"/>
      <c r="AF33" s="57"/>
      <c r="AG33" s="57"/>
      <c r="AH33" s="94">
        <v>0</v>
      </c>
      <c r="AI33" s="95">
        <v>0</v>
      </c>
      <c r="AJ33" s="56"/>
      <c r="AK33" s="56"/>
      <c r="AL33" s="56"/>
      <c r="AM33" s="56"/>
      <c r="AN33" s="56"/>
      <c r="AO33" s="94">
        <v>0</v>
      </c>
      <c r="AP33" s="95">
        <v>0</v>
      </c>
      <c r="AQ33" s="72"/>
      <c r="AR33" s="77"/>
      <c r="AS33" s="74"/>
      <c r="AT33" s="56"/>
      <c r="AU33" s="77"/>
      <c r="AV33" s="94">
        <v>0</v>
      </c>
      <c r="AW33" s="95">
        <v>0</v>
      </c>
      <c r="AX33" s="56"/>
      <c r="AY33" s="56"/>
      <c r="AZ33" s="56"/>
      <c r="BA33" s="77"/>
      <c r="BB33" s="56"/>
      <c r="BC33" s="94">
        <v>0</v>
      </c>
      <c r="BD33" s="95">
        <v>0</v>
      </c>
      <c r="BE33" s="56"/>
      <c r="BF33" s="56"/>
      <c r="BG33" s="56"/>
      <c r="BH33" s="56"/>
      <c r="BI33" s="56"/>
      <c r="BJ33" s="94">
        <v>0</v>
      </c>
      <c r="BK33" s="95">
        <v>0</v>
      </c>
      <c r="BL33" s="56"/>
      <c r="BM33" s="56"/>
      <c r="BN33" s="56"/>
      <c r="BO33" s="56"/>
      <c r="BP33" s="56"/>
      <c r="BQ33" s="94">
        <v>0</v>
      </c>
      <c r="BR33" s="95">
        <v>0</v>
      </c>
      <c r="BS33" s="56"/>
      <c r="BT33" s="56"/>
      <c r="BU33" s="56"/>
      <c r="BV33" s="56"/>
      <c r="BW33" s="56"/>
      <c r="BX33" s="94">
        <v>0</v>
      </c>
      <c r="BY33" s="95">
        <v>0</v>
      </c>
    </row>
    <row r="34" spans="2:77" s="8" customFormat="1" ht="15" customHeight="1">
      <c r="B34" s="55" t="s">
        <v>165</v>
      </c>
      <c r="C34" s="288" t="s">
        <v>166</v>
      </c>
      <c r="D34" s="288"/>
      <c r="E34" s="53"/>
      <c r="F34" s="53"/>
      <c r="G34" s="53"/>
      <c r="H34" s="53"/>
      <c r="I34" s="96"/>
      <c r="J34" s="96"/>
      <c r="K34" s="96"/>
      <c r="L34" s="53"/>
      <c r="M34" s="8">
        <f t="shared" si="5"/>
        <v>0</v>
      </c>
      <c r="O34" s="162" t="s">
        <v>280</v>
      </c>
      <c r="P34" s="54"/>
      <c r="Q34" s="54"/>
      <c r="R34" s="54"/>
      <c r="S34" s="54"/>
      <c r="T34" s="94">
        <v>0</v>
      </c>
      <c r="U34" s="95">
        <v>0</v>
      </c>
      <c r="V34" s="54"/>
      <c r="W34" s="54"/>
      <c r="X34" s="54"/>
      <c r="Y34" s="54"/>
      <c r="Z34" s="54"/>
      <c r="AA34" s="94">
        <v>0</v>
      </c>
      <c r="AB34" s="95">
        <v>0</v>
      </c>
      <c r="AC34" s="54"/>
      <c r="AD34" s="54"/>
      <c r="AE34" s="54"/>
      <c r="AF34" s="54"/>
      <c r="AG34" s="54"/>
      <c r="AH34" s="94">
        <v>0</v>
      </c>
      <c r="AI34" s="95">
        <v>0</v>
      </c>
      <c r="AJ34" s="53"/>
      <c r="AK34" s="53"/>
      <c r="AL34" s="53"/>
      <c r="AM34" s="53"/>
      <c r="AN34" s="53"/>
      <c r="AO34" s="94">
        <v>0</v>
      </c>
      <c r="AP34" s="95">
        <v>0</v>
      </c>
      <c r="AQ34" s="53"/>
      <c r="AR34" s="77"/>
      <c r="AS34" s="53"/>
      <c r="AT34" s="53"/>
      <c r="AU34" s="77"/>
      <c r="AV34" s="94">
        <v>0</v>
      </c>
      <c r="AW34" s="95">
        <v>0</v>
      </c>
      <c r="AX34" s="53"/>
      <c r="AY34" s="53"/>
      <c r="AZ34" s="53"/>
      <c r="BA34" s="77"/>
      <c r="BB34" s="53"/>
      <c r="BC34" s="94">
        <v>0</v>
      </c>
      <c r="BD34" s="95">
        <v>0</v>
      </c>
      <c r="BE34" s="53"/>
      <c r="BF34" s="53"/>
      <c r="BG34" s="53"/>
      <c r="BH34" s="53"/>
      <c r="BI34" s="53"/>
      <c r="BJ34" s="94">
        <v>0</v>
      </c>
      <c r="BK34" s="95">
        <v>0</v>
      </c>
      <c r="BL34" s="53"/>
      <c r="BM34" s="53"/>
      <c r="BN34" s="53"/>
      <c r="BO34" s="53"/>
      <c r="BP34" s="53"/>
      <c r="BQ34" s="94">
        <v>0</v>
      </c>
      <c r="BR34" s="95">
        <v>0</v>
      </c>
      <c r="BS34" s="53"/>
      <c r="BT34" s="53"/>
      <c r="BU34" s="53"/>
      <c r="BV34" s="53"/>
      <c r="BW34" s="53"/>
      <c r="BX34" s="94">
        <v>0</v>
      </c>
      <c r="BY34" s="95">
        <v>0</v>
      </c>
    </row>
    <row r="35" spans="2:77" s="8" customFormat="1" ht="15" customHeight="1" outlineLevel="1">
      <c r="B35" s="58" t="s">
        <v>170</v>
      </c>
      <c r="C35" s="59" t="s">
        <v>1</v>
      </c>
      <c r="D35" s="215" t="s">
        <v>6</v>
      </c>
      <c r="E35" s="58" t="s">
        <v>233</v>
      </c>
      <c r="F35" s="58">
        <f>SUMIFS('Detalhe Testes'!$F:$F,'Detalhe Testes'!$B:$B,'MacroPlano Equipa'!C35,'Detalhe Testes'!$C:$C,'MacroPlano Equipa'!D35)</f>
        <v>5</v>
      </c>
      <c r="G35" s="82">
        <f t="shared" si="6"/>
        <v>0.625</v>
      </c>
      <c r="H35" s="58" cm="1">
        <f t="array" aca="1" ref="H35" ca="1">SUMPRODUCT((COLUMN(O35:BY35)&gt;=MIN(IF(O35:BY35&lt;&gt;"",COLUMN(O35:BY35))))*($O$16:$BY$16&lt;=TODAY())*(O35:BY35))</f>
        <v>5</v>
      </c>
      <c r="I35" s="82">
        <f t="shared" ref="I35:I48" ca="1" si="8">H35/8</f>
        <v>0.625</v>
      </c>
      <c r="J35" s="98"/>
      <c r="K35" s="98"/>
      <c r="L35" s="84"/>
      <c r="M35" s="8">
        <f t="shared" si="5"/>
        <v>0</v>
      </c>
      <c r="O35" s="83"/>
      <c r="P35" s="57"/>
      <c r="Q35" s="57"/>
      <c r="R35" s="57"/>
      <c r="S35" s="68"/>
      <c r="T35" s="94">
        <v>0</v>
      </c>
      <c r="U35" s="95">
        <v>0</v>
      </c>
      <c r="V35" s="57"/>
      <c r="W35" s="57"/>
      <c r="X35" s="91">
        <v>5</v>
      </c>
      <c r="Y35" s="57"/>
      <c r="Z35" s="57"/>
      <c r="AA35" s="94">
        <v>0</v>
      </c>
      <c r="AB35" s="95">
        <v>0</v>
      </c>
      <c r="AC35" s="57"/>
      <c r="AD35" s="57"/>
      <c r="AE35" s="57"/>
      <c r="AF35" s="57"/>
      <c r="AG35" s="57"/>
      <c r="AH35" s="94">
        <v>0</v>
      </c>
      <c r="AI35" s="95">
        <v>0</v>
      </c>
      <c r="AJ35" s="56"/>
      <c r="AK35" s="56"/>
      <c r="AL35" s="56"/>
      <c r="AM35" s="56"/>
      <c r="AN35" s="56"/>
      <c r="AO35" s="94">
        <v>0</v>
      </c>
      <c r="AP35" s="95">
        <v>0</v>
      </c>
      <c r="AQ35" s="72"/>
      <c r="AR35" s="77"/>
      <c r="AS35" s="74"/>
      <c r="AT35" s="56"/>
      <c r="AU35" s="77"/>
      <c r="AV35" s="94">
        <v>0</v>
      </c>
      <c r="AW35" s="95">
        <v>0</v>
      </c>
      <c r="AX35" s="56"/>
      <c r="AY35" s="56"/>
      <c r="AZ35" s="56"/>
      <c r="BA35" s="77"/>
      <c r="BB35" s="56"/>
      <c r="BC35" s="94">
        <v>0</v>
      </c>
      <c r="BD35" s="95">
        <v>0</v>
      </c>
      <c r="BE35" s="56"/>
      <c r="BF35" s="56"/>
      <c r="BG35" s="56"/>
      <c r="BH35" s="56"/>
      <c r="BI35" s="56"/>
      <c r="BJ35" s="94">
        <v>0</v>
      </c>
      <c r="BK35" s="95">
        <v>0</v>
      </c>
      <c r="BL35" s="56"/>
      <c r="BM35" s="56"/>
      <c r="BN35" s="56"/>
      <c r="BO35" s="56"/>
      <c r="BP35" s="56"/>
      <c r="BQ35" s="94">
        <v>0</v>
      </c>
      <c r="BR35" s="95">
        <v>0</v>
      </c>
      <c r="BS35" s="56"/>
      <c r="BT35" s="56"/>
      <c r="BU35" s="56"/>
      <c r="BV35" s="56"/>
      <c r="BW35" s="56"/>
      <c r="BX35" s="94">
        <v>0</v>
      </c>
      <c r="BY35" s="95">
        <v>0</v>
      </c>
    </row>
    <row r="36" spans="2:77" s="8" customFormat="1" ht="15" customHeight="1" outlineLevel="1">
      <c r="B36" s="58" t="s">
        <v>171</v>
      </c>
      <c r="C36" s="59" t="s">
        <v>1</v>
      </c>
      <c r="D36" s="215" t="s">
        <v>7</v>
      </c>
      <c r="E36" s="58" t="s">
        <v>233</v>
      </c>
      <c r="F36" s="58">
        <f>SUMIFS('Detalhe Testes'!$F:$F,'Detalhe Testes'!$B:$B,'MacroPlano Equipa'!C36,'Detalhe Testes'!$C:$C,'MacroPlano Equipa'!D36)</f>
        <v>5</v>
      </c>
      <c r="G36" s="82">
        <f t="shared" si="6"/>
        <v>0.625</v>
      </c>
      <c r="H36" s="58" cm="1">
        <f t="array" aca="1" ref="H36" ca="1">SUMPRODUCT((COLUMN(O36:BY36)&gt;=MIN(IF(O36:BY36&lt;&gt;"",COLUMN(O36:BY36))))*($O$16:$BY$16&lt;=TODAY())*(O36:BY36))</f>
        <v>5</v>
      </c>
      <c r="I36" s="82">
        <f t="shared" ca="1" si="8"/>
        <v>0.625</v>
      </c>
      <c r="J36" s="98"/>
      <c r="K36" s="98"/>
      <c r="L36" s="84"/>
      <c r="M36" s="8">
        <f t="shared" si="5"/>
        <v>0</v>
      </c>
      <c r="O36" s="57"/>
      <c r="P36" s="57"/>
      <c r="Q36" s="57"/>
      <c r="R36" s="57"/>
      <c r="S36" s="68"/>
      <c r="T36" s="94">
        <v>0</v>
      </c>
      <c r="U36" s="95">
        <v>0</v>
      </c>
      <c r="V36" s="70"/>
      <c r="W36" s="57"/>
      <c r="X36" s="91">
        <v>1</v>
      </c>
      <c r="Y36" s="91">
        <v>4</v>
      </c>
      <c r="Z36" s="57"/>
      <c r="AA36" s="94">
        <v>0</v>
      </c>
      <c r="AB36" s="95">
        <v>0</v>
      </c>
      <c r="AC36" s="57"/>
      <c r="AD36" s="57"/>
      <c r="AE36" s="57"/>
      <c r="AF36" s="57"/>
      <c r="AG36" s="57"/>
      <c r="AH36" s="94">
        <v>0</v>
      </c>
      <c r="AI36" s="95">
        <v>0</v>
      </c>
      <c r="AJ36" s="56"/>
      <c r="AK36" s="56"/>
      <c r="AL36" s="56"/>
      <c r="AM36" s="56"/>
      <c r="AN36" s="56"/>
      <c r="AO36" s="94">
        <v>0</v>
      </c>
      <c r="AP36" s="95">
        <v>0</v>
      </c>
      <c r="AQ36" s="72"/>
      <c r="AR36" s="77"/>
      <c r="AS36" s="74"/>
      <c r="AT36" s="56"/>
      <c r="AU36" s="77"/>
      <c r="AV36" s="94">
        <v>0</v>
      </c>
      <c r="AW36" s="95">
        <v>0</v>
      </c>
      <c r="AX36" s="56"/>
      <c r="AY36" s="56"/>
      <c r="AZ36" s="56"/>
      <c r="BA36" s="77"/>
      <c r="BB36" s="56"/>
      <c r="BC36" s="94">
        <v>0</v>
      </c>
      <c r="BD36" s="95">
        <v>0</v>
      </c>
      <c r="BE36" s="56"/>
      <c r="BF36" s="56"/>
      <c r="BG36" s="56"/>
      <c r="BH36" s="56"/>
      <c r="BI36" s="56"/>
      <c r="BJ36" s="94">
        <v>0</v>
      </c>
      <c r="BK36" s="95">
        <v>0</v>
      </c>
      <c r="BL36" s="56"/>
      <c r="BM36" s="56"/>
      <c r="BN36" s="56"/>
      <c r="BO36" s="56"/>
      <c r="BP36" s="56"/>
      <c r="BQ36" s="94">
        <v>0</v>
      </c>
      <c r="BR36" s="95">
        <v>0</v>
      </c>
      <c r="BS36" s="56"/>
      <c r="BT36" s="56"/>
      <c r="BU36" s="56"/>
      <c r="BV36" s="56"/>
      <c r="BW36" s="56"/>
      <c r="BX36" s="94">
        <v>0</v>
      </c>
      <c r="BY36" s="95">
        <v>0</v>
      </c>
    </row>
    <row r="37" spans="2:77" s="8" customFormat="1" ht="15" customHeight="1" outlineLevel="1">
      <c r="B37" s="60" t="s">
        <v>172</v>
      </c>
      <c r="C37" s="59" t="s">
        <v>1</v>
      </c>
      <c r="D37" s="215" t="s">
        <v>12</v>
      </c>
      <c r="E37" s="58" t="s">
        <v>233</v>
      </c>
      <c r="F37" s="58">
        <f>SUMIFS('Detalhe Testes'!$F:$F,'Detalhe Testes'!$B:$B,'MacroPlano Equipa'!C37,'Detalhe Testes'!$C:$C,'MacroPlano Equipa'!D37)</f>
        <v>5</v>
      </c>
      <c r="G37" s="82">
        <f t="shared" si="6"/>
        <v>0.625</v>
      </c>
      <c r="H37" s="58" cm="1">
        <f t="array" aca="1" ref="H37" ca="1">SUMPRODUCT((COLUMN(O37:BY37)&gt;=MIN(IF(O37:BY37&lt;&gt;"",COLUMN(O37:BY37))))*($O$16:$BY$16&lt;=TODAY())*(O37:BY37))</f>
        <v>5</v>
      </c>
      <c r="I37" s="82">
        <f t="shared" ca="1" si="8"/>
        <v>0.625</v>
      </c>
      <c r="J37" s="98"/>
      <c r="K37" s="98"/>
      <c r="L37" s="84"/>
      <c r="M37" s="8">
        <f t="shared" si="5"/>
        <v>0</v>
      </c>
      <c r="O37" s="57"/>
      <c r="P37" s="57"/>
      <c r="Q37" s="57"/>
      <c r="R37" s="57"/>
      <c r="S37" s="68"/>
      <c r="T37" s="94">
        <v>0</v>
      </c>
      <c r="U37" s="95">
        <v>0</v>
      </c>
      <c r="V37" s="70"/>
      <c r="W37" s="57"/>
      <c r="X37" s="57"/>
      <c r="Y37" s="91">
        <v>4</v>
      </c>
      <c r="Z37" s="91">
        <v>1</v>
      </c>
      <c r="AA37" s="94">
        <v>0</v>
      </c>
      <c r="AB37" s="95">
        <v>0</v>
      </c>
      <c r="AC37" s="57"/>
      <c r="AD37" s="57"/>
      <c r="AE37" s="57"/>
      <c r="AF37" s="57"/>
      <c r="AG37" s="57"/>
      <c r="AH37" s="94">
        <v>0</v>
      </c>
      <c r="AI37" s="95">
        <v>0</v>
      </c>
      <c r="AJ37" s="56"/>
      <c r="AK37" s="56"/>
      <c r="AL37" s="56"/>
      <c r="AM37" s="56"/>
      <c r="AN37" s="56"/>
      <c r="AO37" s="94">
        <v>0</v>
      </c>
      <c r="AP37" s="95">
        <v>0</v>
      </c>
      <c r="AQ37" s="72"/>
      <c r="AR37" s="77"/>
      <c r="AS37" s="74"/>
      <c r="AT37" s="56"/>
      <c r="AU37" s="77"/>
      <c r="AV37" s="94">
        <v>0</v>
      </c>
      <c r="AW37" s="95">
        <v>0</v>
      </c>
      <c r="AX37" s="56"/>
      <c r="AY37" s="56"/>
      <c r="AZ37" s="56"/>
      <c r="BA37" s="77"/>
      <c r="BB37" s="56"/>
      <c r="BC37" s="94">
        <v>0</v>
      </c>
      <c r="BD37" s="95">
        <v>0</v>
      </c>
      <c r="BE37" s="56"/>
      <c r="BF37" s="56"/>
      <c r="BG37" s="56"/>
      <c r="BH37" s="56"/>
      <c r="BI37" s="56"/>
      <c r="BJ37" s="94">
        <v>0</v>
      </c>
      <c r="BK37" s="95">
        <v>0</v>
      </c>
      <c r="BL37" s="56"/>
      <c r="BM37" s="56"/>
      <c r="BN37" s="56"/>
      <c r="BO37" s="56"/>
      <c r="BP37" s="56"/>
      <c r="BQ37" s="94">
        <v>0</v>
      </c>
      <c r="BR37" s="95">
        <v>0</v>
      </c>
      <c r="BS37" s="56"/>
      <c r="BT37" s="56"/>
      <c r="BU37" s="56"/>
      <c r="BV37" s="56"/>
      <c r="BW37" s="56"/>
      <c r="BX37" s="94">
        <v>0</v>
      </c>
      <c r="BY37" s="95">
        <v>0</v>
      </c>
    </row>
    <row r="38" spans="2:77" s="8" customFormat="1" ht="15" customHeight="1" outlineLevel="1">
      <c r="B38" s="58" t="s">
        <v>173</v>
      </c>
      <c r="C38" s="59" t="s">
        <v>1</v>
      </c>
      <c r="D38" s="216" t="s">
        <v>18</v>
      </c>
      <c r="E38" s="58" t="s">
        <v>233</v>
      </c>
      <c r="F38" s="58">
        <f>SUMIFS('Detalhe Testes'!$F:$F,'Detalhe Testes'!$B:$B,'MacroPlano Equipa'!C38,'Detalhe Testes'!$C:$C,'MacroPlano Equipa'!D38)</f>
        <v>5</v>
      </c>
      <c r="G38" s="82">
        <f t="shared" si="6"/>
        <v>0.625</v>
      </c>
      <c r="H38" s="58" cm="1">
        <f t="array" aca="1" ref="H38" ca="1">SUMPRODUCT((COLUMN(O38:BY38)&gt;=MIN(IF(O38:BY38&lt;&gt;"",COLUMN(O38:BY38))))*($O$16:$BY$16&lt;=TODAY())*(O38:BY38))</f>
        <v>5</v>
      </c>
      <c r="I38" s="82">
        <f t="shared" ca="1" si="8"/>
        <v>0.625</v>
      </c>
      <c r="J38" s="98"/>
      <c r="K38" s="98"/>
      <c r="L38" s="84"/>
      <c r="M38" s="8">
        <f t="shared" si="5"/>
        <v>0</v>
      </c>
      <c r="O38" s="57"/>
      <c r="P38" s="57"/>
      <c r="Q38" s="57"/>
      <c r="R38" s="57"/>
      <c r="S38" s="68"/>
      <c r="T38" s="94">
        <v>0</v>
      </c>
      <c r="U38" s="95">
        <v>0</v>
      </c>
      <c r="V38" s="70"/>
      <c r="W38" s="57"/>
      <c r="X38" s="57"/>
      <c r="Y38" s="57"/>
      <c r="Z38" s="91">
        <v>5</v>
      </c>
      <c r="AA38" s="94">
        <v>0</v>
      </c>
      <c r="AB38" s="95">
        <v>0</v>
      </c>
      <c r="AC38" s="57"/>
      <c r="AD38" s="57"/>
      <c r="AE38" s="57"/>
      <c r="AF38" s="57"/>
      <c r="AG38" s="57"/>
      <c r="AH38" s="94">
        <v>0</v>
      </c>
      <c r="AI38" s="95">
        <v>0</v>
      </c>
      <c r="AJ38" s="56"/>
      <c r="AK38" s="56"/>
      <c r="AL38" s="56"/>
      <c r="AM38" s="56"/>
      <c r="AN38" s="56"/>
      <c r="AO38" s="94">
        <v>0</v>
      </c>
      <c r="AP38" s="95">
        <v>0</v>
      </c>
      <c r="AQ38" s="72"/>
      <c r="AR38" s="77"/>
      <c r="AS38" s="74"/>
      <c r="AT38" s="56"/>
      <c r="AU38" s="77"/>
      <c r="AV38" s="94">
        <v>0</v>
      </c>
      <c r="AW38" s="95">
        <v>0</v>
      </c>
      <c r="AX38" s="56"/>
      <c r="AY38" s="56"/>
      <c r="AZ38" s="56"/>
      <c r="BA38" s="77"/>
      <c r="BB38" s="56"/>
      <c r="BC38" s="94">
        <v>0</v>
      </c>
      <c r="BD38" s="95">
        <v>0</v>
      </c>
      <c r="BE38" s="56"/>
      <c r="BF38" s="56"/>
      <c r="BG38" s="56"/>
      <c r="BH38" s="56"/>
      <c r="BI38" s="56"/>
      <c r="BJ38" s="94">
        <v>0</v>
      </c>
      <c r="BK38" s="95">
        <v>0</v>
      </c>
      <c r="BL38" s="56"/>
      <c r="BM38" s="56"/>
      <c r="BN38" s="56"/>
      <c r="BO38" s="56"/>
      <c r="BP38" s="56"/>
      <c r="BQ38" s="94">
        <v>0</v>
      </c>
      <c r="BR38" s="95">
        <v>0</v>
      </c>
      <c r="BS38" s="56"/>
      <c r="BT38" s="56"/>
      <c r="BU38" s="56"/>
      <c r="BV38" s="56"/>
      <c r="BW38" s="56"/>
      <c r="BX38" s="94">
        <v>0</v>
      </c>
      <c r="BY38" s="95">
        <v>0</v>
      </c>
    </row>
    <row r="39" spans="2:77" s="8" customFormat="1" ht="15" customHeight="1" outlineLevel="1">
      <c r="B39" s="62" t="s">
        <v>174</v>
      </c>
      <c r="C39" s="59" t="s">
        <v>1</v>
      </c>
      <c r="D39" s="215" t="s">
        <v>20</v>
      </c>
      <c r="E39" s="58" t="s">
        <v>233</v>
      </c>
      <c r="F39" s="58">
        <f>SUMIFS('Detalhe Testes'!$F:$F,'Detalhe Testes'!$B:$B,'MacroPlano Equipa'!C39,'Detalhe Testes'!$C:$C,'MacroPlano Equipa'!D39)</f>
        <v>5</v>
      </c>
      <c r="G39" s="82">
        <f t="shared" si="6"/>
        <v>0.625</v>
      </c>
      <c r="H39" s="58" cm="1">
        <f t="array" aca="1" ref="H39" ca="1">SUMPRODUCT((COLUMN(O39:BY39)&gt;=MIN(IF(O39:BY39&lt;&gt;"",COLUMN(O39:BY39))))*($O$16:$BY$16&lt;=TODAY())*(O39:BY39))</f>
        <v>5</v>
      </c>
      <c r="I39" s="82">
        <f t="shared" ca="1" si="8"/>
        <v>0.625</v>
      </c>
      <c r="J39" s="98"/>
      <c r="K39" s="98"/>
      <c r="L39" s="84"/>
      <c r="M39" s="8">
        <f t="shared" si="5"/>
        <v>0</v>
      </c>
      <c r="O39" s="57"/>
      <c r="P39" s="57"/>
      <c r="Q39" s="57"/>
      <c r="R39" s="57"/>
      <c r="S39" s="68"/>
      <c r="T39" s="94">
        <v>0</v>
      </c>
      <c r="U39" s="95">
        <v>0</v>
      </c>
      <c r="V39" s="70"/>
      <c r="W39" s="57"/>
      <c r="X39" s="57"/>
      <c r="Y39" s="57"/>
      <c r="Z39" s="91">
        <v>2</v>
      </c>
      <c r="AA39" s="94">
        <v>0</v>
      </c>
      <c r="AB39" s="95">
        <v>0</v>
      </c>
      <c r="AC39" s="91">
        <v>3</v>
      </c>
      <c r="AD39" s="57"/>
      <c r="AE39" s="57"/>
      <c r="AF39" s="57"/>
      <c r="AG39" s="57"/>
      <c r="AH39" s="94">
        <v>0</v>
      </c>
      <c r="AI39" s="95">
        <v>0</v>
      </c>
      <c r="AJ39" s="56"/>
      <c r="AK39" s="56"/>
      <c r="AL39" s="56"/>
      <c r="AM39" s="56"/>
      <c r="AN39" s="56"/>
      <c r="AO39" s="94">
        <v>0</v>
      </c>
      <c r="AP39" s="95">
        <v>0</v>
      </c>
      <c r="AQ39" s="72"/>
      <c r="AR39" s="77"/>
      <c r="AS39" s="74"/>
      <c r="AT39" s="56"/>
      <c r="AU39" s="77"/>
      <c r="AV39" s="94">
        <v>0</v>
      </c>
      <c r="AW39" s="95">
        <v>0</v>
      </c>
      <c r="AX39" s="56"/>
      <c r="AY39" s="56"/>
      <c r="AZ39" s="56"/>
      <c r="BA39" s="77"/>
      <c r="BB39" s="56"/>
      <c r="BC39" s="94">
        <v>0</v>
      </c>
      <c r="BD39" s="95">
        <v>0</v>
      </c>
      <c r="BE39" s="56"/>
      <c r="BF39" s="56"/>
      <c r="BG39" s="56"/>
      <c r="BH39" s="56"/>
      <c r="BI39" s="56"/>
      <c r="BJ39" s="94">
        <v>0</v>
      </c>
      <c r="BK39" s="95">
        <v>0</v>
      </c>
      <c r="BL39" s="56"/>
      <c r="BM39" s="56"/>
      <c r="BN39" s="56"/>
      <c r="BO39" s="56"/>
      <c r="BP39" s="56"/>
      <c r="BQ39" s="94">
        <v>0</v>
      </c>
      <c r="BR39" s="95">
        <v>0</v>
      </c>
      <c r="BS39" s="56"/>
      <c r="BT39" s="56"/>
      <c r="BU39" s="56"/>
      <c r="BV39" s="56"/>
      <c r="BW39" s="56"/>
      <c r="BX39" s="94">
        <v>0</v>
      </c>
      <c r="BY39" s="95">
        <v>0</v>
      </c>
    </row>
    <row r="40" spans="2:77" s="8" customFormat="1" ht="15" customHeight="1" outlineLevel="1">
      <c r="B40" s="58" t="s">
        <v>175</v>
      </c>
      <c r="C40" s="59" t="s">
        <v>1</v>
      </c>
      <c r="D40" s="215" t="s">
        <v>21</v>
      </c>
      <c r="E40" s="58" t="s">
        <v>233</v>
      </c>
      <c r="F40" s="58">
        <f>SUMIFS('Detalhe Testes'!$F:$F,'Detalhe Testes'!$B:$B,'MacroPlano Equipa'!C40,'Detalhe Testes'!$C:$C,'MacroPlano Equipa'!D40)</f>
        <v>5</v>
      </c>
      <c r="G40" s="82">
        <f t="shared" si="6"/>
        <v>0.625</v>
      </c>
      <c r="H40" s="58" cm="1">
        <f t="array" aca="1" ref="H40" ca="1">SUMPRODUCT((COLUMN(O40:BY40)&gt;=MIN(IF(O40:BY40&lt;&gt;"",COLUMN(O40:BY40))))*($O$16:$BY$16&lt;=TODAY())*(O40:BY40))</f>
        <v>5</v>
      </c>
      <c r="I40" s="82">
        <f t="shared" ca="1" si="8"/>
        <v>0.625</v>
      </c>
      <c r="J40" s="98"/>
      <c r="K40" s="98"/>
      <c r="L40" s="84"/>
      <c r="M40" s="8">
        <f t="shared" si="5"/>
        <v>0</v>
      </c>
      <c r="O40" s="57"/>
      <c r="P40" s="57"/>
      <c r="Q40" s="57"/>
      <c r="R40" s="57"/>
      <c r="S40" s="68"/>
      <c r="T40" s="94">
        <v>0</v>
      </c>
      <c r="U40" s="95">
        <v>0</v>
      </c>
      <c r="V40" s="70"/>
      <c r="W40" s="57"/>
      <c r="X40" s="57"/>
      <c r="Y40" s="57"/>
      <c r="Z40" s="57"/>
      <c r="AA40" s="94">
        <v>0</v>
      </c>
      <c r="AB40" s="95">
        <v>0</v>
      </c>
      <c r="AC40" s="91">
        <v>5</v>
      </c>
      <c r="AD40" s="57"/>
      <c r="AE40" s="57"/>
      <c r="AF40" s="57"/>
      <c r="AG40" s="57"/>
      <c r="AH40" s="94">
        <v>0</v>
      </c>
      <c r="AI40" s="95">
        <v>0</v>
      </c>
      <c r="AJ40" s="56"/>
      <c r="AK40" s="56"/>
      <c r="AL40" s="56"/>
      <c r="AM40" s="56"/>
      <c r="AN40" s="56"/>
      <c r="AO40" s="94">
        <v>0</v>
      </c>
      <c r="AP40" s="95">
        <v>0</v>
      </c>
      <c r="AQ40" s="72"/>
      <c r="AR40" s="77"/>
      <c r="AS40" s="74"/>
      <c r="AT40" s="56"/>
      <c r="AU40" s="77"/>
      <c r="AV40" s="94">
        <v>0</v>
      </c>
      <c r="AW40" s="95">
        <v>0</v>
      </c>
      <c r="AX40" s="56"/>
      <c r="AY40" s="56"/>
      <c r="AZ40" s="56"/>
      <c r="BA40" s="77"/>
      <c r="BB40" s="56"/>
      <c r="BC40" s="94">
        <v>0</v>
      </c>
      <c r="BD40" s="95">
        <v>0</v>
      </c>
      <c r="BE40" s="56"/>
      <c r="BF40" s="56"/>
      <c r="BG40" s="56"/>
      <c r="BH40" s="56"/>
      <c r="BI40" s="56"/>
      <c r="BJ40" s="94">
        <v>0</v>
      </c>
      <c r="BK40" s="95">
        <v>0</v>
      </c>
      <c r="BL40" s="56"/>
      <c r="BM40" s="56"/>
      <c r="BN40" s="56"/>
      <c r="BO40" s="56"/>
      <c r="BP40" s="56"/>
      <c r="BQ40" s="94">
        <v>0</v>
      </c>
      <c r="BR40" s="95">
        <v>0</v>
      </c>
      <c r="BS40" s="56"/>
      <c r="BT40" s="56"/>
      <c r="BU40" s="56"/>
      <c r="BV40" s="56"/>
      <c r="BW40" s="56"/>
      <c r="BX40" s="94">
        <v>0</v>
      </c>
      <c r="BY40" s="95">
        <v>0</v>
      </c>
    </row>
    <row r="41" spans="2:77" s="8" customFormat="1" ht="15" customHeight="1" outlineLevel="1">
      <c r="B41" s="62" t="s">
        <v>176</v>
      </c>
      <c r="C41" s="59" t="s">
        <v>55</v>
      </c>
      <c r="D41" s="134" t="s">
        <v>89</v>
      </c>
      <c r="E41" s="58" t="s">
        <v>233</v>
      </c>
      <c r="F41" s="58">
        <f>SUMIFS('Detalhe Testes'!$F:$F,'Detalhe Testes'!$B:$B,'MacroPlano Equipa'!C41,'Detalhe Testes'!$C:$C,'MacroPlano Equipa'!D41)</f>
        <v>6</v>
      </c>
      <c r="G41" s="82">
        <f t="shared" si="6"/>
        <v>0.75</v>
      </c>
      <c r="H41" s="58" cm="1">
        <f t="array" aca="1" ref="H41" ca="1">SUMPRODUCT((COLUMN(O41:BY41)&gt;=MIN(IF(O41:BY41&lt;&gt;"",COLUMN(O41:BY41))))*($O$16:$BY$16&lt;=TODAY())*(O41:BY41))</f>
        <v>6.5</v>
      </c>
      <c r="I41" s="82">
        <f t="shared" ca="1" si="8"/>
        <v>0.8125</v>
      </c>
      <c r="J41" s="98"/>
      <c r="K41" s="98"/>
      <c r="L41" s="84"/>
      <c r="M41" s="8">
        <f t="shared" si="5"/>
        <v>0.5</v>
      </c>
      <c r="O41" s="57"/>
      <c r="P41" s="57"/>
      <c r="Q41" s="57">
        <v>0.5</v>
      </c>
      <c r="R41" s="57"/>
      <c r="S41" s="68"/>
      <c r="T41" s="94">
        <v>0</v>
      </c>
      <c r="U41" s="95">
        <v>0</v>
      </c>
      <c r="V41" s="70"/>
      <c r="W41" s="57"/>
      <c r="X41" s="91">
        <v>6</v>
      </c>
      <c r="Y41" s="57"/>
      <c r="Z41" s="57"/>
      <c r="AA41" s="94">
        <v>0</v>
      </c>
      <c r="AB41" s="95">
        <v>0</v>
      </c>
      <c r="AC41" s="57"/>
      <c r="AD41" s="57"/>
      <c r="AE41" s="57"/>
      <c r="AF41" s="57"/>
      <c r="AG41" s="57"/>
      <c r="AH41" s="94">
        <v>0</v>
      </c>
      <c r="AI41" s="95">
        <v>0</v>
      </c>
      <c r="AJ41" s="56"/>
      <c r="AK41" s="56"/>
      <c r="AL41" s="56"/>
      <c r="AM41" s="56"/>
      <c r="AN41" s="56"/>
      <c r="AO41" s="94">
        <v>0</v>
      </c>
      <c r="AP41" s="95">
        <v>0</v>
      </c>
      <c r="AQ41" s="72"/>
      <c r="AR41" s="77"/>
      <c r="AS41" s="74"/>
      <c r="AT41" s="56"/>
      <c r="AU41" s="77"/>
      <c r="AV41" s="94">
        <v>0</v>
      </c>
      <c r="AW41" s="95">
        <v>0</v>
      </c>
      <c r="AX41" s="56"/>
      <c r="AY41" s="56"/>
      <c r="AZ41" s="56"/>
      <c r="BA41" s="77"/>
      <c r="BB41" s="56"/>
      <c r="BC41" s="94">
        <v>0</v>
      </c>
      <c r="BD41" s="95">
        <v>0</v>
      </c>
      <c r="BE41" s="56"/>
      <c r="BF41" s="56"/>
      <c r="BG41" s="56"/>
      <c r="BH41" s="56"/>
      <c r="BI41" s="56"/>
      <c r="BJ41" s="94">
        <v>0</v>
      </c>
      <c r="BK41" s="95">
        <v>0</v>
      </c>
      <c r="BL41" s="56"/>
      <c r="BM41" s="56"/>
      <c r="BN41" s="56"/>
      <c r="BO41" s="56"/>
      <c r="BP41" s="56"/>
      <c r="BQ41" s="94">
        <v>0</v>
      </c>
      <c r="BR41" s="95">
        <v>0</v>
      </c>
      <c r="BS41" s="56"/>
      <c r="BT41" s="56"/>
      <c r="BU41" s="56"/>
      <c r="BV41" s="56"/>
      <c r="BW41" s="56"/>
      <c r="BX41" s="94">
        <v>0</v>
      </c>
      <c r="BY41" s="95">
        <v>0</v>
      </c>
    </row>
    <row r="42" spans="2:77" ht="15" customHeight="1" outlineLevel="1">
      <c r="B42" s="58" t="s">
        <v>177</v>
      </c>
      <c r="C42" s="59" t="s">
        <v>55</v>
      </c>
      <c r="D42" s="134" t="s">
        <v>59</v>
      </c>
      <c r="E42" s="58" t="s">
        <v>233</v>
      </c>
      <c r="F42" s="58">
        <f>SUMIFS('Detalhe Testes'!$F:$F,'Detalhe Testes'!$B:$B,'MacroPlano Equipa'!C42,'Detalhe Testes'!$C:$C,'MacroPlano Equipa'!D42)</f>
        <v>9</v>
      </c>
      <c r="G42" s="82">
        <f t="shared" si="6"/>
        <v>1.125</v>
      </c>
      <c r="H42" s="58" cm="1">
        <f t="array" aca="1" ref="H42" ca="1">SUMPRODUCT((COLUMN(O42:BY42)&gt;=MIN(IF(O42:BY42&lt;&gt;"",COLUMN(O42:BY42))))*($O$16:$BY$16&lt;=TODAY())*(O42:BY42))</f>
        <v>10</v>
      </c>
      <c r="I42" s="82">
        <f t="shared" ca="1" si="8"/>
        <v>1.25</v>
      </c>
      <c r="J42" s="98"/>
      <c r="K42" s="98"/>
      <c r="L42" s="84"/>
      <c r="M42" s="8">
        <f t="shared" si="5"/>
        <v>1</v>
      </c>
      <c r="O42" s="65"/>
      <c r="P42" s="65"/>
      <c r="Q42" s="133">
        <v>1</v>
      </c>
      <c r="R42" s="65"/>
      <c r="S42" s="69"/>
      <c r="T42" s="94">
        <v>0</v>
      </c>
      <c r="U42" s="95">
        <v>0</v>
      </c>
      <c r="V42" s="71"/>
      <c r="W42" s="65"/>
      <c r="X42" s="91">
        <v>2</v>
      </c>
      <c r="Y42" s="91">
        <v>7</v>
      </c>
      <c r="Z42" s="57"/>
      <c r="AA42" s="94">
        <v>0</v>
      </c>
      <c r="AB42" s="95">
        <v>0</v>
      </c>
      <c r="AC42" s="57"/>
      <c r="AD42" s="57"/>
      <c r="AE42" s="57"/>
      <c r="AF42" s="57"/>
      <c r="AG42" s="57"/>
      <c r="AH42" s="94">
        <v>0</v>
      </c>
      <c r="AI42" s="95">
        <v>0</v>
      </c>
      <c r="AJ42" s="66"/>
      <c r="AK42" s="66"/>
      <c r="AL42" s="66"/>
      <c r="AM42" s="66"/>
      <c r="AN42" s="66"/>
      <c r="AO42" s="94">
        <v>0</v>
      </c>
      <c r="AP42" s="95">
        <v>0</v>
      </c>
      <c r="AQ42" s="73"/>
      <c r="AR42" s="78"/>
      <c r="AS42" s="75"/>
      <c r="AT42" s="66"/>
      <c r="AU42" s="78"/>
      <c r="AV42" s="94">
        <v>0</v>
      </c>
      <c r="AW42" s="95">
        <v>0</v>
      </c>
      <c r="AX42" s="66"/>
      <c r="AY42" s="66"/>
      <c r="AZ42" s="66"/>
      <c r="BA42" s="78"/>
      <c r="BB42" s="66"/>
      <c r="BC42" s="94">
        <v>0</v>
      </c>
      <c r="BD42" s="95">
        <v>0</v>
      </c>
      <c r="BE42" s="66"/>
      <c r="BF42" s="66"/>
      <c r="BG42" s="66"/>
      <c r="BH42" s="66"/>
      <c r="BI42" s="66"/>
      <c r="BJ42" s="94">
        <v>0</v>
      </c>
      <c r="BK42" s="95">
        <v>0</v>
      </c>
      <c r="BL42" s="66"/>
      <c r="BM42" s="66"/>
      <c r="BN42" s="66"/>
      <c r="BO42" s="66"/>
      <c r="BP42" s="66"/>
      <c r="BQ42" s="94">
        <v>0</v>
      </c>
      <c r="BR42" s="95">
        <v>0</v>
      </c>
      <c r="BS42" s="66"/>
      <c r="BT42" s="66"/>
      <c r="BU42" s="66"/>
      <c r="BV42" s="66"/>
      <c r="BW42" s="66"/>
      <c r="BX42" s="94">
        <v>0</v>
      </c>
      <c r="BY42" s="95">
        <v>0</v>
      </c>
    </row>
    <row r="43" spans="2:77" ht="15" customHeight="1" outlineLevel="1">
      <c r="B43" s="62" t="s">
        <v>178</v>
      </c>
      <c r="C43" s="59" t="s">
        <v>63</v>
      </c>
      <c r="D43" s="59" t="s">
        <v>89</v>
      </c>
      <c r="E43" s="58" t="s">
        <v>233</v>
      </c>
      <c r="F43" s="58">
        <f>SUMIFS('Detalhe Testes'!$F:$F,'Detalhe Testes'!$B:$B,'MacroPlano Equipa'!C43,'Detalhe Testes'!$C:$C,'MacroPlano Equipa'!D43)</f>
        <v>16</v>
      </c>
      <c r="G43" s="82">
        <f t="shared" si="6"/>
        <v>2</v>
      </c>
      <c r="H43" s="58" cm="1">
        <f t="array" aca="1" ref="H43" ca="1">SUMPRODUCT((COLUMN(O43:BY43)&gt;=MIN(IF(O43:BY43&lt;&gt;"",COLUMN(O43:BY43))))*($O$16:$BY$16&lt;=TODAY())*(O43:BY43))</f>
        <v>16</v>
      </c>
      <c r="I43" s="82">
        <f t="shared" ca="1" si="8"/>
        <v>2</v>
      </c>
      <c r="J43" s="98"/>
      <c r="K43" s="98"/>
      <c r="L43" s="84"/>
      <c r="M43" s="8">
        <f t="shared" si="5"/>
        <v>0</v>
      </c>
      <c r="O43" s="65"/>
      <c r="P43" s="65"/>
      <c r="Q43" s="65"/>
      <c r="R43" s="65"/>
      <c r="S43" s="69"/>
      <c r="T43" s="94">
        <v>0</v>
      </c>
      <c r="U43" s="95">
        <v>0</v>
      </c>
      <c r="V43" s="71"/>
      <c r="W43" s="65"/>
      <c r="X43" s="57"/>
      <c r="Y43" s="108"/>
      <c r="Z43" s="108"/>
      <c r="AA43" s="94"/>
      <c r="AB43" s="95"/>
      <c r="AC43" s="108"/>
      <c r="AD43" s="57"/>
      <c r="AE43" s="57"/>
      <c r="AF43" s="57"/>
      <c r="AG43" s="57"/>
      <c r="AH43" s="94">
        <v>0</v>
      </c>
      <c r="AI43" s="95">
        <v>0</v>
      </c>
      <c r="AJ43" s="66"/>
      <c r="AK43" s="66"/>
      <c r="AL43" s="66"/>
      <c r="AM43" s="66"/>
      <c r="AN43" s="66"/>
      <c r="AO43" s="94">
        <v>0</v>
      </c>
      <c r="AP43" s="95">
        <v>0</v>
      </c>
      <c r="AQ43" s="73"/>
      <c r="AR43" s="78"/>
      <c r="AS43" s="75"/>
      <c r="AT43" s="66"/>
      <c r="AU43" s="78"/>
      <c r="AV43" s="94">
        <v>0</v>
      </c>
      <c r="AW43" s="95">
        <v>0</v>
      </c>
      <c r="AX43" s="66"/>
      <c r="AY43" s="66"/>
      <c r="AZ43" s="91">
        <v>3</v>
      </c>
      <c r="BA43" s="78"/>
      <c r="BB43" s="91">
        <v>8</v>
      </c>
      <c r="BC43" s="94">
        <v>0</v>
      </c>
      <c r="BD43" s="95">
        <v>0</v>
      </c>
      <c r="BE43" s="91">
        <v>5</v>
      </c>
      <c r="BF43" s="66"/>
      <c r="BG43" s="66"/>
      <c r="BH43" s="66"/>
      <c r="BI43" s="66"/>
      <c r="BJ43" s="94">
        <v>0</v>
      </c>
      <c r="BK43" s="95">
        <v>0</v>
      </c>
      <c r="BL43" s="66"/>
      <c r="BM43" s="66"/>
      <c r="BN43" s="66"/>
      <c r="BO43" s="66"/>
      <c r="BP43" s="66"/>
      <c r="BQ43" s="94">
        <v>0</v>
      </c>
      <c r="BR43" s="95">
        <v>0</v>
      </c>
      <c r="BS43" s="66"/>
      <c r="BT43" s="66"/>
      <c r="BU43" s="66"/>
      <c r="BV43" s="66"/>
      <c r="BW43" s="66"/>
      <c r="BX43" s="94">
        <v>0</v>
      </c>
      <c r="BY43" s="95">
        <v>0</v>
      </c>
    </row>
    <row r="44" spans="2:77" ht="15" customHeight="1" outlineLevel="1">
      <c r="B44" s="63" t="s">
        <v>179</v>
      </c>
      <c r="C44" s="59" t="s">
        <v>63</v>
      </c>
      <c r="D44" s="59" t="s">
        <v>64</v>
      </c>
      <c r="E44" s="58" t="s">
        <v>233</v>
      </c>
      <c r="F44" s="58">
        <f>SUMIFS('Detalhe Testes'!$F:$F,'Detalhe Testes'!$B:$B,'MacroPlano Equipa'!C44,'Detalhe Testes'!$C:$C,'MacroPlano Equipa'!D44)</f>
        <v>11</v>
      </c>
      <c r="G44" s="82">
        <f t="shared" si="6"/>
        <v>1.375</v>
      </c>
      <c r="H44" s="58" cm="1">
        <f t="array" aca="1" ref="H44" ca="1">SUMPRODUCT((COLUMN(O44:BY44)&gt;=MIN(IF(O44:BY44&lt;&gt;"",COLUMN(O44:BY44))))*($O$16:$BY$16&lt;=TODAY())*(O44:BY44))</f>
        <v>11</v>
      </c>
      <c r="I44" s="82">
        <f t="shared" ca="1" si="8"/>
        <v>1.375</v>
      </c>
      <c r="J44" s="98"/>
      <c r="K44" s="98"/>
      <c r="L44" s="84"/>
      <c r="M44" s="8">
        <f t="shared" si="5"/>
        <v>0</v>
      </c>
      <c r="O44" s="65"/>
      <c r="P44" s="65"/>
      <c r="Q44" s="65"/>
      <c r="R44" s="65"/>
      <c r="S44" s="69"/>
      <c r="T44" s="94">
        <v>0</v>
      </c>
      <c r="U44" s="95">
        <v>0</v>
      </c>
      <c r="V44" s="71"/>
      <c r="W44" s="65"/>
      <c r="X44" s="57"/>
      <c r="Y44" s="57"/>
      <c r="Z44" s="57"/>
      <c r="AA44" s="94"/>
      <c r="AB44" s="95"/>
      <c r="AC44" s="57"/>
      <c r="AD44" s="108"/>
      <c r="AE44" s="108"/>
      <c r="AF44" s="57"/>
      <c r="AG44" s="57"/>
      <c r="AH44" s="94">
        <v>0</v>
      </c>
      <c r="AI44" s="95">
        <v>0</v>
      </c>
      <c r="AJ44" s="66"/>
      <c r="AK44" s="66"/>
      <c r="AL44" s="66"/>
      <c r="AM44" s="66"/>
      <c r="AN44" s="66"/>
      <c r="AO44" s="94">
        <v>0</v>
      </c>
      <c r="AP44" s="95">
        <v>0</v>
      </c>
      <c r="AQ44" s="73"/>
      <c r="AR44" s="78"/>
      <c r="AS44" s="75"/>
      <c r="AT44" s="66"/>
      <c r="AU44" s="78"/>
      <c r="AV44" s="94">
        <v>0</v>
      </c>
      <c r="AW44" s="95">
        <v>0</v>
      </c>
      <c r="AX44" s="66"/>
      <c r="AY44" s="66"/>
      <c r="AZ44" s="66"/>
      <c r="BA44" s="78"/>
      <c r="BB44" s="66"/>
      <c r="BC44" s="94">
        <v>0</v>
      </c>
      <c r="BD44" s="95">
        <v>0</v>
      </c>
      <c r="BE44" s="66"/>
      <c r="BF44" s="91">
        <v>2</v>
      </c>
      <c r="BG44" s="91">
        <v>8</v>
      </c>
      <c r="BH44" s="91">
        <v>1</v>
      </c>
      <c r="BI44" s="66"/>
      <c r="BJ44" s="94">
        <v>0</v>
      </c>
      <c r="BK44" s="95">
        <v>0</v>
      </c>
      <c r="BL44" s="66"/>
      <c r="BM44" s="66"/>
      <c r="BN44" s="66"/>
      <c r="BO44" s="66"/>
      <c r="BP44" s="66"/>
      <c r="BQ44" s="94">
        <v>0</v>
      </c>
      <c r="BR44" s="95">
        <v>0</v>
      </c>
      <c r="BS44" s="66"/>
      <c r="BT44" s="66"/>
      <c r="BU44" s="66"/>
      <c r="BV44" s="66"/>
      <c r="BW44" s="66"/>
      <c r="BX44" s="94">
        <v>0</v>
      </c>
      <c r="BY44" s="95">
        <v>0</v>
      </c>
    </row>
    <row r="45" spans="2:77" ht="15" customHeight="1" outlineLevel="1">
      <c r="B45" s="58" t="s">
        <v>167</v>
      </c>
      <c r="C45" s="59" t="s">
        <v>63</v>
      </c>
      <c r="D45" s="59" t="s">
        <v>66</v>
      </c>
      <c r="E45" s="58" t="s">
        <v>233</v>
      </c>
      <c r="F45" s="58">
        <f>SUMIFS('Detalhe Testes'!$F:$F,'Detalhe Testes'!$B:$B,'MacroPlano Equipa'!C45,'Detalhe Testes'!$C:$C,'MacroPlano Equipa'!D45)</f>
        <v>9</v>
      </c>
      <c r="G45" s="82">
        <f t="shared" si="6"/>
        <v>1.125</v>
      </c>
      <c r="H45" s="58" cm="1">
        <f t="array" aca="1" ref="H45" ca="1">SUMPRODUCT((COLUMN(O45:BY45)&gt;=MIN(IF(O45:BY45&lt;&gt;"",COLUMN(O45:BY45))))*($O$16:$BY$16&lt;=TODAY())*(O45:BY45))</f>
        <v>9</v>
      </c>
      <c r="I45" s="82">
        <f t="shared" ca="1" si="8"/>
        <v>1.125</v>
      </c>
      <c r="J45" s="98"/>
      <c r="K45" s="98"/>
      <c r="L45" s="84"/>
      <c r="M45" s="8">
        <f t="shared" si="5"/>
        <v>0</v>
      </c>
      <c r="O45" s="65"/>
      <c r="P45" s="65"/>
      <c r="Q45" s="65"/>
      <c r="R45" s="65"/>
      <c r="S45" s="69"/>
      <c r="T45" s="94">
        <v>0</v>
      </c>
      <c r="U45" s="95">
        <v>0</v>
      </c>
      <c r="V45" s="71"/>
      <c r="W45" s="65"/>
      <c r="X45" s="57"/>
      <c r="Y45" s="57"/>
      <c r="Z45" s="57"/>
      <c r="AA45" s="94"/>
      <c r="AB45" s="95"/>
      <c r="AC45" s="57"/>
      <c r="AD45" s="57"/>
      <c r="AE45" s="108"/>
      <c r="AF45" s="108"/>
      <c r="AG45" s="57"/>
      <c r="AH45" s="94">
        <v>0</v>
      </c>
      <c r="AI45" s="95">
        <v>0</v>
      </c>
      <c r="AJ45" s="66"/>
      <c r="AK45" s="66"/>
      <c r="AL45" s="66"/>
      <c r="AM45" s="66"/>
      <c r="AN45" s="66"/>
      <c r="AO45" s="94">
        <v>0</v>
      </c>
      <c r="AP45" s="95">
        <v>0</v>
      </c>
      <c r="AQ45" s="73"/>
      <c r="AR45" s="78"/>
      <c r="AS45" s="75"/>
      <c r="AT45" s="66"/>
      <c r="AU45" s="78"/>
      <c r="AV45" s="94">
        <v>0</v>
      </c>
      <c r="AW45" s="95">
        <v>0</v>
      </c>
      <c r="AX45" s="66"/>
      <c r="AY45" s="66"/>
      <c r="AZ45" s="66"/>
      <c r="BA45" s="78"/>
      <c r="BB45" s="66"/>
      <c r="BC45" s="94">
        <v>0</v>
      </c>
      <c r="BD45" s="95">
        <v>0</v>
      </c>
      <c r="BE45" s="66"/>
      <c r="BF45" s="66"/>
      <c r="BG45" s="66"/>
      <c r="BH45" s="91">
        <v>7</v>
      </c>
      <c r="BI45" s="91">
        <v>2</v>
      </c>
      <c r="BJ45" s="94">
        <v>0</v>
      </c>
      <c r="BK45" s="95">
        <v>0</v>
      </c>
      <c r="BL45" s="66"/>
      <c r="BM45" s="66"/>
      <c r="BN45" s="66"/>
      <c r="BO45" s="66"/>
      <c r="BP45" s="66"/>
      <c r="BQ45" s="94">
        <v>0</v>
      </c>
      <c r="BR45" s="95">
        <v>0</v>
      </c>
      <c r="BS45" s="66"/>
      <c r="BT45" s="66"/>
      <c r="BU45" s="66"/>
      <c r="BV45" s="66"/>
      <c r="BW45" s="66"/>
      <c r="BX45" s="94">
        <v>0</v>
      </c>
      <c r="BY45" s="95">
        <v>0</v>
      </c>
    </row>
    <row r="46" spans="2:77" ht="15" customHeight="1" outlineLevel="1">
      <c r="B46" s="58" t="s">
        <v>168</v>
      </c>
      <c r="C46" s="59" t="s">
        <v>63</v>
      </c>
      <c r="D46" s="59" t="s">
        <v>36</v>
      </c>
      <c r="E46" s="58" t="s">
        <v>233</v>
      </c>
      <c r="F46" s="58">
        <f>SUMIFS('Detalhe Testes'!$F:$F,'Detalhe Testes'!$B:$B,'MacroPlano Equipa'!C46,'Detalhe Testes'!$C:$C,'MacroPlano Equipa'!D46)</f>
        <v>3</v>
      </c>
      <c r="G46" s="82">
        <f t="shared" si="6"/>
        <v>0.375</v>
      </c>
      <c r="H46" s="58" cm="1">
        <f t="array" aca="1" ref="H46" ca="1">SUMPRODUCT((COLUMN(O46:BY46)&gt;=MIN(IF(O46:BY46&lt;&gt;"",COLUMN(O46:BY46))))*($O$16:$BY$16&lt;=TODAY())*(O46:BY46))</f>
        <v>3</v>
      </c>
      <c r="I46" s="82">
        <f t="shared" ca="1" si="8"/>
        <v>0.375</v>
      </c>
      <c r="J46" s="98"/>
      <c r="K46" s="98"/>
      <c r="L46" s="84"/>
      <c r="M46" s="8">
        <f t="shared" si="5"/>
        <v>0</v>
      </c>
      <c r="O46" s="65"/>
      <c r="P46" s="65"/>
      <c r="Q46" s="65"/>
      <c r="R46" s="65"/>
      <c r="S46" s="69"/>
      <c r="T46" s="94">
        <v>0</v>
      </c>
      <c r="U46" s="95">
        <v>0</v>
      </c>
      <c r="V46" s="71"/>
      <c r="W46" s="65"/>
      <c r="X46" s="57"/>
      <c r="Y46" s="57"/>
      <c r="Z46" s="57"/>
      <c r="AA46" s="94"/>
      <c r="AB46" s="95"/>
      <c r="AC46" s="57"/>
      <c r="AD46" s="108"/>
      <c r="AE46" s="57"/>
      <c r="AF46" s="57"/>
      <c r="AG46" s="57"/>
      <c r="AH46" s="94">
        <v>0</v>
      </c>
      <c r="AI46" s="95">
        <v>0</v>
      </c>
      <c r="AJ46" s="66"/>
      <c r="AK46" s="66"/>
      <c r="AL46" s="66"/>
      <c r="AM46" s="66"/>
      <c r="AN46" s="66"/>
      <c r="AO46" s="94">
        <v>0</v>
      </c>
      <c r="AP46" s="95">
        <v>0</v>
      </c>
      <c r="AQ46" s="73"/>
      <c r="AR46" s="78"/>
      <c r="AS46" s="75"/>
      <c r="AT46" s="66"/>
      <c r="AU46" s="78"/>
      <c r="AV46" s="94">
        <v>0</v>
      </c>
      <c r="AW46" s="95">
        <v>0</v>
      </c>
      <c r="AX46" s="66"/>
      <c r="AY46" s="66"/>
      <c r="AZ46" s="66"/>
      <c r="BA46" s="78"/>
      <c r="BB46" s="66"/>
      <c r="BC46" s="94">
        <v>0</v>
      </c>
      <c r="BD46" s="95">
        <v>0</v>
      </c>
      <c r="BE46" s="66"/>
      <c r="BF46" s="91">
        <v>3</v>
      </c>
      <c r="BG46" s="66"/>
      <c r="BH46" s="66"/>
      <c r="BI46" s="66"/>
      <c r="BJ46" s="94">
        <v>0</v>
      </c>
      <c r="BK46" s="95">
        <v>0</v>
      </c>
      <c r="BL46" s="66"/>
      <c r="BM46" s="66"/>
      <c r="BN46" s="66"/>
      <c r="BO46" s="66"/>
      <c r="BP46" s="66"/>
      <c r="BQ46" s="94">
        <v>0</v>
      </c>
      <c r="BR46" s="95">
        <v>0</v>
      </c>
      <c r="BS46" s="66"/>
      <c r="BT46" s="66"/>
      <c r="BU46" s="66"/>
      <c r="BV46" s="66"/>
      <c r="BW46" s="66"/>
      <c r="BX46" s="94">
        <v>0</v>
      </c>
      <c r="BY46" s="95">
        <v>0</v>
      </c>
    </row>
    <row r="47" spans="2:77" ht="15" customHeight="1" outlineLevel="1">
      <c r="B47" s="58" t="s">
        <v>169</v>
      </c>
      <c r="C47" s="59" t="s">
        <v>63</v>
      </c>
      <c r="D47" s="59" t="s">
        <v>38</v>
      </c>
      <c r="E47" s="58" t="s">
        <v>233</v>
      </c>
      <c r="F47" s="58">
        <f>SUMIFS('Detalhe Testes'!$F:$F,'Detalhe Testes'!$B:$B,'MacroPlano Equipa'!C47,'Detalhe Testes'!$C:$C,'MacroPlano Equipa'!D47)</f>
        <v>3</v>
      </c>
      <c r="G47" s="82">
        <f t="shared" si="6"/>
        <v>0.375</v>
      </c>
      <c r="H47" s="58" cm="1">
        <f t="array" aca="1" ref="H47" ca="1">SUMPRODUCT((COLUMN(O47:BY47)&gt;=MIN(IF(O47:BY47&lt;&gt;"",COLUMN(O47:BY47))))*($O$16:$BY$16&lt;=TODAY())*(O47:BY47))</f>
        <v>3</v>
      </c>
      <c r="I47" s="82">
        <f t="shared" ca="1" si="8"/>
        <v>0.375</v>
      </c>
      <c r="J47" s="98"/>
      <c r="K47" s="98"/>
      <c r="L47" s="84"/>
      <c r="M47" s="8">
        <f t="shared" si="5"/>
        <v>0</v>
      </c>
      <c r="O47" s="65"/>
      <c r="P47" s="65"/>
      <c r="Q47" s="65"/>
      <c r="R47" s="65"/>
      <c r="S47" s="69"/>
      <c r="T47" s="94">
        <v>0</v>
      </c>
      <c r="U47" s="95">
        <v>0</v>
      </c>
      <c r="V47" s="71"/>
      <c r="W47" s="65"/>
      <c r="X47" s="57"/>
      <c r="Y47" s="57"/>
      <c r="Z47" s="57"/>
      <c r="AA47" s="94"/>
      <c r="AB47" s="95"/>
      <c r="AC47" s="57"/>
      <c r="AD47" s="108"/>
      <c r="AE47" s="57"/>
      <c r="AF47" s="57"/>
      <c r="AG47" s="57"/>
      <c r="AH47" s="94">
        <v>0</v>
      </c>
      <c r="AI47" s="95">
        <v>0</v>
      </c>
      <c r="AJ47" s="66"/>
      <c r="AK47" s="66"/>
      <c r="AL47" s="66"/>
      <c r="AM47" s="66"/>
      <c r="AN47" s="66"/>
      <c r="AO47" s="94">
        <v>0</v>
      </c>
      <c r="AP47" s="95">
        <v>0</v>
      </c>
      <c r="AQ47" s="73"/>
      <c r="AR47" s="78"/>
      <c r="AS47" s="75"/>
      <c r="AT47" s="66"/>
      <c r="AU47" s="78"/>
      <c r="AV47" s="94">
        <v>0</v>
      </c>
      <c r="AW47" s="95">
        <v>0</v>
      </c>
      <c r="AX47" s="66"/>
      <c r="AY47" s="66"/>
      <c r="AZ47" s="66"/>
      <c r="BA47" s="78"/>
      <c r="BB47" s="66"/>
      <c r="BC47" s="94">
        <v>0</v>
      </c>
      <c r="BD47" s="95">
        <v>0</v>
      </c>
      <c r="BE47" s="66"/>
      <c r="BF47" s="91">
        <v>3</v>
      </c>
      <c r="BG47" s="66"/>
      <c r="BH47" s="66"/>
      <c r="BI47" s="66"/>
      <c r="BJ47" s="94">
        <v>0</v>
      </c>
      <c r="BK47" s="95">
        <v>0</v>
      </c>
      <c r="BL47" s="66"/>
      <c r="BM47" s="66"/>
      <c r="BN47" s="66"/>
      <c r="BO47" s="66"/>
      <c r="BP47" s="66"/>
      <c r="BQ47" s="94">
        <v>0</v>
      </c>
      <c r="BR47" s="95">
        <v>0</v>
      </c>
      <c r="BS47" s="66"/>
      <c r="BT47" s="66"/>
      <c r="BU47" s="66"/>
      <c r="BV47" s="66"/>
      <c r="BW47" s="66"/>
      <c r="BX47" s="94">
        <v>0</v>
      </c>
      <c r="BY47" s="95">
        <v>0</v>
      </c>
    </row>
    <row r="48" spans="2:77" ht="15" customHeight="1" outlineLevel="1">
      <c r="B48" s="58" t="s">
        <v>180</v>
      </c>
      <c r="C48" s="59" t="s">
        <v>63</v>
      </c>
      <c r="D48" s="59" t="s">
        <v>54</v>
      </c>
      <c r="E48" s="58" t="s">
        <v>233</v>
      </c>
      <c r="F48" s="58">
        <f>SUMIFS('Detalhe Testes'!$F:$F,'Detalhe Testes'!$B:$B,'MacroPlano Equipa'!C48,'Detalhe Testes'!$C:$C,'MacroPlano Equipa'!D48)</f>
        <v>3</v>
      </c>
      <c r="G48" s="82">
        <f t="shared" si="6"/>
        <v>0.375</v>
      </c>
      <c r="H48" s="58" cm="1">
        <f t="array" aca="1" ref="H48" ca="1">SUMPRODUCT((COLUMN(O48:BY48)&gt;=MIN(IF(O48:BY48&lt;&gt;"",COLUMN(O48:BY48))))*($O$16:$BY$16&lt;=TODAY())*(O48:BY48))</f>
        <v>3</v>
      </c>
      <c r="I48" s="82">
        <f t="shared" ca="1" si="8"/>
        <v>0.375</v>
      </c>
      <c r="J48" s="98"/>
      <c r="K48" s="98"/>
      <c r="L48" s="84"/>
      <c r="M48" s="8">
        <f t="shared" si="5"/>
        <v>0</v>
      </c>
      <c r="O48" s="65"/>
      <c r="P48" s="65"/>
      <c r="Q48" s="65"/>
      <c r="R48" s="65"/>
      <c r="S48" s="69"/>
      <c r="T48" s="94">
        <v>0</v>
      </c>
      <c r="U48" s="95">
        <v>0</v>
      </c>
      <c r="V48" s="71"/>
      <c r="W48" s="65"/>
      <c r="X48" s="57"/>
      <c r="Y48" s="57"/>
      <c r="Z48" s="57"/>
      <c r="AA48" s="94"/>
      <c r="AB48" s="95"/>
      <c r="AC48" s="108"/>
      <c r="AD48" s="108"/>
      <c r="AE48" s="57"/>
      <c r="AF48" s="57"/>
      <c r="AG48" s="57"/>
      <c r="AH48" s="94">
        <v>0</v>
      </c>
      <c r="AI48" s="95">
        <v>0</v>
      </c>
      <c r="AJ48" s="66"/>
      <c r="AK48" s="66"/>
      <c r="AL48" s="66"/>
      <c r="AM48" s="66"/>
      <c r="AN48" s="66"/>
      <c r="AO48" s="94">
        <v>0</v>
      </c>
      <c r="AP48" s="95">
        <v>0</v>
      </c>
      <c r="AQ48" s="73"/>
      <c r="AR48" s="78"/>
      <c r="AS48" s="75"/>
      <c r="AT48" s="66"/>
      <c r="AU48" s="78"/>
      <c r="AV48" s="94">
        <v>0</v>
      </c>
      <c r="AW48" s="95">
        <v>0</v>
      </c>
      <c r="AX48" s="66"/>
      <c r="AY48" s="66"/>
      <c r="AZ48" s="66"/>
      <c r="BA48" s="78"/>
      <c r="BB48" s="66"/>
      <c r="BC48" s="94">
        <v>0</v>
      </c>
      <c r="BD48" s="95">
        <v>0</v>
      </c>
      <c r="BE48" s="91">
        <v>3</v>
      </c>
      <c r="BF48" s="66"/>
      <c r="BG48" s="66"/>
      <c r="BH48" s="66"/>
      <c r="BI48" s="66"/>
      <c r="BJ48" s="94">
        <v>0</v>
      </c>
      <c r="BK48" s="95">
        <v>0</v>
      </c>
      <c r="BL48" s="66"/>
      <c r="BM48" s="66"/>
      <c r="BN48" s="66"/>
      <c r="BO48" s="66"/>
      <c r="BP48" s="66"/>
      <c r="BQ48" s="94">
        <v>0</v>
      </c>
      <c r="BR48" s="95">
        <v>0</v>
      </c>
      <c r="BS48" s="66"/>
      <c r="BT48" s="66"/>
      <c r="BU48" s="66"/>
      <c r="BV48" s="66"/>
      <c r="BW48" s="66"/>
      <c r="BX48" s="94">
        <v>0</v>
      </c>
      <c r="BY48" s="95">
        <v>0</v>
      </c>
    </row>
    <row r="49" spans="2:77" s="8" customFormat="1" ht="15" customHeight="1">
      <c r="B49" s="55" t="s">
        <v>181</v>
      </c>
      <c r="C49" s="288" t="s">
        <v>182</v>
      </c>
      <c r="D49" s="288"/>
      <c r="E49" s="53"/>
      <c r="F49" s="53"/>
      <c r="G49" s="53"/>
      <c r="H49" s="53"/>
      <c r="I49" s="96"/>
      <c r="J49" s="96"/>
      <c r="K49" s="96"/>
      <c r="L49" s="53"/>
      <c r="O49" s="54"/>
      <c r="P49" s="54"/>
      <c r="Q49" s="54"/>
      <c r="R49" s="54"/>
      <c r="S49" s="54"/>
      <c r="T49" s="94">
        <v>0</v>
      </c>
      <c r="U49" s="95">
        <v>0</v>
      </c>
      <c r="V49" s="162" t="s">
        <v>280</v>
      </c>
      <c r="W49" s="54"/>
      <c r="X49" s="54"/>
      <c r="Y49" s="54"/>
      <c r="Z49" s="54"/>
      <c r="AA49" s="94">
        <v>0</v>
      </c>
      <c r="AB49" s="95">
        <v>0</v>
      </c>
      <c r="AC49" s="54"/>
      <c r="AD49" s="54"/>
      <c r="AE49" s="54"/>
      <c r="AF49" s="54"/>
      <c r="AG49" s="54"/>
      <c r="AH49" s="94">
        <v>0</v>
      </c>
      <c r="AI49" s="95">
        <v>0</v>
      </c>
      <c r="AJ49" s="53"/>
      <c r="AK49" s="53"/>
      <c r="AL49" s="53"/>
      <c r="AM49" s="53"/>
      <c r="AN49" s="53"/>
      <c r="AO49" s="94">
        <v>0</v>
      </c>
      <c r="AP49" s="95">
        <v>0</v>
      </c>
      <c r="AQ49" s="53"/>
      <c r="AR49" s="77"/>
      <c r="AS49" s="53"/>
      <c r="AT49" s="53"/>
      <c r="AU49" s="77"/>
      <c r="AV49" s="94">
        <v>0</v>
      </c>
      <c r="AW49" s="95">
        <v>0</v>
      </c>
      <c r="AX49" s="53"/>
      <c r="AY49" s="53"/>
      <c r="AZ49" s="53"/>
      <c r="BA49" s="77"/>
      <c r="BB49" s="53"/>
      <c r="BC49" s="94">
        <v>0</v>
      </c>
      <c r="BD49" s="95">
        <v>0</v>
      </c>
      <c r="BE49" s="53"/>
      <c r="BF49" s="53"/>
      <c r="BG49" s="53"/>
      <c r="BH49" s="53"/>
      <c r="BI49" s="53"/>
      <c r="BJ49" s="94">
        <v>0</v>
      </c>
      <c r="BK49" s="95">
        <v>0</v>
      </c>
      <c r="BL49" s="53"/>
      <c r="BM49" s="53"/>
      <c r="BN49" s="53"/>
      <c r="BO49" s="53"/>
      <c r="BP49" s="53"/>
      <c r="BQ49" s="94">
        <v>0</v>
      </c>
      <c r="BR49" s="95">
        <v>0</v>
      </c>
      <c r="BS49" s="53"/>
      <c r="BT49" s="53"/>
      <c r="BU49" s="53"/>
      <c r="BV49" s="53"/>
      <c r="BW49" s="53"/>
      <c r="BX49" s="94">
        <v>0</v>
      </c>
      <c r="BY49" s="95">
        <v>0</v>
      </c>
    </row>
    <row r="50" spans="2:77" ht="15" customHeight="1" outlineLevel="1">
      <c r="B50" s="58" t="s">
        <v>183</v>
      </c>
      <c r="C50" s="59" t="s">
        <v>1</v>
      </c>
      <c r="D50" s="217" t="s">
        <v>2</v>
      </c>
      <c r="E50" s="58" t="s">
        <v>233</v>
      </c>
      <c r="F50" s="58">
        <f>SUMIFS('Detalhe Testes'!$F:$F,'Detalhe Testes'!$B:$B,'MacroPlano Equipa'!C50,'Detalhe Testes'!$C:$C,'MacroPlano Equipa'!D50)</f>
        <v>5</v>
      </c>
      <c r="G50" s="82">
        <f t="shared" si="6"/>
        <v>0.625</v>
      </c>
      <c r="H50" s="58" cm="1">
        <f t="array" aca="1" ref="H50" ca="1">SUMPRODUCT((COLUMN(O50:BY50)&gt;=MIN(IF(O50:BY50&lt;&gt;"",COLUMN(O50:BY50))))*($O$16:$BY$16&lt;=TODAY())*(O50:BY50))</f>
        <v>5</v>
      </c>
      <c r="I50" s="82">
        <f t="shared" ref="I50:I61" ca="1" si="9">H50/8</f>
        <v>0.625</v>
      </c>
      <c r="J50" s="98"/>
      <c r="K50" s="98"/>
      <c r="L50" s="84"/>
      <c r="M50" s="8">
        <f t="shared" ref="M50:M61" si="10">SUM(O50:BY50)-F50</f>
        <v>0</v>
      </c>
      <c r="O50" s="65"/>
      <c r="P50" s="65"/>
      <c r="Q50" s="65"/>
      <c r="R50" s="65"/>
      <c r="S50" s="69"/>
      <c r="T50" s="94">
        <v>0</v>
      </c>
      <c r="U50" s="95">
        <v>0</v>
      </c>
      <c r="V50" s="83"/>
      <c r="W50" s="65"/>
      <c r="X50" s="65"/>
      <c r="Y50" s="91">
        <v>1</v>
      </c>
      <c r="Z50" s="91">
        <v>4</v>
      </c>
      <c r="AA50" s="94">
        <v>0</v>
      </c>
      <c r="AB50" s="95">
        <v>0</v>
      </c>
      <c r="AC50" s="65"/>
      <c r="AD50" s="65"/>
      <c r="AE50" s="57"/>
      <c r="AF50" s="108"/>
      <c r="AG50" s="108"/>
      <c r="AH50" s="94">
        <v>0</v>
      </c>
      <c r="AI50" s="95">
        <v>0</v>
      </c>
      <c r="AJ50" s="56"/>
      <c r="AK50" s="56"/>
      <c r="AL50" s="56"/>
      <c r="AM50" s="66"/>
      <c r="AN50" s="66"/>
      <c r="AO50" s="94">
        <v>0</v>
      </c>
      <c r="AP50" s="95">
        <v>0</v>
      </c>
      <c r="AQ50" s="73"/>
      <c r="AR50" s="78"/>
      <c r="AS50" s="75"/>
      <c r="AT50" s="66"/>
      <c r="AU50" s="78"/>
      <c r="AV50" s="94">
        <v>0</v>
      </c>
      <c r="AW50" s="95">
        <v>0</v>
      </c>
      <c r="AX50" s="66"/>
      <c r="AY50" s="66"/>
      <c r="AZ50" s="66"/>
      <c r="BA50" s="78"/>
      <c r="BB50" s="66"/>
      <c r="BC50" s="94">
        <v>0</v>
      </c>
      <c r="BD50" s="95">
        <v>0</v>
      </c>
      <c r="BE50" s="66"/>
      <c r="BF50" s="66"/>
      <c r="BG50" s="66"/>
      <c r="BH50" s="66"/>
      <c r="BI50" s="66"/>
      <c r="BJ50" s="94">
        <v>0</v>
      </c>
      <c r="BK50" s="95">
        <v>0</v>
      </c>
      <c r="BL50" s="66"/>
      <c r="BM50" s="66"/>
      <c r="BN50" s="66"/>
      <c r="BO50" s="66"/>
      <c r="BP50" s="66"/>
      <c r="BQ50" s="94">
        <v>0</v>
      </c>
      <c r="BR50" s="95">
        <v>0</v>
      </c>
      <c r="BS50" s="66"/>
      <c r="BT50" s="66"/>
      <c r="BU50" s="66"/>
      <c r="BV50" s="66"/>
      <c r="BW50" s="66"/>
      <c r="BX50" s="94">
        <v>0</v>
      </c>
      <c r="BY50" s="95">
        <v>0</v>
      </c>
    </row>
    <row r="51" spans="2:77" ht="15" customHeight="1" outlineLevel="1">
      <c r="B51" s="58" t="s">
        <v>184</v>
      </c>
      <c r="C51" s="59" t="s">
        <v>1</v>
      </c>
      <c r="D51" s="217" t="s">
        <v>8</v>
      </c>
      <c r="E51" s="58" t="s">
        <v>233</v>
      </c>
      <c r="F51" s="58">
        <f>SUMIFS('Detalhe Testes'!$F:$F,'Detalhe Testes'!$B:$B,'MacroPlano Equipa'!C51,'Detalhe Testes'!$C:$C,'MacroPlano Equipa'!D51)</f>
        <v>5</v>
      </c>
      <c r="G51" s="82">
        <f t="shared" si="6"/>
        <v>0.625</v>
      </c>
      <c r="H51" s="58" cm="1">
        <f t="array" aca="1" ref="H51" ca="1">SUMPRODUCT((COLUMN(O51:BY51)&gt;=MIN(IF(O51:BY51&lt;&gt;"",COLUMN(O51:BY51))))*($O$16:$BY$16&lt;=TODAY())*(O51:BY51))</f>
        <v>5</v>
      </c>
      <c r="I51" s="82">
        <f t="shared" ca="1" si="9"/>
        <v>0.625</v>
      </c>
      <c r="J51" s="98"/>
      <c r="K51" s="98"/>
      <c r="L51" s="84"/>
      <c r="M51" s="8">
        <f t="shared" si="10"/>
        <v>0</v>
      </c>
      <c r="O51" s="65"/>
      <c r="P51" s="65"/>
      <c r="Q51" s="65"/>
      <c r="R51" s="65"/>
      <c r="S51" s="69"/>
      <c r="T51" s="94">
        <v>0</v>
      </c>
      <c r="U51" s="95">
        <v>0</v>
      </c>
      <c r="V51" s="71"/>
      <c r="W51" s="65"/>
      <c r="X51" s="65"/>
      <c r="Y51" s="65"/>
      <c r="Z51" s="91">
        <v>4</v>
      </c>
      <c r="AA51" s="94">
        <v>0</v>
      </c>
      <c r="AB51" s="95">
        <v>0</v>
      </c>
      <c r="AC51" s="91">
        <v>1</v>
      </c>
      <c r="AD51" s="65"/>
      <c r="AE51" s="57"/>
      <c r="AF51" s="57"/>
      <c r="AG51" s="108"/>
      <c r="AH51" s="94">
        <v>0</v>
      </c>
      <c r="AI51" s="95">
        <v>0</v>
      </c>
      <c r="AJ51" s="56"/>
      <c r="AK51" s="56"/>
      <c r="AL51" s="56"/>
      <c r="AM51" s="66"/>
      <c r="AN51" s="66"/>
      <c r="AO51" s="94">
        <v>0</v>
      </c>
      <c r="AP51" s="95">
        <v>0</v>
      </c>
      <c r="AQ51" s="73"/>
      <c r="AR51" s="78"/>
      <c r="AS51" s="75"/>
      <c r="AT51" s="66"/>
      <c r="AU51" s="78"/>
      <c r="AV51" s="94">
        <v>0</v>
      </c>
      <c r="AW51" s="95">
        <v>0</v>
      </c>
      <c r="AX51" s="66"/>
      <c r="AY51" s="66"/>
      <c r="AZ51" s="66"/>
      <c r="BA51" s="78"/>
      <c r="BB51" s="66"/>
      <c r="BC51" s="94">
        <v>0</v>
      </c>
      <c r="BD51" s="95">
        <v>0</v>
      </c>
      <c r="BE51" s="66"/>
      <c r="BF51" s="66"/>
      <c r="BG51" s="66"/>
      <c r="BH51" s="66"/>
      <c r="BI51" s="66"/>
      <c r="BJ51" s="94">
        <v>0</v>
      </c>
      <c r="BK51" s="95">
        <v>0</v>
      </c>
      <c r="BL51" s="66"/>
      <c r="BM51" s="66"/>
      <c r="BN51" s="66"/>
      <c r="BO51" s="66"/>
      <c r="BP51" s="66"/>
      <c r="BQ51" s="94">
        <v>0</v>
      </c>
      <c r="BR51" s="95">
        <v>0</v>
      </c>
      <c r="BS51" s="66"/>
      <c r="BT51" s="66"/>
      <c r="BU51" s="66"/>
      <c r="BV51" s="66"/>
      <c r="BW51" s="66"/>
      <c r="BX51" s="94">
        <v>0</v>
      </c>
      <c r="BY51" s="95">
        <v>0</v>
      </c>
    </row>
    <row r="52" spans="2:77" ht="15" customHeight="1" outlineLevel="1">
      <c r="B52" s="58" t="s">
        <v>186</v>
      </c>
      <c r="C52" s="59" t="s">
        <v>1</v>
      </c>
      <c r="D52" s="217" t="s">
        <v>9</v>
      </c>
      <c r="E52" s="58" t="s">
        <v>233</v>
      </c>
      <c r="F52" s="58">
        <f>SUMIFS('Detalhe Testes'!$F:$F,'Detalhe Testes'!$B:$B,'MacroPlano Equipa'!C52,'Detalhe Testes'!$C:$C,'MacroPlano Equipa'!D52)</f>
        <v>1</v>
      </c>
      <c r="G52" s="82">
        <f t="shared" si="6"/>
        <v>0.125</v>
      </c>
      <c r="H52" s="58" cm="1">
        <f t="array" aca="1" ref="H52" ca="1">SUMPRODUCT((COLUMN(O52:BY52)&gt;=MIN(IF(O52:BY52&lt;&gt;"",COLUMN(O52:BY52))))*($O$16:$BY$16&lt;=TODAY())*(O52:BY52))</f>
        <v>1</v>
      </c>
      <c r="I52" s="82">
        <f t="shared" ca="1" si="9"/>
        <v>0.125</v>
      </c>
      <c r="J52" s="98"/>
      <c r="K52" s="98"/>
      <c r="L52" s="84"/>
      <c r="M52" s="8">
        <f t="shared" si="10"/>
        <v>0</v>
      </c>
      <c r="O52" s="65"/>
      <c r="P52" s="65"/>
      <c r="Q52" s="65"/>
      <c r="R52" s="65"/>
      <c r="S52" s="69"/>
      <c r="T52" s="94">
        <v>0</v>
      </c>
      <c r="U52" s="95">
        <v>0</v>
      </c>
      <c r="V52" s="71"/>
      <c r="W52" s="65"/>
      <c r="X52" s="65"/>
      <c r="Y52" s="65"/>
      <c r="Z52" s="65"/>
      <c r="AA52" s="94">
        <v>0</v>
      </c>
      <c r="AB52" s="95">
        <v>0</v>
      </c>
      <c r="AC52" s="91">
        <v>1</v>
      </c>
      <c r="AD52" s="65"/>
      <c r="AE52" s="57"/>
      <c r="AF52" s="57"/>
      <c r="AG52" s="108"/>
      <c r="AH52" s="94">
        <v>0</v>
      </c>
      <c r="AI52" s="95">
        <v>0</v>
      </c>
      <c r="AJ52" s="56"/>
      <c r="AK52" s="56"/>
      <c r="AL52" s="56"/>
      <c r="AM52" s="66"/>
      <c r="AN52" s="66"/>
      <c r="AO52" s="94">
        <v>0</v>
      </c>
      <c r="AP52" s="95">
        <v>0</v>
      </c>
      <c r="AQ52" s="73"/>
      <c r="AR52" s="78"/>
      <c r="AS52" s="75"/>
      <c r="AT52" s="66"/>
      <c r="AU52" s="78"/>
      <c r="AV52" s="94">
        <v>0</v>
      </c>
      <c r="AW52" s="95">
        <v>0</v>
      </c>
      <c r="AX52" s="66"/>
      <c r="AY52" s="66"/>
      <c r="AZ52" s="66"/>
      <c r="BA52" s="78"/>
      <c r="BB52" s="66"/>
      <c r="BC52" s="94">
        <v>0</v>
      </c>
      <c r="BD52" s="95">
        <v>0</v>
      </c>
      <c r="BE52" s="66"/>
      <c r="BF52" s="66"/>
      <c r="BG52" s="66"/>
      <c r="BH52" s="66"/>
      <c r="BI52" s="66"/>
      <c r="BJ52" s="94">
        <v>0</v>
      </c>
      <c r="BK52" s="95">
        <v>0</v>
      </c>
      <c r="BL52" s="66"/>
      <c r="BM52" s="66"/>
      <c r="BN52" s="66"/>
      <c r="BO52" s="66"/>
      <c r="BP52" s="66"/>
      <c r="BQ52" s="94">
        <v>0</v>
      </c>
      <c r="BR52" s="95">
        <v>0</v>
      </c>
      <c r="BS52" s="66"/>
      <c r="BT52" s="66"/>
      <c r="BU52" s="66"/>
      <c r="BV52" s="66"/>
      <c r="BW52" s="66"/>
      <c r="BX52" s="94">
        <v>0</v>
      </c>
      <c r="BY52" s="95">
        <v>0</v>
      </c>
    </row>
    <row r="53" spans="2:77" ht="15" customHeight="1" outlineLevel="1">
      <c r="B53" s="58" t="s">
        <v>185</v>
      </c>
      <c r="C53" s="59" t="s">
        <v>1</v>
      </c>
      <c r="D53" s="164" t="s">
        <v>11</v>
      </c>
      <c r="E53" s="58" t="s">
        <v>233</v>
      </c>
      <c r="F53" s="58">
        <f>SUMIFS('Detalhe Testes'!$F:$F,'Detalhe Testes'!$B:$B,'MacroPlano Equipa'!C53,'Detalhe Testes'!$C:$C,'MacroPlano Equipa'!D53)</f>
        <v>5</v>
      </c>
      <c r="G53" s="82">
        <f t="shared" si="6"/>
        <v>0.625</v>
      </c>
      <c r="H53" s="58" cm="1">
        <f t="array" aca="1" ref="H53" ca="1">SUMPRODUCT((COLUMN(O53:BY53)&gt;=MIN(IF(O53:BY53&lt;&gt;"",COLUMN(O53:BY53))))*($O$16:$BY$16&lt;=TODAY())*(O53:BY53))</f>
        <v>5</v>
      </c>
      <c r="I53" s="82">
        <f t="shared" ca="1" si="9"/>
        <v>0.625</v>
      </c>
      <c r="J53" s="98"/>
      <c r="K53" s="98"/>
      <c r="L53" s="84"/>
      <c r="M53" s="8">
        <f t="shared" si="10"/>
        <v>0</v>
      </c>
      <c r="O53" s="65"/>
      <c r="P53" s="65"/>
      <c r="Q53" s="65"/>
      <c r="R53" s="65"/>
      <c r="S53" s="69"/>
      <c r="T53" s="94">
        <v>0</v>
      </c>
      <c r="U53" s="95">
        <v>0</v>
      </c>
      <c r="V53" s="71"/>
      <c r="W53" s="65"/>
      <c r="X53" s="65"/>
      <c r="Y53" s="65"/>
      <c r="Z53" s="65"/>
      <c r="AA53" s="94">
        <v>0</v>
      </c>
      <c r="AB53" s="95">
        <v>0</v>
      </c>
      <c r="AC53" s="91">
        <v>5</v>
      </c>
      <c r="AD53" s="65"/>
      <c r="AE53" s="57"/>
      <c r="AF53" s="108"/>
      <c r="AG53" s="108"/>
      <c r="AH53" s="94">
        <v>0</v>
      </c>
      <c r="AI53" s="95">
        <v>0</v>
      </c>
      <c r="AJ53" s="56"/>
      <c r="AK53" s="56"/>
      <c r="AL53" s="56"/>
      <c r="AM53" s="66"/>
      <c r="AN53" s="66"/>
      <c r="AO53" s="94">
        <v>0</v>
      </c>
      <c r="AP53" s="95">
        <v>0</v>
      </c>
      <c r="AQ53" s="73"/>
      <c r="AR53" s="78"/>
      <c r="AS53" s="75"/>
      <c r="AT53" s="66"/>
      <c r="AU53" s="78"/>
      <c r="AV53" s="94">
        <v>0</v>
      </c>
      <c r="AW53" s="95">
        <v>0</v>
      </c>
      <c r="AX53" s="66"/>
      <c r="AY53" s="66"/>
      <c r="AZ53" s="66"/>
      <c r="BA53" s="78"/>
      <c r="BB53" s="66"/>
      <c r="BC53" s="94">
        <v>0</v>
      </c>
      <c r="BD53" s="95">
        <v>0</v>
      </c>
      <c r="BE53" s="66"/>
      <c r="BF53" s="66"/>
      <c r="BG53" s="66"/>
      <c r="BH53" s="66"/>
      <c r="BI53" s="66"/>
      <c r="BJ53" s="94">
        <v>0</v>
      </c>
      <c r="BK53" s="95">
        <v>0</v>
      </c>
      <c r="BL53" s="66"/>
      <c r="BM53" s="66"/>
      <c r="BN53" s="66"/>
      <c r="BO53" s="66"/>
      <c r="BP53" s="66"/>
      <c r="BQ53" s="94">
        <v>0</v>
      </c>
      <c r="BR53" s="95">
        <v>0</v>
      </c>
      <c r="BS53" s="66"/>
      <c r="BT53" s="66"/>
      <c r="BU53" s="66"/>
      <c r="BV53" s="66"/>
      <c r="BW53" s="66"/>
      <c r="BX53" s="94">
        <v>0</v>
      </c>
      <c r="BY53" s="95">
        <v>0</v>
      </c>
    </row>
    <row r="54" spans="2:77" ht="15" customHeight="1" outlineLevel="1">
      <c r="B54" s="58" t="s">
        <v>187</v>
      </c>
      <c r="C54" s="59" t="s">
        <v>1</v>
      </c>
      <c r="D54" s="217" t="s">
        <v>13</v>
      </c>
      <c r="E54" s="58" t="s">
        <v>233</v>
      </c>
      <c r="F54" s="58">
        <f>SUMIFS('Detalhe Testes'!$F:$F,'Detalhe Testes'!$B:$B,'MacroPlano Equipa'!C54,'Detalhe Testes'!$C:$C,'MacroPlano Equipa'!D54)</f>
        <v>3</v>
      </c>
      <c r="G54" s="82">
        <f t="shared" si="6"/>
        <v>0.375</v>
      </c>
      <c r="H54" s="58" cm="1">
        <f t="array" aca="1" ref="H54" ca="1">SUMPRODUCT((COLUMN(O54:BY54)&gt;=MIN(IF(O54:BY54&lt;&gt;"",COLUMN(O54:BY54))))*($O$16:$BY$16&lt;=TODAY())*(O54:BY54))</f>
        <v>3</v>
      </c>
      <c r="I54" s="82">
        <f t="shared" ca="1" si="9"/>
        <v>0.375</v>
      </c>
      <c r="J54" s="98"/>
      <c r="K54" s="98"/>
      <c r="L54" s="84"/>
      <c r="M54" s="8">
        <f t="shared" si="10"/>
        <v>0</v>
      </c>
      <c r="O54" s="65"/>
      <c r="P54" s="65"/>
      <c r="Q54" s="65"/>
      <c r="R54" s="65"/>
      <c r="S54" s="69"/>
      <c r="T54" s="94">
        <v>0</v>
      </c>
      <c r="U54" s="95">
        <v>0</v>
      </c>
      <c r="V54" s="71"/>
      <c r="W54" s="65"/>
      <c r="X54" s="65"/>
      <c r="Y54" s="65"/>
      <c r="Z54" s="65"/>
      <c r="AA54" s="94">
        <v>0</v>
      </c>
      <c r="AB54" s="95">
        <v>0</v>
      </c>
      <c r="AC54" s="91">
        <v>1</v>
      </c>
      <c r="AD54" s="91">
        <v>2</v>
      </c>
      <c r="AE54" s="57"/>
      <c r="AF54" s="57"/>
      <c r="AG54" s="108"/>
      <c r="AH54" s="94">
        <v>0</v>
      </c>
      <c r="AI54" s="95">
        <v>0</v>
      </c>
      <c r="AJ54" s="56"/>
      <c r="AK54" s="56"/>
      <c r="AL54" s="56"/>
      <c r="AM54" s="66"/>
      <c r="AN54" s="66"/>
      <c r="AO54" s="94">
        <v>0</v>
      </c>
      <c r="AP54" s="95">
        <v>0</v>
      </c>
      <c r="AQ54" s="73"/>
      <c r="AR54" s="78"/>
      <c r="AS54" s="75"/>
      <c r="AT54" s="66"/>
      <c r="AU54" s="78"/>
      <c r="AV54" s="94">
        <v>0</v>
      </c>
      <c r="AW54" s="95">
        <v>0</v>
      </c>
      <c r="AX54" s="66"/>
      <c r="AY54" s="66"/>
      <c r="AZ54" s="66"/>
      <c r="BA54" s="78"/>
      <c r="BB54" s="66"/>
      <c r="BC54" s="94">
        <v>0</v>
      </c>
      <c r="BD54" s="95">
        <v>0</v>
      </c>
      <c r="BE54" s="66"/>
      <c r="BF54" s="66"/>
      <c r="BG54" s="66"/>
      <c r="BH54" s="66"/>
      <c r="BI54" s="66"/>
      <c r="BJ54" s="94">
        <v>0</v>
      </c>
      <c r="BK54" s="95">
        <v>0</v>
      </c>
      <c r="BL54" s="66"/>
      <c r="BM54" s="66"/>
      <c r="BN54" s="66"/>
      <c r="BO54" s="66"/>
      <c r="BP54" s="66"/>
      <c r="BQ54" s="94">
        <v>0</v>
      </c>
      <c r="BR54" s="95">
        <v>0</v>
      </c>
      <c r="BS54" s="66"/>
      <c r="BT54" s="66"/>
      <c r="BU54" s="66"/>
      <c r="BV54" s="66"/>
      <c r="BW54" s="66"/>
      <c r="BX54" s="94">
        <v>0</v>
      </c>
      <c r="BY54" s="95">
        <v>0</v>
      </c>
    </row>
    <row r="55" spans="2:77" ht="15" customHeight="1" outlineLevel="1">
      <c r="B55" s="58" t="s">
        <v>189</v>
      </c>
      <c r="C55" s="59" t="s">
        <v>1</v>
      </c>
      <c r="D55" s="217" t="s">
        <v>14</v>
      </c>
      <c r="E55" s="58" t="s">
        <v>233</v>
      </c>
      <c r="F55" s="58">
        <f>SUMIFS('Detalhe Testes'!$F:$F,'Detalhe Testes'!$B:$B,'MacroPlano Equipa'!C55,'Detalhe Testes'!$C:$C,'MacroPlano Equipa'!D55)</f>
        <v>3</v>
      </c>
      <c r="G55" s="82">
        <f t="shared" si="6"/>
        <v>0.375</v>
      </c>
      <c r="H55" s="58" cm="1">
        <f t="array" aca="1" ref="H55" ca="1">SUMPRODUCT((COLUMN(O55:BY55)&gt;=MIN(IF(O55:BY55&lt;&gt;"",COLUMN(O55:BY55))))*($O$16:$BY$16&lt;=TODAY())*(O55:BY55))</f>
        <v>3</v>
      </c>
      <c r="I55" s="82">
        <f t="shared" ca="1" si="9"/>
        <v>0.375</v>
      </c>
      <c r="J55" s="98"/>
      <c r="K55" s="98"/>
      <c r="L55" s="84"/>
      <c r="M55" s="8">
        <f t="shared" si="10"/>
        <v>0</v>
      </c>
      <c r="O55" s="65"/>
      <c r="P55" s="65"/>
      <c r="Q55" s="65"/>
      <c r="R55" s="65"/>
      <c r="S55" s="69"/>
      <c r="T55" s="94">
        <v>0</v>
      </c>
      <c r="U55" s="95">
        <v>0</v>
      </c>
      <c r="V55" s="71"/>
      <c r="W55" s="65"/>
      <c r="X55" s="65"/>
      <c r="Y55" s="65"/>
      <c r="Z55" s="65"/>
      <c r="AA55" s="94">
        <v>0</v>
      </c>
      <c r="AB55" s="95">
        <v>0</v>
      </c>
      <c r="AC55" s="65"/>
      <c r="AD55" s="91">
        <v>3</v>
      </c>
      <c r="AE55" s="108"/>
      <c r="AF55" s="57"/>
      <c r="AG55" s="57"/>
      <c r="AH55" s="94">
        <v>0</v>
      </c>
      <c r="AI55" s="95">
        <v>0</v>
      </c>
      <c r="AJ55" s="56"/>
      <c r="AK55" s="56"/>
      <c r="AL55" s="56"/>
      <c r="AM55" s="66"/>
      <c r="AN55" s="66"/>
      <c r="AO55" s="94">
        <v>0</v>
      </c>
      <c r="AP55" s="95">
        <v>0</v>
      </c>
      <c r="AQ55" s="73"/>
      <c r="AR55" s="78"/>
      <c r="AS55" s="75"/>
      <c r="AT55" s="66"/>
      <c r="AU55" s="78"/>
      <c r="AV55" s="94">
        <v>0</v>
      </c>
      <c r="AW55" s="95">
        <v>0</v>
      </c>
      <c r="AX55" s="66"/>
      <c r="AY55" s="66"/>
      <c r="AZ55" s="66"/>
      <c r="BA55" s="78"/>
      <c r="BB55" s="66"/>
      <c r="BC55" s="94">
        <v>0</v>
      </c>
      <c r="BD55" s="95">
        <v>0</v>
      </c>
      <c r="BE55" s="66"/>
      <c r="BF55" s="66"/>
      <c r="BG55" s="66"/>
      <c r="BH55" s="66"/>
      <c r="BI55" s="66"/>
      <c r="BJ55" s="94">
        <v>0</v>
      </c>
      <c r="BK55" s="95">
        <v>0</v>
      </c>
      <c r="BL55" s="66"/>
      <c r="BM55" s="66"/>
      <c r="BN55" s="66"/>
      <c r="BO55" s="66"/>
      <c r="BP55" s="66"/>
      <c r="BQ55" s="94">
        <v>0</v>
      </c>
      <c r="BR55" s="95">
        <v>0</v>
      </c>
      <c r="BS55" s="66"/>
      <c r="BT55" s="66"/>
      <c r="BU55" s="66"/>
      <c r="BV55" s="66"/>
      <c r="BW55" s="66"/>
      <c r="BX55" s="94">
        <v>0</v>
      </c>
      <c r="BY55" s="95">
        <v>0</v>
      </c>
    </row>
    <row r="56" spans="2:77" ht="15" customHeight="1" outlineLevel="1">
      <c r="B56" s="58" t="s">
        <v>191</v>
      </c>
      <c r="C56" s="59" t="s">
        <v>1</v>
      </c>
      <c r="D56" s="134" t="s">
        <v>15</v>
      </c>
      <c r="E56" s="58" t="s">
        <v>233</v>
      </c>
      <c r="F56" s="58">
        <f>SUMIFS('Detalhe Testes'!$F:$F,'Detalhe Testes'!$B:$B,'MacroPlano Equipa'!C56,'Detalhe Testes'!$C:$C,'MacroPlano Equipa'!D56)</f>
        <v>3</v>
      </c>
      <c r="G56" s="82">
        <f t="shared" si="6"/>
        <v>0.375</v>
      </c>
      <c r="H56" s="58" cm="1">
        <f t="array" aca="1" ref="H56" ca="1">SUMPRODUCT((COLUMN(O56:BY56)&gt;=MIN(IF(O56:BY56&lt;&gt;"",COLUMN(O56:BY56))))*($O$16:$BY$16&lt;=TODAY())*(O56:BY56))</f>
        <v>3</v>
      </c>
      <c r="I56" s="82">
        <f t="shared" ca="1" si="9"/>
        <v>0.375</v>
      </c>
      <c r="J56" s="98"/>
      <c r="K56" s="98"/>
      <c r="L56" s="84"/>
      <c r="M56" s="8">
        <f t="shared" si="10"/>
        <v>0</v>
      </c>
      <c r="O56" s="65"/>
      <c r="P56" s="65"/>
      <c r="Q56" s="65"/>
      <c r="R56" s="65"/>
      <c r="S56" s="69"/>
      <c r="T56" s="94">
        <v>0</v>
      </c>
      <c r="U56" s="95">
        <v>0</v>
      </c>
      <c r="V56" s="71"/>
      <c r="W56" s="65"/>
      <c r="X56" s="65"/>
      <c r="Y56" s="65"/>
      <c r="Z56" s="65"/>
      <c r="AA56" s="94">
        <v>0</v>
      </c>
      <c r="AB56" s="95">
        <v>0</v>
      </c>
      <c r="AC56" s="65"/>
      <c r="AD56" s="91">
        <v>3</v>
      </c>
      <c r="AE56" s="108"/>
      <c r="AF56" s="57"/>
      <c r="AG56" s="57"/>
      <c r="AH56" s="94">
        <v>0</v>
      </c>
      <c r="AI56" s="95">
        <v>0</v>
      </c>
      <c r="AJ56" s="56"/>
      <c r="AK56" s="56"/>
      <c r="AL56" s="56"/>
      <c r="AM56" s="66"/>
      <c r="AN56" s="66"/>
      <c r="AO56" s="94">
        <v>0</v>
      </c>
      <c r="AP56" s="95">
        <v>0</v>
      </c>
      <c r="AQ56" s="73"/>
      <c r="AR56" s="78"/>
      <c r="AS56" s="75"/>
      <c r="AT56" s="66"/>
      <c r="AU56" s="78"/>
      <c r="AV56" s="94">
        <v>0</v>
      </c>
      <c r="AW56" s="95">
        <v>0</v>
      </c>
      <c r="AX56" s="66"/>
      <c r="AY56" s="66"/>
      <c r="AZ56" s="66"/>
      <c r="BA56" s="78"/>
      <c r="BB56" s="66"/>
      <c r="BC56" s="94">
        <v>0</v>
      </c>
      <c r="BD56" s="95">
        <v>0</v>
      </c>
      <c r="BE56" s="66"/>
      <c r="BF56" s="66"/>
      <c r="BG56" s="66"/>
      <c r="BH56" s="66"/>
      <c r="BI56" s="66"/>
      <c r="BJ56" s="94">
        <v>0</v>
      </c>
      <c r="BK56" s="95">
        <v>0</v>
      </c>
      <c r="BL56" s="66"/>
      <c r="BM56" s="66"/>
      <c r="BN56" s="66"/>
      <c r="BO56" s="66"/>
      <c r="BP56" s="66"/>
      <c r="BQ56" s="94">
        <v>0</v>
      </c>
      <c r="BR56" s="95">
        <v>0</v>
      </c>
      <c r="BS56" s="66"/>
      <c r="BT56" s="66"/>
      <c r="BU56" s="66"/>
      <c r="BV56" s="66"/>
      <c r="BW56" s="66"/>
      <c r="BX56" s="94">
        <v>0</v>
      </c>
      <c r="BY56" s="95">
        <v>0</v>
      </c>
    </row>
    <row r="57" spans="2:77" ht="15" customHeight="1" outlineLevel="1">
      <c r="B57" s="58" t="s">
        <v>193</v>
      </c>
      <c r="C57" s="59" t="s">
        <v>1</v>
      </c>
      <c r="D57" s="134" t="s">
        <v>16</v>
      </c>
      <c r="E57" s="58" t="s">
        <v>233</v>
      </c>
      <c r="F57" s="58">
        <f>SUMIFS('Detalhe Testes'!$F:$F,'Detalhe Testes'!$B:$B,'MacroPlano Equipa'!C57,'Detalhe Testes'!$C:$C,'MacroPlano Equipa'!D57)</f>
        <v>3</v>
      </c>
      <c r="G57" s="82">
        <f t="shared" si="6"/>
        <v>0.375</v>
      </c>
      <c r="H57" s="58" cm="1">
        <f t="array" aca="1" ref="H57" ca="1">SUMPRODUCT((COLUMN(O57:BY57)&gt;=MIN(IF(O57:BY57&lt;&gt;"",COLUMN(O57:BY57))))*($O$16:$BY$16&lt;=TODAY())*(O57:BY57))</f>
        <v>3</v>
      </c>
      <c r="I57" s="82">
        <f t="shared" ca="1" si="9"/>
        <v>0.375</v>
      </c>
      <c r="J57" s="98"/>
      <c r="K57" s="98"/>
      <c r="L57" s="84"/>
      <c r="M57" s="8">
        <f t="shared" si="10"/>
        <v>0</v>
      </c>
      <c r="O57" s="65"/>
      <c r="P57" s="65"/>
      <c r="Q57" s="65"/>
      <c r="R57" s="65"/>
      <c r="S57" s="69"/>
      <c r="T57" s="94">
        <v>0</v>
      </c>
      <c r="U57" s="95">
        <v>0</v>
      </c>
      <c r="V57" s="71"/>
      <c r="W57" s="65"/>
      <c r="X57" s="65"/>
      <c r="Y57" s="65"/>
      <c r="Z57" s="65"/>
      <c r="AA57" s="94">
        <v>0</v>
      </c>
      <c r="AB57" s="95">
        <v>0</v>
      </c>
      <c r="AC57" s="65"/>
      <c r="AD57" s="91">
        <v>3</v>
      </c>
      <c r="AE57" s="108"/>
      <c r="AF57" s="108"/>
      <c r="AG57" s="57"/>
      <c r="AH57" s="94">
        <v>0</v>
      </c>
      <c r="AI57" s="95">
        <v>0</v>
      </c>
      <c r="AJ57" s="56"/>
      <c r="AK57" s="56"/>
      <c r="AL57" s="56"/>
      <c r="AM57" s="66"/>
      <c r="AN57" s="66"/>
      <c r="AO57" s="94">
        <v>0</v>
      </c>
      <c r="AP57" s="95">
        <v>0</v>
      </c>
      <c r="AQ57" s="73"/>
      <c r="AR57" s="78"/>
      <c r="AS57" s="75"/>
      <c r="AT57" s="66"/>
      <c r="AU57" s="78"/>
      <c r="AV57" s="94">
        <v>0</v>
      </c>
      <c r="AW57" s="95">
        <v>0</v>
      </c>
      <c r="AX57" s="66"/>
      <c r="AY57" s="66"/>
      <c r="AZ57" s="66"/>
      <c r="BA57" s="78"/>
      <c r="BB57" s="66"/>
      <c r="BC57" s="94">
        <v>0</v>
      </c>
      <c r="BD57" s="95">
        <v>0</v>
      </c>
      <c r="BE57" s="66"/>
      <c r="BF57" s="66"/>
      <c r="BG57" s="66"/>
      <c r="BH57" s="66"/>
      <c r="BI57" s="66"/>
      <c r="BJ57" s="94">
        <v>0</v>
      </c>
      <c r="BK57" s="95">
        <v>0</v>
      </c>
      <c r="BL57" s="66"/>
      <c r="BM57" s="66"/>
      <c r="BN57" s="66"/>
      <c r="BO57" s="66"/>
      <c r="BP57" s="66"/>
      <c r="BQ57" s="94">
        <v>0</v>
      </c>
      <c r="BR57" s="95">
        <v>0</v>
      </c>
      <c r="BS57" s="66"/>
      <c r="BT57" s="66"/>
      <c r="BU57" s="66"/>
      <c r="BV57" s="66"/>
      <c r="BW57" s="66"/>
      <c r="BX57" s="94">
        <v>0</v>
      </c>
      <c r="BY57" s="95">
        <v>0</v>
      </c>
    </row>
    <row r="58" spans="2:77" ht="15" customHeight="1" outlineLevel="1">
      <c r="B58" s="58" t="s">
        <v>194</v>
      </c>
      <c r="C58" s="59" t="s">
        <v>1</v>
      </c>
      <c r="D58" s="134" t="s">
        <v>17</v>
      </c>
      <c r="E58" s="58" t="s">
        <v>233</v>
      </c>
      <c r="F58" s="58">
        <f>SUMIFS('Detalhe Testes'!$F:$F,'Detalhe Testes'!$B:$B,'MacroPlano Equipa'!C58,'Detalhe Testes'!$C:$C,'MacroPlano Equipa'!D58)</f>
        <v>3</v>
      </c>
      <c r="G58" s="82">
        <f t="shared" si="6"/>
        <v>0.375</v>
      </c>
      <c r="H58" s="58" cm="1">
        <f t="array" aca="1" ref="H58" ca="1">SUMPRODUCT((COLUMN(O58:BY58)&gt;=MIN(IF(O58:BY58&lt;&gt;"",COLUMN(O58:BY58))))*($O$16:$BY$16&lt;=TODAY())*(O58:BY58))</f>
        <v>3</v>
      </c>
      <c r="I58" s="82">
        <f t="shared" ca="1" si="9"/>
        <v>0.375</v>
      </c>
      <c r="J58" s="98"/>
      <c r="K58" s="98"/>
      <c r="L58" s="84"/>
      <c r="M58" s="8">
        <f t="shared" si="10"/>
        <v>0</v>
      </c>
      <c r="O58" s="65"/>
      <c r="P58" s="65"/>
      <c r="Q58" s="65"/>
      <c r="R58" s="65"/>
      <c r="S58" s="69"/>
      <c r="T58" s="94">
        <v>0</v>
      </c>
      <c r="U58" s="95">
        <v>0</v>
      </c>
      <c r="V58" s="71"/>
      <c r="W58" s="65"/>
      <c r="X58" s="65"/>
      <c r="Y58" s="65"/>
      <c r="Z58" s="65"/>
      <c r="AA58" s="94">
        <v>0</v>
      </c>
      <c r="AB58" s="95">
        <v>0</v>
      </c>
      <c r="AC58" s="65"/>
      <c r="AD58" s="91">
        <v>3</v>
      </c>
      <c r="AE58" s="57"/>
      <c r="AF58" s="108"/>
      <c r="AG58" s="57"/>
      <c r="AH58" s="94">
        <v>0</v>
      </c>
      <c r="AI58" s="95">
        <v>0</v>
      </c>
      <c r="AJ58" s="56"/>
      <c r="AK58" s="56"/>
      <c r="AL58" s="56"/>
      <c r="AM58" s="66"/>
      <c r="AN58" s="66"/>
      <c r="AO58" s="94">
        <v>0</v>
      </c>
      <c r="AP58" s="95">
        <v>0</v>
      </c>
      <c r="AQ58" s="73"/>
      <c r="AR58" s="78"/>
      <c r="AS58" s="75"/>
      <c r="AT58" s="66"/>
      <c r="AU58" s="78"/>
      <c r="AV58" s="94">
        <v>0</v>
      </c>
      <c r="AW58" s="95">
        <v>0</v>
      </c>
      <c r="AX58" s="66"/>
      <c r="AY58" s="66"/>
      <c r="AZ58" s="66"/>
      <c r="BA58" s="78"/>
      <c r="BB58" s="66"/>
      <c r="BC58" s="94">
        <v>0</v>
      </c>
      <c r="BD58" s="95">
        <v>0</v>
      </c>
      <c r="BE58" s="66"/>
      <c r="BF58" s="66"/>
      <c r="BG58" s="66"/>
      <c r="BH58" s="66"/>
      <c r="BI58" s="66"/>
      <c r="BJ58" s="94">
        <v>0</v>
      </c>
      <c r="BK58" s="95">
        <v>0</v>
      </c>
      <c r="BL58" s="66"/>
      <c r="BM58" s="66"/>
      <c r="BN58" s="66"/>
      <c r="BO58" s="66"/>
      <c r="BP58" s="66"/>
      <c r="BQ58" s="94">
        <v>0</v>
      </c>
      <c r="BR58" s="95">
        <v>0</v>
      </c>
      <c r="BS58" s="66"/>
      <c r="BT58" s="66"/>
      <c r="BU58" s="66"/>
      <c r="BV58" s="66"/>
      <c r="BW58" s="66"/>
      <c r="BX58" s="94">
        <v>0</v>
      </c>
      <c r="BY58" s="95">
        <v>0</v>
      </c>
    </row>
    <row r="59" spans="2:77" ht="15" customHeight="1" outlineLevel="1">
      <c r="B59" s="58" t="s">
        <v>195</v>
      </c>
      <c r="C59" s="59" t="s">
        <v>1</v>
      </c>
      <c r="D59" s="134" t="s">
        <v>19</v>
      </c>
      <c r="E59" s="58" t="s">
        <v>233</v>
      </c>
      <c r="F59" s="58">
        <f>SUMIFS('Detalhe Testes'!$F:$F,'Detalhe Testes'!$B:$B,'MacroPlano Equipa'!C59,'Detalhe Testes'!$C:$C,'MacroPlano Equipa'!D59)</f>
        <v>3</v>
      </c>
      <c r="G59" s="82">
        <f t="shared" si="6"/>
        <v>0.375</v>
      </c>
      <c r="H59" s="58" cm="1">
        <f t="array" aca="1" ref="H59" ca="1">SUMPRODUCT((COLUMN(O59:BY59)&gt;=MIN(IF(O59:BY59&lt;&gt;"",COLUMN(O59:BY59))))*($O$16:$BY$16&lt;=TODAY())*(O59:BY59))</f>
        <v>3</v>
      </c>
      <c r="I59" s="82">
        <f t="shared" ca="1" si="9"/>
        <v>0.375</v>
      </c>
      <c r="J59" s="98"/>
      <c r="K59" s="98"/>
      <c r="L59" s="84"/>
      <c r="M59" s="8">
        <f t="shared" si="10"/>
        <v>0</v>
      </c>
      <c r="O59" s="65"/>
      <c r="P59" s="65"/>
      <c r="Q59" s="65"/>
      <c r="R59" s="65"/>
      <c r="S59" s="69"/>
      <c r="T59" s="94">
        <v>0</v>
      </c>
      <c r="U59" s="95">
        <v>0</v>
      </c>
      <c r="V59" s="71"/>
      <c r="W59" s="65"/>
      <c r="X59" s="65"/>
      <c r="Y59" s="65"/>
      <c r="Z59" s="65"/>
      <c r="AA59" s="94">
        <v>0</v>
      </c>
      <c r="AB59" s="95">
        <v>0</v>
      </c>
      <c r="AC59" s="65"/>
      <c r="AD59" s="91">
        <v>2</v>
      </c>
      <c r="AE59" s="91">
        <v>1</v>
      </c>
      <c r="AF59" s="57"/>
      <c r="AG59" s="108"/>
      <c r="AH59" s="94">
        <v>0</v>
      </c>
      <c r="AI59" s="95">
        <v>0</v>
      </c>
      <c r="AJ59" s="56"/>
      <c r="AK59" s="56"/>
      <c r="AL59" s="56"/>
      <c r="AM59" s="66"/>
      <c r="AN59" s="66"/>
      <c r="AO59" s="94">
        <v>0</v>
      </c>
      <c r="AP59" s="95">
        <v>0</v>
      </c>
      <c r="AQ59" s="73"/>
      <c r="AR59" s="78"/>
      <c r="AS59" s="75"/>
      <c r="AT59" s="66"/>
      <c r="AU59" s="78"/>
      <c r="AV59" s="94">
        <v>0</v>
      </c>
      <c r="AW59" s="95">
        <v>0</v>
      </c>
      <c r="AX59" s="66"/>
      <c r="AY59" s="66"/>
      <c r="AZ59" s="66"/>
      <c r="BA59" s="78"/>
      <c r="BB59" s="66"/>
      <c r="BC59" s="94">
        <v>0</v>
      </c>
      <c r="BD59" s="95">
        <v>0</v>
      </c>
      <c r="BE59" s="66"/>
      <c r="BF59" s="66"/>
      <c r="BG59" s="66"/>
      <c r="BH59" s="66"/>
      <c r="BI59" s="66"/>
      <c r="BJ59" s="94">
        <v>0</v>
      </c>
      <c r="BK59" s="95">
        <v>0</v>
      </c>
      <c r="BL59" s="66"/>
      <c r="BM59" s="66"/>
      <c r="BN59" s="66"/>
      <c r="BO59" s="66"/>
      <c r="BP59" s="66"/>
      <c r="BQ59" s="94">
        <v>0</v>
      </c>
      <c r="BR59" s="95">
        <v>0</v>
      </c>
      <c r="BS59" s="66"/>
      <c r="BT59" s="66"/>
      <c r="BU59" s="66"/>
      <c r="BV59" s="66"/>
      <c r="BW59" s="66"/>
      <c r="BX59" s="94">
        <v>0</v>
      </c>
      <c r="BY59" s="95">
        <v>0</v>
      </c>
    </row>
    <row r="60" spans="2:77" ht="15" customHeight="1" outlineLevel="1">
      <c r="B60" s="58" t="s">
        <v>196</v>
      </c>
      <c r="C60" s="59" t="s">
        <v>1</v>
      </c>
      <c r="D60" s="217" t="s">
        <v>23</v>
      </c>
      <c r="E60" s="58" t="s">
        <v>233</v>
      </c>
      <c r="F60" s="58">
        <f>SUMIFS('Detalhe Testes'!$F:$F,'Detalhe Testes'!$B:$B,'MacroPlano Equipa'!C60,'Detalhe Testes'!$C:$C,'MacroPlano Equipa'!D60)</f>
        <v>5</v>
      </c>
      <c r="G60" s="82">
        <f t="shared" si="6"/>
        <v>0.625</v>
      </c>
      <c r="H60" s="58" cm="1">
        <f t="array" aca="1" ref="H60" ca="1">SUMPRODUCT((COLUMN(O60:BY60)&gt;=MIN(IF(O60:BY60&lt;&gt;"",COLUMN(O60:BY60))))*($O$16:$BY$16&lt;=TODAY())*(O60:BY60))</f>
        <v>5</v>
      </c>
      <c r="I60" s="82">
        <f t="shared" ca="1" si="9"/>
        <v>0.625</v>
      </c>
      <c r="J60" s="98"/>
      <c r="K60" s="98"/>
      <c r="L60" s="84"/>
      <c r="M60" s="8">
        <f t="shared" si="10"/>
        <v>0</v>
      </c>
      <c r="O60" s="65"/>
      <c r="P60" s="65"/>
      <c r="Q60" s="65"/>
      <c r="R60" s="65"/>
      <c r="S60" s="69"/>
      <c r="T60" s="94">
        <v>0</v>
      </c>
      <c r="U60" s="95">
        <v>0</v>
      </c>
      <c r="V60" s="71"/>
      <c r="W60" s="65"/>
      <c r="X60" s="65"/>
      <c r="Y60" s="65"/>
      <c r="Z60" s="65"/>
      <c r="AA60" s="94">
        <v>0</v>
      </c>
      <c r="AB60" s="95">
        <v>0</v>
      </c>
      <c r="AC60" s="65"/>
      <c r="AD60" s="65"/>
      <c r="AE60" s="91">
        <v>5</v>
      </c>
      <c r="AF60" s="57"/>
      <c r="AG60" s="57"/>
      <c r="AH60" s="94">
        <v>0</v>
      </c>
      <c r="AI60" s="95">
        <v>0</v>
      </c>
      <c r="AJ60" s="108"/>
      <c r="AK60" s="56"/>
      <c r="AL60" s="56"/>
      <c r="AM60" s="66"/>
      <c r="AN60" s="66"/>
      <c r="AO60" s="94">
        <v>0</v>
      </c>
      <c r="AP60" s="95">
        <v>0</v>
      </c>
      <c r="AQ60" s="73"/>
      <c r="AR60" s="78"/>
      <c r="AS60" s="75"/>
      <c r="AT60" s="66"/>
      <c r="AU60" s="78"/>
      <c r="AV60" s="94">
        <v>0</v>
      </c>
      <c r="AW60" s="95">
        <v>0</v>
      </c>
      <c r="AX60" s="66"/>
      <c r="AY60" s="66"/>
      <c r="AZ60" s="66"/>
      <c r="BA60" s="78"/>
      <c r="BB60" s="66"/>
      <c r="BC60" s="94">
        <v>0</v>
      </c>
      <c r="BD60" s="95">
        <v>0</v>
      </c>
      <c r="BE60" s="66"/>
      <c r="BF60" s="66"/>
      <c r="BG60" s="66"/>
      <c r="BH60" s="66"/>
      <c r="BI60" s="66"/>
      <c r="BJ60" s="94">
        <v>0</v>
      </c>
      <c r="BK60" s="95">
        <v>0</v>
      </c>
      <c r="BL60" s="66"/>
      <c r="BM60" s="66"/>
      <c r="BN60" s="66"/>
      <c r="BO60" s="66"/>
      <c r="BP60" s="66"/>
      <c r="BQ60" s="94">
        <v>0</v>
      </c>
      <c r="BR60" s="95">
        <v>0</v>
      </c>
      <c r="BS60" s="66"/>
      <c r="BT60" s="66"/>
      <c r="BU60" s="66"/>
      <c r="BV60" s="66"/>
      <c r="BW60" s="66"/>
      <c r="BX60" s="94">
        <v>0</v>
      </c>
      <c r="BY60" s="95">
        <v>0</v>
      </c>
    </row>
    <row r="61" spans="2:77" ht="15" customHeight="1" outlineLevel="1">
      <c r="B61" s="58" t="s">
        <v>197</v>
      </c>
      <c r="C61" s="59" t="s">
        <v>1</v>
      </c>
      <c r="D61" s="134" t="s">
        <v>50</v>
      </c>
      <c r="E61" s="58" t="s">
        <v>233</v>
      </c>
      <c r="F61" s="58">
        <f>SUMIFS('Detalhe Testes'!$F:$F,'Detalhe Testes'!$B:$B,'MacroPlano Equipa'!C61,'Detalhe Testes'!$C:$C,'MacroPlano Equipa'!D61)</f>
        <v>3</v>
      </c>
      <c r="G61" s="82">
        <f t="shared" si="6"/>
        <v>0.375</v>
      </c>
      <c r="H61" s="58" cm="1">
        <f t="array" aca="1" ref="H61" ca="1">SUMPRODUCT((COLUMN(O61:BY61)&gt;=MIN(IF(O61:BY61&lt;&gt;"",COLUMN(O61:BY61))))*($O$16:$BY$16&lt;=TODAY())*(O61:BY61))</f>
        <v>3</v>
      </c>
      <c r="I61" s="82">
        <f t="shared" ca="1" si="9"/>
        <v>0.375</v>
      </c>
      <c r="J61" s="98"/>
      <c r="K61" s="98"/>
      <c r="L61" s="84"/>
      <c r="M61" s="8">
        <f t="shared" si="10"/>
        <v>0</v>
      </c>
      <c r="O61" s="65"/>
      <c r="P61" s="65"/>
      <c r="Q61" s="65"/>
      <c r="R61" s="65"/>
      <c r="S61" s="69"/>
      <c r="T61" s="94">
        <v>0</v>
      </c>
      <c r="U61" s="95">
        <v>0</v>
      </c>
      <c r="V61" s="71"/>
      <c r="W61" s="65"/>
      <c r="X61" s="65"/>
      <c r="Y61" s="65"/>
      <c r="Z61" s="65"/>
      <c r="AA61" s="94">
        <v>0</v>
      </c>
      <c r="AB61" s="95">
        <v>0</v>
      </c>
      <c r="AC61" s="65"/>
      <c r="AD61" s="65"/>
      <c r="AE61" s="91">
        <v>3</v>
      </c>
      <c r="AF61" s="57"/>
      <c r="AG61" s="108"/>
      <c r="AH61" s="94">
        <v>0</v>
      </c>
      <c r="AI61" s="95">
        <v>0</v>
      </c>
      <c r="AJ61" s="108"/>
      <c r="AK61" s="56"/>
      <c r="AL61" s="56"/>
      <c r="AM61" s="66"/>
      <c r="AN61" s="66"/>
      <c r="AO61" s="94">
        <v>0</v>
      </c>
      <c r="AP61" s="95">
        <v>0</v>
      </c>
      <c r="AQ61" s="73"/>
      <c r="AR61" s="78"/>
      <c r="AS61" s="75"/>
      <c r="AT61" s="66"/>
      <c r="AU61" s="78"/>
      <c r="AV61" s="94">
        <v>0</v>
      </c>
      <c r="AW61" s="95">
        <v>0</v>
      </c>
      <c r="AX61" s="66"/>
      <c r="AY61" s="66"/>
      <c r="AZ61" s="66"/>
      <c r="BA61" s="78"/>
      <c r="BB61" s="66"/>
      <c r="BC61" s="94">
        <v>0</v>
      </c>
      <c r="BD61" s="95">
        <v>0</v>
      </c>
      <c r="BE61" s="66"/>
      <c r="BF61" s="66"/>
      <c r="BG61" s="66"/>
      <c r="BH61" s="66"/>
      <c r="BI61" s="66"/>
      <c r="BJ61" s="94">
        <v>0</v>
      </c>
      <c r="BK61" s="95">
        <v>0</v>
      </c>
      <c r="BL61" s="66"/>
      <c r="BM61" s="66"/>
      <c r="BN61" s="66"/>
      <c r="BO61" s="66"/>
      <c r="BP61" s="66"/>
      <c r="BQ61" s="94">
        <v>0</v>
      </c>
      <c r="BR61" s="95">
        <v>0</v>
      </c>
      <c r="BS61" s="66"/>
      <c r="BT61" s="66"/>
      <c r="BU61" s="66"/>
      <c r="BV61" s="66"/>
      <c r="BW61" s="66"/>
      <c r="BX61" s="94">
        <v>0</v>
      </c>
      <c r="BY61" s="95">
        <v>0</v>
      </c>
    </row>
    <row r="62" spans="2:77" s="8" customFormat="1" ht="15" customHeight="1">
      <c r="B62" s="55" t="s">
        <v>198</v>
      </c>
      <c r="C62" s="288" t="s">
        <v>199</v>
      </c>
      <c r="D62" s="288"/>
      <c r="E62" s="53"/>
      <c r="F62" s="53"/>
      <c r="G62" s="53"/>
      <c r="H62" s="53"/>
      <c r="I62" s="96"/>
      <c r="J62" s="96"/>
      <c r="K62" s="96"/>
      <c r="L62" s="53"/>
      <c r="O62" s="54"/>
      <c r="P62" s="54"/>
      <c r="Q62" s="54"/>
      <c r="R62" s="54"/>
      <c r="S62" s="54"/>
      <c r="T62" s="94">
        <v>0</v>
      </c>
      <c r="U62" s="95">
        <v>0</v>
      </c>
      <c r="V62" s="54"/>
      <c r="W62" s="54"/>
      <c r="X62" s="54"/>
      <c r="Y62" s="54"/>
      <c r="Z62" s="54"/>
      <c r="AA62" s="94">
        <v>0</v>
      </c>
      <c r="AB62" s="95">
        <v>0</v>
      </c>
      <c r="AC62" s="162" t="s">
        <v>280</v>
      </c>
      <c r="AD62" s="54"/>
      <c r="AE62" s="54"/>
      <c r="AF62" s="54"/>
      <c r="AG62" s="54"/>
      <c r="AH62" s="94">
        <v>0</v>
      </c>
      <c r="AI62" s="95">
        <v>0</v>
      </c>
      <c r="AJ62" s="53"/>
      <c r="AK62" s="53"/>
      <c r="AL62" s="53"/>
      <c r="AM62" s="53"/>
      <c r="AN62" s="53"/>
      <c r="AO62" s="94">
        <v>0</v>
      </c>
      <c r="AP62" s="95">
        <v>0</v>
      </c>
      <c r="AQ62" s="53"/>
      <c r="AR62" s="77"/>
      <c r="AS62" s="53"/>
      <c r="AT62" s="53"/>
      <c r="AU62" s="77"/>
      <c r="AV62" s="94">
        <v>0</v>
      </c>
      <c r="AW62" s="95">
        <v>0</v>
      </c>
      <c r="AX62" s="53"/>
      <c r="AY62" s="53"/>
      <c r="AZ62" s="53"/>
      <c r="BA62" s="77"/>
      <c r="BB62" s="53"/>
      <c r="BC62" s="94">
        <v>0</v>
      </c>
      <c r="BD62" s="95">
        <v>0</v>
      </c>
      <c r="BE62" s="53"/>
      <c r="BF62" s="53"/>
      <c r="BG62" s="53"/>
      <c r="BH62" s="53"/>
      <c r="BI62" s="53"/>
      <c r="BJ62" s="94">
        <v>0</v>
      </c>
      <c r="BK62" s="95">
        <v>0</v>
      </c>
      <c r="BL62" s="53"/>
      <c r="BM62" s="53"/>
      <c r="BN62" s="53"/>
      <c r="BO62" s="53"/>
      <c r="BP62" s="53"/>
      <c r="BQ62" s="94">
        <v>0</v>
      </c>
      <c r="BR62" s="95">
        <v>0</v>
      </c>
      <c r="BS62" s="53"/>
      <c r="BT62" s="53"/>
      <c r="BU62" s="53"/>
      <c r="BV62" s="53"/>
      <c r="BW62" s="53"/>
      <c r="BX62" s="94">
        <v>0</v>
      </c>
      <c r="BY62" s="95">
        <v>0</v>
      </c>
    </row>
    <row r="63" spans="2:77" ht="15" customHeight="1" outlineLevel="1">
      <c r="B63" s="58" t="s">
        <v>200</v>
      </c>
      <c r="C63" s="59" t="s">
        <v>1</v>
      </c>
      <c r="D63" s="59" t="s">
        <v>10</v>
      </c>
      <c r="E63" s="58" t="s">
        <v>233</v>
      </c>
      <c r="F63" s="58">
        <f>SUMIFS('Detalhe Testes'!$F:$F,'Detalhe Testes'!$B:$B,'MacroPlano Equipa'!C63,'Detalhe Testes'!$C:$C,'MacroPlano Equipa'!D63)</f>
        <v>5</v>
      </c>
      <c r="G63" s="82">
        <f t="shared" si="6"/>
        <v>0.625</v>
      </c>
      <c r="H63" s="58" cm="1">
        <f t="array" aca="1" ref="H63" ca="1">SUMPRODUCT((COLUMN(O63:BY63)&gt;=MIN(IF(O63:BY63&lt;&gt;"",COLUMN(O63:BY63))))*($O$16:$BY$16&lt;=TODAY())*(O63:BY63))</f>
        <v>5</v>
      </c>
      <c r="I63" s="82">
        <f t="shared" ref="I63:I88" ca="1" si="11">H63/8</f>
        <v>0.625</v>
      </c>
      <c r="J63" s="98"/>
      <c r="K63" s="98"/>
      <c r="L63" s="84"/>
      <c r="M63" s="8">
        <f t="shared" ref="M63:M88" si="12">SUM(O63:BY63)-F63</f>
        <v>0</v>
      </c>
      <c r="O63" s="65"/>
      <c r="P63" s="65"/>
      <c r="Q63" s="65"/>
      <c r="R63" s="65"/>
      <c r="S63" s="69"/>
      <c r="T63" s="94">
        <v>0</v>
      </c>
      <c r="U63" s="95">
        <v>0</v>
      </c>
      <c r="V63" s="71"/>
      <c r="W63" s="65"/>
      <c r="X63" s="65"/>
      <c r="Y63" s="65"/>
      <c r="Z63" s="65"/>
      <c r="AA63" s="94">
        <v>0</v>
      </c>
      <c r="AB63" s="95">
        <v>0</v>
      </c>
      <c r="AC63" s="83"/>
      <c r="AD63" s="65"/>
      <c r="AE63" s="91">
        <v>5</v>
      </c>
      <c r="AF63" s="57"/>
      <c r="AG63" s="57"/>
      <c r="AH63" s="94">
        <v>0</v>
      </c>
      <c r="AI63" s="95">
        <v>0</v>
      </c>
      <c r="AJ63" s="108"/>
      <c r="AK63" s="108"/>
      <c r="AL63" s="56"/>
      <c r="AM63" s="66"/>
      <c r="AN63" s="66"/>
      <c r="AO63" s="94">
        <v>0</v>
      </c>
      <c r="AP63" s="95">
        <v>0</v>
      </c>
      <c r="AQ63" s="73"/>
      <c r="AR63" s="78"/>
      <c r="AS63" s="75"/>
      <c r="AT63" s="66"/>
      <c r="AU63" s="78"/>
      <c r="AV63" s="94">
        <v>0</v>
      </c>
      <c r="AW63" s="95">
        <v>0</v>
      </c>
      <c r="AX63" s="66"/>
      <c r="AY63" s="66"/>
      <c r="AZ63" s="66"/>
      <c r="BA63" s="78"/>
      <c r="BB63" s="66"/>
      <c r="BC63" s="94">
        <v>0</v>
      </c>
      <c r="BD63" s="95">
        <v>0</v>
      </c>
      <c r="BE63" s="66"/>
      <c r="BF63" s="66"/>
      <c r="BG63" s="66"/>
      <c r="BH63" s="66"/>
      <c r="BI63" s="66"/>
      <c r="BJ63" s="94">
        <v>0</v>
      </c>
      <c r="BK63" s="95">
        <v>0</v>
      </c>
      <c r="BL63" s="66"/>
      <c r="BM63" s="66"/>
      <c r="BN63" s="66"/>
      <c r="BO63" s="66"/>
      <c r="BP63" s="66"/>
      <c r="BQ63" s="94">
        <v>0</v>
      </c>
      <c r="BR63" s="95">
        <v>0</v>
      </c>
      <c r="BS63" s="66"/>
      <c r="BT63" s="66"/>
      <c r="BU63" s="66"/>
      <c r="BV63" s="66"/>
      <c r="BW63" s="66"/>
      <c r="BX63" s="94">
        <v>0</v>
      </c>
      <c r="BY63" s="95">
        <v>0</v>
      </c>
    </row>
    <row r="64" spans="2:77" ht="15" customHeight="1" outlineLevel="1">
      <c r="B64" s="58" t="s">
        <v>201</v>
      </c>
      <c r="C64" s="59" t="s">
        <v>1</v>
      </c>
      <c r="D64" s="59" t="s">
        <v>22</v>
      </c>
      <c r="E64" s="58" t="s">
        <v>233</v>
      </c>
      <c r="F64" s="58">
        <f>SUMIFS('Detalhe Testes'!$F:$F,'Detalhe Testes'!$B:$B,'MacroPlano Equipa'!C64,'Detalhe Testes'!$C:$C,'MacroPlano Equipa'!D64)</f>
        <v>3</v>
      </c>
      <c r="G64" s="82">
        <f t="shared" si="6"/>
        <v>0.375</v>
      </c>
      <c r="H64" s="58" cm="1">
        <f t="array" aca="1" ref="H64" ca="1">SUMPRODUCT((COLUMN(O64:BY64)&gt;=MIN(IF(O64:BY64&lt;&gt;"",COLUMN(O64:BY64))))*($O$16:$BY$16&lt;=TODAY())*(O64:BY64))</f>
        <v>3</v>
      </c>
      <c r="I64" s="82">
        <f t="shared" ca="1" si="11"/>
        <v>0.375</v>
      </c>
      <c r="J64" s="98"/>
      <c r="K64" s="98"/>
      <c r="L64" s="84"/>
      <c r="M64" s="8">
        <f t="shared" si="12"/>
        <v>0</v>
      </c>
      <c r="O64" s="65"/>
      <c r="P64" s="65"/>
      <c r="Q64" s="65"/>
      <c r="R64" s="65"/>
      <c r="S64" s="69"/>
      <c r="T64" s="94">
        <v>0</v>
      </c>
      <c r="U64" s="95">
        <v>0</v>
      </c>
      <c r="V64" s="71"/>
      <c r="W64" s="65"/>
      <c r="X64" s="65"/>
      <c r="Y64" s="65"/>
      <c r="Z64" s="65"/>
      <c r="AA64" s="94">
        <v>0</v>
      </c>
      <c r="AB64" s="95">
        <v>0</v>
      </c>
      <c r="AC64" s="65"/>
      <c r="AD64" s="65"/>
      <c r="AE64" s="91">
        <v>2</v>
      </c>
      <c r="AF64" s="91">
        <v>1</v>
      </c>
      <c r="AG64" s="57"/>
      <c r="AH64" s="94">
        <v>0</v>
      </c>
      <c r="AI64" s="95">
        <v>0</v>
      </c>
      <c r="AJ64" s="56"/>
      <c r="AK64" s="108"/>
      <c r="AL64" s="56"/>
      <c r="AM64" s="56"/>
      <c r="AN64" s="56"/>
      <c r="AO64" s="94">
        <v>0</v>
      </c>
      <c r="AP64" s="95">
        <v>0</v>
      </c>
      <c r="AQ64" s="72"/>
      <c r="AR64" s="77"/>
      <c r="AS64" s="74"/>
      <c r="AT64" s="56"/>
      <c r="AU64" s="77"/>
      <c r="AV64" s="94">
        <v>0</v>
      </c>
      <c r="AW64" s="95">
        <v>0</v>
      </c>
      <c r="AX64" s="66"/>
      <c r="AY64" s="66"/>
      <c r="AZ64" s="66"/>
      <c r="BA64" s="78"/>
      <c r="BB64" s="66"/>
      <c r="BC64" s="94">
        <v>0</v>
      </c>
      <c r="BD64" s="95">
        <v>0</v>
      </c>
      <c r="BE64" s="66"/>
      <c r="BF64" s="66"/>
      <c r="BG64" s="66"/>
      <c r="BH64" s="66"/>
      <c r="BI64" s="66"/>
      <c r="BJ64" s="94">
        <v>0</v>
      </c>
      <c r="BK64" s="95">
        <v>0</v>
      </c>
      <c r="BL64" s="66"/>
      <c r="BM64" s="66"/>
      <c r="BN64" s="66"/>
      <c r="BO64" s="66"/>
      <c r="BP64" s="66"/>
      <c r="BQ64" s="94">
        <v>0</v>
      </c>
      <c r="BR64" s="95">
        <v>0</v>
      </c>
      <c r="BS64" s="66"/>
      <c r="BT64" s="66"/>
      <c r="BU64" s="66"/>
      <c r="BV64" s="66"/>
      <c r="BW64" s="66"/>
      <c r="BX64" s="94">
        <v>0</v>
      </c>
      <c r="BY64" s="95">
        <v>0</v>
      </c>
    </row>
    <row r="65" spans="2:77" ht="15" customHeight="1" outlineLevel="1">
      <c r="B65" s="58" t="s">
        <v>202</v>
      </c>
      <c r="C65" s="59" t="s">
        <v>1</v>
      </c>
      <c r="D65" s="59" t="s">
        <v>24</v>
      </c>
      <c r="E65" s="58" t="s">
        <v>233</v>
      </c>
      <c r="F65" s="58">
        <f>SUMIFS('Detalhe Testes'!$F:$F,'Detalhe Testes'!$B:$B,'MacroPlano Equipa'!C65,'Detalhe Testes'!$C:$C,'MacroPlano Equipa'!D65)</f>
        <v>5</v>
      </c>
      <c r="G65" s="82">
        <f t="shared" si="6"/>
        <v>0.625</v>
      </c>
      <c r="H65" s="58" cm="1">
        <f t="array" aca="1" ref="H65" ca="1">SUMPRODUCT((COLUMN(O65:BY65)&gt;=MIN(IF(O65:BY65&lt;&gt;"",COLUMN(O65:BY65))))*($O$16:$BY$16&lt;=TODAY())*(O65:BY65))</f>
        <v>5</v>
      </c>
      <c r="I65" s="82">
        <f t="shared" ca="1" si="11"/>
        <v>0.625</v>
      </c>
      <c r="J65" s="98"/>
      <c r="K65" s="98"/>
      <c r="L65" s="84"/>
      <c r="M65" s="8">
        <f t="shared" si="12"/>
        <v>0</v>
      </c>
      <c r="O65" s="65"/>
      <c r="P65" s="65"/>
      <c r="Q65" s="65"/>
      <c r="R65" s="65"/>
      <c r="S65" s="69"/>
      <c r="T65" s="94">
        <v>0</v>
      </c>
      <c r="U65" s="95">
        <v>0</v>
      </c>
      <c r="V65" s="71"/>
      <c r="W65" s="65"/>
      <c r="X65" s="65"/>
      <c r="Y65" s="65"/>
      <c r="Z65" s="65"/>
      <c r="AA65" s="94">
        <v>0</v>
      </c>
      <c r="AB65" s="95">
        <v>0</v>
      </c>
      <c r="AC65" s="65"/>
      <c r="AD65" s="65"/>
      <c r="AE65" s="57"/>
      <c r="AF65" s="91">
        <v>5</v>
      </c>
      <c r="AG65" s="57"/>
      <c r="AH65" s="94">
        <v>0</v>
      </c>
      <c r="AI65" s="95">
        <v>0</v>
      </c>
      <c r="AJ65" s="56"/>
      <c r="AK65" s="108"/>
      <c r="AL65" s="108"/>
      <c r="AM65" s="56"/>
      <c r="AN65" s="56"/>
      <c r="AO65" s="94">
        <v>0</v>
      </c>
      <c r="AP65" s="95">
        <v>0</v>
      </c>
      <c r="AQ65" s="72"/>
      <c r="AR65" s="77"/>
      <c r="AS65" s="74"/>
      <c r="AT65" s="56"/>
      <c r="AU65" s="77"/>
      <c r="AV65" s="94">
        <v>0</v>
      </c>
      <c r="AW65" s="95">
        <v>0</v>
      </c>
      <c r="AX65" s="66"/>
      <c r="AY65" s="66"/>
      <c r="AZ65" s="66"/>
      <c r="BA65" s="78"/>
      <c r="BB65" s="66"/>
      <c r="BC65" s="94">
        <v>0</v>
      </c>
      <c r="BD65" s="95">
        <v>0</v>
      </c>
      <c r="BE65" s="66"/>
      <c r="BF65" s="66"/>
      <c r="BG65" s="66"/>
      <c r="BH65" s="66"/>
      <c r="BI65" s="66"/>
      <c r="BJ65" s="94">
        <v>0</v>
      </c>
      <c r="BK65" s="95">
        <v>0</v>
      </c>
      <c r="BL65" s="66"/>
      <c r="BM65" s="66"/>
      <c r="BN65" s="66"/>
      <c r="BO65" s="66"/>
      <c r="BP65" s="66"/>
      <c r="BQ65" s="94">
        <v>0</v>
      </c>
      <c r="BR65" s="95">
        <v>0</v>
      </c>
      <c r="BS65" s="66"/>
      <c r="BT65" s="66"/>
      <c r="BU65" s="66"/>
      <c r="BV65" s="66"/>
      <c r="BW65" s="66"/>
      <c r="BX65" s="94">
        <v>0</v>
      </c>
      <c r="BY65" s="95">
        <v>0</v>
      </c>
    </row>
    <row r="66" spans="2:77" ht="15" customHeight="1" outlineLevel="1">
      <c r="B66" s="58" t="s">
        <v>203</v>
      </c>
      <c r="C66" s="59" t="s">
        <v>1</v>
      </c>
      <c r="D66" s="59" t="s">
        <v>33</v>
      </c>
      <c r="E66" s="58" t="s">
        <v>233</v>
      </c>
      <c r="F66" s="58">
        <f>SUMIFS('Detalhe Testes'!$F:$F,'Detalhe Testes'!$B:$B,'MacroPlano Equipa'!C66,'Detalhe Testes'!$C:$C,'MacroPlano Equipa'!D66)</f>
        <v>3</v>
      </c>
      <c r="G66" s="82">
        <f t="shared" si="6"/>
        <v>0.375</v>
      </c>
      <c r="H66" s="58" cm="1">
        <f t="array" aca="1" ref="H66" ca="1">SUMPRODUCT((COLUMN(O66:BY66)&gt;=MIN(IF(O66:BY66&lt;&gt;"",COLUMN(O66:BY66))))*($O$16:$BY$16&lt;=TODAY())*(O66:BY66))</f>
        <v>3</v>
      </c>
      <c r="I66" s="82">
        <f t="shared" ca="1" si="11"/>
        <v>0.375</v>
      </c>
      <c r="J66" s="98"/>
      <c r="K66" s="98"/>
      <c r="L66" s="84"/>
      <c r="M66" s="8">
        <f t="shared" si="12"/>
        <v>0</v>
      </c>
      <c r="O66" s="65"/>
      <c r="P66" s="65"/>
      <c r="Q66" s="65"/>
      <c r="R66" s="65"/>
      <c r="S66" s="69"/>
      <c r="T66" s="94">
        <v>0</v>
      </c>
      <c r="U66" s="95">
        <v>0</v>
      </c>
      <c r="V66" s="71"/>
      <c r="W66" s="65"/>
      <c r="X66" s="65"/>
      <c r="Y66" s="65"/>
      <c r="Z66" s="65"/>
      <c r="AA66" s="94">
        <v>0</v>
      </c>
      <c r="AB66" s="95">
        <v>0</v>
      </c>
      <c r="AC66" s="65"/>
      <c r="AD66" s="65"/>
      <c r="AE66" s="57"/>
      <c r="AF66" s="91">
        <v>3</v>
      </c>
      <c r="AG66" s="57"/>
      <c r="AH66" s="94">
        <v>0</v>
      </c>
      <c r="AI66" s="95">
        <v>0</v>
      </c>
      <c r="AJ66" s="56"/>
      <c r="AK66" s="56"/>
      <c r="AL66" s="108"/>
      <c r="AM66" s="56"/>
      <c r="AN66" s="56"/>
      <c r="AO66" s="94">
        <v>0</v>
      </c>
      <c r="AP66" s="95">
        <v>0</v>
      </c>
      <c r="AQ66" s="72"/>
      <c r="AR66" s="77"/>
      <c r="AS66" s="74"/>
      <c r="AT66" s="56"/>
      <c r="AU66" s="77"/>
      <c r="AV66" s="94">
        <v>0</v>
      </c>
      <c r="AW66" s="95">
        <v>0</v>
      </c>
      <c r="AX66" s="66"/>
      <c r="AY66" s="66"/>
      <c r="AZ66" s="66"/>
      <c r="BA66" s="78"/>
      <c r="BB66" s="66"/>
      <c r="BC66" s="94">
        <v>0</v>
      </c>
      <c r="BD66" s="95">
        <v>0</v>
      </c>
      <c r="BE66" s="66"/>
      <c r="BF66" s="66"/>
      <c r="BG66" s="66"/>
      <c r="BH66" s="66"/>
      <c r="BI66" s="66"/>
      <c r="BJ66" s="94">
        <v>0</v>
      </c>
      <c r="BK66" s="95">
        <v>0</v>
      </c>
      <c r="BL66" s="66"/>
      <c r="BM66" s="66"/>
      <c r="BN66" s="66"/>
      <c r="BO66" s="66"/>
      <c r="BP66" s="66"/>
      <c r="BQ66" s="94">
        <v>0</v>
      </c>
      <c r="BR66" s="95">
        <v>0</v>
      </c>
      <c r="BS66" s="66"/>
      <c r="BT66" s="66"/>
      <c r="BU66" s="66"/>
      <c r="BV66" s="66"/>
      <c r="BW66" s="66"/>
      <c r="BX66" s="94">
        <v>0</v>
      </c>
      <c r="BY66" s="95">
        <v>0</v>
      </c>
    </row>
    <row r="67" spans="2:77" ht="15" customHeight="1" outlineLevel="1">
      <c r="B67" s="58" t="s">
        <v>204</v>
      </c>
      <c r="C67" s="59" t="s">
        <v>1</v>
      </c>
      <c r="D67" s="59" t="s">
        <v>36</v>
      </c>
      <c r="E67" s="58" t="s">
        <v>233</v>
      </c>
      <c r="F67" s="58">
        <f>SUMIFS('Detalhe Testes'!$F:$F,'Detalhe Testes'!$B:$B,'MacroPlano Equipa'!C67,'Detalhe Testes'!$C:$C,'MacroPlano Equipa'!D67)</f>
        <v>3</v>
      </c>
      <c r="G67" s="82">
        <f t="shared" si="6"/>
        <v>0.375</v>
      </c>
      <c r="H67" s="58" cm="1">
        <f t="array" aca="1" ref="H67" ca="1">SUMPRODUCT((COLUMN(O67:BY67)&gt;=MIN(IF(O67:BY67&lt;&gt;"",COLUMN(O67:BY67))))*($O$16:$BY$16&lt;=TODAY())*(O67:BY67))</f>
        <v>3</v>
      </c>
      <c r="I67" s="82">
        <f t="shared" ca="1" si="11"/>
        <v>0.375</v>
      </c>
      <c r="J67" s="98"/>
      <c r="K67" s="98"/>
      <c r="L67" s="84"/>
      <c r="M67" s="8">
        <f t="shared" si="12"/>
        <v>0</v>
      </c>
      <c r="O67" s="65"/>
      <c r="P67" s="65"/>
      <c r="Q67" s="65"/>
      <c r="R67" s="65"/>
      <c r="S67" s="69"/>
      <c r="T67" s="94">
        <v>0</v>
      </c>
      <c r="U67" s="95">
        <v>0</v>
      </c>
      <c r="V67" s="71"/>
      <c r="W67" s="65"/>
      <c r="X67" s="65"/>
      <c r="Y67" s="65"/>
      <c r="Z67" s="65"/>
      <c r="AA67" s="94">
        <v>0</v>
      </c>
      <c r="AB67" s="95">
        <v>0</v>
      </c>
      <c r="AC67" s="65"/>
      <c r="AD67" s="65"/>
      <c r="AE67" s="57"/>
      <c r="AF67" s="91">
        <v>3</v>
      </c>
      <c r="AG67" s="57"/>
      <c r="AH67" s="94">
        <v>0</v>
      </c>
      <c r="AI67" s="95">
        <v>0</v>
      </c>
      <c r="AJ67" s="56"/>
      <c r="AK67" s="56"/>
      <c r="AL67" s="108"/>
      <c r="AM67" s="108"/>
      <c r="AN67" s="56"/>
      <c r="AO67" s="94">
        <v>0</v>
      </c>
      <c r="AP67" s="95">
        <v>0</v>
      </c>
      <c r="AQ67" s="72"/>
      <c r="AR67" s="77"/>
      <c r="AS67" s="74"/>
      <c r="AT67" s="56"/>
      <c r="AU67" s="77"/>
      <c r="AV67" s="94">
        <v>0</v>
      </c>
      <c r="AW67" s="95">
        <v>0</v>
      </c>
      <c r="AX67" s="66"/>
      <c r="AY67" s="66"/>
      <c r="AZ67" s="66"/>
      <c r="BA67" s="78"/>
      <c r="BB67" s="66"/>
      <c r="BC67" s="94">
        <v>0</v>
      </c>
      <c r="BD67" s="95">
        <v>0</v>
      </c>
      <c r="BE67" s="66"/>
      <c r="BF67" s="66"/>
      <c r="BG67" s="66"/>
      <c r="BH67" s="66"/>
      <c r="BI67" s="66"/>
      <c r="BJ67" s="94">
        <v>0</v>
      </c>
      <c r="BK67" s="95">
        <v>0</v>
      </c>
      <c r="BL67" s="66"/>
      <c r="BM67" s="66"/>
      <c r="BN67" s="66"/>
      <c r="BO67" s="66"/>
      <c r="BP67" s="66"/>
      <c r="BQ67" s="94">
        <v>0</v>
      </c>
      <c r="BR67" s="95">
        <v>0</v>
      </c>
      <c r="BS67" s="66"/>
      <c r="BT67" s="66"/>
      <c r="BU67" s="66"/>
      <c r="BV67" s="66"/>
      <c r="BW67" s="66"/>
      <c r="BX67" s="94">
        <v>0</v>
      </c>
      <c r="BY67" s="95">
        <v>0</v>
      </c>
    </row>
    <row r="68" spans="2:77" ht="15" customHeight="1" outlineLevel="1">
      <c r="B68" s="58" t="s">
        <v>205</v>
      </c>
      <c r="C68" s="59" t="s">
        <v>1</v>
      </c>
      <c r="D68" s="59" t="s">
        <v>37</v>
      </c>
      <c r="E68" s="58" t="s">
        <v>233</v>
      </c>
      <c r="F68" s="58">
        <f>SUMIFS('Detalhe Testes'!$F:$F,'Detalhe Testes'!$B:$B,'MacroPlano Equipa'!C68,'Detalhe Testes'!$C:$C,'MacroPlano Equipa'!D68)</f>
        <v>3</v>
      </c>
      <c r="G68" s="82">
        <f t="shared" si="6"/>
        <v>0.375</v>
      </c>
      <c r="H68" s="58" cm="1">
        <f t="array" aca="1" ref="H68" ca="1">SUMPRODUCT((COLUMN(O68:BY68)&gt;=MIN(IF(O68:BY68&lt;&gt;"",COLUMN(O68:BY68))))*($O$16:$BY$16&lt;=TODAY())*(O68:BY68))</f>
        <v>3</v>
      </c>
      <c r="I68" s="82">
        <f t="shared" ca="1" si="11"/>
        <v>0.375</v>
      </c>
      <c r="J68" s="98"/>
      <c r="K68" s="98"/>
      <c r="L68" s="84"/>
      <c r="M68" s="8">
        <f t="shared" si="12"/>
        <v>0</v>
      </c>
      <c r="O68" s="65"/>
      <c r="P68" s="65"/>
      <c r="Q68" s="65"/>
      <c r="R68" s="65"/>
      <c r="S68" s="69"/>
      <c r="T68" s="94">
        <v>0</v>
      </c>
      <c r="U68" s="95">
        <v>0</v>
      </c>
      <c r="V68" s="71"/>
      <c r="W68" s="65"/>
      <c r="X68" s="65"/>
      <c r="Y68" s="65"/>
      <c r="Z68" s="65"/>
      <c r="AA68" s="94">
        <v>0</v>
      </c>
      <c r="AB68" s="95">
        <v>0</v>
      </c>
      <c r="AC68" s="65"/>
      <c r="AD68" s="65"/>
      <c r="AE68" s="65"/>
      <c r="AF68" s="91">
        <v>3</v>
      </c>
      <c r="AG68" s="65"/>
      <c r="AH68" s="94">
        <v>0</v>
      </c>
      <c r="AI68" s="95">
        <v>0</v>
      </c>
      <c r="AJ68" s="66"/>
      <c r="AK68" s="66"/>
      <c r="AL68" s="56"/>
      <c r="AM68" s="108"/>
      <c r="AN68" s="56"/>
      <c r="AO68" s="94">
        <v>0</v>
      </c>
      <c r="AP68" s="95">
        <v>0</v>
      </c>
      <c r="AQ68" s="72"/>
      <c r="AR68" s="77"/>
      <c r="AS68" s="74"/>
      <c r="AT68" s="56"/>
      <c r="AU68" s="77"/>
      <c r="AV68" s="94">
        <v>0</v>
      </c>
      <c r="AW68" s="95">
        <v>0</v>
      </c>
      <c r="AX68" s="66"/>
      <c r="AY68" s="66"/>
      <c r="AZ68" s="66"/>
      <c r="BA68" s="78"/>
      <c r="BB68" s="66"/>
      <c r="BC68" s="94">
        <v>0</v>
      </c>
      <c r="BD68" s="95">
        <v>0</v>
      </c>
      <c r="BE68" s="66"/>
      <c r="BF68" s="66"/>
      <c r="BG68" s="66"/>
      <c r="BH68" s="66"/>
      <c r="BI68" s="66"/>
      <c r="BJ68" s="94">
        <v>0</v>
      </c>
      <c r="BK68" s="95">
        <v>0</v>
      </c>
      <c r="BL68" s="66"/>
      <c r="BM68" s="66"/>
      <c r="BN68" s="66"/>
      <c r="BO68" s="66"/>
      <c r="BP68" s="66"/>
      <c r="BQ68" s="94">
        <v>0</v>
      </c>
      <c r="BR68" s="95">
        <v>0</v>
      </c>
      <c r="BS68" s="66"/>
      <c r="BT68" s="66"/>
      <c r="BU68" s="66"/>
      <c r="BV68" s="66"/>
      <c r="BW68" s="66"/>
      <c r="BX68" s="94">
        <v>0</v>
      </c>
      <c r="BY68" s="95">
        <v>0</v>
      </c>
    </row>
    <row r="69" spans="2:77" ht="15" customHeight="1" outlineLevel="1">
      <c r="B69" s="58" t="s">
        <v>206</v>
      </c>
      <c r="C69" s="59" t="s">
        <v>1</v>
      </c>
      <c r="D69" s="59" t="s">
        <v>39</v>
      </c>
      <c r="E69" s="58" t="s">
        <v>233</v>
      </c>
      <c r="F69" s="58">
        <f>SUMIFS('Detalhe Testes'!$F:$F,'Detalhe Testes'!$B:$B,'MacroPlano Equipa'!C69,'Detalhe Testes'!$C:$C,'MacroPlano Equipa'!D69)</f>
        <v>5</v>
      </c>
      <c r="G69" s="82">
        <f t="shared" si="6"/>
        <v>0.625</v>
      </c>
      <c r="H69" s="58" cm="1">
        <f t="array" aca="1" ref="H69" ca="1">SUMPRODUCT((COLUMN(O69:BY69)&gt;=MIN(IF(O69:BY69&lt;&gt;"",COLUMN(O69:BY69))))*($O$16:$BY$16&lt;=TODAY())*(O69:BY69))</f>
        <v>5</v>
      </c>
      <c r="I69" s="82">
        <f t="shared" ca="1" si="11"/>
        <v>0.625</v>
      </c>
      <c r="J69" s="98"/>
      <c r="K69" s="98"/>
      <c r="L69" s="84"/>
      <c r="M69" s="8">
        <f t="shared" si="12"/>
        <v>0</v>
      </c>
      <c r="O69" s="65"/>
      <c r="P69" s="65"/>
      <c r="Q69" s="65"/>
      <c r="R69" s="65"/>
      <c r="S69" s="69"/>
      <c r="T69" s="94">
        <v>0</v>
      </c>
      <c r="U69" s="95">
        <v>0</v>
      </c>
      <c r="V69" s="71"/>
      <c r="W69" s="65"/>
      <c r="X69" s="65"/>
      <c r="Y69" s="65"/>
      <c r="Z69" s="65"/>
      <c r="AA69" s="94">
        <v>0</v>
      </c>
      <c r="AB69" s="95">
        <v>0</v>
      </c>
      <c r="AC69" s="65"/>
      <c r="AD69" s="65"/>
      <c r="AE69" s="65"/>
      <c r="AF69" s="91">
        <v>1</v>
      </c>
      <c r="AG69" s="91">
        <v>4</v>
      </c>
      <c r="AH69" s="94">
        <v>0</v>
      </c>
      <c r="AI69" s="95">
        <v>0</v>
      </c>
      <c r="AJ69" s="66"/>
      <c r="AK69" s="66"/>
      <c r="AL69" s="56"/>
      <c r="AM69" s="108"/>
      <c r="AN69" s="108"/>
      <c r="AO69" s="94">
        <v>0</v>
      </c>
      <c r="AP69" s="95">
        <v>0</v>
      </c>
      <c r="AQ69" s="72"/>
      <c r="AR69" s="77"/>
      <c r="AS69" s="74"/>
      <c r="AT69" s="56"/>
      <c r="AU69" s="77"/>
      <c r="AV69" s="94">
        <v>0</v>
      </c>
      <c r="AW69" s="95">
        <v>0</v>
      </c>
      <c r="AX69" s="66"/>
      <c r="AY69" s="66"/>
      <c r="AZ69" s="66"/>
      <c r="BA69" s="78"/>
      <c r="BB69" s="66"/>
      <c r="BC69" s="94">
        <v>0</v>
      </c>
      <c r="BD69" s="95">
        <v>0</v>
      </c>
      <c r="BE69" s="66"/>
      <c r="BF69" s="66"/>
      <c r="BG69" s="66"/>
      <c r="BH69" s="66"/>
      <c r="BI69" s="66"/>
      <c r="BJ69" s="94">
        <v>0</v>
      </c>
      <c r="BK69" s="95">
        <v>0</v>
      </c>
      <c r="BL69" s="66"/>
      <c r="BM69" s="66"/>
      <c r="BN69" s="66"/>
      <c r="BO69" s="66"/>
      <c r="BP69" s="66"/>
      <c r="BQ69" s="94">
        <v>0</v>
      </c>
      <c r="BR69" s="95">
        <v>0</v>
      </c>
      <c r="BS69" s="66"/>
      <c r="BT69" s="66"/>
      <c r="BU69" s="66"/>
      <c r="BV69" s="66"/>
      <c r="BW69" s="66"/>
      <c r="BX69" s="94">
        <v>0</v>
      </c>
      <c r="BY69" s="95">
        <v>0</v>
      </c>
    </row>
    <row r="70" spans="2:77" ht="15" customHeight="1" outlineLevel="1">
      <c r="B70" s="58" t="s">
        <v>207</v>
      </c>
      <c r="C70" s="59" t="s">
        <v>1</v>
      </c>
      <c r="D70" s="59" t="s">
        <v>40</v>
      </c>
      <c r="E70" s="58" t="s">
        <v>233</v>
      </c>
      <c r="F70" s="58">
        <f>SUMIFS('Detalhe Testes'!$F:$F,'Detalhe Testes'!$B:$B,'MacroPlano Equipa'!C70,'Detalhe Testes'!$C:$C,'MacroPlano Equipa'!D70)</f>
        <v>5</v>
      </c>
      <c r="G70" s="82">
        <f t="shared" si="6"/>
        <v>0.625</v>
      </c>
      <c r="H70" s="58" cm="1">
        <f t="array" aca="1" ref="H70" ca="1">SUMPRODUCT((COLUMN(O70:BY70)&gt;=MIN(IF(O70:BY70&lt;&gt;"",COLUMN(O70:BY70))))*($O$16:$BY$16&lt;=TODAY())*(O70:BY70))</f>
        <v>5</v>
      </c>
      <c r="I70" s="82">
        <f t="shared" ca="1" si="11"/>
        <v>0.625</v>
      </c>
      <c r="J70" s="98"/>
      <c r="K70" s="98"/>
      <c r="L70" s="84"/>
      <c r="M70" s="8">
        <f t="shared" si="12"/>
        <v>0</v>
      </c>
      <c r="O70" s="65"/>
      <c r="P70" s="65"/>
      <c r="Q70" s="65"/>
      <c r="R70" s="65"/>
      <c r="S70" s="69"/>
      <c r="T70" s="94">
        <v>0</v>
      </c>
      <c r="U70" s="95">
        <v>0</v>
      </c>
      <c r="V70" s="71"/>
      <c r="W70" s="65"/>
      <c r="X70" s="65"/>
      <c r="Y70" s="65"/>
      <c r="Z70" s="65"/>
      <c r="AA70" s="94">
        <v>0</v>
      </c>
      <c r="AB70" s="95">
        <v>0</v>
      </c>
      <c r="AC70" s="65"/>
      <c r="AD70" s="65"/>
      <c r="AE70" s="65"/>
      <c r="AF70" s="65"/>
      <c r="AG70" s="91">
        <v>5</v>
      </c>
      <c r="AH70" s="94">
        <v>0</v>
      </c>
      <c r="AI70" s="95">
        <v>0</v>
      </c>
      <c r="AJ70" s="66"/>
      <c r="AK70" s="66"/>
      <c r="AL70" s="56"/>
      <c r="AM70" s="56"/>
      <c r="AN70" s="108"/>
      <c r="AO70" s="94">
        <v>0</v>
      </c>
      <c r="AP70" s="95">
        <v>0</v>
      </c>
      <c r="AQ70" s="72"/>
      <c r="AR70" s="77"/>
      <c r="AS70" s="74"/>
      <c r="AT70" s="56"/>
      <c r="AU70" s="77"/>
      <c r="AV70" s="94">
        <v>0</v>
      </c>
      <c r="AW70" s="95">
        <v>0</v>
      </c>
      <c r="AX70" s="66"/>
      <c r="AY70" s="66"/>
      <c r="AZ70" s="66"/>
      <c r="BA70" s="78"/>
      <c r="BB70" s="66"/>
      <c r="BC70" s="94">
        <v>0</v>
      </c>
      <c r="BD70" s="95">
        <v>0</v>
      </c>
      <c r="BE70" s="66"/>
      <c r="BF70" s="66"/>
      <c r="BG70" s="66"/>
      <c r="BH70" s="66"/>
      <c r="BI70" s="66"/>
      <c r="BJ70" s="94">
        <v>0</v>
      </c>
      <c r="BK70" s="95">
        <v>0</v>
      </c>
      <c r="BL70" s="66"/>
      <c r="BM70" s="66"/>
      <c r="BN70" s="66"/>
      <c r="BO70" s="66"/>
      <c r="BP70" s="66"/>
      <c r="BQ70" s="94">
        <v>0</v>
      </c>
      <c r="BR70" s="95">
        <v>0</v>
      </c>
      <c r="BS70" s="66"/>
      <c r="BT70" s="66"/>
      <c r="BU70" s="66"/>
      <c r="BV70" s="66"/>
      <c r="BW70" s="66"/>
      <c r="BX70" s="94">
        <v>0</v>
      </c>
      <c r="BY70" s="95">
        <v>0</v>
      </c>
    </row>
    <row r="71" spans="2:77" ht="15" customHeight="1" outlineLevel="1">
      <c r="B71" s="58" t="s">
        <v>208</v>
      </c>
      <c r="C71" s="59" t="s">
        <v>1</v>
      </c>
      <c r="D71" s="59" t="s">
        <v>41</v>
      </c>
      <c r="E71" s="58" t="s">
        <v>233</v>
      </c>
      <c r="F71" s="58">
        <f>SUMIFS('Detalhe Testes'!$F:$F,'Detalhe Testes'!$B:$B,'MacroPlano Equipa'!C71,'Detalhe Testes'!$C:$C,'MacroPlano Equipa'!D71)</f>
        <v>5</v>
      </c>
      <c r="G71" s="82">
        <f t="shared" si="6"/>
        <v>0.625</v>
      </c>
      <c r="H71" s="58" cm="1">
        <f t="array" aca="1" ref="H71" ca="1">SUMPRODUCT((COLUMN(O71:BY71)&gt;=MIN(IF(O71:BY71&lt;&gt;"",COLUMN(O71:BY71))))*($O$16:$BY$16&lt;=TODAY())*(O71:BY71))</f>
        <v>5</v>
      </c>
      <c r="I71" s="82">
        <f t="shared" ca="1" si="11"/>
        <v>0.625</v>
      </c>
      <c r="J71" s="98"/>
      <c r="K71" s="98"/>
      <c r="L71" s="84"/>
      <c r="M71" s="8">
        <f t="shared" si="12"/>
        <v>0</v>
      </c>
      <c r="O71" s="65"/>
      <c r="P71" s="65"/>
      <c r="Q71" s="65"/>
      <c r="R71" s="65"/>
      <c r="S71" s="69"/>
      <c r="T71" s="94">
        <v>0</v>
      </c>
      <c r="U71" s="95">
        <v>0</v>
      </c>
      <c r="V71" s="71"/>
      <c r="W71" s="65"/>
      <c r="X71" s="65"/>
      <c r="Y71" s="65"/>
      <c r="Z71" s="65"/>
      <c r="AA71" s="94">
        <v>0</v>
      </c>
      <c r="AB71" s="95">
        <v>0</v>
      </c>
      <c r="AC71" s="65"/>
      <c r="AD71" s="65"/>
      <c r="AE71" s="65"/>
      <c r="AF71" s="65"/>
      <c r="AG71" s="91">
        <v>5</v>
      </c>
      <c r="AH71" s="94">
        <v>0</v>
      </c>
      <c r="AI71" s="95">
        <v>0</v>
      </c>
      <c r="AJ71" s="66"/>
      <c r="AK71" s="66"/>
      <c r="AL71" s="56"/>
      <c r="AM71" s="56"/>
      <c r="AN71" s="108"/>
      <c r="AO71" s="94">
        <v>0</v>
      </c>
      <c r="AP71" s="95">
        <v>0</v>
      </c>
      <c r="AQ71" s="108"/>
      <c r="AR71" s="77"/>
      <c r="AS71" s="74"/>
      <c r="AT71" s="56"/>
      <c r="AU71" s="77"/>
      <c r="AV71" s="94">
        <v>0</v>
      </c>
      <c r="AW71" s="95">
        <v>0</v>
      </c>
      <c r="AX71" s="66"/>
      <c r="AY71" s="66"/>
      <c r="AZ71" s="66"/>
      <c r="BA71" s="78"/>
      <c r="BB71" s="66"/>
      <c r="BC71" s="94">
        <v>0</v>
      </c>
      <c r="BD71" s="95">
        <v>0</v>
      </c>
      <c r="BE71" s="66"/>
      <c r="BF71" s="66"/>
      <c r="BG71" s="66"/>
      <c r="BH71" s="66"/>
      <c r="BI71" s="66"/>
      <c r="BJ71" s="94">
        <v>0</v>
      </c>
      <c r="BK71" s="95">
        <v>0</v>
      </c>
      <c r="BL71" s="66"/>
      <c r="BM71" s="66"/>
      <c r="BN71" s="66"/>
      <c r="BO71" s="66"/>
      <c r="BP71" s="66"/>
      <c r="BQ71" s="94">
        <v>0</v>
      </c>
      <c r="BR71" s="95">
        <v>0</v>
      </c>
      <c r="BS71" s="66"/>
      <c r="BT71" s="66"/>
      <c r="BU71" s="66"/>
      <c r="BV71" s="66"/>
      <c r="BW71" s="66"/>
      <c r="BX71" s="94">
        <v>0</v>
      </c>
      <c r="BY71" s="95">
        <v>0</v>
      </c>
    </row>
    <row r="72" spans="2:77" ht="15" customHeight="1" outlineLevel="1">
      <c r="B72" s="58" t="s">
        <v>209</v>
      </c>
      <c r="C72" s="59" t="s">
        <v>1</v>
      </c>
      <c r="D72" s="59" t="s">
        <v>42</v>
      </c>
      <c r="E72" s="58" t="s">
        <v>233</v>
      </c>
      <c r="F72" s="58">
        <f>SUMIFS('Detalhe Testes'!$F:$F,'Detalhe Testes'!$B:$B,'MacroPlano Equipa'!C72,'Detalhe Testes'!$C:$C,'MacroPlano Equipa'!D72)</f>
        <v>5</v>
      </c>
      <c r="G72" s="82">
        <f t="shared" si="6"/>
        <v>0.625</v>
      </c>
      <c r="H72" s="58" cm="1">
        <f t="array" aca="1" ref="H72" ca="1">SUMPRODUCT((COLUMN(O72:BY72)&gt;=MIN(IF(O72:BY72&lt;&gt;"",COLUMN(O72:BY72))))*($O$16:$BY$16&lt;=TODAY())*(O72:BY72))</f>
        <v>5</v>
      </c>
      <c r="I72" s="82">
        <f t="shared" ca="1" si="11"/>
        <v>0.625</v>
      </c>
      <c r="J72" s="98"/>
      <c r="K72" s="98"/>
      <c r="L72" s="84"/>
      <c r="M72" s="8">
        <f t="shared" si="12"/>
        <v>0</v>
      </c>
      <c r="O72" s="65"/>
      <c r="P72" s="65"/>
      <c r="Q72" s="65"/>
      <c r="R72" s="65"/>
      <c r="S72" s="69"/>
      <c r="T72" s="94">
        <v>0</v>
      </c>
      <c r="U72" s="95">
        <v>0</v>
      </c>
      <c r="V72" s="71"/>
      <c r="W72" s="65"/>
      <c r="X72" s="65"/>
      <c r="Y72" s="65"/>
      <c r="Z72" s="65"/>
      <c r="AA72" s="94">
        <v>0</v>
      </c>
      <c r="AB72" s="95">
        <v>0</v>
      </c>
      <c r="AC72" s="65"/>
      <c r="AD72" s="65"/>
      <c r="AE72" s="65"/>
      <c r="AF72" s="65"/>
      <c r="AG72" s="91">
        <v>2</v>
      </c>
      <c r="AH72" s="94">
        <v>0</v>
      </c>
      <c r="AI72" s="95">
        <v>0</v>
      </c>
      <c r="AJ72" s="91">
        <v>3</v>
      </c>
      <c r="AK72" s="66"/>
      <c r="AL72" s="56"/>
      <c r="AM72" s="56"/>
      <c r="AN72" s="56"/>
      <c r="AO72" s="94">
        <v>0</v>
      </c>
      <c r="AP72" s="95">
        <v>0</v>
      </c>
      <c r="AQ72" s="108"/>
      <c r="AR72" s="77"/>
      <c r="AS72" s="74"/>
      <c r="AT72" s="56"/>
      <c r="AU72" s="77"/>
      <c r="AV72" s="94">
        <v>0</v>
      </c>
      <c r="AW72" s="95">
        <v>0</v>
      </c>
      <c r="AX72" s="66"/>
      <c r="AY72" s="66"/>
      <c r="AZ72" s="66"/>
      <c r="BA72" s="78"/>
      <c r="BB72" s="66"/>
      <c r="BC72" s="94">
        <v>0</v>
      </c>
      <c r="BD72" s="95">
        <v>0</v>
      </c>
      <c r="BE72" s="66"/>
      <c r="BF72" s="66"/>
      <c r="BG72" s="66"/>
      <c r="BH72" s="66"/>
      <c r="BI72" s="66"/>
      <c r="BJ72" s="94">
        <v>0</v>
      </c>
      <c r="BK72" s="95">
        <v>0</v>
      </c>
      <c r="BL72" s="66"/>
      <c r="BM72" s="66"/>
      <c r="BN72" s="66"/>
      <c r="BO72" s="66"/>
      <c r="BP72" s="66"/>
      <c r="BQ72" s="94">
        <v>0</v>
      </c>
      <c r="BR72" s="95">
        <v>0</v>
      </c>
      <c r="BS72" s="66"/>
      <c r="BT72" s="66"/>
      <c r="BU72" s="66"/>
      <c r="BV72" s="66"/>
      <c r="BW72" s="66"/>
      <c r="BX72" s="94">
        <v>0</v>
      </c>
      <c r="BY72" s="95">
        <v>0</v>
      </c>
    </row>
    <row r="73" spans="2:77" ht="15" customHeight="1" outlineLevel="1">
      <c r="B73" s="58" t="s">
        <v>210</v>
      </c>
      <c r="C73" s="59" t="s">
        <v>1</v>
      </c>
      <c r="D73" s="59" t="s">
        <v>43</v>
      </c>
      <c r="E73" s="58" t="s">
        <v>233</v>
      </c>
      <c r="F73" s="58">
        <f>SUMIFS('Detalhe Testes'!$F:$F,'Detalhe Testes'!$B:$B,'MacroPlano Equipa'!C73,'Detalhe Testes'!$C:$C,'MacroPlano Equipa'!D73)</f>
        <v>3</v>
      </c>
      <c r="G73" s="82">
        <f t="shared" si="6"/>
        <v>0.375</v>
      </c>
      <c r="H73" s="58" cm="1">
        <f t="array" aca="1" ref="H73" ca="1">SUMPRODUCT((COLUMN(O73:BY73)&gt;=MIN(IF(O73:BY73&lt;&gt;"",COLUMN(O73:BY73))))*($O$16:$BY$16&lt;=TODAY())*(O73:BY73))</f>
        <v>3</v>
      </c>
      <c r="I73" s="82">
        <f t="shared" ca="1" si="11"/>
        <v>0.375</v>
      </c>
      <c r="J73" s="98"/>
      <c r="K73" s="98"/>
      <c r="L73" s="84"/>
      <c r="M73" s="8">
        <f t="shared" si="12"/>
        <v>0</v>
      </c>
      <c r="O73" s="65"/>
      <c r="P73" s="65"/>
      <c r="Q73" s="65"/>
      <c r="R73" s="65"/>
      <c r="S73" s="69"/>
      <c r="T73" s="94">
        <v>0</v>
      </c>
      <c r="U73" s="95">
        <v>0</v>
      </c>
      <c r="V73" s="71"/>
      <c r="W73" s="65"/>
      <c r="X73" s="65"/>
      <c r="Y73" s="65"/>
      <c r="Z73" s="65"/>
      <c r="AA73" s="94">
        <v>0</v>
      </c>
      <c r="AB73" s="95">
        <v>0</v>
      </c>
      <c r="AC73" s="65"/>
      <c r="AD73" s="65"/>
      <c r="AE73" s="65"/>
      <c r="AF73" s="65"/>
      <c r="AG73" s="65"/>
      <c r="AH73" s="94">
        <v>0</v>
      </c>
      <c r="AI73" s="95">
        <v>0</v>
      </c>
      <c r="AJ73" s="91">
        <v>3</v>
      </c>
      <c r="AK73" s="66"/>
      <c r="AL73" s="56"/>
      <c r="AM73" s="56"/>
      <c r="AN73" s="56"/>
      <c r="AO73" s="94">
        <v>0</v>
      </c>
      <c r="AP73" s="95">
        <v>0</v>
      </c>
      <c r="AQ73" s="72"/>
      <c r="AR73" s="77"/>
      <c r="AS73" s="108"/>
      <c r="AT73" s="56"/>
      <c r="AU73" s="77"/>
      <c r="AV73" s="94">
        <v>0</v>
      </c>
      <c r="AW73" s="95">
        <v>0</v>
      </c>
      <c r="AX73" s="66"/>
      <c r="AY73" s="66"/>
      <c r="AZ73" s="66"/>
      <c r="BA73" s="78"/>
      <c r="BB73" s="66"/>
      <c r="BC73" s="94">
        <v>0</v>
      </c>
      <c r="BD73" s="95">
        <v>0</v>
      </c>
      <c r="BE73" s="66"/>
      <c r="BF73" s="66"/>
      <c r="BG73" s="66"/>
      <c r="BH73" s="66"/>
      <c r="BI73" s="66"/>
      <c r="BJ73" s="94">
        <v>0</v>
      </c>
      <c r="BK73" s="95">
        <v>0</v>
      </c>
      <c r="BL73" s="66"/>
      <c r="BM73" s="66"/>
      <c r="BN73" s="66"/>
      <c r="BO73" s="66"/>
      <c r="BP73" s="66"/>
      <c r="BQ73" s="94">
        <v>0</v>
      </c>
      <c r="BR73" s="95">
        <v>0</v>
      </c>
      <c r="BS73" s="66"/>
      <c r="BT73" s="66"/>
      <c r="BU73" s="66"/>
      <c r="BV73" s="66"/>
      <c r="BW73" s="66"/>
      <c r="BX73" s="94">
        <v>0</v>
      </c>
      <c r="BY73" s="95">
        <v>0</v>
      </c>
    </row>
    <row r="74" spans="2:77" ht="15" customHeight="1" outlineLevel="1">
      <c r="B74" s="58" t="s">
        <v>211</v>
      </c>
      <c r="C74" s="59" t="s">
        <v>1</v>
      </c>
      <c r="D74" s="59" t="s">
        <v>47</v>
      </c>
      <c r="E74" s="58" t="s">
        <v>233</v>
      </c>
      <c r="F74" s="58">
        <f>SUMIFS('Detalhe Testes'!$F:$F,'Detalhe Testes'!$B:$B,'MacroPlano Equipa'!C74,'Detalhe Testes'!$C:$C,'MacroPlano Equipa'!D74)</f>
        <v>3</v>
      </c>
      <c r="G74" s="82">
        <f t="shared" si="6"/>
        <v>0.375</v>
      </c>
      <c r="H74" s="58" cm="1">
        <f t="array" aca="1" ref="H74" ca="1">SUMPRODUCT((COLUMN(O74:BY74)&gt;=MIN(IF(O74:BY74&lt;&gt;"",COLUMN(O74:BY74))))*($O$16:$BY$16&lt;=TODAY())*(O74:BY74))</f>
        <v>3</v>
      </c>
      <c r="I74" s="82">
        <f t="shared" ca="1" si="11"/>
        <v>0.375</v>
      </c>
      <c r="J74" s="98"/>
      <c r="K74" s="98"/>
      <c r="L74" s="84"/>
      <c r="M74" s="8">
        <f t="shared" si="12"/>
        <v>0</v>
      </c>
      <c r="O74" s="65"/>
      <c r="P74" s="65"/>
      <c r="Q74" s="65"/>
      <c r="R74" s="65"/>
      <c r="S74" s="69"/>
      <c r="T74" s="94">
        <v>0</v>
      </c>
      <c r="U74" s="95">
        <v>0</v>
      </c>
      <c r="V74" s="71"/>
      <c r="W74" s="65"/>
      <c r="X74" s="65"/>
      <c r="Y74" s="65"/>
      <c r="Z74" s="65"/>
      <c r="AA74" s="94">
        <v>0</v>
      </c>
      <c r="AB74" s="95">
        <v>0</v>
      </c>
      <c r="AC74" s="65"/>
      <c r="AD74" s="65"/>
      <c r="AE74" s="65"/>
      <c r="AF74" s="65"/>
      <c r="AG74" s="65"/>
      <c r="AH74" s="94">
        <v>0</v>
      </c>
      <c r="AI74" s="95">
        <v>0</v>
      </c>
      <c r="AJ74" s="91">
        <v>2</v>
      </c>
      <c r="AK74" s="91">
        <v>1</v>
      </c>
      <c r="AL74" s="56"/>
      <c r="AM74" s="56"/>
      <c r="AN74" s="56"/>
      <c r="AO74" s="94">
        <v>0</v>
      </c>
      <c r="AP74" s="95">
        <v>0</v>
      </c>
      <c r="AQ74" s="72"/>
      <c r="AR74" s="77"/>
      <c r="AS74" s="108"/>
      <c r="AT74" s="56"/>
      <c r="AU74" s="77"/>
      <c r="AV74" s="94">
        <v>0</v>
      </c>
      <c r="AW74" s="95">
        <v>0</v>
      </c>
      <c r="AX74" s="66"/>
      <c r="AY74" s="66"/>
      <c r="AZ74" s="66"/>
      <c r="BA74" s="78"/>
      <c r="BB74" s="66"/>
      <c r="BC74" s="94">
        <v>0</v>
      </c>
      <c r="BD74" s="95">
        <v>0</v>
      </c>
      <c r="BE74" s="66"/>
      <c r="BF74" s="66"/>
      <c r="BG74" s="66"/>
      <c r="BH74" s="66"/>
      <c r="BI74" s="66"/>
      <c r="BJ74" s="94">
        <v>0</v>
      </c>
      <c r="BK74" s="95">
        <v>0</v>
      </c>
      <c r="BL74" s="66"/>
      <c r="BM74" s="66"/>
      <c r="BN74" s="66"/>
      <c r="BO74" s="66"/>
      <c r="BP74" s="66"/>
      <c r="BQ74" s="94">
        <v>0</v>
      </c>
      <c r="BR74" s="95">
        <v>0</v>
      </c>
      <c r="BS74" s="66"/>
      <c r="BT74" s="66"/>
      <c r="BU74" s="66"/>
      <c r="BV74" s="66"/>
      <c r="BW74" s="66"/>
      <c r="BX74" s="94">
        <v>0</v>
      </c>
      <c r="BY74" s="95">
        <v>0</v>
      </c>
    </row>
    <row r="75" spans="2:77" ht="15" customHeight="1" outlineLevel="1">
      <c r="B75" s="58" t="s">
        <v>212</v>
      </c>
      <c r="C75" s="59" t="s">
        <v>1</v>
      </c>
      <c r="D75" s="59" t="s">
        <v>51</v>
      </c>
      <c r="E75" s="58" t="s">
        <v>233</v>
      </c>
      <c r="F75" s="58">
        <f>SUMIFS('Detalhe Testes'!$F:$F,'Detalhe Testes'!$B:$B,'MacroPlano Equipa'!C75,'Detalhe Testes'!$C:$C,'MacroPlano Equipa'!D75)</f>
        <v>7</v>
      </c>
      <c r="G75" s="82">
        <f t="shared" si="6"/>
        <v>0.875</v>
      </c>
      <c r="H75" s="58" cm="1">
        <f t="array" aca="1" ref="H75" ca="1">SUMPRODUCT((COLUMN(O75:BY75)&gt;=MIN(IF(O75:BY75&lt;&gt;"",COLUMN(O75:BY75))))*($O$16:$BY$16&lt;=TODAY())*(O75:BY75))</f>
        <v>7</v>
      </c>
      <c r="I75" s="82">
        <f t="shared" ca="1" si="11"/>
        <v>0.875</v>
      </c>
      <c r="J75" s="98"/>
      <c r="K75" s="98"/>
      <c r="L75" s="84"/>
      <c r="M75" s="8">
        <f t="shared" si="12"/>
        <v>0</v>
      </c>
      <c r="O75" s="65"/>
      <c r="P75" s="65"/>
      <c r="Q75" s="65"/>
      <c r="R75" s="65"/>
      <c r="S75" s="69"/>
      <c r="T75" s="94">
        <v>0</v>
      </c>
      <c r="U75" s="95">
        <v>0</v>
      </c>
      <c r="V75" s="71"/>
      <c r="W75" s="65"/>
      <c r="X75" s="65"/>
      <c r="Y75" s="65"/>
      <c r="Z75" s="65"/>
      <c r="AA75" s="94">
        <v>0</v>
      </c>
      <c r="AB75" s="95">
        <v>0</v>
      </c>
      <c r="AC75" s="65"/>
      <c r="AD75" s="65"/>
      <c r="AE75" s="65"/>
      <c r="AF75" s="65"/>
      <c r="AG75" s="65"/>
      <c r="AH75" s="94">
        <v>0</v>
      </c>
      <c r="AI75" s="95">
        <v>0</v>
      </c>
      <c r="AJ75" s="66"/>
      <c r="AK75" s="91">
        <v>7</v>
      </c>
      <c r="AL75" s="56"/>
      <c r="AM75" s="56"/>
      <c r="AN75" s="56"/>
      <c r="AO75" s="94">
        <v>0</v>
      </c>
      <c r="AP75" s="95">
        <v>0</v>
      </c>
      <c r="AQ75" s="72"/>
      <c r="AR75" s="77"/>
      <c r="AS75" s="108"/>
      <c r="AT75" s="108"/>
      <c r="AU75" s="77"/>
      <c r="AV75" s="94">
        <v>0</v>
      </c>
      <c r="AW75" s="95">
        <v>0</v>
      </c>
      <c r="AX75" s="56"/>
      <c r="AY75" s="56"/>
      <c r="AZ75" s="56"/>
      <c r="BA75" s="77"/>
      <c r="BB75" s="66"/>
      <c r="BC75" s="94">
        <v>0</v>
      </c>
      <c r="BD75" s="95">
        <v>0</v>
      </c>
      <c r="BE75" s="66"/>
      <c r="BF75" s="66"/>
      <c r="BG75" s="66"/>
      <c r="BH75" s="66"/>
      <c r="BI75" s="66"/>
      <c r="BJ75" s="94">
        <v>0</v>
      </c>
      <c r="BK75" s="95">
        <v>0</v>
      </c>
      <c r="BL75" s="66"/>
      <c r="BM75" s="66"/>
      <c r="BN75" s="66"/>
      <c r="BO75" s="66"/>
      <c r="BP75" s="66"/>
      <c r="BQ75" s="94">
        <v>0</v>
      </c>
      <c r="BR75" s="95">
        <v>0</v>
      </c>
      <c r="BS75" s="66"/>
      <c r="BT75" s="66"/>
      <c r="BU75" s="66"/>
      <c r="BV75" s="66"/>
      <c r="BW75" s="66"/>
      <c r="BX75" s="94">
        <v>0</v>
      </c>
      <c r="BY75" s="95">
        <v>0</v>
      </c>
    </row>
    <row r="76" spans="2:77" ht="15" customHeight="1" outlineLevel="1">
      <c r="B76" s="58" t="s">
        <v>213</v>
      </c>
      <c r="C76" s="59" t="s">
        <v>55</v>
      </c>
      <c r="D76" s="59" t="s">
        <v>36</v>
      </c>
      <c r="E76" s="58" t="s">
        <v>233</v>
      </c>
      <c r="F76" s="58">
        <f>SUMIFS('Detalhe Testes'!$F:$F,'Detalhe Testes'!$B:$B,'MacroPlano Equipa'!C76,'Detalhe Testes'!$C:$C,'MacroPlano Equipa'!D76)</f>
        <v>3</v>
      </c>
      <c r="G76" s="82">
        <f t="shared" si="6"/>
        <v>0.375</v>
      </c>
      <c r="H76" s="58" cm="1">
        <f t="array" aca="1" ref="H76" ca="1">SUMPRODUCT((COLUMN(O76:BY76)&gt;=MIN(IF(O76:BY76&lt;&gt;"",COLUMN(O76:BY76))))*($O$16:$BY$16&lt;=TODAY())*(O76:BY76))</f>
        <v>3</v>
      </c>
      <c r="I76" s="82">
        <f t="shared" ca="1" si="11"/>
        <v>0.375</v>
      </c>
      <c r="J76" s="98"/>
      <c r="K76" s="98"/>
      <c r="L76" s="84"/>
      <c r="M76" s="8">
        <f t="shared" si="12"/>
        <v>0</v>
      </c>
      <c r="O76" s="65"/>
      <c r="P76" s="65"/>
      <c r="Q76" s="65"/>
      <c r="R76" s="65"/>
      <c r="S76" s="69"/>
      <c r="T76" s="94">
        <v>0</v>
      </c>
      <c r="U76" s="95">
        <v>0</v>
      </c>
      <c r="V76" s="71"/>
      <c r="W76" s="65"/>
      <c r="X76" s="65"/>
      <c r="Y76" s="65"/>
      <c r="Z76" s="65"/>
      <c r="AA76" s="94">
        <v>0</v>
      </c>
      <c r="AB76" s="95">
        <v>0</v>
      </c>
      <c r="AC76" s="65"/>
      <c r="AD76" s="65"/>
      <c r="AE76" s="65"/>
      <c r="AF76" s="65"/>
      <c r="AG76" s="65"/>
      <c r="AH76" s="94">
        <v>0</v>
      </c>
      <c r="AI76" s="95">
        <v>0</v>
      </c>
      <c r="AJ76" s="66"/>
      <c r="AK76" s="66"/>
      <c r="AL76" s="91">
        <v>3</v>
      </c>
      <c r="AM76" s="56"/>
      <c r="AN76" s="56"/>
      <c r="AO76" s="94">
        <v>0</v>
      </c>
      <c r="AP76" s="95">
        <v>0</v>
      </c>
      <c r="AQ76" s="72"/>
      <c r="AR76" s="77"/>
      <c r="AS76" s="74"/>
      <c r="AT76" s="108"/>
      <c r="AU76" s="77"/>
      <c r="AV76" s="94">
        <v>0</v>
      </c>
      <c r="AW76" s="95">
        <v>0</v>
      </c>
      <c r="AX76" s="56"/>
      <c r="AY76" s="56"/>
      <c r="AZ76" s="56"/>
      <c r="BA76" s="77"/>
      <c r="BB76" s="66"/>
      <c r="BC76" s="94">
        <v>0</v>
      </c>
      <c r="BD76" s="95">
        <v>0</v>
      </c>
      <c r="BE76" s="66"/>
      <c r="BF76" s="66"/>
      <c r="BG76" s="66"/>
      <c r="BH76" s="66"/>
      <c r="BI76" s="66"/>
      <c r="BJ76" s="94">
        <v>0</v>
      </c>
      <c r="BK76" s="95">
        <v>0</v>
      </c>
      <c r="BL76" s="66"/>
      <c r="BM76" s="66"/>
      <c r="BN76" s="66"/>
      <c r="BO76" s="66"/>
      <c r="BP76" s="66"/>
      <c r="BQ76" s="94">
        <v>0</v>
      </c>
      <c r="BR76" s="95">
        <v>0</v>
      </c>
      <c r="BS76" s="66"/>
      <c r="BT76" s="66"/>
      <c r="BU76" s="66"/>
      <c r="BV76" s="66"/>
      <c r="BW76" s="66"/>
      <c r="BX76" s="94">
        <v>0</v>
      </c>
      <c r="BY76" s="95">
        <v>0</v>
      </c>
    </row>
    <row r="77" spans="2:77" ht="15" customHeight="1" outlineLevel="1">
      <c r="B77" s="58" t="s">
        <v>214</v>
      </c>
      <c r="C77" s="59" t="s">
        <v>55</v>
      </c>
      <c r="D77" s="59" t="s">
        <v>38</v>
      </c>
      <c r="E77" s="58" t="s">
        <v>233</v>
      </c>
      <c r="F77" s="58">
        <f>SUMIFS('Detalhe Testes'!$F:$F,'Detalhe Testes'!$B:$B,'MacroPlano Equipa'!C77,'Detalhe Testes'!$C:$C,'MacroPlano Equipa'!D77)</f>
        <v>3</v>
      </c>
      <c r="G77" s="82">
        <f t="shared" si="6"/>
        <v>0.375</v>
      </c>
      <c r="H77" s="58" cm="1">
        <f t="array" aca="1" ref="H77" ca="1">SUMPRODUCT((COLUMN(O77:BY77)&gt;=MIN(IF(O77:BY77&lt;&gt;"",COLUMN(O77:BY77))))*($O$16:$BY$16&lt;=TODAY())*(O77:BY77))</f>
        <v>3</v>
      </c>
      <c r="I77" s="82">
        <f t="shared" ca="1" si="11"/>
        <v>0.375</v>
      </c>
      <c r="J77" s="98"/>
      <c r="K77" s="98"/>
      <c r="L77" s="84"/>
      <c r="M77" s="8">
        <f t="shared" si="12"/>
        <v>0</v>
      </c>
      <c r="O77" s="65"/>
      <c r="P77" s="65"/>
      <c r="Q77" s="65"/>
      <c r="R77" s="65"/>
      <c r="S77" s="69"/>
      <c r="T77" s="94">
        <v>0</v>
      </c>
      <c r="U77" s="95">
        <v>0</v>
      </c>
      <c r="V77" s="71"/>
      <c r="W77" s="65"/>
      <c r="X77" s="65"/>
      <c r="Y77" s="65"/>
      <c r="Z77" s="65"/>
      <c r="AA77" s="94">
        <v>0</v>
      </c>
      <c r="AB77" s="95">
        <v>0</v>
      </c>
      <c r="AC77" s="65"/>
      <c r="AD77" s="65"/>
      <c r="AE77" s="65"/>
      <c r="AF77" s="65"/>
      <c r="AG77" s="65"/>
      <c r="AH77" s="94">
        <v>0</v>
      </c>
      <c r="AI77" s="95">
        <v>0</v>
      </c>
      <c r="AJ77" s="66"/>
      <c r="AK77" s="66"/>
      <c r="AL77" s="91">
        <v>3</v>
      </c>
      <c r="AM77" s="56"/>
      <c r="AN77" s="56"/>
      <c r="AO77" s="94">
        <v>0</v>
      </c>
      <c r="AP77" s="95">
        <v>0</v>
      </c>
      <c r="AQ77" s="72"/>
      <c r="AR77" s="77"/>
      <c r="AS77" s="74"/>
      <c r="AT77" s="56"/>
      <c r="AU77" s="77"/>
      <c r="AV77" s="94">
        <v>0</v>
      </c>
      <c r="AW77" s="95">
        <v>0</v>
      </c>
      <c r="AX77" s="108"/>
      <c r="AY77" s="56"/>
      <c r="AZ77" s="56"/>
      <c r="BA77" s="77"/>
      <c r="BB77" s="66"/>
      <c r="BC77" s="94">
        <v>0</v>
      </c>
      <c r="BD77" s="95">
        <v>0</v>
      </c>
      <c r="BE77" s="66"/>
      <c r="BF77" s="66"/>
      <c r="BG77" s="66"/>
      <c r="BH77" s="66"/>
      <c r="BI77" s="66"/>
      <c r="BJ77" s="94">
        <v>0</v>
      </c>
      <c r="BK77" s="95">
        <v>0</v>
      </c>
      <c r="BL77" s="66"/>
      <c r="BM77" s="66"/>
      <c r="BN77" s="66"/>
      <c r="BO77" s="66"/>
      <c r="BP77" s="66"/>
      <c r="BQ77" s="94">
        <v>0</v>
      </c>
      <c r="BR77" s="95">
        <v>0</v>
      </c>
      <c r="BS77" s="66"/>
      <c r="BT77" s="66"/>
      <c r="BU77" s="66"/>
      <c r="BV77" s="66"/>
      <c r="BW77" s="66"/>
      <c r="BX77" s="94">
        <v>0</v>
      </c>
      <c r="BY77" s="95">
        <v>0</v>
      </c>
    </row>
    <row r="78" spans="2:77" ht="15" customHeight="1" outlineLevel="1">
      <c r="B78" s="58" t="s">
        <v>215</v>
      </c>
      <c r="C78" s="59" t="s">
        <v>55</v>
      </c>
      <c r="D78" s="59" t="s">
        <v>56</v>
      </c>
      <c r="E78" s="58" t="s">
        <v>233</v>
      </c>
      <c r="F78" s="58">
        <f>SUMIFS('Detalhe Testes'!$F:$F,'Detalhe Testes'!$B:$B,'MacroPlano Equipa'!C78,'Detalhe Testes'!$C:$C,'MacroPlano Equipa'!D78)</f>
        <v>3</v>
      </c>
      <c r="G78" s="82">
        <f t="shared" si="6"/>
        <v>0.375</v>
      </c>
      <c r="H78" s="58" cm="1">
        <f t="array" aca="1" ref="H78" ca="1">SUMPRODUCT((COLUMN(O78:BY78)&gt;=MIN(IF(O78:BY78&lt;&gt;"",COLUMN(O78:BY78))))*($O$16:$BY$16&lt;=TODAY())*(O78:BY78))</f>
        <v>3</v>
      </c>
      <c r="I78" s="82">
        <f t="shared" ca="1" si="11"/>
        <v>0.375</v>
      </c>
      <c r="J78" s="98"/>
      <c r="K78" s="98"/>
      <c r="L78" s="84"/>
      <c r="M78" s="8">
        <f t="shared" si="12"/>
        <v>0</v>
      </c>
      <c r="O78" s="65"/>
      <c r="P78" s="65"/>
      <c r="Q78" s="65"/>
      <c r="R78" s="65"/>
      <c r="S78" s="69"/>
      <c r="T78" s="94">
        <v>0</v>
      </c>
      <c r="U78" s="95">
        <v>0</v>
      </c>
      <c r="V78" s="71"/>
      <c r="W78" s="65"/>
      <c r="X78" s="65"/>
      <c r="Y78" s="65"/>
      <c r="Z78" s="65"/>
      <c r="AA78" s="94">
        <v>0</v>
      </c>
      <c r="AB78" s="95">
        <v>0</v>
      </c>
      <c r="AC78" s="65"/>
      <c r="AD78" s="65"/>
      <c r="AE78" s="65"/>
      <c r="AF78" s="65"/>
      <c r="AG78" s="65"/>
      <c r="AH78" s="94">
        <v>0</v>
      </c>
      <c r="AI78" s="95">
        <v>0</v>
      </c>
      <c r="AJ78" s="66"/>
      <c r="AK78" s="66"/>
      <c r="AL78" s="91">
        <v>2</v>
      </c>
      <c r="AM78" s="91">
        <v>1</v>
      </c>
      <c r="AN78" s="66"/>
      <c r="AO78" s="94">
        <v>0</v>
      </c>
      <c r="AP78" s="95">
        <v>0</v>
      </c>
      <c r="AQ78" s="73"/>
      <c r="AR78" s="78"/>
      <c r="AS78" s="75"/>
      <c r="AT78" s="66"/>
      <c r="AU78" s="78"/>
      <c r="AV78" s="94">
        <v>0</v>
      </c>
      <c r="AW78" s="95">
        <v>0</v>
      </c>
      <c r="AX78" s="108"/>
      <c r="AY78" s="56"/>
      <c r="AZ78" s="56"/>
      <c r="BA78" s="77"/>
      <c r="BB78" s="66"/>
      <c r="BC78" s="94">
        <v>0</v>
      </c>
      <c r="BD78" s="95">
        <v>0</v>
      </c>
      <c r="BE78" s="66"/>
      <c r="BF78" s="66"/>
      <c r="BG78" s="66"/>
      <c r="BH78" s="66"/>
      <c r="BI78" s="66"/>
      <c r="BJ78" s="94">
        <v>0</v>
      </c>
      <c r="BK78" s="95">
        <v>0</v>
      </c>
      <c r="BL78" s="66"/>
      <c r="BM78" s="66"/>
      <c r="BN78" s="66"/>
      <c r="BO78" s="66"/>
      <c r="BP78" s="66"/>
      <c r="BQ78" s="94">
        <v>0</v>
      </c>
      <c r="BR78" s="95">
        <v>0</v>
      </c>
      <c r="BS78" s="66"/>
      <c r="BT78" s="66"/>
      <c r="BU78" s="66"/>
      <c r="BV78" s="66"/>
      <c r="BW78" s="66"/>
      <c r="BX78" s="94">
        <v>0</v>
      </c>
      <c r="BY78" s="95">
        <v>0</v>
      </c>
    </row>
    <row r="79" spans="2:77" ht="15" customHeight="1" outlineLevel="1">
      <c r="B79" s="58" t="s">
        <v>216</v>
      </c>
      <c r="C79" s="59" t="s">
        <v>55</v>
      </c>
      <c r="D79" s="59" t="s">
        <v>57</v>
      </c>
      <c r="E79" s="58" t="s">
        <v>233</v>
      </c>
      <c r="F79" s="58">
        <f>SUMIFS('Detalhe Testes'!$F:$F,'Detalhe Testes'!$B:$B,'MacroPlano Equipa'!C79,'Detalhe Testes'!$C:$C,'MacroPlano Equipa'!D79)</f>
        <v>5</v>
      </c>
      <c r="G79" s="82">
        <f t="shared" si="6"/>
        <v>0.625</v>
      </c>
      <c r="H79" s="58" cm="1">
        <f t="array" aca="1" ref="H79" ca="1">SUMPRODUCT((COLUMN(O79:BY79)&gt;=MIN(IF(O79:BY79&lt;&gt;"",COLUMN(O79:BY79))))*($O$16:$BY$16&lt;=TODAY())*(O79:BY79))</f>
        <v>5</v>
      </c>
      <c r="I79" s="82">
        <f t="shared" ca="1" si="11"/>
        <v>0.625</v>
      </c>
      <c r="J79" s="98"/>
      <c r="K79" s="98"/>
      <c r="L79" s="84"/>
      <c r="M79" s="8">
        <f t="shared" si="12"/>
        <v>0</v>
      </c>
      <c r="O79" s="65"/>
      <c r="P79" s="65"/>
      <c r="Q79" s="65"/>
      <c r="R79" s="65"/>
      <c r="S79" s="69"/>
      <c r="T79" s="94">
        <v>0</v>
      </c>
      <c r="U79" s="95">
        <v>0</v>
      </c>
      <c r="V79" s="71"/>
      <c r="W79" s="65"/>
      <c r="X79" s="65"/>
      <c r="Y79" s="65"/>
      <c r="Z79" s="65"/>
      <c r="AA79" s="94">
        <v>0</v>
      </c>
      <c r="AB79" s="95">
        <v>0</v>
      </c>
      <c r="AC79" s="65"/>
      <c r="AD79" s="65"/>
      <c r="AE79" s="65"/>
      <c r="AF79" s="65"/>
      <c r="AG79" s="65"/>
      <c r="AH79" s="94">
        <v>0</v>
      </c>
      <c r="AI79" s="95">
        <v>0</v>
      </c>
      <c r="AJ79" s="66"/>
      <c r="AK79" s="66"/>
      <c r="AL79" s="66"/>
      <c r="AM79" s="91">
        <v>5</v>
      </c>
      <c r="AN79" s="66"/>
      <c r="AO79" s="94">
        <v>0</v>
      </c>
      <c r="AP79" s="95">
        <v>0</v>
      </c>
      <c r="AQ79" s="73"/>
      <c r="AR79" s="78"/>
      <c r="AS79" s="75"/>
      <c r="AT79" s="66"/>
      <c r="AU79" s="78"/>
      <c r="AV79" s="94">
        <v>0</v>
      </c>
      <c r="AW79" s="95">
        <v>0</v>
      </c>
      <c r="AX79" s="108"/>
      <c r="AY79" s="56"/>
      <c r="AZ79" s="56"/>
      <c r="BA79" s="77"/>
      <c r="BB79" s="66"/>
      <c r="BC79" s="94">
        <v>0</v>
      </c>
      <c r="BD79" s="95">
        <v>0</v>
      </c>
      <c r="BE79" s="66"/>
      <c r="BF79" s="66"/>
      <c r="BG79" s="66"/>
      <c r="BH79" s="66"/>
      <c r="BI79" s="66"/>
      <c r="BJ79" s="94">
        <v>0</v>
      </c>
      <c r="BK79" s="95">
        <v>0</v>
      </c>
      <c r="BL79" s="66"/>
      <c r="BM79" s="66"/>
      <c r="BN79" s="66"/>
      <c r="BO79" s="66"/>
      <c r="BP79" s="66"/>
      <c r="BQ79" s="94">
        <v>0</v>
      </c>
      <c r="BR79" s="95">
        <v>0</v>
      </c>
      <c r="BS79" s="66"/>
      <c r="BT79" s="66"/>
      <c r="BU79" s="66"/>
      <c r="BV79" s="66"/>
      <c r="BW79" s="66"/>
      <c r="BX79" s="94">
        <v>0</v>
      </c>
      <c r="BY79" s="95">
        <v>0</v>
      </c>
    </row>
    <row r="80" spans="2:77" ht="15" customHeight="1" outlineLevel="1">
      <c r="B80" s="58" t="s">
        <v>217</v>
      </c>
      <c r="C80" s="59" t="s">
        <v>55</v>
      </c>
      <c r="D80" s="59" t="s">
        <v>58</v>
      </c>
      <c r="E80" s="58" t="s">
        <v>233</v>
      </c>
      <c r="F80" s="58">
        <f>SUMIFS('Detalhe Testes'!$F:$F,'Detalhe Testes'!$B:$B,'MacroPlano Equipa'!C80,'Detalhe Testes'!$C:$C,'MacroPlano Equipa'!D80)</f>
        <v>3</v>
      </c>
      <c r="G80" s="82">
        <f t="shared" si="6"/>
        <v>0.375</v>
      </c>
      <c r="H80" s="58" cm="1">
        <f t="array" aca="1" ref="H80" ca="1">SUMPRODUCT((COLUMN(O80:BY80)&gt;=MIN(IF(O80:BY80&lt;&gt;"",COLUMN(O80:BY80))))*($O$16:$BY$16&lt;=TODAY())*(O80:BY80))</f>
        <v>3</v>
      </c>
      <c r="I80" s="82">
        <f t="shared" ca="1" si="11"/>
        <v>0.375</v>
      </c>
      <c r="J80" s="98"/>
      <c r="K80" s="98"/>
      <c r="L80" s="84"/>
      <c r="M80" s="8">
        <f t="shared" si="12"/>
        <v>0</v>
      </c>
      <c r="O80" s="65"/>
      <c r="P80" s="65"/>
      <c r="Q80" s="65"/>
      <c r="R80" s="65"/>
      <c r="S80" s="69"/>
      <c r="T80" s="94">
        <v>0</v>
      </c>
      <c r="U80" s="95">
        <v>0</v>
      </c>
      <c r="V80" s="71"/>
      <c r="W80" s="65"/>
      <c r="X80" s="65"/>
      <c r="Y80" s="65"/>
      <c r="Z80" s="65"/>
      <c r="AA80" s="94">
        <v>0</v>
      </c>
      <c r="AB80" s="95">
        <v>0</v>
      </c>
      <c r="AC80" s="65"/>
      <c r="AD80" s="65"/>
      <c r="AE80" s="65"/>
      <c r="AF80" s="65"/>
      <c r="AG80" s="65"/>
      <c r="AH80" s="94">
        <v>0</v>
      </c>
      <c r="AI80" s="95">
        <v>0</v>
      </c>
      <c r="AJ80" s="66"/>
      <c r="AK80" s="66"/>
      <c r="AL80" s="66"/>
      <c r="AM80" s="91">
        <v>2</v>
      </c>
      <c r="AN80" s="91">
        <v>1</v>
      </c>
      <c r="AO80" s="94">
        <v>0</v>
      </c>
      <c r="AP80" s="95">
        <v>0</v>
      </c>
      <c r="AQ80" s="73"/>
      <c r="AR80" s="78"/>
      <c r="AS80" s="75"/>
      <c r="AT80" s="66"/>
      <c r="AU80" s="78"/>
      <c r="AV80" s="94">
        <v>0</v>
      </c>
      <c r="AW80" s="95">
        <v>0</v>
      </c>
      <c r="AX80" s="108"/>
      <c r="AY80" s="56"/>
      <c r="AZ80" s="56"/>
      <c r="BA80" s="77"/>
      <c r="BB80" s="66"/>
      <c r="BC80" s="94">
        <v>0</v>
      </c>
      <c r="BD80" s="95">
        <v>0</v>
      </c>
      <c r="BE80" s="66"/>
      <c r="BF80" s="66"/>
      <c r="BG80" s="66"/>
      <c r="BH80" s="66"/>
      <c r="BI80" s="66"/>
      <c r="BJ80" s="94">
        <v>0</v>
      </c>
      <c r="BK80" s="95">
        <v>0</v>
      </c>
      <c r="BL80" s="66"/>
      <c r="BM80" s="66"/>
      <c r="BN80" s="66"/>
      <c r="BO80" s="66"/>
      <c r="BP80" s="66"/>
      <c r="BQ80" s="94">
        <v>0</v>
      </c>
      <c r="BR80" s="95">
        <v>0</v>
      </c>
      <c r="BS80" s="66"/>
      <c r="BT80" s="66"/>
      <c r="BU80" s="66"/>
      <c r="BV80" s="66"/>
      <c r="BW80" s="66"/>
      <c r="BX80" s="94">
        <v>0</v>
      </c>
      <c r="BY80" s="95">
        <v>0</v>
      </c>
    </row>
    <row r="81" spans="2:77" ht="15" customHeight="1" outlineLevel="1">
      <c r="B81" s="58" t="s">
        <v>218</v>
      </c>
      <c r="C81" s="59" t="s">
        <v>55</v>
      </c>
      <c r="D81" s="59" t="s">
        <v>60</v>
      </c>
      <c r="E81" s="58" t="s">
        <v>233</v>
      </c>
      <c r="F81" s="58">
        <f>SUMIFS('Detalhe Testes'!$F:$F,'Detalhe Testes'!$B:$B,'MacroPlano Equipa'!C81,'Detalhe Testes'!$C:$C,'MacroPlano Equipa'!D81)</f>
        <v>7</v>
      </c>
      <c r="G81" s="82">
        <f t="shared" si="6"/>
        <v>0.875</v>
      </c>
      <c r="H81" s="58" cm="1">
        <f t="array" aca="1" ref="H81" ca="1">SUMPRODUCT((COLUMN(O81:BY81)&gt;=MIN(IF(O81:BY81&lt;&gt;"",COLUMN(O81:BY81))))*($O$16:$BY$16&lt;=TODAY())*(O81:BY81))</f>
        <v>7</v>
      </c>
      <c r="I81" s="82">
        <f t="shared" ca="1" si="11"/>
        <v>0.875</v>
      </c>
      <c r="J81" s="98"/>
      <c r="K81" s="98"/>
      <c r="L81" s="84"/>
      <c r="M81" s="8">
        <f t="shared" si="12"/>
        <v>0</v>
      </c>
      <c r="O81" s="65"/>
      <c r="P81" s="65"/>
      <c r="Q81" s="65"/>
      <c r="R81" s="65"/>
      <c r="S81" s="69"/>
      <c r="T81" s="94">
        <v>0</v>
      </c>
      <c r="U81" s="95">
        <v>0</v>
      </c>
      <c r="V81" s="71"/>
      <c r="W81" s="65"/>
      <c r="X81" s="65"/>
      <c r="Y81" s="65"/>
      <c r="Z81" s="65"/>
      <c r="AA81" s="94">
        <v>0</v>
      </c>
      <c r="AB81" s="95">
        <v>0</v>
      </c>
      <c r="AC81" s="65"/>
      <c r="AD81" s="65"/>
      <c r="AE81" s="65"/>
      <c r="AF81" s="65"/>
      <c r="AG81" s="65"/>
      <c r="AH81" s="94">
        <v>0</v>
      </c>
      <c r="AI81" s="95">
        <v>0</v>
      </c>
      <c r="AJ81" s="66"/>
      <c r="AK81" s="66"/>
      <c r="AL81" s="66"/>
      <c r="AM81" s="66"/>
      <c r="AN81" s="91">
        <v>7</v>
      </c>
      <c r="AO81" s="94">
        <v>0</v>
      </c>
      <c r="AP81" s="95">
        <v>0</v>
      </c>
      <c r="AQ81" s="73"/>
      <c r="AR81" s="78"/>
      <c r="AS81" s="75"/>
      <c r="AT81" s="66"/>
      <c r="AU81" s="78"/>
      <c r="AV81" s="94">
        <v>0</v>
      </c>
      <c r="AW81" s="95">
        <v>0</v>
      </c>
      <c r="AX81" s="108"/>
      <c r="AY81" s="108"/>
      <c r="AZ81" s="56"/>
      <c r="BA81" s="77"/>
      <c r="BB81" s="66"/>
      <c r="BC81" s="94">
        <v>0</v>
      </c>
      <c r="BD81" s="95">
        <v>0</v>
      </c>
      <c r="BE81" s="66"/>
      <c r="BF81" s="66"/>
      <c r="BG81" s="66"/>
      <c r="BH81" s="66"/>
      <c r="BI81" s="66"/>
      <c r="BJ81" s="94">
        <v>0</v>
      </c>
      <c r="BK81" s="95">
        <v>0</v>
      </c>
      <c r="BL81" s="66"/>
      <c r="BM81" s="66"/>
      <c r="BN81" s="66"/>
      <c r="BO81" s="66"/>
      <c r="BP81" s="66"/>
      <c r="BQ81" s="94">
        <v>0</v>
      </c>
      <c r="BR81" s="95">
        <v>0</v>
      </c>
      <c r="BS81" s="66"/>
      <c r="BT81" s="66"/>
      <c r="BU81" s="66"/>
      <c r="BV81" s="66"/>
      <c r="BW81" s="66"/>
      <c r="BX81" s="94">
        <v>0</v>
      </c>
      <c r="BY81" s="95">
        <v>0</v>
      </c>
    </row>
    <row r="82" spans="2:77" ht="15" customHeight="1" outlineLevel="1">
      <c r="B82" s="58" t="s">
        <v>219</v>
      </c>
      <c r="C82" s="59" t="s">
        <v>61</v>
      </c>
      <c r="D82" s="59" t="s">
        <v>89</v>
      </c>
      <c r="E82" s="58" t="s">
        <v>233</v>
      </c>
      <c r="F82" s="58">
        <f>SUMIFS('Detalhe Testes'!$F:$F,'Detalhe Testes'!$B:$B,'MacroPlano Equipa'!C82,'Detalhe Testes'!$C:$C,'MacroPlano Equipa'!D82)</f>
        <v>6</v>
      </c>
      <c r="G82" s="82">
        <f t="shared" si="6"/>
        <v>0.75</v>
      </c>
      <c r="H82" s="58" cm="1">
        <f t="array" aca="1" ref="H82" ca="1">SUMPRODUCT((COLUMN(O82:BY82)&gt;=MIN(IF(O82:BY82&lt;&gt;"",COLUMN(O82:BY82))))*($O$16:$BY$16&lt;=TODAY())*(O82:BY82))</f>
        <v>6</v>
      </c>
      <c r="I82" s="82">
        <f t="shared" ca="1" si="11"/>
        <v>0.75</v>
      </c>
      <c r="J82" s="98"/>
      <c r="K82" s="98"/>
      <c r="L82" s="84"/>
      <c r="M82" s="8">
        <f t="shared" si="12"/>
        <v>0</v>
      </c>
      <c r="O82" s="65"/>
      <c r="P82" s="65"/>
      <c r="Q82" s="65"/>
      <c r="R82" s="65"/>
      <c r="S82" s="69"/>
      <c r="T82" s="94">
        <v>0</v>
      </c>
      <c r="U82" s="95">
        <v>0</v>
      </c>
      <c r="V82" s="71"/>
      <c r="W82" s="65"/>
      <c r="X82" s="65"/>
      <c r="Y82" s="65"/>
      <c r="Z82" s="65"/>
      <c r="AA82" s="94">
        <v>0</v>
      </c>
      <c r="AB82" s="95">
        <v>0</v>
      </c>
      <c r="AC82" s="65"/>
      <c r="AD82" s="65"/>
      <c r="AE82" s="65"/>
      <c r="AF82" s="65"/>
      <c r="AG82" s="65"/>
      <c r="AH82" s="94">
        <v>0</v>
      </c>
      <c r="AI82" s="95">
        <v>0</v>
      </c>
      <c r="AJ82" s="66"/>
      <c r="AK82" s="66"/>
      <c r="AL82" s="66"/>
      <c r="AM82" s="66"/>
      <c r="AN82" s="66"/>
      <c r="AO82" s="94">
        <v>0</v>
      </c>
      <c r="AP82" s="95">
        <v>0</v>
      </c>
      <c r="AQ82" s="91">
        <v>6</v>
      </c>
      <c r="AR82" s="78"/>
      <c r="AS82" s="75"/>
      <c r="AT82" s="66"/>
      <c r="AU82" s="78"/>
      <c r="AV82" s="94">
        <v>0</v>
      </c>
      <c r="AW82" s="95">
        <v>0</v>
      </c>
      <c r="AX82" s="56"/>
      <c r="AY82" s="108"/>
      <c r="AZ82" s="56"/>
      <c r="BA82" s="77"/>
      <c r="BB82" s="66"/>
      <c r="BC82" s="94">
        <v>0</v>
      </c>
      <c r="BD82" s="95">
        <v>0</v>
      </c>
      <c r="BE82" s="66"/>
      <c r="BF82" s="66"/>
      <c r="BG82" s="66"/>
      <c r="BH82" s="66"/>
      <c r="BI82" s="66"/>
      <c r="BJ82" s="94">
        <v>0</v>
      </c>
      <c r="BK82" s="95">
        <v>0</v>
      </c>
      <c r="BL82" s="66"/>
      <c r="BM82" s="66"/>
      <c r="BN82" s="66"/>
      <c r="BO82" s="66"/>
      <c r="BP82" s="66"/>
      <c r="BQ82" s="94">
        <v>0</v>
      </c>
      <c r="BR82" s="95">
        <v>0</v>
      </c>
      <c r="BS82" s="66"/>
      <c r="BT82" s="66"/>
      <c r="BU82" s="66"/>
      <c r="BV82" s="66"/>
      <c r="BW82" s="66"/>
      <c r="BX82" s="94">
        <v>0</v>
      </c>
      <c r="BY82" s="95">
        <v>0</v>
      </c>
    </row>
    <row r="83" spans="2:77" ht="15" customHeight="1" outlineLevel="1">
      <c r="B83" s="58" t="s">
        <v>220</v>
      </c>
      <c r="C83" s="59" t="s">
        <v>61</v>
      </c>
      <c r="D83" s="59" t="s">
        <v>36</v>
      </c>
      <c r="E83" s="58" t="s">
        <v>233</v>
      </c>
      <c r="F83" s="58">
        <f>SUMIFS('Detalhe Testes'!$F:$F,'Detalhe Testes'!$B:$B,'MacroPlano Equipa'!C83,'Detalhe Testes'!$C:$C,'MacroPlano Equipa'!D83)</f>
        <v>3</v>
      </c>
      <c r="G83" s="82">
        <f t="shared" si="6"/>
        <v>0.375</v>
      </c>
      <c r="H83" s="58" cm="1">
        <f t="array" aca="1" ref="H83" ca="1">SUMPRODUCT((COLUMN(O83:BY83)&gt;=MIN(IF(O83:BY83&lt;&gt;"",COLUMN(O83:BY83))))*($O$16:$BY$16&lt;=TODAY())*(O83:BY83))</f>
        <v>3</v>
      </c>
      <c r="I83" s="82">
        <f t="shared" ca="1" si="11"/>
        <v>0.375</v>
      </c>
      <c r="J83" s="98"/>
      <c r="K83" s="98"/>
      <c r="L83" s="84"/>
      <c r="M83" s="8">
        <f t="shared" si="12"/>
        <v>0</v>
      </c>
      <c r="O83" s="65"/>
      <c r="P83" s="65"/>
      <c r="Q83" s="65"/>
      <c r="R83" s="65"/>
      <c r="S83" s="69"/>
      <c r="T83" s="94">
        <v>0</v>
      </c>
      <c r="U83" s="95">
        <v>0</v>
      </c>
      <c r="V83" s="71"/>
      <c r="W83" s="65"/>
      <c r="X83" s="65"/>
      <c r="Y83" s="65"/>
      <c r="Z83" s="65"/>
      <c r="AA83" s="94">
        <v>0</v>
      </c>
      <c r="AB83" s="95">
        <v>0</v>
      </c>
      <c r="AC83" s="65"/>
      <c r="AD83" s="65"/>
      <c r="AE83" s="65"/>
      <c r="AF83" s="65"/>
      <c r="AG83" s="65"/>
      <c r="AH83" s="94">
        <v>0</v>
      </c>
      <c r="AI83" s="95">
        <v>0</v>
      </c>
      <c r="AJ83" s="66"/>
      <c r="AK83" s="66"/>
      <c r="AL83" s="66"/>
      <c r="AM83" s="66"/>
      <c r="AN83" s="66"/>
      <c r="AO83" s="94">
        <v>0</v>
      </c>
      <c r="AP83" s="95">
        <v>0</v>
      </c>
      <c r="AQ83" s="91">
        <v>2</v>
      </c>
      <c r="AR83" s="78"/>
      <c r="AS83" s="91">
        <v>1</v>
      </c>
      <c r="AT83" s="66"/>
      <c r="AU83" s="78"/>
      <c r="AV83" s="94">
        <v>0</v>
      </c>
      <c r="AW83" s="95">
        <v>0</v>
      </c>
      <c r="AX83" s="56"/>
      <c r="AY83" s="108"/>
      <c r="AZ83" s="56"/>
      <c r="BA83" s="77"/>
      <c r="BB83" s="66"/>
      <c r="BC83" s="94">
        <v>0</v>
      </c>
      <c r="BD83" s="95">
        <v>0</v>
      </c>
      <c r="BE83" s="66"/>
      <c r="BF83" s="66"/>
      <c r="BG83" s="66"/>
      <c r="BH83" s="66"/>
      <c r="BI83" s="66"/>
      <c r="BJ83" s="94">
        <v>0</v>
      </c>
      <c r="BK83" s="95">
        <v>0</v>
      </c>
      <c r="BL83" s="66"/>
      <c r="BM83" s="66"/>
      <c r="BN83" s="66"/>
      <c r="BO83" s="66"/>
      <c r="BP83" s="66"/>
      <c r="BQ83" s="94">
        <v>0</v>
      </c>
      <c r="BR83" s="95">
        <v>0</v>
      </c>
      <c r="BS83" s="66"/>
      <c r="BT83" s="66"/>
      <c r="BU83" s="66"/>
      <c r="BV83" s="66"/>
      <c r="BW83" s="66"/>
      <c r="BX83" s="94">
        <v>0</v>
      </c>
      <c r="BY83" s="95">
        <v>0</v>
      </c>
    </row>
    <row r="84" spans="2:77" ht="15" customHeight="1" outlineLevel="1">
      <c r="B84" s="58" t="s">
        <v>221</v>
      </c>
      <c r="C84" s="59" t="s">
        <v>61</v>
      </c>
      <c r="D84" s="59" t="s">
        <v>38</v>
      </c>
      <c r="E84" s="58" t="s">
        <v>233</v>
      </c>
      <c r="F84" s="58">
        <f>SUMIFS('Detalhe Testes'!$F:$F,'Detalhe Testes'!$B:$B,'MacroPlano Equipa'!C84,'Detalhe Testes'!$C:$C,'MacroPlano Equipa'!D84)</f>
        <v>3</v>
      </c>
      <c r="G84" s="82">
        <f t="shared" si="6"/>
        <v>0.375</v>
      </c>
      <c r="H84" s="58" cm="1">
        <f t="array" aca="1" ref="H84" ca="1">SUMPRODUCT((COLUMN(O84:BY84)&gt;=MIN(IF(O84:BY84&lt;&gt;"",COLUMN(O84:BY84))))*($O$16:$BY$16&lt;=TODAY())*(O84:BY84))</f>
        <v>3</v>
      </c>
      <c r="I84" s="82">
        <f t="shared" ca="1" si="11"/>
        <v>0.375</v>
      </c>
      <c r="J84" s="98"/>
      <c r="K84" s="98"/>
      <c r="L84" s="84"/>
      <c r="M84" s="8">
        <f t="shared" si="12"/>
        <v>0</v>
      </c>
      <c r="O84" s="65"/>
      <c r="P84" s="65"/>
      <c r="Q84" s="65"/>
      <c r="R84" s="65"/>
      <c r="S84" s="69"/>
      <c r="T84" s="94">
        <v>0</v>
      </c>
      <c r="U84" s="95">
        <v>0</v>
      </c>
      <c r="V84" s="71"/>
      <c r="W84" s="65"/>
      <c r="X84" s="65"/>
      <c r="Y84" s="65"/>
      <c r="Z84" s="65"/>
      <c r="AA84" s="94">
        <v>0</v>
      </c>
      <c r="AB84" s="95">
        <v>0</v>
      </c>
      <c r="AC84" s="65"/>
      <c r="AD84" s="65"/>
      <c r="AE84" s="65"/>
      <c r="AF84" s="65"/>
      <c r="AG84" s="65"/>
      <c r="AH84" s="94">
        <v>0</v>
      </c>
      <c r="AI84" s="95">
        <v>0</v>
      </c>
      <c r="AJ84" s="66"/>
      <c r="AK84" s="66"/>
      <c r="AL84" s="66"/>
      <c r="AM84" s="66"/>
      <c r="AN84" s="66"/>
      <c r="AO84" s="94">
        <v>0</v>
      </c>
      <c r="AP84" s="95">
        <v>0</v>
      </c>
      <c r="AQ84" s="73"/>
      <c r="AR84" s="78"/>
      <c r="AS84" s="91">
        <v>3</v>
      </c>
      <c r="AT84" s="66"/>
      <c r="AU84" s="78"/>
      <c r="AV84" s="94">
        <v>0</v>
      </c>
      <c r="AW84" s="95">
        <v>0</v>
      </c>
      <c r="AX84" s="56"/>
      <c r="AY84" s="108"/>
      <c r="AZ84" s="108"/>
      <c r="BA84" s="77"/>
      <c r="BB84" s="66"/>
      <c r="BC84" s="94">
        <v>0</v>
      </c>
      <c r="BD84" s="95">
        <v>0</v>
      </c>
      <c r="BE84" s="66"/>
      <c r="BF84" s="66"/>
      <c r="BG84" s="66"/>
      <c r="BH84" s="66"/>
      <c r="BI84" s="66"/>
      <c r="BJ84" s="94">
        <v>0</v>
      </c>
      <c r="BK84" s="95">
        <v>0</v>
      </c>
      <c r="BL84" s="66"/>
      <c r="BM84" s="66"/>
      <c r="BN84" s="66"/>
      <c r="BO84" s="66"/>
      <c r="BP84" s="66"/>
      <c r="BQ84" s="94">
        <v>0</v>
      </c>
      <c r="BR84" s="95">
        <v>0</v>
      </c>
      <c r="BS84" s="66"/>
      <c r="BT84" s="66"/>
      <c r="BU84" s="66"/>
      <c r="BV84" s="66"/>
      <c r="BW84" s="66"/>
      <c r="BX84" s="94">
        <v>0</v>
      </c>
      <c r="BY84" s="95">
        <v>0</v>
      </c>
    </row>
    <row r="85" spans="2:77" ht="15" customHeight="1" outlineLevel="1">
      <c r="B85" s="58" t="s">
        <v>222</v>
      </c>
      <c r="C85" s="59" t="s">
        <v>61</v>
      </c>
      <c r="D85" s="59" t="s">
        <v>54</v>
      </c>
      <c r="E85" s="58" t="s">
        <v>233</v>
      </c>
      <c r="F85" s="58">
        <f>SUMIFS('Detalhe Testes'!$F:$F,'Detalhe Testes'!$B:$B,'MacroPlano Equipa'!C85,'Detalhe Testes'!$C:$C,'MacroPlano Equipa'!D85)</f>
        <v>3</v>
      </c>
      <c r="G85" s="82">
        <f t="shared" si="6"/>
        <v>0.375</v>
      </c>
      <c r="H85" s="58" cm="1">
        <f t="array" aca="1" ref="H85" ca="1">SUMPRODUCT((COLUMN(O85:BY85)&gt;=MIN(IF(O85:BY85&lt;&gt;"",COLUMN(O85:BY85))))*($O$16:$BY$16&lt;=TODAY())*(O85:BY85))</f>
        <v>3</v>
      </c>
      <c r="I85" s="82">
        <f t="shared" ca="1" si="11"/>
        <v>0.375</v>
      </c>
      <c r="J85" s="98"/>
      <c r="K85" s="98"/>
      <c r="L85" s="84"/>
      <c r="M85" s="8">
        <f t="shared" si="12"/>
        <v>0</v>
      </c>
      <c r="O85" s="65"/>
      <c r="P85" s="65"/>
      <c r="Q85" s="65"/>
      <c r="R85" s="65"/>
      <c r="S85" s="69"/>
      <c r="T85" s="94">
        <v>0</v>
      </c>
      <c r="U85" s="95">
        <v>0</v>
      </c>
      <c r="V85" s="71"/>
      <c r="W85" s="65"/>
      <c r="X85" s="65"/>
      <c r="Y85" s="65"/>
      <c r="Z85" s="65"/>
      <c r="AA85" s="94">
        <v>0</v>
      </c>
      <c r="AB85" s="95">
        <v>0</v>
      </c>
      <c r="AC85" s="65"/>
      <c r="AD85" s="65"/>
      <c r="AE85" s="65"/>
      <c r="AF85" s="65"/>
      <c r="AG85" s="65"/>
      <c r="AH85" s="94">
        <v>0</v>
      </c>
      <c r="AI85" s="95">
        <v>0</v>
      </c>
      <c r="AJ85" s="66"/>
      <c r="AK85" s="66"/>
      <c r="AL85" s="66"/>
      <c r="AM85" s="66"/>
      <c r="AN85" s="66"/>
      <c r="AO85" s="94">
        <v>0</v>
      </c>
      <c r="AP85" s="95">
        <v>0</v>
      </c>
      <c r="AQ85" s="73"/>
      <c r="AR85" s="78"/>
      <c r="AS85" s="91">
        <v>3</v>
      </c>
      <c r="AT85" s="66"/>
      <c r="AU85" s="78"/>
      <c r="AV85" s="94">
        <v>0</v>
      </c>
      <c r="AW85" s="95">
        <v>0</v>
      </c>
      <c r="AX85" s="56"/>
      <c r="AY85" s="56"/>
      <c r="AZ85" s="108"/>
      <c r="BA85" s="77"/>
      <c r="BB85" s="66"/>
      <c r="BC85" s="94">
        <v>0</v>
      </c>
      <c r="BD85" s="95">
        <v>0</v>
      </c>
      <c r="BE85" s="66"/>
      <c r="BF85" s="66"/>
      <c r="BG85" s="66"/>
      <c r="BH85" s="66"/>
      <c r="BI85" s="66"/>
      <c r="BJ85" s="94">
        <v>0</v>
      </c>
      <c r="BK85" s="95">
        <v>0</v>
      </c>
      <c r="BL85" s="66"/>
      <c r="BM85" s="66"/>
      <c r="BN85" s="66"/>
      <c r="BO85" s="66"/>
      <c r="BP85" s="66"/>
      <c r="BQ85" s="94">
        <v>0</v>
      </c>
      <c r="BR85" s="95">
        <v>0</v>
      </c>
      <c r="BS85" s="66"/>
      <c r="BT85" s="66"/>
      <c r="BU85" s="66"/>
      <c r="BV85" s="66"/>
      <c r="BW85" s="66"/>
      <c r="BX85" s="94">
        <v>0</v>
      </c>
      <c r="BY85" s="95">
        <v>0</v>
      </c>
    </row>
    <row r="86" spans="2:77" ht="15" customHeight="1" outlineLevel="1">
      <c r="B86" s="58" t="s">
        <v>223</v>
      </c>
      <c r="C86" s="59" t="s">
        <v>61</v>
      </c>
      <c r="D86" s="59" t="s">
        <v>56</v>
      </c>
      <c r="E86" s="58" t="s">
        <v>233</v>
      </c>
      <c r="F86" s="58">
        <f>SUMIFS('Detalhe Testes'!$F:$F,'Detalhe Testes'!$B:$B,'MacroPlano Equipa'!C86,'Detalhe Testes'!$C:$C,'MacroPlano Equipa'!D86)</f>
        <v>3</v>
      </c>
      <c r="G86" s="82">
        <f t="shared" ref="G86:G97" si="13">F86/8</f>
        <v>0.375</v>
      </c>
      <c r="H86" s="58" cm="1">
        <f t="array" aca="1" ref="H86" ca="1">SUMPRODUCT((COLUMN(O86:BY86)&gt;=MIN(IF(O86:BY86&lt;&gt;"",COLUMN(O86:BY86))))*($O$16:$BY$16&lt;=TODAY())*(O86:BY86))</f>
        <v>3</v>
      </c>
      <c r="I86" s="82">
        <f t="shared" ca="1" si="11"/>
        <v>0.375</v>
      </c>
      <c r="J86" s="98"/>
      <c r="K86" s="98"/>
      <c r="L86" s="84"/>
      <c r="M86" s="8">
        <f t="shared" si="12"/>
        <v>0</v>
      </c>
      <c r="O86" s="65"/>
      <c r="P86" s="65"/>
      <c r="Q86" s="65"/>
      <c r="R86" s="65"/>
      <c r="S86" s="69"/>
      <c r="T86" s="94">
        <v>0</v>
      </c>
      <c r="U86" s="95">
        <v>0</v>
      </c>
      <c r="V86" s="71"/>
      <c r="W86" s="65"/>
      <c r="X86" s="65"/>
      <c r="Y86" s="65"/>
      <c r="Z86" s="65"/>
      <c r="AA86" s="94">
        <v>0</v>
      </c>
      <c r="AB86" s="95">
        <v>0</v>
      </c>
      <c r="AC86" s="65"/>
      <c r="AD86" s="65"/>
      <c r="AE86" s="65"/>
      <c r="AF86" s="65"/>
      <c r="AG86" s="65"/>
      <c r="AH86" s="94">
        <v>0</v>
      </c>
      <c r="AI86" s="95">
        <v>0</v>
      </c>
      <c r="AJ86" s="66"/>
      <c r="AK86" s="66"/>
      <c r="AL86" s="66"/>
      <c r="AM86" s="66"/>
      <c r="AN86" s="66"/>
      <c r="AO86" s="94">
        <v>0</v>
      </c>
      <c r="AP86" s="95">
        <v>0</v>
      </c>
      <c r="AQ86" s="73"/>
      <c r="AR86" s="78"/>
      <c r="AS86" s="91">
        <v>1</v>
      </c>
      <c r="AT86" s="91">
        <v>2</v>
      </c>
      <c r="AU86" s="78"/>
      <c r="AV86" s="94">
        <v>0</v>
      </c>
      <c r="AW86" s="95">
        <v>0</v>
      </c>
      <c r="AX86" s="56"/>
      <c r="AY86" s="56"/>
      <c r="AZ86" s="108"/>
      <c r="BA86" s="77"/>
      <c r="BB86" s="56"/>
      <c r="BC86" s="94">
        <v>0</v>
      </c>
      <c r="BD86" s="95">
        <v>0</v>
      </c>
      <c r="BE86" s="56"/>
      <c r="BF86" s="56"/>
      <c r="BG86" s="56"/>
      <c r="BH86" s="56"/>
      <c r="BI86" s="56"/>
      <c r="BJ86" s="94">
        <v>0</v>
      </c>
      <c r="BK86" s="95">
        <v>0</v>
      </c>
      <c r="BL86" s="66"/>
      <c r="BM86" s="66"/>
      <c r="BN86" s="66"/>
      <c r="BO86" s="66"/>
      <c r="BP86" s="66"/>
      <c r="BQ86" s="94">
        <v>0</v>
      </c>
      <c r="BR86" s="95">
        <v>0</v>
      </c>
      <c r="BS86" s="66"/>
      <c r="BT86" s="66"/>
      <c r="BU86" s="66"/>
      <c r="BV86" s="66"/>
      <c r="BW86" s="66"/>
      <c r="BX86" s="94">
        <v>0</v>
      </c>
      <c r="BY86" s="95">
        <v>0</v>
      </c>
    </row>
    <row r="87" spans="2:77" ht="15" customHeight="1" outlineLevel="1">
      <c r="B87" s="58" t="s">
        <v>224</v>
      </c>
      <c r="C87" s="59" t="s">
        <v>61</v>
      </c>
      <c r="D87" s="59" t="s">
        <v>62</v>
      </c>
      <c r="E87" s="58" t="s">
        <v>233</v>
      </c>
      <c r="F87" s="58">
        <f>SUMIFS('Detalhe Testes'!$F:$F,'Detalhe Testes'!$B:$B,'MacroPlano Equipa'!C87,'Detalhe Testes'!$C:$C,'MacroPlano Equipa'!D87)</f>
        <v>9</v>
      </c>
      <c r="G87" s="82">
        <f t="shared" si="13"/>
        <v>1.125</v>
      </c>
      <c r="H87" s="58" cm="1">
        <f t="array" aca="1" ref="H87" ca="1">SUMPRODUCT((COLUMN(O87:BY87)&gt;=MIN(IF(O87:BY87&lt;&gt;"",COLUMN(O87:BY87))))*($O$16:$BY$16&lt;=TODAY())*(O87:BY87))</f>
        <v>9</v>
      </c>
      <c r="I87" s="82">
        <f t="shared" ca="1" si="11"/>
        <v>1.125</v>
      </c>
      <c r="J87" s="98"/>
      <c r="K87" s="98"/>
      <c r="L87" s="84"/>
      <c r="M87" s="8">
        <f t="shared" si="12"/>
        <v>0</v>
      </c>
      <c r="O87" s="65"/>
      <c r="P87" s="65"/>
      <c r="Q87" s="65"/>
      <c r="R87" s="65"/>
      <c r="S87" s="69"/>
      <c r="T87" s="94">
        <v>0</v>
      </c>
      <c r="U87" s="95">
        <v>0</v>
      </c>
      <c r="V87" s="71"/>
      <c r="W87" s="65"/>
      <c r="X87" s="65"/>
      <c r="Y87" s="65"/>
      <c r="Z87" s="65"/>
      <c r="AA87" s="94">
        <v>0</v>
      </c>
      <c r="AB87" s="95">
        <v>0</v>
      </c>
      <c r="AC87" s="65"/>
      <c r="AD87" s="65"/>
      <c r="AE87" s="65"/>
      <c r="AF87" s="65"/>
      <c r="AG87" s="65"/>
      <c r="AH87" s="94">
        <v>0</v>
      </c>
      <c r="AI87" s="95">
        <v>0</v>
      </c>
      <c r="AJ87" s="66"/>
      <c r="AK87" s="66"/>
      <c r="AL87" s="66"/>
      <c r="AM87" s="66"/>
      <c r="AN87" s="66"/>
      <c r="AO87" s="94">
        <v>0</v>
      </c>
      <c r="AP87" s="95">
        <v>0</v>
      </c>
      <c r="AQ87" s="73"/>
      <c r="AR87" s="78"/>
      <c r="AS87" s="75"/>
      <c r="AT87" s="91">
        <v>6</v>
      </c>
      <c r="AU87" s="78"/>
      <c r="AV87" s="94">
        <v>0</v>
      </c>
      <c r="AW87" s="95">
        <v>0</v>
      </c>
      <c r="AX87" s="91">
        <v>3</v>
      </c>
      <c r="AY87" s="56"/>
      <c r="AZ87" s="108"/>
      <c r="BA87" s="77"/>
      <c r="BB87" s="108"/>
      <c r="BC87" s="94">
        <v>0</v>
      </c>
      <c r="BD87" s="95">
        <v>0</v>
      </c>
      <c r="BE87" s="56"/>
      <c r="BF87" s="56"/>
      <c r="BG87" s="56"/>
      <c r="BH87" s="56"/>
      <c r="BI87" s="56"/>
      <c r="BJ87" s="94">
        <v>0</v>
      </c>
      <c r="BK87" s="95">
        <v>0</v>
      </c>
      <c r="BL87" s="66"/>
      <c r="BM87" s="66"/>
      <c r="BN87" s="66"/>
      <c r="BO87" s="66"/>
      <c r="BP87" s="66"/>
      <c r="BQ87" s="94">
        <v>0</v>
      </c>
      <c r="BR87" s="95">
        <v>0</v>
      </c>
      <c r="BS87" s="66"/>
      <c r="BT87" s="66"/>
      <c r="BU87" s="66"/>
      <c r="BV87" s="66"/>
      <c r="BW87" s="66"/>
      <c r="BX87" s="94">
        <v>0</v>
      </c>
      <c r="BY87" s="95">
        <v>0</v>
      </c>
    </row>
    <row r="88" spans="2:77" ht="15" customHeight="1" outlineLevel="1">
      <c r="B88" s="58" t="s">
        <v>225</v>
      </c>
      <c r="C88" s="59" t="s">
        <v>63</v>
      </c>
      <c r="D88" s="59" t="s">
        <v>65</v>
      </c>
      <c r="E88" s="58" t="s">
        <v>233</v>
      </c>
      <c r="F88" s="58">
        <f>SUMIFS('Detalhe Testes'!$F:$F,'Detalhe Testes'!$B:$B,'MacroPlano Equipa'!C88,'Detalhe Testes'!$C:$C,'MacroPlano Equipa'!D88)</f>
        <v>13</v>
      </c>
      <c r="G88" s="82">
        <f t="shared" si="13"/>
        <v>1.625</v>
      </c>
      <c r="H88" s="58" cm="1">
        <f t="array" aca="1" ref="H88" ca="1">SUMPRODUCT((COLUMN(O88:BY88)&gt;=MIN(IF(O88:BY88&lt;&gt;"",COLUMN(O88:BY88))))*($O$16:$BY$16&lt;=TODAY())*(O88:BY88))</f>
        <v>13</v>
      </c>
      <c r="I88" s="82">
        <f t="shared" ca="1" si="11"/>
        <v>1.625</v>
      </c>
      <c r="J88" s="98"/>
      <c r="K88" s="98"/>
      <c r="L88" s="84"/>
      <c r="M88" s="8">
        <f t="shared" si="12"/>
        <v>0</v>
      </c>
      <c r="O88" s="65"/>
      <c r="P88" s="65"/>
      <c r="Q88" s="65"/>
      <c r="R88" s="65"/>
      <c r="S88" s="69"/>
      <c r="T88" s="94">
        <v>0</v>
      </c>
      <c r="U88" s="95">
        <v>0</v>
      </c>
      <c r="V88" s="71"/>
      <c r="W88" s="65"/>
      <c r="X88" s="65"/>
      <c r="Y88" s="65"/>
      <c r="Z88" s="65"/>
      <c r="AA88" s="94">
        <v>0</v>
      </c>
      <c r="AB88" s="95">
        <v>0</v>
      </c>
      <c r="AC88" s="65"/>
      <c r="AD88" s="65"/>
      <c r="AE88" s="65"/>
      <c r="AF88" s="65"/>
      <c r="AG88" s="65"/>
      <c r="AH88" s="94">
        <v>0</v>
      </c>
      <c r="AI88" s="95">
        <v>0</v>
      </c>
      <c r="AJ88" s="66"/>
      <c r="AK88" s="66"/>
      <c r="AL88" s="66"/>
      <c r="AM88" s="66"/>
      <c r="AN88" s="66"/>
      <c r="AO88" s="94">
        <v>0</v>
      </c>
      <c r="AP88" s="95">
        <v>0</v>
      </c>
      <c r="AQ88" s="73"/>
      <c r="AR88" s="78"/>
      <c r="AS88" s="75"/>
      <c r="AT88" s="66"/>
      <c r="AU88" s="78"/>
      <c r="AV88" s="94">
        <v>0</v>
      </c>
      <c r="AW88" s="95">
        <v>0</v>
      </c>
      <c r="AX88" s="56"/>
      <c r="AY88" s="56"/>
      <c r="AZ88" s="56"/>
      <c r="BA88" s="77"/>
      <c r="BB88" s="56"/>
      <c r="BC88" s="94">
        <v>0</v>
      </c>
      <c r="BD88" s="95">
        <v>0</v>
      </c>
      <c r="BE88" s="108"/>
      <c r="BF88" s="108"/>
      <c r="BG88" s="56"/>
      <c r="BH88" s="56"/>
      <c r="BI88" s="91">
        <v>6</v>
      </c>
      <c r="BJ88" s="94">
        <v>0</v>
      </c>
      <c r="BK88" s="95">
        <v>0</v>
      </c>
      <c r="BL88" s="91">
        <v>7</v>
      </c>
      <c r="BM88" s="66"/>
      <c r="BN88" s="66"/>
      <c r="BO88" s="66"/>
      <c r="BP88" s="66"/>
      <c r="BQ88" s="94">
        <v>0</v>
      </c>
      <c r="BR88" s="95">
        <v>0</v>
      </c>
      <c r="BS88" s="66"/>
      <c r="BT88" s="66"/>
      <c r="BU88" s="66"/>
      <c r="BV88" s="66"/>
      <c r="BW88" s="66"/>
      <c r="BX88" s="94">
        <v>0</v>
      </c>
      <c r="BY88" s="95">
        <v>0</v>
      </c>
    </row>
    <row r="89" spans="2:77" s="8" customFormat="1" ht="15" customHeight="1">
      <c r="B89" s="55" t="s">
        <v>226</v>
      </c>
      <c r="C89" s="288" t="s">
        <v>227</v>
      </c>
      <c r="D89" s="288"/>
      <c r="E89" s="53"/>
      <c r="F89" s="53"/>
      <c r="G89" s="53"/>
      <c r="H89" s="53"/>
      <c r="I89" s="96"/>
      <c r="J89" s="96"/>
      <c r="K89" s="96"/>
      <c r="L89" s="53"/>
      <c r="O89" s="54"/>
      <c r="P89" s="54"/>
      <c r="Q89" s="54"/>
      <c r="R89" s="54"/>
      <c r="S89" s="54"/>
      <c r="T89" s="94">
        <v>0</v>
      </c>
      <c r="U89" s="95">
        <v>0</v>
      </c>
      <c r="V89" s="54"/>
      <c r="W89" s="54"/>
      <c r="X89" s="54"/>
      <c r="Y89" s="54"/>
      <c r="Z89" s="54"/>
      <c r="AA89" s="94">
        <v>0</v>
      </c>
      <c r="AB89" s="95">
        <v>0</v>
      </c>
      <c r="AC89" s="54"/>
      <c r="AD89" s="54"/>
      <c r="AE89" s="54"/>
      <c r="AF89" s="54"/>
      <c r="AG89" s="54"/>
      <c r="AH89" s="94">
        <v>0</v>
      </c>
      <c r="AI89" s="95">
        <v>0</v>
      </c>
      <c r="AJ89" s="162" t="s">
        <v>280</v>
      </c>
      <c r="AK89" s="53"/>
      <c r="AL89" s="53"/>
      <c r="AM89" s="53"/>
      <c r="AN89" s="53"/>
      <c r="AO89" s="94">
        <v>0</v>
      </c>
      <c r="AP89" s="95">
        <v>0</v>
      </c>
      <c r="AQ89" s="53"/>
      <c r="AR89" s="77"/>
      <c r="AS89" s="53"/>
      <c r="AT89" s="53"/>
      <c r="AU89" s="77"/>
      <c r="AV89" s="94">
        <v>0</v>
      </c>
      <c r="AW89" s="95">
        <v>0</v>
      </c>
      <c r="AX89" s="53"/>
      <c r="AY89" s="53"/>
      <c r="AZ89" s="53"/>
      <c r="BA89" s="77"/>
      <c r="BB89" s="53"/>
      <c r="BC89" s="94">
        <v>0</v>
      </c>
      <c r="BD89" s="95">
        <v>0</v>
      </c>
      <c r="BE89" s="53"/>
      <c r="BF89" s="53"/>
      <c r="BG89" s="53"/>
      <c r="BH89" s="53"/>
      <c r="BI89" s="53"/>
      <c r="BJ89" s="94">
        <v>0</v>
      </c>
      <c r="BK89" s="95">
        <v>0</v>
      </c>
      <c r="BL89" s="53"/>
      <c r="BM89" s="53"/>
      <c r="BN89" s="53"/>
      <c r="BO89" s="53"/>
      <c r="BP89" s="53"/>
      <c r="BQ89" s="94">
        <v>0</v>
      </c>
      <c r="BR89" s="95">
        <v>0</v>
      </c>
      <c r="BS89" s="53"/>
      <c r="BT89" s="53"/>
      <c r="BU89" s="53"/>
      <c r="BV89" s="53"/>
      <c r="BW89" s="53"/>
      <c r="BX89" s="94">
        <v>0</v>
      </c>
      <c r="BY89" s="95">
        <v>0</v>
      </c>
    </row>
    <row r="90" spans="2:77" ht="15" customHeight="1" outlineLevel="1">
      <c r="B90" s="58" t="s">
        <v>228</v>
      </c>
      <c r="C90" s="59" t="s">
        <v>1</v>
      </c>
      <c r="D90" s="59" t="s">
        <v>34</v>
      </c>
      <c r="E90" s="58" t="s">
        <v>233</v>
      </c>
      <c r="F90" s="58">
        <f>SUMIFS('Detalhe Testes'!$F:$F,'Detalhe Testes'!$B:$B,'MacroPlano Equipa'!C90,'Detalhe Testes'!$C:$C,'MacroPlano Equipa'!D90)</f>
        <v>3</v>
      </c>
      <c r="G90" s="82">
        <f t="shared" si="13"/>
        <v>0.375</v>
      </c>
      <c r="H90" s="58" cm="1">
        <f t="array" aca="1" ref="H90" ca="1">SUMPRODUCT((COLUMN(O90:BY90)&gt;=MIN(IF(O90:BY90&lt;&gt;"",COLUMN(O90:BY90))))*($O$16:$BY$16&lt;=TODAY())*(O90:BY90))</f>
        <v>3</v>
      </c>
      <c r="I90" s="82">
        <f t="shared" ref="I90:I97" ca="1" si="14">H90/8</f>
        <v>0.375</v>
      </c>
      <c r="J90" s="98"/>
      <c r="K90" s="98"/>
      <c r="L90" s="84"/>
      <c r="M90" s="8">
        <f t="shared" ref="M90:M97" si="15">SUM(O90:BY90)-F90</f>
        <v>0</v>
      </c>
      <c r="O90" s="65"/>
      <c r="P90" s="65"/>
      <c r="Q90" s="65"/>
      <c r="R90" s="65"/>
      <c r="S90" s="69"/>
      <c r="T90" s="94">
        <v>0</v>
      </c>
      <c r="U90" s="95">
        <v>0</v>
      </c>
      <c r="V90" s="71"/>
      <c r="W90" s="65"/>
      <c r="X90" s="65"/>
      <c r="Y90" s="65"/>
      <c r="Z90" s="65"/>
      <c r="AA90" s="94">
        <v>0</v>
      </c>
      <c r="AB90" s="95">
        <v>0</v>
      </c>
      <c r="AC90" s="65"/>
      <c r="AD90" s="65"/>
      <c r="AE90" s="65"/>
      <c r="AF90" s="65"/>
      <c r="AG90" s="65"/>
      <c r="AH90" s="94">
        <v>0</v>
      </c>
      <c r="AI90" s="95">
        <v>0</v>
      </c>
      <c r="AJ90" s="83"/>
      <c r="AK90" s="66"/>
      <c r="AL90" s="66"/>
      <c r="AM90" s="66"/>
      <c r="AN90" s="66"/>
      <c r="AO90" s="94">
        <v>0</v>
      </c>
      <c r="AP90" s="95">
        <v>0</v>
      </c>
      <c r="AQ90" s="73"/>
      <c r="AR90" s="78"/>
      <c r="AS90" s="75"/>
      <c r="AT90" s="66"/>
      <c r="AU90" s="78"/>
      <c r="AV90" s="94">
        <v>0</v>
      </c>
      <c r="AW90" s="95">
        <v>0</v>
      </c>
      <c r="AX90" s="91">
        <v>3</v>
      </c>
      <c r="AY90" s="66"/>
      <c r="AZ90" s="66"/>
      <c r="BA90" s="78"/>
      <c r="BB90" s="56"/>
      <c r="BC90" s="94">
        <v>0</v>
      </c>
      <c r="BD90" s="95">
        <v>0</v>
      </c>
      <c r="BE90" s="56"/>
      <c r="BF90" s="108"/>
      <c r="BG90" s="56"/>
      <c r="BH90" s="56"/>
      <c r="BI90" s="56"/>
      <c r="BJ90" s="94">
        <v>0</v>
      </c>
      <c r="BK90" s="95">
        <v>0</v>
      </c>
      <c r="BL90" s="66"/>
      <c r="BM90" s="66"/>
      <c r="BN90" s="66"/>
      <c r="BO90" s="66"/>
      <c r="BP90" s="66"/>
      <c r="BQ90" s="94">
        <v>0</v>
      </c>
      <c r="BR90" s="95">
        <v>0</v>
      </c>
      <c r="BS90" s="66"/>
      <c r="BT90" s="66"/>
      <c r="BU90" s="66"/>
      <c r="BV90" s="66"/>
      <c r="BW90" s="66"/>
      <c r="BX90" s="94">
        <v>0</v>
      </c>
      <c r="BY90" s="95">
        <v>0</v>
      </c>
    </row>
    <row r="91" spans="2:77" ht="15" customHeight="1" outlineLevel="1">
      <c r="B91" s="58" t="s">
        <v>229</v>
      </c>
      <c r="C91" s="59" t="s">
        <v>1</v>
      </c>
      <c r="D91" s="59" t="s">
        <v>35</v>
      </c>
      <c r="E91" s="58" t="s">
        <v>233</v>
      </c>
      <c r="F91" s="58">
        <f>SUMIFS('Detalhe Testes'!$F:$F,'Detalhe Testes'!$B:$B,'MacroPlano Equipa'!C91,'Detalhe Testes'!$C:$C,'MacroPlano Equipa'!D91)</f>
        <v>3</v>
      </c>
      <c r="G91" s="82">
        <f t="shared" si="13"/>
        <v>0.375</v>
      </c>
      <c r="H91" s="58" cm="1">
        <f t="array" aca="1" ref="H91" ca="1">SUMPRODUCT((COLUMN(O91:BY91)&gt;=MIN(IF(O91:BY91&lt;&gt;"",COLUMN(O91:BY91))))*($O$16:$BY$16&lt;=TODAY())*(O91:BY91))</f>
        <v>3</v>
      </c>
      <c r="I91" s="82">
        <f t="shared" ca="1" si="14"/>
        <v>0.375</v>
      </c>
      <c r="J91" s="98"/>
      <c r="K91" s="98"/>
      <c r="L91" s="84"/>
      <c r="M91" s="8">
        <f t="shared" si="15"/>
        <v>0</v>
      </c>
      <c r="O91" s="65"/>
      <c r="P91" s="65"/>
      <c r="Q91" s="65"/>
      <c r="R91" s="65"/>
      <c r="S91" s="69"/>
      <c r="T91" s="94">
        <v>0</v>
      </c>
      <c r="U91" s="95">
        <v>0</v>
      </c>
      <c r="V91" s="71"/>
      <c r="W91" s="65"/>
      <c r="X91" s="65"/>
      <c r="Y91" s="65"/>
      <c r="Z91" s="65"/>
      <c r="AA91" s="94">
        <v>0</v>
      </c>
      <c r="AB91" s="95">
        <v>0</v>
      </c>
      <c r="AC91" s="65"/>
      <c r="AD91" s="65"/>
      <c r="AE91" s="65"/>
      <c r="AF91" s="65"/>
      <c r="AG91" s="65"/>
      <c r="AH91" s="94">
        <v>0</v>
      </c>
      <c r="AI91" s="95">
        <v>0</v>
      </c>
      <c r="AJ91" s="66"/>
      <c r="AK91" s="66"/>
      <c r="AL91" s="66"/>
      <c r="AM91" s="66"/>
      <c r="AN91" s="66"/>
      <c r="AO91" s="94">
        <v>0</v>
      </c>
      <c r="AP91" s="95">
        <v>0</v>
      </c>
      <c r="AQ91" s="73"/>
      <c r="AR91" s="78"/>
      <c r="AS91" s="75"/>
      <c r="AT91" s="66"/>
      <c r="AU91" s="78"/>
      <c r="AV91" s="94">
        <v>0</v>
      </c>
      <c r="AW91" s="95">
        <v>0</v>
      </c>
      <c r="AX91" s="91">
        <v>3</v>
      </c>
      <c r="AY91" s="66"/>
      <c r="AZ91" s="66"/>
      <c r="BA91" s="78"/>
      <c r="BB91" s="56"/>
      <c r="BC91" s="94">
        <v>0</v>
      </c>
      <c r="BD91" s="95">
        <v>0</v>
      </c>
      <c r="BE91" s="56"/>
      <c r="BF91" s="56"/>
      <c r="BG91" s="108"/>
      <c r="BH91" s="56"/>
      <c r="BI91" s="56"/>
      <c r="BJ91" s="94">
        <v>0</v>
      </c>
      <c r="BK91" s="95">
        <v>0</v>
      </c>
      <c r="BL91" s="66"/>
      <c r="BM91" s="66"/>
      <c r="BN91" s="66"/>
      <c r="BO91" s="66"/>
      <c r="BP91" s="66"/>
      <c r="BQ91" s="94">
        <v>0</v>
      </c>
      <c r="BR91" s="95">
        <v>0</v>
      </c>
      <c r="BS91" s="66"/>
      <c r="BT91" s="66"/>
      <c r="BU91" s="66"/>
      <c r="BV91" s="66"/>
      <c r="BW91" s="66"/>
      <c r="BX91" s="94">
        <v>0</v>
      </c>
      <c r="BY91" s="95">
        <v>0</v>
      </c>
    </row>
    <row r="92" spans="2:77" ht="15" customHeight="1" outlineLevel="1">
      <c r="B92" s="58" t="s">
        <v>230</v>
      </c>
      <c r="C92" s="59" t="s">
        <v>1</v>
      </c>
      <c r="D92" s="59" t="s">
        <v>44</v>
      </c>
      <c r="E92" s="58" t="s">
        <v>233</v>
      </c>
      <c r="F92" s="58">
        <f>SUMIFS('Detalhe Testes'!$F:$F,'Detalhe Testes'!$B:$B,'MacroPlano Equipa'!C92,'Detalhe Testes'!$C:$C,'MacroPlano Equipa'!D92)</f>
        <v>3</v>
      </c>
      <c r="G92" s="82">
        <f t="shared" si="13"/>
        <v>0.375</v>
      </c>
      <c r="H92" s="58" cm="1">
        <f t="array" aca="1" ref="H92" ca="1">SUMPRODUCT((COLUMN(O92:BY92)&gt;=MIN(IF(O92:BY92&lt;&gt;"",COLUMN(O92:BY92))))*($O$16:$BY$16&lt;=TODAY())*(O92:BY92))</f>
        <v>3</v>
      </c>
      <c r="I92" s="82">
        <f t="shared" ca="1" si="14"/>
        <v>0.375</v>
      </c>
      <c r="J92" s="98"/>
      <c r="K92" s="98"/>
      <c r="L92" s="84"/>
      <c r="M92" s="8">
        <f t="shared" si="15"/>
        <v>0</v>
      </c>
      <c r="O92" s="65"/>
      <c r="P92" s="65"/>
      <c r="Q92" s="65"/>
      <c r="R92" s="65"/>
      <c r="S92" s="69"/>
      <c r="T92" s="94">
        <v>0</v>
      </c>
      <c r="U92" s="95">
        <v>0</v>
      </c>
      <c r="V92" s="71"/>
      <c r="W92" s="65"/>
      <c r="X92" s="65"/>
      <c r="Y92" s="65"/>
      <c r="Z92" s="65"/>
      <c r="AA92" s="94">
        <v>0</v>
      </c>
      <c r="AB92" s="95">
        <v>0</v>
      </c>
      <c r="AC92" s="65"/>
      <c r="AD92" s="65"/>
      <c r="AE92" s="65"/>
      <c r="AF92" s="65"/>
      <c r="AG92" s="65"/>
      <c r="AH92" s="94">
        <v>0</v>
      </c>
      <c r="AI92" s="95">
        <v>0</v>
      </c>
      <c r="AJ92" s="66"/>
      <c r="AK92" s="66"/>
      <c r="AL92" s="66"/>
      <c r="AM92" s="66"/>
      <c r="AN92" s="66"/>
      <c r="AO92" s="94">
        <v>0</v>
      </c>
      <c r="AP92" s="95">
        <v>0</v>
      </c>
      <c r="AQ92" s="73"/>
      <c r="AR92" s="78"/>
      <c r="AS92" s="75"/>
      <c r="AT92" s="66"/>
      <c r="AU92" s="78"/>
      <c r="AV92" s="94">
        <v>0</v>
      </c>
      <c r="AW92" s="95">
        <v>0</v>
      </c>
      <c r="AX92" s="91">
        <v>3</v>
      </c>
      <c r="AY92" s="66"/>
      <c r="AZ92" s="66"/>
      <c r="BA92" s="78"/>
      <c r="BB92" s="56"/>
      <c r="BC92" s="94">
        <v>0</v>
      </c>
      <c r="BD92" s="95">
        <v>0</v>
      </c>
      <c r="BE92" s="56"/>
      <c r="BF92" s="56"/>
      <c r="BG92" s="108"/>
      <c r="BH92" s="56"/>
      <c r="BI92" s="56"/>
      <c r="BJ92" s="94">
        <v>0</v>
      </c>
      <c r="BK92" s="95">
        <v>0</v>
      </c>
      <c r="BL92" s="66"/>
      <c r="BM92" s="66"/>
      <c r="BN92" s="66"/>
      <c r="BO92" s="66"/>
      <c r="BP92" s="66"/>
      <c r="BQ92" s="94">
        <v>0</v>
      </c>
      <c r="BR92" s="95">
        <v>0</v>
      </c>
      <c r="BS92" s="66"/>
      <c r="BT92" s="66"/>
      <c r="BU92" s="66"/>
      <c r="BV92" s="66"/>
      <c r="BW92" s="66"/>
      <c r="BX92" s="94">
        <v>0</v>
      </c>
      <c r="BY92" s="95">
        <v>0</v>
      </c>
    </row>
    <row r="93" spans="2:77" ht="15" customHeight="1" outlineLevel="1">
      <c r="B93" s="58" t="s">
        <v>231</v>
      </c>
      <c r="C93" s="59" t="s">
        <v>1</v>
      </c>
      <c r="D93" s="59" t="s">
        <v>45</v>
      </c>
      <c r="E93" s="58" t="s">
        <v>233</v>
      </c>
      <c r="F93" s="58">
        <f>SUMIFS('Detalhe Testes'!$F:$F,'Detalhe Testes'!$B:$B,'MacroPlano Equipa'!C93,'Detalhe Testes'!$C:$C,'MacroPlano Equipa'!D93)</f>
        <v>5</v>
      </c>
      <c r="G93" s="82">
        <f t="shared" si="13"/>
        <v>0.625</v>
      </c>
      <c r="H93" s="58" cm="1">
        <f t="array" aca="1" ref="H93" ca="1">SUMPRODUCT((COLUMN(O93:BY93)&gt;=MIN(IF(O93:BY93&lt;&gt;"",COLUMN(O93:BY93))))*($O$16:$BY$16&lt;=TODAY())*(O93:BY93))</f>
        <v>5</v>
      </c>
      <c r="I93" s="82">
        <f t="shared" ca="1" si="14"/>
        <v>0.625</v>
      </c>
      <c r="J93" s="98"/>
      <c r="K93" s="98"/>
      <c r="L93" s="84"/>
      <c r="M93" s="8">
        <f t="shared" si="15"/>
        <v>0</v>
      </c>
      <c r="O93" s="65"/>
      <c r="P93" s="65"/>
      <c r="Q93" s="65"/>
      <c r="R93" s="65"/>
      <c r="S93" s="69"/>
      <c r="T93" s="94">
        <v>0</v>
      </c>
      <c r="U93" s="95">
        <v>0</v>
      </c>
      <c r="V93" s="71"/>
      <c r="W93" s="65"/>
      <c r="X93" s="65"/>
      <c r="Y93" s="65"/>
      <c r="Z93" s="65"/>
      <c r="AA93" s="94">
        <v>0</v>
      </c>
      <c r="AB93" s="95">
        <v>0</v>
      </c>
      <c r="AC93" s="65"/>
      <c r="AD93" s="65"/>
      <c r="AE93" s="65"/>
      <c r="AF93" s="65"/>
      <c r="AG93" s="65"/>
      <c r="AH93" s="94">
        <v>0</v>
      </c>
      <c r="AI93" s="95">
        <v>0</v>
      </c>
      <c r="AJ93" s="66"/>
      <c r="AK93" s="66"/>
      <c r="AL93" s="66"/>
      <c r="AM93" s="66"/>
      <c r="AN93" s="66"/>
      <c r="AO93" s="94">
        <v>0</v>
      </c>
      <c r="AP93" s="95">
        <v>0</v>
      </c>
      <c r="AQ93" s="73"/>
      <c r="AR93" s="78"/>
      <c r="AS93" s="75"/>
      <c r="AT93" s="66"/>
      <c r="AU93" s="78"/>
      <c r="AV93" s="94">
        <v>0</v>
      </c>
      <c r="AW93" s="95">
        <v>0</v>
      </c>
      <c r="AX93" s="91">
        <v>4</v>
      </c>
      <c r="AY93" s="91">
        <v>1</v>
      </c>
      <c r="AZ93" s="66"/>
      <c r="BA93" s="78"/>
      <c r="BB93" s="56"/>
      <c r="BC93" s="94">
        <v>0</v>
      </c>
      <c r="BD93" s="95">
        <v>0</v>
      </c>
      <c r="BE93" s="56"/>
      <c r="BF93" s="56"/>
      <c r="BG93" s="108"/>
      <c r="BH93" s="108"/>
      <c r="BI93" s="56"/>
      <c r="BJ93" s="94">
        <v>0</v>
      </c>
      <c r="BK93" s="95">
        <v>0</v>
      </c>
      <c r="BL93" s="66"/>
      <c r="BM93" s="66"/>
      <c r="BN93" s="66"/>
      <c r="BO93" s="66"/>
      <c r="BP93" s="66"/>
      <c r="BQ93" s="94">
        <v>0</v>
      </c>
      <c r="BR93" s="95">
        <v>0</v>
      </c>
      <c r="BS93" s="66"/>
      <c r="BT93" s="66"/>
      <c r="BU93" s="66"/>
      <c r="BV93" s="66"/>
      <c r="BW93" s="66"/>
      <c r="BX93" s="94">
        <v>0</v>
      </c>
      <c r="BY93" s="95">
        <v>0</v>
      </c>
    </row>
    <row r="94" spans="2:77" ht="15" customHeight="1" outlineLevel="1">
      <c r="B94" s="58" t="s">
        <v>188</v>
      </c>
      <c r="C94" s="59" t="s">
        <v>1</v>
      </c>
      <c r="D94" s="59" t="s">
        <v>46</v>
      </c>
      <c r="E94" s="58" t="s">
        <v>233</v>
      </c>
      <c r="F94" s="58">
        <f>SUMIFS('Detalhe Testes'!$F:$F,'Detalhe Testes'!$B:$B,'MacroPlano Equipa'!C94,'Detalhe Testes'!$C:$C,'MacroPlano Equipa'!D94)</f>
        <v>3</v>
      </c>
      <c r="G94" s="82">
        <f t="shared" si="13"/>
        <v>0.375</v>
      </c>
      <c r="H94" s="58" cm="1">
        <f t="array" aca="1" ref="H94" ca="1">SUMPRODUCT((COLUMN(O94:BY94)&gt;=MIN(IF(O94:BY94&lt;&gt;"",COLUMN(O94:BY94))))*($O$16:$BY$16&lt;=TODAY())*(O94:BY94))</f>
        <v>3</v>
      </c>
      <c r="I94" s="82">
        <f t="shared" ca="1" si="14"/>
        <v>0.375</v>
      </c>
      <c r="J94" s="98"/>
      <c r="K94" s="98"/>
      <c r="L94" s="84"/>
      <c r="M94" s="8">
        <f t="shared" si="15"/>
        <v>0</v>
      </c>
      <c r="O94" s="65"/>
      <c r="P94" s="65"/>
      <c r="Q94" s="65"/>
      <c r="R94" s="65"/>
      <c r="S94" s="69"/>
      <c r="T94" s="94">
        <v>0</v>
      </c>
      <c r="U94" s="95">
        <v>0</v>
      </c>
      <c r="V94" s="71"/>
      <c r="W94" s="65"/>
      <c r="X94" s="65"/>
      <c r="Y94" s="65"/>
      <c r="Z94" s="65"/>
      <c r="AA94" s="94">
        <v>0</v>
      </c>
      <c r="AB94" s="95">
        <v>0</v>
      </c>
      <c r="AC94" s="65"/>
      <c r="AD94" s="65"/>
      <c r="AE94" s="65"/>
      <c r="AF94" s="65"/>
      <c r="AG94" s="65"/>
      <c r="AH94" s="94">
        <v>0</v>
      </c>
      <c r="AI94" s="95">
        <v>0</v>
      </c>
      <c r="AJ94" s="66"/>
      <c r="AK94" s="66"/>
      <c r="AL94" s="66"/>
      <c r="AM94" s="66"/>
      <c r="AN94" s="66"/>
      <c r="AO94" s="94">
        <v>0</v>
      </c>
      <c r="AP94" s="95">
        <v>0</v>
      </c>
      <c r="AQ94" s="73"/>
      <c r="AR94" s="78"/>
      <c r="AS94" s="75"/>
      <c r="AT94" s="66"/>
      <c r="AU94" s="78"/>
      <c r="AV94" s="94">
        <v>0</v>
      </c>
      <c r="AW94" s="95">
        <v>0</v>
      </c>
      <c r="AX94" s="66"/>
      <c r="AY94" s="91">
        <v>3</v>
      </c>
      <c r="AZ94" s="66"/>
      <c r="BA94" s="78"/>
      <c r="BB94" s="56"/>
      <c r="BC94" s="94">
        <v>0</v>
      </c>
      <c r="BD94" s="95">
        <v>0</v>
      </c>
      <c r="BE94" s="56"/>
      <c r="BF94" s="56"/>
      <c r="BG94" s="56"/>
      <c r="BH94" s="108"/>
      <c r="BI94" s="56"/>
      <c r="BJ94" s="94">
        <v>0</v>
      </c>
      <c r="BK94" s="95">
        <v>0</v>
      </c>
      <c r="BL94" s="66"/>
      <c r="BM94" s="66"/>
      <c r="BN94" s="66"/>
      <c r="BO94" s="66"/>
      <c r="BP94" s="66"/>
      <c r="BQ94" s="94">
        <v>0</v>
      </c>
      <c r="BR94" s="95">
        <v>0</v>
      </c>
      <c r="BS94" s="66"/>
      <c r="BT94" s="66"/>
      <c r="BU94" s="66"/>
      <c r="BV94" s="66"/>
      <c r="BW94" s="66"/>
      <c r="BX94" s="94">
        <v>0</v>
      </c>
      <c r="BY94" s="95">
        <v>0</v>
      </c>
    </row>
    <row r="95" spans="2:77" ht="15" customHeight="1" outlineLevel="1">
      <c r="B95" s="58" t="s">
        <v>190</v>
      </c>
      <c r="C95" s="59" t="s">
        <v>1</v>
      </c>
      <c r="D95" s="59" t="s">
        <v>48</v>
      </c>
      <c r="E95" s="58" t="s">
        <v>233</v>
      </c>
      <c r="F95" s="58">
        <f>SUMIFS('Detalhe Testes'!$F:$F,'Detalhe Testes'!$B:$B,'MacroPlano Equipa'!C95,'Detalhe Testes'!$C:$C,'MacroPlano Equipa'!D95)</f>
        <v>3</v>
      </c>
      <c r="G95" s="82">
        <f t="shared" si="13"/>
        <v>0.375</v>
      </c>
      <c r="H95" s="58" cm="1">
        <f t="array" aca="1" ref="H95" ca="1">SUMPRODUCT((COLUMN(O95:BY95)&gt;=MIN(IF(O95:BY95&lt;&gt;"",COLUMN(O95:BY95))))*($O$16:$BY$16&lt;=TODAY())*(O95:BY95))</f>
        <v>3</v>
      </c>
      <c r="I95" s="82">
        <f t="shared" ca="1" si="14"/>
        <v>0.375</v>
      </c>
      <c r="J95" s="98"/>
      <c r="K95" s="98"/>
      <c r="L95" s="84"/>
      <c r="M95" s="8">
        <f t="shared" si="15"/>
        <v>0</v>
      </c>
      <c r="O95" s="65"/>
      <c r="P95" s="65"/>
      <c r="Q95" s="65"/>
      <c r="R95" s="65"/>
      <c r="S95" s="69"/>
      <c r="T95" s="94">
        <v>0</v>
      </c>
      <c r="U95" s="95">
        <v>0</v>
      </c>
      <c r="V95" s="71"/>
      <c r="W95" s="65"/>
      <c r="X95" s="65"/>
      <c r="Y95" s="65"/>
      <c r="Z95" s="65"/>
      <c r="AA95" s="94">
        <v>0</v>
      </c>
      <c r="AB95" s="95">
        <v>0</v>
      </c>
      <c r="AC95" s="65"/>
      <c r="AD95" s="65"/>
      <c r="AE95" s="65"/>
      <c r="AF95" s="65"/>
      <c r="AG95" s="65"/>
      <c r="AH95" s="94">
        <v>0</v>
      </c>
      <c r="AI95" s="95">
        <v>0</v>
      </c>
      <c r="AJ95" s="66"/>
      <c r="AK95" s="66"/>
      <c r="AL95" s="66"/>
      <c r="AM95" s="66"/>
      <c r="AN95" s="66"/>
      <c r="AO95" s="94">
        <v>0</v>
      </c>
      <c r="AP95" s="95">
        <v>0</v>
      </c>
      <c r="AQ95" s="73"/>
      <c r="AR95" s="78"/>
      <c r="AS95" s="75"/>
      <c r="AT95" s="66"/>
      <c r="AU95" s="78"/>
      <c r="AV95" s="94">
        <v>0</v>
      </c>
      <c r="AW95" s="95">
        <v>0</v>
      </c>
      <c r="AX95" s="66"/>
      <c r="AY95" s="91">
        <v>3</v>
      </c>
      <c r="AZ95" s="66"/>
      <c r="BA95" s="78"/>
      <c r="BB95" s="56"/>
      <c r="BC95" s="94">
        <v>0</v>
      </c>
      <c r="BD95" s="95">
        <v>0</v>
      </c>
      <c r="BE95" s="56"/>
      <c r="BF95" s="56"/>
      <c r="BG95" s="56"/>
      <c r="BH95" s="108"/>
      <c r="BI95" s="108"/>
      <c r="BJ95" s="94">
        <v>0</v>
      </c>
      <c r="BK95" s="95">
        <v>0</v>
      </c>
      <c r="BL95" s="66"/>
      <c r="BM95" s="66"/>
      <c r="BN95" s="66"/>
      <c r="BO95" s="66"/>
      <c r="BP95" s="66"/>
      <c r="BQ95" s="94">
        <v>0</v>
      </c>
      <c r="BR95" s="95">
        <v>0</v>
      </c>
      <c r="BS95" s="66"/>
      <c r="BT95" s="66"/>
      <c r="BU95" s="66"/>
      <c r="BV95" s="66"/>
      <c r="BW95" s="66"/>
      <c r="BX95" s="94">
        <v>0</v>
      </c>
      <c r="BY95" s="95">
        <v>0</v>
      </c>
    </row>
    <row r="96" spans="2:77" ht="15" customHeight="1" outlineLevel="1">
      <c r="B96" s="58" t="s">
        <v>192</v>
      </c>
      <c r="C96" s="59" t="s">
        <v>1</v>
      </c>
      <c r="D96" s="59" t="s">
        <v>49</v>
      </c>
      <c r="E96" s="58" t="s">
        <v>233</v>
      </c>
      <c r="F96" s="58">
        <f>SUMIFS('Detalhe Testes'!$F:$F,'Detalhe Testes'!$B:$B,'MacroPlano Equipa'!C96,'Detalhe Testes'!$C:$C,'MacroPlano Equipa'!D96)</f>
        <v>3</v>
      </c>
      <c r="G96" s="82">
        <f t="shared" si="13"/>
        <v>0.375</v>
      </c>
      <c r="H96" s="58" cm="1">
        <f t="array" aca="1" ref="H96" ca="1">SUMPRODUCT((COLUMN(O96:BY96)&gt;=MIN(IF(O96:BY96&lt;&gt;"",COLUMN(O96:BY96))))*($O$16:$BY$16&lt;=TODAY())*(O96:BY96))</f>
        <v>3</v>
      </c>
      <c r="I96" s="82">
        <f t="shared" ca="1" si="14"/>
        <v>0.375</v>
      </c>
      <c r="J96" s="98"/>
      <c r="K96" s="98"/>
      <c r="L96" s="84"/>
      <c r="M96" s="8">
        <f t="shared" si="15"/>
        <v>0</v>
      </c>
      <c r="O96" s="65"/>
      <c r="P96" s="65"/>
      <c r="Q96" s="65"/>
      <c r="R96" s="65"/>
      <c r="S96" s="69"/>
      <c r="T96" s="94">
        <v>0</v>
      </c>
      <c r="U96" s="95">
        <v>0</v>
      </c>
      <c r="V96" s="71"/>
      <c r="W96" s="65"/>
      <c r="X96" s="65"/>
      <c r="Y96" s="65"/>
      <c r="Z96" s="65"/>
      <c r="AA96" s="94">
        <v>0</v>
      </c>
      <c r="AB96" s="95">
        <v>0</v>
      </c>
      <c r="AC96" s="65"/>
      <c r="AD96" s="65"/>
      <c r="AE96" s="65"/>
      <c r="AF96" s="65"/>
      <c r="AG96" s="65"/>
      <c r="AH96" s="94">
        <v>0</v>
      </c>
      <c r="AI96" s="95">
        <v>0</v>
      </c>
      <c r="AJ96" s="66"/>
      <c r="AK96" s="66"/>
      <c r="AL96" s="66"/>
      <c r="AM96" s="66"/>
      <c r="AN96" s="66"/>
      <c r="AO96" s="94">
        <v>0</v>
      </c>
      <c r="AP96" s="95">
        <v>0</v>
      </c>
      <c r="AQ96" s="73"/>
      <c r="AR96" s="78"/>
      <c r="AS96" s="75"/>
      <c r="AT96" s="66"/>
      <c r="AU96" s="78"/>
      <c r="AV96" s="94">
        <v>0</v>
      </c>
      <c r="AW96" s="95">
        <v>0</v>
      </c>
      <c r="AX96" s="66"/>
      <c r="AY96" s="91">
        <v>3</v>
      </c>
      <c r="AZ96" s="66"/>
      <c r="BA96" s="78"/>
      <c r="BB96" s="56"/>
      <c r="BC96" s="94">
        <v>0</v>
      </c>
      <c r="BD96" s="95">
        <v>0</v>
      </c>
      <c r="BE96" s="56"/>
      <c r="BF96" s="56"/>
      <c r="BG96" s="56"/>
      <c r="BH96" s="56"/>
      <c r="BI96" s="108"/>
      <c r="BJ96" s="94">
        <v>0</v>
      </c>
      <c r="BK96" s="95">
        <v>0</v>
      </c>
      <c r="BL96" s="66"/>
      <c r="BM96" s="66"/>
      <c r="BN96" s="66"/>
      <c r="BO96" s="66"/>
      <c r="BP96" s="66"/>
      <c r="BQ96" s="94">
        <v>0</v>
      </c>
      <c r="BR96" s="95">
        <v>0</v>
      </c>
      <c r="BS96" s="66"/>
      <c r="BT96" s="66"/>
      <c r="BU96" s="66"/>
      <c r="BV96" s="66"/>
      <c r="BW96" s="66"/>
      <c r="BX96" s="94">
        <v>0</v>
      </c>
      <c r="BY96" s="95">
        <v>0</v>
      </c>
    </row>
    <row r="97" spans="2:77" ht="15" customHeight="1" outlineLevel="1">
      <c r="B97" s="58" t="s">
        <v>232</v>
      </c>
      <c r="C97" s="59" t="s">
        <v>1</v>
      </c>
      <c r="D97" s="59" t="s">
        <v>52</v>
      </c>
      <c r="E97" s="58" t="s">
        <v>233</v>
      </c>
      <c r="F97" s="58">
        <f>SUMIFS('Detalhe Testes'!$F:$F,'Detalhe Testes'!$B:$B,'MacroPlano Equipa'!C97,'Detalhe Testes'!$C:$C,'MacroPlano Equipa'!D97)</f>
        <v>11</v>
      </c>
      <c r="G97" s="82">
        <f t="shared" si="13"/>
        <v>1.375</v>
      </c>
      <c r="H97" s="58" cm="1">
        <f t="array" aca="1" ref="H97" ca="1">SUMPRODUCT((COLUMN(O97:BY97)&gt;=MIN(IF(O97:BY97&lt;&gt;"",COLUMN(O97:BY97))))*($O$16:$BY$16&lt;=TODAY())*(O97:BY97))</f>
        <v>11</v>
      </c>
      <c r="I97" s="82">
        <f t="shared" ca="1" si="14"/>
        <v>1.375</v>
      </c>
      <c r="J97" s="98"/>
      <c r="K97" s="98"/>
      <c r="L97" s="84"/>
      <c r="M97" s="8">
        <f t="shared" si="15"/>
        <v>0</v>
      </c>
      <c r="O97" s="65"/>
      <c r="P97" s="65"/>
      <c r="Q97" s="65"/>
      <c r="R97" s="65"/>
      <c r="S97" s="69"/>
      <c r="T97" s="94">
        <v>0</v>
      </c>
      <c r="U97" s="95">
        <v>0</v>
      </c>
      <c r="V97" s="71"/>
      <c r="W97" s="65"/>
      <c r="X97" s="65"/>
      <c r="Y97" s="65"/>
      <c r="Z97" s="65"/>
      <c r="AA97" s="94">
        <v>0</v>
      </c>
      <c r="AB97" s="95">
        <v>0</v>
      </c>
      <c r="AC97" s="65"/>
      <c r="AD97" s="65"/>
      <c r="AE97" s="65"/>
      <c r="AF97" s="65"/>
      <c r="AG97" s="65"/>
      <c r="AH97" s="94">
        <v>0</v>
      </c>
      <c r="AI97" s="95">
        <v>0</v>
      </c>
      <c r="AJ97" s="66"/>
      <c r="AK97" s="66"/>
      <c r="AL97" s="66"/>
      <c r="AM97" s="66"/>
      <c r="AN97" s="66"/>
      <c r="AO97" s="94">
        <v>0</v>
      </c>
      <c r="AP97" s="95">
        <v>0</v>
      </c>
      <c r="AQ97" s="73"/>
      <c r="AR97" s="78"/>
      <c r="AS97" s="75"/>
      <c r="AT97" s="66"/>
      <c r="AU97" s="78"/>
      <c r="AV97" s="94">
        <v>0</v>
      </c>
      <c r="AW97" s="95">
        <v>0</v>
      </c>
      <c r="AX97" s="66"/>
      <c r="AY97" s="91">
        <v>6</v>
      </c>
      <c r="AZ97" s="91">
        <v>5</v>
      </c>
      <c r="BA97" s="78"/>
      <c r="BB97" s="56"/>
      <c r="BC97" s="94">
        <v>0</v>
      </c>
      <c r="BD97" s="95">
        <v>0</v>
      </c>
      <c r="BE97" s="56"/>
      <c r="BF97" s="56"/>
      <c r="BG97" s="56"/>
      <c r="BH97" s="56"/>
      <c r="BI97" s="108"/>
      <c r="BJ97" s="94">
        <v>0</v>
      </c>
      <c r="BK97" s="95">
        <v>0</v>
      </c>
      <c r="BL97" s="108"/>
      <c r="BM97" s="66"/>
      <c r="BN97" s="66"/>
      <c r="BO97" s="66"/>
      <c r="BP97" s="66"/>
      <c r="BQ97" s="94">
        <v>0</v>
      </c>
      <c r="BR97" s="95">
        <v>0</v>
      </c>
      <c r="BS97" s="66"/>
      <c r="BT97" s="66"/>
      <c r="BU97" s="66"/>
      <c r="BV97" s="66"/>
      <c r="BW97" s="66"/>
      <c r="BX97" s="94">
        <v>0</v>
      </c>
      <c r="BY97" s="95">
        <v>0</v>
      </c>
    </row>
    <row r="98" spans="2:77" s="8" customFormat="1" ht="15" customHeight="1">
      <c r="B98" s="55" t="s">
        <v>237</v>
      </c>
      <c r="C98" s="288" t="s">
        <v>238</v>
      </c>
      <c r="D98" s="288"/>
      <c r="E98" s="53"/>
      <c r="F98" s="53"/>
      <c r="G98" s="89"/>
      <c r="H98" s="53"/>
      <c r="I98" s="96"/>
      <c r="J98" s="96"/>
      <c r="K98" s="96"/>
      <c r="L98" s="53"/>
      <c r="O98" s="54"/>
      <c r="P98" s="54"/>
      <c r="Q98" s="54"/>
      <c r="R98" s="54"/>
      <c r="S98" s="54"/>
      <c r="T98" s="94">
        <v>0</v>
      </c>
      <c r="U98" s="95">
        <v>0</v>
      </c>
      <c r="V98" s="54"/>
      <c r="W98" s="54"/>
      <c r="X98" s="54"/>
      <c r="Y98" s="54"/>
      <c r="Z98" s="54"/>
      <c r="AA98" s="94">
        <v>0</v>
      </c>
      <c r="AB98" s="95">
        <v>0</v>
      </c>
      <c r="AC98" s="54"/>
      <c r="AD98" s="54"/>
      <c r="AE98" s="54"/>
      <c r="AF98" s="54"/>
      <c r="AG98" s="54"/>
      <c r="AH98" s="94">
        <v>0</v>
      </c>
      <c r="AI98" s="95">
        <v>0</v>
      </c>
      <c r="AJ98" s="162" t="s">
        <v>280</v>
      </c>
      <c r="AK98" s="53"/>
      <c r="AL98" s="53"/>
      <c r="AM98" s="53"/>
      <c r="AN98" s="53"/>
      <c r="AO98" s="94">
        <v>0</v>
      </c>
      <c r="AP98" s="95">
        <v>0</v>
      </c>
      <c r="AQ98" s="53"/>
      <c r="AR98" s="77"/>
      <c r="AS98" s="53"/>
      <c r="AT98" s="53"/>
      <c r="AU98" s="77"/>
      <c r="AV98" s="94">
        <v>0</v>
      </c>
      <c r="AW98" s="95">
        <v>0</v>
      </c>
      <c r="AX98" s="53"/>
      <c r="AY98" s="53"/>
      <c r="AZ98" s="53"/>
      <c r="BA98" s="77"/>
      <c r="BB98" s="53"/>
      <c r="BC98" s="94">
        <v>0</v>
      </c>
      <c r="BD98" s="95">
        <v>0</v>
      </c>
      <c r="BE98" s="53"/>
      <c r="BF98" s="53"/>
      <c r="BG98" s="53"/>
      <c r="BH98" s="53"/>
      <c r="BI98" s="53"/>
      <c r="BJ98" s="94">
        <v>0</v>
      </c>
      <c r="BK98" s="95">
        <v>0</v>
      </c>
      <c r="BL98" s="53"/>
      <c r="BM98" s="53"/>
      <c r="BN98" s="53"/>
      <c r="BO98" s="53"/>
      <c r="BP98" s="53"/>
      <c r="BQ98" s="94">
        <v>0</v>
      </c>
      <c r="BR98" s="95">
        <v>0</v>
      </c>
      <c r="BS98" s="53"/>
      <c r="BT98" s="53"/>
      <c r="BU98" s="53"/>
      <c r="BV98" s="53"/>
      <c r="BW98" s="53"/>
      <c r="BX98" s="94">
        <v>0</v>
      </c>
      <c r="BY98" s="95">
        <v>0</v>
      </c>
    </row>
    <row r="99" spans="2:77" ht="15" customHeight="1" outlineLevel="1">
      <c r="B99" s="58" t="s">
        <v>239</v>
      </c>
      <c r="C99" s="59" t="s">
        <v>240</v>
      </c>
      <c r="D99" s="59"/>
      <c r="E99" s="58" t="s">
        <v>233</v>
      </c>
      <c r="F99" s="106">
        <v>81.400000000000006</v>
      </c>
      <c r="G99" s="82">
        <v>5.0875000000000004</v>
      </c>
      <c r="H99" s="58" cm="1">
        <f t="array" aca="1" ref="H99" ca="1">SUMPRODUCT((COLUMN(O99:BY99)&gt;=MIN(IF(O99:BY99&lt;&gt;"",COLUMN(O99:BY99))))*($O$16:$BY$16&lt;=TODAY())*(O99:BY99))</f>
        <v>81.400000000000006</v>
      </c>
      <c r="I99" s="82">
        <f ca="1">H99/8</f>
        <v>10.175000000000001</v>
      </c>
      <c r="J99" s="98"/>
      <c r="K99" s="98"/>
      <c r="L99" s="84"/>
      <c r="M99" s="8">
        <f>SUM(O99:BY99)-F99</f>
        <v>0</v>
      </c>
      <c r="O99" s="65"/>
      <c r="P99" s="65"/>
      <c r="Q99" s="65"/>
      <c r="R99" s="65"/>
      <c r="S99" s="69"/>
      <c r="T99" s="94">
        <v>0</v>
      </c>
      <c r="U99" s="95">
        <v>0</v>
      </c>
      <c r="V99" s="71"/>
      <c r="W99" s="65"/>
      <c r="X99" s="65"/>
      <c r="Y99" s="65"/>
      <c r="Z99" s="65"/>
      <c r="AA99" s="94">
        <v>0</v>
      </c>
      <c r="AB99" s="95">
        <v>0</v>
      </c>
      <c r="AC99" s="65"/>
      <c r="AD99" s="65"/>
      <c r="AE99" s="65"/>
      <c r="AF99" s="65"/>
      <c r="AG99" s="65"/>
      <c r="AH99" s="94">
        <v>0</v>
      </c>
      <c r="AI99" s="95">
        <v>0</v>
      </c>
      <c r="AJ99" s="66"/>
      <c r="AK99" s="66"/>
      <c r="AL99" s="66"/>
      <c r="AM99" s="66"/>
      <c r="AN99" s="66"/>
      <c r="AO99" s="94">
        <v>0</v>
      </c>
      <c r="AP99" s="95">
        <v>0</v>
      </c>
      <c r="AQ99" s="73"/>
      <c r="AR99" s="78"/>
      <c r="AS99" s="75"/>
      <c r="AT99" s="66"/>
      <c r="AU99" s="78"/>
      <c r="AV99" s="94">
        <v>0</v>
      </c>
      <c r="AW99" s="95">
        <v>0</v>
      </c>
      <c r="AX99" s="66"/>
      <c r="AY99" s="66"/>
      <c r="AZ99" s="66"/>
      <c r="BA99" s="78"/>
      <c r="BB99" s="66"/>
      <c r="BC99" s="94">
        <v>0</v>
      </c>
      <c r="BD99" s="95">
        <v>0</v>
      </c>
      <c r="BE99" s="66"/>
      <c r="BF99" s="66"/>
      <c r="BG99" s="66"/>
      <c r="BH99" s="66"/>
      <c r="BI99" s="66"/>
      <c r="BJ99" s="94">
        <v>0</v>
      </c>
      <c r="BK99" s="95">
        <v>0</v>
      </c>
      <c r="BL99" s="91">
        <v>9</v>
      </c>
      <c r="BM99" s="91">
        <v>16</v>
      </c>
      <c r="BN99" s="91">
        <v>16</v>
      </c>
      <c r="BO99" s="91">
        <v>16</v>
      </c>
      <c r="BP99" s="91">
        <v>16</v>
      </c>
      <c r="BQ99" s="94">
        <v>0</v>
      </c>
      <c r="BR99" s="95">
        <v>0</v>
      </c>
      <c r="BS99" s="91">
        <v>8.4</v>
      </c>
      <c r="BT99" s="66"/>
      <c r="BU99" s="66"/>
      <c r="BV99" s="66"/>
      <c r="BW99" s="66"/>
      <c r="BX99" s="94">
        <v>0</v>
      </c>
      <c r="BY99" s="95">
        <v>0</v>
      </c>
    </row>
    <row r="100" spans="2:77" s="8" customFormat="1" ht="15" customHeight="1">
      <c r="B100" s="55" t="s">
        <v>241</v>
      </c>
      <c r="C100" s="288" t="s">
        <v>242</v>
      </c>
      <c r="D100" s="288"/>
      <c r="E100" s="53"/>
      <c r="F100" s="53"/>
      <c r="G100" s="89"/>
      <c r="H100" s="53"/>
      <c r="I100" s="96"/>
      <c r="J100" s="96"/>
      <c r="K100" s="96"/>
      <c r="L100" s="53"/>
      <c r="O100" s="54"/>
      <c r="P100" s="54"/>
      <c r="Q100" s="54"/>
      <c r="R100" s="54"/>
      <c r="S100" s="54"/>
      <c r="T100" s="94">
        <v>0</v>
      </c>
      <c r="U100" s="95">
        <v>0</v>
      </c>
      <c r="V100" s="54"/>
      <c r="W100" s="54"/>
      <c r="X100" s="54"/>
      <c r="Y100" s="54"/>
      <c r="Z100" s="54"/>
      <c r="AA100" s="94">
        <v>0</v>
      </c>
      <c r="AB100" s="95">
        <v>0</v>
      </c>
      <c r="AC100" s="54"/>
      <c r="AD100" s="54"/>
      <c r="AE100" s="54"/>
      <c r="AF100" s="54"/>
      <c r="AG100" s="54"/>
      <c r="AH100" s="94">
        <v>0</v>
      </c>
      <c r="AI100" s="95">
        <v>0</v>
      </c>
      <c r="AJ100" s="162" t="s">
        <v>280</v>
      </c>
      <c r="AK100" s="53"/>
      <c r="AL100" s="53"/>
      <c r="AM100" s="53"/>
      <c r="AN100" s="53"/>
      <c r="AO100" s="94">
        <v>0</v>
      </c>
      <c r="AP100" s="95">
        <v>0</v>
      </c>
      <c r="AQ100" s="53"/>
      <c r="AR100" s="77"/>
      <c r="AS100" s="53"/>
      <c r="AT100" s="53"/>
      <c r="AU100" s="77"/>
      <c r="AV100" s="94">
        <v>0</v>
      </c>
      <c r="AW100" s="95">
        <v>0</v>
      </c>
      <c r="AX100" s="53"/>
      <c r="AY100" s="53"/>
      <c r="AZ100" s="53"/>
      <c r="BA100" s="77"/>
      <c r="BB100" s="53"/>
      <c r="BC100" s="94">
        <v>0</v>
      </c>
      <c r="BD100" s="95">
        <v>0</v>
      </c>
      <c r="BE100" s="53"/>
      <c r="BF100" s="53"/>
      <c r="BG100" s="53"/>
      <c r="BH100" s="53"/>
      <c r="BI100" s="53"/>
      <c r="BJ100" s="94">
        <v>0</v>
      </c>
      <c r="BK100" s="95">
        <v>0</v>
      </c>
      <c r="BL100" s="53"/>
      <c r="BM100" s="53"/>
      <c r="BN100" s="53"/>
      <c r="BO100" s="53"/>
      <c r="BP100" s="53"/>
      <c r="BQ100" s="94">
        <v>0</v>
      </c>
      <c r="BR100" s="95">
        <v>0</v>
      </c>
      <c r="BS100" s="53"/>
      <c r="BT100" s="53"/>
      <c r="BU100" s="53"/>
      <c r="BV100" s="53"/>
      <c r="BW100" s="53"/>
      <c r="BX100" s="94">
        <v>0</v>
      </c>
      <c r="BY100" s="95">
        <v>0</v>
      </c>
    </row>
    <row r="101" spans="2:77" ht="15" customHeight="1" outlineLevel="1">
      <c r="B101" s="58" t="s">
        <v>243</v>
      </c>
      <c r="C101" s="59" t="s">
        <v>244</v>
      </c>
      <c r="D101" s="59"/>
      <c r="E101" s="58" t="s">
        <v>233</v>
      </c>
      <c r="F101" s="58">
        <v>80</v>
      </c>
      <c r="G101" s="82">
        <v>10</v>
      </c>
      <c r="H101" s="58" cm="1">
        <f t="array" aca="1" ref="H101" ca="1">SUMPRODUCT((COLUMN(O101:BY101)&gt;=MIN(IF(O101:BY101&lt;&gt;"",COLUMN(O101:BY101))))*($O$16:$BY$16&lt;=TODAY())*(O101:BY101))</f>
        <v>71.599999999999994</v>
      </c>
      <c r="I101" s="82">
        <f ca="1">H101/8</f>
        <v>8.9499999999999993</v>
      </c>
      <c r="J101" s="98"/>
      <c r="K101" s="98"/>
      <c r="L101" s="84"/>
      <c r="M101" s="8">
        <f>SUM(O101:BY101)-F101</f>
        <v>-8.4000000000000057</v>
      </c>
      <c r="O101" s="65"/>
      <c r="P101" s="65"/>
      <c r="Q101" s="65"/>
      <c r="R101" s="65"/>
      <c r="S101" s="69"/>
      <c r="T101" s="94">
        <v>0</v>
      </c>
      <c r="U101" s="95">
        <v>0</v>
      </c>
      <c r="V101" s="71"/>
      <c r="W101" s="65"/>
      <c r="X101" s="65"/>
      <c r="Y101" s="65"/>
      <c r="Z101" s="65"/>
      <c r="AA101" s="94">
        <v>0</v>
      </c>
      <c r="AB101" s="95">
        <v>0</v>
      </c>
      <c r="AC101" s="65"/>
      <c r="AD101" s="65"/>
      <c r="AE101" s="65"/>
      <c r="AF101" s="65"/>
      <c r="AG101" s="65"/>
      <c r="AH101" s="94">
        <v>0</v>
      </c>
      <c r="AI101" s="95">
        <v>0</v>
      </c>
      <c r="AJ101" s="66"/>
      <c r="AK101" s="66"/>
      <c r="AL101" s="66"/>
      <c r="AM101" s="66"/>
      <c r="AN101" s="66"/>
      <c r="AO101" s="94">
        <v>0</v>
      </c>
      <c r="AP101" s="95">
        <v>0</v>
      </c>
      <c r="AQ101" s="73"/>
      <c r="AR101" s="78"/>
      <c r="AS101" s="75"/>
      <c r="AT101" s="66"/>
      <c r="AU101" s="78"/>
      <c r="AV101" s="94">
        <v>0</v>
      </c>
      <c r="AW101" s="95">
        <v>0</v>
      </c>
      <c r="AX101" s="66"/>
      <c r="AY101" s="66"/>
      <c r="AZ101" s="66"/>
      <c r="BA101" s="78"/>
      <c r="BB101" s="66"/>
      <c r="BC101" s="94">
        <v>0</v>
      </c>
      <c r="BD101" s="95">
        <v>0</v>
      </c>
      <c r="BE101" s="66"/>
      <c r="BF101" s="66"/>
      <c r="BG101" s="66"/>
      <c r="BH101" s="66"/>
      <c r="BI101" s="66"/>
      <c r="BJ101" s="94">
        <v>0</v>
      </c>
      <c r="BK101" s="95">
        <v>0</v>
      </c>
      <c r="BL101" s="56"/>
      <c r="BM101" s="56"/>
      <c r="BN101" s="56"/>
      <c r="BO101" s="66"/>
      <c r="BP101" s="66"/>
      <c r="BQ101" s="94">
        <v>0</v>
      </c>
      <c r="BR101" s="95">
        <v>0</v>
      </c>
      <c r="BS101" s="91">
        <v>7.6</v>
      </c>
      <c r="BT101" s="91">
        <v>16</v>
      </c>
      <c r="BU101" s="91">
        <v>16</v>
      </c>
      <c r="BV101" s="91">
        <v>16</v>
      </c>
      <c r="BW101" s="91">
        <v>16</v>
      </c>
      <c r="BX101" s="94">
        <v>0</v>
      </c>
      <c r="BY101" s="95">
        <v>0</v>
      </c>
    </row>
  </sheetData>
  <mergeCells count="23">
    <mergeCell ref="C100:D100"/>
    <mergeCell ref="C16:D16"/>
    <mergeCell ref="F15:G15"/>
    <mergeCell ref="H15:I15"/>
    <mergeCell ref="O15:U15"/>
    <mergeCell ref="C49:D49"/>
    <mergeCell ref="C62:D62"/>
    <mergeCell ref="C89:D89"/>
    <mergeCell ref="C18:D18"/>
    <mergeCell ref="C17:D17"/>
    <mergeCell ref="C19:D19"/>
    <mergeCell ref="C20:D20"/>
    <mergeCell ref="BL15:BR15"/>
    <mergeCell ref="BS15:BY15"/>
    <mergeCell ref="AC15:AI15"/>
    <mergeCell ref="AJ15:AP15"/>
    <mergeCell ref="C98:D98"/>
    <mergeCell ref="V15:AB15"/>
    <mergeCell ref="C34:D34"/>
    <mergeCell ref="J15:K15"/>
    <mergeCell ref="AQ15:AW15"/>
    <mergeCell ref="AX15:BD15"/>
    <mergeCell ref="BE15:BK15"/>
  </mergeCells>
  <phoneticPr fontId="9" type="noConversion"/>
  <conditionalFormatting sqref="B13">
    <cfRule type="cellIs" dxfId="17" priority="1" operator="equal">
      <formula>0</formula>
    </cfRule>
  </conditionalFormatting>
  <conditionalFormatting sqref="O13:BY13">
    <cfRule type="cellIs" dxfId="16" priority="10" operator="notEqual">
      <formula>0</formula>
    </cfRule>
    <cfRule type="cellIs" dxfId="15" priority="11" operator="equal">
      <formula>0</formula>
    </cfRule>
  </conditionalFormatting>
  <conditionalFormatting sqref="T17:U101 AA17:AB101 AH17:AI101 AO17:AP101 AV17:AW101 BC17:BD101 BJ17:BK101 BQ17:BR101 BX17:BY101">
    <cfRule type="cellIs" dxfId="14" priority="2" operator="equal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690F1-F88C-47BB-A452-DBF1CCF20DAA}">
  <sheetPr>
    <tabColor theme="0" tint="-0.499984740745262"/>
  </sheetPr>
  <dimension ref="A1:X81"/>
  <sheetViews>
    <sheetView showGridLines="0" tabSelected="1" zoomScale="90" zoomScaleNormal="90" workbookViewId="0">
      <pane xSplit="3" ySplit="8" topLeftCell="J9" activePane="bottomRight" state="frozen"/>
      <selection pane="topRight" activeCell="D1" sqref="D1"/>
      <selection pane="bottomLeft" activeCell="A9" sqref="A9"/>
      <selection pane="bottomRight" activeCell="Q17" sqref="Q17"/>
    </sheetView>
  </sheetViews>
  <sheetFormatPr defaultColWidth="0" defaultRowHeight="14.4" outlineLevelCol="1"/>
  <cols>
    <col min="1" max="1" width="3.6640625" style="3" customWidth="1"/>
    <col min="2" max="2" width="20.109375" style="3" bestFit="1" customWidth="1"/>
    <col min="3" max="3" width="39.109375" style="3" bestFit="1" customWidth="1"/>
    <col min="4" max="4" width="8.33203125" style="3" hidden="1" customWidth="1"/>
    <col min="5" max="5" width="10.109375" style="3" hidden="1" customWidth="1" outlineLevel="1"/>
    <col min="6" max="6" width="17" style="3" hidden="1" customWidth="1" outlineLevel="1"/>
    <col min="7" max="7" width="12.5546875" style="3" hidden="1" customWidth="1" outlineLevel="1"/>
    <col min="8" max="8" width="16.6640625" style="8" customWidth="1" collapsed="1"/>
    <col min="9" max="11" width="15.6640625" style="3" customWidth="1"/>
    <col min="12" max="12" width="2.6640625" customWidth="1"/>
    <col min="13" max="13" width="13.88671875" style="3" hidden="1" customWidth="1"/>
    <col min="14" max="15" width="24.44140625" style="8" hidden="1" customWidth="1"/>
    <col min="16" max="16" width="2.6640625" style="3" hidden="1" customWidth="1"/>
    <col min="17" max="18" width="20.6640625" style="3" customWidth="1"/>
    <col min="19" max="19" width="29.6640625" style="3" hidden="1" customWidth="1"/>
    <col min="20" max="20" width="29.6640625" style="200" customWidth="1"/>
    <col min="21" max="21" width="2.6640625" style="3" customWidth="1"/>
    <col min="22" max="23" width="22.6640625" style="3" customWidth="1"/>
    <col min="24" max="24" width="3.6640625" style="3" customWidth="1"/>
    <col min="25" max="16384" width="8.88671875" style="3" hidden="1"/>
  </cols>
  <sheetData>
    <row r="1" spans="1:24" ht="16.2" customHeight="1">
      <c r="L1" s="3"/>
    </row>
    <row r="2" spans="1:24" ht="13.2">
      <c r="A2" s="4"/>
      <c r="B2" s="4"/>
      <c r="C2" s="4"/>
      <c r="D2" s="4"/>
      <c r="E2" s="4"/>
      <c r="F2" s="4"/>
      <c r="G2" s="4"/>
      <c r="H2" s="9"/>
      <c r="I2" s="4"/>
      <c r="J2" s="4"/>
      <c r="K2" s="4"/>
      <c r="L2" s="4"/>
      <c r="M2" s="4"/>
      <c r="N2" s="9"/>
      <c r="O2" s="9"/>
      <c r="P2" s="4"/>
      <c r="Q2" s="4"/>
      <c r="R2" s="4"/>
      <c r="S2" s="4"/>
      <c r="T2" s="243"/>
      <c r="U2" s="4"/>
      <c r="V2" s="4"/>
      <c r="W2" s="4"/>
      <c r="X2" s="4"/>
    </row>
    <row r="3" spans="1:24" ht="13.2">
      <c r="A3" s="5"/>
      <c r="B3" s="5"/>
      <c r="C3" s="5"/>
      <c r="D3" s="5"/>
      <c r="E3" s="5"/>
      <c r="F3" s="5"/>
      <c r="G3" s="5"/>
      <c r="H3" s="9"/>
      <c r="I3" s="6"/>
      <c r="J3" s="6"/>
      <c r="K3" s="7"/>
      <c r="L3" s="7"/>
      <c r="M3" s="7"/>
      <c r="N3" s="28"/>
      <c r="O3" s="28"/>
      <c r="P3" s="7"/>
      <c r="Q3" s="7"/>
      <c r="R3" s="7"/>
      <c r="S3" s="7"/>
      <c r="T3" s="244"/>
      <c r="U3" s="7"/>
      <c r="V3" s="7"/>
      <c r="W3" s="7"/>
      <c r="X3" s="7"/>
    </row>
    <row r="4" spans="1:24" ht="13.2">
      <c r="A4" s="4"/>
      <c r="B4" s="4"/>
      <c r="C4" s="4"/>
      <c r="D4" s="4"/>
      <c r="E4" s="4"/>
      <c r="F4" s="4"/>
      <c r="G4" s="4"/>
      <c r="H4" s="9"/>
      <c r="I4" s="4"/>
      <c r="J4" s="4"/>
      <c r="K4" s="4"/>
      <c r="L4" s="4"/>
      <c r="M4" s="4"/>
      <c r="N4" s="9"/>
      <c r="O4" s="9"/>
      <c r="P4" s="4"/>
      <c r="Q4" s="4"/>
      <c r="R4" s="4"/>
      <c r="S4" s="4"/>
      <c r="T4" s="243"/>
      <c r="U4" s="4"/>
      <c r="V4" s="4"/>
      <c r="W4" s="4"/>
      <c r="X4" s="4"/>
    </row>
    <row r="5" spans="1:24" ht="3" customHeight="1">
      <c r="A5" s="2"/>
      <c r="B5" s="2"/>
      <c r="C5" s="2"/>
      <c r="D5" s="2"/>
      <c r="E5" s="2"/>
      <c r="F5" s="2"/>
      <c r="G5" s="2"/>
      <c r="H5" s="10"/>
      <c r="I5" s="2"/>
      <c r="J5" s="2"/>
      <c r="K5" s="2"/>
      <c r="L5" s="2"/>
      <c r="M5" s="2"/>
      <c r="N5" s="10"/>
      <c r="O5" s="10"/>
      <c r="P5" s="2"/>
      <c r="Q5" s="2"/>
      <c r="R5" s="2"/>
      <c r="S5" s="2"/>
      <c r="T5" s="245"/>
      <c r="U5" s="2"/>
      <c r="V5" s="2"/>
      <c r="W5" s="2"/>
      <c r="X5" s="2"/>
    </row>
    <row r="7" spans="1:24" ht="15" customHeight="1">
      <c r="I7" s="303" t="s">
        <v>69</v>
      </c>
      <c r="J7" s="303"/>
      <c r="K7" s="303"/>
      <c r="Q7" s="304" t="s">
        <v>88</v>
      </c>
      <c r="R7" s="305"/>
      <c r="S7" s="306"/>
    </row>
    <row r="8" spans="1:24" ht="15" customHeight="1">
      <c r="B8" s="22" t="s">
        <v>80</v>
      </c>
      <c r="C8" s="23" t="s">
        <v>81</v>
      </c>
      <c r="D8" s="23" t="s">
        <v>290</v>
      </c>
      <c r="E8" s="23" t="s">
        <v>82</v>
      </c>
      <c r="F8" s="23" t="s">
        <v>86</v>
      </c>
      <c r="G8" s="23" t="s">
        <v>0</v>
      </c>
      <c r="H8" s="23" t="s">
        <v>68</v>
      </c>
      <c r="I8" s="24" t="s">
        <v>67</v>
      </c>
      <c r="J8" s="24" t="s">
        <v>70</v>
      </c>
      <c r="K8" s="25" t="s">
        <v>71</v>
      </c>
      <c r="M8" s="26" t="s">
        <v>72</v>
      </c>
      <c r="N8" s="26" t="s">
        <v>84</v>
      </c>
      <c r="O8" s="26" t="s">
        <v>85</v>
      </c>
      <c r="Q8" s="36" t="s">
        <v>87</v>
      </c>
      <c r="R8" s="24" t="s">
        <v>83</v>
      </c>
      <c r="S8" s="36" t="s">
        <v>389</v>
      </c>
      <c r="T8" s="240" t="s">
        <v>393</v>
      </c>
      <c r="V8" s="12" t="s">
        <v>111</v>
      </c>
      <c r="W8" s="30" t="s">
        <v>112</v>
      </c>
    </row>
    <row r="9" spans="1:24">
      <c r="B9" s="13" t="s">
        <v>1</v>
      </c>
      <c r="C9" s="13" t="s">
        <v>89</v>
      </c>
      <c r="D9" s="13" t="str">
        <f t="shared" ref="D9:D40" si="0">_xlfn.CONCAT(B9,C9)</f>
        <v>lt002_instrumentUNIVERSO</v>
      </c>
      <c r="E9" s="14" t="s">
        <v>90</v>
      </c>
      <c r="F9" s="14" t="s">
        <v>90</v>
      </c>
      <c r="G9" s="14" t="s">
        <v>90</v>
      </c>
      <c r="H9" s="14" t="s">
        <v>73</v>
      </c>
      <c r="I9" s="15">
        <v>45782</v>
      </c>
      <c r="J9" s="16">
        <v>45782</v>
      </c>
      <c r="K9" s="19">
        <f t="shared" ref="K9:K40" si="1">+IF(J9="","N/A",J9-I9)</f>
        <v>0</v>
      </c>
      <c r="M9" s="166" t="e">
        <f>SUMIFS('Detalhe Testes'!$H:$H,'Detalhe Testes'!$B:$B,'Detalhe Entregas e Status'!B9,'Detalhe Testes'!$C:$C,'Detalhe Entregas e Status'!C9)</f>
        <v>#N/A</v>
      </c>
      <c r="N9" s="19" t="s">
        <v>297</v>
      </c>
      <c r="O9" s="14" t="s">
        <v>281</v>
      </c>
      <c r="Q9" s="15">
        <v>45814</v>
      </c>
      <c r="R9" s="15">
        <v>45849</v>
      </c>
      <c r="S9" s="15"/>
      <c r="T9" s="241" t="s">
        <v>401</v>
      </c>
      <c r="V9" s="29" t="s">
        <v>116</v>
      </c>
      <c r="W9" s="29" t="s">
        <v>116</v>
      </c>
    </row>
    <row r="10" spans="1:24">
      <c r="B10" s="18" t="s">
        <v>1</v>
      </c>
      <c r="C10" s="256" t="s">
        <v>2</v>
      </c>
      <c r="D10" s="195" t="str">
        <f t="shared" si="0"/>
        <v>lt002_instrumentAVRG_BLNC</v>
      </c>
      <c r="E10" s="19" t="s">
        <v>3</v>
      </c>
      <c r="F10" s="19" t="s">
        <v>4</v>
      </c>
      <c r="G10" s="19" t="s">
        <v>3</v>
      </c>
      <c r="H10" s="19" t="s">
        <v>76</v>
      </c>
      <c r="I10" s="20">
        <v>45796</v>
      </c>
      <c r="J10" s="21">
        <v>45796</v>
      </c>
      <c r="K10" s="19">
        <f t="shared" si="1"/>
        <v>0</v>
      </c>
      <c r="M10" s="166" t="e">
        <f>SUMIFS('Detalhe Testes'!$H:$H,'Detalhe Testes'!$B:$B,'Detalhe Entregas e Status'!B10,'Detalhe Testes'!$C:$C,'Detalhe Entregas e Status'!C10)</f>
        <v>#N/A</v>
      </c>
      <c r="N10" s="19" t="s">
        <v>281</v>
      </c>
      <c r="O10" s="14" t="s">
        <v>281</v>
      </c>
      <c r="Q10" s="20">
        <v>45803</v>
      </c>
      <c r="R10" s="15">
        <v>45846</v>
      </c>
      <c r="S10" s="20"/>
      <c r="T10" s="242"/>
      <c r="V10" s="29" t="s">
        <v>122</v>
      </c>
      <c r="W10" s="29" t="s">
        <v>122</v>
      </c>
    </row>
    <row r="11" spans="1:24">
      <c r="A11" s="3" t="s">
        <v>392</v>
      </c>
      <c r="B11" s="13" t="s">
        <v>1</v>
      </c>
      <c r="C11" s="254" t="s">
        <v>5</v>
      </c>
      <c r="D11" s="13" t="str">
        <f t="shared" si="0"/>
        <v>lt002_instrumentNW_BSNSS</v>
      </c>
      <c r="E11" s="14" t="s">
        <v>3</v>
      </c>
      <c r="F11" s="14" t="s">
        <v>4</v>
      </c>
      <c r="G11" s="14" t="s">
        <v>4</v>
      </c>
      <c r="H11" s="14" t="s">
        <v>77</v>
      </c>
      <c r="I11" s="15">
        <v>45782</v>
      </c>
      <c r="J11" s="15">
        <v>45782</v>
      </c>
      <c r="K11" s="14">
        <f t="shared" si="1"/>
        <v>0</v>
      </c>
      <c r="M11" s="166" t="e">
        <f>SUMIFS('Detalhe Testes'!$H:$H,'Detalhe Testes'!$B:$B,'Detalhe Entregas e Status'!B11,'Detalhe Testes'!$C:$C,'Detalhe Entregas e Status'!C11)</f>
        <v>#N/A</v>
      </c>
      <c r="N11" s="14"/>
      <c r="O11" s="14"/>
      <c r="Q11" s="15"/>
      <c r="R11" s="15">
        <v>45849</v>
      </c>
      <c r="S11" s="15"/>
      <c r="T11" s="241" t="s">
        <v>403</v>
      </c>
      <c r="V11" s="29" t="s">
        <v>122</v>
      </c>
      <c r="W11" s="29" t="s">
        <v>122</v>
      </c>
    </row>
    <row r="12" spans="1:24">
      <c r="A12" s="3" t="s">
        <v>392</v>
      </c>
      <c r="B12" s="13" t="s">
        <v>1</v>
      </c>
      <c r="C12" s="255" t="s">
        <v>6</v>
      </c>
      <c r="D12" s="13" t="str">
        <f t="shared" si="0"/>
        <v>lt002_instrumentGRSS_INTRST_INCM</v>
      </c>
      <c r="E12" s="14" t="s">
        <v>3</v>
      </c>
      <c r="F12" s="14" t="s">
        <v>4</v>
      </c>
      <c r="G12" s="14" t="s">
        <v>4</v>
      </c>
      <c r="H12" s="14" t="s">
        <v>76</v>
      </c>
      <c r="I12" s="15">
        <v>45789</v>
      </c>
      <c r="J12" s="16">
        <v>45789</v>
      </c>
      <c r="K12" s="14">
        <f t="shared" si="1"/>
        <v>0</v>
      </c>
      <c r="M12" s="166" t="e">
        <f>SUMIFS('Detalhe Testes'!$H:$H,'Detalhe Testes'!$B:$B,'Detalhe Entregas e Status'!B12,'Detalhe Testes'!$C:$C,'Detalhe Entregas e Status'!C12)</f>
        <v>#N/A</v>
      </c>
      <c r="N12" s="14" t="s">
        <v>281</v>
      </c>
      <c r="O12" s="14" t="s">
        <v>281</v>
      </c>
      <c r="Q12" s="192">
        <v>45803</v>
      </c>
      <c r="R12" s="246">
        <v>45849</v>
      </c>
      <c r="S12" s="15"/>
      <c r="T12" s="241" t="s">
        <v>403</v>
      </c>
      <c r="V12" s="29" t="s">
        <v>122</v>
      </c>
      <c r="W12" s="29" t="s">
        <v>122</v>
      </c>
    </row>
    <row r="13" spans="1:24">
      <c r="A13" s="3" t="s">
        <v>392</v>
      </c>
      <c r="B13" s="13" t="s">
        <v>1</v>
      </c>
      <c r="C13" s="255" t="s">
        <v>7</v>
      </c>
      <c r="D13" s="13" t="str">
        <f t="shared" si="0"/>
        <v>lt002_instrumentGRSS_CMMSSN_INCM</v>
      </c>
      <c r="E13" s="14" t="s">
        <v>3</v>
      </c>
      <c r="F13" s="14" t="s">
        <v>4</v>
      </c>
      <c r="G13" s="14" t="s">
        <v>4</v>
      </c>
      <c r="H13" s="14" t="s">
        <v>76</v>
      </c>
      <c r="I13" s="15">
        <v>45789</v>
      </c>
      <c r="J13" s="16">
        <v>45789</v>
      </c>
      <c r="K13" s="14">
        <f t="shared" si="1"/>
        <v>0</v>
      </c>
      <c r="M13" s="166" t="e">
        <f>SUMIFS('Detalhe Testes'!$H:$H,'Detalhe Testes'!$B:$B,'Detalhe Entregas e Status'!B13,'Detalhe Testes'!$C:$C,'Detalhe Entregas e Status'!C13)</f>
        <v>#N/A</v>
      </c>
      <c r="N13" s="14" t="s">
        <v>281</v>
      </c>
      <c r="O13" s="14" t="s">
        <v>281</v>
      </c>
      <c r="Q13" s="192">
        <v>45803</v>
      </c>
      <c r="R13" s="246">
        <v>45849</v>
      </c>
      <c r="S13" s="15"/>
      <c r="T13" s="241" t="s">
        <v>403</v>
      </c>
      <c r="V13" s="29" t="s">
        <v>122</v>
      </c>
      <c r="W13" s="29" t="s">
        <v>122</v>
      </c>
    </row>
    <row r="14" spans="1:24">
      <c r="B14" s="13" t="s">
        <v>1</v>
      </c>
      <c r="C14" s="13" t="s">
        <v>8</v>
      </c>
      <c r="D14" s="13" t="str">
        <f t="shared" si="0"/>
        <v>lt002_instrumentINTRNL_TRNSFR_RT</v>
      </c>
      <c r="E14" s="14" t="s">
        <v>3</v>
      </c>
      <c r="F14" s="14" t="s">
        <v>4</v>
      </c>
      <c r="G14" s="14" t="s">
        <v>3</v>
      </c>
      <c r="H14" s="14" t="s">
        <v>73</v>
      </c>
      <c r="I14" s="15">
        <v>45796</v>
      </c>
      <c r="J14" s="21">
        <v>45796</v>
      </c>
      <c r="K14" s="14">
        <f t="shared" si="1"/>
        <v>0</v>
      </c>
      <c r="M14" s="166" t="e">
        <f>SUMIFS('Detalhe Testes'!$H:$H,'Detalhe Testes'!$B:$B,'Detalhe Entregas e Status'!B14,'Detalhe Testes'!$C:$C,'Detalhe Entregas e Status'!C14)</f>
        <v>#N/A</v>
      </c>
      <c r="N14" s="14" t="s">
        <v>281</v>
      </c>
      <c r="O14" s="14" t="s">
        <v>281</v>
      </c>
      <c r="Q14" s="20">
        <v>45803</v>
      </c>
      <c r="R14" s="246">
        <v>45849</v>
      </c>
      <c r="S14" s="15"/>
      <c r="T14" s="241" t="s">
        <v>403</v>
      </c>
      <c r="V14" s="29" t="s">
        <v>122</v>
      </c>
      <c r="W14" s="29" t="s">
        <v>122</v>
      </c>
    </row>
    <row r="15" spans="1:24">
      <c r="B15" s="13" t="s">
        <v>1</v>
      </c>
      <c r="C15" s="248" t="s">
        <v>9</v>
      </c>
      <c r="D15" s="13" t="str">
        <f t="shared" si="0"/>
        <v>lt002_instrumentNT_LN_LSS_PRVSN</v>
      </c>
      <c r="E15" s="14" t="s">
        <v>3</v>
      </c>
      <c r="F15" s="14" t="s">
        <v>4</v>
      </c>
      <c r="G15" s="14" t="s">
        <v>3</v>
      </c>
      <c r="H15" s="14" t="s">
        <v>76</v>
      </c>
      <c r="I15" s="15">
        <v>45796</v>
      </c>
      <c r="J15" s="21">
        <v>45796</v>
      </c>
      <c r="K15" s="14">
        <f t="shared" si="1"/>
        <v>0</v>
      </c>
      <c r="M15" s="166" t="e">
        <f>SUMIFS('Detalhe Testes'!$H:$H,'Detalhe Testes'!$B:$B,'Detalhe Entregas e Status'!B15,'Detalhe Testes'!$C:$C,'Detalhe Entregas e Status'!C15)</f>
        <v>#N/A</v>
      </c>
      <c r="N15" s="14" t="s">
        <v>281</v>
      </c>
      <c r="O15" s="14" t="s">
        <v>281</v>
      </c>
      <c r="Q15" s="192">
        <v>45803</v>
      </c>
      <c r="R15" s="246">
        <v>45854</v>
      </c>
      <c r="S15" s="15"/>
      <c r="T15" s="241"/>
      <c r="V15" s="29" t="s">
        <v>122</v>
      </c>
      <c r="W15" s="29" t="s">
        <v>122</v>
      </c>
    </row>
    <row r="16" spans="1:24">
      <c r="B16" s="13" t="s">
        <v>1</v>
      </c>
      <c r="C16" s="13" t="s">
        <v>10</v>
      </c>
      <c r="D16" s="13" t="str">
        <f t="shared" si="0"/>
        <v>lt002_instrumentBSNSS_AREA</v>
      </c>
      <c r="E16" s="14" t="s">
        <v>3</v>
      </c>
      <c r="F16" s="14" t="s">
        <v>4</v>
      </c>
      <c r="G16" s="14" t="s">
        <v>3</v>
      </c>
      <c r="H16" s="14" t="s">
        <v>77</v>
      </c>
      <c r="I16" s="15">
        <v>45803</v>
      </c>
      <c r="J16" s="191">
        <v>45803</v>
      </c>
      <c r="K16" s="14">
        <f t="shared" si="1"/>
        <v>0</v>
      </c>
      <c r="M16" s="166" t="e">
        <f>SUMIFS('Detalhe Testes'!$H:$H,'Detalhe Testes'!$B:$B,'Detalhe Entregas e Status'!B16,'Detalhe Testes'!$C:$C,'Detalhe Entregas e Status'!C16)</f>
        <v>#N/A</v>
      </c>
      <c r="N16" s="14"/>
      <c r="O16" s="14"/>
      <c r="Q16" s="15">
        <v>45833</v>
      </c>
      <c r="R16" s="15">
        <v>45849</v>
      </c>
      <c r="S16" s="15"/>
      <c r="T16" s="241" t="s">
        <v>403</v>
      </c>
      <c r="V16" s="29" t="s">
        <v>116</v>
      </c>
      <c r="W16" s="29" t="s">
        <v>116</v>
      </c>
    </row>
    <row r="17" spans="1:23">
      <c r="B17" s="13" t="s">
        <v>1</v>
      </c>
      <c r="C17" s="13" t="s">
        <v>11</v>
      </c>
      <c r="D17" s="13" t="str">
        <f t="shared" si="0"/>
        <v>lt002_instrumentMNGMNT_PRDCT</v>
      </c>
      <c r="E17" s="14" t="s">
        <v>3</v>
      </c>
      <c r="F17" s="14" t="s">
        <v>4</v>
      </c>
      <c r="G17" s="14" t="s">
        <v>3</v>
      </c>
      <c r="H17" s="14" t="s">
        <v>73</v>
      </c>
      <c r="I17" s="15">
        <v>45796</v>
      </c>
      <c r="J17" s="21">
        <v>45796</v>
      </c>
      <c r="K17" s="14">
        <f t="shared" si="1"/>
        <v>0</v>
      </c>
      <c r="M17" s="166" t="e">
        <f>SUMIFS('Detalhe Testes'!$H:$H,'Detalhe Testes'!$B:$B,'Detalhe Entregas e Status'!B17,'Detalhe Testes'!$C:$C,'Detalhe Entregas e Status'!C17)</f>
        <v>#N/A</v>
      </c>
      <c r="N17" s="14"/>
      <c r="O17" s="14"/>
      <c r="Q17" s="15">
        <v>45833</v>
      </c>
      <c r="R17" s="15">
        <v>45849</v>
      </c>
      <c r="S17" s="15"/>
      <c r="T17" s="249" t="s">
        <v>402</v>
      </c>
      <c r="V17" s="29" t="s">
        <v>114</v>
      </c>
      <c r="W17" s="29" t="s">
        <v>114</v>
      </c>
    </row>
    <row r="18" spans="1:23">
      <c r="B18" s="13" t="s">
        <v>1</v>
      </c>
      <c r="C18" s="255" t="s">
        <v>12</v>
      </c>
      <c r="D18" s="13" t="str">
        <f t="shared" si="0"/>
        <v>lt002_instrumentGRSS_CMMSSN_EXPNS</v>
      </c>
      <c r="E18" s="14" t="s">
        <v>3</v>
      </c>
      <c r="F18" s="14" t="s">
        <v>4</v>
      </c>
      <c r="G18" s="14" t="s">
        <v>3</v>
      </c>
      <c r="H18" s="14" t="s">
        <v>76</v>
      </c>
      <c r="I18" s="15">
        <v>45789</v>
      </c>
      <c r="J18" s="16">
        <v>45789</v>
      </c>
      <c r="K18" s="14">
        <f t="shared" si="1"/>
        <v>0</v>
      </c>
      <c r="M18" s="166" t="e">
        <f>SUMIFS('Detalhe Testes'!$H:$H,'Detalhe Testes'!$B:$B,'Detalhe Entregas e Status'!B18,'Detalhe Testes'!$C:$C,'Detalhe Entregas e Status'!C18)</f>
        <v>#N/A</v>
      </c>
      <c r="N18" s="14" t="s">
        <v>281</v>
      </c>
      <c r="O18" s="14" t="s">
        <v>281</v>
      </c>
      <c r="Q18" s="192">
        <v>45803</v>
      </c>
      <c r="R18" s="246">
        <v>45849</v>
      </c>
      <c r="S18" s="15"/>
      <c r="T18" s="241" t="s">
        <v>403</v>
      </c>
      <c r="V18" s="29" t="s">
        <v>122</v>
      </c>
      <c r="W18" s="29" t="s">
        <v>122</v>
      </c>
    </row>
    <row r="19" spans="1:23">
      <c r="B19" s="13" t="s">
        <v>1</v>
      </c>
      <c r="C19" s="13" t="s">
        <v>13</v>
      </c>
      <c r="D19" s="13" t="str">
        <f t="shared" si="0"/>
        <v>lt002_instrumentGNS_FNNCL_TRNSCTN_EXCHNG_DFFRNCS</v>
      </c>
      <c r="E19" s="14" t="s">
        <v>3</v>
      </c>
      <c r="F19" s="14" t="s">
        <v>4</v>
      </c>
      <c r="G19" s="14" t="s">
        <v>3</v>
      </c>
      <c r="H19" s="14" t="s">
        <v>76</v>
      </c>
      <c r="I19" s="15">
        <v>45796</v>
      </c>
      <c r="J19" s="21">
        <v>45796</v>
      </c>
      <c r="K19" s="14">
        <f t="shared" si="1"/>
        <v>0</v>
      </c>
      <c r="M19" s="166" t="e">
        <f>SUMIFS('Detalhe Testes'!$H:$H,'Detalhe Testes'!$B:$B,'Detalhe Entregas e Status'!B19,'Detalhe Testes'!$C:$C,'Detalhe Entregas e Status'!C19)</f>
        <v>#N/A</v>
      </c>
      <c r="N19" s="14" t="s">
        <v>281</v>
      </c>
      <c r="O19" s="14" t="s">
        <v>281</v>
      </c>
      <c r="Q19" s="20">
        <v>45803</v>
      </c>
      <c r="R19" s="246" t="s">
        <v>374</v>
      </c>
      <c r="S19" s="15"/>
      <c r="T19" s="241"/>
      <c r="V19" s="29" t="s">
        <v>114</v>
      </c>
      <c r="W19" s="29" t="s">
        <v>114</v>
      </c>
    </row>
    <row r="20" spans="1:23">
      <c r="B20" s="13" t="s">
        <v>1</v>
      </c>
      <c r="C20" s="13" t="s">
        <v>14</v>
      </c>
      <c r="D20" s="13" t="str">
        <f t="shared" si="0"/>
        <v>lt002_instrumentFLG_INTRBSNSS</v>
      </c>
      <c r="E20" s="14" t="s">
        <v>3</v>
      </c>
      <c r="F20" s="14" t="s">
        <v>4</v>
      </c>
      <c r="G20" s="14" t="s">
        <v>3</v>
      </c>
      <c r="H20" s="14" t="s">
        <v>73</v>
      </c>
      <c r="I20" s="15">
        <v>45796</v>
      </c>
      <c r="J20" s="21">
        <v>45796</v>
      </c>
      <c r="K20" s="14">
        <f t="shared" si="1"/>
        <v>0</v>
      </c>
      <c r="M20" s="166" t="e">
        <f>SUMIFS('Detalhe Testes'!$H:$H,'Detalhe Testes'!$B:$B,'Detalhe Entregas e Status'!B20,'Detalhe Testes'!$C:$C,'Detalhe Entregas e Status'!C20)</f>
        <v>#N/A</v>
      </c>
      <c r="N20" s="14" t="s">
        <v>297</v>
      </c>
      <c r="O20" s="14" t="s">
        <v>281</v>
      </c>
      <c r="Q20" s="20">
        <v>45804</v>
      </c>
      <c r="R20" s="15">
        <v>45854</v>
      </c>
      <c r="S20" s="15"/>
      <c r="T20" s="241"/>
      <c r="V20" s="29" t="s">
        <v>122</v>
      </c>
      <c r="W20" s="29" t="s">
        <v>122</v>
      </c>
    </row>
    <row r="21" spans="1:23">
      <c r="B21" s="13" t="s">
        <v>1</v>
      </c>
      <c r="C21" s="13" t="s">
        <v>15</v>
      </c>
      <c r="D21" s="13" t="str">
        <f t="shared" si="0"/>
        <v>lt002_instrumentINTRBSNSS_ADJ_COD</v>
      </c>
      <c r="E21" s="14" t="s">
        <v>3</v>
      </c>
      <c r="F21" s="14" t="s">
        <v>4</v>
      </c>
      <c r="G21" s="14" t="s">
        <v>3</v>
      </c>
      <c r="H21" s="14" t="s">
        <v>73</v>
      </c>
      <c r="I21" s="15">
        <v>45796</v>
      </c>
      <c r="J21" s="21">
        <v>45796</v>
      </c>
      <c r="K21" s="14">
        <f t="shared" si="1"/>
        <v>0</v>
      </c>
      <c r="M21" s="166" t="e">
        <f>SUMIFS('Detalhe Testes'!$H:$H,'Detalhe Testes'!$B:$B,'Detalhe Entregas e Status'!B21,'Detalhe Testes'!$C:$C,'Detalhe Entregas e Status'!C21)</f>
        <v>#N/A</v>
      </c>
      <c r="N21" s="14"/>
      <c r="O21" s="14"/>
      <c r="Q21" s="15"/>
      <c r="R21" s="15"/>
      <c r="S21" s="15"/>
      <c r="T21" s="15"/>
      <c r="V21" s="29" t="s">
        <v>114</v>
      </c>
      <c r="W21" s="29" t="s">
        <v>114</v>
      </c>
    </row>
    <row r="22" spans="1:23">
      <c r="B22" s="13" t="s">
        <v>1</v>
      </c>
      <c r="C22" s="13" t="s">
        <v>16</v>
      </c>
      <c r="D22" s="13" t="str">
        <f t="shared" si="0"/>
        <v>lt002_instrumentCOD_SOC_DSTNTN</v>
      </c>
      <c r="E22" s="14" t="s">
        <v>3</v>
      </c>
      <c r="F22" s="14" t="s">
        <v>4</v>
      </c>
      <c r="G22" s="14" t="s">
        <v>3</v>
      </c>
      <c r="H22" s="14" t="s">
        <v>73</v>
      </c>
      <c r="I22" s="15">
        <v>45796</v>
      </c>
      <c r="J22" s="21">
        <v>45796</v>
      </c>
      <c r="K22" s="14">
        <f t="shared" si="1"/>
        <v>0</v>
      </c>
      <c r="M22" s="166" t="e">
        <f>SUMIFS('Detalhe Testes'!$H:$H,'Detalhe Testes'!$B:$B,'Detalhe Entregas e Status'!B22,'Detalhe Testes'!$C:$C,'Detalhe Entregas e Status'!C22)</f>
        <v>#N/A</v>
      </c>
      <c r="N22" s="14"/>
      <c r="O22" s="14"/>
      <c r="Q22" s="15"/>
      <c r="R22" s="15"/>
      <c r="S22" s="15"/>
      <c r="T22" s="15"/>
      <c r="V22" s="29" t="s">
        <v>114</v>
      </c>
      <c r="W22" s="29" t="s">
        <v>114</v>
      </c>
    </row>
    <row r="23" spans="1:23">
      <c r="B23" s="13" t="s">
        <v>1</v>
      </c>
      <c r="C23" s="13" t="s">
        <v>17</v>
      </c>
      <c r="D23" s="13" t="str">
        <f t="shared" si="0"/>
        <v>lt002_instrumentBSNSS_AREA_DSTNTN</v>
      </c>
      <c r="E23" s="14" t="s">
        <v>3</v>
      </c>
      <c r="F23" s="14" t="s">
        <v>4</v>
      </c>
      <c r="G23" s="14" t="s">
        <v>3</v>
      </c>
      <c r="H23" s="14" t="s">
        <v>73</v>
      </c>
      <c r="I23" s="15">
        <v>45796</v>
      </c>
      <c r="J23" s="21">
        <v>45796</v>
      </c>
      <c r="K23" s="14">
        <f t="shared" si="1"/>
        <v>0</v>
      </c>
      <c r="M23" s="166" t="e">
        <f>SUMIFS('Detalhe Testes'!$H:$H,'Detalhe Testes'!$B:$B,'Detalhe Entregas e Status'!B23,'Detalhe Testes'!$C:$C,'Detalhe Entregas e Status'!C23)</f>
        <v>#N/A</v>
      </c>
      <c r="N23" s="14"/>
      <c r="O23" s="14"/>
      <c r="Q23" s="15"/>
      <c r="R23" s="15"/>
      <c r="S23" s="15"/>
      <c r="T23" s="15"/>
      <c r="V23" s="29" t="s">
        <v>114</v>
      </c>
      <c r="W23" s="29" t="s">
        <v>114</v>
      </c>
    </row>
    <row r="24" spans="1:23">
      <c r="B24" s="13" t="s">
        <v>1</v>
      </c>
      <c r="C24" s="255" t="s">
        <v>18</v>
      </c>
      <c r="D24" s="13" t="str">
        <f t="shared" si="0"/>
        <v>lt002_instrumentAVRG_BLNC_OFF_BLNC</v>
      </c>
      <c r="E24" s="14" t="s">
        <v>3</v>
      </c>
      <c r="F24" s="14" t="s">
        <v>4</v>
      </c>
      <c r="G24" s="14" t="s">
        <v>3</v>
      </c>
      <c r="H24" s="14" t="s">
        <v>76</v>
      </c>
      <c r="I24" s="15">
        <v>45789</v>
      </c>
      <c r="J24" s="16">
        <v>45789</v>
      </c>
      <c r="K24" s="14">
        <f t="shared" si="1"/>
        <v>0</v>
      </c>
      <c r="M24" s="166" t="e">
        <f>SUMIFS('Detalhe Testes'!$H:$H,'Detalhe Testes'!$B:$B,'Detalhe Entregas e Status'!B24,'Detalhe Testes'!$C:$C,'Detalhe Entregas e Status'!C24)</f>
        <v>#N/A</v>
      </c>
      <c r="N24" s="14" t="s">
        <v>281</v>
      </c>
      <c r="O24" s="14" t="s">
        <v>281</v>
      </c>
      <c r="Q24" s="192">
        <v>45803</v>
      </c>
      <c r="R24" s="15">
        <v>45846</v>
      </c>
      <c r="S24" s="15"/>
      <c r="T24" s="241"/>
      <c r="V24" s="29" t="s">
        <v>122</v>
      </c>
      <c r="W24" s="29" t="s">
        <v>122</v>
      </c>
    </row>
    <row r="25" spans="1:23">
      <c r="B25" s="13" t="s">
        <v>1</v>
      </c>
      <c r="C25" s="13" t="s">
        <v>19</v>
      </c>
      <c r="D25" s="13" t="str">
        <f t="shared" si="0"/>
        <v>lt002_instrumentINTRNL_TRNSFR_RT_OFF_BLNC</v>
      </c>
      <c r="E25" s="14" t="s">
        <v>3</v>
      </c>
      <c r="F25" s="14" t="s">
        <v>4</v>
      </c>
      <c r="G25" s="14" t="s">
        <v>3</v>
      </c>
      <c r="H25" s="14" t="s">
        <v>73</v>
      </c>
      <c r="I25" s="15">
        <v>45796</v>
      </c>
      <c r="J25" s="21">
        <v>45796</v>
      </c>
      <c r="K25" s="14">
        <f t="shared" si="1"/>
        <v>0</v>
      </c>
      <c r="M25" s="166" t="e">
        <f>SUMIFS('Detalhe Testes'!$H:$H,'Detalhe Testes'!$B:$B,'Detalhe Entregas e Status'!B25,'Detalhe Testes'!$C:$C,'Detalhe Entregas e Status'!C25)</f>
        <v>#N/A</v>
      </c>
      <c r="N25" s="14"/>
      <c r="O25" s="14"/>
      <c r="Q25" s="15"/>
      <c r="R25" s="15"/>
      <c r="S25" s="15"/>
      <c r="T25" s="15"/>
      <c r="V25" s="29" t="s">
        <v>114</v>
      </c>
      <c r="W25" s="29" t="s">
        <v>114</v>
      </c>
    </row>
    <row r="26" spans="1:23">
      <c r="A26" s="3" t="s">
        <v>392</v>
      </c>
      <c r="B26" s="13" t="s">
        <v>1</v>
      </c>
      <c r="C26" s="255" t="s">
        <v>20</v>
      </c>
      <c r="D26" s="13" t="str">
        <f t="shared" si="0"/>
        <v>lt002_instrumentGRSS_CMMSSN_INCM_OFF_BLNC</v>
      </c>
      <c r="E26" s="14" t="s">
        <v>3</v>
      </c>
      <c r="F26" s="14" t="s">
        <v>4</v>
      </c>
      <c r="G26" s="14" t="s">
        <v>4</v>
      </c>
      <c r="H26" s="14" t="s">
        <v>76</v>
      </c>
      <c r="I26" s="15">
        <v>45789</v>
      </c>
      <c r="J26" s="16">
        <v>45789</v>
      </c>
      <c r="K26" s="14">
        <f t="shared" si="1"/>
        <v>0</v>
      </c>
      <c r="M26" s="166" t="e">
        <f>SUMIFS('Detalhe Testes'!$H:$H,'Detalhe Testes'!$B:$B,'Detalhe Entregas e Status'!B26,'Detalhe Testes'!$C:$C,'Detalhe Entregas e Status'!C26)</f>
        <v>#N/A</v>
      </c>
      <c r="N26" s="14" t="s">
        <v>281</v>
      </c>
      <c r="O26" s="14" t="s">
        <v>281</v>
      </c>
      <c r="Q26" s="192">
        <v>45803</v>
      </c>
      <c r="R26" s="246">
        <v>45849</v>
      </c>
      <c r="S26" s="15"/>
      <c r="T26" s="241" t="s">
        <v>403</v>
      </c>
      <c r="V26" s="29" t="s">
        <v>122</v>
      </c>
      <c r="W26" s="29" t="s">
        <v>122</v>
      </c>
    </row>
    <row r="27" spans="1:23">
      <c r="B27" s="13" t="s">
        <v>1</v>
      </c>
      <c r="C27" s="13" t="s">
        <v>21</v>
      </c>
      <c r="D27" s="13" t="str">
        <f t="shared" si="0"/>
        <v>lt002_instrumentGRSS_CMMSSN_EXPNS_OFF_BLNC</v>
      </c>
      <c r="E27" s="14" t="s">
        <v>3</v>
      </c>
      <c r="F27" s="14" t="s">
        <v>4</v>
      </c>
      <c r="G27" s="14" t="s">
        <v>3</v>
      </c>
      <c r="H27" s="14" t="s">
        <v>76</v>
      </c>
      <c r="I27" s="15">
        <v>45789</v>
      </c>
      <c r="J27" s="16">
        <v>45789</v>
      </c>
      <c r="K27" s="14">
        <f t="shared" si="1"/>
        <v>0</v>
      </c>
      <c r="M27" s="166" t="e">
        <f>SUMIFS('Detalhe Testes'!$H:$H,'Detalhe Testes'!$B:$B,'Detalhe Entregas e Status'!B27,'Detalhe Testes'!$C:$C,'Detalhe Entregas e Status'!C27)</f>
        <v>#N/A</v>
      </c>
      <c r="N27" s="14" t="s">
        <v>281</v>
      </c>
      <c r="O27" s="14" t="s">
        <v>281</v>
      </c>
      <c r="Q27" s="192">
        <v>45803</v>
      </c>
      <c r="R27" s="246">
        <v>45849</v>
      </c>
      <c r="S27" s="15"/>
      <c r="T27" s="241" t="s">
        <v>404</v>
      </c>
      <c r="V27" s="29" t="s">
        <v>114</v>
      </c>
      <c r="W27" s="29" t="s">
        <v>114</v>
      </c>
    </row>
    <row r="28" spans="1:23">
      <c r="B28" s="13" t="s">
        <v>1</v>
      </c>
      <c r="C28" s="13" t="s">
        <v>22</v>
      </c>
      <c r="D28" s="13" t="str">
        <f t="shared" si="0"/>
        <v>lt002_instrumentRWA_OFF_BLNC</v>
      </c>
      <c r="E28" s="14" t="s">
        <v>3</v>
      </c>
      <c r="F28" s="14" t="s">
        <v>4</v>
      </c>
      <c r="G28" s="14" t="s">
        <v>3</v>
      </c>
      <c r="H28" s="14" t="s">
        <v>73</v>
      </c>
      <c r="I28" s="15">
        <v>45803</v>
      </c>
      <c r="J28" s="16">
        <v>45803</v>
      </c>
      <c r="K28" s="14">
        <f t="shared" si="1"/>
        <v>0</v>
      </c>
      <c r="M28" s="166" t="e">
        <f>SUMIFS('Detalhe Testes'!$H:$H,'Detalhe Testes'!$B:$B,'Detalhe Entregas e Status'!B28,'Detalhe Testes'!$C:$C,'Detalhe Entregas e Status'!C28)</f>
        <v>#N/A</v>
      </c>
      <c r="N28" s="14"/>
      <c r="O28" s="14"/>
      <c r="Q28" s="15">
        <v>45833</v>
      </c>
      <c r="R28" s="15">
        <v>45849</v>
      </c>
      <c r="S28" s="15"/>
      <c r="T28" s="241" t="s">
        <v>404</v>
      </c>
      <c r="V28" s="29" t="s">
        <v>114</v>
      </c>
      <c r="W28" s="29" t="s">
        <v>114</v>
      </c>
    </row>
    <row r="29" spans="1:23">
      <c r="B29" s="13" t="s">
        <v>1</v>
      </c>
      <c r="C29" s="13" t="s">
        <v>23</v>
      </c>
      <c r="D29" s="13" t="str">
        <f t="shared" si="0"/>
        <v>lt002_instrumentGRSS_INTRST_EXPNS</v>
      </c>
      <c r="E29" s="14" t="s">
        <v>3</v>
      </c>
      <c r="F29" s="14" t="s">
        <v>4</v>
      </c>
      <c r="G29" s="14" t="s">
        <v>3</v>
      </c>
      <c r="H29" s="14" t="s">
        <v>76</v>
      </c>
      <c r="I29" s="15">
        <v>45796</v>
      </c>
      <c r="J29" s="21">
        <v>45796</v>
      </c>
      <c r="K29" s="14">
        <f t="shared" si="1"/>
        <v>0</v>
      </c>
      <c r="M29" s="166" t="e">
        <f>SUMIFS('Detalhe Testes'!$H:$H,'Detalhe Testes'!$B:$B,'Detalhe Entregas e Status'!B29,'Detalhe Testes'!$C:$C,'Detalhe Entregas e Status'!C29)</f>
        <v>#N/A</v>
      </c>
      <c r="N29" s="14" t="s">
        <v>281</v>
      </c>
      <c r="O29" s="14" t="s">
        <v>281</v>
      </c>
      <c r="Q29" s="192">
        <v>45803</v>
      </c>
      <c r="R29" s="246" t="s">
        <v>374</v>
      </c>
      <c r="S29" s="15"/>
      <c r="T29" s="241"/>
      <c r="V29" s="29" t="s">
        <v>114</v>
      </c>
      <c r="W29" s="29" t="s">
        <v>114</v>
      </c>
    </row>
    <row r="30" spans="1:23">
      <c r="B30" s="13" t="s">
        <v>1</v>
      </c>
      <c r="C30" s="248" t="s">
        <v>24</v>
      </c>
      <c r="D30" s="13" t="str">
        <f t="shared" si="0"/>
        <v>lt002_instrumentNT_LN_LSS_PRVSN_OFF_BLNC</v>
      </c>
      <c r="E30" s="14" t="s">
        <v>3</v>
      </c>
      <c r="F30" s="14" t="s">
        <v>4</v>
      </c>
      <c r="G30" s="14" t="s">
        <v>3</v>
      </c>
      <c r="H30" s="14" t="s">
        <v>76</v>
      </c>
      <c r="I30" s="15">
        <v>45803</v>
      </c>
      <c r="J30" s="191">
        <v>45803</v>
      </c>
      <c r="K30" s="14">
        <f t="shared" si="1"/>
        <v>0</v>
      </c>
      <c r="M30" s="166" t="e">
        <f>SUMIFS('Detalhe Testes'!$H:$H,'Detalhe Testes'!$B:$B,'Detalhe Entregas e Status'!B30,'Detalhe Testes'!$C:$C,'Detalhe Entregas e Status'!C30)</f>
        <v>#N/A</v>
      </c>
      <c r="N30" s="14" t="s">
        <v>281</v>
      </c>
      <c r="O30" s="14" t="s">
        <v>281</v>
      </c>
      <c r="Q30" s="192">
        <v>45803</v>
      </c>
      <c r="R30" s="246">
        <v>45854</v>
      </c>
      <c r="S30" s="15"/>
      <c r="T30" s="241"/>
      <c r="V30" s="29" t="s">
        <v>122</v>
      </c>
      <c r="W30" s="29" t="s">
        <v>122</v>
      </c>
    </row>
    <row r="31" spans="1:23">
      <c r="B31" s="13" t="s">
        <v>1</v>
      </c>
      <c r="C31" s="13" t="s">
        <v>25</v>
      </c>
      <c r="D31" s="13" t="str">
        <f t="shared" si="0"/>
        <v>lt002_instrumentGRSS_INTRST_INCM_CCRR</v>
      </c>
      <c r="E31" s="14" t="s">
        <v>3</v>
      </c>
      <c r="F31" s="14" t="s">
        <v>4</v>
      </c>
      <c r="G31" s="14" t="s">
        <v>3</v>
      </c>
      <c r="H31" s="14" t="s">
        <v>76</v>
      </c>
      <c r="I31" s="15">
        <v>45782</v>
      </c>
      <c r="J31" s="16">
        <v>45782</v>
      </c>
      <c r="K31" s="14">
        <f t="shared" si="1"/>
        <v>0</v>
      </c>
      <c r="M31" s="166" t="e">
        <f>SUMIFS('Detalhe Testes'!$H:$H,'Detalhe Testes'!$B:$B,'Detalhe Entregas e Status'!B31,'Detalhe Testes'!$C:$C,'Detalhe Entregas e Status'!C31)</f>
        <v>#N/A</v>
      </c>
      <c r="N31" s="14"/>
      <c r="O31" s="14"/>
      <c r="Q31" s="15"/>
      <c r="R31" s="15"/>
      <c r="S31" s="15"/>
      <c r="T31" s="15"/>
      <c r="V31" s="29" t="s">
        <v>114</v>
      </c>
      <c r="W31" s="29" t="s">
        <v>114</v>
      </c>
    </row>
    <row r="32" spans="1:23">
      <c r="B32" s="13" t="s">
        <v>1</v>
      </c>
      <c r="C32" s="13" t="s">
        <v>26</v>
      </c>
      <c r="D32" s="13" t="str">
        <f t="shared" si="0"/>
        <v>lt002_instrumentGRSS_INTRST_EXPNS_CCRR</v>
      </c>
      <c r="E32" s="14" t="s">
        <v>3</v>
      </c>
      <c r="F32" s="14" t="s">
        <v>4</v>
      </c>
      <c r="G32" s="14" t="s">
        <v>3</v>
      </c>
      <c r="H32" s="14" t="s">
        <v>76</v>
      </c>
      <c r="I32" s="15">
        <v>45782</v>
      </c>
      <c r="J32" s="16">
        <v>45782</v>
      </c>
      <c r="K32" s="14">
        <f t="shared" si="1"/>
        <v>0</v>
      </c>
      <c r="M32" s="166" t="e">
        <f>SUMIFS('Detalhe Testes'!$H:$H,'Detalhe Testes'!$B:$B,'Detalhe Entregas e Status'!B32,'Detalhe Testes'!$C:$C,'Detalhe Entregas e Status'!C32)</f>
        <v>#N/A</v>
      </c>
      <c r="N32" s="14"/>
      <c r="O32" s="14"/>
      <c r="Q32" s="15"/>
      <c r="R32" s="15"/>
      <c r="S32" s="15"/>
      <c r="T32" s="15"/>
      <c r="V32" s="29" t="s">
        <v>114</v>
      </c>
      <c r="W32" s="29" t="s">
        <v>114</v>
      </c>
    </row>
    <row r="33" spans="2:23">
      <c r="B33" s="13" t="s">
        <v>1</v>
      </c>
      <c r="C33" s="13" t="s">
        <v>27</v>
      </c>
      <c r="D33" s="13" t="str">
        <f t="shared" si="0"/>
        <v>lt002_instrumentGRSS_CMMSSN_INCM_CCRR</v>
      </c>
      <c r="E33" s="14" t="s">
        <v>3</v>
      </c>
      <c r="F33" s="14" t="s">
        <v>4</v>
      </c>
      <c r="G33" s="14" t="s">
        <v>3</v>
      </c>
      <c r="H33" s="14" t="s">
        <v>76</v>
      </c>
      <c r="I33" s="15">
        <v>45782</v>
      </c>
      <c r="J33" s="16">
        <v>45782</v>
      </c>
      <c r="K33" s="14">
        <f t="shared" si="1"/>
        <v>0</v>
      </c>
      <c r="M33" s="166" t="e">
        <f>SUMIFS('Detalhe Testes'!$H:$H,'Detalhe Testes'!$B:$B,'Detalhe Entregas e Status'!B33,'Detalhe Testes'!$C:$C,'Detalhe Entregas e Status'!C33)</f>
        <v>#N/A</v>
      </c>
      <c r="N33" s="14"/>
      <c r="O33" s="14"/>
      <c r="Q33" s="15"/>
      <c r="R33" s="15"/>
      <c r="S33" s="15"/>
      <c r="T33" s="15"/>
      <c r="V33" s="29" t="s">
        <v>114</v>
      </c>
      <c r="W33" s="29" t="s">
        <v>114</v>
      </c>
    </row>
    <row r="34" spans="2:23">
      <c r="B34" s="13" t="s">
        <v>1</v>
      </c>
      <c r="C34" s="13" t="s">
        <v>28</v>
      </c>
      <c r="D34" s="13" t="str">
        <f t="shared" si="0"/>
        <v>lt002_instrumentGRSS_CMMSSN_EXPNS_CCRR</v>
      </c>
      <c r="E34" s="14" t="s">
        <v>3</v>
      </c>
      <c r="F34" s="14" t="s">
        <v>4</v>
      </c>
      <c r="G34" s="14" t="s">
        <v>3</v>
      </c>
      <c r="H34" s="14" t="s">
        <v>76</v>
      </c>
      <c r="I34" s="15">
        <v>45782</v>
      </c>
      <c r="J34" s="16">
        <v>45782</v>
      </c>
      <c r="K34" s="14">
        <f t="shared" si="1"/>
        <v>0</v>
      </c>
      <c r="M34" s="166" t="e">
        <f>SUMIFS('Detalhe Testes'!$H:$H,'Detalhe Testes'!$B:$B,'Detalhe Entregas e Status'!B34,'Detalhe Testes'!$C:$C,'Detalhe Entregas e Status'!C34)</f>
        <v>#N/A</v>
      </c>
      <c r="N34" s="14"/>
      <c r="O34" s="14"/>
      <c r="Q34" s="15"/>
      <c r="R34" s="15"/>
      <c r="S34" s="15"/>
      <c r="T34" s="15"/>
      <c r="V34" s="29" t="s">
        <v>114</v>
      </c>
      <c r="W34" s="29" t="s">
        <v>114</v>
      </c>
    </row>
    <row r="35" spans="2:23">
      <c r="B35" s="13" t="s">
        <v>1</v>
      </c>
      <c r="C35" s="13" t="s">
        <v>29</v>
      </c>
      <c r="D35" s="13" t="str">
        <f t="shared" si="0"/>
        <v>lt002_instrumentGNS_FNNCL_TRNSCTN_EXCHNG_CCRR</v>
      </c>
      <c r="E35" s="14" t="s">
        <v>3</v>
      </c>
      <c r="F35" s="14" t="s">
        <v>4</v>
      </c>
      <c r="G35" s="14" t="s">
        <v>3</v>
      </c>
      <c r="H35" s="14" t="s">
        <v>76</v>
      </c>
      <c r="I35" s="15">
        <v>45782</v>
      </c>
      <c r="J35" s="16">
        <v>45782</v>
      </c>
      <c r="K35" s="14">
        <f t="shared" si="1"/>
        <v>0</v>
      </c>
      <c r="M35" s="166" t="e">
        <f>SUMIFS('Detalhe Testes'!$H:$H,'Detalhe Testes'!$B:$B,'Detalhe Entregas e Status'!B35,'Detalhe Testes'!$C:$C,'Detalhe Entregas e Status'!C35)</f>
        <v>#N/A</v>
      </c>
      <c r="N35" s="14"/>
      <c r="O35" s="14"/>
      <c r="Q35" s="15"/>
      <c r="R35" s="15"/>
      <c r="S35" s="15"/>
      <c r="T35" s="15"/>
      <c r="V35" s="29" t="s">
        <v>114</v>
      </c>
      <c r="W35" s="29" t="s">
        <v>114</v>
      </c>
    </row>
    <row r="36" spans="2:23">
      <c r="B36" s="13" t="s">
        <v>1</v>
      </c>
      <c r="C36" s="13" t="s">
        <v>30</v>
      </c>
      <c r="D36" s="13" t="str">
        <f t="shared" si="0"/>
        <v>lt002_instrumentBSNSS_AREA_CCRR</v>
      </c>
      <c r="E36" s="14" t="s">
        <v>3</v>
      </c>
      <c r="F36" s="14" t="s">
        <v>4</v>
      </c>
      <c r="G36" s="14" t="s">
        <v>3</v>
      </c>
      <c r="H36" s="14" t="s">
        <v>76</v>
      </c>
      <c r="I36" s="15">
        <v>45782</v>
      </c>
      <c r="J36" s="16">
        <v>45782</v>
      </c>
      <c r="K36" s="14">
        <f t="shared" si="1"/>
        <v>0</v>
      </c>
      <c r="M36" s="166" t="e">
        <f>SUMIFS('Detalhe Testes'!$H:$H,'Detalhe Testes'!$B:$B,'Detalhe Entregas e Status'!B36,'Detalhe Testes'!$C:$C,'Detalhe Entregas e Status'!C36)</f>
        <v>#N/A</v>
      </c>
      <c r="N36" s="14" t="s">
        <v>297</v>
      </c>
      <c r="O36" s="14" t="s">
        <v>281</v>
      </c>
      <c r="Q36" s="15">
        <v>45825</v>
      </c>
      <c r="R36" s="15"/>
      <c r="S36" s="15"/>
      <c r="T36" s="15"/>
      <c r="V36" s="29" t="s">
        <v>114</v>
      </c>
      <c r="W36" s="29" t="s">
        <v>114</v>
      </c>
    </row>
    <row r="37" spans="2:23">
      <c r="B37" s="13" t="s">
        <v>1</v>
      </c>
      <c r="C37" s="13" t="s">
        <v>31</v>
      </c>
      <c r="D37" s="13" t="str">
        <f t="shared" si="0"/>
        <v>lt002_instrumentGRSS_CMMSSN_INCM_OFF_BLNC_CCRR</v>
      </c>
      <c r="E37" s="14" t="s">
        <v>3</v>
      </c>
      <c r="F37" s="14" t="s">
        <v>4</v>
      </c>
      <c r="G37" s="14" t="s">
        <v>3</v>
      </c>
      <c r="H37" s="14" t="s">
        <v>76</v>
      </c>
      <c r="I37" s="15">
        <v>45782</v>
      </c>
      <c r="J37" s="16">
        <v>45782</v>
      </c>
      <c r="K37" s="14">
        <f t="shared" si="1"/>
        <v>0</v>
      </c>
      <c r="M37" s="166" t="e">
        <f>SUMIFS('Detalhe Testes'!$H:$H,'Detalhe Testes'!$B:$B,'Detalhe Entregas e Status'!B37,'Detalhe Testes'!$C:$C,'Detalhe Entregas e Status'!C37)</f>
        <v>#N/A</v>
      </c>
      <c r="N37" s="14"/>
      <c r="O37" s="14"/>
      <c r="Q37" s="15"/>
      <c r="R37" s="15"/>
      <c r="S37" s="15"/>
      <c r="T37" s="15"/>
      <c r="V37" s="29" t="s">
        <v>114</v>
      </c>
      <c r="W37" s="29" t="s">
        <v>114</v>
      </c>
    </row>
    <row r="38" spans="2:23">
      <c r="B38" s="13" t="s">
        <v>1</v>
      </c>
      <c r="C38" s="13" t="s">
        <v>32</v>
      </c>
      <c r="D38" s="13" t="str">
        <f t="shared" si="0"/>
        <v>lt002_instrumentGRSS_CMMSSN_EXPNS_OFF_BLNC_CCRR</v>
      </c>
      <c r="E38" s="14" t="s">
        <v>3</v>
      </c>
      <c r="F38" s="14" t="s">
        <v>4</v>
      </c>
      <c r="G38" s="14" t="s">
        <v>3</v>
      </c>
      <c r="H38" s="14" t="s">
        <v>76</v>
      </c>
      <c r="I38" s="15">
        <v>45782</v>
      </c>
      <c r="J38" s="16">
        <v>45782</v>
      </c>
      <c r="K38" s="14">
        <f t="shared" si="1"/>
        <v>0</v>
      </c>
      <c r="M38" s="166" t="e">
        <f>SUMIFS('Detalhe Testes'!$H:$H,'Detalhe Testes'!$B:$B,'Detalhe Entregas e Status'!B38,'Detalhe Testes'!$C:$C,'Detalhe Entregas e Status'!C38)</f>
        <v>#N/A</v>
      </c>
      <c r="N38" s="14"/>
      <c r="O38" s="14"/>
      <c r="Q38" s="15"/>
      <c r="R38" s="15"/>
      <c r="S38" s="15"/>
      <c r="T38" s="15"/>
      <c r="V38" s="29" t="s">
        <v>114</v>
      </c>
      <c r="W38" s="29" t="s">
        <v>114</v>
      </c>
    </row>
    <row r="39" spans="2:23">
      <c r="B39" s="13" t="s">
        <v>1</v>
      </c>
      <c r="C39" s="13" t="s">
        <v>33</v>
      </c>
      <c r="D39" s="13" t="str">
        <f t="shared" si="0"/>
        <v>lt002_instrumentCCF</v>
      </c>
      <c r="E39" s="14" t="s">
        <v>4</v>
      </c>
      <c r="F39" s="14" t="s">
        <v>4</v>
      </c>
      <c r="G39" s="14" t="s">
        <v>3</v>
      </c>
      <c r="H39" s="14" t="s">
        <v>74</v>
      </c>
      <c r="I39" s="15">
        <v>45803</v>
      </c>
      <c r="J39" s="191">
        <v>45803</v>
      </c>
      <c r="K39" s="14">
        <f t="shared" si="1"/>
        <v>0</v>
      </c>
      <c r="M39" s="166" t="e">
        <f>SUMIFS('Detalhe Testes'!$H:$H,'Detalhe Testes'!$B:$B,'Detalhe Entregas e Status'!B39,'Detalhe Testes'!$C:$C,'Detalhe Entregas e Status'!C39)</f>
        <v>#N/A</v>
      </c>
      <c r="N39" s="14" t="s">
        <v>297</v>
      </c>
      <c r="O39" s="14" t="s">
        <v>281</v>
      </c>
      <c r="Q39" s="15">
        <v>45814</v>
      </c>
      <c r="R39" s="15">
        <v>45846</v>
      </c>
      <c r="S39" s="15"/>
      <c r="T39" s="241"/>
      <c r="V39" s="29" t="s">
        <v>114</v>
      </c>
      <c r="W39" s="29" t="s">
        <v>114</v>
      </c>
    </row>
    <row r="40" spans="2:23">
      <c r="B40" s="13" t="s">
        <v>1</v>
      </c>
      <c r="C40" s="13" t="s">
        <v>34</v>
      </c>
      <c r="D40" s="13" t="str">
        <f t="shared" si="0"/>
        <v>lt002_instrumentEAD</v>
      </c>
      <c r="E40" s="14" t="s">
        <v>4</v>
      </c>
      <c r="F40" s="14" t="s">
        <v>4</v>
      </c>
      <c r="G40" s="14" t="s">
        <v>3</v>
      </c>
      <c r="H40" s="14" t="s">
        <v>74</v>
      </c>
      <c r="I40" s="15">
        <v>45810</v>
      </c>
      <c r="J40" s="15">
        <v>45810</v>
      </c>
      <c r="K40" s="14">
        <f t="shared" si="1"/>
        <v>0</v>
      </c>
      <c r="M40" s="166" t="e">
        <f>SUMIFS('Detalhe Testes'!$H:$H,'Detalhe Testes'!$B:$B,'Detalhe Entregas e Status'!B40,'Detalhe Testes'!$C:$C,'Detalhe Entregas e Status'!C40)</f>
        <v>#N/A</v>
      </c>
      <c r="N40" s="14" t="s">
        <v>297</v>
      </c>
      <c r="O40" s="14" t="s">
        <v>281</v>
      </c>
      <c r="Q40" s="15">
        <v>45814</v>
      </c>
      <c r="R40" s="15">
        <v>45846</v>
      </c>
      <c r="S40" s="15"/>
      <c r="T40" s="241"/>
      <c r="V40" s="29" t="s">
        <v>114</v>
      </c>
      <c r="W40" s="29" t="s">
        <v>114</v>
      </c>
    </row>
    <row r="41" spans="2:23">
      <c r="B41" s="13" t="s">
        <v>1</v>
      </c>
      <c r="C41" s="13" t="s">
        <v>35</v>
      </c>
      <c r="D41" s="13" t="str">
        <f t="shared" ref="D41:D72" si="2">_xlfn.CONCAT(B41,C41)</f>
        <v>lt002_instrumentTYP_OFF_BLNC_PRDCT</v>
      </c>
      <c r="E41" s="14" t="s">
        <v>4</v>
      </c>
      <c r="F41" s="14" t="s">
        <v>4</v>
      </c>
      <c r="G41" s="14" t="s">
        <v>4</v>
      </c>
      <c r="H41" s="14" t="s">
        <v>74</v>
      </c>
      <c r="I41" s="15">
        <v>45810</v>
      </c>
      <c r="J41" s="15">
        <v>45810</v>
      </c>
      <c r="K41" s="14">
        <f t="shared" ref="K41:K72" si="3">+IF(J41="","N/A",J41-I41)</f>
        <v>0</v>
      </c>
      <c r="M41" s="166" t="e">
        <f>SUMIFS('Detalhe Testes'!$H:$H,'Detalhe Testes'!$B:$B,'Detalhe Entregas e Status'!B41,'Detalhe Testes'!$C:$C,'Detalhe Entregas e Status'!C41)</f>
        <v>#N/A</v>
      </c>
      <c r="N41" s="14"/>
      <c r="O41" s="14"/>
      <c r="Q41" s="15">
        <v>45841</v>
      </c>
      <c r="R41" s="15">
        <v>45854</v>
      </c>
      <c r="S41" s="15"/>
      <c r="T41" s="241"/>
      <c r="V41" s="29" t="s">
        <v>122</v>
      </c>
      <c r="W41" s="29" t="s">
        <v>122</v>
      </c>
    </row>
    <row r="42" spans="2:23">
      <c r="B42" s="13" t="s">
        <v>1</v>
      </c>
      <c r="C42" s="13" t="s">
        <v>36</v>
      </c>
      <c r="D42" s="13" t="str">
        <f t="shared" si="2"/>
        <v>lt002_instrumentCOD_SOC</v>
      </c>
      <c r="E42" s="14" t="s">
        <v>4</v>
      </c>
      <c r="F42" s="14" t="s">
        <v>4</v>
      </c>
      <c r="G42" s="14" t="s">
        <v>4</v>
      </c>
      <c r="H42" s="14" t="s">
        <v>74</v>
      </c>
      <c r="I42" s="15">
        <v>45803</v>
      </c>
      <c r="J42" s="191">
        <v>45803</v>
      </c>
      <c r="K42" s="14">
        <f t="shared" si="3"/>
        <v>0</v>
      </c>
      <c r="M42" s="166" t="e">
        <f>SUMIFS('Detalhe Testes'!$H:$H,'Detalhe Testes'!$B:$B,'Detalhe Entregas e Status'!B42,'Detalhe Testes'!$C:$C,'Detalhe Entregas e Status'!C42)</f>
        <v>#N/A</v>
      </c>
      <c r="N42" s="14"/>
      <c r="O42" s="14"/>
      <c r="Q42" s="15"/>
      <c r="R42" s="15"/>
      <c r="S42" s="15"/>
      <c r="T42" s="15"/>
      <c r="V42" s="29" t="s">
        <v>114</v>
      </c>
      <c r="W42" s="29" t="s">
        <v>114</v>
      </c>
    </row>
    <row r="43" spans="2:23">
      <c r="B43" s="13" t="s">
        <v>1</v>
      </c>
      <c r="C43" s="13" t="s">
        <v>37</v>
      </c>
      <c r="D43" s="13" t="str">
        <f t="shared" si="2"/>
        <v>lt002_instrumentSUBPORTFOLIO_ID</v>
      </c>
      <c r="E43" s="14" t="s">
        <v>4</v>
      </c>
      <c r="F43" s="14" t="s">
        <v>4</v>
      </c>
      <c r="G43" s="14" t="s">
        <v>4</v>
      </c>
      <c r="H43" s="14" t="s">
        <v>74</v>
      </c>
      <c r="I43" s="15">
        <v>45803</v>
      </c>
      <c r="J43" s="191">
        <v>45803</v>
      </c>
      <c r="K43" s="14">
        <f t="shared" si="3"/>
        <v>0</v>
      </c>
      <c r="M43" s="166" t="e">
        <f>SUMIFS('Detalhe Testes'!$H:$H,'Detalhe Testes'!$B:$B,'Detalhe Entregas e Status'!B43,'Detalhe Testes'!$C:$C,'Detalhe Entregas e Status'!C43)</f>
        <v>#N/A</v>
      </c>
      <c r="N43" s="14"/>
      <c r="O43" s="14"/>
      <c r="Q43" s="15">
        <v>45841</v>
      </c>
      <c r="R43" s="15">
        <v>45854</v>
      </c>
      <c r="S43" s="15"/>
      <c r="T43" s="241"/>
      <c r="V43" s="29" t="s">
        <v>122</v>
      </c>
      <c r="W43" s="29" t="s">
        <v>122</v>
      </c>
    </row>
    <row r="44" spans="2:23">
      <c r="B44" s="13" t="s">
        <v>1</v>
      </c>
      <c r="C44" s="13" t="s">
        <v>38</v>
      </c>
      <c r="D44" s="13" t="str">
        <f t="shared" si="2"/>
        <v>lt002_instrumentDT_RFRNC</v>
      </c>
      <c r="E44" s="14" t="s">
        <v>4</v>
      </c>
      <c r="F44" s="14" t="s">
        <v>4</v>
      </c>
      <c r="G44" s="14" t="s">
        <v>4</v>
      </c>
      <c r="H44" s="14" t="s">
        <v>74</v>
      </c>
      <c r="I44" s="15">
        <v>45782</v>
      </c>
      <c r="J44" s="16">
        <v>45782</v>
      </c>
      <c r="K44" s="14">
        <f t="shared" si="3"/>
        <v>0</v>
      </c>
      <c r="M44" s="166" t="e">
        <f>SUMIFS('Detalhe Testes'!$H:$H,'Detalhe Testes'!$B:$B,'Detalhe Entregas e Status'!B44,'Detalhe Testes'!$C:$C,'Detalhe Entregas e Status'!C44)</f>
        <v>#N/A</v>
      </c>
      <c r="N44" s="14"/>
      <c r="O44" s="14"/>
      <c r="Q44" s="15"/>
      <c r="R44" s="15"/>
      <c r="S44" s="15"/>
      <c r="T44" s="15"/>
      <c r="V44" s="29" t="s">
        <v>114</v>
      </c>
      <c r="W44" s="29" t="s">
        <v>114</v>
      </c>
    </row>
    <row r="45" spans="2:23">
      <c r="B45" s="13" t="s">
        <v>1</v>
      </c>
      <c r="C45" s="13" t="s">
        <v>39</v>
      </c>
      <c r="D45" s="13" t="str">
        <f t="shared" si="2"/>
        <v>lt002_instrumentDFLT_STTS_INSTRMNT</v>
      </c>
      <c r="E45" s="14" t="s">
        <v>4</v>
      </c>
      <c r="F45" s="14" t="s">
        <v>4</v>
      </c>
      <c r="G45" s="14" t="s">
        <v>4</v>
      </c>
      <c r="H45" s="14" t="s">
        <v>74</v>
      </c>
      <c r="I45" s="15">
        <v>45803</v>
      </c>
      <c r="J45" s="191">
        <v>45803</v>
      </c>
      <c r="K45" s="14">
        <f t="shared" si="3"/>
        <v>0</v>
      </c>
      <c r="M45" s="166" t="e">
        <f>SUMIFS('Detalhe Testes'!$H:$H,'Detalhe Testes'!$B:$B,'Detalhe Entregas e Status'!B45,'Detalhe Testes'!$C:$C,'Detalhe Entregas e Status'!C45)</f>
        <v>#N/A</v>
      </c>
      <c r="N45" s="14"/>
      <c r="O45" s="14"/>
      <c r="Q45" s="15">
        <v>45841</v>
      </c>
      <c r="R45" s="15">
        <v>45849</v>
      </c>
      <c r="S45" s="15"/>
      <c r="T45" s="241"/>
      <c r="V45" s="29" t="s">
        <v>122</v>
      </c>
      <c r="W45" s="29" t="s">
        <v>122</v>
      </c>
    </row>
    <row r="46" spans="2:23">
      <c r="B46" s="13" t="s">
        <v>1</v>
      </c>
      <c r="C46" s="13" t="s">
        <v>40</v>
      </c>
      <c r="D46" s="13" t="str">
        <f t="shared" si="2"/>
        <v>lt002_instrumentIMPRMNT_STTS</v>
      </c>
      <c r="E46" s="14" t="s">
        <v>4</v>
      </c>
      <c r="F46" s="14" t="s">
        <v>4</v>
      </c>
      <c r="G46" s="14" t="s">
        <v>4</v>
      </c>
      <c r="H46" s="14" t="s">
        <v>74</v>
      </c>
      <c r="I46" s="15">
        <v>45803</v>
      </c>
      <c r="J46" s="191">
        <v>45803</v>
      </c>
      <c r="K46" s="14">
        <f t="shared" si="3"/>
        <v>0</v>
      </c>
      <c r="M46" s="166" t="e">
        <f>SUMIFS('Detalhe Testes'!$H:$H,'Detalhe Testes'!$B:$B,'Detalhe Entregas e Status'!B46,'Detalhe Testes'!$C:$C,'Detalhe Entregas e Status'!C46)</f>
        <v>#N/A</v>
      </c>
      <c r="N46" s="14" t="s">
        <v>297</v>
      </c>
      <c r="O46" s="14" t="s">
        <v>281</v>
      </c>
      <c r="Q46" s="15">
        <v>45814</v>
      </c>
      <c r="R46" s="15">
        <v>45846</v>
      </c>
      <c r="S46" s="15"/>
      <c r="T46" s="241"/>
      <c r="V46" s="29" t="s">
        <v>114</v>
      </c>
      <c r="W46" s="29" t="s">
        <v>114</v>
      </c>
    </row>
    <row r="47" spans="2:23">
      <c r="B47" s="13" t="s">
        <v>1</v>
      </c>
      <c r="C47" s="13" t="s">
        <v>41</v>
      </c>
      <c r="D47" s="13" t="str">
        <f t="shared" si="2"/>
        <v>lt002_instrumentPRFRMNG_STTS</v>
      </c>
      <c r="E47" s="14" t="s">
        <v>4</v>
      </c>
      <c r="F47" s="14" t="s">
        <v>4</v>
      </c>
      <c r="G47" s="14" t="s">
        <v>4</v>
      </c>
      <c r="H47" s="14" t="s">
        <v>74</v>
      </c>
      <c r="I47" s="15">
        <v>45803</v>
      </c>
      <c r="J47" s="191">
        <v>45803</v>
      </c>
      <c r="K47" s="14">
        <f t="shared" si="3"/>
        <v>0</v>
      </c>
      <c r="M47" s="166" t="e">
        <f>SUMIFS('Detalhe Testes'!$H:$H,'Detalhe Testes'!$B:$B,'Detalhe Entregas e Status'!B47,'Detalhe Testes'!$C:$C,'Detalhe Entregas e Status'!C47)</f>
        <v>#N/A</v>
      </c>
      <c r="N47" s="14" t="s">
        <v>297</v>
      </c>
      <c r="O47" s="14" t="s">
        <v>281</v>
      </c>
      <c r="Q47" s="15">
        <v>45814</v>
      </c>
      <c r="R47" s="15">
        <v>45846</v>
      </c>
      <c r="S47" s="15"/>
      <c r="T47" s="241"/>
      <c r="V47" s="29" t="s">
        <v>114</v>
      </c>
      <c r="W47" s="29" t="s">
        <v>114</v>
      </c>
    </row>
    <row r="48" spans="2:23">
      <c r="B48" s="13" t="s">
        <v>1</v>
      </c>
      <c r="C48" s="13" t="s">
        <v>42</v>
      </c>
      <c r="D48" s="13" t="str">
        <f t="shared" si="2"/>
        <v>lt002_instrumentTYP_INSTRMNT</v>
      </c>
      <c r="E48" s="14" t="s">
        <v>4</v>
      </c>
      <c r="F48" s="14" t="s">
        <v>4</v>
      </c>
      <c r="G48" s="14" t="s">
        <v>4</v>
      </c>
      <c r="H48" s="14" t="s">
        <v>74</v>
      </c>
      <c r="I48" s="15">
        <v>45803</v>
      </c>
      <c r="J48" s="191">
        <v>45803</v>
      </c>
      <c r="K48" s="14">
        <f t="shared" si="3"/>
        <v>0</v>
      </c>
      <c r="M48" s="166" t="e">
        <f>SUMIFS('Detalhe Testes'!$H:$H,'Detalhe Testes'!$B:$B,'Detalhe Entregas e Status'!B48,'Detalhe Testes'!$C:$C,'Detalhe Entregas e Status'!C48)</f>
        <v>#N/A</v>
      </c>
      <c r="N48" s="14"/>
      <c r="O48" s="14"/>
      <c r="Q48" s="15">
        <v>45841</v>
      </c>
      <c r="R48" s="15">
        <v>45854</v>
      </c>
      <c r="S48" s="15"/>
      <c r="T48" s="241" t="s">
        <v>407</v>
      </c>
      <c r="V48" s="29" t="s">
        <v>116</v>
      </c>
      <c r="W48" s="29" t="s">
        <v>116</v>
      </c>
    </row>
    <row r="49" spans="1:23">
      <c r="B49" s="13" t="s">
        <v>1</v>
      </c>
      <c r="C49" s="13" t="s">
        <v>43</v>
      </c>
      <c r="D49" s="13" t="str">
        <f t="shared" si="2"/>
        <v>lt002_instrumentGRSS_CRRYNG_AMNT_INSTRMNT</v>
      </c>
      <c r="E49" s="14" t="s">
        <v>4</v>
      </c>
      <c r="F49" s="14" t="s">
        <v>4</v>
      </c>
      <c r="G49" s="14" t="s">
        <v>4</v>
      </c>
      <c r="H49" s="14" t="s">
        <v>74</v>
      </c>
      <c r="I49" s="15">
        <v>45803</v>
      </c>
      <c r="J49" s="191">
        <v>45803</v>
      </c>
      <c r="K49" s="14">
        <f t="shared" si="3"/>
        <v>0</v>
      </c>
      <c r="M49" s="166" t="e">
        <f>SUMIFS('Detalhe Testes'!$H:$H,'Detalhe Testes'!$B:$B,'Detalhe Entregas e Status'!B49,'Detalhe Testes'!$C:$C,'Detalhe Entregas e Status'!C49)</f>
        <v>#N/A</v>
      </c>
      <c r="N49" s="14" t="s">
        <v>297</v>
      </c>
      <c r="O49" s="14" t="s">
        <v>281</v>
      </c>
      <c r="Q49" s="15">
        <v>45814</v>
      </c>
      <c r="R49" s="15">
        <v>45846</v>
      </c>
      <c r="S49" s="15"/>
      <c r="T49" s="241"/>
      <c r="V49" s="29" t="s">
        <v>114</v>
      </c>
      <c r="W49" s="29" t="s">
        <v>114</v>
      </c>
    </row>
    <row r="50" spans="1:23">
      <c r="B50" s="13" t="s">
        <v>1</v>
      </c>
      <c r="C50" s="13" t="s">
        <v>44</v>
      </c>
      <c r="D50" s="13" t="str">
        <f t="shared" si="2"/>
        <v>lt002_instrumentACCMLTD_CHNGS_FV_CR_INSTRMNT</v>
      </c>
      <c r="E50" s="14" t="s">
        <v>4</v>
      </c>
      <c r="F50" s="14" t="s">
        <v>4</v>
      </c>
      <c r="G50" s="14" t="s">
        <v>4</v>
      </c>
      <c r="H50" s="14" t="s">
        <v>74</v>
      </c>
      <c r="I50" s="15">
        <v>45810</v>
      </c>
      <c r="J50" s="15">
        <v>45810</v>
      </c>
      <c r="K50" s="14">
        <f t="shared" si="3"/>
        <v>0</v>
      </c>
      <c r="M50" s="166" t="e">
        <f>SUMIFS('Detalhe Testes'!$H:$H,'Detalhe Testes'!$B:$B,'Detalhe Entregas e Status'!B50,'Detalhe Testes'!$C:$C,'Detalhe Entregas e Status'!C50)</f>
        <v>#N/A</v>
      </c>
      <c r="N50" s="14" t="s">
        <v>297</v>
      </c>
      <c r="O50" s="14" t="s">
        <v>281</v>
      </c>
      <c r="Q50" s="15">
        <v>45814</v>
      </c>
      <c r="R50" s="15">
        <v>45846</v>
      </c>
      <c r="S50" s="15"/>
      <c r="T50" s="241"/>
      <c r="V50" s="29" t="s">
        <v>114</v>
      </c>
      <c r="W50" s="29" t="s">
        <v>114</v>
      </c>
    </row>
    <row r="51" spans="1:23">
      <c r="B51" s="13" t="s">
        <v>1</v>
      </c>
      <c r="C51" s="13" t="s">
        <v>45</v>
      </c>
      <c r="D51" s="13" t="str">
        <f t="shared" si="2"/>
        <v>lt002_instrumentACCNTNG_CLSSFCTN</v>
      </c>
      <c r="E51" s="14" t="s">
        <v>4</v>
      </c>
      <c r="F51" s="14" t="s">
        <v>4</v>
      </c>
      <c r="G51" s="14" t="s">
        <v>4</v>
      </c>
      <c r="H51" s="14" t="s">
        <v>74</v>
      </c>
      <c r="I51" s="15">
        <v>45810</v>
      </c>
      <c r="J51" s="15">
        <v>45810</v>
      </c>
      <c r="K51" s="14">
        <f t="shared" si="3"/>
        <v>0</v>
      </c>
      <c r="M51" s="166" t="e">
        <f>SUMIFS('Detalhe Testes'!$H:$H,'Detalhe Testes'!$B:$B,'Detalhe Entregas e Status'!B51,'Detalhe Testes'!$C:$C,'Detalhe Entregas e Status'!C51)</f>
        <v>#N/A</v>
      </c>
      <c r="N51" s="14"/>
      <c r="O51" s="14"/>
      <c r="Q51" s="15">
        <v>45841</v>
      </c>
      <c r="R51" s="15">
        <v>45854</v>
      </c>
      <c r="S51" s="15"/>
      <c r="T51" s="241"/>
      <c r="V51" s="29" t="s">
        <v>122</v>
      </c>
      <c r="W51" s="29" t="s">
        <v>122</v>
      </c>
    </row>
    <row r="52" spans="1:23">
      <c r="B52" s="13" t="s">
        <v>1</v>
      </c>
      <c r="C52" s="13" t="s">
        <v>46</v>
      </c>
      <c r="D52" s="13" t="str">
        <f t="shared" si="2"/>
        <v>lt002_instrumentOFF_BLNC_SHT_AMNT_INSTRMNT</v>
      </c>
      <c r="E52" s="14" t="s">
        <v>4</v>
      </c>
      <c r="F52" s="14" t="s">
        <v>4</v>
      </c>
      <c r="G52" s="14" t="s">
        <v>3</v>
      </c>
      <c r="H52" s="14" t="s">
        <v>74</v>
      </c>
      <c r="I52" s="15">
        <v>45810</v>
      </c>
      <c r="J52" s="15">
        <v>45810</v>
      </c>
      <c r="K52" s="14">
        <f t="shared" si="3"/>
        <v>0</v>
      </c>
      <c r="M52" s="166" t="e">
        <f>SUMIFS('Detalhe Testes'!$H:$H,'Detalhe Testes'!$B:$B,'Detalhe Entregas e Status'!B52,'Detalhe Testes'!$C:$C,'Detalhe Entregas e Status'!C52)</f>
        <v>#N/A</v>
      </c>
      <c r="N52" s="14" t="s">
        <v>297</v>
      </c>
      <c r="O52" s="14" t="s">
        <v>281</v>
      </c>
      <c r="Q52" s="15">
        <v>45814</v>
      </c>
      <c r="R52" s="15">
        <v>45846</v>
      </c>
      <c r="S52" s="15"/>
      <c r="T52" s="241"/>
      <c r="V52" s="29" t="s">
        <v>114</v>
      </c>
      <c r="W52" s="29" t="s">
        <v>114</v>
      </c>
    </row>
    <row r="53" spans="1:23">
      <c r="B53" s="13" t="s">
        <v>1</v>
      </c>
      <c r="C53" s="13" t="s">
        <v>47</v>
      </c>
      <c r="D53" s="13" t="str">
        <f t="shared" si="2"/>
        <v>lt002_instrumentPRVSNS_OFF_BLNC_SHT</v>
      </c>
      <c r="E53" s="14" t="s">
        <v>4</v>
      </c>
      <c r="F53" s="14" t="s">
        <v>4</v>
      </c>
      <c r="G53" s="14" t="s">
        <v>3</v>
      </c>
      <c r="H53" s="14" t="s">
        <v>74</v>
      </c>
      <c r="I53" s="15">
        <v>45803</v>
      </c>
      <c r="J53" s="191">
        <v>45803</v>
      </c>
      <c r="K53" s="14">
        <f t="shared" si="3"/>
        <v>0</v>
      </c>
      <c r="M53" s="166" t="e">
        <f>SUMIFS('Detalhe Testes'!$H:$H,'Detalhe Testes'!$B:$B,'Detalhe Entregas e Status'!B53,'Detalhe Testes'!$C:$C,'Detalhe Entregas e Status'!C53)</f>
        <v>#N/A</v>
      </c>
      <c r="N53" s="14" t="s">
        <v>297</v>
      </c>
      <c r="O53" s="14" t="s">
        <v>281</v>
      </c>
      <c r="Q53" s="15">
        <v>45814</v>
      </c>
      <c r="R53" s="15">
        <v>45846</v>
      </c>
      <c r="S53" s="15"/>
      <c r="T53" s="241"/>
      <c r="V53" s="29" t="s">
        <v>114</v>
      </c>
      <c r="W53" s="29" t="s">
        <v>114</v>
      </c>
    </row>
    <row r="54" spans="1:23">
      <c r="B54" s="13" t="s">
        <v>1</v>
      </c>
      <c r="C54" s="13" t="s">
        <v>48</v>
      </c>
      <c r="D54" s="13" t="str">
        <f t="shared" si="2"/>
        <v>lt002_instrumentRWA</v>
      </c>
      <c r="E54" s="14" t="s">
        <v>4</v>
      </c>
      <c r="F54" s="14" t="s">
        <v>4</v>
      </c>
      <c r="G54" s="14" t="s">
        <v>4</v>
      </c>
      <c r="H54" s="14" t="s">
        <v>74</v>
      </c>
      <c r="I54" s="15">
        <v>45810</v>
      </c>
      <c r="J54" s="15">
        <v>45810</v>
      </c>
      <c r="K54" s="14">
        <f t="shared" si="3"/>
        <v>0</v>
      </c>
      <c r="M54" s="166" t="e">
        <f>SUMIFS('Detalhe Testes'!$H:$H,'Detalhe Testes'!$B:$B,'Detalhe Entregas e Status'!B54,'Detalhe Testes'!$C:$C,'Detalhe Entregas e Status'!C54)</f>
        <v>#N/A</v>
      </c>
      <c r="N54" s="14" t="s">
        <v>297</v>
      </c>
      <c r="O54" s="14" t="s">
        <v>281</v>
      </c>
      <c r="Q54" s="15">
        <v>45814</v>
      </c>
      <c r="R54" s="15">
        <v>45846</v>
      </c>
      <c r="S54" s="15"/>
      <c r="T54" s="249" t="s">
        <v>405</v>
      </c>
      <c r="V54" s="29" t="s">
        <v>122</v>
      </c>
      <c r="W54" s="29" t="s">
        <v>122</v>
      </c>
    </row>
    <row r="55" spans="1:23">
      <c r="B55" s="13" t="s">
        <v>1</v>
      </c>
      <c r="C55" s="13" t="s">
        <v>49</v>
      </c>
      <c r="D55" s="13" t="str">
        <f t="shared" si="2"/>
        <v>lt002_instrumentACCMLTD_IMPRMNT_INSTRMNT</v>
      </c>
      <c r="E55" s="14" t="s">
        <v>4</v>
      </c>
      <c r="F55" s="14" t="s">
        <v>4</v>
      </c>
      <c r="G55" s="14" t="s">
        <v>4</v>
      </c>
      <c r="H55" s="14" t="s">
        <v>74</v>
      </c>
      <c r="I55" s="15">
        <v>45810</v>
      </c>
      <c r="J55" s="15">
        <v>45810</v>
      </c>
      <c r="K55" s="14">
        <f t="shared" si="3"/>
        <v>0</v>
      </c>
      <c r="M55" s="166" t="e">
        <f>SUMIFS('Detalhe Testes'!$H:$H,'Detalhe Testes'!$B:$B,'Detalhe Entregas e Status'!B55,'Detalhe Testes'!$C:$C,'Detalhe Entregas e Status'!C55)</f>
        <v>#N/A</v>
      </c>
      <c r="N55" s="14" t="s">
        <v>297</v>
      </c>
      <c r="O55" s="14" t="s">
        <v>281</v>
      </c>
      <c r="Q55" s="15">
        <v>45814</v>
      </c>
      <c r="R55" s="15">
        <v>45846</v>
      </c>
      <c r="S55" s="15"/>
      <c r="T55" s="241"/>
      <c r="V55" s="29" t="s">
        <v>114</v>
      </c>
      <c r="W55" s="29" t="s">
        <v>114</v>
      </c>
    </row>
    <row r="56" spans="1:23">
      <c r="B56" s="13" t="s">
        <v>1</v>
      </c>
      <c r="C56" s="13" t="s">
        <v>50</v>
      </c>
      <c r="D56" s="13" t="str">
        <f t="shared" si="2"/>
        <v>lt002_instrumentCOD_SOC_INTRGRP</v>
      </c>
      <c r="E56" s="14" t="s">
        <v>4</v>
      </c>
      <c r="F56" s="14" t="s">
        <v>4</v>
      </c>
      <c r="G56" s="14" t="s">
        <v>3</v>
      </c>
      <c r="H56" s="14" t="s">
        <v>74</v>
      </c>
      <c r="I56" s="15">
        <v>45796</v>
      </c>
      <c r="J56" s="21">
        <v>45796</v>
      </c>
      <c r="K56" s="14">
        <f t="shared" si="3"/>
        <v>0</v>
      </c>
      <c r="M56" s="166" t="e">
        <f>SUMIFS('Detalhe Testes'!$H:$H,'Detalhe Testes'!$B:$B,'Detalhe Entregas e Status'!B56,'Detalhe Testes'!$C:$C,'Detalhe Entregas e Status'!C56)</f>
        <v>#N/A</v>
      </c>
      <c r="N56" s="14"/>
      <c r="O56" s="14"/>
      <c r="Q56" s="15"/>
      <c r="R56" s="15"/>
      <c r="S56" s="15"/>
      <c r="T56" s="15"/>
      <c r="V56" s="29" t="s">
        <v>114</v>
      </c>
      <c r="W56" s="29" t="s">
        <v>114</v>
      </c>
    </row>
    <row r="57" spans="1:23">
      <c r="B57" s="13" t="s">
        <v>1</v>
      </c>
      <c r="C57" s="13" t="s">
        <v>51</v>
      </c>
      <c r="D57" s="13" t="str">
        <f t="shared" si="2"/>
        <v>lt002_instrumentLCL_INSTMRNT_ID</v>
      </c>
      <c r="E57" s="14" t="s">
        <v>4</v>
      </c>
      <c r="F57" s="14" t="s">
        <v>4</v>
      </c>
      <c r="G57" s="14" t="s">
        <v>4</v>
      </c>
      <c r="H57" s="14" t="s">
        <v>77</v>
      </c>
      <c r="I57" s="15">
        <v>45803</v>
      </c>
      <c r="J57" s="191">
        <v>45803</v>
      </c>
      <c r="K57" s="14">
        <f t="shared" si="3"/>
        <v>0</v>
      </c>
      <c r="M57" s="166" t="e">
        <f>SUMIFS('Detalhe Testes'!$H:$H,'Detalhe Testes'!$B:$B,'Detalhe Entregas e Status'!B57,'Detalhe Testes'!$C:$C,'Detalhe Entregas e Status'!C57)</f>
        <v>#N/A</v>
      </c>
      <c r="N57" s="14"/>
      <c r="O57" s="14"/>
      <c r="Q57" s="15"/>
      <c r="R57" s="15"/>
      <c r="S57" s="15"/>
      <c r="T57" s="15"/>
      <c r="V57" s="29" t="s">
        <v>114</v>
      </c>
      <c r="W57" s="29" t="s">
        <v>114</v>
      </c>
    </row>
    <row r="58" spans="1:23">
      <c r="B58" s="13" t="s">
        <v>1</v>
      </c>
      <c r="C58" s="13" t="s">
        <v>52</v>
      </c>
      <c r="D58" s="13" t="str">
        <f t="shared" si="2"/>
        <v>lt002_instrumentIDCMB</v>
      </c>
      <c r="E58" s="14" t="s">
        <v>4</v>
      </c>
      <c r="F58" s="14" t="s">
        <v>4</v>
      </c>
      <c r="G58" s="14" t="s">
        <v>4</v>
      </c>
      <c r="H58" s="14" t="s">
        <v>79</v>
      </c>
      <c r="I58" s="15">
        <v>45810</v>
      </c>
      <c r="J58" s="15">
        <v>45810</v>
      </c>
      <c r="K58" s="14">
        <f t="shared" si="3"/>
        <v>0</v>
      </c>
      <c r="M58" s="166" t="e">
        <f>SUMIFS('Detalhe Testes'!$H:$H,'Detalhe Testes'!$B:$B,'Detalhe Entregas e Status'!B58,'Detalhe Testes'!$C:$C,'Detalhe Entregas e Status'!C58)</f>
        <v>#N/A</v>
      </c>
      <c r="N58" s="14"/>
      <c r="O58" s="14"/>
      <c r="Q58" s="15"/>
      <c r="R58" s="15"/>
      <c r="S58" s="15"/>
      <c r="T58" s="15"/>
      <c r="V58" s="29" t="s">
        <v>116</v>
      </c>
      <c r="W58" s="29" t="s">
        <v>116</v>
      </c>
    </row>
    <row r="59" spans="1:23">
      <c r="A59" s="3" t="s">
        <v>392</v>
      </c>
      <c r="B59" s="13" t="s">
        <v>1</v>
      </c>
      <c r="C59" s="254" t="s">
        <v>53</v>
      </c>
      <c r="D59" s="13" t="str">
        <f t="shared" si="2"/>
        <v>lt002_instrumentCNCLLD_INSTRMNT_STTS</v>
      </c>
      <c r="E59" s="14" t="s">
        <v>3</v>
      </c>
      <c r="F59" s="14" t="s">
        <v>4</v>
      </c>
      <c r="G59" s="14" t="s">
        <v>4</v>
      </c>
      <c r="H59" s="14" t="s">
        <v>77</v>
      </c>
      <c r="I59" s="15">
        <v>45782</v>
      </c>
      <c r="J59" s="16">
        <v>45782</v>
      </c>
      <c r="K59" s="14">
        <f t="shared" si="3"/>
        <v>0</v>
      </c>
      <c r="M59" s="166" t="e">
        <f>SUMIFS('Detalhe Testes'!$H:$H,'Detalhe Testes'!$B:$B,'Detalhe Entregas e Status'!B59,'Detalhe Testes'!$C:$C,'Detalhe Entregas e Status'!C59)</f>
        <v>#N/A</v>
      </c>
      <c r="N59" s="14" t="s">
        <v>281</v>
      </c>
      <c r="O59" s="14" t="s">
        <v>281</v>
      </c>
      <c r="Q59" s="192">
        <v>45803</v>
      </c>
      <c r="R59" s="15">
        <v>45854</v>
      </c>
      <c r="S59" s="15"/>
      <c r="T59" s="249" t="s">
        <v>406</v>
      </c>
      <c r="V59" s="29" t="s">
        <v>122</v>
      </c>
      <c r="W59" s="29" t="s">
        <v>122</v>
      </c>
    </row>
    <row r="60" spans="1:23">
      <c r="B60" s="13" t="s">
        <v>1</v>
      </c>
      <c r="C60" s="13" t="s">
        <v>54</v>
      </c>
      <c r="D60" s="13" t="str">
        <f t="shared" si="2"/>
        <v>lt002_instrumentINSTRMNT_ID</v>
      </c>
      <c r="E60" s="14" t="s">
        <v>4</v>
      </c>
      <c r="F60" s="14" t="s">
        <v>4</v>
      </c>
      <c r="G60" s="14" t="s">
        <v>4</v>
      </c>
      <c r="H60" s="14" t="s">
        <v>77</v>
      </c>
      <c r="I60" s="15">
        <v>45782</v>
      </c>
      <c r="J60" s="16">
        <v>45782</v>
      </c>
      <c r="K60" s="14">
        <f t="shared" si="3"/>
        <v>0</v>
      </c>
      <c r="M60" s="166" t="e">
        <f>SUMIFS('Detalhe Testes'!$H:$H,'Detalhe Testes'!$B:$B,'Detalhe Entregas e Status'!B60,'Detalhe Testes'!$C:$C,'Detalhe Entregas e Status'!C60)</f>
        <v>#N/A</v>
      </c>
      <c r="N60" s="14" t="s">
        <v>297</v>
      </c>
      <c r="O60" s="14" t="s">
        <v>281</v>
      </c>
      <c r="Q60" s="15"/>
      <c r="R60" s="15"/>
      <c r="S60" s="15"/>
      <c r="T60" s="15"/>
      <c r="V60" s="29" t="s">
        <v>114</v>
      </c>
      <c r="W60" s="29" t="s">
        <v>114</v>
      </c>
    </row>
    <row r="61" spans="1:23">
      <c r="B61" s="13" t="s">
        <v>55</v>
      </c>
      <c r="C61" s="13" t="s">
        <v>89</v>
      </c>
      <c r="D61" s="13" t="str">
        <f t="shared" si="2"/>
        <v>lt004_protectionUNIVERSO</v>
      </c>
      <c r="E61" s="14" t="s">
        <v>90</v>
      </c>
      <c r="F61" s="14" t="s">
        <v>90</v>
      </c>
      <c r="G61" s="14" t="s">
        <v>90</v>
      </c>
      <c r="H61" s="14" t="s">
        <v>75</v>
      </c>
      <c r="I61" s="15">
        <v>45789</v>
      </c>
      <c r="J61" s="16">
        <v>45789</v>
      </c>
      <c r="K61" s="14">
        <f t="shared" si="3"/>
        <v>0</v>
      </c>
      <c r="M61" s="166" t="e">
        <f>SUMIFS('Detalhe Testes'!$H:$H,'Detalhe Testes'!$B:$B,'Detalhe Entregas e Status'!B61,'Detalhe Testes'!$C:$C,'Detalhe Entregas e Status'!C61)</f>
        <v>#N/A</v>
      </c>
      <c r="N61" s="14"/>
      <c r="O61" s="14"/>
      <c r="Q61" s="15"/>
      <c r="R61" s="15"/>
      <c r="S61" s="15"/>
      <c r="T61" s="15"/>
      <c r="V61" s="29" t="s">
        <v>114</v>
      </c>
      <c r="W61" s="29" t="s">
        <v>114</v>
      </c>
    </row>
    <row r="62" spans="1:23">
      <c r="B62" s="13" t="s">
        <v>55</v>
      </c>
      <c r="C62" s="13" t="s">
        <v>36</v>
      </c>
      <c r="D62" s="13" t="str">
        <f t="shared" si="2"/>
        <v>lt004_protectionCOD_SOC</v>
      </c>
      <c r="E62" s="14" t="s">
        <v>4</v>
      </c>
      <c r="F62" s="14" t="s">
        <v>4</v>
      </c>
      <c r="G62" s="14" t="s">
        <v>4</v>
      </c>
      <c r="H62" s="14" t="s">
        <v>75</v>
      </c>
      <c r="I62" s="15">
        <v>45803</v>
      </c>
      <c r="J62" s="16">
        <v>45803</v>
      </c>
      <c r="K62" s="14">
        <f t="shared" si="3"/>
        <v>0</v>
      </c>
      <c r="M62" s="166" t="e">
        <f>SUMIFS('Detalhe Testes'!$H:$H,'Detalhe Testes'!$B:$B,'Detalhe Entregas e Status'!B62,'Detalhe Testes'!$C:$C,'Detalhe Entregas e Status'!C62)</f>
        <v>#N/A</v>
      </c>
      <c r="N62" s="14"/>
      <c r="O62" s="14"/>
      <c r="Q62" s="15"/>
      <c r="R62" s="15"/>
      <c r="S62" s="15"/>
      <c r="T62" s="15"/>
      <c r="V62" s="29" t="s">
        <v>114</v>
      </c>
      <c r="W62" s="29" t="s">
        <v>114</v>
      </c>
    </row>
    <row r="63" spans="1:23">
      <c r="B63" s="13" t="s">
        <v>55</v>
      </c>
      <c r="C63" s="13" t="s">
        <v>38</v>
      </c>
      <c r="D63" s="13" t="str">
        <f t="shared" si="2"/>
        <v>lt004_protectionDT_RFRNC</v>
      </c>
      <c r="E63" s="14" t="s">
        <v>4</v>
      </c>
      <c r="F63" s="14" t="s">
        <v>4</v>
      </c>
      <c r="G63" s="14" t="s">
        <v>4</v>
      </c>
      <c r="H63" s="14" t="s">
        <v>75</v>
      </c>
      <c r="I63" s="15">
        <v>45803</v>
      </c>
      <c r="J63" s="190">
        <v>45803</v>
      </c>
      <c r="K63" s="14">
        <f t="shared" si="3"/>
        <v>0</v>
      </c>
      <c r="M63" s="166" t="e">
        <f>SUMIFS('Detalhe Testes'!$H:$H,'Detalhe Testes'!$B:$B,'Detalhe Entregas e Status'!B63,'Detalhe Testes'!$C:$C,'Detalhe Entregas e Status'!C63)</f>
        <v>#N/A</v>
      </c>
      <c r="N63" s="14"/>
      <c r="O63" s="14"/>
      <c r="Q63" s="15"/>
      <c r="R63" s="15"/>
      <c r="S63" s="15"/>
      <c r="T63" s="15"/>
      <c r="V63" s="29" t="s">
        <v>114</v>
      </c>
      <c r="W63" s="29" t="s">
        <v>114</v>
      </c>
    </row>
    <row r="64" spans="1:23">
      <c r="B64" s="13" t="s">
        <v>55</v>
      </c>
      <c r="C64" s="13" t="s">
        <v>56</v>
      </c>
      <c r="D64" s="13" t="str">
        <f t="shared" si="2"/>
        <v>lt004_protectionPRTCTN_ID</v>
      </c>
      <c r="E64" s="14" t="s">
        <v>4</v>
      </c>
      <c r="F64" s="14" t="s">
        <v>4</v>
      </c>
      <c r="G64" s="14" t="s">
        <v>4</v>
      </c>
      <c r="H64" s="14" t="s">
        <v>75</v>
      </c>
      <c r="I64" s="15">
        <v>45803</v>
      </c>
      <c r="J64" s="190">
        <v>45803</v>
      </c>
      <c r="K64" s="14">
        <f t="shared" si="3"/>
        <v>0</v>
      </c>
      <c r="M64" s="166" t="e">
        <f>SUMIFS('Detalhe Testes'!$H:$H,'Detalhe Testes'!$B:$B,'Detalhe Entregas e Status'!B64,'Detalhe Testes'!$C:$C,'Detalhe Entregas e Status'!C64)</f>
        <v>#N/A</v>
      </c>
      <c r="N64" s="14"/>
      <c r="O64" s="14"/>
      <c r="Q64" s="15"/>
      <c r="R64" s="15"/>
      <c r="S64" s="15"/>
      <c r="T64" s="15"/>
      <c r="V64" s="29" t="s">
        <v>114</v>
      </c>
      <c r="W64" s="29" t="s">
        <v>114</v>
      </c>
    </row>
    <row r="65" spans="1:24">
      <c r="B65" s="13" t="s">
        <v>55</v>
      </c>
      <c r="C65" s="13" t="s">
        <v>57</v>
      </c>
      <c r="D65" s="13" t="str">
        <f t="shared" si="2"/>
        <v>lt004_protectionTYP_PRTCTN</v>
      </c>
      <c r="E65" s="14" t="s">
        <v>4</v>
      </c>
      <c r="F65" s="14" t="s">
        <v>4</v>
      </c>
      <c r="G65" s="14" t="s">
        <v>4</v>
      </c>
      <c r="H65" s="14" t="s">
        <v>75</v>
      </c>
      <c r="I65" s="15">
        <v>45803</v>
      </c>
      <c r="J65" s="190">
        <v>45803</v>
      </c>
      <c r="K65" s="14">
        <f t="shared" si="3"/>
        <v>0</v>
      </c>
      <c r="M65" s="166" t="e">
        <f>SUMIFS('Detalhe Testes'!$H:$H,'Detalhe Testes'!$B:$B,'Detalhe Entregas e Status'!B65,'Detalhe Testes'!$C:$C,'Detalhe Entregas e Status'!C65)</f>
        <v>#N/A</v>
      </c>
      <c r="N65" s="14"/>
      <c r="O65" s="14"/>
      <c r="Q65" s="15"/>
      <c r="R65" s="15"/>
      <c r="S65" s="15"/>
      <c r="T65" s="15"/>
      <c r="V65" s="29" t="s">
        <v>114</v>
      </c>
      <c r="W65" s="29" t="s">
        <v>114</v>
      </c>
    </row>
    <row r="66" spans="1:24">
      <c r="B66" s="13" t="s">
        <v>55</v>
      </c>
      <c r="C66" s="13" t="s">
        <v>58</v>
      </c>
      <c r="D66" s="13" t="str">
        <f t="shared" si="2"/>
        <v>lt004_protectionPRTCTN_VL</v>
      </c>
      <c r="E66" s="14" t="s">
        <v>4</v>
      </c>
      <c r="F66" s="14" t="s">
        <v>4</v>
      </c>
      <c r="G66" s="14" t="s">
        <v>4</v>
      </c>
      <c r="H66" s="14" t="s">
        <v>75</v>
      </c>
      <c r="I66" s="15">
        <v>45803</v>
      </c>
      <c r="J66" s="190">
        <v>45803</v>
      </c>
      <c r="K66" s="14">
        <f t="shared" si="3"/>
        <v>0</v>
      </c>
      <c r="M66" s="166" t="e">
        <f>SUMIFS('Detalhe Testes'!$H:$H,'Detalhe Testes'!$B:$B,'Detalhe Entregas e Status'!B66,'Detalhe Testes'!$C:$C,'Detalhe Entregas e Status'!C66)</f>
        <v>#N/A</v>
      </c>
      <c r="N66" s="14" t="s">
        <v>297</v>
      </c>
      <c r="O66" s="14" t="s">
        <v>281</v>
      </c>
      <c r="Q66" s="15">
        <v>45825</v>
      </c>
      <c r="R66" s="15">
        <v>45849</v>
      </c>
      <c r="S66" s="15"/>
      <c r="T66" s="15"/>
      <c r="V66" s="29" t="s">
        <v>122</v>
      </c>
      <c r="W66" s="29" t="s">
        <v>122</v>
      </c>
    </row>
    <row r="67" spans="1:24">
      <c r="A67" s="3" t="s">
        <v>392</v>
      </c>
      <c r="B67" s="13" t="s">
        <v>55</v>
      </c>
      <c r="C67" s="13" t="s">
        <v>59</v>
      </c>
      <c r="D67" s="13" t="str">
        <f t="shared" si="2"/>
        <v>lt004_protectionTYP_VHCL</v>
      </c>
      <c r="E67" s="14" t="s">
        <v>3</v>
      </c>
      <c r="F67" s="14" t="s">
        <v>4</v>
      </c>
      <c r="G67" s="14" t="s">
        <v>4</v>
      </c>
      <c r="H67" s="14" t="s">
        <v>79</v>
      </c>
      <c r="I67" s="15">
        <v>45789</v>
      </c>
      <c r="J67" s="16">
        <v>45789</v>
      </c>
      <c r="K67" s="14">
        <f t="shared" si="3"/>
        <v>0</v>
      </c>
      <c r="M67" s="166" t="e">
        <f>SUMIFS('Detalhe Testes'!$H:$H,'Detalhe Testes'!$B:$B,'Detalhe Entregas e Status'!B67,'Detalhe Testes'!$C:$C,'Detalhe Entregas e Status'!C67)</f>
        <v>#N/A</v>
      </c>
      <c r="N67" s="14"/>
      <c r="O67" s="14"/>
      <c r="Q67" s="15"/>
      <c r="R67" s="15"/>
      <c r="S67" s="15"/>
      <c r="T67" s="15"/>
      <c r="V67" s="29" t="s">
        <v>114</v>
      </c>
      <c r="W67" s="29" t="s">
        <v>114</v>
      </c>
    </row>
    <row r="68" spans="1:24">
      <c r="B68" s="13" t="s">
        <v>55</v>
      </c>
      <c r="C68" s="13" t="s">
        <v>60</v>
      </c>
      <c r="D68" s="13" t="str">
        <f t="shared" si="2"/>
        <v>lt004_protectionFLG_ELCTRC_VHCL</v>
      </c>
      <c r="E68" s="14" t="s">
        <v>3</v>
      </c>
      <c r="F68" s="14" t="s">
        <v>4</v>
      </c>
      <c r="G68" s="14" t="s">
        <v>3</v>
      </c>
      <c r="H68" s="14" t="s">
        <v>79</v>
      </c>
      <c r="I68" s="15">
        <v>45803</v>
      </c>
      <c r="J68" s="190">
        <v>45810</v>
      </c>
      <c r="K68" s="14">
        <f t="shared" si="3"/>
        <v>7</v>
      </c>
      <c r="M68" s="166" t="e">
        <f>SUMIFS('Detalhe Testes'!$H:$H,'Detalhe Testes'!$B:$B,'Detalhe Entregas e Status'!B68,'Detalhe Testes'!$C:$C,'Detalhe Entregas e Status'!C68)</f>
        <v>#N/A</v>
      </c>
      <c r="N68" s="14" t="s">
        <v>297</v>
      </c>
      <c r="O68" s="14" t="s">
        <v>281</v>
      </c>
      <c r="Q68" s="15">
        <v>45825</v>
      </c>
      <c r="R68" s="15">
        <v>45849</v>
      </c>
      <c r="S68" s="15"/>
      <c r="T68" s="15"/>
      <c r="V68" s="29" t="s">
        <v>122</v>
      </c>
      <c r="W68" s="29" t="s">
        <v>122</v>
      </c>
    </row>
    <row r="69" spans="1:24">
      <c r="B69" s="13" t="s">
        <v>61</v>
      </c>
      <c r="C69" s="13" t="s">
        <v>89</v>
      </c>
      <c r="D69" s="13" t="str">
        <f t="shared" si="2"/>
        <v>lt006_instr_protectionUNIVERSO</v>
      </c>
      <c r="E69" s="14" t="s">
        <v>90</v>
      </c>
      <c r="F69" s="14" t="s">
        <v>90</v>
      </c>
      <c r="G69" s="14" t="s">
        <v>90</v>
      </c>
      <c r="H69" s="14" t="s">
        <v>75</v>
      </c>
      <c r="I69" s="15">
        <v>45803</v>
      </c>
      <c r="J69" s="16">
        <v>45803</v>
      </c>
      <c r="K69" s="14">
        <f t="shared" si="3"/>
        <v>0</v>
      </c>
      <c r="M69" s="166" t="e">
        <f>SUMIFS('Detalhe Testes'!$H:$H,'Detalhe Testes'!$B:$B,'Detalhe Entregas e Status'!B69,'Detalhe Testes'!$C:$C,'Detalhe Entregas e Status'!C69)</f>
        <v>#N/A</v>
      </c>
      <c r="N69" s="14"/>
      <c r="O69" s="14"/>
      <c r="Q69" s="15"/>
      <c r="R69" s="15"/>
      <c r="S69" s="15"/>
      <c r="T69" s="15"/>
      <c r="V69" s="29" t="s">
        <v>114</v>
      </c>
      <c r="W69" s="29" t="s">
        <v>114</v>
      </c>
    </row>
    <row r="70" spans="1:24">
      <c r="B70" s="13" t="s">
        <v>61</v>
      </c>
      <c r="C70" s="13" t="s">
        <v>36</v>
      </c>
      <c r="D70" s="13" t="str">
        <f t="shared" si="2"/>
        <v>lt006_instr_protectionCOD_SOC</v>
      </c>
      <c r="E70" s="14" t="s">
        <v>4</v>
      </c>
      <c r="F70" s="14" t="s">
        <v>4</v>
      </c>
      <c r="G70" s="14" t="s">
        <v>4</v>
      </c>
      <c r="H70" s="14" t="s">
        <v>75</v>
      </c>
      <c r="I70" s="15">
        <v>45803</v>
      </c>
      <c r="J70" s="190">
        <v>45803</v>
      </c>
      <c r="K70" s="14">
        <f t="shared" si="3"/>
        <v>0</v>
      </c>
      <c r="M70" s="166" t="e">
        <f>SUMIFS('Detalhe Testes'!$H:$H,'Detalhe Testes'!$B:$B,'Detalhe Entregas e Status'!B70,'Detalhe Testes'!$C:$C,'Detalhe Entregas e Status'!C70)</f>
        <v>#N/A</v>
      </c>
      <c r="N70" s="14"/>
      <c r="O70" s="14"/>
      <c r="Q70" s="15"/>
      <c r="R70" s="15"/>
      <c r="S70" s="15"/>
      <c r="T70" s="15"/>
      <c r="V70" s="29" t="s">
        <v>114</v>
      </c>
      <c r="W70" s="29" t="s">
        <v>114</v>
      </c>
    </row>
    <row r="71" spans="1:24">
      <c r="B71" s="13" t="s">
        <v>61</v>
      </c>
      <c r="C71" s="13" t="s">
        <v>38</v>
      </c>
      <c r="D71" s="13" t="str">
        <f t="shared" si="2"/>
        <v>lt006_instr_protectionDT_RFRNC</v>
      </c>
      <c r="E71" s="14" t="s">
        <v>4</v>
      </c>
      <c r="F71" s="14" t="s">
        <v>4</v>
      </c>
      <c r="G71" s="14" t="s">
        <v>4</v>
      </c>
      <c r="H71" s="14" t="s">
        <v>75</v>
      </c>
      <c r="I71" s="15">
        <v>45803</v>
      </c>
      <c r="J71" s="190">
        <v>45803</v>
      </c>
      <c r="K71" s="14">
        <f t="shared" si="3"/>
        <v>0</v>
      </c>
      <c r="M71" s="166" t="e">
        <f>SUMIFS('Detalhe Testes'!$H:$H,'Detalhe Testes'!$B:$B,'Detalhe Entregas e Status'!B71,'Detalhe Testes'!$C:$C,'Detalhe Entregas e Status'!C71)</f>
        <v>#N/A</v>
      </c>
      <c r="N71" s="14"/>
      <c r="O71" s="14"/>
      <c r="Q71" s="15"/>
      <c r="R71" s="15"/>
      <c r="S71" s="15"/>
      <c r="T71" s="15"/>
      <c r="V71" s="29" t="s">
        <v>114</v>
      </c>
      <c r="W71" s="29" t="s">
        <v>114</v>
      </c>
    </row>
    <row r="72" spans="1:24">
      <c r="B72" s="13" t="s">
        <v>61</v>
      </c>
      <c r="C72" s="13" t="s">
        <v>54</v>
      </c>
      <c r="D72" s="13" t="str">
        <f t="shared" si="2"/>
        <v>lt006_instr_protectionINSTRMNT_ID</v>
      </c>
      <c r="E72" s="14" t="s">
        <v>4</v>
      </c>
      <c r="F72" s="14" t="s">
        <v>4</v>
      </c>
      <c r="G72" s="14" t="s">
        <v>4</v>
      </c>
      <c r="H72" s="14" t="s">
        <v>75</v>
      </c>
      <c r="I72" s="15">
        <v>45803</v>
      </c>
      <c r="J72" s="190">
        <v>45803</v>
      </c>
      <c r="K72" s="14">
        <f t="shared" si="3"/>
        <v>0</v>
      </c>
      <c r="M72" s="166" t="e">
        <f>SUMIFS('Detalhe Testes'!$H:$H,'Detalhe Testes'!$B:$B,'Detalhe Entregas e Status'!B72,'Detalhe Testes'!$C:$C,'Detalhe Entregas e Status'!C72)</f>
        <v>#N/A</v>
      </c>
      <c r="N72" s="14"/>
      <c r="O72" s="14"/>
      <c r="Q72" s="15"/>
      <c r="R72" s="15"/>
      <c r="S72" s="15"/>
      <c r="T72" s="15"/>
      <c r="V72" s="29" t="s">
        <v>114</v>
      </c>
      <c r="W72" s="29" t="s">
        <v>114</v>
      </c>
    </row>
    <row r="73" spans="1:24">
      <c r="B73" s="13" t="s">
        <v>61</v>
      </c>
      <c r="C73" s="13" t="s">
        <v>56</v>
      </c>
      <c r="D73" s="13" t="str">
        <f t="shared" ref="D73:D81" si="4">_xlfn.CONCAT(B73,C73)</f>
        <v>lt006_instr_protectionPRTCTN_ID</v>
      </c>
      <c r="E73" s="14" t="s">
        <v>4</v>
      </c>
      <c r="F73" s="14" t="s">
        <v>4</v>
      </c>
      <c r="G73" s="14" t="s">
        <v>4</v>
      </c>
      <c r="H73" s="14" t="s">
        <v>75</v>
      </c>
      <c r="I73" s="15">
        <v>45803</v>
      </c>
      <c r="J73" s="190">
        <v>45803</v>
      </c>
      <c r="K73" s="14">
        <f t="shared" ref="K73:K81" si="5">+IF(J73="","N/A",J73-I73)</f>
        <v>0</v>
      </c>
      <c r="M73" s="166" t="e">
        <f>SUMIFS('Detalhe Testes'!$H:$H,'Detalhe Testes'!$B:$B,'Detalhe Entregas e Status'!B73,'Detalhe Testes'!$C:$C,'Detalhe Entregas e Status'!C73)</f>
        <v>#N/A</v>
      </c>
      <c r="N73" s="14"/>
      <c r="O73" s="14"/>
      <c r="Q73" s="15"/>
      <c r="R73" s="15"/>
      <c r="S73" s="15"/>
      <c r="T73" s="15"/>
      <c r="V73" s="29" t="s">
        <v>114</v>
      </c>
      <c r="W73" s="29" t="s">
        <v>114</v>
      </c>
    </row>
    <row r="74" spans="1:24">
      <c r="A74" s="3" t="s">
        <v>392</v>
      </c>
      <c r="B74" s="13" t="s">
        <v>61</v>
      </c>
      <c r="C74" s="13" t="s">
        <v>62</v>
      </c>
      <c r="D74" s="195" t="str">
        <f t="shared" si="4"/>
        <v>lt006_instr_protectionTYP_RLTN</v>
      </c>
      <c r="E74" s="14" t="s">
        <v>3</v>
      </c>
      <c r="F74" s="14" t="s">
        <v>4</v>
      </c>
      <c r="G74" s="14" t="s">
        <v>4</v>
      </c>
      <c r="H74" s="14" t="s">
        <v>79</v>
      </c>
      <c r="I74" s="15">
        <v>45803</v>
      </c>
      <c r="J74" s="15">
        <v>45803</v>
      </c>
      <c r="K74" s="14">
        <f t="shared" si="5"/>
        <v>0</v>
      </c>
      <c r="M74" s="166" t="e">
        <f>SUMIFS('Detalhe Testes'!$H:$H,'Detalhe Testes'!$B:$B,'Detalhe Entregas e Status'!B74,'Detalhe Testes'!$C:$C,'Detalhe Entregas e Status'!C74)</f>
        <v>#N/A</v>
      </c>
      <c r="N74" s="14"/>
      <c r="O74" s="14"/>
      <c r="Q74" s="15">
        <v>45826</v>
      </c>
      <c r="R74" s="15">
        <v>45846</v>
      </c>
      <c r="S74" s="15"/>
      <c r="T74" s="241"/>
      <c r="V74" s="29" t="s">
        <v>122</v>
      </c>
      <c r="W74" s="29" t="s">
        <v>122</v>
      </c>
    </row>
    <row r="75" spans="1:24">
      <c r="A75" s="3" t="s">
        <v>392</v>
      </c>
      <c r="B75" s="13" t="s">
        <v>63</v>
      </c>
      <c r="C75" s="13" t="s">
        <v>89</v>
      </c>
      <c r="D75" s="13" t="str">
        <f t="shared" si="4"/>
        <v>lt007_instr_activityUNIVERSO</v>
      </c>
      <c r="E75" s="14" t="s">
        <v>90</v>
      </c>
      <c r="F75" s="14" t="s">
        <v>90</v>
      </c>
      <c r="G75" s="14" t="s">
        <v>90</v>
      </c>
      <c r="H75" s="14" t="s">
        <v>78</v>
      </c>
      <c r="I75" s="15">
        <v>45789</v>
      </c>
      <c r="J75" s="16">
        <v>45789</v>
      </c>
      <c r="K75" s="14">
        <f t="shared" si="5"/>
        <v>0</v>
      </c>
      <c r="M75" s="166" t="e">
        <f>SUMIFS('Detalhe Testes'!$H:$H,'Detalhe Testes'!$B:$B,'Detalhe Entregas e Status'!B75,'Detalhe Testes'!$C:$C,'Detalhe Entregas e Status'!C75)</f>
        <v>#N/A</v>
      </c>
      <c r="N75" s="14"/>
      <c r="O75" s="14"/>
      <c r="Q75" s="15">
        <v>45832</v>
      </c>
      <c r="R75" s="15" t="s">
        <v>395</v>
      </c>
      <c r="S75" s="15"/>
      <c r="T75" s="241" t="s">
        <v>408</v>
      </c>
      <c r="V75" s="29" t="s">
        <v>409</v>
      </c>
      <c r="W75" s="29" t="s">
        <v>409</v>
      </c>
    </row>
    <row r="76" spans="1:24">
      <c r="A76" s="3" t="s">
        <v>392</v>
      </c>
      <c r="B76" s="13" t="s">
        <v>63</v>
      </c>
      <c r="C76" s="13" t="s">
        <v>64</v>
      </c>
      <c r="D76" s="13" t="str">
        <f t="shared" si="4"/>
        <v>lt007_instr_activityPRCNTG_ACTVTY</v>
      </c>
      <c r="E76" s="14" t="s">
        <v>3</v>
      </c>
      <c r="F76" s="14" t="s">
        <v>4</v>
      </c>
      <c r="G76" s="14" t="s">
        <v>4</v>
      </c>
      <c r="H76" s="14" t="s">
        <v>78</v>
      </c>
      <c r="I76" s="15">
        <v>45789</v>
      </c>
      <c r="J76" s="16">
        <v>45789</v>
      </c>
      <c r="K76" s="14">
        <f t="shared" si="5"/>
        <v>0</v>
      </c>
      <c r="M76" s="166" t="e">
        <f>SUMIFS('Detalhe Testes'!$H:$H,'Detalhe Testes'!$B:$B,'Detalhe Entregas e Status'!B76,'Detalhe Testes'!$C:$C,'Detalhe Entregas e Status'!C76)</f>
        <v>#N/A</v>
      </c>
      <c r="N76" s="14"/>
      <c r="O76" s="14"/>
      <c r="Q76" s="15">
        <v>45832</v>
      </c>
      <c r="R76" s="15">
        <v>45846</v>
      </c>
      <c r="S76" s="15"/>
      <c r="T76" s="15"/>
      <c r="V76" s="29" t="s">
        <v>122</v>
      </c>
      <c r="W76" s="29" t="s">
        <v>122</v>
      </c>
    </row>
    <row r="77" spans="1:24">
      <c r="A77" s="3" t="s">
        <v>392</v>
      </c>
      <c r="B77" s="13" t="s">
        <v>63</v>
      </c>
      <c r="C77" s="13" t="s">
        <v>65</v>
      </c>
      <c r="D77" s="13" t="str">
        <f t="shared" si="4"/>
        <v>lt007_instr_activitySSTNBL_INDCTR</v>
      </c>
      <c r="E77" s="14" t="s">
        <v>3</v>
      </c>
      <c r="F77" s="14" t="s">
        <v>4</v>
      </c>
      <c r="G77" s="14" t="s">
        <v>4</v>
      </c>
      <c r="H77" s="14" t="s">
        <v>79</v>
      </c>
      <c r="I77" s="15">
        <v>45803</v>
      </c>
      <c r="J77" s="191">
        <v>45803</v>
      </c>
      <c r="K77" s="14">
        <f t="shared" si="5"/>
        <v>0</v>
      </c>
      <c r="M77" s="166" t="e">
        <f>SUMIFS('Detalhe Testes'!$H:$H,'Detalhe Testes'!$B:$B,'Detalhe Entregas e Status'!B77,'Detalhe Testes'!$C:$C,'Detalhe Entregas e Status'!C77)</f>
        <v>#N/A</v>
      </c>
      <c r="N77" s="14"/>
      <c r="O77" s="14"/>
      <c r="Q77" s="15">
        <v>45832</v>
      </c>
      <c r="R77" s="15"/>
      <c r="S77" s="15"/>
      <c r="T77" s="241" t="s">
        <v>394</v>
      </c>
      <c r="V77" s="29" t="s">
        <v>122</v>
      </c>
      <c r="W77" s="29" t="s">
        <v>122</v>
      </c>
    </row>
    <row r="78" spans="1:24">
      <c r="A78" s="3" t="s">
        <v>392</v>
      </c>
      <c r="B78" s="13" t="s">
        <v>63</v>
      </c>
      <c r="C78" s="13" t="s">
        <v>66</v>
      </c>
      <c r="D78" s="13" t="str">
        <f t="shared" si="4"/>
        <v>lt007_instr_activitySSTNBL_CTGRY</v>
      </c>
      <c r="E78" s="14" t="s">
        <v>3</v>
      </c>
      <c r="F78" s="14" t="s">
        <v>4</v>
      </c>
      <c r="G78" s="14" t="s">
        <v>4</v>
      </c>
      <c r="H78" s="14" t="s">
        <v>78</v>
      </c>
      <c r="I78" s="15">
        <v>45789</v>
      </c>
      <c r="J78" s="16">
        <v>45789</v>
      </c>
      <c r="K78" s="14">
        <f t="shared" si="5"/>
        <v>0</v>
      </c>
      <c r="M78" s="166" t="e">
        <f>SUMIFS('Detalhe Testes'!$H:$H,'Detalhe Testes'!$B:$B,'Detalhe Entregas e Status'!B78,'Detalhe Testes'!$C:$C,'Detalhe Entregas e Status'!C78)</f>
        <v>#N/A</v>
      </c>
      <c r="N78" s="14"/>
      <c r="O78" s="14"/>
      <c r="Q78" s="15">
        <v>45832</v>
      </c>
      <c r="R78" s="15">
        <v>45849</v>
      </c>
      <c r="S78" s="15"/>
      <c r="T78" s="15"/>
      <c r="V78" s="29" t="s">
        <v>409</v>
      </c>
      <c r="W78" s="29" t="s">
        <v>409</v>
      </c>
      <c r="X78" s="40"/>
    </row>
    <row r="79" spans="1:24">
      <c r="A79" s="3" t="s">
        <v>392</v>
      </c>
      <c r="B79" s="13" t="s">
        <v>63</v>
      </c>
      <c r="C79" s="13" t="s">
        <v>36</v>
      </c>
      <c r="D79" s="13" t="str">
        <f t="shared" si="4"/>
        <v>lt007_instr_activityCOD_SOC</v>
      </c>
      <c r="E79" s="14" t="s">
        <v>3</v>
      </c>
      <c r="F79" s="14" t="s">
        <v>4</v>
      </c>
      <c r="G79" s="14" t="s">
        <v>4</v>
      </c>
      <c r="H79" s="14" t="s">
        <v>78</v>
      </c>
      <c r="I79" s="15">
        <v>45789</v>
      </c>
      <c r="J79" s="16">
        <v>45789</v>
      </c>
      <c r="K79" s="14">
        <f t="shared" si="5"/>
        <v>0</v>
      </c>
      <c r="M79" s="166" t="e">
        <f>SUMIFS('Detalhe Testes'!$H:$H,'Detalhe Testes'!$B:$B,'Detalhe Entregas e Status'!B79,'Detalhe Testes'!$C:$C,'Detalhe Entregas e Status'!C79)</f>
        <v>#N/A</v>
      </c>
      <c r="N79" s="14"/>
      <c r="O79" s="14"/>
      <c r="Q79" s="15"/>
      <c r="R79" s="15"/>
      <c r="S79" s="15"/>
      <c r="T79" s="15"/>
      <c r="V79" s="29" t="s">
        <v>114</v>
      </c>
      <c r="W79" s="29" t="s">
        <v>114</v>
      </c>
    </row>
    <row r="80" spans="1:24">
      <c r="A80" s="3" t="s">
        <v>392</v>
      </c>
      <c r="B80" s="13" t="s">
        <v>63</v>
      </c>
      <c r="C80" s="13" t="s">
        <v>38</v>
      </c>
      <c r="D80" s="13" t="str">
        <f t="shared" si="4"/>
        <v>lt007_instr_activityDT_RFRNC</v>
      </c>
      <c r="E80" s="14" t="s">
        <v>3</v>
      </c>
      <c r="F80" s="14" t="s">
        <v>4</v>
      </c>
      <c r="G80" s="14" t="s">
        <v>4</v>
      </c>
      <c r="H80" s="14" t="s">
        <v>78</v>
      </c>
      <c r="I80" s="15">
        <v>45789</v>
      </c>
      <c r="J80" s="16">
        <v>45789</v>
      </c>
      <c r="K80" s="14">
        <f t="shared" si="5"/>
        <v>0</v>
      </c>
      <c r="M80" s="166" t="e">
        <f>SUMIFS('Detalhe Testes'!$H:$H,'Detalhe Testes'!$B:$B,'Detalhe Entregas e Status'!B80,'Detalhe Testes'!$C:$C,'Detalhe Entregas e Status'!C80)</f>
        <v>#N/A</v>
      </c>
      <c r="N80" s="14"/>
      <c r="O80" s="14"/>
      <c r="Q80" s="15"/>
      <c r="R80" s="15"/>
      <c r="S80" s="15"/>
      <c r="T80" s="15"/>
      <c r="V80" s="29" t="s">
        <v>114</v>
      </c>
      <c r="W80" s="29" t="s">
        <v>114</v>
      </c>
    </row>
    <row r="81" spans="1:23">
      <c r="A81" s="3" t="s">
        <v>392</v>
      </c>
      <c r="B81" s="13" t="s">
        <v>63</v>
      </c>
      <c r="C81" s="13" t="s">
        <v>54</v>
      </c>
      <c r="D81" s="13" t="str">
        <f t="shared" si="4"/>
        <v>lt007_instr_activityINSTRMNT_ID</v>
      </c>
      <c r="E81" s="14" t="s">
        <v>3</v>
      </c>
      <c r="F81" s="14" t="s">
        <v>4</v>
      </c>
      <c r="G81" s="14" t="s">
        <v>4</v>
      </c>
      <c r="H81" s="14" t="s">
        <v>78</v>
      </c>
      <c r="I81" s="15">
        <v>45789</v>
      </c>
      <c r="J81" s="16">
        <v>45789</v>
      </c>
      <c r="K81" s="14">
        <f t="shared" si="5"/>
        <v>0</v>
      </c>
      <c r="M81" s="166" t="e">
        <f>SUMIFS('Detalhe Testes'!$H:$H,'Detalhe Testes'!$B:$B,'Detalhe Entregas e Status'!B81,'Detalhe Testes'!$C:$C,'Detalhe Entregas e Status'!C81)</f>
        <v>#N/A</v>
      </c>
      <c r="N81" s="14"/>
      <c r="O81" s="14"/>
      <c r="Q81" s="15">
        <v>45832</v>
      </c>
      <c r="R81" s="15" t="s">
        <v>395</v>
      </c>
      <c r="S81" s="15"/>
      <c r="T81" s="241" t="s">
        <v>408</v>
      </c>
      <c r="V81" s="29" t="s">
        <v>409</v>
      </c>
      <c r="W81" s="29" t="s">
        <v>409</v>
      </c>
    </row>
  </sheetData>
  <autoFilter ref="A8:X81" xr:uid="{B42690F1-F88C-47BB-A452-DBF1CCF20DAA}"/>
  <mergeCells count="2">
    <mergeCell ref="I7:K7"/>
    <mergeCell ref="Q7:S7"/>
  </mergeCells>
  <conditionalFormatting sqref="K9:K81">
    <cfRule type="containsText" dxfId="13" priority="12" operator="containsText" text="N/A">
      <formula>NOT(ISERROR(SEARCH("N/A",K9)))</formula>
    </cfRule>
    <cfRule type="cellIs" dxfId="12" priority="13" operator="lessThanOrEqual">
      <formula>0</formula>
    </cfRule>
    <cfRule type="cellIs" dxfId="11" priority="14" operator="greaterThan">
      <formula>0</formula>
    </cfRule>
  </conditionalFormatting>
  <dataValidations count="1">
    <dataValidation type="list" allowBlank="1" showInputMessage="1" showErrorMessage="1" sqref="N9:O81" xr:uid="{BD4B3D17-AE47-4E9C-AB10-A3C4A9711B67}">
      <formula1>"Sim, Não"</formula1>
    </dataValidation>
  </dataValidation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2" operator="equal" id="{62E4031D-0420-4C80-B5C5-956DE1C50E0E}">
            <xm:f>'Aux Testes_Status'!$B$27</xm:f>
            <x14:dxf>
              <fill>
                <patternFill>
                  <bgColor rgb="FF993366"/>
                </patternFill>
              </fill>
            </x14:dxf>
          </x14:cfRule>
          <xm:sqref>V9:V81</xm:sqref>
        </x14:conditionalFormatting>
        <x14:conditionalFormatting xmlns:xm="http://schemas.microsoft.com/office/excel/2006/main">
          <x14:cfRule type="cellIs" priority="3" operator="equal" id="{CDA81EC2-0166-4A1F-8DF9-C963130F6186}">
            <xm:f>'Aux Testes_Status'!$B$26</xm:f>
            <x14:dxf>
              <fill>
                <patternFill>
                  <bgColor rgb="FFFF0000"/>
                </patternFill>
              </fill>
            </x14:dxf>
          </x14:cfRule>
          <x14:cfRule type="cellIs" priority="5" operator="equal" id="{048E2E34-73DA-49F9-8C01-7F5932FF4E31}">
            <xm:f>'Aux Testes_Status'!$B$25</xm:f>
            <x14:dxf>
              <fill>
                <patternFill>
                  <bgColor rgb="FFBFBFBF"/>
                </patternFill>
              </fill>
            </x14:dxf>
          </x14:cfRule>
          <x14:cfRule type="cellIs" priority="6" operator="equal" id="{9AE3713D-4575-4AAF-9155-22A966CD5251}">
            <xm:f>'Aux Testes_Status'!$B$24</xm:f>
            <x14:dxf>
              <fill>
                <patternFill>
                  <bgColor rgb="FF13868C"/>
                </patternFill>
              </fill>
            </x14:dxf>
          </x14:cfRule>
          <x14:cfRule type="cellIs" priority="7" operator="equal" id="{C90BA172-7A14-4377-9B38-F7CECEBBE71D}">
            <xm:f>'Aux Testes_Status'!$B$23</xm:f>
            <x14:dxf>
              <fill>
                <patternFill>
                  <bgColor rgb="FFC00000"/>
                </patternFill>
              </fill>
            </x14:dxf>
          </x14:cfRule>
          <x14:cfRule type="cellIs" priority="8" operator="equal" id="{B3E6262A-4FC0-4B24-B563-4F90B0E6A905}">
            <xm:f>'Aux Testes_Status'!$B$22</xm:f>
            <x14:dxf>
              <fill>
                <patternFill>
                  <bgColor rgb="FFE6AC00"/>
                </patternFill>
              </fill>
            </x14:dxf>
          </x14:cfRule>
          <x14:cfRule type="cellIs" priority="9" operator="equal" id="{48A03413-BE76-4B05-B29D-0FF85E9292B4}">
            <xm:f>'Aux Testes_Status'!$B$21</xm:f>
            <x14:dxf>
              <fill>
                <patternFill>
                  <bgColor rgb="FFFFE084"/>
                </patternFill>
              </fill>
            </x14:dxf>
          </x14:cfRule>
          <x14:cfRule type="cellIs" priority="10" operator="equal" id="{1B7A7465-C1E7-49C6-9394-DBF4EDB8E514}">
            <xm:f>'Aux Testes_Status'!$B$20</xm:f>
            <x14:dxf>
              <fill>
                <patternFill>
                  <bgColor rgb="FF62B967"/>
                </patternFill>
              </fill>
            </x14:dxf>
          </x14:cfRule>
          <xm:sqref>V9:W81</xm:sqref>
        </x14:conditionalFormatting>
        <x14:conditionalFormatting xmlns:xm="http://schemas.microsoft.com/office/excel/2006/main">
          <x14:cfRule type="cellIs" priority="1" operator="equal" id="{08A3A846-41E3-4837-BE8F-361C4F0504A7}">
            <xm:f>'Aux Testes_Status'!$B$27</xm:f>
            <x14:dxf>
              <fill>
                <patternFill>
                  <bgColor rgb="FF993366"/>
                </patternFill>
              </fill>
            </x14:dxf>
          </x14:cfRule>
          <xm:sqref>W9:W81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14B03E6-73F5-4ACC-98B3-DC398A640614}">
          <x14:formula1>
            <xm:f>'Aux Testes_Status'!$B$20:$B$27</xm:f>
          </x14:formula1>
          <xm:sqref>V9:W81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8BA37-0576-4DA3-B105-E9A64F054832}">
  <dimension ref="A1:AE175"/>
  <sheetViews>
    <sheetView showGridLines="0" zoomScale="90" zoomScaleNormal="90" workbookViewId="0">
      <selection activeCell="M177" sqref="M177"/>
    </sheetView>
  </sheetViews>
  <sheetFormatPr defaultColWidth="8.88671875" defaultRowHeight="13.2"/>
  <cols>
    <col min="1" max="1" width="3.6640625" style="3" customWidth="1"/>
    <col min="2" max="2" width="20.33203125" style="3" bestFit="1" customWidth="1"/>
    <col min="3" max="3" width="43.88671875" style="3" bestFit="1" customWidth="1"/>
    <col min="4" max="4" width="37.6640625" style="8" bestFit="1" customWidth="1"/>
    <col min="5" max="5" width="15" style="3" hidden="1" customWidth="1"/>
    <col min="6" max="6" width="17.44140625" style="3" hidden="1" customWidth="1"/>
    <col min="7" max="7" width="2.6640625" style="3" customWidth="1"/>
    <col min="8" max="8" width="13.88671875" style="3" hidden="1" customWidth="1"/>
    <col min="9" max="9" width="15" style="3" hidden="1" customWidth="1"/>
    <col min="10" max="10" width="2.6640625" style="3" hidden="1" customWidth="1"/>
    <col min="11" max="14" width="15.6640625" style="3" customWidth="1"/>
    <col min="15" max="16" width="15.6640625" style="8" customWidth="1"/>
    <col min="17" max="19" width="15.6640625" style="3" customWidth="1"/>
    <col min="20" max="16382" width="8.88671875" style="3"/>
    <col min="16383" max="16383" width="8.88671875" style="3" bestFit="1"/>
    <col min="16384" max="16384" width="8.88671875" style="3"/>
  </cols>
  <sheetData>
    <row r="1" spans="1:31" ht="16.2" customHeight="1"/>
    <row r="2" spans="1:31">
      <c r="A2" s="4"/>
      <c r="B2" s="4"/>
      <c r="C2" s="4"/>
      <c r="D2" s="9"/>
      <c r="E2" s="4"/>
      <c r="F2" s="4"/>
      <c r="G2" s="4"/>
      <c r="H2" s="4"/>
      <c r="I2" s="4"/>
      <c r="J2" s="4"/>
      <c r="K2" s="4"/>
      <c r="L2" s="4"/>
      <c r="M2" s="4"/>
      <c r="N2" s="4"/>
      <c r="O2" s="9"/>
      <c r="P2" s="9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</row>
    <row r="3" spans="1:31">
      <c r="A3" s="5"/>
      <c r="B3" s="5"/>
      <c r="C3" s="5"/>
      <c r="D3" s="9"/>
      <c r="E3" s="7"/>
      <c r="F3" s="7"/>
      <c r="G3" s="7"/>
      <c r="H3" s="7"/>
      <c r="I3" s="7"/>
      <c r="J3" s="7"/>
      <c r="K3" s="7"/>
      <c r="L3" s="7"/>
      <c r="M3" s="7"/>
      <c r="N3" s="7"/>
      <c r="O3" s="28"/>
      <c r="P3" s="28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</row>
    <row r="4" spans="1:31">
      <c r="A4" s="4"/>
      <c r="B4" s="4"/>
      <c r="C4" s="4"/>
      <c r="D4" s="9"/>
      <c r="E4" s="4"/>
      <c r="F4" s="4"/>
      <c r="G4" s="4"/>
      <c r="H4" s="4"/>
      <c r="I4" s="4"/>
      <c r="J4" s="4"/>
      <c r="K4" s="4"/>
      <c r="L4" s="4"/>
      <c r="M4" s="4"/>
      <c r="N4" s="4"/>
      <c r="O4" s="9"/>
      <c r="P4" s="9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</row>
    <row r="5" spans="1:31" ht="3" customHeight="1">
      <c r="A5" s="2"/>
      <c r="B5" s="2"/>
      <c r="C5" s="2"/>
      <c r="D5" s="10"/>
      <c r="E5" s="2"/>
      <c r="F5" s="2"/>
      <c r="G5" s="2"/>
      <c r="H5" s="2"/>
      <c r="I5" s="2"/>
      <c r="J5" s="2"/>
      <c r="K5" s="2"/>
      <c r="L5" s="2"/>
      <c r="M5" s="2"/>
      <c r="N5" s="2"/>
      <c r="O5" s="10"/>
      <c r="P5" s="10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r="7" spans="1:31" ht="15" customHeight="1">
      <c r="H7" s="40" t="s">
        <v>300</v>
      </c>
      <c r="K7" s="303" t="s">
        <v>265</v>
      </c>
      <c r="L7" s="303"/>
      <c r="M7" s="303"/>
      <c r="N7" s="303"/>
    </row>
    <row r="8" spans="1:31" ht="15" customHeight="1">
      <c r="B8" s="22" t="s">
        <v>80</v>
      </c>
      <c r="C8" s="23" t="s">
        <v>81</v>
      </c>
      <c r="D8" s="23" t="s">
        <v>91</v>
      </c>
      <c r="E8" s="23" t="s">
        <v>97</v>
      </c>
      <c r="F8" s="30" t="s">
        <v>101</v>
      </c>
      <c r="H8" s="26" t="s">
        <v>72</v>
      </c>
      <c r="I8" s="26" t="s">
        <v>110</v>
      </c>
      <c r="K8" s="39" t="s">
        <v>398</v>
      </c>
      <c r="L8" s="37">
        <v>45846</v>
      </c>
      <c r="M8" s="38">
        <v>45849</v>
      </c>
      <c r="N8" s="38">
        <v>45854</v>
      </c>
      <c r="O8" s="3"/>
      <c r="P8" s="3"/>
    </row>
    <row r="9" spans="1:31" ht="15" customHeight="1">
      <c r="B9" s="13" t="s">
        <v>1</v>
      </c>
      <c r="C9" s="13" t="s">
        <v>89</v>
      </c>
      <c r="D9" s="29" t="s">
        <v>92</v>
      </c>
      <c r="E9" s="14" t="s">
        <v>98</v>
      </c>
      <c r="F9" s="14">
        <v>16</v>
      </c>
      <c r="H9" s="194" t="e" cm="1">
        <f t="array" ref="H9">IF(INDEX($K:$Z,ROW(C9),MATCH(IF(VLOOKUP(_xlfn.CONCAT(B9,C9),'Detalhe Entregas e Status'!$D$9:$J$81,7,0)=DATE(2025,5,5),DATE(2025,5,12),VLOOKUP(_xlfn.CONCAT(B9,C9),'Detalhe Entregas e Status'!$D$9:$J$81,7,0)),$L$8:$Z$8,0))="","",INDEX($K:$Z,ROW(C9),MATCH(IF(VLOOKUP(_xlfn.CONCAT(B9,C9),'Detalhe Entregas e Status'!$D$9:$J$81,7,0)=DATE(2025,5,5),DATE(2025,5,12),VLOOKUP(_xlfn.CONCAT(B9,C9),'Detalhe Entregas e Status'!$D$9:$J$81,7,0)),$L$8:$Z$8,0)))</f>
        <v>#N/A</v>
      </c>
      <c r="I9" s="17"/>
      <c r="J9" s="197" t="s">
        <v>292</v>
      </c>
      <c r="K9" s="247" t="s">
        <v>400</v>
      </c>
      <c r="L9" s="247"/>
      <c r="M9" s="247"/>
      <c r="N9" s="247"/>
      <c r="O9" s="196"/>
    </row>
    <row r="10" spans="1:31" ht="15" customHeight="1">
      <c r="B10" s="13" t="s">
        <v>1</v>
      </c>
      <c r="C10" s="13" t="s">
        <v>2</v>
      </c>
      <c r="D10" s="29" t="s">
        <v>93</v>
      </c>
      <c r="E10" s="14" t="s">
        <v>99</v>
      </c>
      <c r="F10" s="14">
        <v>4</v>
      </c>
      <c r="H10" s="165" t="e" cm="1">
        <f t="array" ref="H10">IF(INDEX($K:$Z,ROW(C10),MATCH(IF(VLOOKUP(_xlfn.CONCAT(B10,C10),'Detalhe Entregas e Status'!$D$9:$J$81,7,0)=DATE(2025,5,5),DATE(2025,5,12),VLOOKUP(_xlfn.CONCAT(B10,C10),'Detalhe Entregas e Status'!$D$9:$J$81,7,0)),$L$8:$Z$8,0))="","",INDEX($K:$Z,ROW(C10),MATCH(IF(VLOOKUP(_xlfn.CONCAT(B10,C10),'Detalhe Entregas e Status'!$D$9:$J$81,7,0)=DATE(2025,5,5),DATE(2025,5,12),VLOOKUP(_xlfn.CONCAT(B10,C10),'Detalhe Entregas e Status'!$D$9:$J$81,7,0)),$L$8:$Z$8,0)))</f>
        <v>#N/A</v>
      </c>
      <c r="I10" s="17" t="s">
        <v>359</v>
      </c>
      <c r="J10" s="197" t="s">
        <v>292</v>
      </c>
      <c r="K10" s="247" t="s">
        <v>400</v>
      </c>
      <c r="L10" s="247" t="s">
        <v>400</v>
      </c>
      <c r="M10" s="247"/>
      <c r="N10" s="247"/>
    </row>
    <row r="11" spans="1:31" ht="15" customHeight="1">
      <c r="B11" s="13" t="s">
        <v>1</v>
      </c>
      <c r="C11" s="13" t="s">
        <v>2</v>
      </c>
      <c r="D11" s="29" t="s">
        <v>94</v>
      </c>
      <c r="E11" s="14" t="s">
        <v>100</v>
      </c>
      <c r="F11" s="14">
        <v>1</v>
      </c>
      <c r="H11" s="165" t="e" cm="1">
        <f t="array" ref="H11">IF(INDEX($K:$Z,ROW(C11),MATCH(IF(VLOOKUP(_xlfn.CONCAT(B11,C11),'Detalhe Entregas e Status'!$D$9:$J$81,7,0)=DATE(2025,5,5),DATE(2025,5,12),VLOOKUP(_xlfn.CONCAT(B11,C11),'Detalhe Entregas e Status'!$D$9:$J$81,7,0)),$L$8:$Z$8,0))="","",INDEX($K:$Z,ROW(C11),MATCH(IF(VLOOKUP(_xlfn.CONCAT(B11,C11),'Detalhe Entregas e Status'!$D$9:$J$81,7,0)=DATE(2025,5,5),DATE(2025,5,12),VLOOKUP(_xlfn.CONCAT(B11,C11),'Detalhe Entregas e Status'!$D$9:$J$81,7,0)),$L$8:$Z$8,0)))</f>
        <v>#N/A</v>
      </c>
      <c r="I11" s="17"/>
      <c r="J11" s="197" t="s">
        <v>292</v>
      </c>
      <c r="K11" s="247" t="s">
        <v>400</v>
      </c>
      <c r="L11" s="247" t="s">
        <v>400</v>
      </c>
      <c r="M11" s="247"/>
      <c r="N11" s="247"/>
    </row>
    <row r="12" spans="1:31" ht="15" customHeight="1">
      <c r="B12" s="13" t="s">
        <v>1</v>
      </c>
      <c r="C12" s="13" t="s">
        <v>5</v>
      </c>
      <c r="D12" s="29" t="s">
        <v>93</v>
      </c>
      <c r="E12" s="14" t="s">
        <v>99</v>
      </c>
      <c r="F12" s="14">
        <v>4</v>
      </c>
      <c r="H12" s="165" t="e" cm="1">
        <f t="array" ref="H12">IF(INDEX($K:$Z,ROW(C12),MATCH(IF(VLOOKUP(_xlfn.CONCAT(B12,C12),'Detalhe Entregas e Status'!$D$9:$J$81,7,0)=DATE(2025,5,5),DATE(2025,5,12),VLOOKUP(_xlfn.CONCAT(B12,C12),'Detalhe Entregas e Status'!$D$9:$J$81,7,0)),$L$8:$Z$8,0))="","",INDEX($K:$Z,ROW(C12),MATCH(IF(VLOOKUP(_xlfn.CONCAT(B12,C12),'Detalhe Entregas e Status'!$D$9:$J$81,7,0)=DATE(2025,5,5),DATE(2025,5,12),VLOOKUP(_xlfn.CONCAT(B12,C12),'Detalhe Entregas e Status'!$D$9:$J$81,7,0)),$L$8:$Z$8,0)))</f>
        <v>#N/A</v>
      </c>
      <c r="I12" s="17" t="s">
        <v>360</v>
      </c>
      <c r="J12" s="197" t="s">
        <v>292</v>
      </c>
      <c r="K12" s="247" t="s">
        <v>400</v>
      </c>
      <c r="L12" s="247"/>
      <c r="M12" s="247"/>
      <c r="N12" s="247"/>
    </row>
    <row r="13" spans="1:31" ht="15" customHeight="1">
      <c r="B13" s="13" t="s">
        <v>1</v>
      </c>
      <c r="C13" s="13" t="s">
        <v>5</v>
      </c>
      <c r="D13" s="29" t="s">
        <v>94</v>
      </c>
      <c r="E13" s="14" t="s">
        <v>100</v>
      </c>
      <c r="F13" s="14">
        <v>1</v>
      </c>
      <c r="H13" s="165" t="e" cm="1">
        <f t="array" ref="H13">IF(INDEX($K:$Z,ROW(C13),MATCH(IF(VLOOKUP(_xlfn.CONCAT(B13,C13),'Detalhe Entregas e Status'!$D$9:$J$81,7,0)=DATE(2025,5,5),DATE(2025,5,12),VLOOKUP(_xlfn.CONCAT(B13,C13),'Detalhe Entregas e Status'!$D$9:$J$81,7,0)),$L$8:$Z$8,0))="","",INDEX($K:$Z,ROW(C13),MATCH(IF(VLOOKUP(_xlfn.CONCAT(B13,C13),'Detalhe Entregas e Status'!$D$9:$J$81,7,0)=DATE(2025,5,5),DATE(2025,5,12),VLOOKUP(_xlfn.CONCAT(B13,C13),'Detalhe Entregas e Status'!$D$9:$J$81,7,0)),$L$8:$Z$8,0)))</f>
        <v>#N/A</v>
      </c>
      <c r="I13" s="17"/>
      <c r="J13" s="197" t="s">
        <v>292</v>
      </c>
      <c r="K13" s="247" t="s">
        <v>400</v>
      </c>
      <c r="L13" s="247"/>
      <c r="M13" s="247"/>
      <c r="N13" s="247"/>
    </row>
    <row r="14" spans="1:31" ht="15" customHeight="1">
      <c r="B14" s="13" t="s">
        <v>1</v>
      </c>
      <c r="C14" s="13" t="s">
        <v>6</v>
      </c>
      <c r="D14" s="29" t="s">
        <v>93</v>
      </c>
      <c r="E14" s="14" t="s">
        <v>99</v>
      </c>
      <c r="F14" s="14">
        <v>4</v>
      </c>
      <c r="H14" s="165" t="e" cm="1">
        <f t="array" ref="H14">IF(INDEX($K:$Z,ROW(C14),MATCH(IF(VLOOKUP(_xlfn.CONCAT(B14,C14),'Detalhe Entregas e Status'!$D$9:$J$81,7,0)=DATE(2025,5,5),DATE(2025,5,12),VLOOKUP(_xlfn.CONCAT(B14,C14),'Detalhe Entregas e Status'!$D$9:$J$81,7,0)),$L$8:$Z$8,0))="","",INDEX($K:$Z,ROW(C14),MATCH(IF(VLOOKUP(_xlfn.CONCAT(B14,C14),'Detalhe Entregas e Status'!$D$9:$J$81,7,0)=DATE(2025,5,5),DATE(2025,5,12),VLOOKUP(_xlfn.CONCAT(B14,C14),'Detalhe Entregas e Status'!$D$9:$J$81,7,0)),$L$8:$Z$8,0)))</f>
        <v>#N/A</v>
      </c>
      <c r="I14" s="17" t="s">
        <v>282</v>
      </c>
      <c r="J14" s="197" t="s">
        <v>292</v>
      </c>
      <c r="K14" s="247" t="s">
        <v>400</v>
      </c>
      <c r="L14" s="247"/>
      <c r="M14" s="247"/>
      <c r="N14" s="247"/>
    </row>
    <row r="15" spans="1:31" ht="15" customHeight="1">
      <c r="B15" s="13" t="s">
        <v>1</v>
      </c>
      <c r="C15" s="13" t="s">
        <v>6</v>
      </c>
      <c r="D15" s="29" t="s">
        <v>94</v>
      </c>
      <c r="E15" s="14" t="s">
        <v>100</v>
      </c>
      <c r="F15" s="14">
        <v>1</v>
      </c>
      <c r="H15" s="165" t="e" cm="1">
        <f t="array" ref="H15">IF(INDEX($K:$Z,ROW(C15),MATCH(IF(VLOOKUP(_xlfn.CONCAT(B15,C15),'Detalhe Entregas e Status'!$D$9:$J$81,7,0)=DATE(2025,5,5),DATE(2025,5,12),VLOOKUP(_xlfn.CONCAT(B15,C15),'Detalhe Entregas e Status'!$D$9:$J$81,7,0)),$L$8:$Z$8,0))="","",INDEX($K:$Z,ROW(C15),MATCH(IF(VLOOKUP(_xlfn.CONCAT(B15,C15),'Detalhe Entregas e Status'!$D$9:$J$81,7,0)=DATE(2025,5,5),DATE(2025,5,12),VLOOKUP(_xlfn.CONCAT(B15,C15),'Detalhe Entregas e Status'!$D$9:$J$81,7,0)),$L$8:$Z$8,0)))</f>
        <v>#N/A</v>
      </c>
      <c r="I15" s="17"/>
      <c r="J15" s="197" t="s">
        <v>292</v>
      </c>
      <c r="K15" s="247" t="s">
        <v>400</v>
      </c>
      <c r="L15" s="247"/>
      <c r="M15" s="247"/>
      <c r="N15" s="247"/>
    </row>
    <row r="16" spans="1:31" ht="15" customHeight="1">
      <c r="B16" s="13" t="s">
        <v>1</v>
      </c>
      <c r="C16" s="13" t="s">
        <v>7</v>
      </c>
      <c r="D16" s="29" t="s">
        <v>93</v>
      </c>
      <c r="E16" s="14" t="s">
        <v>99</v>
      </c>
      <c r="F16" s="14">
        <v>4</v>
      </c>
      <c r="H16" s="165" t="e" cm="1">
        <f t="array" ref="H16">IF(INDEX($K:$Z,ROW(C16),MATCH(IF(VLOOKUP(_xlfn.CONCAT(B16,C16),'Detalhe Entregas e Status'!$D$9:$J$81,7,0)=DATE(2025,5,5),DATE(2025,5,12),VLOOKUP(_xlfn.CONCAT(B16,C16),'Detalhe Entregas e Status'!$D$9:$J$81,7,0)),$L$8:$Z$8,0))="","",INDEX($K:$Z,ROW(C16),MATCH(IF(VLOOKUP(_xlfn.CONCAT(B16,C16),'Detalhe Entregas e Status'!$D$9:$J$81,7,0)=DATE(2025,5,5),DATE(2025,5,12),VLOOKUP(_xlfn.CONCAT(B16,C16),'Detalhe Entregas e Status'!$D$9:$J$81,7,0)),$L$8:$Z$8,0)))</f>
        <v>#N/A</v>
      </c>
      <c r="I16" s="17" t="s">
        <v>282</v>
      </c>
      <c r="J16" s="197" t="s">
        <v>292</v>
      </c>
      <c r="K16" s="247" t="s">
        <v>400</v>
      </c>
      <c r="L16" s="247"/>
      <c r="M16" s="247"/>
      <c r="N16" s="247"/>
    </row>
    <row r="17" spans="2:14" ht="15" customHeight="1">
      <c r="B17" s="13" t="s">
        <v>1</v>
      </c>
      <c r="C17" s="13" t="s">
        <v>7</v>
      </c>
      <c r="D17" s="29" t="s">
        <v>94</v>
      </c>
      <c r="E17" s="14" t="s">
        <v>100</v>
      </c>
      <c r="F17" s="14">
        <v>1</v>
      </c>
      <c r="H17" s="165" t="e" cm="1">
        <f t="array" ref="H17">IF(INDEX($K:$Z,ROW(C17),MATCH(IF(VLOOKUP(_xlfn.CONCAT(B17,C17),'Detalhe Entregas e Status'!$D$9:$J$81,7,0)=DATE(2025,5,5),DATE(2025,5,12),VLOOKUP(_xlfn.CONCAT(B17,C17),'Detalhe Entregas e Status'!$D$9:$J$81,7,0)),$L$8:$Z$8,0))="","",INDEX($K:$Z,ROW(C17),MATCH(IF(VLOOKUP(_xlfn.CONCAT(B17,C17),'Detalhe Entregas e Status'!$D$9:$J$81,7,0)=DATE(2025,5,5),DATE(2025,5,12),VLOOKUP(_xlfn.CONCAT(B17,C17),'Detalhe Entregas e Status'!$D$9:$J$81,7,0)),$L$8:$Z$8,0)))</f>
        <v>#N/A</v>
      </c>
      <c r="I17" s="17"/>
      <c r="J17" s="197" t="s">
        <v>292</v>
      </c>
      <c r="K17" s="247" t="s">
        <v>400</v>
      </c>
      <c r="L17" s="247"/>
      <c r="M17" s="247"/>
      <c r="N17" s="247"/>
    </row>
    <row r="18" spans="2:14" ht="15" customHeight="1">
      <c r="B18" s="13" t="s">
        <v>1</v>
      </c>
      <c r="C18" s="13" t="s">
        <v>8</v>
      </c>
      <c r="D18" s="29" t="s">
        <v>93</v>
      </c>
      <c r="E18" s="14" t="s">
        <v>99</v>
      </c>
      <c r="F18" s="14">
        <v>4</v>
      </c>
      <c r="H18" s="165" t="e" cm="1">
        <f t="array" ref="H18">IF(INDEX($K:$Z,ROW(C18),MATCH(IF(VLOOKUP(_xlfn.CONCAT(B18,C18),'Detalhe Entregas e Status'!$D$9:$J$81,7,0)=DATE(2025,5,5),DATE(2025,5,12),VLOOKUP(_xlfn.CONCAT(B18,C18),'Detalhe Entregas e Status'!$D$9:$J$81,7,0)),$L$8:$Z$8,0))="","",INDEX($K:$Z,ROW(C18),MATCH(IF(VLOOKUP(_xlfn.CONCAT(B18,C18),'Detalhe Entregas e Status'!$D$9:$J$81,7,0)=DATE(2025,5,5),DATE(2025,5,12),VLOOKUP(_xlfn.CONCAT(B18,C18),'Detalhe Entregas e Status'!$D$9:$J$81,7,0)),$L$8:$Z$8,0)))</f>
        <v>#N/A</v>
      </c>
      <c r="I18" s="17" t="s">
        <v>282</v>
      </c>
      <c r="J18" s="197" t="s">
        <v>292</v>
      </c>
      <c r="K18" s="247" t="s">
        <v>400</v>
      </c>
      <c r="L18" s="247"/>
      <c r="M18" s="247"/>
      <c r="N18" s="247"/>
    </row>
    <row r="19" spans="2:14" ht="15" customHeight="1">
      <c r="B19" s="13" t="s">
        <v>1</v>
      </c>
      <c r="C19" s="13" t="s">
        <v>8</v>
      </c>
      <c r="D19" s="29" t="s">
        <v>94</v>
      </c>
      <c r="E19" s="14" t="s">
        <v>100</v>
      </c>
      <c r="F19" s="14">
        <v>1</v>
      </c>
      <c r="H19" s="165" t="e" cm="1">
        <f t="array" ref="H19">IF(INDEX($K:$Z,ROW(C19),MATCH(IF(VLOOKUP(_xlfn.CONCAT(B19,C19),'Detalhe Entregas e Status'!$D$9:$J$81,7,0)=DATE(2025,5,5),DATE(2025,5,12),VLOOKUP(_xlfn.CONCAT(B19,C19),'Detalhe Entregas e Status'!$D$9:$J$81,7,0)),$L$8:$Z$8,0))="","",INDEX($K:$Z,ROW(C19),MATCH(IF(VLOOKUP(_xlfn.CONCAT(B19,C19),'Detalhe Entregas e Status'!$D$9:$J$81,7,0)=DATE(2025,5,5),DATE(2025,5,12),VLOOKUP(_xlfn.CONCAT(B19,C19),'Detalhe Entregas e Status'!$D$9:$J$81,7,0)),$L$8:$Z$8,0)))</f>
        <v>#N/A</v>
      </c>
      <c r="I19" s="17"/>
      <c r="J19" s="197" t="s">
        <v>292</v>
      </c>
      <c r="K19" s="247" t="s">
        <v>400</v>
      </c>
      <c r="L19" s="247"/>
      <c r="M19" s="247"/>
      <c r="N19" s="247"/>
    </row>
    <row r="20" spans="2:14" ht="15" customHeight="1">
      <c r="B20" s="13" t="s">
        <v>1</v>
      </c>
      <c r="C20" s="13" t="s">
        <v>9</v>
      </c>
      <c r="D20" s="29" t="s">
        <v>94</v>
      </c>
      <c r="E20" s="14" t="s">
        <v>100</v>
      </c>
      <c r="F20" s="14">
        <v>1</v>
      </c>
      <c r="H20" s="165" t="e" cm="1">
        <f t="array" ref="H20">IF(INDEX($K:$Z,ROW(C20),MATCH(IF(VLOOKUP(_xlfn.CONCAT(B20,C20),'Detalhe Entregas e Status'!$D$9:$J$81,7,0)=DATE(2025,5,5),DATE(2025,5,12),VLOOKUP(_xlfn.CONCAT(B20,C20),'Detalhe Entregas e Status'!$D$9:$J$81,7,0)),$L$8:$Z$8,0))="","",INDEX($K:$Z,ROW(C20),MATCH(IF(VLOOKUP(_xlfn.CONCAT(B20,C20),'Detalhe Entregas e Status'!$D$9:$J$81,7,0)=DATE(2025,5,5),DATE(2025,5,12),VLOOKUP(_xlfn.CONCAT(B20,C20),'Detalhe Entregas e Status'!$D$9:$J$81,7,0)),$L$8:$Z$8,0)))</f>
        <v>#N/A</v>
      </c>
      <c r="I20" s="17" t="s">
        <v>359</v>
      </c>
      <c r="J20" s="197" t="s">
        <v>292</v>
      </c>
      <c r="K20" s="247" t="s">
        <v>400</v>
      </c>
      <c r="L20" s="247"/>
      <c r="M20" s="247"/>
      <c r="N20" s="247"/>
    </row>
    <row r="21" spans="2:14" ht="15" customHeight="1">
      <c r="B21" s="13" t="s">
        <v>1</v>
      </c>
      <c r="C21" s="13" t="s">
        <v>10</v>
      </c>
      <c r="D21" s="29" t="s">
        <v>93</v>
      </c>
      <c r="E21" s="14" t="s">
        <v>100</v>
      </c>
      <c r="F21" s="14">
        <v>2</v>
      </c>
      <c r="H21" s="165" t="e" cm="1">
        <f t="array" ref="H21">IF(INDEX($K:$Z,ROW(C21),MATCH(IF(VLOOKUP(_xlfn.CONCAT(B21,C21),'Detalhe Entregas e Status'!$D$9:$J$81,7,0)=DATE(2025,5,5),DATE(2025,5,12),VLOOKUP(_xlfn.CONCAT(B21,C21),'Detalhe Entregas e Status'!$D$9:$J$81,7,0)),$L$8:$Z$8,0))="","",INDEX($K:$Z,ROW(C21),MATCH(IF(VLOOKUP(_xlfn.CONCAT(B21,C21),'Detalhe Entregas e Status'!$D$9:$J$81,7,0)=DATE(2025,5,5),DATE(2025,5,12),VLOOKUP(_xlfn.CONCAT(B21,C21),'Detalhe Entregas e Status'!$D$9:$J$81,7,0)),$L$8:$Z$8,0)))</f>
        <v>#N/A</v>
      </c>
      <c r="I21" s="17"/>
      <c r="J21" s="197" t="s">
        <v>292</v>
      </c>
      <c r="K21" s="247" t="s">
        <v>400</v>
      </c>
      <c r="L21" s="247"/>
      <c r="M21" s="247"/>
      <c r="N21" s="247"/>
    </row>
    <row r="22" spans="2:14" ht="15" customHeight="1">
      <c r="B22" s="13" t="s">
        <v>1</v>
      </c>
      <c r="C22" s="13" t="s">
        <v>10</v>
      </c>
      <c r="D22" s="29" t="s">
        <v>94</v>
      </c>
      <c r="E22" s="14" t="s">
        <v>100</v>
      </c>
      <c r="F22" s="14">
        <v>1</v>
      </c>
      <c r="H22" s="165" t="e" cm="1">
        <f t="array" ref="H22">IF(INDEX($K:$Z,ROW(C22),MATCH(IF(VLOOKUP(_xlfn.CONCAT(B22,C22),'Detalhe Entregas e Status'!$D$9:$J$81,7,0)=DATE(2025,5,5),DATE(2025,5,12),VLOOKUP(_xlfn.CONCAT(B22,C22),'Detalhe Entregas e Status'!$D$9:$J$81,7,0)),$L$8:$Z$8,0))="","",INDEX($K:$Z,ROW(C22),MATCH(IF(VLOOKUP(_xlfn.CONCAT(B22,C22),'Detalhe Entregas e Status'!$D$9:$J$81,7,0)=DATE(2025,5,5),DATE(2025,5,12),VLOOKUP(_xlfn.CONCAT(B22,C22),'Detalhe Entregas e Status'!$D$9:$J$81,7,0)),$L$8:$Z$8,0)))</f>
        <v>#N/A</v>
      </c>
      <c r="I22" s="17"/>
      <c r="J22" s="197" t="s">
        <v>292</v>
      </c>
      <c r="K22" s="247" t="s">
        <v>400</v>
      </c>
      <c r="L22" s="247"/>
      <c r="M22" s="247"/>
      <c r="N22" s="247"/>
    </row>
    <row r="23" spans="2:14" ht="15" customHeight="1">
      <c r="B23" s="13" t="s">
        <v>1</v>
      </c>
      <c r="C23" s="13" t="s">
        <v>10</v>
      </c>
      <c r="D23" s="29" t="s">
        <v>95</v>
      </c>
      <c r="E23" s="14" t="s">
        <v>100</v>
      </c>
      <c r="F23" s="14">
        <v>2</v>
      </c>
      <c r="H23" s="165" t="e" cm="1">
        <f t="array" ref="H23">IF(INDEX($K:$Z,ROW(C23),MATCH(IF(VLOOKUP(_xlfn.CONCAT(B23,C23),'Detalhe Entregas e Status'!$D$9:$J$81,7,0)=DATE(2025,5,5),DATE(2025,5,12),VLOOKUP(_xlfn.CONCAT(B23,C23),'Detalhe Entregas e Status'!$D$9:$J$81,7,0)),$L$8:$Z$8,0))="","",INDEX($K:$Z,ROW(C23),MATCH(IF(VLOOKUP(_xlfn.CONCAT(B23,C23),'Detalhe Entregas e Status'!$D$9:$J$81,7,0)=DATE(2025,5,5),DATE(2025,5,12),VLOOKUP(_xlfn.CONCAT(B23,C23),'Detalhe Entregas e Status'!$D$9:$J$81,7,0)),$L$8:$Z$8,0)))</f>
        <v>#N/A</v>
      </c>
      <c r="I23" s="17"/>
      <c r="J23" s="197" t="s">
        <v>292</v>
      </c>
      <c r="K23" s="247" t="s">
        <v>400</v>
      </c>
      <c r="L23" s="247"/>
      <c r="M23" s="247"/>
      <c r="N23" s="247"/>
    </row>
    <row r="24" spans="2:14" ht="15" customHeight="1">
      <c r="B24" s="13" t="s">
        <v>1</v>
      </c>
      <c r="C24" s="13" t="s">
        <v>11</v>
      </c>
      <c r="D24" s="29" t="s">
        <v>93</v>
      </c>
      <c r="E24" s="14" t="s">
        <v>100</v>
      </c>
      <c r="F24" s="14">
        <v>2</v>
      </c>
      <c r="H24" s="165" t="e" cm="1">
        <f t="array" ref="H24">IF(INDEX($K:$Z,ROW(C24),MATCH(IF(VLOOKUP(_xlfn.CONCAT(B24,C24),'Detalhe Entregas e Status'!$D$9:$J$81,7,0)=DATE(2025,5,5),DATE(2025,5,12),VLOOKUP(_xlfn.CONCAT(B24,C24),'Detalhe Entregas e Status'!$D$9:$J$81,7,0)),$L$8:$Z$8,0))="","",INDEX($K:$Z,ROW(C24),MATCH(IF(VLOOKUP(_xlfn.CONCAT(B24,C24),'Detalhe Entregas e Status'!$D$9:$J$81,7,0)=DATE(2025,5,5),DATE(2025,5,12),VLOOKUP(_xlfn.CONCAT(B24,C24),'Detalhe Entregas e Status'!$D$9:$J$81,7,0)),$L$8:$Z$8,0)))</f>
        <v>#N/A</v>
      </c>
      <c r="I24" s="17" t="s">
        <v>361</v>
      </c>
      <c r="J24" s="197" t="s">
        <v>292</v>
      </c>
      <c r="K24" s="247" t="s">
        <v>400</v>
      </c>
      <c r="L24" s="247"/>
      <c r="M24" s="247" t="s">
        <v>399</v>
      </c>
      <c r="N24" s="247"/>
    </row>
    <row r="25" spans="2:14" ht="15" customHeight="1">
      <c r="B25" s="13" t="s">
        <v>1</v>
      </c>
      <c r="C25" s="13" t="s">
        <v>11</v>
      </c>
      <c r="D25" s="29" t="s">
        <v>94</v>
      </c>
      <c r="E25" s="14" t="s">
        <v>100</v>
      </c>
      <c r="F25" s="14">
        <v>1</v>
      </c>
      <c r="H25" s="165" t="e" cm="1">
        <f t="array" ref="H25">IF(INDEX($K:$Z,ROW(C25),MATCH(IF(VLOOKUP(_xlfn.CONCAT(B25,C25),'Detalhe Entregas e Status'!$D$9:$J$81,7,0)=DATE(2025,5,5),DATE(2025,5,12),VLOOKUP(_xlfn.CONCAT(B25,C25),'Detalhe Entregas e Status'!$D$9:$J$81,7,0)),$L$8:$Z$8,0))="","",INDEX($K:$Z,ROW(C25),MATCH(IF(VLOOKUP(_xlfn.CONCAT(B25,C25),'Detalhe Entregas e Status'!$D$9:$J$81,7,0)=DATE(2025,5,5),DATE(2025,5,12),VLOOKUP(_xlfn.CONCAT(B25,C25),'Detalhe Entregas e Status'!$D$9:$J$81,7,0)),$L$8:$Z$8,0)))</f>
        <v>#N/A</v>
      </c>
      <c r="I25" s="17"/>
      <c r="J25" s="197" t="s">
        <v>292</v>
      </c>
      <c r="K25" s="247" t="s">
        <v>400</v>
      </c>
      <c r="L25" s="247"/>
      <c r="M25" s="247" t="s">
        <v>399</v>
      </c>
      <c r="N25" s="247"/>
    </row>
    <row r="26" spans="2:14" ht="15" customHeight="1">
      <c r="B26" s="13" t="s">
        <v>1</v>
      </c>
      <c r="C26" s="13" t="s">
        <v>11</v>
      </c>
      <c r="D26" s="29" t="s">
        <v>95</v>
      </c>
      <c r="E26" s="14" t="s">
        <v>100</v>
      </c>
      <c r="F26" s="14">
        <v>2</v>
      </c>
      <c r="H26" s="165" t="e" cm="1">
        <f t="array" ref="H26">IF(INDEX($K:$Z,ROW(C26),MATCH(IF(VLOOKUP(_xlfn.CONCAT(B26,C26),'Detalhe Entregas e Status'!$D$9:$J$81,7,0)=DATE(2025,5,5),DATE(2025,5,12),VLOOKUP(_xlfn.CONCAT(B26,C26),'Detalhe Entregas e Status'!$D$9:$J$81,7,0)),$L$8:$Z$8,0))="","",INDEX($K:$Z,ROW(C26),MATCH(IF(VLOOKUP(_xlfn.CONCAT(B26,C26),'Detalhe Entregas e Status'!$D$9:$J$81,7,0)=DATE(2025,5,5),DATE(2025,5,12),VLOOKUP(_xlfn.CONCAT(B26,C26),'Detalhe Entregas e Status'!$D$9:$J$81,7,0)),$L$8:$Z$8,0)))</f>
        <v>#N/A</v>
      </c>
      <c r="I26" s="17"/>
      <c r="J26" s="197" t="s">
        <v>292</v>
      </c>
      <c r="K26" s="247" t="s">
        <v>400</v>
      </c>
      <c r="L26" s="247"/>
      <c r="M26" s="247" t="s">
        <v>399</v>
      </c>
      <c r="N26" s="247"/>
    </row>
    <row r="27" spans="2:14" ht="15" customHeight="1">
      <c r="B27" s="13" t="s">
        <v>1</v>
      </c>
      <c r="C27" s="13" t="s">
        <v>12</v>
      </c>
      <c r="D27" s="29" t="s">
        <v>93</v>
      </c>
      <c r="E27" s="14" t="s">
        <v>99</v>
      </c>
      <c r="F27" s="14">
        <v>4</v>
      </c>
      <c r="H27" s="165" t="e" cm="1">
        <f t="array" ref="H27">IF(INDEX($K:$Z,ROW(C27),MATCH(IF(VLOOKUP(_xlfn.CONCAT(B27,C27),'Detalhe Entregas e Status'!$D$9:$J$81,7,0)=DATE(2025,5,5),DATE(2025,5,12),VLOOKUP(_xlfn.CONCAT(B27,C27),'Detalhe Entregas e Status'!$D$9:$J$81,7,0)),$L$8:$Z$8,0))="","",INDEX($K:$Z,ROW(C27),MATCH(IF(VLOOKUP(_xlfn.CONCAT(B27,C27),'Detalhe Entregas e Status'!$D$9:$J$81,7,0)=DATE(2025,5,5),DATE(2025,5,12),VLOOKUP(_xlfn.CONCAT(B27,C27),'Detalhe Entregas e Status'!$D$9:$J$81,7,0)),$L$8:$Z$8,0)))</f>
        <v>#N/A</v>
      </c>
      <c r="I27" s="17" t="s">
        <v>282</v>
      </c>
      <c r="J27" s="197" t="s">
        <v>292</v>
      </c>
      <c r="K27" s="247" t="s">
        <v>400</v>
      </c>
      <c r="L27" s="247"/>
      <c r="M27" s="247"/>
      <c r="N27" s="247"/>
    </row>
    <row r="28" spans="2:14" ht="15" customHeight="1">
      <c r="B28" s="13" t="s">
        <v>1</v>
      </c>
      <c r="C28" s="13" t="s">
        <v>12</v>
      </c>
      <c r="D28" s="29" t="s">
        <v>94</v>
      </c>
      <c r="E28" s="14" t="s">
        <v>100</v>
      </c>
      <c r="F28" s="14">
        <v>1</v>
      </c>
      <c r="H28" s="165" t="e" cm="1">
        <f t="array" ref="H28">IF(INDEX($K:$Z,ROW(C28),MATCH(IF(VLOOKUP(_xlfn.CONCAT(B28,C28),'Detalhe Entregas e Status'!$D$9:$J$81,7,0)=DATE(2025,5,5),DATE(2025,5,12),VLOOKUP(_xlfn.CONCAT(B28,C28),'Detalhe Entregas e Status'!$D$9:$J$81,7,0)),$L$8:$Z$8,0))="","",INDEX($K:$Z,ROW(C28),MATCH(IF(VLOOKUP(_xlfn.CONCAT(B28,C28),'Detalhe Entregas e Status'!$D$9:$J$81,7,0)=DATE(2025,5,5),DATE(2025,5,12),VLOOKUP(_xlfn.CONCAT(B28,C28),'Detalhe Entregas e Status'!$D$9:$J$81,7,0)),$L$8:$Z$8,0)))</f>
        <v>#N/A</v>
      </c>
      <c r="I28" s="17"/>
      <c r="J28" s="197" t="s">
        <v>292</v>
      </c>
      <c r="K28" s="247" t="s">
        <v>400</v>
      </c>
      <c r="L28" s="247"/>
      <c r="M28" s="247"/>
      <c r="N28" s="247"/>
    </row>
    <row r="29" spans="2:14" ht="15" customHeight="1">
      <c r="B29" s="13" t="s">
        <v>1</v>
      </c>
      <c r="C29" s="13" t="s">
        <v>13</v>
      </c>
      <c r="D29" s="29" t="s">
        <v>93</v>
      </c>
      <c r="E29" s="14" t="s">
        <v>100</v>
      </c>
      <c r="F29" s="14">
        <v>2</v>
      </c>
      <c r="H29" s="165" t="e" cm="1">
        <f t="array" ref="H29">IF(INDEX($K:$Z,ROW(C29),MATCH(IF(VLOOKUP(_xlfn.CONCAT(B29,C29),'Detalhe Entregas e Status'!$D$9:$J$81,7,0)=DATE(2025,5,5),DATE(2025,5,12),VLOOKUP(_xlfn.CONCAT(B29,C29),'Detalhe Entregas e Status'!$D$9:$J$81,7,0)),$L$8:$Z$8,0))="","",INDEX($K:$Z,ROW(C29),MATCH(IF(VLOOKUP(_xlfn.CONCAT(B29,C29),'Detalhe Entregas e Status'!$D$9:$J$81,7,0)=DATE(2025,5,5),DATE(2025,5,12),VLOOKUP(_xlfn.CONCAT(B29,C29),'Detalhe Entregas e Status'!$D$9:$J$81,7,0)),$L$8:$Z$8,0)))</f>
        <v>#N/A</v>
      </c>
      <c r="I29" s="17" t="s">
        <v>282</v>
      </c>
      <c r="J29" s="197" t="s">
        <v>292</v>
      </c>
      <c r="K29" s="247" t="s">
        <v>400</v>
      </c>
      <c r="L29" s="247"/>
      <c r="M29" s="247"/>
      <c r="N29" s="247"/>
    </row>
    <row r="30" spans="2:14" ht="15" customHeight="1">
      <c r="B30" s="13" t="s">
        <v>1</v>
      </c>
      <c r="C30" s="13" t="s">
        <v>13</v>
      </c>
      <c r="D30" s="29" t="s">
        <v>94</v>
      </c>
      <c r="E30" s="14" t="s">
        <v>100</v>
      </c>
      <c r="F30" s="14">
        <v>1</v>
      </c>
      <c r="H30" s="165" t="e" cm="1">
        <f t="array" ref="H30">IF(INDEX($K:$Z,ROW(C30),MATCH(IF(VLOOKUP(_xlfn.CONCAT(B30,C30),'Detalhe Entregas e Status'!$D$9:$J$81,7,0)=DATE(2025,5,5),DATE(2025,5,12),VLOOKUP(_xlfn.CONCAT(B30,C30),'Detalhe Entregas e Status'!$D$9:$J$81,7,0)),$L$8:$Z$8,0))="","",INDEX($K:$Z,ROW(C30),MATCH(IF(VLOOKUP(_xlfn.CONCAT(B30,C30),'Detalhe Entregas e Status'!$D$9:$J$81,7,0)=DATE(2025,5,5),DATE(2025,5,12),VLOOKUP(_xlfn.CONCAT(B30,C30),'Detalhe Entregas e Status'!$D$9:$J$81,7,0)),$L$8:$Z$8,0)))</f>
        <v>#N/A</v>
      </c>
      <c r="I30" s="17"/>
      <c r="J30" s="197" t="s">
        <v>292</v>
      </c>
      <c r="K30" s="247" t="s">
        <v>400</v>
      </c>
      <c r="L30" s="247"/>
      <c r="M30" s="247"/>
      <c r="N30" s="247"/>
    </row>
    <row r="31" spans="2:14" ht="15" customHeight="1">
      <c r="B31" s="13" t="s">
        <v>1</v>
      </c>
      <c r="C31" s="13" t="s">
        <v>14</v>
      </c>
      <c r="D31" s="29" t="s">
        <v>93</v>
      </c>
      <c r="E31" s="14" t="s">
        <v>100</v>
      </c>
      <c r="F31" s="14">
        <v>2</v>
      </c>
      <c r="H31" s="165" t="e" cm="1">
        <f t="array" ref="H31">IF(INDEX($K:$Z,ROW(C31),MATCH(IF(VLOOKUP(_xlfn.CONCAT(B31,C31),'Detalhe Entregas e Status'!$D$9:$J$81,7,0)=DATE(2025,5,5),DATE(2025,5,12),VLOOKUP(_xlfn.CONCAT(B31,C31),'Detalhe Entregas e Status'!$D$9:$J$81,7,0)),$L$8:$Z$8,0))="","",INDEX($K:$Z,ROW(C31),MATCH(IF(VLOOKUP(_xlfn.CONCAT(B31,C31),'Detalhe Entregas e Status'!$D$9:$J$81,7,0)=DATE(2025,5,5),DATE(2025,5,12),VLOOKUP(_xlfn.CONCAT(B31,C31),'Detalhe Entregas e Status'!$D$9:$J$81,7,0)),$L$8:$Z$8,0)))</f>
        <v>#N/A</v>
      </c>
      <c r="I31" s="17" t="s">
        <v>362</v>
      </c>
      <c r="J31" s="197" t="s">
        <v>292</v>
      </c>
      <c r="K31" s="247" t="s">
        <v>400</v>
      </c>
      <c r="L31" s="247"/>
      <c r="M31" s="247"/>
      <c r="N31" s="247"/>
    </row>
    <row r="32" spans="2:14" ht="15" customHeight="1">
      <c r="B32" s="13" t="s">
        <v>1</v>
      </c>
      <c r="C32" s="13" t="s">
        <v>14</v>
      </c>
      <c r="D32" s="29" t="s">
        <v>94</v>
      </c>
      <c r="E32" s="14" t="s">
        <v>100</v>
      </c>
      <c r="F32" s="14">
        <v>1</v>
      </c>
      <c r="H32" s="165" t="e" cm="1">
        <f t="array" ref="H32">IF(INDEX($K:$Z,ROW(C32),MATCH(IF(VLOOKUP(_xlfn.CONCAT(B32,C32),'Detalhe Entregas e Status'!$D$9:$J$81,7,0)=DATE(2025,5,5),DATE(2025,5,12),VLOOKUP(_xlfn.CONCAT(B32,C32),'Detalhe Entregas e Status'!$D$9:$J$81,7,0)),$L$8:$Z$8,0))="","",INDEX($K:$Z,ROW(C32),MATCH(IF(VLOOKUP(_xlfn.CONCAT(B32,C32),'Detalhe Entregas e Status'!$D$9:$J$81,7,0)=DATE(2025,5,5),DATE(2025,5,12),VLOOKUP(_xlfn.CONCAT(B32,C32),'Detalhe Entregas e Status'!$D$9:$J$81,7,0)),$L$8:$Z$8,0)))</f>
        <v>#N/A</v>
      </c>
      <c r="I32" s="17"/>
      <c r="J32" s="197" t="s">
        <v>292</v>
      </c>
      <c r="K32" s="247" t="s">
        <v>400</v>
      </c>
      <c r="L32" s="247"/>
      <c r="M32" s="247"/>
      <c r="N32" s="247"/>
    </row>
    <row r="33" spans="2:14" ht="15" customHeight="1">
      <c r="B33" s="13" t="s">
        <v>1</v>
      </c>
      <c r="C33" s="13" t="s">
        <v>15</v>
      </c>
      <c r="D33" s="29" t="s">
        <v>93</v>
      </c>
      <c r="E33" s="14" t="s">
        <v>100</v>
      </c>
      <c r="F33" s="14">
        <v>2</v>
      </c>
      <c r="H33" s="165" t="e" cm="1">
        <f t="array" ref="H33">IF(INDEX($K:$Z,ROW(C33),MATCH(IF(VLOOKUP(_xlfn.CONCAT(B33,C33),'Detalhe Entregas e Status'!$D$9:$J$81,7,0)=DATE(2025,5,5),DATE(2025,5,12),VLOOKUP(_xlfn.CONCAT(B33,C33),'Detalhe Entregas e Status'!$D$9:$J$81,7,0)),$L$8:$Z$8,0))="","",INDEX($K:$Z,ROW(C33),MATCH(IF(VLOOKUP(_xlfn.CONCAT(B33,C33),'Detalhe Entregas e Status'!$D$9:$J$81,7,0)=DATE(2025,5,5),DATE(2025,5,12),VLOOKUP(_xlfn.CONCAT(B33,C33),'Detalhe Entregas e Status'!$D$9:$J$81,7,0)),$L$8:$Z$8,0)))</f>
        <v>#N/A</v>
      </c>
      <c r="I33" s="17" t="s">
        <v>363</v>
      </c>
      <c r="J33" s="197" t="s">
        <v>292</v>
      </c>
      <c r="K33" s="247" t="s">
        <v>399</v>
      </c>
      <c r="L33" s="247"/>
      <c r="M33" s="247"/>
      <c r="N33" s="247"/>
    </row>
    <row r="34" spans="2:14" ht="15" customHeight="1">
      <c r="B34" s="13" t="s">
        <v>1</v>
      </c>
      <c r="C34" s="13" t="s">
        <v>15</v>
      </c>
      <c r="D34" s="29" t="s">
        <v>94</v>
      </c>
      <c r="E34" s="14" t="s">
        <v>100</v>
      </c>
      <c r="F34" s="14">
        <v>1</v>
      </c>
      <c r="H34" s="165" t="e" cm="1">
        <f t="array" ref="H34">IF(INDEX($K:$Z,ROW(C34),MATCH(IF(VLOOKUP(_xlfn.CONCAT(B34,C34),'Detalhe Entregas e Status'!$D$9:$J$81,7,0)=DATE(2025,5,5),DATE(2025,5,12),VLOOKUP(_xlfn.CONCAT(B34,C34),'Detalhe Entregas e Status'!$D$9:$J$81,7,0)),$L$8:$Z$8,0))="","",INDEX($K:$Z,ROW(C34),MATCH(IF(VLOOKUP(_xlfn.CONCAT(B34,C34),'Detalhe Entregas e Status'!$D$9:$J$81,7,0)=DATE(2025,5,5),DATE(2025,5,12),VLOOKUP(_xlfn.CONCAT(B34,C34),'Detalhe Entregas e Status'!$D$9:$J$81,7,0)),$L$8:$Z$8,0)))</f>
        <v>#N/A</v>
      </c>
      <c r="I34" s="17"/>
      <c r="J34" s="197" t="s">
        <v>292</v>
      </c>
      <c r="K34" s="247" t="s">
        <v>399</v>
      </c>
      <c r="L34" s="247"/>
      <c r="M34" s="247"/>
      <c r="N34" s="247"/>
    </row>
    <row r="35" spans="2:14" ht="15" customHeight="1">
      <c r="B35" s="13" t="s">
        <v>1</v>
      </c>
      <c r="C35" s="13" t="s">
        <v>16</v>
      </c>
      <c r="D35" s="29" t="s">
        <v>93</v>
      </c>
      <c r="E35" s="14" t="s">
        <v>100</v>
      </c>
      <c r="F35" s="14">
        <v>2</v>
      </c>
      <c r="H35" s="165" t="e" cm="1">
        <f t="array" ref="H35">IF(INDEX($K:$Z,ROW(C35),MATCH(IF(VLOOKUP(_xlfn.CONCAT(B35,C35),'Detalhe Entregas e Status'!$D$9:$J$81,7,0)=DATE(2025,5,5),DATE(2025,5,12),VLOOKUP(_xlfn.CONCAT(B35,C35),'Detalhe Entregas e Status'!$D$9:$J$81,7,0)),$L$8:$Z$8,0))="","",INDEX($K:$Z,ROW(C35),MATCH(IF(VLOOKUP(_xlfn.CONCAT(B35,C35),'Detalhe Entregas e Status'!$D$9:$J$81,7,0)=DATE(2025,5,5),DATE(2025,5,12),VLOOKUP(_xlfn.CONCAT(B35,C35),'Detalhe Entregas e Status'!$D$9:$J$81,7,0)),$L$8:$Z$8,0)))</f>
        <v>#N/A</v>
      </c>
      <c r="I35" s="17" t="s">
        <v>363</v>
      </c>
      <c r="J35" s="197" t="s">
        <v>292</v>
      </c>
      <c r="K35" s="247" t="s">
        <v>399</v>
      </c>
      <c r="L35" s="247"/>
      <c r="M35" s="247"/>
      <c r="N35" s="247"/>
    </row>
    <row r="36" spans="2:14" ht="15" customHeight="1">
      <c r="B36" s="13" t="s">
        <v>1</v>
      </c>
      <c r="C36" s="13" t="s">
        <v>16</v>
      </c>
      <c r="D36" s="29" t="s">
        <v>94</v>
      </c>
      <c r="E36" s="14" t="s">
        <v>100</v>
      </c>
      <c r="F36" s="14">
        <v>1</v>
      </c>
      <c r="H36" s="165" t="e" cm="1">
        <f t="array" ref="H36">IF(INDEX($K:$Z,ROW(C36),MATCH(IF(VLOOKUP(_xlfn.CONCAT(B36,C36),'Detalhe Entregas e Status'!$D$9:$J$81,7,0)=DATE(2025,5,5),DATE(2025,5,12),VLOOKUP(_xlfn.CONCAT(B36,C36),'Detalhe Entregas e Status'!$D$9:$J$81,7,0)),$L$8:$Z$8,0))="","",INDEX($K:$Z,ROW(C36),MATCH(IF(VLOOKUP(_xlfn.CONCAT(B36,C36),'Detalhe Entregas e Status'!$D$9:$J$81,7,0)=DATE(2025,5,5),DATE(2025,5,12),VLOOKUP(_xlfn.CONCAT(B36,C36),'Detalhe Entregas e Status'!$D$9:$J$81,7,0)),$L$8:$Z$8,0)))</f>
        <v>#N/A</v>
      </c>
      <c r="I36" s="17"/>
      <c r="J36" s="197" t="s">
        <v>292</v>
      </c>
      <c r="K36" s="247" t="s">
        <v>399</v>
      </c>
      <c r="L36" s="247"/>
      <c r="M36" s="247"/>
      <c r="N36" s="247"/>
    </row>
    <row r="37" spans="2:14" ht="15" customHeight="1">
      <c r="B37" s="13" t="s">
        <v>1</v>
      </c>
      <c r="C37" s="13" t="s">
        <v>17</v>
      </c>
      <c r="D37" s="29" t="s">
        <v>93</v>
      </c>
      <c r="E37" s="14" t="s">
        <v>100</v>
      </c>
      <c r="F37" s="14">
        <v>2</v>
      </c>
      <c r="H37" s="165" t="e" cm="1">
        <f t="array" ref="H37">IF(INDEX($K:$Z,ROW(C37),MATCH(IF(VLOOKUP(_xlfn.CONCAT(B37,C37),'Detalhe Entregas e Status'!$D$9:$J$81,7,0)=DATE(2025,5,5),DATE(2025,5,12),VLOOKUP(_xlfn.CONCAT(B37,C37),'Detalhe Entregas e Status'!$D$9:$J$81,7,0)),$L$8:$Z$8,0))="","",INDEX($K:$Z,ROW(C37),MATCH(IF(VLOOKUP(_xlfn.CONCAT(B37,C37),'Detalhe Entregas e Status'!$D$9:$J$81,7,0)=DATE(2025,5,5),DATE(2025,5,12),VLOOKUP(_xlfn.CONCAT(B37,C37),'Detalhe Entregas e Status'!$D$9:$J$81,7,0)),$L$8:$Z$8,0)))</f>
        <v>#N/A</v>
      </c>
      <c r="I37" s="17" t="s">
        <v>363</v>
      </c>
      <c r="J37" s="197" t="s">
        <v>292</v>
      </c>
      <c r="K37" s="247" t="s">
        <v>399</v>
      </c>
      <c r="L37" s="247"/>
      <c r="M37" s="247"/>
      <c r="N37" s="247"/>
    </row>
    <row r="38" spans="2:14" ht="15" customHeight="1">
      <c r="B38" s="13" t="s">
        <v>1</v>
      </c>
      <c r="C38" s="13" t="s">
        <v>17</v>
      </c>
      <c r="D38" s="29" t="s">
        <v>94</v>
      </c>
      <c r="E38" s="14" t="s">
        <v>100</v>
      </c>
      <c r="F38" s="14">
        <v>1</v>
      </c>
      <c r="H38" s="165" t="e" cm="1">
        <f t="array" ref="H38">IF(INDEX($K:$Z,ROW(C38),MATCH(IF(VLOOKUP(_xlfn.CONCAT(B38,C38),'Detalhe Entregas e Status'!$D$9:$J$81,7,0)=DATE(2025,5,5),DATE(2025,5,12),VLOOKUP(_xlfn.CONCAT(B38,C38),'Detalhe Entregas e Status'!$D$9:$J$81,7,0)),$L$8:$Z$8,0))="","",INDEX($K:$Z,ROW(C38),MATCH(IF(VLOOKUP(_xlfn.CONCAT(B38,C38),'Detalhe Entregas e Status'!$D$9:$J$81,7,0)=DATE(2025,5,5),DATE(2025,5,12),VLOOKUP(_xlfn.CONCAT(B38,C38),'Detalhe Entregas e Status'!$D$9:$J$81,7,0)),$L$8:$Z$8,0)))</f>
        <v>#N/A</v>
      </c>
      <c r="I38" s="17"/>
      <c r="J38" s="197" t="s">
        <v>292</v>
      </c>
      <c r="K38" s="247" t="s">
        <v>399</v>
      </c>
      <c r="L38" s="247"/>
      <c r="M38" s="247"/>
      <c r="N38" s="247"/>
    </row>
    <row r="39" spans="2:14" ht="15" customHeight="1">
      <c r="B39" s="13" t="s">
        <v>1</v>
      </c>
      <c r="C39" s="13" t="s">
        <v>18</v>
      </c>
      <c r="D39" s="29" t="s">
        <v>93</v>
      </c>
      <c r="E39" s="14" t="s">
        <v>99</v>
      </c>
      <c r="F39" s="14">
        <v>4</v>
      </c>
      <c r="H39" s="165" t="e" cm="1">
        <f t="array" ref="H39">IF(INDEX($K:$Z,ROW(C39),MATCH(IF(VLOOKUP(_xlfn.CONCAT(B39,C39),'Detalhe Entregas e Status'!$D$9:$J$81,7,0)=DATE(2025,5,5),DATE(2025,5,12),VLOOKUP(_xlfn.CONCAT(B39,C39),'Detalhe Entregas e Status'!$D$9:$J$81,7,0)),$L$8:$Z$8,0))="","",INDEX($K:$Z,ROW(C39),MATCH(IF(VLOOKUP(_xlfn.CONCAT(B39,C39),'Detalhe Entregas e Status'!$D$9:$J$81,7,0)=DATE(2025,5,5),DATE(2025,5,12),VLOOKUP(_xlfn.CONCAT(B39,C39),'Detalhe Entregas e Status'!$D$9:$J$81,7,0)),$L$8:$Z$8,0)))</f>
        <v>#N/A</v>
      </c>
      <c r="I39" s="17" t="s">
        <v>359</v>
      </c>
      <c r="J39" s="197" t="s">
        <v>292</v>
      </c>
      <c r="K39" s="247" t="s">
        <v>400</v>
      </c>
      <c r="L39" s="247" t="s">
        <v>400</v>
      </c>
      <c r="M39" s="247"/>
      <c r="N39" s="247"/>
    </row>
    <row r="40" spans="2:14" ht="15" customHeight="1">
      <c r="B40" s="13" t="s">
        <v>1</v>
      </c>
      <c r="C40" s="13" t="s">
        <v>18</v>
      </c>
      <c r="D40" s="29" t="s">
        <v>94</v>
      </c>
      <c r="E40" s="14" t="s">
        <v>100</v>
      </c>
      <c r="F40" s="14">
        <v>1</v>
      </c>
      <c r="H40" s="165" t="e" cm="1">
        <f t="array" ref="H40">IF(INDEX($K:$Z,ROW(C40),MATCH(IF(VLOOKUP(_xlfn.CONCAT(B40,C40),'Detalhe Entregas e Status'!$D$9:$J$81,7,0)=DATE(2025,5,5),DATE(2025,5,12),VLOOKUP(_xlfn.CONCAT(B40,C40),'Detalhe Entregas e Status'!$D$9:$J$81,7,0)),$L$8:$Z$8,0))="","",INDEX($K:$Z,ROW(C40),MATCH(IF(VLOOKUP(_xlfn.CONCAT(B40,C40),'Detalhe Entregas e Status'!$D$9:$J$81,7,0)=DATE(2025,5,5),DATE(2025,5,12),VLOOKUP(_xlfn.CONCAT(B40,C40),'Detalhe Entregas e Status'!$D$9:$J$81,7,0)),$L$8:$Z$8,0)))</f>
        <v>#N/A</v>
      </c>
      <c r="I40" s="17"/>
      <c r="J40" s="197" t="s">
        <v>292</v>
      </c>
      <c r="K40" s="247" t="s">
        <v>400</v>
      </c>
      <c r="L40" s="247" t="s">
        <v>400</v>
      </c>
      <c r="M40" s="247"/>
      <c r="N40" s="247"/>
    </row>
    <row r="41" spans="2:14" ht="15" customHeight="1">
      <c r="B41" s="13" t="s">
        <v>1</v>
      </c>
      <c r="C41" s="13" t="s">
        <v>19</v>
      </c>
      <c r="D41" s="29" t="s">
        <v>93</v>
      </c>
      <c r="E41" s="14" t="s">
        <v>100</v>
      </c>
      <c r="F41" s="14">
        <v>2</v>
      </c>
      <c r="H41" s="165" t="e" cm="1">
        <f t="array" ref="H41">IF(INDEX($K:$Z,ROW(C41),MATCH(IF(VLOOKUP(_xlfn.CONCAT(B41,C41),'Detalhe Entregas e Status'!$D$9:$J$81,7,0)=DATE(2025,5,5),DATE(2025,5,12),VLOOKUP(_xlfn.CONCAT(B41,C41),'Detalhe Entregas e Status'!$D$9:$J$81,7,0)),$L$8:$Z$8,0))="","",INDEX($K:$Z,ROW(C41),MATCH(IF(VLOOKUP(_xlfn.CONCAT(B41,C41),'Detalhe Entregas e Status'!$D$9:$J$81,7,0)=DATE(2025,5,5),DATE(2025,5,12),VLOOKUP(_xlfn.CONCAT(B41,C41),'Detalhe Entregas e Status'!$D$9:$J$81,7,0)),$L$8:$Z$8,0)))</f>
        <v>#N/A</v>
      </c>
      <c r="I41" s="17" t="s">
        <v>282</v>
      </c>
      <c r="J41" s="197" t="s">
        <v>292</v>
      </c>
      <c r="K41" s="247" t="s">
        <v>399</v>
      </c>
      <c r="L41" s="247"/>
      <c r="M41" s="247"/>
      <c r="N41" s="247"/>
    </row>
    <row r="42" spans="2:14" ht="15" customHeight="1">
      <c r="B42" s="13" t="s">
        <v>1</v>
      </c>
      <c r="C42" s="13" t="s">
        <v>19</v>
      </c>
      <c r="D42" s="29" t="s">
        <v>94</v>
      </c>
      <c r="E42" s="14" t="s">
        <v>100</v>
      </c>
      <c r="F42" s="14">
        <v>1</v>
      </c>
      <c r="H42" s="165" t="e" cm="1">
        <f t="array" ref="H42">IF(INDEX($K:$Z,ROW(C42),MATCH(IF(VLOOKUP(_xlfn.CONCAT(B42,C42),'Detalhe Entregas e Status'!$D$9:$J$81,7,0)=DATE(2025,5,5),DATE(2025,5,12),VLOOKUP(_xlfn.CONCAT(B42,C42),'Detalhe Entregas e Status'!$D$9:$J$81,7,0)),$L$8:$Z$8,0))="","",INDEX($K:$Z,ROW(C42),MATCH(IF(VLOOKUP(_xlfn.CONCAT(B42,C42),'Detalhe Entregas e Status'!$D$9:$J$81,7,0)=DATE(2025,5,5),DATE(2025,5,12),VLOOKUP(_xlfn.CONCAT(B42,C42),'Detalhe Entregas e Status'!$D$9:$J$81,7,0)),$L$8:$Z$8,0)))</f>
        <v>#N/A</v>
      </c>
      <c r="I42" s="17"/>
      <c r="J42" s="197" t="s">
        <v>292</v>
      </c>
      <c r="K42" s="247" t="s">
        <v>399</v>
      </c>
      <c r="L42" s="247"/>
      <c r="M42" s="247"/>
      <c r="N42" s="247"/>
    </row>
    <row r="43" spans="2:14" ht="15" customHeight="1">
      <c r="B43" s="13" t="s">
        <v>1</v>
      </c>
      <c r="C43" s="13" t="s">
        <v>20</v>
      </c>
      <c r="D43" s="29" t="s">
        <v>93</v>
      </c>
      <c r="E43" s="14" t="s">
        <v>99</v>
      </c>
      <c r="F43" s="14">
        <v>4</v>
      </c>
      <c r="H43" s="165" t="e" cm="1">
        <f t="array" ref="H43">IF(INDEX($K:$Z,ROW(C43),MATCH(IF(VLOOKUP(_xlfn.CONCAT(B43,C43),'Detalhe Entregas e Status'!$D$9:$J$81,7,0)=DATE(2025,5,5),DATE(2025,5,12),VLOOKUP(_xlfn.CONCAT(B43,C43),'Detalhe Entregas e Status'!$D$9:$J$81,7,0)),$L$8:$Z$8,0))="","",INDEX($K:$Z,ROW(C43),MATCH(IF(VLOOKUP(_xlfn.CONCAT(B43,C43),'Detalhe Entregas e Status'!$D$9:$J$81,7,0)=DATE(2025,5,5),DATE(2025,5,12),VLOOKUP(_xlfn.CONCAT(B43,C43),'Detalhe Entregas e Status'!$D$9:$J$81,7,0)),$L$8:$Z$8,0)))</f>
        <v>#N/A</v>
      </c>
      <c r="I43" s="17" t="s">
        <v>282</v>
      </c>
      <c r="J43" s="197" t="s">
        <v>292</v>
      </c>
      <c r="K43" s="247" t="s">
        <v>400</v>
      </c>
      <c r="L43" s="247"/>
      <c r="M43" s="247"/>
      <c r="N43" s="247"/>
    </row>
    <row r="44" spans="2:14" ht="15" customHeight="1">
      <c r="B44" s="13" t="s">
        <v>1</v>
      </c>
      <c r="C44" s="13" t="s">
        <v>20</v>
      </c>
      <c r="D44" s="29" t="s">
        <v>94</v>
      </c>
      <c r="E44" s="14" t="s">
        <v>100</v>
      </c>
      <c r="F44" s="14">
        <v>1</v>
      </c>
      <c r="H44" s="165" t="e" cm="1">
        <f t="array" ref="H44">IF(INDEX($K:$Z,ROW(C44),MATCH(IF(VLOOKUP(_xlfn.CONCAT(B44,C44),'Detalhe Entregas e Status'!$D$9:$J$81,7,0)=DATE(2025,5,5),DATE(2025,5,12),VLOOKUP(_xlfn.CONCAT(B44,C44),'Detalhe Entregas e Status'!$D$9:$J$81,7,0)),$L$8:$Z$8,0))="","",INDEX($K:$Z,ROW(C44),MATCH(IF(VLOOKUP(_xlfn.CONCAT(B44,C44),'Detalhe Entregas e Status'!$D$9:$J$81,7,0)=DATE(2025,5,5),DATE(2025,5,12),VLOOKUP(_xlfn.CONCAT(B44,C44),'Detalhe Entregas e Status'!$D$9:$J$81,7,0)),$L$8:$Z$8,0)))</f>
        <v>#N/A</v>
      </c>
      <c r="I44" s="17"/>
      <c r="J44" s="197" t="s">
        <v>292</v>
      </c>
      <c r="K44" s="247" t="s">
        <v>400</v>
      </c>
      <c r="L44" s="247"/>
      <c r="M44" s="247"/>
      <c r="N44" s="247"/>
    </row>
    <row r="45" spans="2:14" ht="15" customHeight="1">
      <c r="B45" s="13" t="s">
        <v>1</v>
      </c>
      <c r="C45" s="13" t="s">
        <v>21</v>
      </c>
      <c r="D45" s="29" t="s">
        <v>93</v>
      </c>
      <c r="E45" s="14" t="s">
        <v>99</v>
      </c>
      <c r="F45" s="14">
        <v>4</v>
      </c>
      <c r="H45" s="165" t="e" cm="1">
        <f t="array" ref="H45">IF(INDEX($K:$Z,ROW(C45),MATCH(IF(VLOOKUP(_xlfn.CONCAT(B45,C45),'Detalhe Entregas e Status'!$D$9:$J$81,7,0)=DATE(2025,5,5),DATE(2025,5,12),VLOOKUP(_xlfn.CONCAT(B45,C45),'Detalhe Entregas e Status'!$D$9:$J$81,7,0)),$L$8:$Z$8,0))="","",INDEX($K:$Z,ROW(C45),MATCH(IF(VLOOKUP(_xlfn.CONCAT(B45,C45),'Detalhe Entregas e Status'!$D$9:$J$81,7,0)=DATE(2025,5,5),DATE(2025,5,12),VLOOKUP(_xlfn.CONCAT(B45,C45),'Detalhe Entregas e Status'!$D$9:$J$81,7,0)),$L$8:$Z$8,0)))</f>
        <v>#N/A</v>
      </c>
      <c r="I45" s="17" t="s">
        <v>282</v>
      </c>
      <c r="J45" s="197" t="s">
        <v>292</v>
      </c>
      <c r="K45" s="247" t="s">
        <v>400</v>
      </c>
      <c r="L45" s="247"/>
      <c r="M45" s="247"/>
      <c r="N45" s="247"/>
    </row>
    <row r="46" spans="2:14" ht="15" customHeight="1">
      <c r="B46" s="13" t="s">
        <v>1</v>
      </c>
      <c r="C46" s="13" t="s">
        <v>21</v>
      </c>
      <c r="D46" s="29" t="s">
        <v>94</v>
      </c>
      <c r="E46" s="14" t="s">
        <v>100</v>
      </c>
      <c r="F46" s="14">
        <v>1</v>
      </c>
      <c r="H46" s="165" t="e" cm="1">
        <f t="array" ref="H46">IF(INDEX($K:$Z,ROW(C46),MATCH(IF(VLOOKUP(_xlfn.CONCAT(B46,C46),'Detalhe Entregas e Status'!$D$9:$J$81,7,0)=DATE(2025,5,5),DATE(2025,5,12),VLOOKUP(_xlfn.CONCAT(B46,C46),'Detalhe Entregas e Status'!$D$9:$J$81,7,0)),$L$8:$Z$8,0))="","",INDEX($K:$Z,ROW(C46),MATCH(IF(VLOOKUP(_xlfn.CONCAT(B46,C46),'Detalhe Entregas e Status'!$D$9:$J$81,7,0)=DATE(2025,5,5),DATE(2025,5,12),VLOOKUP(_xlfn.CONCAT(B46,C46),'Detalhe Entregas e Status'!$D$9:$J$81,7,0)),$L$8:$Z$8,0)))</f>
        <v>#N/A</v>
      </c>
      <c r="I46" s="17"/>
      <c r="J46" s="197" t="s">
        <v>292</v>
      </c>
      <c r="K46" s="247" t="s">
        <v>400</v>
      </c>
      <c r="L46" s="247"/>
      <c r="M46" s="247"/>
      <c r="N46" s="247"/>
    </row>
    <row r="47" spans="2:14" ht="15" customHeight="1">
      <c r="B47" s="13" t="s">
        <v>1</v>
      </c>
      <c r="C47" s="13" t="s">
        <v>22</v>
      </c>
      <c r="D47" s="29" t="s">
        <v>93</v>
      </c>
      <c r="E47" s="14" t="s">
        <v>100</v>
      </c>
      <c r="F47" s="14">
        <v>2</v>
      </c>
      <c r="H47" s="165" t="e" cm="1">
        <f t="array" ref="H47">IF(INDEX($K:$Z,ROW(C47),MATCH(IF(VLOOKUP(_xlfn.CONCAT(B47,C47),'Detalhe Entregas e Status'!$D$9:$J$81,7,0)=DATE(2025,5,5),DATE(2025,5,12),VLOOKUP(_xlfn.CONCAT(B47,C47),'Detalhe Entregas e Status'!$D$9:$J$81,7,0)),$L$8:$Z$8,0))="","",INDEX($K:$Z,ROW(C47),MATCH(IF(VLOOKUP(_xlfn.CONCAT(B47,C47),'Detalhe Entregas e Status'!$D$9:$J$81,7,0)=DATE(2025,5,5),DATE(2025,5,12),VLOOKUP(_xlfn.CONCAT(B47,C47),'Detalhe Entregas e Status'!$D$9:$J$81,7,0)),$L$8:$Z$8,0)))</f>
        <v>#N/A</v>
      </c>
      <c r="I47" s="17" t="s">
        <v>383</v>
      </c>
      <c r="J47" s="197" t="s">
        <v>292</v>
      </c>
      <c r="K47" s="247" t="s">
        <v>400</v>
      </c>
      <c r="L47" s="247"/>
      <c r="M47" s="247" t="s">
        <v>399</v>
      </c>
      <c r="N47" s="247"/>
    </row>
    <row r="48" spans="2:14" ht="15" customHeight="1">
      <c r="B48" s="13" t="s">
        <v>1</v>
      </c>
      <c r="C48" s="13" t="s">
        <v>22</v>
      </c>
      <c r="D48" s="29" t="s">
        <v>94</v>
      </c>
      <c r="E48" s="14" t="s">
        <v>100</v>
      </c>
      <c r="F48" s="14">
        <v>1</v>
      </c>
      <c r="H48" s="165" t="e" cm="1">
        <f t="array" ref="H48">IF(INDEX($K:$Z,ROW(C48),MATCH(IF(VLOOKUP(_xlfn.CONCAT(B48,C48),'Detalhe Entregas e Status'!$D$9:$J$81,7,0)=DATE(2025,5,5),DATE(2025,5,12),VLOOKUP(_xlfn.CONCAT(B48,C48),'Detalhe Entregas e Status'!$D$9:$J$81,7,0)),$L$8:$Z$8,0))="","",INDEX($K:$Z,ROW(C48),MATCH(IF(VLOOKUP(_xlfn.CONCAT(B48,C48),'Detalhe Entregas e Status'!$D$9:$J$81,7,0)=DATE(2025,5,5),DATE(2025,5,12),VLOOKUP(_xlfn.CONCAT(B48,C48),'Detalhe Entregas e Status'!$D$9:$J$81,7,0)),$L$8:$Z$8,0)))</f>
        <v>#N/A</v>
      </c>
      <c r="I48" s="17"/>
      <c r="J48" s="197" t="s">
        <v>292</v>
      </c>
      <c r="K48" s="247" t="s">
        <v>400</v>
      </c>
      <c r="L48" s="247"/>
      <c r="M48" s="247" t="s">
        <v>399</v>
      </c>
      <c r="N48" s="247"/>
    </row>
    <row r="49" spans="2:14" ht="15" customHeight="1">
      <c r="B49" s="13" t="s">
        <v>1</v>
      </c>
      <c r="C49" s="13" t="s">
        <v>23</v>
      </c>
      <c r="D49" s="29" t="s">
        <v>93</v>
      </c>
      <c r="E49" s="14" t="s">
        <v>99</v>
      </c>
      <c r="F49" s="14">
        <v>4</v>
      </c>
      <c r="H49" s="165" t="e" cm="1">
        <f t="array" ref="H49">IF(INDEX($K:$Z,ROW(C49),MATCH(IF(VLOOKUP(_xlfn.CONCAT(B49,C49),'Detalhe Entregas e Status'!$D$9:$J$81,7,0)=DATE(2025,5,5),DATE(2025,5,12),VLOOKUP(_xlfn.CONCAT(B49,C49),'Detalhe Entregas e Status'!$D$9:$J$81,7,0)),$L$8:$Z$8,0))="","",INDEX($K:$Z,ROW(C49),MATCH(IF(VLOOKUP(_xlfn.CONCAT(B49,C49),'Detalhe Entregas e Status'!$D$9:$J$81,7,0)=DATE(2025,5,5),DATE(2025,5,12),VLOOKUP(_xlfn.CONCAT(B49,C49),'Detalhe Entregas e Status'!$D$9:$J$81,7,0)),$L$8:$Z$8,0)))</f>
        <v>#N/A</v>
      </c>
      <c r="I49" s="17" t="s">
        <v>282</v>
      </c>
      <c r="J49" s="197" t="s">
        <v>292</v>
      </c>
      <c r="K49" s="247" t="s">
        <v>400</v>
      </c>
      <c r="L49" s="247"/>
      <c r="M49" s="247"/>
      <c r="N49" s="247"/>
    </row>
    <row r="50" spans="2:14" ht="15" customHeight="1">
      <c r="B50" s="13" t="s">
        <v>1</v>
      </c>
      <c r="C50" s="13" t="s">
        <v>23</v>
      </c>
      <c r="D50" s="29" t="s">
        <v>94</v>
      </c>
      <c r="E50" s="14" t="s">
        <v>100</v>
      </c>
      <c r="F50" s="14">
        <v>1</v>
      </c>
      <c r="H50" s="165" t="e" cm="1">
        <f t="array" ref="H50">IF(INDEX($K:$Z,ROW(C50),MATCH(IF(VLOOKUP(_xlfn.CONCAT(B50,C50),'Detalhe Entregas e Status'!$D$9:$J$81,7,0)=DATE(2025,5,5),DATE(2025,5,12),VLOOKUP(_xlfn.CONCAT(B50,C50),'Detalhe Entregas e Status'!$D$9:$J$81,7,0)),$L$8:$Z$8,0))="","",INDEX($K:$Z,ROW(C50),MATCH(IF(VLOOKUP(_xlfn.CONCAT(B50,C50),'Detalhe Entregas e Status'!$D$9:$J$81,7,0)=DATE(2025,5,5),DATE(2025,5,12),VLOOKUP(_xlfn.CONCAT(B50,C50),'Detalhe Entregas e Status'!$D$9:$J$81,7,0)),$L$8:$Z$8,0)))</f>
        <v>#N/A</v>
      </c>
      <c r="I50" s="17"/>
      <c r="J50" s="197" t="s">
        <v>292</v>
      </c>
      <c r="K50" s="247" t="s">
        <v>400</v>
      </c>
      <c r="L50" s="247"/>
      <c r="M50" s="247"/>
      <c r="N50" s="247"/>
    </row>
    <row r="51" spans="2:14" ht="15" customHeight="1">
      <c r="B51" s="13" t="s">
        <v>1</v>
      </c>
      <c r="C51" s="13" t="s">
        <v>24</v>
      </c>
      <c r="D51" s="29" t="s">
        <v>93</v>
      </c>
      <c r="E51" s="14" t="s">
        <v>99</v>
      </c>
      <c r="F51" s="14">
        <v>4</v>
      </c>
      <c r="H51" s="165" t="e" cm="1">
        <f t="array" ref="H51">IF(INDEX($K:$Z,ROW(C51),MATCH(IF(VLOOKUP(_xlfn.CONCAT(B51,C51),'Detalhe Entregas e Status'!$D$9:$J$81,7,0)=DATE(2025,5,5),DATE(2025,5,12),VLOOKUP(_xlfn.CONCAT(B51,C51),'Detalhe Entregas e Status'!$D$9:$J$81,7,0)),$L$8:$Z$8,0))="","",INDEX($K:$Z,ROW(C51),MATCH(IF(VLOOKUP(_xlfn.CONCAT(B51,C51),'Detalhe Entregas e Status'!$D$9:$J$81,7,0)=DATE(2025,5,5),DATE(2025,5,12),VLOOKUP(_xlfn.CONCAT(B51,C51),'Detalhe Entregas e Status'!$D$9:$J$81,7,0)),$L$8:$Z$8,0)))</f>
        <v>#N/A</v>
      </c>
      <c r="I51" s="17" t="s">
        <v>282</v>
      </c>
      <c r="J51" s="197" t="s">
        <v>292</v>
      </c>
      <c r="K51" s="247" t="s">
        <v>400</v>
      </c>
      <c r="L51" s="247"/>
      <c r="M51" s="247"/>
      <c r="N51" s="247"/>
    </row>
    <row r="52" spans="2:14" ht="15" customHeight="1">
      <c r="B52" s="13" t="s">
        <v>1</v>
      </c>
      <c r="C52" s="13" t="s">
        <v>24</v>
      </c>
      <c r="D52" s="29" t="s">
        <v>94</v>
      </c>
      <c r="E52" s="14" t="s">
        <v>100</v>
      </c>
      <c r="F52" s="14">
        <v>1</v>
      </c>
      <c r="H52" s="165" t="e" cm="1">
        <f t="array" ref="H52">IF(INDEX($K:$Z,ROW(C52),MATCH(IF(VLOOKUP(_xlfn.CONCAT(B52,C52),'Detalhe Entregas e Status'!$D$9:$J$81,7,0)=DATE(2025,5,5),DATE(2025,5,12),VLOOKUP(_xlfn.CONCAT(B52,C52),'Detalhe Entregas e Status'!$D$9:$J$81,7,0)),$L$8:$Z$8,0))="","",INDEX($K:$Z,ROW(C52),MATCH(IF(VLOOKUP(_xlfn.CONCAT(B52,C52),'Detalhe Entregas e Status'!$D$9:$J$81,7,0)=DATE(2025,5,5),DATE(2025,5,12),VLOOKUP(_xlfn.CONCAT(B52,C52),'Detalhe Entregas e Status'!$D$9:$J$81,7,0)),$L$8:$Z$8,0)))</f>
        <v>#N/A</v>
      </c>
      <c r="I52" s="17"/>
      <c r="J52" s="197" t="s">
        <v>292</v>
      </c>
      <c r="K52" s="247" t="s">
        <v>400</v>
      </c>
      <c r="L52" s="247"/>
      <c r="M52" s="247"/>
      <c r="N52" s="247"/>
    </row>
    <row r="53" spans="2:14" ht="15" customHeight="1">
      <c r="B53" s="13" t="s">
        <v>1</v>
      </c>
      <c r="C53" s="13" t="s">
        <v>25</v>
      </c>
      <c r="D53" s="29" t="s">
        <v>93</v>
      </c>
      <c r="E53" s="14" t="s">
        <v>100</v>
      </c>
      <c r="F53" s="14">
        <v>2</v>
      </c>
      <c r="H53" s="165" t="e" cm="1">
        <f t="array" ref="H53">IF(INDEX($K:$Z,ROW(C53),MATCH(IF(VLOOKUP(_xlfn.CONCAT(B53,C53),'Detalhe Entregas e Status'!$D$9:$J$81,7,0)=DATE(2025,5,5),DATE(2025,5,12),VLOOKUP(_xlfn.CONCAT(B53,C53),'Detalhe Entregas e Status'!$D$9:$J$81,7,0)),$L$8:$Z$8,0))="","",INDEX($K:$Z,ROW(C53),MATCH(IF(VLOOKUP(_xlfn.CONCAT(B53,C53),'Detalhe Entregas e Status'!$D$9:$J$81,7,0)=DATE(2025,5,5),DATE(2025,5,12),VLOOKUP(_xlfn.CONCAT(B53,C53),'Detalhe Entregas e Status'!$D$9:$J$81,7,0)),$L$8:$Z$8,0)))</f>
        <v>#N/A</v>
      </c>
      <c r="I53" s="17" t="s">
        <v>363</v>
      </c>
      <c r="J53" s="197" t="s">
        <v>292</v>
      </c>
      <c r="K53" s="247" t="s">
        <v>399</v>
      </c>
      <c r="L53" s="247"/>
      <c r="M53" s="247"/>
      <c r="N53" s="247"/>
    </row>
    <row r="54" spans="2:14" ht="15" customHeight="1">
      <c r="B54" s="13" t="s">
        <v>1</v>
      </c>
      <c r="C54" s="13" t="s">
        <v>25</v>
      </c>
      <c r="D54" s="29" t="s">
        <v>94</v>
      </c>
      <c r="E54" s="14" t="s">
        <v>100</v>
      </c>
      <c r="F54" s="14">
        <v>1</v>
      </c>
      <c r="H54" s="165" t="e" cm="1">
        <f t="array" ref="H54">IF(INDEX($K:$Z,ROW(C54),MATCH(IF(VLOOKUP(_xlfn.CONCAT(B54,C54),'Detalhe Entregas e Status'!$D$9:$J$81,7,0)=DATE(2025,5,5),DATE(2025,5,12),VLOOKUP(_xlfn.CONCAT(B54,C54),'Detalhe Entregas e Status'!$D$9:$J$81,7,0)),$L$8:$Z$8,0))="","",INDEX($K:$Z,ROW(C54),MATCH(IF(VLOOKUP(_xlfn.CONCAT(B54,C54),'Detalhe Entregas e Status'!$D$9:$J$81,7,0)=DATE(2025,5,5),DATE(2025,5,12),VLOOKUP(_xlfn.CONCAT(B54,C54),'Detalhe Entregas e Status'!$D$9:$J$81,7,0)),$L$8:$Z$8,0)))</f>
        <v>#N/A</v>
      </c>
      <c r="I54" s="17"/>
      <c r="J54" s="197" t="s">
        <v>292</v>
      </c>
      <c r="K54" s="247" t="s">
        <v>399</v>
      </c>
      <c r="L54" s="247"/>
      <c r="M54" s="247"/>
      <c r="N54" s="247"/>
    </row>
    <row r="55" spans="2:14" ht="15" customHeight="1">
      <c r="B55" s="13" t="s">
        <v>1</v>
      </c>
      <c r="C55" s="13" t="s">
        <v>26</v>
      </c>
      <c r="D55" s="29" t="s">
        <v>93</v>
      </c>
      <c r="E55" s="14" t="s">
        <v>100</v>
      </c>
      <c r="F55" s="14">
        <v>2</v>
      </c>
      <c r="H55" s="165" t="e" cm="1">
        <f t="array" ref="H55">IF(INDEX($K:$Z,ROW(C55),MATCH(IF(VLOOKUP(_xlfn.CONCAT(B55,C55),'Detalhe Entregas e Status'!$D$9:$J$81,7,0)=DATE(2025,5,5),DATE(2025,5,12),VLOOKUP(_xlfn.CONCAT(B55,C55),'Detalhe Entregas e Status'!$D$9:$J$81,7,0)),$L$8:$Z$8,0))="","",INDEX($K:$Z,ROW(C55),MATCH(IF(VLOOKUP(_xlfn.CONCAT(B55,C55),'Detalhe Entregas e Status'!$D$9:$J$81,7,0)=DATE(2025,5,5),DATE(2025,5,12),VLOOKUP(_xlfn.CONCAT(B55,C55),'Detalhe Entregas e Status'!$D$9:$J$81,7,0)),$L$8:$Z$8,0)))</f>
        <v>#N/A</v>
      </c>
      <c r="I55" s="17" t="s">
        <v>363</v>
      </c>
      <c r="J55" s="197" t="s">
        <v>292</v>
      </c>
      <c r="K55" s="247" t="s">
        <v>399</v>
      </c>
      <c r="L55" s="247"/>
      <c r="M55" s="247"/>
      <c r="N55" s="247"/>
    </row>
    <row r="56" spans="2:14" ht="15" customHeight="1">
      <c r="B56" s="13" t="s">
        <v>1</v>
      </c>
      <c r="C56" s="13" t="s">
        <v>26</v>
      </c>
      <c r="D56" s="29" t="s">
        <v>94</v>
      </c>
      <c r="E56" s="14" t="s">
        <v>100</v>
      </c>
      <c r="F56" s="14">
        <v>1</v>
      </c>
      <c r="H56" s="165" t="e" cm="1">
        <f t="array" ref="H56">IF(INDEX($K:$Z,ROW(C56),MATCH(IF(VLOOKUP(_xlfn.CONCAT(B56,C56),'Detalhe Entregas e Status'!$D$9:$J$81,7,0)=DATE(2025,5,5),DATE(2025,5,12),VLOOKUP(_xlfn.CONCAT(B56,C56),'Detalhe Entregas e Status'!$D$9:$J$81,7,0)),$L$8:$Z$8,0))="","",INDEX($K:$Z,ROW(C56),MATCH(IF(VLOOKUP(_xlfn.CONCAT(B56,C56),'Detalhe Entregas e Status'!$D$9:$J$81,7,0)=DATE(2025,5,5),DATE(2025,5,12),VLOOKUP(_xlfn.CONCAT(B56,C56),'Detalhe Entregas e Status'!$D$9:$J$81,7,0)),$L$8:$Z$8,0)))</f>
        <v>#N/A</v>
      </c>
      <c r="I56" s="17"/>
      <c r="J56" s="197" t="s">
        <v>292</v>
      </c>
      <c r="K56" s="247" t="s">
        <v>399</v>
      </c>
      <c r="L56" s="247"/>
      <c r="M56" s="247"/>
      <c r="N56" s="247"/>
    </row>
    <row r="57" spans="2:14" ht="15" customHeight="1">
      <c r="B57" s="13" t="s">
        <v>1</v>
      </c>
      <c r="C57" s="13" t="s">
        <v>27</v>
      </c>
      <c r="D57" s="29" t="s">
        <v>93</v>
      </c>
      <c r="E57" s="14" t="s">
        <v>100</v>
      </c>
      <c r="F57" s="14">
        <v>2</v>
      </c>
      <c r="H57" s="165" t="e" cm="1">
        <f t="array" ref="H57">IF(INDEX($K:$Z,ROW(C57),MATCH(IF(VLOOKUP(_xlfn.CONCAT(B57,C57),'Detalhe Entregas e Status'!$D$9:$J$81,7,0)=DATE(2025,5,5),DATE(2025,5,12),VLOOKUP(_xlfn.CONCAT(B57,C57),'Detalhe Entregas e Status'!$D$9:$J$81,7,0)),$L$8:$Z$8,0))="","",INDEX($K:$Z,ROW(C57),MATCH(IF(VLOOKUP(_xlfn.CONCAT(B57,C57),'Detalhe Entregas e Status'!$D$9:$J$81,7,0)=DATE(2025,5,5),DATE(2025,5,12),VLOOKUP(_xlfn.CONCAT(B57,C57),'Detalhe Entregas e Status'!$D$9:$J$81,7,0)),$L$8:$Z$8,0)))</f>
        <v>#N/A</v>
      </c>
      <c r="I57" s="17" t="s">
        <v>363</v>
      </c>
      <c r="J57" s="197" t="s">
        <v>292</v>
      </c>
      <c r="K57" s="247" t="s">
        <v>399</v>
      </c>
      <c r="L57" s="247"/>
      <c r="M57" s="247"/>
      <c r="N57" s="247"/>
    </row>
    <row r="58" spans="2:14" ht="15" customHeight="1">
      <c r="B58" s="13" t="s">
        <v>1</v>
      </c>
      <c r="C58" s="13" t="s">
        <v>27</v>
      </c>
      <c r="D58" s="29" t="s">
        <v>94</v>
      </c>
      <c r="E58" s="14" t="s">
        <v>100</v>
      </c>
      <c r="F58" s="14">
        <v>1</v>
      </c>
      <c r="H58" s="165" t="e" cm="1">
        <f t="array" ref="H58">IF(INDEX($K:$Z,ROW(C58),MATCH(IF(VLOOKUP(_xlfn.CONCAT(B58,C58),'Detalhe Entregas e Status'!$D$9:$J$81,7,0)=DATE(2025,5,5),DATE(2025,5,12),VLOOKUP(_xlfn.CONCAT(B58,C58),'Detalhe Entregas e Status'!$D$9:$J$81,7,0)),$L$8:$Z$8,0))="","",INDEX($K:$Z,ROW(C58),MATCH(IF(VLOOKUP(_xlfn.CONCAT(B58,C58),'Detalhe Entregas e Status'!$D$9:$J$81,7,0)=DATE(2025,5,5),DATE(2025,5,12),VLOOKUP(_xlfn.CONCAT(B58,C58),'Detalhe Entregas e Status'!$D$9:$J$81,7,0)),$L$8:$Z$8,0)))</f>
        <v>#N/A</v>
      </c>
      <c r="I58" s="17"/>
      <c r="J58" s="197" t="s">
        <v>292</v>
      </c>
      <c r="K58" s="247" t="s">
        <v>399</v>
      </c>
      <c r="L58" s="247"/>
      <c r="M58" s="247"/>
      <c r="N58" s="247"/>
    </row>
    <row r="59" spans="2:14" ht="15" customHeight="1">
      <c r="B59" s="13" t="s">
        <v>1</v>
      </c>
      <c r="C59" s="13" t="s">
        <v>28</v>
      </c>
      <c r="D59" s="29" t="s">
        <v>93</v>
      </c>
      <c r="E59" s="14" t="s">
        <v>100</v>
      </c>
      <c r="F59" s="14">
        <v>2</v>
      </c>
      <c r="H59" s="165" t="e" cm="1">
        <f t="array" ref="H59">IF(INDEX($K:$Z,ROW(C59),MATCH(IF(VLOOKUP(_xlfn.CONCAT(B59,C59),'Detalhe Entregas e Status'!$D$9:$J$81,7,0)=DATE(2025,5,5),DATE(2025,5,12),VLOOKUP(_xlfn.CONCAT(B59,C59),'Detalhe Entregas e Status'!$D$9:$J$81,7,0)),$L$8:$Z$8,0))="","",INDEX($K:$Z,ROW(C59),MATCH(IF(VLOOKUP(_xlfn.CONCAT(B59,C59),'Detalhe Entregas e Status'!$D$9:$J$81,7,0)=DATE(2025,5,5),DATE(2025,5,12),VLOOKUP(_xlfn.CONCAT(B59,C59),'Detalhe Entregas e Status'!$D$9:$J$81,7,0)),$L$8:$Z$8,0)))</f>
        <v>#N/A</v>
      </c>
      <c r="I59" s="17" t="s">
        <v>363</v>
      </c>
      <c r="J59" s="197" t="s">
        <v>292</v>
      </c>
      <c r="K59" s="247" t="s">
        <v>399</v>
      </c>
      <c r="L59" s="247"/>
      <c r="M59" s="247"/>
      <c r="N59" s="247"/>
    </row>
    <row r="60" spans="2:14" ht="15" customHeight="1">
      <c r="B60" s="13" t="s">
        <v>1</v>
      </c>
      <c r="C60" s="13" t="s">
        <v>28</v>
      </c>
      <c r="D60" s="29" t="s">
        <v>94</v>
      </c>
      <c r="E60" s="14" t="s">
        <v>100</v>
      </c>
      <c r="F60" s="14">
        <v>1</v>
      </c>
      <c r="H60" s="165" t="e" cm="1">
        <f t="array" ref="H60">IF(INDEX($K:$Z,ROW(C60),MATCH(IF(VLOOKUP(_xlfn.CONCAT(B60,C60),'Detalhe Entregas e Status'!$D$9:$J$81,7,0)=DATE(2025,5,5),DATE(2025,5,12),VLOOKUP(_xlfn.CONCAT(B60,C60),'Detalhe Entregas e Status'!$D$9:$J$81,7,0)),$L$8:$Z$8,0))="","",INDEX($K:$Z,ROW(C60),MATCH(IF(VLOOKUP(_xlfn.CONCAT(B60,C60),'Detalhe Entregas e Status'!$D$9:$J$81,7,0)=DATE(2025,5,5),DATE(2025,5,12),VLOOKUP(_xlfn.CONCAT(B60,C60),'Detalhe Entregas e Status'!$D$9:$J$81,7,0)),$L$8:$Z$8,0)))</f>
        <v>#N/A</v>
      </c>
      <c r="I60" s="17"/>
      <c r="J60" s="197" t="s">
        <v>292</v>
      </c>
      <c r="K60" s="247" t="s">
        <v>399</v>
      </c>
      <c r="L60" s="247"/>
      <c r="M60" s="247"/>
      <c r="N60" s="247"/>
    </row>
    <row r="61" spans="2:14" ht="15" customHeight="1">
      <c r="B61" s="13" t="s">
        <v>1</v>
      </c>
      <c r="C61" s="13" t="s">
        <v>29</v>
      </c>
      <c r="D61" s="29" t="s">
        <v>93</v>
      </c>
      <c r="E61" s="14" t="s">
        <v>100</v>
      </c>
      <c r="F61" s="14">
        <v>2</v>
      </c>
      <c r="H61" s="165" t="e" cm="1">
        <f t="array" ref="H61">IF(INDEX($K:$Z,ROW(C61),MATCH(IF(VLOOKUP(_xlfn.CONCAT(B61,C61),'Detalhe Entregas e Status'!$D$9:$J$81,7,0)=DATE(2025,5,5),DATE(2025,5,12),VLOOKUP(_xlfn.CONCAT(B61,C61),'Detalhe Entregas e Status'!$D$9:$J$81,7,0)),$L$8:$Z$8,0))="","",INDEX($K:$Z,ROW(C61),MATCH(IF(VLOOKUP(_xlfn.CONCAT(B61,C61),'Detalhe Entregas e Status'!$D$9:$J$81,7,0)=DATE(2025,5,5),DATE(2025,5,12),VLOOKUP(_xlfn.CONCAT(B61,C61),'Detalhe Entregas e Status'!$D$9:$J$81,7,0)),$L$8:$Z$8,0)))</f>
        <v>#N/A</v>
      </c>
      <c r="I61" s="17" t="s">
        <v>363</v>
      </c>
      <c r="J61" s="197" t="s">
        <v>292</v>
      </c>
      <c r="K61" s="247" t="s">
        <v>399</v>
      </c>
      <c r="L61" s="247"/>
      <c r="M61" s="247"/>
      <c r="N61" s="247"/>
    </row>
    <row r="62" spans="2:14" ht="15" customHeight="1">
      <c r="B62" s="13" t="s">
        <v>1</v>
      </c>
      <c r="C62" s="13" t="s">
        <v>29</v>
      </c>
      <c r="D62" s="29" t="s">
        <v>94</v>
      </c>
      <c r="E62" s="14" t="s">
        <v>100</v>
      </c>
      <c r="F62" s="14">
        <v>1</v>
      </c>
      <c r="H62" s="165" t="e" cm="1">
        <f t="array" ref="H62">IF(INDEX($K:$Z,ROW(C62),MATCH(IF(VLOOKUP(_xlfn.CONCAT(B62,C62),'Detalhe Entregas e Status'!$D$9:$J$81,7,0)=DATE(2025,5,5),DATE(2025,5,12),VLOOKUP(_xlfn.CONCAT(B62,C62),'Detalhe Entregas e Status'!$D$9:$J$81,7,0)),$L$8:$Z$8,0))="","",INDEX($K:$Z,ROW(C62),MATCH(IF(VLOOKUP(_xlfn.CONCAT(B62,C62),'Detalhe Entregas e Status'!$D$9:$J$81,7,0)=DATE(2025,5,5),DATE(2025,5,12),VLOOKUP(_xlfn.CONCAT(B62,C62),'Detalhe Entregas e Status'!$D$9:$J$81,7,0)),$L$8:$Z$8,0)))</f>
        <v>#N/A</v>
      </c>
      <c r="I62" s="17"/>
      <c r="J62" s="197" t="s">
        <v>292</v>
      </c>
      <c r="K62" s="247" t="s">
        <v>399</v>
      </c>
      <c r="L62" s="247"/>
      <c r="M62" s="247"/>
      <c r="N62" s="247"/>
    </row>
    <row r="63" spans="2:14" ht="15" customHeight="1">
      <c r="B63" s="13" t="s">
        <v>1</v>
      </c>
      <c r="C63" s="13" t="s">
        <v>30</v>
      </c>
      <c r="D63" s="29" t="s">
        <v>93</v>
      </c>
      <c r="E63" s="14" t="s">
        <v>100</v>
      </c>
      <c r="F63" s="14">
        <v>2</v>
      </c>
      <c r="H63" s="165" t="e" cm="1">
        <f t="array" ref="H63">IF(INDEX($K:$Z,ROW(C63),MATCH(IF(VLOOKUP(_xlfn.CONCAT(B63,C63),'Detalhe Entregas e Status'!$D$9:$J$81,7,0)=DATE(2025,5,5),DATE(2025,5,12),VLOOKUP(_xlfn.CONCAT(B63,C63),'Detalhe Entregas e Status'!$D$9:$J$81,7,0)),$L$8:$Z$8,0))="","",INDEX($K:$Z,ROW(C63),MATCH(IF(VLOOKUP(_xlfn.CONCAT(B63,C63),'Detalhe Entregas e Status'!$D$9:$J$81,7,0)=DATE(2025,5,5),DATE(2025,5,12),VLOOKUP(_xlfn.CONCAT(B63,C63),'Detalhe Entregas e Status'!$D$9:$J$81,7,0)),$L$8:$Z$8,0)))</f>
        <v>#N/A</v>
      </c>
      <c r="I63" s="17" t="s">
        <v>363</v>
      </c>
      <c r="J63" s="197" t="s">
        <v>292</v>
      </c>
      <c r="K63" s="247" t="s">
        <v>399</v>
      </c>
      <c r="L63" s="247"/>
      <c r="M63" s="247"/>
      <c r="N63" s="247"/>
    </row>
    <row r="64" spans="2:14" ht="15" customHeight="1">
      <c r="B64" s="13" t="s">
        <v>1</v>
      </c>
      <c r="C64" s="13" t="s">
        <v>30</v>
      </c>
      <c r="D64" s="29" t="s">
        <v>94</v>
      </c>
      <c r="E64" s="14" t="s">
        <v>100</v>
      </c>
      <c r="F64" s="14">
        <v>1</v>
      </c>
      <c r="H64" s="165" t="e" cm="1">
        <f t="array" ref="H64">IF(INDEX($K:$Z,ROW(C64),MATCH(IF(VLOOKUP(_xlfn.CONCAT(B64,C64),'Detalhe Entregas e Status'!$D$9:$J$81,7,0)=DATE(2025,5,5),DATE(2025,5,12),VLOOKUP(_xlfn.CONCAT(B64,C64),'Detalhe Entregas e Status'!$D$9:$J$81,7,0)),$L$8:$Z$8,0))="","",INDEX($K:$Z,ROW(C64),MATCH(IF(VLOOKUP(_xlfn.CONCAT(B64,C64),'Detalhe Entregas e Status'!$D$9:$J$81,7,0)=DATE(2025,5,5),DATE(2025,5,12),VLOOKUP(_xlfn.CONCAT(B64,C64),'Detalhe Entregas e Status'!$D$9:$J$81,7,0)),$L$8:$Z$8,0)))</f>
        <v>#N/A</v>
      </c>
      <c r="I64" s="17"/>
      <c r="J64" s="197" t="s">
        <v>292</v>
      </c>
      <c r="K64" s="247" t="s">
        <v>399</v>
      </c>
      <c r="L64" s="247"/>
      <c r="M64" s="247"/>
      <c r="N64" s="247"/>
    </row>
    <row r="65" spans="2:14" ht="15" customHeight="1">
      <c r="B65" s="13" t="s">
        <v>1</v>
      </c>
      <c r="C65" s="13" t="s">
        <v>31</v>
      </c>
      <c r="D65" s="29" t="s">
        <v>93</v>
      </c>
      <c r="E65" s="14" t="s">
        <v>100</v>
      </c>
      <c r="F65" s="14">
        <v>2</v>
      </c>
      <c r="H65" s="165" t="e" cm="1">
        <f t="array" ref="H65">IF(INDEX($K:$Z,ROW(C65),MATCH(IF(VLOOKUP(_xlfn.CONCAT(B65,C65),'Detalhe Entregas e Status'!$D$9:$J$81,7,0)=DATE(2025,5,5),DATE(2025,5,12),VLOOKUP(_xlfn.CONCAT(B65,C65),'Detalhe Entregas e Status'!$D$9:$J$81,7,0)),$L$8:$Z$8,0))="","",INDEX($K:$Z,ROW(C65),MATCH(IF(VLOOKUP(_xlfn.CONCAT(B65,C65),'Detalhe Entregas e Status'!$D$9:$J$81,7,0)=DATE(2025,5,5),DATE(2025,5,12),VLOOKUP(_xlfn.CONCAT(B65,C65),'Detalhe Entregas e Status'!$D$9:$J$81,7,0)),$L$8:$Z$8,0)))</f>
        <v>#N/A</v>
      </c>
      <c r="I65" s="17" t="s">
        <v>363</v>
      </c>
      <c r="J65" s="197" t="s">
        <v>292</v>
      </c>
      <c r="K65" s="247" t="s">
        <v>399</v>
      </c>
      <c r="L65" s="247"/>
      <c r="M65" s="247"/>
      <c r="N65" s="247"/>
    </row>
    <row r="66" spans="2:14" ht="15" customHeight="1">
      <c r="B66" s="13" t="s">
        <v>1</v>
      </c>
      <c r="C66" s="13" t="s">
        <v>31</v>
      </c>
      <c r="D66" s="29" t="s">
        <v>94</v>
      </c>
      <c r="E66" s="14" t="s">
        <v>100</v>
      </c>
      <c r="F66" s="14">
        <v>1</v>
      </c>
      <c r="H66" s="165" t="e" cm="1">
        <f t="array" ref="H66">IF(INDEX($K:$Z,ROW(C66),MATCH(IF(VLOOKUP(_xlfn.CONCAT(B66,C66),'Detalhe Entregas e Status'!$D$9:$J$81,7,0)=DATE(2025,5,5),DATE(2025,5,12),VLOOKUP(_xlfn.CONCAT(B66,C66),'Detalhe Entregas e Status'!$D$9:$J$81,7,0)),$L$8:$Z$8,0))="","",INDEX($K:$Z,ROW(C66),MATCH(IF(VLOOKUP(_xlfn.CONCAT(B66,C66),'Detalhe Entregas e Status'!$D$9:$J$81,7,0)=DATE(2025,5,5),DATE(2025,5,12),VLOOKUP(_xlfn.CONCAT(B66,C66),'Detalhe Entregas e Status'!$D$9:$J$81,7,0)),$L$8:$Z$8,0)))</f>
        <v>#N/A</v>
      </c>
      <c r="I66" s="17"/>
      <c r="J66" s="197" t="s">
        <v>292</v>
      </c>
      <c r="K66" s="247" t="s">
        <v>399</v>
      </c>
      <c r="L66" s="247"/>
      <c r="M66" s="247"/>
      <c r="N66" s="247"/>
    </row>
    <row r="67" spans="2:14" ht="15" customHeight="1">
      <c r="B67" s="13" t="s">
        <v>1</v>
      </c>
      <c r="C67" s="13" t="s">
        <v>32</v>
      </c>
      <c r="D67" s="29" t="s">
        <v>93</v>
      </c>
      <c r="E67" s="14" t="s">
        <v>100</v>
      </c>
      <c r="F67" s="14">
        <v>2</v>
      </c>
      <c r="H67" s="165" t="e" cm="1">
        <f t="array" ref="H67">IF(INDEX($K:$Z,ROW(C67),MATCH(IF(VLOOKUP(_xlfn.CONCAT(B67,C67),'Detalhe Entregas e Status'!$D$9:$J$81,7,0)=DATE(2025,5,5),DATE(2025,5,12),VLOOKUP(_xlfn.CONCAT(B67,C67),'Detalhe Entregas e Status'!$D$9:$J$81,7,0)),$L$8:$Z$8,0))="","",INDEX($K:$Z,ROW(C67),MATCH(IF(VLOOKUP(_xlfn.CONCAT(B67,C67),'Detalhe Entregas e Status'!$D$9:$J$81,7,0)=DATE(2025,5,5),DATE(2025,5,12),VLOOKUP(_xlfn.CONCAT(B67,C67),'Detalhe Entregas e Status'!$D$9:$J$81,7,0)),$L$8:$Z$8,0)))</f>
        <v>#N/A</v>
      </c>
      <c r="I67" s="17" t="s">
        <v>363</v>
      </c>
      <c r="J67" s="197" t="s">
        <v>292</v>
      </c>
      <c r="K67" s="247" t="s">
        <v>399</v>
      </c>
      <c r="L67" s="247"/>
      <c r="M67" s="247"/>
      <c r="N67" s="247"/>
    </row>
    <row r="68" spans="2:14" ht="15" customHeight="1">
      <c r="B68" s="13" t="s">
        <v>1</v>
      </c>
      <c r="C68" s="13" t="s">
        <v>32</v>
      </c>
      <c r="D68" s="29" t="s">
        <v>94</v>
      </c>
      <c r="E68" s="14" t="s">
        <v>100</v>
      </c>
      <c r="F68" s="14">
        <v>1</v>
      </c>
      <c r="H68" s="165" t="e" cm="1">
        <f t="array" ref="H68">IF(INDEX($K:$Z,ROW(C68),MATCH(IF(VLOOKUP(_xlfn.CONCAT(B68,C68),'Detalhe Entregas e Status'!$D$9:$J$81,7,0)=DATE(2025,5,5),DATE(2025,5,12),VLOOKUP(_xlfn.CONCAT(B68,C68),'Detalhe Entregas e Status'!$D$9:$J$81,7,0)),$L$8:$Z$8,0))="","",INDEX($K:$Z,ROW(C68),MATCH(IF(VLOOKUP(_xlfn.CONCAT(B68,C68),'Detalhe Entregas e Status'!$D$9:$J$81,7,0)=DATE(2025,5,5),DATE(2025,5,12),VLOOKUP(_xlfn.CONCAT(B68,C68),'Detalhe Entregas e Status'!$D$9:$J$81,7,0)),$L$8:$Z$8,0)))</f>
        <v>#N/A</v>
      </c>
      <c r="I68" s="17"/>
      <c r="J68" s="197" t="s">
        <v>292</v>
      </c>
      <c r="K68" s="247" t="s">
        <v>399</v>
      </c>
      <c r="L68" s="247"/>
      <c r="M68" s="247"/>
      <c r="N68" s="247"/>
    </row>
    <row r="69" spans="2:14" ht="15" customHeight="1">
      <c r="B69" s="13" t="s">
        <v>1</v>
      </c>
      <c r="C69" s="13" t="s">
        <v>52</v>
      </c>
      <c r="D69" s="29" t="s">
        <v>93</v>
      </c>
      <c r="E69" s="14" t="s">
        <v>98</v>
      </c>
      <c r="F69" s="14">
        <v>8</v>
      </c>
      <c r="H69" s="165" t="e" cm="1">
        <f t="array" ref="H69">IF(INDEX($K:$Z,ROW(C69),MATCH(IF(VLOOKUP(_xlfn.CONCAT(B69,C69),'Detalhe Entregas e Status'!$D$9:$J$81,7,0)=DATE(2025,5,5),DATE(2025,5,12),VLOOKUP(_xlfn.CONCAT(B69,C69),'Detalhe Entregas e Status'!$D$9:$J$81,7,0)),$L$8:$Z$8,0))="","",INDEX($K:$Z,ROW(C69),MATCH(IF(VLOOKUP(_xlfn.CONCAT(B69,C69),'Detalhe Entregas e Status'!$D$9:$J$81,7,0)=DATE(2025,5,5),DATE(2025,5,12),VLOOKUP(_xlfn.CONCAT(B69,C69),'Detalhe Entregas e Status'!$D$9:$J$81,7,0)),$L$8:$Z$8,0)))</f>
        <v>#N/A</v>
      </c>
      <c r="I69" s="17" t="s">
        <v>364</v>
      </c>
      <c r="J69" s="197" t="s">
        <v>292</v>
      </c>
      <c r="K69" s="247" t="s">
        <v>400</v>
      </c>
      <c r="L69" s="247"/>
      <c r="M69" s="247"/>
      <c r="N69" s="247"/>
    </row>
    <row r="70" spans="2:14" ht="15" customHeight="1">
      <c r="B70" s="13" t="s">
        <v>1</v>
      </c>
      <c r="C70" s="13" t="s">
        <v>52</v>
      </c>
      <c r="D70" s="29" t="s">
        <v>94</v>
      </c>
      <c r="E70" s="14" t="s">
        <v>100</v>
      </c>
      <c r="F70" s="14">
        <v>1</v>
      </c>
      <c r="H70" s="165" t="e" cm="1">
        <f t="array" ref="H70">IF(INDEX($K:$Z,ROW(C70),MATCH(IF(VLOOKUP(_xlfn.CONCAT(B70,C70),'Detalhe Entregas e Status'!$D$9:$J$81,7,0)=DATE(2025,5,5),DATE(2025,5,12),VLOOKUP(_xlfn.CONCAT(B70,C70),'Detalhe Entregas e Status'!$D$9:$J$81,7,0)),$L$8:$Z$8,0))="","",INDEX($K:$Z,ROW(C70),MATCH(IF(VLOOKUP(_xlfn.CONCAT(B70,C70),'Detalhe Entregas e Status'!$D$9:$J$81,7,0)=DATE(2025,5,5),DATE(2025,5,12),VLOOKUP(_xlfn.CONCAT(B70,C70),'Detalhe Entregas e Status'!$D$9:$J$81,7,0)),$L$8:$Z$8,0)))</f>
        <v>#N/A</v>
      </c>
      <c r="I70" s="17"/>
      <c r="J70" s="197" t="s">
        <v>292</v>
      </c>
      <c r="K70" s="247" t="s">
        <v>400</v>
      </c>
      <c r="L70" s="247"/>
      <c r="M70" s="247"/>
      <c r="N70" s="247"/>
    </row>
    <row r="71" spans="2:14" ht="15" customHeight="1">
      <c r="B71" s="13" t="s">
        <v>1</v>
      </c>
      <c r="C71" s="13" t="s">
        <v>52</v>
      </c>
      <c r="D71" s="29" t="s">
        <v>96</v>
      </c>
      <c r="E71" s="14" t="s">
        <v>98</v>
      </c>
      <c r="F71" s="14">
        <v>2</v>
      </c>
      <c r="H71" s="165" t="e" cm="1">
        <f t="array" ref="H71">IF(INDEX($K:$Z,ROW(C71),MATCH(IF(VLOOKUP(_xlfn.CONCAT(B71,C71),'Detalhe Entregas e Status'!$D$9:$J$81,7,0)=DATE(2025,5,5),DATE(2025,5,12),VLOOKUP(_xlfn.CONCAT(B71,C71),'Detalhe Entregas e Status'!$D$9:$J$81,7,0)),$L$8:$Z$8,0))="","",INDEX($K:$Z,ROW(C71),MATCH(IF(VLOOKUP(_xlfn.CONCAT(B71,C71),'Detalhe Entregas e Status'!$D$9:$J$81,7,0)=DATE(2025,5,5),DATE(2025,5,12),VLOOKUP(_xlfn.CONCAT(B71,C71),'Detalhe Entregas e Status'!$D$9:$J$81,7,0)),$L$8:$Z$8,0)))</f>
        <v>#N/A</v>
      </c>
      <c r="I71" s="17"/>
      <c r="J71" s="197" t="s">
        <v>292</v>
      </c>
      <c r="K71" s="247" t="s">
        <v>400</v>
      </c>
      <c r="L71" s="247"/>
      <c r="M71" s="247"/>
      <c r="N71" s="247"/>
    </row>
    <row r="72" spans="2:14" ht="15" customHeight="1">
      <c r="B72" s="13" t="s">
        <v>1</v>
      </c>
      <c r="C72" s="13" t="s">
        <v>53</v>
      </c>
      <c r="D72" s="29" t="s">
        <v>93</v>
      </c>
      <c r="E72" s="14" t="s">
        <v>98</v>
      </c>
      <c r="F72" s="14">
        <v>8</v>
      </c>
      <c r="H72" s="165" t="e" cm="1">
        <f t="array" ref="H72">IF(INDEX($K:$Z,ROW(C72),MATCH(IF(VLOOKUP(_xlfn.CONCAT(B72,C72),'Detalhe Entregas e Status'!$D$9:$J$81,7,0)=DATE(2025,5,5),DATE(2025,5,12),VLOOKUP(_xlfn.CONCAT(B72,C72),'Detalhe Entregas e Status'!$D$9:$J$81,7,0)),$L$8:$Z$8,0))="","",INDEX($K:$Z,ROW(C72),MATCH(IF(VLOOKUP(_xlfn.CONCAT(B72,C72),'Detalhe Entregas e Status'!$D$9:$J$81,7,0)=DATE(2025,5,5),DATE(2025,5,12),VLOOKUP(_xlfn.CONCAT(B72,C72),'Detalhe Entregas e Status'!$D$9:$J$81,7,0)),$L$8:$Z$8,0)))</f>
        <v>#N/A</v>
      </c>
      <c r="I72" s="17" t="s">
        <v>283</v>
      </c>
      <c r="J72" s="197" t="s">
        <v>292</v>
      </c>
      <c r="K72" s="247" t="s">
        <v>400</v>
      </c>
      <c r="L72" s="247" t="s">
        <v>399</v>
      </c>
      <c r="M72" s="247"/>
      <c r="N72" s="247"/>
    </row>
    <row r="73" spans="2:14" ht="15" customHeight="1">
      <c r="B73" s="13" t="s">
        <v>1</v>
      </c>
      <c r="C73" s="13" t="s">
        <v>53</v>
      </c>
      <c r="D73" s="29" t="s">
        <v>95</v>
      </c>
      <c r="E73" s="14" t="s">
        <v>100</v>
      </c>
      <c r="F73" s="14">
        <v>2</v>
      </c>
      <c r="H73" s="165" t="e" cm="1">
        <f t="array" ref="H73">IF(INDEX($K:$Z,ROW(C73),MATCH(IF(VLOOKUP(_xlfn.CONCAT(B73,C73),'Detalhe Entregas e Status'!$D$9:$J$81,7,0)=DATE(2025,5,5),DATE(2025,5,12),VLOOKUP(_xlfn.CONCAT(B73,C73),'Detalhe Entregas e Status'!$D$9:$J$81,7,0)),$L$8:$Z$8,0))="","",INDEX($K:$Z,ROW(C73),MATCH(IF(VLOOKUP(_xlfn.CONCAT(B73,C73),'Detalhe Entregas e Status'!$D$9:$J$81,7,0)=DATE(2025,5,5),DATE(2025,5,12),VLOOKUP(_xlfn.CONCAT(B73,C73),'Detalhe Entregas e Status'!$D$9:$J$81,7,0)),$L$8:$Z$8,0)))</f>
        <v>#N/A</v>
      </c>
      <c r="I73" s="17"/>
      <c r="J73" s="197" t="s">
        <v>292</v>
      </c>
      <c r="K73" s="247" t="s">
        <v>400</v>
      </c>
      <c r="L73" s="247" t="s">
        <v>399</v>
      </c>
      <c r="M73" s="247"/>
      <c r="N73" s="247"/>
    </row>
    <row r="74" spans="2:14" ht="15" customHeight="1">
      <c r="B74" s="13" t="s">
        <v>1</v>
      </c>
      <c r="C74" s="13" t="s">
        <v>53</v>
      </c>
      <c r="D74" s="29" t="s">
        <v>94</v>
      </c>
      <c r="E74" s="14" t="s">
        <v>100</v>
      </c>
      <c r="F74" s="14">
        <v>1</v>
      </c>
      <c r="H74" s="165" t="e" cm="1">
        <f t="array" ref="H74">IF(INDEX($K:$Z,ROW(C74),MATCH(IF(VLOOKUP(_xlfn.CONCAT(B74,C74),'Detalhe Entregas e Status'!$D$9:$J$81,7,0)=DATE(2025,5,5),DATE(2025,5,12),VLOOKUP(_xlfn.CONCAT(B74,C74),'Detalhe Entregas e Status'!$D$9:$J$81,7,0)),$L$8:$Z$8,0))="","",INDEX($K:$Z,ROW(C74),MATCH(IF(VLOOKUP(_xlfn.CONCAT(B74,C74),'Detalhe Entregas e Status'!$D$9:$J$81,7,0)=DATE(2025,5,5),DATE(2025,5,12),VLOOKUP(_xlfn.CONCAT(B74,C74),'Detalhe Entregas e Status'!$D$9:$J$81,7,0)),$L$8:$Z$8,0)))</f>
        <v>#N/A</v>
      </c>
      <c r="I74" s="17"/>
      <c r="J74" s="197" t="s">
        <v>292</v>
      </c>
      <c r="K74" s="247" t="s">
        <v>400</v>
      </c>
      <c r="L74" s="247" t="s">
        <v>399</v>
      </c>
      <c r="M74" s="247"/>
      <c r="N74" s="247"/>
    </row>
    <row r="75" spans="2:14" ht="15" customHeight="1">
      <c r="B75" s="13" t="s">
        <v>1</v>
      </c>
      <c r="C75" s="13" t="s">
        <v>33</v>
      </c>
      <c r="D75" s="29" t="s">
        <v>96</v>
      </c>
      <c r="E75" s="14" t="s">
        <v>100</v>
      </c>
      <c r="F75" s="14">
        <v>2</v>
      </c>
      <c r="H75" s="165" t="e" cm="1">
        <f t="array" ref="H75">IF(INDEX($K:$Z,ROW(C75),MATCH(IF(VLOOKUP(_xlfn.CONCAT(B75,C75),'Detalhe Entregas e Status'!$D$9:$J$81,7,0)=DATE(2025,5,5),DATE(2025,5,12),VLOOKUP(_xlfn.CONCAT(B75,C75),'Detalhe Entregas e Status'!$D$9:$J$81,7,0)),$L$8:$Z$8,0))="","",INDEX($K:$Z,ROW(C75),MATCH(IF(VLOOKUP(_xlfn.CONCAT(B75,C75),'Detalhe Entregas e Status'!$D$9:$J$81,7,0)=DATE(2025,5,5),DATE(2025,5,12),VLOOKUP(_xlfn.CONCAT(B75,C75),'Detalhe Entregas e Status'!$D$9:$J$81,7,0)),$L$8:$Z$8,0)))</f>
        <v>#N/A</v>
      </c>
      <c r="I75" s="17" t="s">
        <v>360</v>
      </c>
      <c r="J75" s="197" t="s">
        <v>292</v>
      </c>
      <c r="K75" s="247" t="s">
        <v>400</v>
      </c>
      <c r="L75" s="247" t="s">
        <v>399</v>
      </c>
      <c r="M75" s="247"/>
      <c r="N75" s="247"/>
    </row>
    <row r="76" spans="2:14" ht="15" customHeight="1">
      <c r="B76" s="13" t="s">
        <v>1</v>
      </c>
      <c r="C76" s="13" t="s">
        <v>33</v>
      </c>
      <c r="D76" s="29" t="s">
        <v>94</v>
      </c>
      <c r="E76" s="14" t="s">
        <v>100</v>
      </c>
      <c r="F76" s="14">
        <v>1</v>
      </c>
      <c r="H76" s="165" t="e" cm="1">
        <f t="array" ref="H76">IF(INDEX($K:$Z,ROW(C76),MATCH(IF(VLOOKUP(_xlfn.CONCAT(B76,C76),'Detalhe Entregas e Status'!$D$9:$J$81,7,0)=DATE(2025,5,5),DATE(2025,5,12),VLOOKUP(_xlfn.CONCAT(B76,C76),'Detalhe Entregas e Status'!$D$9:$J$81,7,0)),$L$8:$Z$8,0))="","",INDEX($K:$Z,ROW(C76),MATCH(IF(VLOOKUP(_xlfn.CONCAT(B76,C76),'Detalhe Entregas e Status'!$D$9:$J$81,7,0)=DATE(2025,5,5),DATE(2025,5,12),VLOOKUP(_xlfn.CONCAT(B76,C76),'Detalhe Entregas e Status'!$D$9:$J$81,7,0)),$L$8:$Z$8,0)))</f>
        <v>#N/A</v>
      </c>
      <c r="I76" s="17"/>
      <c r="J76" s="197" t="s">
        <v>292</v>
      </c>
      <c r="K76" s="247" t="s">
        <v>400</v>
      </c>
      <c r="L76" s="247" t="s">
        <v>399</v>
      </c>
      <c r="M76" s="247"/>
      <c r="N76" s="247"/>
    </row>
    <row r="77" spans="2:14" ht="15" customHeight="1">
      <c r="B77" s="13" t="s">
        <v>1</v>
      </c>
      <c r="C77" s="13" t="s">
        <v>34</v>
      </c>
      <c r="D77" s="29" t="s">
        <v>96</v>
      </c>
      <c r="E77" s="14" t="s">
        <v>100</v>
      </c>
      <c r="F77" s="14">
        <v>2</v>
      </c>
      <c r="H77" s="165" t="e" cm="1">
        <f t="array" ref="H77">IF(INDEX($K:$Z,ROW(C77),MATCH(IF(VLOOKUP(_xlfn.CONCAT(B77,C77),'Detalhe Entregas e Status'!$D$9:$J$81,7,0)=DATE(2025,5,5),DATE(2025,5,12),VLOOKUP(_xlfn.CONCAT(B77,C77),'Detalhe Entregas e Status'!$D$9:$J$81,7,0)),$L$8:$Z$8,0))="","",INDEX($K:$Z,ROW(C77),MATCH(IF(VLOOKUP(_xlfn.CONCAT(B77,C77),'Detalhe Entregas e Status'!$D$9:$J$81,7,0)=DATE(2025,5,5),DATE(2025,5,12),VLOOKUP(_xlfn.CONCAT(B77,C77),'Detalhe Entregas e Status'!$D$9:$J$81,7,0)),$L$8:$Z$8,0)))</f>
        <v>#N/A</v>
      </c>
      <c r="I77" s="17" t="s">
        <v>360</v>
      </c>
      <c r="J77" s="197" t="s">
        <v>292</v>
      </c>
      <c r="K77" s="247" t="s">
        <v>400</v>
      </c>
      <c r="L77" s="247" t="s">
        <v>400</v>
      </c>
      <c r="M77" s="247"/>
      <c r="N77" s="247"/>
    </row>
    <row r="78" spans="2:14" ht="15" customHeight="1">
      <c r="B78" s="13" t="s">
        <v>1</v>
      </c>
      <c r="C78" s="13" t="s">
        <v>34</v>
      </c>
      <c r="D78" s="29" t="s">
        <v>94</v>
      </c>
      <c r="E78" s="14" t="s">
        <v>100</v>
      </c>
      <c r="F78" s="14">
        <v>1</v>
      </c>
      <c r="H78" s="165" t="e" cm="1">
        <f t="array" ref="H78">IF(INDEX($K:$Z,ROW(C78),MATCH(IF(VLOOKUP(_xlfn.CONCAT(B78,C78),'Detalhe Entregas e Status'!$D$9:$J$81,7,0)=DATE(2025,5,5),DATE(2025,5,12),VLOOKUP(_xlfn.CONCAT(B78,C78),'Detalhe Entregas e Status'!$D$9:$J$81,7,0)),$L$8:$Z$8,0))="","",INDEX($K:$Z,ROW(C78),MATCH(IF(VLOOKUP(_xlfn.CONCAT(B78,C78),'Detalhe Entregas e Status'!$D$9:$J$81,7,0)=DATE(2025,5,5),DATE(2025,5,12),VLOOKUP(_xlfn.CONCAT(B78,C78),'Detalhe Entregas e Status'!$D$9:$J$81,7,0)),$L$8:$Z$8,0)))</f>
        <v>#N/A</v>
      </c>
      <c r="I78" s="17"/>
      <c r="J78" s="197" t="s">
        <v>292</v>
      </c>
      <c r="K78" s="247" t="s">
        <v>400</v>
      </c>
      <c r="L78" s="247" t="s">
        <v>400</v>
      </c>
      <c r="M78" s="247"/>
      <c r="N78" s="247"/>
    </row>
    <row r="79" spans="2:14" ht="15" customHeight="1">
      <c r="B79" s="13" t="s">
        <v>1</v>
      </c>
      <c r="C79" s="13" t="s">
        <v>35</v>
      </c>
      <c r="D79" s="29" t="s">
        <v>96</v>
      </c>
      <c r="E79" s="14" t="s">
        <v>100</v>
      </c>
      <c r="F79" s="14">
        <v>2</v>
      </c>
      <c r="H79" s="165" t="e" cm="1">
        <f t="array" ref="H79">IF(INDEX($K:$Z,ROW(C79),MATCH(IF(VLOOKUP(_xlfn.CONCAT(B79,C79),'Detalhe Entregas e Status'!$D$9:$J$81,7,0)=DATE(2025,5,5),DATE(2025,5,12),VLOOKUP(_xlfn.CONCAT(B79,C79),'Detalhe Entregas e Status'!$D$9:$J$81,7,0)),$L$8:$Z$8,0))="","",INDEX($K:$Z,ROW(C79),MATCH(IF(VLOOKUP(_xlfn.CONCAT(B79,C79),'Detalhe Entregas e Status'!$D$9:$J$81,7,0)=DATE(2025,5,5),DATE(2025,5,12),VLOOKUP(_xlfn.CONCAT(B79,C79),'Detalhe Entregas e Status'!$D$9:$J$81,7,0)),$L$8:$Z$8,0)))</f>
        <v>#N/A</v>
      </c>
      <c r="I79" s="17" t="s">
        <v>360</v>
      </c>
      <c r="J79" s="197" t="s">
        <v>292</v>
      </c>
      <c r="K79" s="247" t="s">
        <v>400</v>
      </c>
      <c r="L79" s="247"/>
      <c r="M79" s="247"/>
      <c r="N79" s="247"/>
    </row>
    <row r="80" spans="2:14" ht="15" customHeight="1">
      <c r="B80" s="13" t="s">
        <v>1</v>
      </c>
      <c r="C80" s="13" t="s">
        <v>35</v>
      </c>
      <c r="D80" s="29" t="s">
        <v>94</v>
      </c>
      <c r="E80" s="14" t="s">
        <v>100</v>
      </c>
      <c r="F80" s="14">
        <v>1</v>
      </c>
      <c r="H80" s="165" t="e" cm="1">
        <f t="array" ref="H80">IF(INDEX($K:$Z,ROW(C80),MATCH(IF(VLOOKUP(_xlfn.CONCAT(B80,C80),'Detalhe Entregas e Status'!$D$9:$J$81,7,0)=DATE(2025,5,5),DATE(2025,5,12),VLOOKUP(_xlfn.CONCAT(B80,C80),'Detalhe Entregas e Status'!$D$9:$J$81,7,0)),$L$8:$Z$8,0))="","",INDEX($K:$Z,ROW(C80),MATCH(IF(VLOOKUP(_xlfn.CONCAT(B80,C80),'Detalhe Entregas e Status'!$D$9:$J$81,7,0)=DATE(2025,5,5),DATE(2025,5,12),VLOOKUP(_xlfn.CONCAT(B80,C80),'Detalhe Entregas e Status'!$D$9:$J$81,7,0)),$L$8:$Z$8,0)))</f>
        <v>#N/A</v>
      </c>
      <c r="I80" s="17"/>
      <c r="J80" s="197" t="s">
        <v>292</v>
      </c>
      <c r="K80" s="247" t="s">
        <v>400</v>
      </c>
      <c r="L80" s="247"/>
      <c r="M80" s="247"/>
      <c r="N80" s="247"/>
    </row>
    <row r="81" spans="2:14" ht="15" customHeight="1">
      <c r="B81" s="13" t="s">
        <v>1</v>
      </c>
      <c r="C81" s="13" t="s">
        <v>36</v>
      </c>
      <c r="D81" s="29" t="s">
        <v>96</v>
      </c>
      <c r="E81" s="14" t="s">
        <v>100</v>
      </c>
      <c r="F81" s="14">
        <v>2</v>
      </c>
      <c r="H81" s="165" t="e" cm="1">
        <f t="array" ref="H81">IF(INDEX($K:$Z,ROW(C81),MATCH(IF(VLOOKUP(_xlfn.CONCAT(B81,C81),'Detalhe Entregas e Status'!$D$9:$J$81,7,0)=DATE(2025,5,5),DATE(2025,5,12),VLOOKUP(_xlfn.CONCAT(B81,C81),'Detalhe Entregas e Status'!$D$9:$J$81,7,0)),$L$8:$Z$8,0))="","",INDEX($K:$Z,ROW(C81),MATCH(IF(VLOOKUP(_xlfn.CONCAT(B81,C81),'Detalhe Entregas e Status'!$D$9:$J$81,7,0)=DATE(2025,5,5),DATE(2025,5,12),VLOOKUP(_xlfn.CONCAT(B81,C81),'Detalhe Entregas e Status'!$D$9:$J$81,7,0)),$L$8:$Z$8,0)))</f>
        <v>#N/A</v>
      </c>
      <c r="I81" s="17" t="s">
        <v>360</v>
      </c>
      <c r="J81" s="197" t="s">
        <v>292</v>
      </c>
      <c r="K81" s="247" t="s">
        <v>399</v>
      </c>
      <c r="L81" s="247"/>
      <c r="M81" s="247"/>
      <c r="N81" s="247"/>
    </row>
    <row r="82" spans="2:14" ht="15" customHeight="1">
      <c r="B82" s="13" t="s">
        <v>1</v>
      </c>
      <c r="C82" s="13" t="s">
        <v>36</v>
      </c>
      <c r="D82" s="29" t="s">
        <v>94</v>
      </c>
      <c r="E82" s="14" t="s">
        <v>100</v>
      </c>
      <c r="F82" s="14">
        <v>1</v>
      </c>
      <c r="H82" s="165" t="e" cm="1">
        <f t="array" ref="H82">IF(INDEX($K:$Z,ROW(C82),MATCH(IF(VLOOKUP(_xlfn.CONCAT(B82,C82),'Detalhe Entregas e Status'!$D$9:$J$81,7,0)=DATE(2025,5,5),DATE(2025,5,12),VLOOKUP(_xlfn.CONCAT(B82,C82),'Detalhe Entregas e Status'!$D$9:$J$81,7,0)),$L$8:$Z$8,0))="","",INDEX($K:$Z,ROW(C82),MATCH(IF(VLOOKUP(_xlfn.CONCAT(B82,C82),'Detalhe Entregas e Status'!$D$9:$J$81,7,0)=DATE(2025,5,5),DATE(2025,5,12),VLOOKUP(_xlfn.CONCAT(B82,C82),'Detalhe Entregas e Status'!$D$9:$J$81,7,0)),$L$8:$Z$8,0)))</f>
        <v>#N/A</v>
      </c>
      <c r="I82" s="17"/>
      <c r="J82" s="197" t="s">
        <v>292</v>
      </c>
      <c r="K82" s="247" t="s">
        <v>399</v>
      </c>
      <c r="L82" s="247"/>
      <c r="M82" s="247"/>
      <c r="N82" s="247"/>
    </row>
    <row r="83" spans="2:14" ht="15" customHeight="1">
      <c r="B83" s="13" t="s">
        <v>1</v>
      </c>
      <c r="C83" s="13" t="s">
        <v>37</v>
      </c>
      <c r="D83" s="29" t="s">
        <v>96</v>
      </c>
      <c r="E83" s="14" t="s">
        <v>100</v>
      </c>
      <c r="F83" s="14">
        <v>2</v>
      </c>
      <c r="H83" s="165" t="e" cm="1">
        <f t="array" ref="H83">IF(INDEX($K:$Z,ROW(C83),MATCH(IF(VLOOKUP(_xlfn.CONCAT(B83,C83),'Detalhe Entregas e Status'!$D$9:$J$81,7,0)=DATE(2025,5,5),DATE(2025,5,12),VLOOKUP(_xlfn.CONCAT(B83,C83),'Detalhe Entregas e Status'!$D$9:$J$81,7,0)),$L$8:$Z$8,0))="","",INDEX($K:$Z,ROW(C83),MATCH(IF(VLOOKUP(_xlfn.CONCAT(B83,C83),'Detalhe Entregas e Status'!$D$9:$J$81,7,0)=DATE(2025,5,5),DATE(2025,5,12),VLOOKUP(_xlfn.CONCAT(B83,C83),'Detalhe Entregas e Status'!$D$9:$J$81,7,0)),$L$8:$Z$8,0)))</f>
        <v>#N/A</v>
      </c>
      <c r="I83" s="17" t="s">
        <v>360</v>
      </c>
      <c r="J83" s="197" t="s">
        <v>292</v>
      </c>
      <c r="K83" s="247" t="s">
        <v>400</v>
      </c>
      <c r="L83" s="247"/>
      <c r="M83" s="247"/>
      <c r="N83" s="247"/>
    </row>
    <row r="84" spans="2:14" ht="15" customHeight="1">
      <c r="B84" s="13" t="s">
        <v>1</v>
      </c>
      <c r="C84" s="13" t="s">
        <v>37</v>
      </c>
      <c r="D84" s="29" t="s">
        <v>94</v>
      </c>
      <c r="E84" s="14" t="s">
        <v>100</v>
      </c>
      <c r="F84" s="14">
        <v>1</v>
      </c>
      <c r="H84" s="165" t="e" cm="1">
        <f t="array" ref="H84">IF(INDEX($K:$Z,ROW(C84),MATCH(IF(VLOOKUP(_xlfn.CONCAT(B84,C84),'Detalhe Entregas e Status'!$D$9:$J$81,7,0)=DATE(2025,5,5),DATE(2025,5,12),VLOOKUP(_xlfn.CONCAT(B84,C84),'Detalhe Entregas e Status'!$D$9:$J$81,7,0)),$L$8:$Z$8,0))="","",INDEX($K:$Z,ROW(C84),MATCH(IF(VLOOKUP(_xlfn.CONCAT(B84,C84),'Detalhe Entregas e Status'!$D$9:$J$81,7,0)=DATE(2025,5,5),DATE(2025,5,12),VLOOKUP(_xlfn.CONCAT(B84,C84),'Detalhe Entregas e Status'!$D$9:$J$81,7,0)),$L$8:$Z$8,0)))</f>
        <v>#N/A</v>
      </c>
      <c r="I84" s="17"/>
      <c r="J84" s="197" t="s">
        <v>292</v>
      </c>
      <c r="K84" s="247" t="s">
        <v>400</v>
      </c>
      <c r="L84" s="247"/>
      <c r="M84" s="247"/>
      <c r="N84" s="247"/>
    </row>
    <row r="85" spans="2:14" ht="15" customHeight="1">
      <c r="B85" s="13" t="s">
        <v>1</v>
      </c>
      <c r="C85" s="13" t="s">
        <v>38</v>
      </c>
      <c r="D85" s="29" t="s">
        <v>96</v>
      </c>
      <c r="E85" s="14" t="s">
        <v>100</v>
      </c>
      <c r="F85" s="14">
        <v>2</v>
      </c>
      <c r="H85" s="165" t="e" cm="1">
        <f t="array" ref="H85">IF(INDEX($K:$Z,ROW(C85),MATCH(IF(VLOOKUP(_xlfn.CONCAT(B85,C85),'Detalhe Entregas e Status'!$D$9:$J$81,7,0)=DATE(2025,5,5),DATE(2025,5,12),VLOOKUP(_xlfn.CONCAT(B85,C85),'Detalhe Entregas e Status'!$D$9:$J$81,7,0)),$L$8:$Z$8,0))="","",INDEX($K:$Z,ROW(C85),MATCH(IF(VLOOKUP(_xlfn.CONCAT(B85,C85),'Detalhe Entregas e Status'!$D$9:$J$81,7,0)=DATE(2025,5,5),DATE(2025,5,12),VLOOKUP(_xlfn.CONCAT(B85,C85),'Detalhe Entregas e Status'!$D$9:$J$81,7,0)),$L$8:$Z$8,0)))</f>
        <v>#N/A</v>
      </c>
      <c r="I85" s="17" t="s">
        <v>363</v>
      </c>
      <c r="J85" s="197" t="s">
        <v>292</v>
      </c>
      <c r="K85" s="247" t="s">
        <v>399</v>
      </c>
      <c r="L85" s="247"/>
      <c r="M85" s="247"/>
      <c r="N85" s="247"/>
    </row>
    <row r="86" spans="2:14" ht="15" customHeight="1">
      <c r="B86" s="13" t="s">
        <v>1</v>
      </c>
      <c r="C86" s="13" t="s">
        <v>38</v>
      </c>
      <c r="D86" s="29" t="s">
        <v>94</v>
      </c>
      <c r="E86" s="14" t="s">
        <v>100</v>
      </c>
      <c r="F86" s="14">
        <v>1</v>
      </c>
      <c r="H86" s="165" t="e" cm="1">
        <f t="array" ref="H86">IF(INDEX($K:$Z,ROW(C86),MATCH(IF(VLOOKUP(_xlfn.CONCAT(B86,C86),'Detalhe Entregas e Status'!$D$9:$J$81,7,0)=DATE(2025,5,5),DATE(2025,5,12),VLOOKUP(_xlfn.CONCAT(B86,C86),'Detalhe Entregas e Status'!$D$9:$J$81,7,0)),$L$8:$Z$8,0))="","",INDEX($K:$Z,ROW(C86),MATCH(IF(VLOOKUP(_xlfn.CONCAT(B86,C86),'Detalhe Entregas e Status'!$D$9:$J$81,7,0)=DATE(2025,5,5),DATE(2025,5,12),VLOOKUP(_xlfn.CONCAT(B86,C86),'Detalhe Entregas e Status'!$D$9:$J$81,7,0)),$L$8:$Z$8,0)))</f>
        <v>#N/A</v>
      </c>
      <c r="I86" s="17"/>
      <c r="J86" s="197" t="s">
        <v>292</v>
      </c>
      <c r="K86" s="247" t="s">
        <v>399</v>
      </c>
      <c r="L86" s="247"/>
      <c r="M86" s="247"/>
      <c r="N86" s="247"/>
    </row>
    <row r="87" spans="2:14" ht="15" customHeight="1">
      <c r="B87" s="13" t="s">
        <v>1</v>
      </c>
      <c r="C87" s="13" t="s">
        <v>39</v>
      </c>
      <c r="D87" s="29" t="s">
        <v>96</v>
      </c>
      <c r="E87" s="14" t="s">
        <v>100</v>
      </c>
      <c r="F87" s="14">
        <v>2</v>
      </c>
      <c r="H87" s="165" t="e" cm="1">
        <f t="array" ref="H87">IF(INDEX($K:$Z,ROW(C87),MATCH(IF(VLOOKUP(_xlfn.CONCAT(B87,C87),'Detalhe Entregas e Status'!$D$9:$J$81,7,0)=DATE(2025,5,5),DATE(2025,5,12),VLOOKUP(_xlfn.CONCAT(B87,C87),'Detalhe Entregas e Status'!$D$9:$J$81,7,0)),$L$8:$Z$8,0))="","",INDEX($K:$Z,ROW(C87),MATCH(IF(VLOOKUP(_xlfn.CONCAT(B87,C87),'Detalhe Entregas e Status'!$D$9:$J$81,7,0)=DATE(2025,5,5),DATE(2025,5,12),VLOOKUP(_xlfn.CONCAT(B87,C87),'Detalhe Entregas e Status'!$D$9:$J$81,7,0)),$L$8:$Z$8,0)))</f>
        <v>#N/A</v>
      </c>
      <c r="I87" s="17" t="s">
        <v>360</v>
      </c>
      <c r="J87" s="197" t="s">
        <v>292</v>
      </c>
      <c r="K87" s="247" t="s">
        <v>400</v>
      </c>
      <c r="L87" s="247"/>
      <c r="M87" s="247"/>
      <c r="N87" s="247"/>
    </row>
    <row r="88" spans="2:14" ht="15" customHeight="1">
      <c r="B88" s="13" t="s">
        <v>1</v>
      </c>
      <c r="C88" s="13" t="s">
        <v>39</v>
      </c>
      <c r="D88" s="29" t="s">
        <v>94</v>
      </c>
      <c r="E88" s="14" t="s">
        <v>100</v>
      </c>
      <c r="F88" s="14">
        <v>1</v>
      </c>
      <c r="H88" s="165" t="e" cm="1">
        <f t="array" ref="H88">IF(INDEX($K:$Z,ROW(C88),MATCH(IF(VLOOKUP(_xlfn.CONCAT(B88,C88),'Detalhe Entregas e Status'!$D$9:$J$81,7,0)=DATE(2025,5,5),DATE(2025,5,12),VLOOKUP(_xlfn.CONCAT(B88,C88),'Detalhe Entregas e Status'!$D$9:$J$81,7,0)),$L$8:$Z$8,0))="","",INDEX($K:$Z,ROW(C88),MATCH(IF(VLOOKUP(_xlfn.CONCAT(B88,C88),'Detalhe Entregas e Status'!$D$9:$J$81,7,0)=DATE(2025,5,5),DATE(2025,5,12),VLOOKUP(_xlfn.CONCAT(B88,C88),'Detalhe Entregas e Status'!$D$9:$J$81,7,0)),$L$8:$Z$8,0)))</f>
        <v>#N/A</v>
      </c>
      <c r="I88" s="17"/>
      <c r="J88" s="197" t="s">
        <v>292</v>
      </c>
      <c r="K88" s="247" t="s">
        <v>400</v>
      </c>
      <c r="L88" s="247"/>
      <c r="M88" s="247"/>
      <c r="N88" s="247"/>
    </row>
    <row r="89" spans="2:14" ht="15" customHeight="1">
      <c r="B89" s="13" t="s">
        <v>1</v>
      </c>
      <c r="C89" s="13" t="s">
        <v>39</v>
      </c>
      <c r="D89" s="29" t="s">
        <v>95</v>
      </c>
      <c r="E89" s="14" t="s">
        <v>100</v>
      </c>
      <c r="F89" s="14">
        <v>2</v>
      </c>
      <c r="H89" s="165" t="e" cm="1">
        <f t="array" ref="H89">IF(INDEX($K:$Z,ROW(C89),MATCH(IF(VLOOKUP(_xlfn.CONCAT(B89,C89),'Detalhe Entregas e Status'!$D$9:$J$81,7,0)=DATE(2025,5,5),DATE(2025,5,12),VLOOKUP(_xlfn.CONCAT(B89,C89),'Detalhe Entregas e Status'!$D$9:$J$81,7,0)),$L$8:$Z$8,0))="","",INDEX($K:$Z,ROW(C89),MATCH(IF(VLOOKUP(_xlfn.CONCAT(B89,C89),'Detalhe Entregas e Status'!$D$9:$J$81,7,0)=DATE(2025,5,5),DATE(2025,5,12),VLOOKUP(_xlfn.CONCAT(B89,C89),'Detalhe Entregas e Status'!$D$9:$J$81,7,0)),$L$8:$Z$8,0)))</f>
        <v>#N/A</v>
      </c>
      <c r="I89" s="17"/>
      <c r="J89" s="197" t="s">
        <v>292</v>
      </c>
      <c r="K89" s="247" t="s">
        <v>400</v>
      </c>
      <c r="L89" s="247"/>
      <c r="M89" s="247"/>
      <c r="N89" s="247"/>
    </row>
    <row r="90" spans="2:14" ht="15" customHeight="1">
      <c r="B90" s="13" t="s">
        <v>1</v>
      </c>
      <c r="C90" s="13" t="s">
        <v>40</v>
      </c>
      <c r="D90" s="29" t="s">
        <v>96</v>
      </c>
      <c r="E90" s="14" t="s">
        <v>100</v>
      </c>
      <c r="F90" s="14">
        <v>2</v>
      </c>
      <c r="H90" s="165" t="e" cm="1">
        <f t="array" ref="H90">IF(INDEX($K:$Z,ROW(C90),MATCH(IF(VLOOKUP(_xlfn.CONCAT(B90,C90),'Detalhe Entregas e Status'!$D$9:$J$81,7,0)=DATE(2025,5,5),DATE(2025,5,12),VLOOKUP(_xlfn.CONCAT(B90,C90),'Detalhe Entregas e Status'!$D$9:$J$81,7,0)),$L$8:$Z$8,0))="","",INDEX($K:$Z,ROW(C90),MATCH(IF(VLOOKUP(_xlfn.CONCAT(B90,C90),'Detalhe Entregas e Status'!$D$9:$J$81,7,0)=DATE(2025,5,5),DATE(2025,5,12),VLOOKUP(_xlfn.CONCAT(B90,C90),'Detalhe Entregas e Status'!$D$9:$J$81,7,0)),$L$8:$Z$8,0)))</f>
        <v>#N/A</v>
      </c>
      <c r="I90" s="17" t="s">
        <v>360</v>
      </c>
      <c r="J90" s="197" t="s">
        <v>292</v>
      </c>
      <c r="K90" s="247" t="s">
        <v>400</v>
      </c>
      <c r="L90" s="247" t="s">
        <v>399</v>
      </c>
      <c r="M90" s="247"/>
      <c r="N90" s="247"/>
    </row>
    <row r="91" spans="2:14" ht="15" customHeight="1">
      <c r="B91" s="13" t="s">
        <v>1</v>
      </c>
      <c r="C91" s="13" t="s">
        <v>40</v>
      </c>
      <c r="D91" s="29" t="s">
        <v>94</v>
      </c>
      <c r="E91" s="14" t="s">
        <v>100</v>
      </c>
      <c r="F91" s="14">
        <v>1</v>
      </c>
      <c r="H91" s="165" t="e" cm="1">
        <f t="array" ref="H91">IF(INDEX($K:$Z,ROW(C91),MATCH(IF(VLOOKUP(_xlfn.CONCAT(B91,C91),'Detalhe Entregas e Status'!$D$9:$J$81,7,0)=DATE(2025,5,5),DATE(2025,5,12),VLOOKUP(_xlfn.CONCAT(B91,C91),'Detalhe Entregas e Status'!$D$9:$J$81,7,0)),$L$8:$Z$8,0))="","",INDEX($K:$Z,ROW(C91),MATCH(IF(VLOOKUP(_xlfn.CONCAT(B91,C91),'Detalhe Entregas e Status'!$D$9:$J$81,7,0)=DATE(2025,5,5),DATE(2025,5,12),VLOOKUP(_xlfn.CONCAT(B91,C91),'Detalhe Entregas e Status'!$D$9:$J$81,7,0)),$L$8:$Z$8,0)))</f>
        <v>#N/A</v>
      </c>
      <c r="I91" s="17"/>
      <c r="J91" s="197" t="s">
        <v>292</v>
      </c>
      <c r="K91" s="247" t="s">
        <v>400</v>
      </c>
      <c r="L91" s="247" t="s">
        <v>399</v>
      </c>
      <c r="M91" s="247"/>
      <c r="N91" s="247"/>
    </row>
    <row r="92" spans="2:14" ht="15" customHeight="1">
      <c r="B92" s="13" t="s">
        <v>1</v>
      </c>
      <c r="C92" s="13" t="s">
        <v>40</v>
      </c>
      <c r="D92" s="29" t="s">
        <v>95</v>
      </c>
      <c r="E92" s="14" t="s">
        <v>100</v>
      </c>
      <c r="F92" s="14">
        <v>2</v>
      </c>
      <c r="H92" s="165" t="e" cm="1">
        <f t="array" ref="H92">IF(INDEX($K:$Z,ROW(C92),MATCH(IF(VLOOKUP(_xlfn.CONCAT(B92,C92),'Detalhe Entregas e Status'!$D$9:$J$81,7,0)=DATE(2025,5,5),DATE(2025,5,12),VLOOKUP(_xlfn.CONCAT(B92,C92),'Detalhe Entregas e Status'!$D$9:$J$81,7,0)),$L$8:$Z$8,0))="","",INDEX($K:$Z,ROW(C92),MATCH(IF(VLOOKUP(_xlfn.CONCAT(B92,C92),'Detalhe Entregas e Status'!$D$9:$J$81,7,0)=DATE(2025,5,5),DATE(2025,5,12),VLOOKUP(_xlfn.CONCAT(B92,C92),'Detalhe Entregas e Status'!$D$9:$J$81,7,0)),$L$8:$Z$8,0)))</f>
        <v>#N/A</v>
      </c>
      <c r="I92" s="17"/>
      <c r="J92" s="197" t="s">
        <v>292</v>
      </c>
      <c r="K92" s="247" t="s">
        <v>400</v>
      </c>
      <c r="L92" s="247" t="s">
        <v>399</v>
      </c>
      <c r="M92" s="247"/>
      <c r="N92" s="247"/>
    </row>
    <row r="93" spans="2:14" ht="15" customHeight="1">
      <c r="B93" s="13" t="s">
        <v>1</v>
      </c>
      <c r="C93" s="13" t="s">
        <v>41</v>
      </c>
      <c r="D93" s="29" t="s">
        <v>96</v>
      </c>
      <c r="E93" s="14" t="s">
        <v>100</v>
      </c>
      <c r="F93" s="14">
        <v>2</v>
      </c>
      <c r="H93" s="165" t="e" cm="1">
        <f t="array" ref="H93">IF(INDEX($K:$Z,ROW(C93),MATCH(IF(VLOOKUP(_xlfn.CONCAT(B93,C93),'Detalhe Entregas e Status'!$D$9:$J$81,7,0)=DATE(2025,5,5),DATE(2025,5,12),VLOOKUP(_xlfn.CONCAT(B93,C93),'Detalhe Entregas e Status'!$D$9:$J$81,7,0)),$L$8:$Z$8,0))="","",INDEX($K:$Z,ROW(C93),MATCH(IF(VLOOKUP(_xlfn.CONCAT(B93,C93),'Detalhe Entregas e Status'!$D$9:$J$81,7,0)=DATE(2025,5,5),DATE(2025,5,12),VLOOKUP(_xlfn.CONCAT(B93,C93),'Detalhe Entregas e Status'!$D$9:$J$81,7,0)),$L$8:$Z$8,0)))</f>
        <v>#N/A</v>
      </c>
      <c r="I93" s="17" t="s">
        <v>360</v>
      </c>
      <c r="J93" s="197" t="s">
        <v>292</v>
      </c>
      <c r="K93" s="247" t="s">
        <v>400</v>
      </c>
      <c r="L93" s="247" t="s">
        <v>399</v>
      </c>
      <c r="M93" s="247"/>
      <c r="N93" s="247"/>
    </row>
    <row r="94" spans="2:14" ht="15" customHeight="1">
      <c r="B94" s="13" t="s">
        <v>1</v>
      </c>
      <c r="C94" s="13" t="s">
        <v>41</v>
      </c>
      <c r="D94" s="29" t="s">
        <v>94</v>
      </c>
      <c r="E94" s="14" t="s">
        <v>100</v>
      </c>
      <c r="F94" s="14">
        <v>1</v>
      </c>
      <c r="H94" s="165" t="e" cm="1">
        <f t="array" ref="H94">IF(INDEX($K:$Z,ROW(C94),MATCH(IF(VLOOKUP(_xlfn.CONCAT(B94,C94),'Detalhe Entregas e Status'!$D$9:$J$81,7,0)=DATE(2025,5,5),DATE(2025,5,12),VLOOKUP(_xlfn.CONCAT(B94,C94),'Detalhe Entregas e Status'!$D$9:$J$81,7,0)),$L$8:$Z$8,0))="","",INDEX($K:$Z,ROW(C94),MATCH(IF(VLOOKUP(_xlfn.CONCAT(B94,C94),'Detalhe Entregas e Status'!$D$9:$J$81,7,0)=DATE(2025,5,5),DATE(2025,5,12),VLOOKUP(_xlfn.CONCAT(B94,C94),'Detalhe Entregas e Status'!$D$9:$J$81,7,0)),$L$8:$Z$8,0)))</f>
        <v>#N/A</v>
      </c>
      <c r="I94" s="17"/>
      <c r="J94" s="197" t="s">
        <v>292</v>
      </c>
      <c r="K94" s="247" t="s">
        <v>400</v>
      </c>
      <c r="L94" s="247" t="s">
        <v>399</v>
      </c>
      <c r="M94" s="247"/>
      <c r="N94" s="247"/>
    </row>
    <row r="95" spans="2:14" ht="15" customHeight="1">
      <c r="B95" s="13" t="s">
        <v>1</v>
      </c>
      <c r="C95" s="13" t="s">
        <v>41</v>
      </c>
      <c r="D95" s="29" t="s">
        <v>95</v>
      </c>
      <c r="E95" s="14" t="s">
        <v>100</v>
      </c>
      <c r="F95" s="14">
        <v>2</v>
      </c>
      <c r="H95" s="165" t="e" cm="1">
        <f t="array" ref="H95">IF(INDEX($K:$Z,ROW(C95),MATCH(IF(VLOOKUP(_xlfn.CONCAT(B95,C95),'Detalhe Entregas e Status'!$D$9:$J$81,7,0)=DATE(2025,5,5),DATE(2025,5,12),VLOOKUP(_xlfn.CONCAT(B95,C95),'Detalhe Entregas e Status'!$D$9:$J$81,7,0)),$L$8:$Z$8,0))="","",INDEX($K:$Z,ROW(C95),MATCH(IF(VLOOKUP(_xlfn.CONCAT(B95,C95),'Detalhe Entregas e Status'!$D$9:$J$81,7,0)=DATE(2025,5,5),DATE(2025,5,12),VLOOKUP(_xlfn.CONCAT(B95,C95),'Detalhe Entregas e Status'!$D$9:$J$81,7,0)),$L$8:$Z$8,0)))</f>
        <v>#N/A</v>
      </c>
      <c r="I95" s="17"/>
      <c r="J95" s="197" t="s">
        <v>292</v>
      </c>
      <c r="K95" s="247" t="s">
        <v>400</v>
      </c>
      <c r="L95" s="247" t="s">
        <v>399</v>
      </c>
      <c r="M95" s="247"/>
      <c r="N95" s="247"/>
    </row>
    <row r="96" spans="2:14" ht="15" customHeight="1">
      <c r="B96" s="13" t="s">
        <v>1</v>
      </c>
      <c r="C96" s="13" t="s">
        <v>42</v>
      </c>
      <c r="D96" s="29" t="s">
        <v>96</v>
      </c>
      <c r="E96" s="14" t="s">
        <v>100</v>
      </c>
      <c r="F96" s="14">
        <v>2</v>
      </c>
      <c r="H96" s="165" t="e" cm="1">
        <f t="array" ref="H96">IF(INDEX($K:$Z,ROW(C96),MATCH(IF(VLOOKUP(_xlfn.CONCAT(B96,C96),'Detalhe Entregas e Status'!$D$9:$J$81,7,0)=DATE(2025,5,5),DATE(2025,5,12),VLOOKUP(_xlfn.CONCAT(B96,C96),'Detalhe Entregas e Status'!$D$9:$J$81,7,0)),$L$8:$Z$8,0))="","",INDEX($K:$Z,ROW(C96),MATCH(IF(VLOOKUP(_xlfn.CONCAT(B96,C96),'Detalhe Entregas e Status'!$D$9:$J$81,7,0)=DATE(2025,5,5),DATE(2025,5,12),VLOOKUP(_xlfn.CONCAT(B96,C96),'Detalhe Entregas e Status'!$D$9:$J$81,7,0)),$L$8:$Z$8,0)))</f>
        <v>#N/A</v>
      </c>
      <c r="I96" s="17" t="s">
        <v>360</v>
      </c>
      <c r="J96" s="197" t="s">
        <v>292</v>
      </c>
      <c r="K96" s="247" t="s">
        <v>400</v>
      </c>
      <c r="L96" s="247"/>
      <c r="M96" s="247"/>
      <c r="N96" s="247"/>
    </row>
    <row r="97" spans="2:14" ht="15" customHeight="1">
      <c r="B97" s="13" t="s">
        <v>1</v>
      </c>
      <c r="C97" s="13" t="s">
        <v>42</v>
      </c>
      <c r="D97" s="29" t="s">
        <v>94</v>
      </c>
      <c r="E97" s="14" t="s">
        <v>100</v>
      </c>
      <c r="F97" s="14">
        <v>1</v>
      </c>
      <c r="H97" s="165" t="e" cm="1">
        <f t="array" ref="H97">IF(INDEX($K:$Z,ROW(C97),MATCH(IF(VLOOKUP(_xlfn.CONCAT(B97,C97),'Detalhe Entregas e Status'!$D$9:$J$81,7,0)=DATE(2025,5,5),DATE(2025,5,12),VLOOKUP(_xlfn.CONCAT(B97,C97),'Detalhe Entregas e Status'!$D$9:$J$81,7,0)),$L$8:$Z$8,0))="","",INDEX($K:$Z,ROW(C97),MATCH(IF(VLOOKUP(_xlfn.CONCAT(B97,C97),'Detalhe Entregas e Status'!$D$9:$J$81,7,0)=DATE(2025,5,5),DATE(2025,5,12),VLOOKUP(_xlfn.CONCAT(B97,C97),'Detalhe Entregas e Status'!$D$9:$J$81,7,0)),$L$8:$Z$8,0)))</f>
        <v>#N/A</v>
      </c>
      <c r="I97" s="17"/>
      <c r="J97" s="197" t="s">
        <v>292</v>
      </c>
      <c r="K97" s="247" t="s">
        <v>400</v>
      </c>
      <c r="L97" s="247"/>
      <c r="M97" s="247"/>
      <c r="N97" s="247"/>
    </row>
    <row r="98" spans="2:14" ht="15" customHeight="1">
      <c r="B98" s="13" t="s">
        <v>1</v>
      </c>
      <c r="C98" s="13" t="s">
        <v>42</v>
      </c>
      <c r="D98" s="29" t="s">
        <v>95</v>
      </c>
      <c r="E98" s="14" t="s">
        <v>100</v>
      </c>
      <c r="F98" s="14">
        <v>2</v>
      </c>
      <c r="H98" s="165" t="e" cm="1">
        <f t="array" ref="H98">IF(INDEX($K:$Z,ROW(C98),MATCH(IF(VLOOKUP(_xlfn.CONCAT(B98,C98),'Detalhe Entregas e Status'!$D$9:$J$81,7,0)=DATE(2025,5,5),DATE(2025,5,12),VLOOKUP(_xlfn.CONCAT(B98,C98),'Detalhe Entregas e Status'!$D$9:$J$81,7,0)),$L$8:$Z$8,0))="","",INDEX($K:$Z,ROW(C98),MATCH(IF(VLOOKUP(_xlfn.CONCAT(B98,C98),'Detalhe Entregas e Status'!$D$9:$J$81,7,0)=DATE(2025,5,5),DATE(2025,5,12),VLOOKUP(_xlfn.CONCAT(B98,C98),'Detalhe Entregas e Status'!$D$9:$J$81,7,0)),$L$8:$Z$8,0)))</f>
        <v>#N/A</v>
      </c>
      <c r="I98" s="17"/>
      <c r="J98" s="197" t="s">
        <v>292</v>
      </c>
      <c r="K98" s="247" t="s">
        <v>400</v>
      </c>
      <c r="L98" s="247"/>
      <c r="M98" s="247"/>
      <c r="N98" s="247"/>
    </row>
    <row r="99" spans="2:14" ht="15" customHeight="1">
      <c r="B99" s="13" t="s">
        <v>1</v>
      </c>
      <c r="C99" s="13" t="s">
        <v>43</v>
      </c>
      <c r="D99" s="29" t="s">
        <v>96</v>
      </c>
      <c r="E99" s="14" t="s">
        <v>100</v>
      </c>
      <c r="F99" s="14">
        <v>2</v>
      </c>
      <c r="H99" s="165" t="e" cm="1">
        <f t="array" ref="H99">IF(INDEX($K:$Z,ROW(C99),MATCH(IF(VLOOKUP(_xlfn.CONCAT(B99,C99),'Detalhe Entregas e Status'!$D$9:$J$81,7,0)=DATE(2025,5,5),DATE(2025,5,12),VLOOKUP(_xlfn.CONCAT(B99,C99),'Detalhe Entregas e Status'!$D$9:$J$81,7,0)),$L$8:$Z$8,0))="","",INDEX($K:$Z,ROW(C99),MATCH(IF(VLOOKUP(_xlfn.CONCAT(B99,C99),'Detalhe Entregas e Status'!$D$9:$J$81,7,0)=DATE(2025,5,5),DATE(2025,5,12),VLOOKUP(_xlfn.CONCAT(B99,C99),'Detalhe Entregas e Status'!$D$9:$J$81,7,0)),$L$8:$Z$8,0)))</f>
        <v>#N/A</v>
      </c>
      <c r="I99" s="17" t="s">
        <v>360</v>
      </c>
      <c r="J99" s="197" t="s">
        <v>292</v>
      </c>
      <c r="K99" s="247" t="s">
        <v>400</v>
      </c>
      <c r="L99" s="247" t="s">
        <v>400</v>
      </c>
      <c r="M99" s="247"/>
      <c r="N99" s="247"/>
    </row>
    <row r="100" spans="2:14" ht="15" customHeight="1">
      <c r="B100" s="13" t="s">
        <v>1</v>
      </c>
      <c r="C100" s="13" t="s">
        <v>43</v>
      </c>
      <c r="D100" s="29" t="s">
        <v>94</v>
      </c>
      <c r="E100" s="14" t="s">
        <v>100</v>
      </c>
      <c r="F100" s="14">
        <v>1</v>
      </c>
      <c r="H100" s="165" t="e" cm="1">
        <f t="array" ref="H100">IF(INDEX($K:$Z,ROW(C100),MATCH(IF(VLOOKUP(_xlfn.CONCAT(B100,C100),'Detalhe Entregas e Status'!$D$9:$J$81,7,0)=DATE(2025,5,5),DATE(2025,5,12),VLOOKUP(_xlfn.CONCAT(B100,C100),'Detalhe Entregas e Status'!$D$9:$J$81,7,0)),$L$8:$Z$8,0))="","",INDEX($K:$Z,ROW(C100),MATCH(IF(VLOOKUP(_xlfn.CONCAT(B100,C100),'Detalhe Entregas e Status'!$D$9:$J$81,7,0)=DATE(2025,5,5),DATE(2025,5,12),VLOOKUP(_xlfn.CONCAT(B100,C100),'Detalhe Entregas e Status'!$D$9:$J$81,7,0)),$L$8:$Z$8,0)))</f>
        <v>#N/A</v>
      </c>
      <c r="I100" s="17"/>
      <c r="J100" s="197" t="s">
        <v>292</v>
      </c>
      <c r="K100" s="247" t="s">
        <v>400</v>
      </c>
      <c r="L100" s="247" t="s">
        <v>400</v>
      </c>
      <c r="M100" s="247"/>
      <c r="N100" s="247"/>
    </row>
    <row r="101" spans="2:14" ht="15" customHeight="1">
      <c r="B101" s="13" t="s">
        <v>1</v>
      </c>
      <c r="C101" s="13" t="s">
        <v>44</v>
      </c>
      <c r="D101" s="29" t="s">
        <v>96</v>
      </c>
      <c r="E101" s="14" t="s">
        <v>100</v>
      </c>
      <c r="F101" s="14">
        <v>2</v>
      </c>
      <c r="H101" s="165" t="e" cm="1">
        <f t="array" ref="H101">IF(INDEX($K:$Z,ROW(C101),MATCH(IF(VLOOKUP(_xlfn.CONCAT(B101,C101),'Detalhe Entregas e Status'!$D$9:$J$81,7,0)=DATE(2025,5,5),DATE(2025,5,12),VLOOKUP(_xlfn.CONCAT(B101,C101),'Detalhe Entregas e Status'!$D$9:$J$81,7,0)),$L$8:$Z$8,0))="","",INDEX($K:$Z,ROW(C101),MATCH(IF(VLOOKUP(_xlfn.CONCAT(B101,C101),'Detalhe Entregas e Status'!$D$9:$J$81,7,0)=DATE(2025,5,5),DATE(2025,5,12),VLOOKUP(_xlfn.CONCAT(B101,C101),'Detalhe Entregas e Status'!$D$9:$J$81,7,0)),$L$8:$Z$8,0)))</f>
        <v>#N/A</v>
      </c>
      <c r="I101" s="17" t="s">
        <v>360</v>
      </c>
      <c r="J101" s="197" t="s">
        <v>292</v>
      </c>
      <c r="K101" s="247" t="s">
        <v>400</v>
      </c>
      <c r="L101" s="247" t="s">
        <v>399</v>
      </c>
      <c r="M101" s="247"/>
      <c r="N101" s="247"/>
    </row>
    <row r="102" spans="2:14" ht="15" customHeight="1">
      <c r="B102" s="13" t="s">
        <v>1</v>
      </c>
      <c r="C102" s="13" t="s">
        <v>44</v>
      </c>
      <c r="D102" s="29" t="s">
        <v>94</v>
      </c>
      <c r="E102" s="14" t="s">
        <v>100</v>
      </c>
      <c r="F102" s="14">
        <v>1</v>
      </c>
      <c r="H102" s="165" t="e" cm="1">
        <f t="array" ref="H102">IF(INDEX($K:$Z,ROW(C102),MATCH(IF(VLOOKUP(_xlfn.CONCAT(B102,C102),'Detalhe Entregas e Status'!$D$9:$J$81,7,0)=DATE(2025,5,5),DATE(2025,5,12),VLOOKUP(_xlfn.CONCAT(B102,C102),'Detalhe Entregas e Status'!$D$9:$J$81,7,0)),$L$8:$Z$8,0))="","",INDEX($K:$Z,ROW(C102),MATCH(IF(VLOOKUP(_xlfn.CONCAT(B102,C102),'Detalhe Entregas e Status'!$D$9:$J$81,7,0)=DATE(2025,5,5),DATE(2025,5,12),VLOOKUP(_xlfn.CONCAT(B102,C102),'Detalhe Entregas e Status'!$D$9:$J$81,7,0)),$L$8:$Z$8,0)))</f>
        <v>#N/A</v>
      </c>
      <c r="I102" s="17"/>
      <c r="J102" s="197" t="s">
        <v>292</v>
      </c>
      <c r="K102" s="247" t="s">
        <v>400</v>
      </c>
      <c r="L102" s="247" t="s">
        <v>399</v>
      </c>
      <c r="M102" s="247"/>
      <c r="N102" s="247"/>
    </row>
    <row r="103" spans="2:14" ht="15" customHeight="1">
      <c r="B103" s="13" t="s">
        <v>1</v>
      </c>
      <c r="C103" s="13" t="s">
        <v>45</v>
      </c>
      <c r="D103" s="29" t="s">
        <v>96</v>
      </c>
      <c r="E103" s="14" t="s">
        <v>100</v>
      </c>
      <c r="F103" s="14">
        <v>2</v>
      </c>
      <c r="H103" s="165" t="e" cm="1">
        <f t="array" ref="H103">IF(INDEX($K:$Z,ROW(C103),MATCH(IF(VLOOKUP(_xlfn.CONCAT(B103,C103),'Detalhe Entregas e Status'!$D$9:$J$81,7,0)=DATE(2025,5,5),DATE(2025,5,12),VLOOKUP(_xlfn.CONCAT(B103,C103),'Detalhe Entregas e Status'!$D$9:$J$81,7,0)),$L$8:$Z$8,0))="","",INDEX($K:$Z,ROW(C103),MATCH(IF(VLOOKUP(_xlfn.CONCAT(B103,C103),'Detalhe Entregas e Status'!$D$9:$J$81,7,0)=DATE(2025,5,5),DATE(2025,5,12),VLOOKUP(_xlfn.CONCAT(B103,C103),'Detalhe Entregas e Status'!$D$9:$J$81,7,0)),$L$8:$Z$8,0)))</f>
        <v>#N/A</v>
      </c>
      <c r="I103" s="17" t="s">
        <v>360</v>
      </c>
      <c r="J103" s="197" t="s">
        <v>292</v>
      </c>
      <c r="K103" s="247" t="s">
        <v>400</v>
      </c>
      <c r="L103" s="247"/>
      <c r="M103" s="247"/>
      <c r="N103" s="247"/>
    </row>
    <row r="104" spans="2:14" ht="15" customHeight="1">
      <c r="B104" s="13" t="s">
        <v>1</v>
      </c>
      <c r="C104" s="13" t="s">
        <v>45</v>
      </c>
      <c r="D104" s="29" t="s">
        <v>94</v>
      </c>
      <c r="E104" s="14" t="s">
        <v>100</v>
      </c>
      <c r="F104" s="14">
        <v>1</v>
      </c>
      <c r="H104" s="165" t="e" cm="1">
        <f t="array" ref="H104">IF(INDEX($K:$Z,ROW(C104),MATCH(IF(VLOOKUP(_xlfn.CONCAT(B104,C104),'Detalhe Entregas e Status'!$D$9:$J$81,7,0)=DATE(2025,5,5),DATE(2025,5,12),VLOOKUP(_xlfn.CONCAT(B104,C104),'Detalhe Entregas e Status'!$D$9:$J$81,7,0)),$L$8:$Z$8,0))="","",INDEX($K:$Z,ROW(C104),MATCH(IF(VLOOKUP(_xlfn.CONCAT(B104,C104),'Detalhe Entregas e Status'!$D$9:$J$81,7,0)=DATE(2025,5,5),DATE(2025,5,12),VLOOKUP(_xlfn.CONCAT(B104,C104),'Detalhe Entregas e Status'!$D$9:$J$81,7,0)),$L$8:$Z$8,0)))</f>
        <v>#N/A</v>
      </c>
      <c r="I104" s="17"/>
      <c r="J104" s="197" t="s">
        <v>292</v>
      </c>
      <c r="K104" s="247" t="s">
        <v>400</v>
      </c>
      <c r="L104" s="247"/>
      <c r="M104" s="247"/>
      <c r="N104" s="247"/>
    </row>
    <row r="105" spans="2:14" ht="15" customHeight="1">
      <c r="B105" s="13" t="s">
        <v>1</v>
      </c>
      <c r="C105" s="13" t="s">
        <v>45</v>
      </c>
      <c r="D105" s="29" t="s">
        <v>95</v>
      </c>
      <c r="E105" s="14" t="s">
        <v>100</v>
      </c>
      <c r="F105" s="14">
        <v>2</v>
      </c>
      <c r="H105" s="165" t="e" cm="1">
        <f t="array" ref="H105">IF(INDEX($K:$Z,ROW(C105),MATCH(IF(VLOOKUP(_xlfn.CONCAT(B105,C105),'Detalhe Entregas e Status'!$D$9:$J$81,7,0)=DATE(2025,5,5),DATE(2025,5,12),VLOOKUP(_xlfn.CONCAT(B105,C105),'Detalhe Entregas e Status'!$D$9:$J$81,7,0)),$L$8:$Z$8,0))="","",INDEX($K:$Z,ROW(C105),MATCH(IF(VLOOKUP(_xlfn.CONCAT(B105,C105),'Detalhe Entregas e Status'!$D$9:$J$81,7,0)=DATE(2025,5,5),DATE(2025,5,12),VLOOKUP(_xlfn.CONCAT(B105,C105),'Detalhe Entregas e Status'!$D$9:$J$81,7,0)),$L$8:$Z$8,0)))</f>
        <v>#N/A</v>
      </c>
      <c r="I105" s="17"/>
      <c r="J105" s="197" t="s">
        <v>292</v>
      </c>
      <c r="K105" s="247" t="s">
        <v>400</v>
      </c>
      <c r="L105" s="247"/>
      <c r="M105" s="247"/>
      <c r="N105" s="247"/>
    </row>
    <row r="106" spans="2:14" ht="15" customHeight="1">
      <c r="B106" s="13" t="s">
        <v>1</v>
      </c>
      <c r="C106" s="13" t="s">
        <v>46</v>
      </c>
      <c r="D106" s="29" t="s">
        <v>96</v>
      </c>
      <c r="E106" s="14" t="s">
        <v>100</v>
      </c>
      <c r="F106" s="14">
        <v>2</v>
      </c>
      <c r="H106" s="165" t="e" cm="1">
        <f t="array" ref="H106">IF(INDEX($K:$Z,ROW(C106),MATCH(IF(VLOOKUP(_xlfn.CONCAT(B106,C106),'Detalhe Entregas e Status'!$D$9:$J$81,7,0)=DATE(2025,5,5),DATE(2025,5,12),VLOOKUP(_xlfn.CONCAT(B106,C106),'Detalhe Entregas e Status'!$D$9:$J$81,7,0)),$L$8:$Z$8,0))="","",INDEX($K:$Z,ROW(C106),MATCH(IF(VLOOKUP(_xlfn.CONCAT(B106,C106),'Detalhe Entregas e Status'!$D$9:$J$81,7,0)=DATE(2025,5,5),DATE(2025,5,12),VLOOKUP(_xlfn.CONCAT(B106,C106),'Detalhe Entregas e Status'!$D$9:$J$81,7,0)),$L$8:$Z$8,0)))</f>
        <v>#N/A</v>
      </c>
      <c r="I106" s="17" t="s">
        <v>360</v>
      </c>
      <c r="J106" s="197" t="s">
        <v>292</v>
      </c>
      <c r="K106" s="247" t="s">
        <v>400</v>
      </c>
      <c r="L106" s="247" t="s">
        <v>400</v>
      </c>
      <c r="M106" s="247"/>
      <c r="N106" s="247"/>
    </row>
    <row r="107" spans="2:14" ht="15" customHeight="1">
      <c r="B107" s="13" t="s">
        <v>1</v>
      </c>
      <c r="C107" s="13" t="s">
        <v>46</v>
      </c>
      <c r="D107" s="29" t="s">
        <v>94</v>
      </c>
      <c r="E107" s="14" t="s">
        <v>100</v>
      </c>
      <c r="F107" s="14">
        <v>1</v>
      </c>
      <c r="H107" s="165" t="e" cm="1">
        <f t="array" ref="H107">IF(INDEX($K:$Z,ROW(C107),MATCH(IF(VLOOKUP(_xlfn.CONCAT(B107,C107),'Detalhe Entregas e Status'!$D$9:$J$81,7,0)=DATE(2025,5,5),DATE(2025,5,12),VLOOKUP(_xlfn.CONCAT(B107,C107),'Detalhe Entregas e Status'!$D$9:$J$81,7,0)),$L$8:$Z$8,0))="","",INDEX($K:$Z,ROW(C107),MATCH(IF(VLOOKUP(_xlfn.CONCAT(B107,C107),'Detalhe Entregas e Status'!$D$9:$J$81,7,0)=DATE(2025,5,5),DATE(2025,5,12),VLOOKUP(_xlfn.CONCAT(B107,C107),'Detalhe Entregas e Status'!$D$9:$J$81,7,0)),$L$8:$Z$8,0)))</f>
        <v>#N/A</v>
      </c>
      <c r="I107" s="17"/>
      <c r="J107" s="197" t="s">
        <v>292</v>
      </c>
      <c r="K107" s="247" t="s">
        <v>400</v>
      </c>
      <c r="L107" s="247" t="s">
        <v>400</v>
      </c>
      <c r="M107" s="247"/>
      <c r="N107" s="247"/>
    </row>
    <row r="108" spans="2:14" ht="15" customHeight="1">
      <c r="B108" s="13" t="s">
        <v>1</v>
      </c>
      <c r="C108" s="13" t="s">
        <v>47</v>
      </c>
      <c r="D108" s="29" t="s">
        <v>96</v>
      </c>
      <c r="E108" s="14" t="s">
        <v>100</v>
      </c>
      <c r="F108" s="14">
        <v>2</v>
      </c>
      <c r="H108" s="165" t="e" cm="1">
        <f t="array" ref="H108">IF(INDEX($K:$Z,ROW(C108),MATCH(IF(VLOOKUP(_xlfn.CONCAT(B108,C108),'Detalhe Entregas e Status'!$D$9:$J$81,7,0)=DATE(2025,5,5),DATE(2025,5,12),VLOOKUP(_xlfn.CONCAT(B108,C108),'Detalhe Entregas e Status'!$D$9:$J$81,7,0)),$L$8:$Z$8,0))="","",INDEX($K:$Z,ROW(C108),MATCH(IF(VLOOKUP(_xlfn.CONCAT(B108,C108),'Detalhe Entregas e Status'!$D$9:$J$81,7,0)=DATE(2025,5,5),DATE(2025,5,12),VLOOKUP(_xlfn.CONCAT(B108,C108),'Detalhe Entregas e Status'!$D$9:$J$81,7,0)),$L$8:$Z$8,0)))</f>
        <v>#N/A</v>
      </c>
      <c r="I108" s="17" t="s">
        <v>360</v>
      </c>
      <c r="J108" s="197" t="s">
        <v>292</v>
      </c>
      <c r="K108" s="247" t="s">
        <v>400</v>
      </c>
      <c r="L108" s="247" t="s">
        <v>400</v>
      </c>
      <c r="M108" s="247"/>
      <c r="N108" s="247"/>
    </row>
    <row r="109" spans="2:14" ht="15" customHeight="1">
      <c r="B109" s="13" t="s">
        <v>1</v>
      </c>
      <c r="C109" s="13" t="s">
        <v>47</v>
      </c>
      <c r="D109" s="29" t="s">
        <v>94</v>
      </c>
      <c r="E109" s="14" t="s">
        <v>100</v>
      </c>
      <c r="F109" s="14">
        <v>1</v>
      </c>
      <c r="H109" s="165" t="e" cm="1">
        <f t="array" ref="H109">IF(INDEX($K:$Z,ROW(C109),MATCH(IF(VLOOKUP(_xlfn.CONCAT(B109,C109),'Detalhe Entregas e Status'!$D$9:$J$81,7,0)=DATE(2025,5,5),DATE(2025,5,12),VLOOKUP(_xlfn.CONCAT(B109,C109),'Detalhe Entregas e Status'!$D$9:$J$81,7,0)),$L$8:$Z$8,0))="","",INDEX($K:$Z,ROW(C109),MATCH(IF(VLOOKUP(_xlfn.CONCAT(B109,C109),'Detalhe Entregas e Status'!$D$9:$J$81,7,0)=DATE(2025,5,5),DATE(2025,5,12),VLOOKUP(_xlfn.CONCAT(B109,C109),'Detalhe Entregas e Status'!$D$9:$J$81,7,0)),$L$8:$Z$8,0)))</f>
        <v>#N/A</v>
      </c>
      <c r="I109" s="17"/>
      <c r="J109" s="197" t="s">
        <v>292</v>
      </c>
      <c r="K109" s="247" t="s">
        <v>400</v>
      </c>
      <c r="L109" s="247" t="s">
        <v>400</v>
      </c>
      <c r="M109" s="247"/>
      <c r="N109" s="247"/>
    </row>
    <row r="110" spans="2:14" ht="15" customHeight="1">
      <c r="B110" s="13" t="s">
        <v>1</v>
      </c>
      <c r="C110" s="13" t="s">
        <v>48</v>
      </c>
      <c r="D110" s="29" t="s">
        <v>96</v>
      </c>
      <c r="E110" s="14" t="s">
        <v>100</v>
      </c>
      <c r="F110" s="14">
        <v>2</v>
      </c>
      <c r="H110" s="165" t="e" cm="1">
        <f t="array" ref="H110">IF(INDEX($K:$Z,ROW(C110),MATCH(IF(VLOOKUP(_xlfn.CONCAT(B110,C110),'Detalhe Entregas e Status'!$D$9:$J$81,7,0)=DATE(2025,5,5),DATE(2025,5,12),VLOOKUP(_xlfn.CONCAT(B110,C110),'Detalhe Entregas e Status'!$D$9:$J$81,7,0)),$L$8:$Z$8,0))="","",INDEX($K:$Z,ROW(C110),MATCH(IF(VLOOKUP(_xlfn.CONCAT(B110,C110),'Detalhe Entregas e Status'!$D$9:$J$81,7,0)=DATE(2025,5,5),DATE(2025,5,12),VLOOKUP(_xlfn.CONCAT(B110,C110),'Detalhe Entregas e Status'!$D$9:$J$81,7,0)),$L$8:$Z$8,0)))</f>
        <v>#N/A</v>
      </c>
      <c r="I110" s="17" t="s">
        <v>360</v>
      </c>
      <c r="J110" s="197" t="s">
        <v>292</v>
      </c>
      <c r="K110" s="247" t="s">
        <v>400</v>
      </c>
      <c r="L110" s="247" t="s">
        <v>400</v>
      </c>
      <c r="M110" s="247"/>
      <c r="N110" s="247"/>
    </row>
    <row r="111" spans="2:14" ht="15" customHeight="1">
      <c r="B111" s="13" t="s">
        <v>1</v>
      </c>
      <c r="C111" s="13" t="s">
        <v>48</v>
      </c>
      <c r="D111" s="29" t="s">
        <v>94</v>
      </c>
      <c r="E111" s="14" t="s">
        <v>100</v>
      </c>
      <c r="F111" s="14">
        <v>1</v>
      </c>
      <c r="H111" s="165" t="e" cm="1">
        <f t="array" ref="H111">IF(INDEX($K:$Z,ROW(C111),MATCH(IF(VLOOKUP(_xlfn.CONCAT(B111,C111),'Detalhe Entregas e Status'!$D$9:$J$81,7,0)=DATE(2025,5,5),DATE(2025,5,12),VLOOKUP(_xlfn.CONCAT(B111,C111),'Detalhe Entregas e Status'!$D$9:$J$81,7,0)),$L$8:$Z$8,0))="","",INDEX($K:$Z,ROW(C111),MATCH(IF(VLOOKUP(_xlfn.CONCAT(B111,C111),'Detalhe Entregas e Status'!$D$9:$J$81,7,0)=DATE(2025,5,5),DATE(2025,5,12),VLOOKUP(_xlfn.CONCAT(B111,C111),'Detalhe Entregas e Status'!$D$9:$J$81,7,0)),$L$8:$Z$8,0)))</f>
        <v>#N/A</v>
      </c>
      <c r="I111" s="17"/>
      <c r="J111" s="197" t="s">
        <v>292</v>
      </c>
      <c r="K111" s="247" t="s">
        <v>400</v>
      </c>
      <c r="L111" s="247" t="s">
        <v>400</v>
      </c>
      <c r="M111" s="247"/>
      <c r="N111" s="247"/>
    </row>
    <row r="112" spans="2:14" ht="15" customHeight="1">
      <c r="B112" s="13" t="s">
        <v>1</v>
      </c>
      <c r="C112" s="13" t="s">
        <v>49</v>
      </c>
      <c r="D112" s="29" t="s">
        <v>96</v>
      </c>
      <c r="E112" s="14" t="s">
        <v>100</v>
      </c>
      <c r="F112" s="14">
        <v>2</v>
      </c>
      <c r="H112" s="165" t="e" cm="1">
        <f t="array" ref="H112">IF(INDEX($K:$Z,ROW(C112),MATCH(IF(VLOOKUP(_xlfn.CONCAT(B112,C112),'Detalhe Entregas e Status'!$D$9:$J$81,7,0)=DATE(2025,5,5),DATE(2025,5,12),VLOOKUP(_xlfn.CONCAT(B112,C112),'Detalhe Entregas e Status'!$D$9:$J$81,7,0)),$L$8:$Z$8,0))="","",INDEX($K:$Z,ROW(C112),MATCH(IF(VLOOKUP(_xlfn.CONCAT(B112,C112),'Detalhe Entregas e Status'!$D$9:$J$81,7,0)=DATE(2025,5,5),DATE(2025,5,12),VLOOKUP(_xlfn.CONCAT(B112,C112),'Detalhe Entregas e Status'!$D$9:$J$81,7,0)),$L$8:$Z$8,0)))</f>
        <v>#N/A</v>
      </c>
      <c r="I112" s="17" t="s">
        <v>360</v>
      </c>
      <c r="J112" s="197" t="s">
        <v>292</v>
      </c>
      <c r="K112" s="247" t="s">
        <v>400</v>
      </c>
      <c r="L112" s="247" t="s">
        <v>400</v>
      </c>
      <c r="M112" s="247"/>
      <c r="N112" s="247"/>
    </row>
    <row r="113" spans="2:14" ht="15" customHeight="1">
      <c r="B113" s="13" t="s">
        <v>1</v>
      </c>
      <c r="C113" s="13" t="s">
        <v>49</v>
      </c>
      <c r="D113" s="29" t="s">
        <v>94</v>
      </c>
      <c r="E113" s="14" t="s">
        <v>100</v>
      </c>
      <c r="F113" s="14">
        <v>1</v>
      </c>
      <c r="H113" s="165" t="e" cm="1">
        <f t="array" ref="H113">IF(INDEX($K:$Z,ROW(C113),MATCH(IF(VLOOKUP(_xlfn.CONCAT(B113,C113),'Detalhe Entregas e Status'!$D$9:$J$81,7,0)=DATE(2025,5,5),DATE(2025,5,12),VLOOKUP(_xlfn.CONCAT(B113,C113),'Detalhe Entregas e Status'!$D$9:$J$81,7,0)),$L$8:$Z$8,0))="","",INDEX($K:$Z,ROW(C113),MATCH(IF(VLOOKUP(_xlfn.CONCAT(B113,C113),'Detalhe Entregas e Status'!$D$9:$J$81,7,0)=DATE(2025,5,5),DATE(2025,5,12),VLOOKUP(_xlfn.CONCAT(B113,C113),'Detalhe Entregas e Status'!$D$9:$J$81,7,0)),$L$8:$Z$8,0)))</f>
        <v>#N/A</v>
      </c>
      <c r="I113" s="17"/>
      <c r="J113" s="197" t="s">
        <v>292</v>
      </c>
      <c r="K113" s="247" t="s">
        <v>400</v>
      </c>
      <c r="L113" s="247" t="s">
        <v>400</v>
      </c>
      <c r="M113" s="247"/>
      <c r="N113" s="247"/>
    </row>
    <row r="114" spans="2:14" ht="15" customHeight="1">
      <c r="B114" s="13" t="s">
        <v>1</v>
      </c>
      <c r="C114" s="13" t="s">
        <v>50</v>
      </c>
      <c r="D114" s="29" t="s">
        <v>96</v>
      </c>
      <c r="E114" s="14" t="s">
        <v>100</v>
      </c>
      <c r="F114" s="14">
        <v>2</v>
      </c>
      <c r="H114" s="165" t="e" cm="1">
        <f t="array" ref="H114">IF(INDEX($K:$Z,ROW(C114),MATCH(IF(VLOOKUP(_xlfn.CONCAT(B114,C114),'Detalhe Entregas e Status'!$D$9:$J$81,7,0)=DATE(2025,5,5),DATE(2025,5,12),VLOOKUP(_xlfn.CONCAT(B114,C114),'Detalhe Entregas e Status'!$D$9:$J$81,7,0)),$L$8:$Z$8,0))="","",INDEX($K:$Z,ROW(C114),MATCH(IF(VLOOKUP(_xlfn.CONCAT(B114,C114),'Detalhe Entregas e Status'!$D$9:$J$81,7,0)=DATE(2025,5,5),DATE(2025,5,12),VLOOKUP(_xlfn.CONCAT(B114,C114),'Detalhe Entregas e Status'!$D$9:$J$81,7,0)),$L$8:$Z$8,0)))</f>
        <v>#N/A</v>
      </c>
      <c r="I114" s="17" t="s">
        <v>360</v>
      </c>
      <c r="J114" s="197" t="s">
        <v>292</v>
      </c>
      <c r="K114" s="247" t="s">
        <v>400</v>
      </c>
      <c r="L114" s="247"/>
      <c r="M114" s="247"/>
      <c r="N114" s="247"/>
    </row>
    <row r="115" spans="2:14" ht="15" customHeight="1">
      <c r="B115" s="13" t="s">
        <v>1</v>
      </c>
      <c r="C115" s="13" t="s">
        <v>50</v>
      </c>
      <c r="D115" s="29" t="s">
        <v>94</v>
      </c>
      <c r="E115" s="14" t="s">
        <v>100</v>
      </c>
      <c r="F115" s="14">
        <v>1</v>
      </c>
      <c r="H115" s="165" t="e" cm="1">
        <f t="array" ref="H115">IF(INDEX($K:$Z,ROW(C115),MATCH(IF(VLOOKUP(_xlfn.CONCAT(B115,C115),'Detalhe Entregas e Status'!$D$9:$J$81,7,0)=DATE(2025,5,5),DATE(2025,5,12),VLOOKUP(_xlfn.CONCAT(B115,C115),'Detalhe Entregas e Status'!$D$9:$J$81,7,0)),$L$8:$Z$8,0))="","",INDEX($K:$Z,ROW(C115),MATCH(IF(VLOOKUP(_xlfn.CONCAT(B115,C115),'Detalhe Entregas e Status'!$D$9:$J$81,7,0)=DATE(2025,5,5),DATE(2025,5,12),VLOOKUP(_xlfn.CONCAT(B115,C115),'Detalhe Entregas e Status'!$D$9:$J$81,7,0)),$L$8:$Z$8,0)))</f>
        <v>#N/A</v>
      </c>
      <c r="I115" s="17"/>
      <c r="J115" s="197" t="s">
        <v>292</v>
      </c>
      <c r="K115" s="247" t="s">
        <v>400</v>
      </c>
      <c r="L115" s="247"/>
      <c r="M115" s="247"/>
      <c r="N115" s="247"/>
    </row>
    <row r="116" spans="2:14" ht="15" customHeight="1">
      <c r="B116" s="13" t="s">
        <v>1</v>
      </c>
      <c r="C116" s="13" t="s">
        <v>51</v>
      </c>
      <c r="D116" s="29" t="s">
        <v>96</v>
      </c>
      <c r="E116" s="14" t="s">
        <v>100</v>
      </c>
      <c r="F116" s="14">
        <v>2</v>
      </c>
      <c r="H116" s="165" t="e" cm="1">
        <f t="array" ref="H116">IF(INDEX($K:$Z,ROW(C116),MATCH(IF(VLOOKUP(_xlfn.CONCAT(B116,C116),'Detalhe Entregas e Status'!$D$9:$J$81,7,0)=DATE(2025,5,5),DATE(2025,5,12),VLOOKUP(_xlfn.CONCAT(B116,C116),'Detalhe Entregas e Status'!$D$9:$J$81,7,0)),$L$8:$Z$8,0))="","",INDEX($K:$Z,ROW(C116),MATCH(IF(VLOOKUP(_xlfn.CONCAT(B116,C116),'Detalhe Entregas e Status'!$D$9:$J$81,7,0)=DATE(2025,5,5),DATE(2025,5,12),VLOOKUP(_xlfn.CONCAT(B116,C116),'Detalhe Entregas e Status'!$D$9:$J$81,7,0)),$L$8:$Z$8,0)))</f>
        <v>#N/A</v>
      </c>
      <c r="I116" s="17" t="s">
        <v>365</v>
      </c>
      <c r="J116" s="197" t="s">
        <v>292</v>
      </c>
      <c r="K116" s="247" t="s">
        <v>400</v>
      </c>
      <c r="L116" s="247"/>
      <c r="M116" s="247"/>
      <c r="N116" s="247"/>
    </row>
    <row r="117" spans="2:14" ht="15" customHeight="1">
      <c r="B117" s="13" t="s">
        <v>1</v>
      </c>
      <c r="C117" s="13" t="s">
        <v>51</v>
      </c>
      <c r="D117" s="29" t="s">
        <v>94</v>
      </c>
      <c r="E117" s="14" t="s">
        <v>100</v>
      </c>
      <c r="F117" s="14">
        <v>1</v>
      </c>
      <c r="H117" s="165" t="e" cm="1">
        <f t="array" ref="H117">IF(INDEX($K:$Z,ROW(C117),MATCH(IF(VLOOKUP(_xlfn.CONCAT(B117,C117),'Detalhe Entregas e Status'!$D$9:$J$81,7,0)=DATE(2025,5,5),DATE(2025,5,12),VLOOKUP(_xlfn.CONCAT(B117,C117),'Detalhe Entregas e Status'!$D$9:$J$81,7,0)),$L$8:$Z$8,0))="","",INDEX($K:$Z,ROW(C117),MATCH(IF(VLOOKUP(_xlfn.CONCAT(B117,C117),'Detalhe Entregas e Status'!$D$9:$J$81,7,0)=DATE(2025,5,5),DATE(2025,5,12),VLOOKUP(_xlfn.CONCAT(B117,C117),'Detalhe Entregas e Status'!$D$9:$J$81,7,0)),$L$8:$Z$8,0)))</f>
        <v>#N/A</v>
      </c>
      <c r="I117" s="17"/>
      <c r="J117" s="197" t="s">
        <v>292</v>
      </c>
      <c r="K117" s="247" t="s">
        <v>399</v>
      </c>
      <c r="L117" s="247"/>
      <c r="M117" s="247"/>
      <c r="N117" s="247"/>
    </row>
    <row r="118" spans="2:14" ht="15" customHeight="1">
      <c r="B118" s="13" t="s">
        <v>1</v>
      </c>
      <c r="C118" s="13" t="s">
        <v>51</v>
      </c>
      <c r="D118" s="29" t="s">
        <v>93</v>
      </c>
      <c r="E118" s="14" t="s">
        <v>99</v>
      </c>
      <c r="F118" s="14">
        <v>4</v>
      </c>
      <c r="H118" s="165" t="e" cm="1">
        <f t="array" ref="H118">IF(INDEX($K:$Z,ROW(C118),MATCH(IF(VLOOKUP(_xlfn.CONCAT(B118,C118),'Detalhe Entregas e Status'!$D$9:$J$81,7,0)=DATE(2025,5,5),DATE(2025,5,12),VLOOKUP(_xlfn.CONCAT(B118,C118),'Detalhe Entregas e Status'!$D$9:$J$81,7,0)),$L$8:$Z$8,0))="","",INDEX($K:$Z,ROW(C118),MATCH(IF(VLOOKUP(_xlfn.CONCAT(B118,C118),'Detalhe Entregas e Status'!$D$9:$J$81,7,0)=DATE(2025,5,5),DATE(2025,5,12),VLOOKUP(_xlfn.CONCAT(B118,C118),'Detalhe Entregas e Status'!$D$9:$J$81,7,0)),$L$8:$Z$8,0)))</f>
        <v>#N/A</v>
      </c>
      <c r="I118" s="17"/>
      <c r="J118" s="197" t="s">
        <v>292</v>
      </c>
      <c r="K118" s="247" t="s">
        <v>400</v>
      </c>
      <c r="L118" s="247"/>
      <c r="M118" s="247"/>
      <c r="N118" s="247"/>
    </row>
    <row r="119" spans="2:14" ht="15" customHeight="1">
      <c r="B119" s="13" t="s">
        <v>1</v>
      </c>
      <c r="C119" s="13" t="s">
        <v>54</v>
      </c>
      <c r="D119" s="29" t="s">
        <v>96</v>
      </c>
      <c r="E119" s="14" t="s">
        <v>100</v>
      </c>
      <c r="F119" s="14">
        <v>2</v>
      </c>
      <c r="H119" s="165" t="e" cm="1">
        <f t="array" ref="H119">IF(INDEX($K:$Z,ROW(C119),MATCH(IF(VLOOKUP(_xlfn.CONCAT(B119,C119),'Detalhe Entregas e Status'!$D$9:$J$81,7,0)=DATE(2025,5,5),DATE(2025,5,12),VLOOKUP(_xlfn.CONCAT(B119,C119),'Detalhe Entregas e Status'!$D$9:$J$81,7,0)),$L$8:$Z$8,0))="","",INDEX($K:$Z,ROW(C119),MATCH(IF(VLOOKUP(_xlfn.CONCAT(B119,C119),'Detalhe Entregas e Status'!$D$9:$J$81,7,0)=DATE(2025,5,5),DATE(2025,5,12),VLOOKUP(_xlfn.CONCAT(B119,C119),'Detalhe Entregas e Status'!$D$9:$J$81,7,0)),$L$8:$Z$8,0)))</f>
        <v>#N/A</v>
      </c>
      <c r="I119" s="17" t="s">
        <v>365</v>
      </c>
      <c r="J119" s="197" t="s">
        <v>292</v>
      </c>
      <c r="K119" s="247" t="s">
        <v>400</v>
      </c>
      <c r="L119" s="247"/>
      <c r="M119" s="247"/>
      <c r="N119" s="247"/>
    </row>
    <row r="120" spans="2:14" ht="15" customHeight="1">
      <c r="B120" s="13" t="s">
        <v>1</v>
      </c>
      <c r="C120" s="13" t="s">
        <v>54</v>
      </c>
      <c r="D120" s="29" t="s">
        <v>94</v>
      </c>
      <c r="E120" s="14" t="s">
        <v>100</v>
      </c>
      <c r="F120" s="14">
        <v>1</v>
      </c>
      <c r="H120" s="165" t="e" cm="1">
        <f t="array" ref="H120">IF(INDEX($K:$Z,ROW(C120),MATCH(IF(VLOOKUP(_xlfn.CONCAT(B120,C120),'Detalhe Entregas e Status'!$D$9:$J$81,7,0)=DATE(2025,5,5),DATE(2025,5,12),VLOOKUP(_xlfn.CONCAT(B120,C120),'Detalhe Entregas e Status'!$D$9:$J$81,7,0)),$L$8:$Z$8,0))="","",INDEX($K:$Z,ROW(C120),MATCH(IF(VLOOKUP(_xlfn.CONCAT(B120,C120),'Detalhe Entregas e Status'!$D$9:$J$81,7,0)=DATE(2025,5,5),DATE(2025,5,12),VLOOKUP(_xlfn.CONCAT(B120,C120),'Detalhe Entregas e Status'!$D$9:$J$81,7,0)),$L$8:$Z$8,0)))</f>
        <v>#N/A</v>
      </c>
      <c r="I120" s="17"/>
      <c r="J120" s="197" t="s">
        <v>292</v>
      </c>
      <c r="K120" s="247" t="s">
        <v>399</v>
      </c>
      <c r="L120" s="247"/>
      <c r="M120" s="247"/>
      <c r="N120" s="247"/>
    </row>
    <row r="121" spans="2:14" ht="15" customHeight="1">
      <c r="B121" s="13" t="s">
        <v>1</v>
      </c>
      <c r="C121" s="13" t="s">
        <v>54</v>
      </c>
      <c r="D121" s="29" t="s">
        <v>93</v>
      </c>
      <c r="E121" s="14" t="s">
        <v>99</v>
      </c>
      <c r="F121" s="14">
        <v>4</v>
      </c>
      <c r="H121" s="165" t="e" cm="1">
        <f t="array" ref="H121">IF(INDEX($K:$Z,ROW(C121),MATCH(IF(VLOOKUP(_xlfn.CONCAT(B121,C121),'Detalhe Entregas e Status'!$D$9:$J$81,7,0)=DATE(2025,5,5),DATE(2025,5,12),VLOOKUP(_xlfn.CONCAT(B121,C121),'Detalhe Entregas e Status'!$D$9:$J$81,7,0)),$L$8:$Z$8,0))="","",INDEX($K:$Z,ROW(C121),MATCH(IF(VLOOKUP(_xlfn.CONCAT(B121,C121),'Detalhe Entregas e Status'!$D$9:$J$81,7,0)=DATE(2025,5,5),DATE(2025,5,12),VLOOKUP(_xlfn.CONCAT(B121,C121),'Detalhe Entregas e Status'!$D$9:$J$81,7,0)),$L$8:$Z$8,0)))</f>
        <v>#N/A</v>
      </c>
      <c r="I121" s="17"/>
      <c r="J121" s="197" t="s">
        <v>292</v>
      </c>
      <c r="K121" s="247" t="s">
        <v>400</v>
      </c>
      <c r="L121" s="247"/>
      <c r="M121" s="247"/>
      <c r="N121" s="247"/>
    </row>
    <row r="122" spans="2:14" ht="15" customHeight="1">
      <c r="B122" s="13" t="s">
        <v>55</v>
      </c>
      <c r="C122" s="13" t="s">
        <v>89</v>
      </c>
      <c r="D122" s="29" t="s">
        <v>92</v>
      </c>
      <c r="E122" s="14" t="s">
        <v>99</v>
      </c>
      <c r="F122" s="14">
        <v>6</v>
      </c>
      <c r="H122" s="165" t="e" cm="1">
        <f t="array" ref="H122">IF(INDEX($K:$Z,ROW(C122),MATCH(IF(VLOOKUP(_xlfn.CONCAT(B122,C122),'Detalhe Entregas e Status'!$D$9:$J$81,7,0)=DATE(2025,5,5),DATE(2025,5,12),VLOOKUP(_xlfn.CONCAT(B122,C122),'Detalhe Entregas e Status'!$D$9:$J$81,7,0)),$L$8:$Z$8,0))="","",INDEX($K:$Z,ROW(C122),MATCH(IF(VLOOKUP(_xlfn.CONCAT(B122,C122),'Detalhe Entregas e Status'!$D$9:$J$81,7,0)=DATE(2025,5,5),DATE(2025,5,12),VLOOKUP(_xlfn.CONCAT(B122,C122),'Detalhe Entregas e Status'!$D$9:$J$81,7,0)),$L$8:$Z$8,0)))</f>
        <v>#N/A</v>
      </c>
      <c r="I122" s="17"/>
      <c r="J122" s="197" t="s">
        <v>292</v>
      </c>
      <c r="K122" s="247" t="s">
        <v>399</v>
      </c>
      <c r="L122" s="247"/>
      <c r="M122" s="247"/>
      <c r="N122" s="247"/>
    </row>
    <row r="123" spans="2:14" ht="15" customHeight="1">
      <c r="B123" s="13" t="s">
        <v>55</v>
      </c>
      <c r="C123" s="13" t="s">
        <v>36</v>
      </c>
      <c r="D123" s="29" t="s">
        <v>96</v>
      </c>
      <c r="E123" s="14" t="s">
        <v>100</v>
      </c>
      <c r="F123" s="14">
        <v>2</v>
      </c>
      <c r="H123" s="165" t="e" cm="1">
        <f t="array" ref="H123">IF(INDEX($K:$Z,ROW(C123),MATCH(IF(VLOOKUP(_xlfn.CONCAT(B123,C123),'Detalhe Entregas e Status'!$D$9:$J$81,7,0)=DATE(2025,5,5),DATE(2025,5,12),VLOOKUP(_xlfn.CONCAT(B123,C123),'Detalhe Entregas e Status'!$D$9:$J$81,7,0)),$L$8:$Z$8,0))="","",INDEX($K:$Z,ROW(C123),MATCH(IF(VLOOKUP(_xlfn.CONCAT(B123,C123),'Detalhe Entregas e Status'!$D$9:$J$81,7,0)=DATE(2025,5,5),DATE(2025,5,12),VLOOKUP(_xlfn.CONCAT(B123,C123),'Detalhe Entregas e Status'!$D$9:$J$81,7,0)),$L$8:$Z$8,0)))</f>
        <v>#N/A</v>
      </c>
      <c r="I123" s="17" t="s">
        <v>291</v>
      </c>
      <c r="J123" s="197" t="s">
        <v>292</v>
      </c>
      <c r="K123" s="247" t="s">
        <v>399</v>
      </c>
      <c r="L123" s="247"/>
      <c r="M123" s="247"/>
      <c r="N123" s="247"/>
    </row>
    <row r="124" spans="2:14" ht="15" customHeight="1">
      <c r="B124" s="13" t="s">
        <v>55</v>
      </c>
      <c r="C124" s="13" t="s">
        <v>36</v>
      </c>
      <c r="D124" s="29" t="s">
        <v>94</v>
      </c>
      <c r="E124" s="14" t="s">
        <v>100</v>
      </c>
      <c r="F124" s="14">
        <v>1</v>
      </c>
      <c r="H124" s="165" t="e" cm="1">
        <f t="array" ref="H124">IF(INDEX($K:$Z,ROW(C124),MATCH(IF(VLOOKUP(_xlfn.CONCAT(B124,C124),'Detalhe Entregas e Status'!$D$9:$J$81,7,0)=DATE(2025,5,5),DATE(2025,5,12),VLOOKUP(_xlfn.CONCAT(B124,C124),'Detalhe Entregas e Status'!$D$9:$J$81,7,0)),$L$8:$Z$8,0))="","",INDEX($K:$Z,ROW(C124),MATCH(IF(VLOOKUP(_xlfn.CONCAT(B124,C124),'Detalhe Entregas e Status'!$D$9:$J$81,7,0)=DATE(2025,5,5),DATE(2025,5,12),VLOOKUP(_xlfn.CONCAT(B124,C124),'Detalhe Entregas e Status'!$D$9:$J$81,7,0)),$L$8:$Z$8,0)))</f>
        <v>#N/A</v>
      </c>
      <c r="I124" s="17"/>
      <c r="J124" s="197" t="s">
        <v>292</v>
      </c>
      <c r="K124" s="247" t="s">
        <v>399</v>
      </c>
      <c r="L124" s="247"/>
      <c r="M124" s="247"/>
      <c r="N124" s="247"/>
    </row>
    <row r="125" spans="2:14" ht="15" customHeight="1">
      <c r="B125" s="13" t="s">
        <v>55</v>
      </c>
      <c r="C125" s="13" t="s">
        <v>38</v>
      </c>
      <c r="D125" s="29" t="s">
        <v>96</v>
      </c>
      <c r="E125" s="14" t="s">
        <v>100</v>
      </c>
      <c r="F125" s="14">
        <v>2</v>
      </c>
      <c r="H125" s="165" t="e" cm="1">
        <f t="array" ref="H125">IF(INDEX($K:$Z,ROW(C125),MATCH(IF(VLOOKUP(_xlfn.CONCAT(B125,C125),'Detalhe Entregas e Status'!$D$9:$J$81,7,0)=DATE(2025,5,5),DATE(2025,5,12),VLOOKUP(_xlfn.CONCAT(B125,C125),'Detalhe Entregas e Status'!$D$9:$J$81,7,0)),$L$8:$Z$8,0))="","",INDEX($K:$Z,ROW(C125),MATCH(IF(VLOOKUP(_xlfn.CONCAT(B125,C125),'Detalhe Entregas e Status'!$D$9:$J$81,7,0)=DATE(2025,5,5),DATE(2025,5,12),VLOOKUP(_xlfn.CONCAT(B125,C125),'Detalhe Entregas e Status'!$D$9:$J$81,7,0)),$L$8:$Z$8,0)))</f>
        <v>#N/A</v>
      </c>
      <c r="I125" s="17" t="s">
        <v>291</v>
      </c>
      <c r="J125" s="197" t="s">
        <v>292</v>
      </c>
      <c r="K125" s="247" t="s">
        <v>399</v>
      </c>
      <c r="L125" s="247"/>
      <c r="M125" s="247"/>
      <c r="N125" s="247"/>
    </row>
    <row r="126" spans="2:14" ht="15" customHeight="1">
      <c r="B126" s="13" t="s">
        <v>55</v>
      </c>
      <c r="C126" s="13" t="s">
        <v>38</v>
      </c>
      <c r="D126" s="29" t="s">
        <v>94</v>
      </c>
      <c r="E126" s="14" t="s">
        <v>100</v>
      </c>
      <c r="F126" s="14">
        <v>1</v>
      </c>
      <c r="H126" s="165" t="e" cm="1">
        <f t="array" ref="H126">IF(INDEX($K:$Z,ROW(C126),MATCH(IF(VLOOKUP(_xlfn.CONCAT(B126,C126),'Detalhe Entregas e Status'!$D$9:$J$81,7,0)=DATE(2025,5,5),DATE(2025,5,12),VLOOKUP(_xlfn.CONCAT(B126,C126),'Detalhe Entregas e Status'!$D$9:$J$81,7,0)),$L$8:$Z$8,0))="","",INDEX($K:$Z,ROW(C126),MATCH(IF(VLOOKUP(_xlfn.CONCAT(B126,C126),'Detalhe Entregas e Status'!$D$9:$J$81,7,0)=DATE(2025,5,5),DATE(2025,5,12),VLOOKUP(_xlfn.CONCAT(B126,C126),'Detalhe Entregas e Status'!$D$9:$J$81,7,0)),$L$8:$Z$8,0)))</f>
        <v>#N/A</v>
      </c>
      <c r="I126" s="17"/>
      <c r="J126" s="197" t="s">
        <v>292</v>
      </c>
      <c r="K126" s="247" t="s">
        <v>399</v>
      </c>
      <c r="L126" s="247"/>
      <c r="M126" s="247"/>
      <c r="N126" s="247"/>
    </row>
    <row r="127" spans="2:14" ht="15" customHeight="1">
      <c r="B127" s="13" t="s">
        <v>55</v>
      </c>
      <c r="C127" s="13" t="s">
        <v>56</v>
      </c>
      <c r="D127" s="29" t="s">
        <v>96</v>
      </c>
      <c r="E127" s="14" t="s">
        <v>100</v>
      </c>
      <c r="F127" s="14">
        <v>2</v>
      </c>
      <c r="H127" s="165" t="e" cm="1">
        <f t="array" ref="H127">IF(INDEX($K:$Z,ROW(C127),MATCH(IF(VLOOKUP(_xlfn.CONCAT(B127,C127),'Detalhe Entregas e Status'!$D$9:$J$81,7,0)=DATE(2025,5,5),DATE(2025,5,12),VLOOKUP(_xlfn.CONCAT(B127,C127),'Detalhe Entregas e Status'!$D$9:$J$81,7,0)),$L$8:$Z$8,0))="","",INDEX($K:$Z,ROW(C127),MATCH(IF(VLOOKUP(_xlfn.CONCAT(B127,C127),'Detalhe Entregas e Status'!$D$9:$J$81,7,0)=DATE(2025,5,5),DATE(2025,5,12),VLOOKUP(_xlfn.CONCAT(B127,C127),'Detalhe Entregas e Status'!$D$9:$J$81,7,0)),$L$8:$Z$8,0)))</f>
        <v>#N/A</v>
      </c>
      <c r="I127" s="17" t="s">
        <v>291</v>
      </c>
      <c r="J127" s="197" t="s">
        <v>292</v>
      </c>
      <c r="K127" s="247" t="s">
        <v>399</v>
      </c>
      <c r="L127" s="247"/>
      <c r="M127" s="247"/>
      <c r="N127" s="247"/>
    </row>
    <row r="128" spans="2:14" ht="15" customHeight="1">
      <c r="B128" s="13" t="s">
        <v>55</v>
      </c>
      <c r="C128" s="13" t="s">
        <v>56</v>
      </c>
      <c r="D128" s="29" t="s">
        <v>94</v>
      </c>
      <c r="E128" s="14" t="s">
        <v>100</v>
      </c>
      <c r="F128" s="14">
        <v>1</v>
      </c>
      <c r="H128" s="165" t="e" cm="1">
        <f t="array" ref="H128">IF(INDEX($K:$Z,ROW(C128),MATCH(IF(VLOOKUP(_xlfn.CONCAT(B128,C128),'Detalhe Entregas e Status'!$D$9:$J$81,7,0)=DATE(2025,5,5),DATE(2025,5,12),VLOOKUP(_xlfn.CONCAT(B128,C128),'Detalhe Entregas e Status'!$D$9:$J$81,7,0)),$L$8:$Z$8,0))="","",INDEX($K:$Z,ROW(C128),MATCH(IF(VLOOKUP(_xlfn.CONCAT(B128,C128),'Detalhe Entregas e Status'!$D$9:$J$81,7,0)=DATE(2025,5,5),DATE(2025,5,12),VLOOKUP(_xlfn.CONCAT(B128,C128),'Detalhe Entregas e Status'!$D$9:$J$81,7,0)),$L$8:$Z$8,0)))</f>
        <v>#N/A</v>
      </c>
      <c r="I128" s="17"/>
      <c r="J128" s="197" t="s">
        <v>292</v>
      </c>
      <c r="K128" s="247" t="s">
        <v>399</v>
      </c>
      <c r="L128" s="247"/>
      <c r="M128" s="247"/>
      <c r="N128" s="247"/>
    </row>
    <row r="129" spans="2:14" ht="15" customHeight="1">
      <c r="B129" s="13" t="s">
        <v>55</v>
      </c>
      <c r="C129" s="13" t="s">
        <v>57</v>
      </c>
      <c r="D129" s="29" t="s">
        <v>96</v>
      </c>
      <c r="E129" s="14" t="s">
        <v>100</v>
      </c>
      <c r="F129" s="14">
        <v>2</v>
      </c>
      <c r="H129" s="165" t="e" cm="1">
        <f t="array" ref="H129">IF(INDEX($K:$Z,ROW(C129),MATCH(IF(VLOOKUP(_xlfn.CONCAT(B129,C129),'Detalhe Entregas e Status'!$D$9:$J$81,7,0)=DATE(2025,5,5),DATE(2025,5,12),VLOOKUP(_xlfn.CONCAT(B129,C129),'Detalhe Entregas e Status'!$D$9:$J$81,7,0)),$L$8:$Z$8,0))="","",INDEX($K:$Z,ROW(C129),MATCH(IF(VLOOKUP(_xlfn.CONCAT(B129,C129),'Detalhe Entregas e Status'!$D$9:$J$81,7,0)=DATE(2025,5,5),DATE(2025,5,12),VLOOKUP(_xlfn.CONCAT(B129,C129),'Detalhe Entregas e Status'!$D$9:$J$81,7,0)),$L$8:$Z$8,0)))</f>
        <v>#N/A</v>
      </c>
      <c r="I129" s="17" t="s">
        <v>291</v>
      </c>
      <c r="J129" s="197" t="s">
        <v>292</v>
      </c>
      <c r="K129" s="247" t="s">
        <v>399</v>
      </c>
      <c r="L129" s="247"/>
      <c r="M129" s="247"/>
      <c r="N129" s="247"/>
    </row>
    <row r="130" spans="2:14" ht="15" customHeight="1">
      <c r="B130" s="13" t="s">
        <v>55</v>
      </c>
      <c r="C130" s="13" t="s">
        <v>57</v>
      </c>
      <c r="D130" s="29" t="s">
        <v>94</v>
      </c>
      <c r="E130" s="14" t="s">
        <v>100</v>
      </c>
      <c r="F130" s="14">
        <v>1</v>
      </c>
      <c r="H130" s="165" t="e" cm="1">
        <f t="array" ref="H130">IF(INDEX($K:$Z,ROW(C130),MATCH(IF(VLOOKUP(_xlfn.CONCAT(B130,C130),'Detalhe Entregas e Status'!$D$9:$J$81,7,0)=DATE(2025,5,5),DATE(2025,5,12),VLOOKUP(_xlfn.CONCAT(B130,C130),'Detalhe Entregas e Status'!$D$9:$J$81,7,0)),$L$8:$Z$8,0))="","",INDEX($K:$Z,ROW(C130),MATCH(IF(VLOOKUP(_xlfn.CONCAT(B130,C130),'Detalhe Entregas e Status'!$D$9:$J$81,7,0)=DATE(2025,5,5),DATE(2025,5,12),VLOOKUP(_xlfn.CONCAT(B130,C130),'Detalhe Entregas e Status'!$D$9:$J$81,7,0)),$L$8:$Z$8,0)))</f>
        <v>#N/A</v>
      </c>
      <c r="I130" s="17"/>
      <c r="J130" s="197" t="s">
        <v>292</v>
      </c>
      <c r="K130" s="247" t="s">
        <v>399</v>
      </c>
      <c r="L130" s="247"/>
      <c r="M130" s="247"/>
      <c r="N130" s="247"/>
    </row>
    <row r="131" spans="2:14" ht="15" customHeight="1">
      <c r="B131" s="13" t="s">
        <v>55</v>
      </c>
      <c r="C131" s="13" t="s">
        <v>57</v>
      </c>
      <c r="D131" s="29" t="s">
        <v>95</v>
      </c>
      <c r="E131" s="14" t="s">
        <v>100</v>
      </c>
      <c r="F131" s="14">
        <v>2</v>
      </c>
      <c r="H131" s="165" t="e" cm="1">
        <f t="array" ref="H131">IF(INDEX($K:$Z,ROW(C131),MATCH(IF(VLOOKUP(_xlfn.CONCAT(B131,C131),'Detalhe Entregas e Status'!$D$9:$J$81,7,0)=DATE(2025,5,5),DATE(2025,5,12),VLOOKUP(_xlfn.CONCAT(B131,C131),'Detalhe Entregas e Status'!$D$9:$J$81,7,0)),$L$8:$Z$8,0))="","",INDEX($K:$Z,ROW(C131),MATCH(IF(VLOOKUP(_xlfn.CONCAT(B131,C131),'Detalhe Entregas e Status'!$D$9:$J$81,7,0)=DATE(2025,5,5),DATE(2025,5,12),VLOOKUP(_xlfn.CONCAT(B131,C131),'Detalhe Entregas e Status'!$D$9:$J$81,7,0)),$L$8:$Z$8,0)))</f>
        <v>#N/A</v>
      </c>
      <c r="I131" s="17"/>
      <c r="J131" s="197" t="s">
        <v>292</v>
      </c>
      <c r="K131" s="247" t="s">
        <v>399</v>
      </c>
      <c r="L131" s="247"/>
      <c r="M131" s="247"/>
      <c r="N131" s="247"/>
    </row>
    <row r="132" spans="2:14" ht="15" customHeight="1">
      <c r="B132" s="13" t="s">
        <v>55</v>
      </c>
      <c r="C132" s="13" t="s">
        <v>58</v>
      </c>
      <c r="D132" s="29" t="s">
        <v>96</v>
      </c>
      <c r="E132" s="14" t="s">
        <v>100</v>
      </c>
      <c r="F132" s="14">
        <v>2</v>
      </c>
      <c r="H132" s="165" t="e" cm="1">
        <f t="array" ref="H132">IF(INDEX($K:$Z,ROW(C132),MATCH(IF(VLOOKUP(_xlfn.CONCAT(B132,C132),'Detalhe Entregas e Status'!$D$9:$J$81,7,0)=DATE(2025,5,5),DATE(2025,5,12),VLOOKUP(_xlfn.CONCAT(B132,C132),'Detalhe Entregas e Status'!$D$9:$J$81,7,0)),$L$8:$Z$8,0))="","",INDEX($K:$Z,ROW(C132),MATCH(IF(VLOOKUP(_xlfn.CONCAT(B132,C132),'Detalhe Entregas e Status'!$D$9:$J$81,7,0)=DATE(2025,5,5),DATE(2025,5,12),VLOOKUP(_xlfn.CONCAT(B132,C132),'Detalhe Entregas e Status'!$D$9:$J$81,7,0)),$L$8:$Z$8,0)))</f>
        <v>#N/A</v>
      </c>
      <c r="I132" s="17" t="s">
        <v>291</v>
      </c>
      <c r="J132" s="197" t="s">
        <v>292</v>
      </c>
      <c r="K132" s="247" t="s">
        <v>400</v>
      </c>
      <c r="L132" s="247"/>
      <c r="M132" s="247"/>
      <c r="N132" s="247"/>
    </row>
    <row r="133" spans="2:14" ht="15" customHeight="1">
      <c r="B133" s="13" t="s">
        <v>55</v>
      </c>
      <c r="C133" s="13" t="s">
        <v>58</v>
      </c>
      <c r="D133" s="29" t="s">
        <v>94</v>
      </c>
      <c r="E133" s="14" t="s">
        <v>100</v>
      </c>
      <c r="F133" s="14">
        <v>1</v>
      </c>
      <c r="H133" s="165" t="e" cm="1">
        <f t="array" ref="H133">IF(INDEX($K:$Z,ROW(C133),MATCH(IF(VLOOKUP(_xlfn.CONCAT(B133,C133),'Detalhe Entregas e Status'!$D$9:$J$81,7,0)=DATE(2025,5,5),DATE(2025,5,12),VLOOKUP(_xlfn.CONCAT(B133,C133),'Detalhe Entregas e Status'!$D$9:$J$81,7,0)),$L$8:$Z$8,0))="","",INDEX($K:$Z,ROW(C133),MATCH(IF(VLOOKUP(_xlfn.CONCAT(B133,C133),'Detalhe Entregas e Status'!$D$9:$J$81,7,0)=DATE(2025,5,5),DATE(2025,5,12),VLOOKUP(_xlfn.CONCAT(B133,C133),'Detalhe Entregas e Status'!$D$9:$J$81,7,0)),$L$8:$Z$8,0)))</f>
        <v>#N/A</v>
      </c>
      <c r="I133" s="17"/>
      <c r="J133" s="197" t="s">
        <v>292</v>
      </c>
      <c r="K133" s="247" t="s">
        <v>400</v>
      </c>
      <c r="L133" s="247"/>
      <c r="M133" s="247"/>
      <c r="N133" s="247"/>
    </row>
    <row r="134" spans="2:14" ht="15" customHeight="1">
      <c r="B134" s="13" t="s">
        <v>55</v>
      </c>
      <c r="C134" s="13" t="s">
        <v>59</v>
      </c>
      <c r="D134" s="29" t="s">
        <v>96</v>
      </c>
      <c r="E134" s="14" t="s">
        <v>99</v>
      </c>
      <c r="F134" s="14">
        <v>2</v>
      </c>
      <c r="H134" s="165" t="e" cm="1">
        <f t="array" ref="H134">IF(INDEX($K:$Z,ROW(C134),MATCH(IF(VLOOKUP(_xlfn.CONCAT(B134,C134),'Detalhe Entregas e Status'!$D$9:$J$81,7,0)=DATE(2025,5,5),DATE(2025,5,12),VLOOKUP(_xlfn.CONCAT(B134,C134),'Detalhe Entregas e Status'!$D$9:$J$81,7,0)),$L$8:$Z$8,0))="","",INDEX($K:$Z,ROW(C134),MATCH(IF(VLOOKUP(_xlfn.CONCAT(B134,C134),'Detalhe Entregas e Status'!$D$9:$J$81,7,0)=DATE(2025,5,5),DATE(2025,5,12),VLOOKUP(_xlfn.CONCAT(B134,C134),'Detalhe Entregas e Status'!$D$9:$J$81,7,0)),$L$8:$Z$8,0)))</f>
        <v>#N/A</v>
      </c>
      <c r="I134" s="17" t="s">
        <v>291</v>
      </c>
      <c r="J134" s="197" t="s">
        <v>292</v>
      </c>
      <c r="K134" s="247" t="s">
        <v>399</v>
      </c>
      <c r="L134" s="247"/>
      <c r="M134" s="247"/>
      <c r="N134" s="247"/>
    </row>
    <row r="135" spans="2:14" ht="15" customHeight="1">
      <c r="B135" s="13" t="s">
        <v>55</v>
      </c>
      <c r="C135" s="13" t="s">
        <v>59</v>
      </c>
      <c r="D135" s="29" t="s">
        <v>94</v>
      </c>
      <c r="E135" s="14" t="s">
        <v>100</v>
      </c>
      <c r="F135" s="14">
        <v>1</v>
      </c>
      <c r="H135" s="165" t="e" cm="1">
        <f t="array" ref="H135">IF(INDEX($K:$Z,ROW(C135),MATCH(IF(VLOOKUP(_xlfn.CONCAT(B135,C135),'Detalhe Entregas e Status'!$D$9:$J$81,7,0)=DATE(2025,5,5),DATE(2025,5,12),VLOOKUP(_xlfn.CONCAT(B135,C135),'Detalhe Entregas e Status'!$D$9:$J$81,7,0)),$L$8:$Z$8,0))="","",INDEX($K:$Z,ROW(C135),MATCH(IF(VLOOKUP(_xlfn.CONCAT(B135,C135),'Detalhe Entregas e Status'!$D$9:$J$81,7,0)=DATE(2025,5,5),DATE(2025,5,12),VLOOKUP(_xlfn.CONCAT(B135,C135),'Detalhe Entregas e Status'!$D$9:$J$81,7,0)),$L$8:$Z$8,0)))</f>
        <v>#N/A</v>
      </c>
      <c r="I135" s="17"/>
      <c r="J135" s="197" t="s">
        <v>292</v>
      </c>
      <c r="K135" s="247" t="s">
        <v>399</v>
      </c>
      <c r="L135" s="247"/>
      <c r="M135" s="247"/>
      <c r="N135" s="247"/>
    </row>
    <row r="136" spans="2:14" ht="15" customHeight="1">
      <c r="B136" s="13" t="s">
        <v>55</v>
      </c>
      <c r="C136" s="13" t="s">
        <v>59</v>
      </c>
      <c r="D136" s="29" t="s">
        <v>95</v>
      </c>
      <c r="E136" s="14" t="s">
        <v>100</v>
      </c>
      <c r="F136" s="14">
        <v>2</v>
      </c>
      <c r="H136" s="165" t="e" cm="1">
        <f t="array" ref="H136">IF(INDEX($K:$Z,ROW(C136),MATCH(IF(VLOOKUP(_xlfn.CONCAT(B136,C136),'Detalhe Entregas e Status'!$D$9:$J$81,7,0)=DATE(2025,5,5),DATE(2025,5,12),VLOOKUP(_xlfn.CONCAT(B136,C136),'Detalhe Entregas e Status'!$D$9:$J$81,7,0)),$L$8:$Z$8,0))="","",INDEX($K:$Z,ROW(C136),MATCH(IF(VLOOKUP(_xlfn.CONCAT(B136,C136),'Detalhe Entregas e Status'!$D$9:$J$81,7,0)=DATE(2025,5,5),DATE(2025,5,12),VLOOKUP(_xlfn.CONCAT(B136,C136),'Detalhe Entregas e Status'!$D$9:$J$81,7,0)),$L$8:$Z$8,0)))</f>
        <v>#N/A</v>
      </c>
      <c r="I136" s="17"/>
      <c r="J136" s="197" t="s">
        <v>292</v>
      </c>
      <c r="K136" s="247" t="s">
        <v>399</v>
      </c>
      <c r="L136" s="247"/>
      <c r="M136" s="247"/>
      <c r="N136" s="247"/>
    </row>
    <row r="137" spans="2:14" ht="15" customHeight="1">
      <c r="B137" s="13" t="s">
        <v>55</v>
      </c>
      <c r="C137" s="13" t="s">
        <v>59</v>
      </c>
      <c r="D137" s="29" t="s">
        <v>93</v>
      </c>
      <c r="E137" s="14" t="s">
        <v>99</v>
      </c>
      <c r="F137" s="14">
        <v>4</v>
      </c>
      <c r="H137" s="165" t="e" cm="1">
        <f t="array" ref="H137">IF(INDEX($K:$Z,ROW(C137),MATCH(IF(VLOOKUP(_xlfn.CONCAT(B137,C137),'Detalhe Entregas e Status'!$D$9:$J$81,7,0)=DATE(2025,5,5),DATE(2025,5,12),VLOOKUP(_xlfn.CONCAT(B137,C137),'Detalhe Entregas e Status'!$D$9:$J$81,7,0)),$L$8:$Z$8,0))="","",INDEX($K:$Z,ROW(C137),MATCH(IF(VLOOKUP(_xlfn.CONCAT(B137,C137),'Detalhe Entregas e Status'!$D$9:$J$81,7,0)=DATE(2025,5,5),DATE(2025,5,12),VLOOKUP(_xlfn.CONCAT(B137,C137),'Detalhe Entregas e Status'!$D$9:$J$81,7,0)),$L$8:$Z$8,0)))</f>
        <v>#N/A</v>
      </c>
      <c r="I137" s="17"/>
      <c r="J137" s="197" t="s">
        <v>292</v>
      </c>
      <c r="K137" s="247" t="s">
        <v>399</v>
      </c>
      <c r="L137" s="247"/>
      <c r="M137" s="247"/>
      <c r="N137" s="247"/>
    </row>
    <row r="138" spans="2:14" ht="15" customHeight="1">
      <c r="B138" s="13" t="s">
        <v>55</v>
      </c>
      <c r="C138" s="13" t="s">
        <v>60</v>
      </c>
      <c r="D138" s="29" t="s">
        <v>94</v>
      </c>
      <c r="E138" s="14" t="s">
        <v>100</v>
      </c>
      <c r="F138" s="14">
        <v>1</v>
      </c>
      <c r="H138" s="165" t="e" cm="1">
        <f t="array" ref="H138">IF(INDEX($K:$Z,ROW(C138),MATCH(IF(VLOOKUP(_xlfn.CONCAT(B138,C138),'Detalhe Entregas e Status'!$D$9:$J$81,7,0)=DATE(2025,5,5),DATE(2025,5,12),VLOOKUP(_xlfn.CONCAT(B138,C138),'Detalhe Entregas e Status'!$D$9:$J$81,7,0)),$L$8:$Z$8,0))="","",INDEX($K:$Z,ROW(C138),MATCH(IF(VLOOKUP(_xlfn.CONCAT(B138,C138),'Detalhe Entregas e Status'!$D$9:$J$81,7,0)=DATE(2025,5,5),DATE(2025,5,12),VLOOKUP(_xlfn.CONCAT(B138,C138),'Detalhe Entregas e Status'!$D$9:$J$81,7,0)),$L$8:$Z$8,0)))</f>
        <v>#N/A</v>
      </c>
      <c r="I138" s="17"/>
      <c r="J138" s="197" t="s">
        <v>292</v>
      </c>
      <c r="K138" s="247" t="s">
        <v>400</v>
      </c>
      <c r="L138" s="247"/>
      <c r="M138" s="247"/>
      <c r="N138" s="247"/>
    </row>
    <row r="139" spans="2:14" ht="15" customHeight="1">
      <c r="B139" s="13" t="s">
        <v>55</v>
      </c>
      <c r="C139" s="13" t="s">
        <v>60</v>
      </c>
      <c r="D139" s="29" t="s">
        <v>95</v>
      </c>
      <c r="E139" s="14" t="s">
        <v>100</v>
      </c>
      <c r="F139" s="14">
        <v>2</v>
      </c>
      <c r="H139" s="165" t="e" cm="1">
        <f t="array" ref="H139">IF(INDEX($K:$Z,ROW(C139),MATCH(IF(VLOOKUP(_xlfn.CONCAT(B139,C139),'Detalhe Entregas e Status'!$D$9:$J$81,7,0)=DATE(2025,5,5),DATE(2025,5,12),VLOOKUP(_xlfn.CONCAT(B139,C139),'Detalhe Entregas e Status'!$D$9:$J$81,7,0)),$L$8:$Z$8,0))="","",INDEX($K:$Z,ROW(C139),MATCH(IF(VLOOKUP(_xlfn.CONCAT(B139,C139),'Detalhe Entregas e Status'!$D$9:$J$81,7,0)=DATE(2025,5,5),DATE(2025,5,12),VLOOKUP(_xlfn.CONCAT(B139,C139),'Detalhe Entregas e Status'!$D$9:$J$81,7,0)),$L$8:$Z$8,0)))</f>
        <v>#N/A</v>
      </c>
      <c r="I139" s="17"/>
      <c r="J139" s="197" t="s">
        <v>292</v>
      </c>
      <c r="K139" s="247" t="s">
        <v>400</v>
      </c>
      <c r="L139" s="247"/>
      <c r="M139" s="247"/>
      <c r="N139" s="247"/>
    </row>
    <row r="140" spans="2:14" ht="15" customHeight="1">
      <c r="B140" s="13" t="s">
        <v>55</v>
      </c>
      <c r="C140" s="13" t="s">
        <v>60</v>
      </c>
      <c r="D140" s="29" t="s">
        <v>93</v>
      </c>
      <c r="E140" s="14" t="s">
        <v>99</v>
      </c>
      <c r="F140" s="14">
        <v>4</v>
      </c>
      <c r="H140" s="165" t="e" cm="1">
        <f t="array" ref="H140">IF(INDEX($K:$Z,ROW(C140),MATCH(IF(VLOOKUP(_xlfn.CONCAT(B140,C140),'Detalhe Entregas e Status'!$D$9:$J$81,7,0)=DATE(2025,5,5),DATE(2025,5,12),VLOOKUP(_xlfn.CONCAT(B140,C140),'Detalhe Entregas e Status'!$D$9:$J$81,7,0)),$L$8:$Z$8,0))="","",INDEX($K:$Z,ROW(C140),MATCH(IF(VLOOKUP(_xlfn.CONCAT(B140,C140),'Detalhe Entregas e Status'!$D$9:$J$81,7,0)=DATE(2025,5,5),DATE(2025,5,12),VLOOKUP(_xlfn.CONCAT(B140,C140),'Detalhe Entregas e Status'!$D$9:$J$81,7,0)),$L$8:$Z$8,0)))</f>
        <v>#N/A</v>
      </c>
      <c r="I140" s="17"/>
      <c r="J140" s="197" t="s">
        <v>292</v>
      </c>
      <c r="K140" s="247" t="s">
        <v>400</v>
      </c>
      <c r="L140" s="247"/>
      <c r="M140" s="247"/>
      <c r="N140" s="247"/>
    </row>
    <row r="141" spans="2:14" ht="15" customHeight="1">
      <c r="B141" s="13" t="s">
        <v>61</v>
      </c>
      <c r="C141" s="13" t="s">
        <v>89</v>
      </c>
      <c r="D141" s="29" t="s">
        <v>92</v>
      </c>
      <c r="E141" s="14" t="s">
        <v>99</v>
      </c>
      <c r="F141" s="14">
        <v>6</v>
      </c>
      <c r="H141" s="165" t="e" cm="1">
        <f t="array" ref="H141">IF(INDEX($K:$Z,ROW(C141),MATCH(IF(VLOOKUP(_xlfn.CONCAT(B141,C141),'Detalhe Entregas e Status'!$D$9:$J$81,7,0)=DATE(2025,5,5),DATE(2025,5,12),VLOOKUP(_xlfn.CONCAT(B141,C141),'Detalhe Entregas e Status'!$D$9:$J$81,7,0)),$L$8:$Z$8,0))="","",INDEX($K:$Z,ROW(C141),MATCH(IF(VLOOKUP(_xlfn.CONCAT(B141,C141),'Detalhe Entregas e Status'!$D$9:$J$81,7,0)=DATE(2025,5,5),DATE(2025,5,12),VLOOKUP(_xlfn.CONCAT(B141,C141),'Detalhe Entregas e Status'!$D$9:$J$81,7,0)),$L$8:$Z$8,0)))</f>
        <v>#N/A</v>
      </c>
      <c r="I141" s="17"/>
      <c r="J141" s="197" t="s">
        <v>292</v>
      </c>
      <c r="K141" s="247" t="s">
        <v>399</v>
      </c>
      <c r="L141" s="247"/>
      <c r="M141" s="247"/>
      <c r="N141" s="247"/>
    </row>
    <row r="142" spans="2:14" ht="15" customHeight="1">
      <c r="B142" s="13" t="s">
        <v>61</v>
      </c>
      <c r="C142" s="13" t="s">
        <v>36</v>
      </c>
      <c r="D142" s="29" t="s">
        <v>93</v>
      </c>
      <c r="E142" s="14" t="s">
        <v>100</v>
      </c>
      <c r="F142" s="14">
        <v>2</v>
      </c>
      <c r="H142" s="165" t="e" cm="1">
        <f t="array" ref="H142">IF(INDEX($K:$Z,ROW(C142),MATCH(IF(VLOOKUP(_xlfn.CONCAT(B142,C142),'Detalhe Entregas e Status'!$D$9:$J$81,7,0)=DATE(2025,5,5),DATE(2025,5,12),VLOOKUP(_xlfn.CONCAT(B142,C142),'Detalhe Entregas e Status'!$D$9:$J$81,7,0)),$L$8:$Z$8,0))="","",INDEX($K:$Z,ROW(C142),MATCH(IF(VLOOKUP(_xlfn.CONCAT(B142,C142),'Detalhe Entregas e Status'!$D$9:$J$81,7,0)=DATE(2025,5,5),DATE(2025,5,12),VLOOKUP(_xlfn.CONCAT(B142,C142),'Detalhe Entregas e Status'!$D$9:$J$81,7,0)),$L$8:$Z$8,0)))</f>
        <v>#N/A</v>
      </c>
      <c r="I142" s="17" t="s">
        <v>299</v>
      </c>
      <c r="J142" s="197" t="s">
        <v>292</v>
      </c>
      <c r="K142" s="247" t="s">
        <v>399</v>
      </c>
      <c r="L142" s="247"/>
      <c r="M142" s="247"/>
      <c r="N142" s="247"/>
    </row>
    <row r="143" spans="2:14" ht="15" customHeight="1">
      <c r="B143" s="13" t="s">
        <v>61</v>
      </c>
      <c r="C143" s="13" t="s">
        <v>36</v>
      </c>
      <c r="D143" s="29" t="s">
        <v>94</v>
      </c>
      <c r="E143" s="14" t="s">
        <v>100</v>
      </c>
      <c r="F143" s="14">
        <v>1</v>
      </c>
      <c r="H143" s="165" t="e" cm="1">
        <f t="array" ref="H143">IF(INDEX($K:$Z,ROW(C143),MATCH(IF(VLOOKUP(_xlfn.CONCAT(B143,C143),'Detalhe Entregas e Status'!$D$9:$J$81,7,0)=DATE(2025,5,5),DATE(2025,5,12),VLOOKUP(_xlfn.CONCAT(B143,C143),'Detalhe Entregas e Status'!$D$9:$J$81,7,0)),$L$8:$Z$8,0))="","",INDEX($K:$Z,ROW(C143),MATCH(IF(VLOOKUP(_xlfn.CONCAT(B143,C143),'Detalhe Entregas e Status'!$D$9:$J$81,7,0)=DATE(2025,5,5),DATE(2025,5,12),VLOOKUP(_xlfn.CONCAT(B143,C143),'Detalhe Entregas e Status'!$D$9:$J$81,7,0)),$L$8:$Z$8,0)))</f>
        <v>#N/A</v>
      </c>
      <c r="I143" s="17"/>
      <c r="J143" s="197" t="s">
        <v>292</v>
      </c>
      <c r="K143" s="247" t="s">
        <v>399</v>
      </c>
      <c r="L143" s="247"/>
      <c r="M143" s="247"/>
      <c r="N143" s="247"/>
    </row>
    <row r="144" spans="2:14" ht="15" customHeight="1">
      <c r="B144" s="13" t="s">
        <v>61</v>
      </c>
      <c r="C144" s="13" t="s">
        <v>38</v>
      </c>
      <c r="D144" s="29" t="s">
        <v>93</v>
      </c>
      <c r="E144" s="14" t="s">
        <v>100</v>
      </c>
      <c r="F144" s="14">
        <v>2</v>
      </c>
      <c r="H144" s="165" t="e" cm="1">
        <f t="array" ref="H144">IF(INDEX($K:$Z,ROW(C144),MATCH(IF(VLOOKUP(_xlfn.CONCAT(B144,C144),'Detalhe Entregas e Status'!$D$9:$J$81,7,0)=DATE(2025,5,5),DATE(2025,5,12),VLOOKUP(_xlfn.CONCAT(B144,C144),'Detalhe Entregas e Status'!$D$9:$J$81,7,0)),$L$8:$Z$8,0))="","",INDEX($K:$Z,ROW(C144),MATCH(IF(VLOOKUP(_xlfn.CONCAT(B144,C144),'Detalhe Entregas e Status'!$D$9:$J$81,7,0)=DATE(2025,5,5),DATE(2025,5,12),VLOOKUP(_xlfn.CONCAT(B144,C144),'Detalhe Entregas e Status'!$D$9:$J$81,7,0)),$L$8:$Z$8,0)))</f>
        <v>#N/A</v>
      </c>
      <c r="I144" s="17" t="s">
        <v>299</v>
      </c>
      <c r="J144" s="197" t="s">
        <v>292</v>
      </c>
      <c r="K144" s="247" t="s">
        <v>399</v>
      </c>
      <c r="L144" s="247"/>
      <c r="M144" s="247"/>
      <c r="N144" s="247"/>
    </row>
    <row r="145" spans="2:14" ht="15" customHeight="1">
      <c r="B145" s="13" t="s">
        <v>61</v>
      </c>
      <c r="C145" s="13" t="s">
        <v>38</v>
      </c>
      <c r="D145" s="29" t="s">
        <v>94</v>
      </c>
      <c r="E145" s="14" t="s">
        <v>100</v>
      </c>
      <c r="F145" s="14">
        <v>1</v>
      </c>
      <c r="H145" s="165" t="e" cm="1">
        <f t="array" ref="H145">IF(INDEX($K:$Z,ROW(C145),MATCH(IF(VLOOKUP(_xlfn.CONCAT(B145,C145),'Detalhe Entregas e Status'!$D$9:$J$81,7,0)=DATE(2025,5,5),DATE(2025,5,12),VLOOKUP(_xlfn.CONCAT(B145,C145),'Detalhe Entregas e Status'!$D$9:$J$81,7,0)),$L$8:$Z$8,0))="","",INDEX($K:$Z,ROW(C145),MATCH(IF(VLOOKUP(_xlfn.CONCAT(B145,C145),'Detalhe Entregas e Status'!$D$9:$J$81,7,0)=DATE(2025,5,5),DATE(2025,5,12),VLOOKUP(_xlfn.CONCAT(B145,C145),'Detalhe Entregas e Status'!$D$9:$J$81,7,0)),$L$8:$Z$8,0)))</f>
        <v>#N/A</v>
      </c>
      <c r="I145" s="17"/>
      <c r="J145" s="197" t="s">
        <v>292</v>
      </c>
      <c r="K145" s="247" t="s">
        <v>399</v>
      </c>
      <c r="L145" s="247"/>
      <c r="M145" s="247"/>
      <c r="N145" s="247"/>
    </row>
    <row r="146" spans="2:14" ht="15" customHeight="1">
      <c r="B146" s="13" t="s">
        <v>61</v>
      </c>
      <c r="C146" s="13" t="s">
        <v>54</v>
      </c>
      <c r="D146" s="29" t="s">
        <v>93</v>
      </c>
      <c r="E146" s="14" t="s">
        <v>100</v>
      </c>
      <c r="F146" s="14">
        <v>2</v>
      </c>
      <c r="H146" s="165" t="e" cm="1">
        <f t="array" ref="H146">IF(INDEX($K:$Z,ROW(C146),MATCH(IF(VLOOKUP(_xlfn.CONCAT(B146,C146),'Detalhe Entregas e Status'!$D$9:$J$81,7,0)=DATE(2025,5,5),DATE(2025,5,12),VLOOKUP(_xlfn.CONCAT(B146,C146),'Detalhe Entregas e Status'!$D$9:$J$81,7,0)),$L$8:$Z$8,0))="","",INDEX($K:$Z,ROW(C146),MATCH(IF(VLOOKUP(_xlfn.CONCAT(B146,C146),'Detalhe Entregas e Status'!$D$9:$J$81,7,0)=DATE(2025,5,5),DATE(2025,5,12),VLOOKUP(_xlfn.CONCAT(B146,C146),'Detalhe Entregas e Status'!$D$9:$J$81,7,0)),$L$8:$Z$8,0)))</f>
        <v>#N/A</v>
      </c>
      <c r="I146" s="17" t="s">
        <v>299</v>
      </c>
      <c r="J146" s="197" t="s">
        <v>292</v>
      </c>
      <c r="K146" s="247" t="s">
        <v>399</v>
      </c>
      <c r="L146" s="247"/>
      <c r="M146" s="247"/>
      <c r="N146" s="247"/>
    </row>
    <row r="147" spans="2:14" ht="15" customHeight="1">
      <c r="B147" s="13" t="s">
        <v>61</v>
      </c>
      <c r="C147" s="13" t="s">
        <v>54</v>
      </c>
      <c r="D147" s="29" t="s">
        <v>94</v>
      </c>
      <c r="E147" s="14" t="s">
        <v>100</v>
      </c>
      <c r="F147" s="14">
        <v>1</v>
      </c>
      <c r="H147" s="165" t="e" cm="1">
        <f t="array" ref="H147">IF(INDEX($K:$Z,ROW(C147),MATCH(IF(VLOOKUP(_xlfn.CONCAT(B147,C147),'Detalhe Entregas e Status'!$D$9:$J$81,7,0)=DATE(2025,5,5),DATE(2025,5,12),VLOOKUP(_xlfn.CONCAT(B147,C147),'Detalhe Entregas e Status'!$D$9:$J$81,7,0)),$L$8:$Z$8,0))="","",INDEX($K:$Z,ROW(C147),MATCH(IF(VLOOKUP(_xlfn.CONCAT(B147,C147),'Detalhe Entregas e Status'!$D$9:$J$81,7,0)=DATE(2025,5,5),DATE(2025,5,12),VLOOKUP(_xlfn.CONCAT(B147,C147),'Detalhe Entregas e Status'!$D$9:$J$81,7,0)),$L$8:$Z$8,0)))</f>
        <v>#N/A</v>
      </c>
      <c r="I147" s="17"/>
      <c r="J147" s="197" t="s">
        <v>292</v>
      </c>
      <c r="K147" s="247" t="s">
        <v>399</v>
      </c>
      <c r="L147" s="247"/>
      <c r="M147" s="247"/>
      <c r="N147" s="247"/>
    </row>
    <row r="148" spans="2:14" ht="15" customHeight="1">
      <c r="B148" s="13" t="s">
        <v>61</v>
      </c>
      <c r="C148" s="13" t="s">
        <v>56</v>
      </c>
      <c r="D148" s="29" t="s">
        <v>93</v>
      </c>
      <c r="E148" s="14" t="s">
        <v>100</v>
      </c>
      <c r="F148" s="14">
        <v>2</v>
      </c>
      <c r="H148" s="165" t="e" cm="1">
        <f t="array" ref="H148">IF(INDEX($K:$Z,ROW(C148),MATCH(IF(VLOOKUP(_xlfn.CONCAT(B148,C148),'Detalhe Entregas e Status'!$D$9:$J$81,7,0)=DATE(2025,5,5),DATE(2025,5,12),VLOOKUP(_xlfn.CONCAT(B148,C148),'Detalhe Entregas e Status'!$D$9:$J$81,7,0)),$L$8:$Z$8,0))="","",INDEX($K:$Z,ROW(C148),MATCH(IF(VLOOKUP(_xlfn.CONCAT(B148,C148),'Detalhe Entregas e Status'!$D$9:$J$81,7,0)=DATE(2025,5,5),DATE(2025,5,12),VLOOKUP(_xlfn.CONCAT(B148,C148),'Detalhe Entregas e Status'!$D$9:$J$81,7,0)),$L$8:$Z$8,0)))</f>
        <v>#N/A</v>
      </c>
      <c r="I148" s="17" t="s">
        <v>299</v>
      </c>
      <c r="J148" s="197" t="s">
        <v>292</v>
      </c>
      <c r="K148" s="247" t="s">
        <v>399</v>
      </c>
      <c r="L148" s="247"/>
      <c r="M148" s="247"/>
      <c r="N148" s="247"/>
    </row>
    <row r="149" spans="2:14" ht="15" customHeight="1">
      <c r="B149" s="13" t="s">
        <v>61</v>
      </c>
      <c r="C149" s="13" t="s">
        <v>56</v>
      </c>
      <c r="D149" s="29" t="s">
        <v>94</v>
      </c>
      <c r="E149" s="14" t="s">
        <v>100</v>
      </c>
      <c r="F149" s="14">
        <v>1</v>
      </c>
      <c r="H149" s="165" t="e" cm="1">
        <f t="array" ref="H149">IF(INDEX($K:$Z,ROW(C149),MATCH(IF(VLOOKUP(_xlfn.CONCAT(B149,C149),'Detalhe Entregas e Status'!$D$9:$J$81,7,0)=DATE(2025,5,5),DATE(2025,5,12),VLOOKUP(_xlfn.CONCAT(B149,C149),'Detalhe Entregas e Status'!$D$9:$J$81,7,0)),$L$8:$Z$8,0))="","",INDEX($K:$Z,ROW(C149),MATCH(IF(VLOOKUP(_xlfn.CONCAT(B149,C149),'Detalhe Entregas e Status'!$D$9:$J$81,7,0)=DATE(2025,5,5),DATE(2025,5,12),VLOOKUP(_xlfn.CONCAT(B149,C149),'Detalhe Entregas e Status'!$D$9:$J$81,7,0)),$L$8:$Z$8,0)))</f>
        <v>#N/A</v>
      </c>
      <c r="I149" s="17"/>
      <c r="J149" s="197" t="s">
        <v>292</v>
      </c>
      <c r="K149" s="247" t="s">
        <v>399</v>
      </c>
      <c r="L149" s="247"/>
      <c r="M149" s="247"/>
      <c r="N149" s="247"/>
    </row>
    <row r="150" spans="2:14" ht="15" customHeight="1">
      <c r="B150" s="13" t="s">
        <v>61</v>
      </c>
      <c r="C150" s="13" t="s">
        <v>62</v>
      </c>
      <c r="D150" s="29" t="s">
        <v>96</v>
      </c>
      <c r="E150" s="14" t="s">
        <v>99</v>
      </c>
      <c r="F150" s="14">
        <v>2</v>
      </c>
      <c r="H150" s="165" t="e" cm="1">
        <f t="array" ref="H150">IF(INDEX($K:$Z,ROW(C150),MATCH(IF(VLOOKUP(_xlfn.CONCAT(B150,C150),'Detalhe Entregas e Status'!$D$9:$J$81,7,0)=DATE(2025,5,5),DATE(2025,5,12),VLOOKUP(_xlfn.CONCAT(B150,C150),'Detalhe Entregas e Status'!$D$9:$J$81,7,0)),$L$8:$Z$8,0))="","",INDEX($K:$Z,ROW(C150),MATCH(IF(VLOOKUP(_xlfn.CONCAT(B150,C150),'Detalhe Entregas e Status'!$D$9:$J$81,7,0)=DATE(2025,5,5),DATE(2025,5,12),VLOOKUP(_xlfn.CONCAT(B150,C150),'Detalhe Entregas e Status'!$D$9:$J$81,7,0)),$L$8:$Z$8,0)))</f>
        <v>#N/A</v>
      </c>
      <c r="I150" s="17"/>
      <c r="J150" s="197" t="s">
        <v>292</v>
      </c>
      <c r="K150" s="247" t="s">
        <v>399</v>
      </c>
      <c r="L150" s="247" t="s">
        <v>399</v>
      </c>
      <c r="M150" s="247"/>
      <c r="N150" s="247"/>
    </row>
    <row r="151" spans="2:14" ht="15" customHeight="1">
      <c r="B151" s="13" t="s">
        <v>61</v>
      </c>
      <c r="C151" s="13" t="s">
        <v>62</v>
      </c>
      <c r="D151" s="29" t="s">
        <v>94</v>
      </c>
      <c r="E151" s="14" t="s">
        <v>100</v>
      </c>
      <c r="F151" s="14">
        <v>1</v>
      </c>
      <c r="H151" s="165" t="e" cm="1">
        <f t="array" ref="H151">IF(INDEX($K:$Z,ROW(C151),MATCH(IF(VLOOKUP(_xlfn.CONCAT(B151,C151),'Detalhe Entregas e Status'!$D$9:$J$81,7,0)=DATE(2025,5,5),DATE(2025,5,12),VLOOKUP(_xlfn.CONCAT(B151,C151),'Detalhe Entregas e Status'!$D$9:$J$81,7,0)),$L$8:$Z$8,0))="","",INDEX($K:$Z,ROW(C151),MATCH(IF(VLOOKUP(_xlfn.CONCAT(B151,C151),'Detalhe Entregas e Status'!$D$9:$J$81,7,0)=DATE(2025,5,5),DATE(2025,5,12),VLOOKUP(_xlfn.CONCAT(B151,C151),'Detalhe Entregas e Status'!$D$9:$J$81,7,0)),$L$8:$Z$8,0)))</f>
        <v>#N/A</v>
      </c>
      <c r="I151" s="17"/>
      <c r="J151" s="197" t="s">
        <v>292</v>
      </c>
      <c r="K151" s="247" t="s">
        <v>399</v>
      </c>
      <c r="L151" s="247" t="s">
        <v>399</v>
      </c>
      <c r="M151" s="247"/>
      <c r="N151" s="247"/>
    </row>
    <row r="152" spans="2:14" ht="15" customHeight="1">
      <c r="B152" s="13" t="s">
        <v>61</v>
      </c>
      <c r="C152" s="13" t="s">
        <v>62</v>
      </c>
      <c r="D152" s="29" t="s">
        <v>95</v>
      </c>
      <c r="E152" s="14" t="s">
        <v>100</v>
      </c>
      <c r="F152" s="14">
        <v>2</v>
      </c>
      <c r="H152" s="165" t="e" cm="1">
        <f t="array" ref="H152">IF(INDEX($K:$Z,ROW(C152),MATCH(IF(VLOOKUP(_xlfn.CONCAT(B152,C152),'Detalhe Entregas e Status'!$D$9:$J$81,7,0)=DATE(2025,5,5),DATE(2025,5,12),VLOOKUP(_xlfn.CONCAT(B152,C152),'Detalhe Entregas e Status'!$D$9:$J$81,7,0)),$L$8:$Z$8,0))="","",INDEX($K:$Z,ROW(C152),MATCH(IF(VLOOKUP(_xlfn.CONCAT(B152,C152),'Detalhe Entregas e Status'!$D$9:$J$81,7,0)=DATE(2025,5,5),DATE(2025,5,12),VLOOKUP(_xlfn.CONCAT(B152,C152),'Detalhe Entregas e Status'!$D$9:$J$81,7,0)),$L$8:$Z$8,0)))</f>
        <v>#N/A</v>
      </c>
      <c r="I152" s="17"/>
      <c r="J152" s="197" t="s">
        <v>292</v>
      </c>
      <c r="K152" s="247" t="s">
        <v>399</v>
      </c>
      <c r="L152" s="247" t="s">
        <v>399</v>
      </c>
      <c r="M152" s="247"/>
      <c r="N152" s="247"/>
    </row>
    <row r="153" spans="2:14" ht="15" customHeight="1">
      <c r="B153" s="13" t="s">
        <v>61</v>
      </c>
      <c r="C153" s="13" t="s">
        <v>62</v>
      </c>
      <c r="D153" s="29" t="s">
        <v>93</v>
      </c>
      <c r="E153" s="14" t="s">
        <v>99</v>
      </c>
      <c r="F153" s="14">
        <v>4</v>
      </c>
      <c r="H153" s="165" t="e" cm="1">
        <f t="array" ref="H153">IF(INDEX($K:$Z,ROW(C153),MATCH(IF(VLOOKUP(_xlfn.CONCAT(B153,C153),'Detalhe Entregas e Status'!$D$9:$J$81,7,0)=DATE(2025,5,5),DATE(2025,5,12),VLOOKUP(_xlfn.CONCAT(B153,C153),'Detalhe Entregas e Status'!$D$9:$J$81,7,0)),$L$8:$Z$8,0))="","",INDEX($K:$Z,ROW(C153),MATCH(IF(VLOOKUP(_xlfn.CONCAT(B153,C153),'Detalhe Entregas e Status'!$D$9:$J$81,7,0)=DATE(2025,5,5),DATE(2025,5,12),VLOOKUP(_xlfn.CONCAT(B153,C153),'Detalhe Entregas e Status'!$D$9:$J$81,7,0)),$L$8:$Z$8,0)))</f>
        <v>#N/A</v>
      </c>
      <c r="I153" s="17"/>
      <c r="J153" s="197" t="s">
        <v>292</v>
      </c>
      <c r="K153" s="247" t="s">
        <v>400</v>
      </c>
      <c r="L153" s="247" t="s">
        <v>400</v>
      </c>
      <c r="M153" s="247"/>
      <c r="N153" s="247"/>
    </row>
    <row r="154" spans="2:14" ht="15" customHeight="1">
      <c r="B154" s="13" t="s">
        <v>63</v>
      </c>
      <c r="C154" s="13" t="s">
        <v>89</v>
      </c>
      <c r="D154" s="29" t="s">
        <v>92</v>
      </c>
      <c r="E154" s="14" t="s">
        <v>98</v>
      </c>
      <c r="F154" s="14">
        <v>16</v>
      </c>
      <c r="H154" s="165" t="e" cm="1">
        <f t="array" ref="H154">IF(INDEX($K:$Z,ROW(C154),MATCH(IF(VLOOKUP(_xlfn.CONCAT(B154,C154),'Detalhe Entregas e Status'!$D$9:$J$81,7,0)=DATE(2025,5,5),DATE(2025,5,12),VLOOKUP(_xlfn.CONCAT(B154,C154),'Detalhe Entregas e Status'!$D$9:$J$81,7,0)),$L$8:$Z$8,0))="","",INDEX($K:$Z,ROW(C154),MATCH(IF(VLOOKUP(_xlfn.CONCAT(B154,C154),'Detalhe Entregas e Status'!$D$9:$J$81,7,0)=DATE(2025,5,5),DATE(2025,5,12),VLOOKUP(_xlfn.CONCAT(B154,C154),'Detalhe Entregas e Status'!$D$9:$J$81,7,0)),$L$8:$Z$8,0)))</f>
        <v>#N/A</v>
      </c>
      <c r="I154" s="17"/>
      <c r="J154" s="197" t="s">
        <v>292</v>
      </c>
      <c r="K154" s="247" t="s">
        <v>400</v>
      </c>
      <c r="L154" s="247"/>
      <c r="M154" s="247"/>
      <c r="N154" s="247"/>
    </row>
    <row r="155" spans="2:14" ht="15" customHeight="1">
      <c r="B155" s="13" t="s">
        <v>63</v>
      </c>
      <c r="C155" s="13" t="s">
        <v>36</v>
      </c>
      <c r="D155" s="29" t="s">
        <v>96</v>
      </c>
      <c r="E155" s="14" t="s">
        <v>100</v>
      </c>
      <c r="F155" s="14">
        <v>2</v>
      </c>
      <c r="H155" s="165" t="e" cm="1">
        <f t="array" ref="H155">IF(INDEX($K:$Z,ROW(C155),MATCH(IF(VLOOKUP(_xlfn.CONCAT(B155,C155),'Detalhe Entregas e Status'!$D$9:$J$81,7,0)=DATE(2025,5,5),DATE(2025,5,12),VLOOKUP(_xlfn.CONCAT(B155,C155),'Detalhe Entregas e Status'!$D$9:$J$81,7,0)),$L$8:$Z$8,0))="","",INDEX($K:$Z,ROW(C155),MATCH(IF(VLOOKUP(_xlfn.CONCAT(B155,C155),'Detalhe Entregas e Status'!$D$9:$J$81,7,0)=DATE(2025,5,5),DATE(2025,5,12),VLOOKUP(_xlfn.CONCAT(B155,C155),'Detalhe Entregas e Status'!$D$9:$J$81,7,0)),$L$8:$Z$8,0)))</f>
        <v>#N/A</v>
      </c>
      <c r="I155" s="17"/>
      <c r="J155" s="197" t="s">
        <v>292</v>
      </c>
      <c r="K155" s="247" t="s">
        <v>399</v>
      </c>
      <c r="L155" s="247"/>
      <c r="M155" s="247"/>
      <c r="N155" s="247"/>
    </row>
    <row r="156" spans="2:14" ht="15" customHeight="1">
      <c r="B156" s="13" t="s">
        <v>63</v>
      </c>
      <c r="C156" s="13" t="s">
        <v>36</v>
      </c>
      <c r="D156" s="29" t="s">
        <v>94</v>
      </c>
      <c r="E156" s="14" t="s">
        <v>100</v>
      </c>
      <c r="F156" s="14">
        <v>1</v>
      </c>
      <c r="H156" s="165" t="e" cm="1">
        <f t="array" ref="H156">IF(INDEX($K:$Z,ROW(C156),MATCH(IF(VLOOKUP(_xlfn.CONCAT(B156,C156),'Detalhe Entregas e Status'!$D$9:$J$81,7,0)=DATE(2025,5,5),DATE(2025,5,12),VLOOKUP(_xlfn.CONCAT(B156,C156),'Detalhe Entregas e Status'!$D$9:$J$81,7,0)),$L$8:$Z$8,0))="","",INDEX($K:$Z,ROW(C156),MATCH(IF(VLOOKUP(_xlfn.CONCAT(B156,C156),'Detalhe Entregas e Status'!$D$9:$J$81,7,0)=DATE(2025,5,5),DATE(2025,5,12),VLOOKUP(_xlfn.CONCAT(B156,C156),'Detalhe Entregas e Status'!$D$9:$J$81,7,0)),$L$8:$Z$8,0)))</f>
        <v>#N/A</v>
      </c>
      <c r="I156" s="17"/>
      <c r="J156" s="197" t="s">
        <v>292</v>
      </c>
      <c r="K156" s="247" t="s">
        <v>399</v>
      </c>
      <c r="L156" s="247"/>
      <c r="M156" s="247"/>
      <c r="N156" s="247"/>
    </row>
    <row r="157" spans="2:14" ht="15" customHeight="1">
      <c r="B157" s="13" t="s">
        <v>63</v>
      </c>
      <c r="C157" s="13" t="s">
        <v>38</v>
      </c>
      <c r="D157" s="29" t="s">
        <v>96</v>
      </c>
      <c r="E157" s="14" t="s">
        <v>100</v>
      </c>
      <c r="F157" s="14">
        <v>2</v>
      </c>
      <c r="H157" s="165" t="e" cm="1">
        <f t="array" ref="H157">IF(INDEX($K:$Z,ROW(C157),MATCH(IF(VLOOKUP(_xlfn.CONCAT(B157,C157),'Detalhe Entregas e Status'!$D$9:$J$81,7,0)=DATE(2025,5,5),DATE(2025,5,12),VLOOKUP(_xlfn.CONCAT(B157,C157),'Detalhe Entregas e Status'!$D$9:$J$81,7,0)),$L$8:$Z$8,0))="","",INDEX($K:$Z,ROW(C157),MATCH(IF(VLOOKUP(_xlfn.CONCAT(B157,C157),'Detalhe Entregas e Status'!$D$9:$J$81,7,0)=DATE(2025,5,5),DATE(2025,5,12),VLOOKUP(_xlfn.CONCAT(B157,C157),'Detalhe Entregas e Status'!$D$9:$J$81,7,0)),$L$8:$Z$8,0)))</f>
        <v>#N/A</v>
      </c>
      <c r="I157" s="17"/>
      <c r="J157" s="197" t="s">
        <v>292</v>
      </c>
      <c r="K157" s="247" t="s">
        <v>399</v>
      </c>
      <c r="L157" s="247"/>
      <c r="M157" s="247"/>
      <c r="N157" s="247"/>
    </row>
    <row r="158" spans="2:14" ht="15" customHeight="1">
      <c r="B158" s="13" t="s">
        <v>63</v>
      </c>
      <c r="C158" s="13" t="s">
        <v>38</v>
      </c>
      <c r="D158" s="29" t="s">
        <v>94</v>
      </c>
      <c r="E158" s="14" t="s">
        <v>100</v>
      </c>
      <c r="F158" s="14">
        <v>1</v>
      </c>
      <c r="H158" s="165" t="e" cm="1">
        <f t="array" ref="H158">IF(INDEX($K:$Z,ROW(C158),MATCH(IF(VLOOKUP(_xlfn.CONCAT(B158,C158),'Detalhe Entregas e Status'!$D$9:$J$81,7,0)=DATE(2025,5,5),DATE(2025,5,12),VLOOKUP(_xlfn.CONCAT(B158,C158),'Detalhe Entregas e Status'!$D$9:$J$81,7,0)),$L$8:$Z$8,0))="","",INDEX($K:$Z,ROW(C158),MATCH(IF(VLOOKUP(_xlfn.CONCAT(B158,C158),'Detalhe Entregas e Status'!$D$9:$J$81,7,0)=DATE(2025,5,5),DATE(2025,5,12),VLOOKUP(_xlfn.CONCAT(B158,C158),'Detalhe Entregas e Status'!$D$9:$J$81,7,0)),$L$8:$Z$8,0)))</f>
        <v>#N/A</v>
      </c>
      <c r="I158" s="17"/>
      <c r="J158" s="197" t="s">
        <v>292</v>
      </c>
      <c r="K158" s="247" t="s">
        <v>399</v>
      </c>
      <c r="L158" s="247"/>
      <c r="M158" s="247"/>
      <c r="N158" s="247"/>
    </row>
    <row r="159" spans="2:14" ht="15" customHeight="1">
      <c r="B159" s="13" t="s">
        <v>63</v>
      </c>
      <c r="C159" s="13" t="s">
        <v>54</v>
      </c>
      <c r="D159" s="29" t="s">
        <v>96</v>
      </c>
      <c r="E159" s="14" t="s">
        <v>100</v>
      </c>
      <c r="F159" s="14">
        <v>2</v>
      </c>
      <c r="H159" s="165" t="e" cm="1">
        <f t="array" ref="H159">IF(INDEX($K:$Z,ROW(C159),MATCH(IF(VLOOKUP(_xlfn.CONCAT(B159,C159),'Detalhe Entregas e Status'!$D$9:$J$81,7,0)=DATE(2025,5,5),DATE(2025,5,12),VLOOKUP(_xlfn.CONCAT(B159,C159),'Detalhe Entregas e Status'!$D$9:$J$81,7,0)),$L$8:$Z$8,0))="","",INDEX($K:$Z,ROW(C159),MATCH(IF(VLOOKUP(_xlfn.CONCAT(B159,C159),'Detalhe Entregas e Status'!$D$9:$J$81,7,0)=DATE(2025,5,5),DATE(2025,5,12),VLOOKUP(_xlfn.CONCAT(B159,C159),'Detalhe Entregas e Status'!$D$9:$J$81,7,0)),$L$8:$Z$8,0)))</f>
        <v>#N/A</v>
      </c>
      <c r="I159" s="17"/>
      <c r="J159" s="197" t="s">
        <v>292</v>
      </c>
      <c r="K159" s="247" t="s">
        <v>400</v>
      </c>
      <c r="L159" s="247"/>
      <c r="M159" s="247"/>
      <c r="N159" s="247"/>
    </row>
    <row r="160" spans="2:14" ht="15" customHeight="1">
      <c r="B160" s="13" t="s">
        <v>63</v>
      </c>
      <c r="C160" s="13" t="s">
        <v>54</v>
      </c>
      <c r="D160" s="29" t="s">
        <v>94</v>
      </c>
      <c r="E160" s="14" t="s">
        <v>100</v>
      </c>
      <c r="F160" s="14">
        <v>1</v>
      </c>
      <c r="H160" s="165" t="e" cm="1">
        <f t="array" ref="H160">IF(INDEX($K:$Z,ROW(C160),MATCH(IF(VLOOKUP(_xlfn.CONCAT(B160,C160),'Detalhe Entregas e Status'!$D$9:$J$81,7,0)=DATE(2025,5,5),DATE(2025,5,12),VLOOKUP(_xlfn.CONCAT(B160,C160),'Detalhe Entregas e Status'!$D$9:$J$81,7,0)),$L$8:$Z$8,0))="","",INDEX($K:$Z,ROW(C160),MATCH(IF(VLOOKUP(_xlfn.CONCAT(B160,C160),'Detalhe Entregas e Status'!$D$9:$J$81,7,0)=DATE(2025,5,5),DATE(2025,5,12),VLOOKUP(_xlfn.CONCAT(B160,C160),'Detalhe Entregas e Status'!$D$9:$J$81,7,0)),$L$8:$Z$8,0)))</f>
        <v>#N/A</v>
      </c>
      <c r="I160" s="17"/>
      <c r="J160" s="197" t="s">
        <v>292</v>
      </c>
      <c r="K160" s="247" t="s">
        <v>399</v>
      </c>
      <c r="L160" s="247"/>
      <c r="M160" s="247"/>
      <c r="N160" s="247"/>
    </row>
    <row r="161" spans="2:14" ht="15" customHeight="1">
      <c r="B161" s="13" t="s">
        <v>63</v>
      </c>
      <c r="C161" s="13" t="s">
        <v>66</v>
      </c>
      <c r="D161" s="29" t="s">
        <v>93</v>
      </c>
      <c r="E161" s="14" t="s">
        <v>99</v>
      </c>
      <c r="F161" s="14">
        <v>4</v>
      </c>
      <c r="H161" s="165" t="e" cm="1">
        <f t="array" ref="H161">IF(INDEX($K:$Z,ROW(C161),MATCH(IF(VLOOKUP(_xlfn.CONCAT(B161,C161),'Detalhe Entregas e Status'!$D$9:$J$81,7,0)=DATE(2025,5,5),DATE(2025,5,12),VLOOKUP(_xlfn.CONCAT(B161,C161),'Detalhe Entregas e Status'!$D$9:$J$81,7,0)),$L$8:$Z$8,0))="","",INDEX($K:$Z,ROW(C161),MATCH(IF(VLOOKUP(_xlfn.CONCAT(B161,C161),'Detalhe Entregas e Status'!$D$9:$J$81,7,0)=DATE(2025,5,5),DATE(2025,5,12),VLOOKUP(_xlfn.CONCAT(B161,C161),'Detalhe Entregas e Status'!$D$9:$J$81,7,0)),$L$8:$Z$8,0)))</f>
        <v>#N/A</v>
      </c>
      <c r="I161" s="17"/>
      <c r="J161" s="197" t="s">
        <v>292</v>
      </c>
      <c r="K161" s="247" t="s">
        <v>400</v>
      </c>
      <c r="L161" s="247"/>
      <c r="M161" s="247"/>
      <c r="N161" s="247"/>
    </row>
    <row r="162" spans="2:14" ht="15" customHeight="1">
      <c r="B162" s="13" t="s">
        <v>63</v>
      </c>
      <c r="C162" s="13" t="s">
        <v>66</v>
      </c>
      <c r="D162" s="29" t="s">
        <v>95</v>
      </c>
      <c r="E162" s="14" t="s">
        <v>100</v>
      </c>
      <c r="F162" s="14">
        <v>2</v>
      </c>
      <c r="H162" s="165" t="e" cm="1">
        <f t="array" ref="H162">IF(INDEX($K:$Z,ROW(C162),MATCH(IF(VLOOKUP(_xlfn.CONCAT(B162,C162),'Detalhe Entregas e Status'!$D$9:$J$81,7,0)=DATE(2025,5,5),DATE(2025,5,12),VLOOKUP(_xlfn.CONCAT(B162,C162),'Detalhe Entregas e Status'!$D$9:$J$81,7,0)),$L$8:$Z$8,0))="","",INDEX($K:$Z,ROW(C162),MATCH(IF(VLOOKUP(_xlfn.CONCAT(B162,C162),'Detalhe Entregas e Status'!$D$9:$J$81,7,0)=DATE(2025,5,5),DATE(2025,5,12),VLOOKUP(_xlfn.CONCAT(B162,C162),'Detalhe Entregas e Status'!$D$9:$J$81,7,0)),$L$8:$Z$8,0)))</f>
        <v>#N/A</v>
      </c>
      <c r="I162" s="17"/>
      <c r="J162" s="197" t="s">
        <v>292</v>
      </c>
      <c r="K162" s="247" t="s">
        <v>400</v>
      </c>
      <c r="L162" s="247"/>
      <c r="M162" s="247"/>
      <c r="N162" s="247"/>
    </row>
    <row r="163" spans="2:14" ht="15" customHeight="1">
      <c r="B163" s="13" t="s">
        <v>63</v>
      </c>
      <c r="C163" s="13" t="s">
        <v>66</v>
      </c>
      <c r="D163" s="29" t="s">
        <v>96</v>
      </c>
      <c r="E163" s="14" t="s">
        <v>99</v>
      </c>
      <c r="F163" s="14">
        <v>2</v>
      </c>
      <c r="H163" s="165" t="e" cm="1">
        <f t="array" ref="H163">IF(INDEX($K:$Z,ROW(C163),MATCH(IF(VLOOKUP(_xlfn.CONCAT(B163,C163),'Detalhe Entregas e Status'!$D$9:$J$81,7,0)=DATE(2025,5,5),DATE(2025,5,12),VLOOKUP(_xlfn.CONCAT(B163,C163),'Detalhe Entregas e Status'!$D$9:$J$81,7,0)),$L$8:$Z$8,0))="","",INDEX($K:$Z,ROW(C163),MATCH(IF(VLOOKUP(_xlfn.CONCAT(B163,C163),'Detalhe Entregas e Status'!$D$9:$J$81,7,0)=DATE(2025,5,5),DATE(2025,5,12),VLOOKUP(_xlfn.CONCAT(B163,C163),'Detalhe Entregas e Status'!$D$9:$J$81,7,0)),$L$8:$Z$8,0)))</f>
        <v>#N/A</v>
      </c>
      <c r="I163" s="17"/>
      <c r="J163" s="197" t="s">
        <v>292</v>
      </c>
      <c r="K163" s="247" t="s">
        <v>400</v>
      </c>
      <c r="L163" s="247"/>
      <c r="M163" s="247"/>
      <c r="N163" s="247"/>
    </row>
    <row r="164" spans="2:14" ht="15" customHeight="1">
      <c r="B164" s="13" t="s">
        <v>63</v>
      </c>
      <c r="C164" s="13" t="s">
        <v>66</v>
      </c>
      <c r="D164" s="29" t="s">
        <v>94</v>
      </c>
      <c r="E164" s="14" t="s">
        <v>100</v>
      </c>
      <c r="F164" s="14">
        <v>1</v>
      </c>
      <c r="H164" s="165" t="e" cm="1">
        <f t="array" ref="H164">IF(INDEX($K:$Z,ROW(C164),MATCH(IF(VLOOKUP(_xlfn.CONCAT(B164,C164),'Detalhe Entregas e Status'!$D$9:$J$81,7,0)=DATE(2025,5,5),DATE(2025,5,12),VLOOKUP(_xlfn.CONCAT(B164,C164),'Detalhe Entregas e Status'!$D$9:$J$81,7,0)),$L$8:$Z$8,0))="","",INDEX($K:$Z,ROW(C164),MATCH(IF(VLOOKUP(_xlfn.CONCAT(B164,C164),'Detalhe Entregas e Status'!$D$9:$J$81,7,0)=DATE(2025,5,5),DATE(2025,5,12),VLOOKUP(_xlfn.CONCAT(B164,C164),'Detalhe Entregas e Status'!$D$9:$J$81,7,0)),$L$8:$Z$8,0)))</f>
        <v>#N/A</v>
      </c>
      <c r="I164" s="17"/>
      <c r="J164" s="197" t="s">
        <v>292</v>
      </c>
      <c r="K164" s="247" t="s">
        <v>400</v>
      </c>
      <c r="L164" s="247"/>
      <c r="M164" s="247"/>
      <c r="N164" s="247"/>
    </row>
    <row r="165" spans="2:14" ht="15" customHeight="1">
      <c r="B165" s="13" t="s">
        <v>63</v>
      </c>
      <c r="C165" s="13" t="s">
        <v>65</v>
      </c>
      <c r="D165" s="29" t="s">
        <v>93</v>
      </c>
      <c r="E165" s="14" t="s">
        <v>98</v>
      </c>
      <c r="F165" s="14">
        <v>8</v>
      </c>
      <c r="H165" s="165" t="e" cm="1">
        <f t="array" ref="H165">IF(INDEX($K:$Z,ROW(C165),MATCH(IF(VLOOKUP(_xlfn.CONCAT(B165,C165),'Detalhe Entregas e Status'!$D$9:$J$81,7,0)=DATE(2025,5,5),DATE(2025,5,12),VLOOKUP(_xlfn.CONCAT(B165,C165),'Detalhe Entregas e Status'!$D$9:$J$81,7,0)),$L$8:$Z$8,0))="","",INDEX($K:$Z,ROW(C165),MATCH(IF(VLOOKUP(_xlfn.CONCAT(B165,C165),'Detalhe Entregas e Status'!$D$9:$J$81,7,0)=DATE(2025,5,5),DATE(2025,5,12),VLOOKUP(_xlfn.CONCAT(B165,C165),'Detalhe Entregas e Status'!$D$9:$J$81,7,0)),$L$8:$Z$8,0)))</f>
        <v>#N/A</v>
      </c>
      <c r="I165" s="17"/>
      <c r="J165" s="197" t="s">
        <v>292</v>
      </c>
      <c r="K165" s="247" t="s">
        <v>400</v>
      </c>
      <c r="L165" s="247"/>
      <c r="M165" s="247"/>
      <c r="N165" s="247"/>
    </row>
    <row r="166" spans="2:14" ht="15" customHeight="1">
      <c r="B166" s="13" t="s">
        <v>63</v>
      </c>
      <c r="C166" s="13" t="s">
        <v>65</v>
      </c>
      <c r="D166" s="29" t="s">
        <v>95</v>
      </c>
      <c r="E166" s="14" t="s">
        <v>100</v>
      </c>
      <c r="F166" s="14">
        <v>2</v>
      </c>
      <c r="H166" s="165" t="e" cm="1">
        <f t="array" ref="H166">IF(INDEX($K:$Z,ROW(C166),MATCH(IF(VLOOKUP(_xlfn.CONCAT(B166,C166),'Detalhe Entregas e Status'!$D$9:$J$81,7,0)=DATE(2025,5,5),DATE(2025,5,12),VLOOKUP(_xlfn.CONCAT(B166,C166),'Detalhe Entregas e Status'!$D$9:$J$81,7,0)),$L$8:$Z$8,0))="","",INDEX($K:$Z,ROW(C166),MATCH(IF(VLOOKUP(_xlfn.CONCAT(B166,C166),'Detalhe Entregas e Status'!$D$9:$J$81,7,0)=DATE(2025,5,5),DATE(2025,5,12),VLOOKUP(_xlfn.CONCAT(B166,C166),'Detalhe Entregas e Status'!$D$9:$J$81,7,0)),$L$8:$Z$8,0)))</f>
        <v>#N/A</v>
      </c>
      <c r="I166" s="17"/>
      <c r="J166" s="197" t="s">
        <v>292</v>
      </c>
      <c r="K166" s="247" t="s">
        <v>400</v>
      </c>
      <c r="L166" s="247"/>
      <c r="M166" s="247"/>
      <c r="N166" s="247"/>
    </row>
    <row r="167" spans="2:14" ht="15" customHeight="1">
      <c r="B167" s="13" t="s">
        <v>63</v>
      </c>
      <c r="C167" s="13" t="s">
        <v>65</v>
      </c>
      <c r="D167" s="29" t="s">
        <v>96</v>
      </c>
      <c r="E167" s="14" t="s">
        <v>98</v>
      </c>
      <c r="F167" s="14">
        <v>2</v>
      </c>
      <c r="H167" s="165" t="e" cm="1">
        <f t="array" ref="H167">IF(INDEX($K:$Z,ROW(C167),MATCH(IF(VLOOKUP(_xlfn.CONCAT(B167,C167),'Detalhe Entregas e Status'!$D$9:$J$81,7,0)=DATE(2025,5,5),DATE(2025,5,12),VLOOKUP(_xlfn.CONCAT(B167,C167),'Detalhe Entregas e Status'!$D$9:$J$81,7,0)),$L$8:$Z$8,0))="","",INDEX($K:$Z,ROW(C167),MATCH(IF(VLOOKUP(_xlfn.CONCAT(B167,C167),'Detalhe Entregas e Status'!$D$9:$J$81,7,0)=DATE(2025,5,5),DATE(2025,5,12),VLOOKUP(_xlfn.CONCAT(B167,C167),'Detalhe Entregas e Status'!$D$9:$J$81,7,0)),$L$8:$Z$8,0)))</f>
        <v>#N/A</v>
      </c>
      <c r="I167" s="17"/>
      <c r="J167" s="197" t="s">
        <v>292</v>
      </c>
      <c r="K167" s="247" t="s">
        <v>400</v>
      </c>
      <c r="L167" s="247"/>
      <c r="M167" s="247"/>
      <c r="N167" s="247"/>
    </row>
    <row r="168" spans="2:14" ht="15" customHeight="1">
      <c r="B168" s="13" t="s">
        <v>63</v>
      </c>
      <c r="C168" s="13" t="s">
        <v>65</v>
      </c>
      <c r="D168" s="29" t="s">
        <v>94</v>
      </c>
      <c r="E168" s="14" t="s">
        <v>100</v>
      </c>
      <c r="F168" s="14">
        <v>1</v>
      </c>
      <c r="H168" s="165" t="e" cm="1">
        <f t="array" ref="H168">IF(INDEX($K:$Z,ROW(C168),MATCH(IF(VLOOKUP(_xlfn.CONCAT(B168,C168),'Detalhe Entregas e Status'!$D$9:$J$81,7,0)=DATE(2025,5,5),DATE(2025,5,12),VLOOKUP(_xlfn.CONCAT(B168,C168),'Detalhe Entregas e Status'!$D$9:$J$81,7,0)),$L$8:$Z$8,0))="","",INDEX($K:$Z,ROW(C168),MATCH(IF(VLOOKUP(_xlfn.CONCAT(B168,C168),'Detalhe Entregas e Status'!$D$9:$J$81,7,0)=DATE(2025,5,5),DATE(2025,5,12),VLOOKUP(_xlfn.CONCAT(B168,C168),'Detalhe Entregas e Status'!$D$9:$J$81,7,0)),$L$8:$Z$8,0)))</f>
        <v>#N/A</v>
      </c>
      <c r="I168" s="17"/>
      <c r="J168" s="197" t="s">
        <v>292</v>
      </c>
      <c r="K168" s="247" t="s">
        <v>400</v>
      </c>
      <c r="L168" s="247"/>
      <c r="M168" s="247"/>
      <c r="N168" s="247"/>
    </row>
    <row r="169" spans="2:14" ht="15" customHeight="1">
      <c r="B169" s="13" t="s">
        <v>63</v>
      </c>
      <c r="C169" s="13" t="s">
        <v>64</v>
      </c>
      <c r="D169" s="29" t="s">
        <v>93</v>
      </c>
      <c r="E169" s="14" t="s">
        <v>98</v>
      </c>
      <c r="F169" s="14">
        <v>8</v>
      </c>
      <c r="H169" s="165" t="e" cm="1">
        <f t="array" ref="H169">IF(INDEX($K:$Z,ROW(C169),MATCH(IF(VLOOKUP(_xlfn.CONCAT(B169,C169),'Detalhe Entregas e Status'!$D$9:$J$81,7,0)=DATE(2025,5,5),DATE(2025,5,12),VLOOKUP(_xlfn.CONCAT(B169,C169),'Detalhe Entregas e Status'!$D$9:$J$81,7,0)),$L$8:$Z$8,0))="","",INDEX($K:$Z,ROW(C169),MATCH(IF(VLOOKUP(_xlfn.CONCAT(B169,C169),'Detalhe Entregas e Status'!$D$9:$J$81,7,0)=DATE(2025,5,5),DATE(2025,5,12),VLOOKUP(_xlfn.CONCAT(B169,C169),'Detalhe Entregas e Status'!$D$9:$J$81,7,0)),$L$8:$Z$8,0)))</f>
        <v>#N/A</v>
      </c>
      <c r="I169" s="17"/>
      <c r="J169" s="197" t="s">
        <v>292</v>
      </c>
      <c r="K169" s="247" t="s">
        <v>400</v>
      </c>
      <c r="L169" s="247"/>
      <c r="M169" s="247"/>
      <c r="N169" s="247"/>
    </row>
    <row r="170" spans="2:14" ht="15" customHeight="1">
      <c r="B170" s="13" t="s">
        <v>63</v>
      </c>
      <c r="C170" s="13" t="s">
        <v>64</v>
      </c>
      <c r="D170" s="29" t="s">
        <v>96</v>
      </c>
      <c r="E170" s="14" t="s">
        <v>98</v>
      </c>
      <c r="F170" s="14">
        <v>2</v>
      </c>
      <c r="H170" s="165" t="e" cm="1">
        <f t="array" ref="H170">IF(INDEX($K:$Z,ROW(C170),MATCH(IF(VLOOKUP(_xlfn.CONCAT(B170,C170),'Detalhe Entregas e Status'!$D$9:$J$81,7,0)=DATE(2025,5,5),DATE(2025,5,12),VLOOKUP(_xlfn.CONCAT(B170,C170),'Detalhe Entregas e Status'!$D$9:$J$81,7,0)),$L$8:$Z$8,0))="","",INDEX($K:$Z,ROW(C170),MATCH(IF(VLOOKUP(_xlfn.CONCAT(B170,C170),'Detalhe Entregas e Status'!$D$9:$J$81,7,0)=DATE(2025,5,5),DATE(2025,5,12),VLOOKUP(_xlfn.CONCAT(B170,C170),'Detalhe Entregas e Status'!$D$9:$J$81,7,0)),$L$8:$Z$8,0)))</f>
        <v>#N/A</v>
      </c>
      <c r="I170" s="17"/>
      <c r="J170" s="197" t="s">
        <v>292</v>
      </c>
      <c r="K170" s="247" t="s">
        <v>400</v>
      </c>
      <c r="L170" s="247"/>
      <c r="M170" s="247"/>
      <c r="N170" s="247"/>
    </row>
    <row r="171" spans="2:14" ht="15" customHeight="1">
      <c r="B171" s="13" t="s">
        <v>63</v>
      </c>
      <c r="C171" s="13" t="s">
        <v>64</v>
      </c>
      <c r="D171" s="29" t="s">
        <v>94</v>
      </c>
      <c r="E171" s="14" t="s">
        <v>100</v>
      </c>
      <c r="F171" s="14">
        <v>1</v>
      </c>
      <c r="H171" s="165" t="e" cm="1">
        <f t="array" ref="H171">IF(INDEX($K:$Z,ROW(C171),MATCH(IF(VLOOKUP(_xlfn.CONCAT(B171,C171),'Detalhe Entregas e Status'!$D$9:$J$81,7,0)=DATE(2025,5,5),DATE(2025,5,12),VLOOKUP(_xlfn.CONCAT(B171,C171),'Detalhe Entregas e Status'!$D$9:$J$81,7,0)),$L$8:$Z$8,0))="","",INDEX($K:$Z,ROW(C171),MATCH(IF(VLOOKUP(_xlfn.CONCAT(B171,C171),'Detalhe Entregas e Status'!$D$9:$J$81,7,0)=DATE(2025,5,5),DATE(2025,5,12),VLOOKUP(_xlfn.CONCAT(B171,C171),'Detalhe Entregas e Status'!$D$9:$J$81,7,0)),$L$8:$Z$8,0)))</f>
        <v>#N/A</v>
      </c>
      <c r="I171" s="17"/>
      <c r="J171" s="197" t="s">
        <v>292</v>
      </c>
      <c r="K171" s="247" t="s">
        <v>400</v>
      </c>
      <c r="L171" s="247"/>
      <c r="M171" s="247"/>
      <c r="N171" s="247"/>
    </row>
    <row r="175" spans="2:14">
      <c r="E175" s="193"/>
    </row>
  </sheetData>
  <autoFilter ref="B8:N171" xr:uid="{1E18BA37-0576-4DA3-B105-E9A64F054832}"/>
  <mergeCells count="1">
    <mergeCell ref="K7:N7"/>
  </mergeCells>
  <conditionalFormatting sqref="K9:N171">
    <cfRule type="containsText" dxfId="2" priority="1" operator="containsText" text="NOK">
      <formula>NOT(ISERROR(SEARCH("NOK",K9)))</formula>
    </cfRule>
    <cfRule type="containsText" dxfId="1" priority="2" operator="containsText" text="OK">
      <formula>NOT(ISERROR(SEARCH("OK",K9)))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5C7DB-90AE-45DE-9766-B5C0937CE82F}">
  <sheetPr>
    <tabColor theme="0" tint="-0.499984740745262"/>
  </sheetPr>
  <dimension ref="A1:V27"/>
  <sheetViews>
    <sheetView showGridLines="0" topLeftCell="A10" zoomScaleNormal="100" workbookViewId="0">
      <selection activeCell="C28" sqref="C28"/>
    </sheetView>
  </sheetViews>
  <sheetFormatPr defaultColWidth="0" defaultRowHeight="13.2"/>
  <cols>
    <col min="1" max="1" width="3.6640625" style="3" customWidth="1"/>
    <col min="2" max="2" width="39.5546875" style="3" customWidth="1"/>
    <col min="3" max="3" width="114.6640625" style="3" customWidth="1"/>
    <col min="4" max="4" width="3.6640625" style="3" customWidth="1"/>
    <col min="5" max="22" width="0" style="3" hidden="1" customWidth="1"/>
    <col min="23" max="16384" width="9.109375" style="3" hidden="1"/>
  </cols>
  <sheetData>
    <row r="1" spans="1:4" ht="16.2" customHeight="1">
      <c r="D1" s="8"/>
    </row>
    <row r="2" spans="1:4">
      <c r="A2" s="4"/>
      <c r="B2" s="4"/>
      <c r="C2" s="4"/>
      <c r="D2" s="9"/>
    </row>
    <row r="3" spans="1:4">
      <c r="A3" s="5"/>
      <c r="B3" s="5"/>
      <c r="C3" s="5"/>
      <c r="D3" s="9"/>
    </row>
    <row r="4" spans="1:4">
      <c r="A4" s="4"/>
      <c r="B4" s="4"/>
      <c r="C4" s="4"/>
      <c r="D4" s="9"/>
    </row>
    <row r="5" spans="1:4" ht="3" customHeight="1">
      <c r="A5" s="2"/>
      <c r="B5" s="2"/>
      <c r="C5" s="2"/>
      <c r="D5" s="10"/>
    </row>
    <row r="7" spans="1:4">
      <c r="B7" s="35" t="s">
        <v>109</v>
      </c>
      <c r="C7" s="34"/>
    </row>
    <row r="8" spans="1:4" ht="6.9" customHeight="1"/>
    <row r="9" spans="1:4" ht="15" customHeight="1">
      <c r="B9" s="12" t="s">
        <v>102</v>
      </c>
      <c r="C9" s="12" t="s">
        <v>103</v>
      </c>
    </row>
    <row r="10" spans="1:4" ht="30" customHeight="1">
      <c r="B10" s="31" t="s">
        <v>92</v>
      </c>
      <c r="C10" s="32" t="s">
        <v>104</v>
      </c>
    </row>
    <row r="11" spans="1:4" ht="30" customHeight="1">
      <c r="B11" s="31" t="s">
        <v>93</v>
      </c>
      <c r="C11" s="32" t="s">
        <v>105</v>
      </c>
    </row>
    <row r="12" spans="1:4" ht="30" customHeight="1">
      <c r="B12" s="31" t="s">
        <v>95</v>
      </c>
      <c r="C12" s="32" t="s">
        <v>106</v>
      </c>
    </row>
    <row r="13" spans="1:4" ht="30" customHeight="1">
      <c r="B13" s="31" t="s">
        <v>96</v>
      </c>
      <c r="C13" s="32" t="s">
        <v>107</v>
      </c>
    </row>
    <row r="14" spans="1:4" ht="30" customHeight="1">
      <c r="B14" s="31" t="s">
        <v>94</v>
      </c>
      <c r="C14" s="32" t="s">
        <v>108</v>
      </c>
    </row>
    <row r="17" spans="2:4">
      <c r="B17" s="33" t="s">
        <v>126</v>
      </c>
      <c r="C17" s="34"/>
      <c r="D17" s="34"/>
    </row>
    <row r="18" spans="2:4" ht="6.9" customHeight="1"/>
    <row r="19" spans="2:4" ht="15" customHeight="1">
      <c r="B19" s="46" t="s">
        <v>113</v>
      </c>
      <c r="C19" s="12" t="s">
        <v>103</v>
      </c>
    </row>
    <row r="20" spans="2:4" ht="15" customHeight="1">
      <c r="B20" s="41" t="s">
        <v>114</v>
      </c>
      <c r="C20" s="27" t="s">
        <v>118</v>
      </c>
    </row>
    <row r="21" spans="2:4" ht="15" customHeight="1">
      <c r="B21" s="42" t="s">
        <v>117</v>
      </c>
      <c r="C21" s="27" t="s">
        <v>119</v>
      </c>
    </row>
    <row r="22" spans="2:4" ht="15" customHeight="1">
      <c r="B22" s="43" t="s">
        <v>115</v>
      </c>
      <c r="C22" s="27" t="s">
        <v>120</v>
      </c>
    </row>
    <row r="23" spans="2:4" ht="15" customHeight="1">
      <c r="B23" s="44" t="s">
        <v>116</v>
      </c>
      <c r="C23" s="27" t="s">
        <v>121</v>
      </c>
    </row>
    <row r="24" spans="2:4" ht="15" customHeight="1">
      <c r="B24" s="45" t="s">
        <v>122</v>
      </c>
      <c r="C24" s="27" t="s">
        <v>123</v>
      </c>
    </row>
    <row r="25" spans="2:4" ht="15" customHeight="1">
      <c r="B25" s="161" t="s">
        <v>124</v>
      </c>
      <c r="C25" s="27" t="s">
        <v>125</v>
      </c>
    </row>
    <row r="26" spans="2:4">
      <c r="B26" s="250" t="s">
        <v>277</v>
      </c>
      <c r="C26" s="160" t="s">
        <v>278</v>
      </c>
    </row>
    <row r="27" spans="2:4">
      <c r="B27" s="251" t="s">
        <v>409</v>
      </c>
      <c r="C27" s="160" t="s">
        <v>410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A7360-ED2F-4881-BCA6-8DB957F0124D}">
  <sheetPr filterMode="1"/>
  <dimension ref="B3:J77"/>
  <sheetViews>
    <sheetView showGridLines="0" zoomScaleNormal="100" workbookViewId="0">
      <selection activeCell="C41" sqref="C41"/>
    </sheetView>
  </sheetViews>
  <sheetFormatPr defaultColWidth="8.88671875" defaultRowHeight="13.2"/>
  <cols>
    <col min="1" max="1" width="3.6640625" style="3" customWidth="1"/>
    <col min="2" max="2" width="18.44140625" style="3" bestFit="1" customWidth="1"/>
    <col min="3" max="3" width="39.6640625" style="3" bestFit="1" customWidth="1"/>
    <col min="4" max="4" width="11" style="3" customWidth="1"/>
    <col min="5" max="5" width="16.5546875" style="3" bestFit="1" customWidth="1"/>
    <col min="6" max="6" width="11.6640625" style="3" bestFit="1" customWidth="1"/>
    <col min="7" max="7" width="21.5546875" style="8" customWidth="1"/>
    <col min="8" max="8" width="24.33203125" style="200" customWidth="1"/>
    <col min="9" max="9" width="58.109375" style="147" customWidth="1"/>
    <col min="10" max="10" width="54.88671875" style="8" customWidth="1"/>
    <col min="11" max="16384" width="8.88671875" style="3"/>
  </cols>
  <sheetData>
    <row r="3" spans="2:10">
      <c r="D3" s="307" t="s">
        <v>334</v>
      </c>
      <c r="E3" s="307"/>
      <c r="F3" s="307"/>
    </row>
    <row r="4" spans="2:10">
      <c r="B4" s="22" t="s">
        <v>80</v>
      </c>
      <c r="C4" s="23" t="s">
        <v>81</v>
      </c>
      <c r="D4" s="207" t="s">
        <v>82</v>
      </c>
      <c r="E4" s="207" t="s">
        <v>86</v>
      </c>
      <c r="F4" s="207" t="s">
        <v>0</v>
      </c>
      <c r="G4" s="208" t="s">
        <v>293</v>
      </c>
      <c r="H4" s="208" t="s">
        <v>318</v>
      </c>
      <c r="I4" s="208" t="s">
        <v>294</v>
      </c>
      <c r="J4" s="208" t="s">
        <v>319</v>
      </c>
    </row>
    <row r="5" spans="2:10" hidden="1">
      <c r="B5" s="13" t="s">
        <v>1</v>
      </c>
      <c r="C5" s="13" t="s">
        <v>89</v>
      </c>
      <c r="D5" s="14" t="s">
        <v>90</v>
      </c>
      <c r="E5" s="14" t="s">
        <v>90</v>
      </c>
      <c r="F5" s="201" t="s">
        <v>90</v>
      </c>
      <c r="G5" s="203" t="s">
        <v>90</v>
      </c>
      <c r="H5" s="203" t="s">
        <v>90</v>
      </c>
      <c r="I5" s="206" t="s">
        <v>90</v>
      </c>
      <c r="J5" s="203" t="s">
        <v>90</v>
      </c>
    </row>
    <row r="6" spans="2:10" hidden="1">
      <c r="B6" s="18" t="s">
        <v>1</v>
      </c>
      <c r="C6" s="18" t="s">
        <v>2</v>
      </c>
      <c r="D6" s="19" t="s">
        <v>3</v>
      </c>
      <c r="E6" s="19" t="s">
        <v>4</v>
      </c>
      <c r="F6" s="202" t="s">
        <v>3</v>
      </c>
      <c r="G6" s="203" t="s">
        <v>281</v>
      </c>
      <c r="H6" s="205" t="s">
        <v>295</v>
      </c>
      <c r="I6" s="204" t="s">
        <v>296</v>
      </c>
      <c r="J6" s="203"/>
    </row>
    <row r="7" spans="2:10" hidden="1">
      <c r="B7" s="13" t="s">
        <v>1</v>
      </c>
      <c r="C7" s="13" t="s">
        <v>5</v>
      </c>
      <c r="D7" s="14" t="s">
        <v>3</v>
      </c>
      <c r="E7" s="14" t="s">
        <v>4</v>
      </c>
      <c r="F7" s="201" t="s">
        <v>4</v>
      </c>
      <c r="G7" s="203" t="s">
        <v>281</v>
      </c>
      <c r="H7" s="205" t="s">
        <v>295</v>
      </c>
      <c r="I7" s="204" t="s">
        <v>296</v>
      </c>
      <c r="J7" s="203"/>
    </row>
    <row r="8" spans="2:10" hidden="1">
      <c r="B8" s="13" t="s">
        <v>1</v>
      </c>
      <c r="C8" s="13" t="s">
        <v>6</v>
      </c>
      <c r="D8" s="14" t="s">
        <v>3</v>
      </c>
      <c r="E8" s="14" t="s">
        <v>4</v>
      </c>
      <c r="F8" s="201" t="s">
        <v>4</v>
      </c>
      <c r="G8" s="203" t="s">
        <v>281</v>
      </c>
      <c r="H8" s="205" t="s">
        <v>295</v>
      </c>
      <c r="I8" s="204" t="s">
        <v>296</v>
      </c>
      <c r="J8" s="203"/>
    </row>
    <row r="9" spans="2:10" hidden="1">
      <c r="B9" s="13" t="s">
        <v>1</v>
      </c>
      <c r="C9" s="13" t="s">
        <v>7</v>
      </c>
      <c r="D9" s="14" t="s">
        <v>3</v>
      </c>
      <c r="E9" s="14" t="s">
        <v>4</v>
      </c>
      <c r="F9" s="201" t="s">
        <v>4</v>
      </c>
      <c r="G9" s="203" t="s">
        <v>281</v>
      </c>
      <c r="H9" s="205" t="s">
        <v>295</v>
      </c>
      <c r="I9" s="204" t="s">
        <v>296</v>
      </c>
      <c r="J9" s="203"/>
    </row>
    <row r="10" spans="2:10" hidden="1">
      <c r="B10" s="13" t="s">
        <v>1</v>
      </c>
      <c r="C10" s="13" t="s">
        <v>8</v>
      </c>
      <c r="D10" s="14" t="s">
        <v>3</v>
      </c>
      <c r="E10" s="14" t="s">
        <v>4</v>
      </c>
      <c r="F10" s="201" t="s">
        <v>3</v>
      </c>
      <c r="G10" s="203" t="s">
        <v>281</v>
      </c>
      <c r="H10" s="205" t="s">
        <v>295</v>
      </c>
      <c r="I10" s="204" t="s">
        <v>296</v>
      </c>
      <c r="J10" s="203"/>
    </row>
    <row r="11" spans="2:10" hidden="1">
      <c r="B11" s="13" t="s">
        <v>1</v>
      </c>
      <c r="C11" s="13" t="s">
        <v>9</v>
      </c>
      <c r="D11" s="14" t="s">
        <v>3</v>
      </c>
      <c r="E11" s="14" t="s">
        <v>4</v>
      </c>
      <c r="F11" s="201" t="s">
        <v>3</v>
      </c>
      <c r="G11" s="203" t="s">
        <v>281</v>
      </c>
      <c r="H11" s="205" t="s">
        <v>295</v>
      </c>
      <c r="I11" s="204" t="s">
        <v>296</v>
      </c>
      <c r="J11" s="203"/>
    </row>
    <row r="12" spans="2:10" hidden="1">
      <c r="B12" s="13" t="s">
        <v>1</v>
      </c>
      <c r="C12" s="13" t="s">
        <v>10</v>
      </c>
      <c r="D12" s="14" t="s">
        <v>3</v>
      </c>
      <c r="E12" s="14" t="s">
        <v>4</v>
      </c>
      <c r="F12" s="201" t="s">
        <v>3</v>
      </c>
      <c r="G12" s="203" t="s">
        <v>281</v>
      </c>
      <c r="H12" s="205" t="s">
        <v>295</v>
      </c>
      <c r="I12" s="204" t="s">
        <v>296</v>
      </c>
      <c r="J12" s="203"/>
    </row>
    <row r="13" spans="2:10" hidden="1">
      <c r="B13" s="13" t="s">
        <v>1</v>
      </c>
      <c r="C13" s="13" t="s">
        <v>11</v>
      </c>
      <c r="D13" s="14" t="s">
        <v>3</v>
      </c>
      <c r="E13" s="14" t="s">
        <v>4</v>
      </c>
      <c r="F13" s="201" t="s">
        <v>3</v>
      </c>
      <c r="G13" s="203" t="s">
        <v>281</v>
      </c>
      <c r="H13" s="205" t="s">
        <v>295</v>
      </c>
      <c r="I13" s="204" t="s">
        <v>296</v>
      </c>
      <c r="J13" s="203"/>
    </row>
    <row r="14" spans="2:10" hidden="1">
      <c r="B14" s="13" t="s">
        <v>1</v>
      </c>
      <c r="C14" s="13" t="s">
        <v>12</v>
      </c>
      <c r="D14" s="14" t="s">
        <v>3</v>
      </c>
      <c r="E14" s="14" t="s">
        <v>4</v>
      </c>
      <c r="F14" s="201" t="s">
        <v>3</v>
      </c>
      <c r="G14" s="203" t="s">
        <v>281</v>
      </c>
      <c r="H14" s="205" t="s">
        <v>295</v>
      </c>
      <c r="I14" s="204" t="s">
        <v>296</v>
      </c>
      <c r="J14" s="203"/>
    </row>
    <row r="15" spans="2:10" hidden="1">
      <c r="B15" s="13" t="s">
        <v>1</v>
      </c>
      <c r="C15" s="13" t="s">
        <v>13</v>
      </c>
      <c r="D15" s="14" t="s">
        <v>3</v>
      </c>
      <c r="E15" s="14" t="s">
        <v>4</v>
      </c>
      <c r="F15" s="201" t="s">
        <v>3</v>
      </c>
      <c r="G15" s="203" t="s">
        <v>281</v>
      </c>
      <c r="H15" s="205" t="s">
        <v>295</v>
      </c>
      <c r="I15" s="204" t="s">
        <v>296</v>
      </c>
      <c r="J15" s="203"/>
    </row>
    <row r="16" spans="2:10" ht="26.4" hidden="1">
      <c r="B16" s="13" t="s">
        <v>1</v>
      </c>
      <c r="C16" s="13" t="s">
        <v>14</v>
      </c>
      <c r="D16" s="14" t="s">
        <v>3</v>
      </c>
      <c r="E16" s="14" t="s">
        <v>4</v>
      </c>
      <c r="F16" s="201" t="s">
        <v>3</v>
      </c>
      <c r="G16" s="203" t="s">
        <v>297</v>
      </c>
      <c r="H16" s="205" t="s">
        <v>90</v>
      </c>
      <c r="I16" s="204" t="s">
        <v>298</v>
      </c>
      <c r="J16" s="203" t="s">
        <v>3</v>
      </c>
    </row>
    <row r="17" spans="2:10" ht="26.4" hidden="1">
      <c r="B17" s="13" t="s">
        <v>1</v>
      </c>
      <c r="C17" s="13" t="s">
        <v>15</v>
      </c>
      <c r="D17" s="14" t="s">
        <v>3</v>
      </c>
      <c r="E17" s="14" t="s">
        <v>4</v>
      </c>
      <c r="F17" s="201" t="s">
        <v>3</v>
      </c>
      <c r="G17" s="203" t="s">
        <v>297</v>
      </c>
      <c r="H17" s="205" t="s">
        <v>90</v>
      </c>
      <c r="I17" s="204" t="s">
        <v>298</v>
      </c>
      <c r="J17" s="203" t="s">
        <v>311</v>
      </c>
    </row>
    <row r="18" spans="2:10" ht="26.4" hidden="1">
      <c r="B18" s="13" t="s">
        <v>1</v>
      </c>
      <c r="C18" s="13" t="s">
        <v>16</v>
      </c>
      <c r="D18" s="14" t="s">
        <v>3</v>
      </c>
      <c r="E18" s="14" t="s">
        <v>4</v>
      </c>
      <c r="F18" s="201" t="s">
        <v>3</v>
      </c>
      <c r="G18" s="203" t="s">
        <v>297</v>
      </c>
      <c r="H18" s="205" t="s">
        <v>90</v>
      </c>
      <c r="I18" s="204" t="s">
        <v>298</v>
      </c>
      <c r="J18" s="203" t="s">
        <v>320</v>
      </c>
    </row>
    <row r="19" spans="2:10" ht="26.4" hidden="1">
      <c r="B19" s="13" t="s">
        <v>1</v>
      </c>
      <c r="C19" s="13" t="s">
        <v>17</v>
      </c>
      <c r="D19" s="14" t="s">
        <v>3</v>
      </c>
      <c r="E19" s="14" t="s">
        <v>4</v>
      </c>
      <c r="F19" s="201" t="s">
        <v>3</v>
      </c>
      <c r="G19" s="203" t="s">
        <v>297</v>
      </c>
      <c r="H19" s="205" t="s">
        <v>90</v>
      </c>
      <c r="I19" s="204" t="s">
        <v>298</v>
      </c>
      <c r="J19" s="203" t="s">
        <v>311</v>
      </c>
    </row>
    <row r="20" spans="2:10" hidden="1">
      <c r="B20" s="13" t="s">
        <v>1</v>
      </c>
      <c r="C20" s="13" t="s">
        <v>18</v>
      </c>
      <c r="D20" s="14" t="s">
        <v>3</v>
      </c>
      <c r="E20" s="14" t="s">
        <v>4</v>
      </c>
      <c r="F20" s="201" t="s">
        <v>3</v>
      </c>
      <c r="G20" s="203" t="s">
        <v>281</v>
      </c>
      <c r="H20" s="205" t="s">
        <v>295</v>
      </c>
      <c r="I20" s="204" t="s">
        <v>296</v>
      </c>
      <c r="J20" s="203"/>
    </row>
    <row r="21" spans="2:10" ht="26.4" hidden="1">
      <c r="B21" s="13" t="s">
        <v>1</v>
      </c>
      <c r="C21" s="13" t="s">
        <v>19</v>
      </c>
      <c r="D21" s="14" t="s">
        <v>3</v>
      </c>
      <c r="E21" s="14" t="s">
        <v>4</v>
      </c>
      <c r="F21" s="201" t="s">
        <v>3</v>
      </c>
      <c r="G21" s="203" t="s">
        <v>297</v>
      </c>
      <c r="H21" s="205" t="s">
        <v>90</v>
      </c>
      <c r="I21" s="204" t="s">
        <v>298</v>
      </c>
      <c r="J21" s="203">
        <v>11111111111</v>
      </c>
    </row>
    <row r="22" spans="2:10" hidden="1">
      <c r="B22" s="13" t="s">
        <v>1</v>
      </c>
      <c r="C22" s="13" t="s">
        <v>20</v>
      </c>
      <c r="D22" s="14" t="s">
        <v>3</v>
      </c>
      <c r="E22" s="14" t="s">
        <v>4</v>
      </c>
      <c r="F22" s="201" t="s">
        <v>4</v>
      </c>
      <c r="G22" s="203" t="s">
        <v>281</v>
      </c>
      <c r="H22" s="205" t="s">
        <v>295</v>
      </c>
      <c r="I22" s="204" t="s">
        <v>296</v>
      </c>
      <c r="J22" s="203"/>
    </row>
    <row r="23" spans="2:10" hidden="1">
      <c r="B23" s="13" t="s">
        <v>1</v>
      </c>
      <c r="C23" s="13" t="s">
        <v>21</v>
      </c>
      <c r="D23" s="14" t="s">
        <v>3</v>
      </c>
      <c r="E23" s="14" t="s">
        <v>4</v>
      </c>
      <c r="F23" s="201" t="s">
        <v>3</v>
      </c>
      <c r="G23" s="203" t="s">
        <v>281</v>
      </c>
      <c r="H23" s="205" t="s">
        <v>295</v>
      </c>
      <c r="I23" s="204" t="s">
        <v>296</v>
      </c>
      <c r="J23" s="203"/>
    </row>
    <row r="24" spans="2:10" ht="26.4" hidden="1">
      <c r="B24" s="13" t="s">
        <v>1</v>
      </c>
      <c r="C24" s="13" t="s">
        <v>22</v>
      </c>
      <c r="D24" s="14" t="s">
        <v>3</v>
      </c>
      <c r="E24" s="14" t="s">
        <v>4</v>
      </c>
      <c r="F24" s="201" t="s">
        <v>3</v>
      </c>
      <c r="G24" s="203" t="s">
        <v>297</v>
      </c>
      <c r="H24" s="205" t="s">
        <v>90</v>
      </c>
      <c r="I24" s="204" t="s">
        <v>298</v>
      </c>
      <c r="J24" s="203">
        <v>11111111111</v>
      </c>
    </row>
    <row r="25" spans="2:10" hidden="1">
      <c r="B25" s="13" t="s">
        <v>1</v>
      </c>
      <c r="C25" s="13" t="s">
        <v>23</v>
      </c>
      <c r="D25" s="14" t="s">
        <v>3</v>
      </c>
      <c r="E25" s="14" t="s">
        <v>4</v>
      </c>
      <c r="F25" s="201" t="s">
        <v>3</v>
      </c>
      <c r="G25" s="203" t="s">
        <v>281</v>
      </c>
      <c r="H25" s="205" t="s">
        <v>295</v>
      </c>
      <c r="I25" s="204" t="s">
        <v>296</v>
      </c>
      <c r="J25" s="203"/>
    </row>
    <row r="26" spans="2:10" hidden="1">
      <c r="B26" s="13" t="s">
        <v>1</v>
      </c>
      <c r="C26" s="13" t="s">
        <v>24</v>
      </c>
      <c r="D26" s="14" t="s">
        <v>3</v>
      </c>
      <c r="E26" s="14" t="s">
        <v>4</v>
      </c>
      <c r="F26" s="201" t="s">
        <v>3</v>
      </c>
      <c r="G26" s="203" t="s">
        <v>281</v>
      </c>
      <c r="H26" s="205" t="s">
        <v>295</v>
      </c>
      <c r="I26" s="204" t="s">
        <v>296</v>
      </c>
      <c r="J26" s="203"/>
    </row>
    <row r="27" spans="2:10" ht="26.4" hidden="1">
      <c r="B27" s="13" t="s">
        <v>1</v>
      </c>
      <c r="C27" s="13" t="s">
        <v>25</v>
      </c>
      <c r="D27" s="14" t="s">
        <v>3</v>
      </c>
      <c r="E27" s="14" t="s">
        <v>4</v>
      </c>
      <c r="F27" s="201" t="s">
        <v>3</v>
      </c>
      <c r="G27" s="203" t="s">
        <v>297</v>
      </c>
      <c r="H27" s="205" t="s">
        <v>90</v>
      </c>
      <c r="I27" s="204" t="s">
        <v>298</v>
      </c>
      <c r="J27" s="203">
        <v>11111111111</v>
      </c>
    </row>
    <row r="28" spans="2:10" ht="26.4" hidden="1">
      <c r="B28" s="13" t="s">
        <v>1</v>
      </c>
      <c r="C28" s="13" t="s">
        <v>26</v>
      </c>
      <c r="D28" s="14" t="s">
        <v>3</v>
      </c>
      <c r="E28" s="14" t="s">
        <v>4</v>
      </c>
      <c r="F28" s="201" t="s">
        <v>3</v>
      </c>
      <c r="G28" s="203" t="s">
        <v>297</v>
      </c>
      <c r="H28" s="205" t="s">
        <v>90</v>
      </c>
      <c r="I28" s="204" t="s">
        <v>298</v>
      </c>
      <c r="J28" s="203">
        <v>11111111111</v>
      </c>
    </row>
    <row r="29" spans="2:10" ht="26.4" hidden="1">
      <c r="B29" s="13" t="s">
        <v>1</v>
      </c>
      <c r="C29" s="13" t="s">
        <v>27</v>
      </c>
      <c r="D29" s="14" t="s">
        <v>3</v>
      </c>
      <c r="E29" s="14" t="s">
        <v>4</v>
      </c>
      <c r="F29" s="201" t="s">
        <v>3</v>
      </c>
      <c r="G29" s="203" t="s">
        <v>297</v>
      </c>
      <c r="H29" s="205" t="s">
        <v>90</v>
      </c>
      <c r="I29" s="204" t="s">
        <v>298</v>
      </c>
      <c r="J29" s="203">
        <v>11111111111</v>
      </c>
    </row>
    <row r="30" spans="2:10" ht="26.4" hidden="1">
      <c r="B30" s="13" t="s">
        <v>1</v>
      </c>
      <c r="C30" s="13" t="s">
        <v>28</v>
      </c>
      <c r="D30" s="14" t="s">
        <v>3</v>
      </c>
      <c r="E30" s="14" t="s">
        <v>4</v>
      </c>
      <c r="F30" s="201" t="s">
        <v>3</v>
      </c>
      <c r="G30" s="203" t="s">
        <v>297</v>
      </c>
      <c r="H30" s="205" t="s">
        <v>90</v>
      </c>
      <c r="I30" s="204" t="s">
        <v>298</v>
      </c>
      <c r="J30" s="203">
        <v>11111111111</v>
      </c>
    </row>
    <row r="31" spans="2:10" ht="26.4" hidden="1">
      <c r="B31" s="13" t="s">
        <v>1</v>
      </c>
      <c r="C31" s="13" t="s">
        <v>29</v>
      </c>
      <c r="D31" s="14" t="s">
        <v>3</v>
      </c>
      <c r="E31" s="14" t="s">
        <v>4</v>
      </c>
      <c r="F31" s="201" t="s">
        <v>3</v>
      </c>
      <c r="G31" s="203" t="s">
        <v>297</v>
      </c>
      <c r="H31" s="205" t="s">
        <v>90</v>
      </c>
      <c r="I31" s="204" t="s">
        <v>298</v>
      </c>
      <c r="J31" s="203">
        <v>11111111111</v>
      </c>
    </row>
    <row r="32" spans="2:10" ht="26.4" hidden="1">
      <c r="B32" s="13" t="s">
        <v>1</v>
      </c>
      <c r="C32" s="13" t="s">
        <v>30</v>
      </c>
      <c r="D32" s="14" t="s">
        <v>3</v>
      </c>
      <c r="E32" s="14" t="s">
        <v>4</v>
      </c>
      <c r="F32" s="201" t="s">
        <v>3</v>
      </c>
      <c r="G32" s="203" t="s">
        <v>297</v>
      </c>
      <c r="H32" s="205" t="s">
        <v>90</v>
      </c>
      <c r="I32" s="204" t="s">
        <v>298</v>
      </c>
      <c r="J32" s="203" t="s">
        <v>311</v>
      </c>
    </row>
    <row r="33" spans="2:10" ht="26.4" hidden="1">
      <c r="B33" s="13" t="s">
        <v>1</v>
      </c>
      <c r="C33" s="13" t="s">
        <v>31</v>
      </c>
      <c r="D33" s="14" t="s">
        <v>3</v>
      </c>
      <c r="E33" s="14" t="s">
        <v>4</v>
      </c>
      <c r="F33" s="201" t="s">
        <v>3</v>
      </c>
      <c r="G33" s="203" t="s">
        <v>297</v>
      </c>
      <c r="H33" s="205" t="s">
        <v>90</v>
      </c>
      <c r="I33" s="204" t="s">
        <v>298</v>
      </c>
      <c r="J33" s="203">
        <v>11111111111</v>
      </c>
    </row>
    <row r="34" spans="2:10" ht="26.4" hidden="1">
      <c r="B34" s="13" t="s">
        <v>1</v>
      </c>
      <c r="C34" s="13" t="s">
        <v>32</v>
      </c>
      <c r="D34" s="14" t="s">
        <v>3</v>
      </c>
      <c r="E34" s="14" t="s">
        <v>4</v>
      </c>
      <c r="F34" s="201" t="s">
        <v>3</v>
      </c>
      <c r="G34" s="203" t="s">
        <v>297</v>
      </c>
      <c r="H34" s="205" t="s">
        <v>90</v>
      </c>
      <c r="I34" s="204" t="s">
        <v>298</v>
      </c>
      <c r="J34" s="203">
        <v>11111111111</v>
      </c>
    </row>
    <row r="35" spans="2:10" ht="52.8">
      <c r="B35" s="13" t="s">
        <v>1</v>
      </c>
      <c r="C35" s="13" t="s">
        <v>33</v>
      </c>
      <c r="D35" s="14" t="s">
        <v>4</v>
      </c>
      <c r="E35" s="14" t="s">
        <v>4</v>
      </c>
      <c r="F35" s="201" t="s">
        <v>3</v>
      </c>
      <c r="G35" s="203" t="s">
        <v>297</v>
      </c>
      <c r="H35" s="205" t="s">
        <v>90</v>
      </c>
      <c r="I35" s="210" t="s">
        <v>314</v>
      </c>
      <c r="J35" s="203" t="s">
        <v>321</v>
      </c>
    </row>
    <row r="36" spans="2:10" ht="52.8">
      <c r="B36" s="13" t="s">
        <v>1</v>
      </c>
      <c r="C36" s="13" t="s">
        <v>34</v>
      </c>
      <c r="D36" s="14" t="s">
        <v>4</v>
      </c>
      <c r="E36" s="14" t="s">
        <v>4</v>
      </c>
      <c r="F36" s="201" t="s">
        <v>3</v>
      </c>
      <c r="G36" s="203" t="s">
        <v>297</v>
      </c>
      <c r="H36" s="205" t="s">
        <v>90</v>
      </c>
      <c r="I36" s="210" t="s">
        <v>314</v>
      </c>
      <c r="J36" s="203" t="s">
        <v>321</v>
      </c>
    </row>
    <row r="37" spans="2:10" ht="52.8">
      <c r="B37" s="13" t="s">
        <v>1</v>
      </c>
      <c r="C37" s="13" t="s">
        <v>35</v>
      </c>
      <c r="D37" s="14" t="s">
        <v>4</v>
      </c>
      <c r="E37" s="14" t="s">
        <v>4</v>
      </c>
      <c r="F37" s="201" t="s">
        <v>4</v>
      </c>
      <c r="G37" s="203" t="s">
        <v>281</v>
      </c>
      <c r="H37" s="205" t="s">
        <v>316</v>
      </c>
      <c r="I37" s="210" t="s">
        <v>317</v>
      </c>
      <c r="J37" s="204" t="s">
        <v>322</v>
      </c>
    </row>
    <row r="38" spans="2:10" ht="33" hidden="1" customHeight="1">
      <c r="B38" s="13" t="s">
        <v>1</v>
      </c>
      <c r="C38" s="13" t="s">
        <v>36</v>
      </c>
      <c r="D38" s="14" t="s">
        <v>4</v>
      </c>
      <c r="E38" s="14" t="s">
        <v>4</v>
      </c>
      <c r="F38" s="201" t="s">
        <v>4</v>
      </c>
      <c r="G38" s="203" t="s">
        <v>297</v>
      </c>
      <c r="H38" s="205" t="s">
        <v>90</v>
      </c>
      <c r="I38" s="204" t="s">
        <v>336</v>
      </c>
      <c r="J38" s="211" t="s">
        <v>335</v>
      </c>
    </row>
    <row r="39" spans="2:10" ht="52.8">
      <c r="B39" s="13" t="s">
        <v>1</v>
      </c>
      <c r="C39" s="13" t="s">
        <v>37</v>
      </c>
      <c r="D39" s="14" t="s">
        <v>4</v>
      </c>
      <c r="E39" s="14" t="s">
        <v>4</v>
      </c>
      <c r="F39" s="201" t="s">
        <v>4</v>
      </c>
      <c r="G39" s="203" t="s">
        <v>281</v>
      </c>
      <c r="H39" s="205" t="s">
        <v>316</v>
      </c>
      <c r="I39" s="210" t="s">
        <v>317</v>
      </c>
      <c r="J39" s="204" t="s">
        <v>323</v>
      </c>
    </row>
    <row r="40" spans="2:10" ht="26.4">
      <c r="B40" s="13" t="s">
        <v>1</v>
      </c>
      <c r="C40" s="13" t="s">
        <v>38</v>
      </c>
      <c r="D40" s="14" t="s">
        <v>4</v>
      </c>
      <c r="E40" s="14" t="s">
        <v>4</v>
      </c>
      <c r="F40" s="201" t="s">
        <v>4</v>
      </c>
      <c r="G40" s="203" t="s">
        <v>297</v>
      </c>
      <c r="H40" s="205" t="s">
        <v>90</v>
      </c>
      <c r="I40" s="210" t="s">
        <v>315</v>
      </c>
      <c r="J40" s="203"/>
    </row>
    <row r="41" spans="2:10" ht="52.8">
      <c r="B41" s="13" t="s">
        <v>1</v>
      </c>
      <c r="C41" s="13" t="s">
        <v>39</v>
      </c>
      <c r="D41" s="14" t="s">
        <v>4</v>
      </c>
      <c r="E41" s="14" t="s">
        <v>4</v>
      </c>
      <c r="F41" s="201" t="s">
        <v>4</v>
      </c>
      <c r="G41" s="203" t="s">
        <v>281</v>
      </c>
      <c r="H41" s="205" t="s">
        <v>316</v>
      </c>
      <c r="I41" s="210" t="s">
        <v>317</v>
      </c>
      <c r="J41" s="204" t="s">
        <v>324</v>
      </c>
    </row>
    <row r="42" spans="2:10" ht="52.8">
      <c r="B42" s="13" t="s">
        <v>1</v>
      </c>
      <c r="C42" s="13" t="s">
        <v>40</v>
      </c>
      <c r="D42" s="14" t="s">
        <v>4</v>
      </c>
      <c r="E42" s="14" t="s">
        <v>4</v>
      </c>
      <c r="F42" s="201" t="s">
        <v>4</v>
      </c>
      <c r="G42" s="203" t="s">
        <v>297</v>
      </c>
      <c r="H42" s="205" t="s">
        <v>90</v>
      </c>
      <c r="I42" s="210" t="s">
        <v>314</v>
      </c>
      <c r="J42" s="203" t="s">
        <v>321</v>
      </c>
    </row>
    <row r="43" spans="2:10" ht="52.8">
      <c r="B43" s="13" t="s">
        <v>1</v>
      </c>
      <c r="C43" s="13" t="s">
        <v>41</v>
      </c>
      <c r="D43" s="14" t="s">
        <v>4</v>
      </c>
      <c r="E43" s="14" t="s">
        <v>4</v>
      </c>
      <c r="F43" s="201" t="s">
        <v>4</v>
      </c>
      <c r="G43" s="203" t="s">
        <v>297</v>
      </c>
      <c r="H43" s="205" t="s">
        <v>90</v>
      </c>
      <c r="I43" s="210" t="s">
        <v>314</v>
      </c>
      <c r="J43" s="203" t="s">
        <v>321</v>
      </c>
    </row>
    <row r="44" spans="2:10" ht="52.8">
      <c r="B44" s="13" t="s">
        <v>1</v>
      </c>
      <c r="C44" s="13" t="s">
        <v>42</v>
      </c>
      <c r="D44" s="14" t="s">
        <v>4</v>
      </c>
      <c r="E44" s="14" t="s">
        <v>4</v>
      </c>
      <c r="F44" s="201" t="s">
        <v>4</v>
      </c>
      <c r="G44" s="203" t="s">
        <v>281</v>
      </c>
      <c r="H44" s="205" t="s">
        <v>316</v>
      </c>
      <c r="I44" s="210" t="s">
        <v>317</v>
      </c>
      <c r="J44" s="204" t="s">
        <v>325</v>
      </c>
    </row>
    <row r="45" spans="2:10" ht="39.6">
      <c r="B45" s="13" t="s">
        <v>1</v>
      </c>
      <c r="C45" s="13" t="s">
        <v>43</v>
      </c>
      <c r="D45" s="14" t="s">
        <v>4</v>
      </c>
      <c r="E45" s="14" t="s">
        <v>4</v>
      </c>
      <c r="F45" s="201" t="s">
        <v>4</v>
      </c>
      <c r="G45" s="203" t="s">
        <v>297</v>
      </c>
      <c r="H45" s="205" t="s">
        <v>90</v>
      </c>
      <c r="I45" s="210" t="s">
        <v>313</v>
      </c>
      <c r="J45" s="203" t="s">
        <v>337</v>
      </c>
    </row>
    <row r="46" spans="2:10" ht="39.6">
      <c r="B46" s="13" t="s">
        <v>1</v>
      </c>
      <c r="C46" s="13" t="s">
        <v>44</v>
      </c>
      <c r="D46" s="14" t="s">
        <v>4</v>
      </c>
      <c r="E46" s="14" t="s">
        <v>4</v>
      </c>
      <c r="F46" s="201" t="s">
        <v>4</v>
      </c>
      <c r="G46" s="203" t="s">
        <v>297</v>
      </c>
      <c r="H46" s="205" t="s">
        <v>90</v>
      </c>
      <c r="I46" s="210" t="s">
        <v>313</v>
      </c>
      <c r="J46" s="203" t="s">
        <v>337</v>
      </c>
    </row>
    <row r="47" spans="2:10" ht="52.8">
      <c r="B47" s="13" t="s">
        <v>1</v>
      </c>
      <c r="C47" s="13" t="s">
        <v>45</v>
      </c>
      <c r="D47" s="14" t="s">
        <v>4</v>
      </c>
      <c r="E47" s="14" t="s">
        <v>4</v>
      </c>
      <c r="F47" s="201" t="s">
        <v>4</v>
      </c>
      <c r="G47" s="203" t="s">
        <v>281</v>
      </c>
      <c r="H47" s="205" t="s">
        <v>316</v>
      </c>
      <c r="I47" s="210" t="s">
        <v>317</v>
      </c>
      <c r="J47" s="204" t="s">
        <v>326</v>
      </c>
    </row>
    <row r="48" spans="2:10" ht="39.6">
      <c r="B48" s="13" t="s">
        <v>1</v>
      </c>
      <c r="C48" s="13" t="s">
        <v>46</v>
      </c>
      <c r="D48" s="14" t="s">
        <v>4</v>
      </c>
      <c r="E48" s="14" t="s">
        <v>4</v>
      </c>
      <c r="F48" s="201" t="s">
        <v>3</v>
      </c>
      <c r="G48" s="203" t="s">
        <v>297</v>
      </c>
      <c r="H48" s="205" t="s">
        <v>90</v>
      </c>
      <c r="I48" s="210" t="s">
        <v>313</v>
      </c>
      <c r="J48" s="203" t="s">
        <v>337</v>
      </c>
    </row>
    <row r="49" spans="2:10" ht="39.6">
      <c r="B49" s="13" t="s">
        <v>1</v>
      </c>
      <c r="C49" s="13" t="s">
        <v>47</v>
      </c>
      <c r="D49" s="14" t="s">
        <v>4</v>
      </c>
      <c r="E49" s="14" t="s">
        <v>4</v>
      </c>
      <c r="F49" s="201" t="s">
        <v>3</v>
      </c>
      <c r="G49" s="203" t="s">
        <v>297</v>
      </c>
      <c r="H49" s="205" t="s">
        <v>90</v>
      </c>
      <c r="I49" s="210" t="s">
        <v>313</v>
      </c>
      <c r="J49" s="203" t="s">
        <v>337</v>
      </c>
    </row>
    <row r="50" spans="2:10" ht="39.6">
      <c r="B50" s="13" t="s">
        <v>1</v>
      </c>
      <c r="C50" s="13" t="s">
        <v>48</v>
      </c>
      <c r="D50" s="14" t="s">
        <v>4</v>
      </c>
      <c r="E50" s="14" t="s">
        <v>4</v>
      </c>
      <c r="F50" s="201" t="s">
        <v>4</v>
      </c>
      <c r="G50" s="203" t="s">
        <v>297</v>
      </c>
      <c r="H50" s="205" t="s">
        <v>90</v>
      </c>
      <c r="I50" s="210" t="s">
        <v>313</v>
      </c>
      <c r="J50" s="203" t="s">
        <v>337</v>
      </c>
    </row>
    <row r="51" spans="2:10" ht="39.6">
      <c r="B51" s="13" t="s">
        <v>1</v>
      </c>
      <c r="C51" s="13" t="s">
        <v>49</v>
      </c>
      <c r="D51" s="14" t="s">
        <v>4</v>
      </c>
      <c r="E51" s="14" t="s">
        <v>4</v>
      </c>
      <c r="F51" s="201" t="s">
        <v>4</v>
      </c>
      <c r="G51" s="203" t="s">
        <v>297</v>
      </c>
      <c r="H51" s="205" t="s">
        <v>90</v>
      </c>
      <c r="I51" s="210" t="s">
        <v>313</v>
      </c>
      <c r="J51" s="203" t="s">
        <v>337</v>
      </c>
    </row>
    <row r="52" spans="2:10" ht="52.8">
      <c r="B52" s="13" t="s">
        <v>1</v>
      </c>
      <c r="C52" s="13" t="s">
        <v>50</v>
      </c>
      <c r="D52" s="14" t="s">
        <v>4</v>
      </c>
      <c r="E52" s="14" t="s">
        <v>4</v>
      </c>
      <c r="F52" s="201" t="s">
        <v>3</v>
      </c>
      <c r="G52" s="203" t="s">
        <v>281</v>
      </c>
      <c r="H52" s="205" t="s">
        <v>316</v>
      </c>
      <c r="I52" s="210" t="s">
        <v>317</v>
      </c>
      <c r="J52" s="204" t="s">
        <v>327</v>
      </c>
    </row>
    <row r="53" spans="2:10">
      <c r="B53" s="13" t="s">
        <v>1</v>
      </c>
      <c r="C53" s="13" t="s">
        <v>51</v>
      </c>
      <c r="D53" s="14" t="s">
        <v>4</v>
      </c>
      <c r="E53" s="14" t="s">
        <v>4</v>
      </c>
      <c r="F53" s="201" t="s">
        <v>4</v>
      </c>
      <c r="G53" s="203" t="s">
        <v>281</v>
      </c>
      <c r="H53" s="205" t="s">
        <v>295</v>
      </c>
      <c r="I53" s="205" t="s">
        <v>296</v>
      </c>
      <c r="J53" s="205" t="s">
        <v>329</v>
      </c>
    </row>
    <row r="54" spans="2:10" ht="52.8">
      <c r="B54" s="13" t="s">
        <v>1</v>
      </c>
      <c r="C54" s="13" t="s">
        <v>52</v>
      </c>
      <c r="D54" s="14" t="s">
        <v>4</v>
      </c>
      <c r="E54" s="14" t="s">
        <v>4</v>
      </c>
      <c r="F54" s="201" t="s">
        <v>4</v>
      </c>
      <c r="G54" s="203" t="s">
        <v>281</v>
      </c>
      <c r="H54" s="205" t="s">
        <v>316</v>
      </c>
      <c r="I54" s="204" t="s">
        <v>317</v>
      </c>
      <c r="J54" s="205" t="s">
        <v>328</v>
      </c>
    </row>
    <row r="55" spans="2:10" hidden="1">
      <c r="B55" s="13" t="s">
        <v>1</v>
      </c>
      <c r="C55" s="13" t="s">
        <v>53</v>
      </c>
      <c r="D55" s="14" t="s">
        <v>3</v>
      </c>
      <c r="E55" s="14" t="s">
        <v>4</v>
      </c>
      <c r="F55" s="201" t="s">
        <v>4</v>
      </c>
      <c r="G55" s="203" t="s">
        <v>281</v>
      </c>
      <c r="H55" s="205" t="s">
        <v>295</v>
      </c>
      <c r="I55" s="205" t="s">
        <v>296</v>
      </c>
      <c r="J55" s="203"/>
    </row>
    <row r="56" spans="2:10">
      <c r="B56" s="13" t="s">
        <v>1</v>
      </c>
      <c r="C56" s="13" t="s">
        <v>54</v>
      </c>
      <c r="D56" s="14" t="s">
        <v>4</v>
      </c>
      <c r="E56" s="14" t="s">
        <v>4</v>
      </c>
      <c r="F56" s="201" t="s">
        <v>4</v>
      </c>
      <c r="G56" s="203" t="s">
        <v>281</v>
      </c>
      <c r="H56" s="205" t="s">
        <v>295</v>
      </c>
      <c r="I56" s="205" t="s">
        <v>296</v>
      </c>
      <c r="J56" s="203"/>
    </row>
    <row r="57" spans="2:10" hidden="1">
      <c r="B57" s="13" t="s">
        <v>55</v>
      </c>
      <c r="C57" s="13" t="s">
        <v>89</v>
      </c>
      <c r="D57" s="14" t="s">
        <v>90</v>
      </c>
      <c r="E57" s="14" t="s">
        <v>90</v>
      </c>
      <c r="F57" s="201" t="s">
        <v>90</v>
      </c>
      <c r="G57" s="203" t="s">
        <v>90</v>
      </c>
      <c r="H57" s="203" t="s">
        <v>90</v>
      </c>
      <c r="I57" s="203" t="s">
        <v>90</v>
      </c>
      <c r="J57" s="203" t="s">
        <v>90</v>
      </c>
    </row>
    <row r="58" spans="2:10" ht="26.4" hidden="1">
      <c r="B58" s="13" t="s">
        <v>55</v>
      </c>
      <c r="C58" s="13" t="s">
        <v>36</v>
      </c>
      <c r="D58" s="14" t="s">
        <v>4</v>
      </c>
      <c r="E58" s="14" t="s">
        <v>4</v>
      </c>
      <c r="F58" s="201" t="s">
        <v>4</v>
      </c>
      <c r="G58" s="203" t="s">
        <v>281</v>
      </c>
      <c r="H58" s="205" t="s">
        <v>330</v>
      </c>
      <c r="I58" s="210" t="s">
        <v>331</v>
      </c>
      <c r="J58" s="203"/>
    </row>
    <row r="59" spans="2:10" ht="26.4" hidden="1">
      <c r="B59" s="13" t="s">
        <v>55</v>
      </c>
      <c r="C59" s="13" t="s">
        <v>38</v>
      </c>
      <c r="D59" s="14" t="s">
        <v>4</v>
      </c>
      <c r="E59" s="14" t="s">
        <v>4</v>
      </c>
      <c r="F59" s="201" t="s">
        <v>4</v>
      </c>
      <c r="G59" s="203" t="s">
        <v>281</v>
      </c>
      <c r="H59" s="205" t="s">
        <v>330</v>
      </c>
      <c r="I59" s="210" t="s">
        <v>331</v>
      </c>
      <c r="J59" s="203"/>
    </row>
    <row r="60" spans="2:10" ht="26.4" hidden="1">
      <c r="B60" s="13" t="s">
        <v>55</v>
      </c>
      <c r="C60" s="13" t="s">
        <v>56</v>
      </c>
      <c r="D60" s="14" t="s">
        <v>4</v>
      </c>
      <c r="E60" s="14" t="s">
        <v>4</v>
      </c>
      <c r="F60" s="201" t="s">
        <v>4</v>
      </c>
      <c r="G60" s="203" t="s">
        <v>281</v>
      </c>
      <c r="H60" s="205" t="s">
        <v>330</v>
      </c>
      <c r="I60" s="210" t="s">
        <v>331</v>
      </c>
      <c r="J60" s="203"/>
    </row>
    <row r="61" spans="2:10" ht="26.4" hidden="1">
      <c r="B61" s="13" t="s">
        <v>55</v>
      </c>
      <c r="C61" s="13" t="s">
        <v>57</v>
      </c>
      <c r="D61" s="14" t="s">
        <v>4</v>
      </c>
      <c r="E61" s="14" t="s">
        <v>4</v>
      </c>
      <c r="F61" s="201" t="s">
        <v>4</v>
      </c>
      <c r="G61" s="203" t="s">
        <v>281</v>
      </c>
      <c r="H61" s="205" t="s">
        <v>330</v>
      </c>
      <c r="I61" s="210" t="s">
        <v>331</v>
      </c>
      <c r="J61" s="203"/>
    </row>
    <row r="62" spans="2:10" ht="26.4" hidden="1">
      <c r="B62" s="13" t="s">
        <v>55</v>
      </c>
      <c r="C62" s="13" t="s">
        <v>58</v>
      </c>
      <c r="D62" s="14" t="s">
        <v>4</v>
      </c>
      <c r="E62" s="14" t="s">
        <v>4</v>
      </c>
      <c r="F62" s="201" t="s">
        <v>4</v>
      </c>
      <c r="G62" s="203" t="s">
        <v>281</v>
      </c>
      <c r="H62" s="205" t="s">
        <v>330</v>
      </c>
      <c r="I62" s="210" t="s">
        <v>331</v>
      </c>
      <c r="J62" s="203"/>
    </row>
    <row r="63" spans="2:10" ht="26.4" hidden="1">
      <c r="B63" s="13" t="s">
        <v>55</v>
      </c>
      <c r="C63" s="13" t="s">
        <v>59</v>
      </c>
      <c r="D63" s="14" t="s">
        <v>3</v>
      </c>
      <c r="E63" s="14" t="s">
        <v>4</v>
      </c>
      <c r="F63" s="201" t="s">
        <v>4</v>
      </c>
      <c r="G63" s="203" t="s">
        <v>281</v>
      </c>
      <c r="H63" s="205" t="s">
        <v>330</v>
      </c>
      <c r="I63" s="210" t="s">
        <v>331</v>
      </c>
      <c r="J63" s="203"/>
    </row>
    <row r="64" spans="2:10" hidden="1">
      <c r="B64" s="13" t="s">
        <v>55</v>
      </c>
      <c r="C64" s="13" t="s">
        <v>60</v>
      </c>
      <c r="D64" s="14" t="s">
        <v>3</v>
      </c>
      <c r="E64" s="14" t="s">
        <v>4</v>
      </c>
      <c r="F64" s="201" t="s">
        <v>3</v>
      </c>
      <c r="G64" s="203" t="s">
        <v>281</v>
      </c>
      <c r="H64" s="205" t="s">
        <v>330</v>
      </c>
      <c r="I64" s="210" t="s">
        <v>332</v>
      </c>
      <c r="J64" s="203"/>
    </row>
    <row r="65" spans="2:10" hidden="1">
      <c r="B65" s="13" t="s">
        <v>61</v>
      </c>
      <c r="C65" s="13" t="s">
        <v>89</v>
      </c>
      <c r="D65" s="14" t="s">
        <v>90</v>
      </c>
      <c r="E65" s="14" t="s">
        <v>90</v>
      </c>
      <c r="F65" s="201" t="s">
        <v>90</v>
      </c>
      <c r="G65" s="203" t="s">
        <v>90</v>
      </c>
      <c r="H65" s="205" t="s">
        <v>90</v>
      </c>
      <c r="I65" s="209" t="s">
        <v>90</v>
      </c>
      <c r="J65" s="203" t="s">
        <v>90</v>
      </c>
    </row>
    <row r="66" spans="2:10" hidden="1">
      <c r="B66" s="13" t="s">
        <v>61</v>
      </c>
      <c r="C66" s="13" t="s">
        <v>36</v>
      </c>
      <c r="D66" s="14" t="s">
        <v>4</v>
      </c>
      <c r="E66" s="14" t="s">
        <v>4</v>
      </c>
      <c r="F66" s="201" t="s">
        <v>4</v>
      </c>
      <c r="G66" s="203" t="s">
        <v>297</v>
      </c>
      <c r="H66" s="205" t="s">
        <v>90</v>
      </c>
      <c r="I66" s="209" t="s">
        <v>333</v>
      </c>
      <c r="J66" s="203"/>
    </row>
    <row r="67" spans="2:10" hidden="1">
      <c r="B67" s="13" t="s">
        <v>61</v>
      </c>
      <c r="C67" s="13" t="s">
        <v>38</v>
      </c>
      <c r="D67" s="14" t="s">
        <v>4</v>
      </c>
      <c r="E67" s="14" t="s">
        <v>4</v>
      </c>
      <c r="F67" s="201" t="s">
        <v>4</v>
      </c>
      <c r="G67" s="203" t="s">
        <v>297</v>
      </c>
      <c r="H67" s="205" t="s">
        <v>90</v>
      </c>
      <c r="I67" s="209" t="s">
        <v>333</v>
      </c>
      <c r="J67" s="203"/>
    </row>
    <row r="68" spans="2:10" hidden="1">
      <c r="B68" s="13" t="s">
        <v>61</v>
      </c>
      <c r="C68" s="13" t="s">
        <v>54</v>
      </c>
      <c r="D68" s="14" t="s">
        <v>4</v>
      </c>
      <c r="E68" s="14" t="s">
        <v>4</v>
      </c>
      <c r="F68" s="201" t="s">
        <v>4</v>
      </c>
      <c r="G68" s="203" t="s">
        <v>297</v>
      </c>
      <c r="H68" s="205" t="s">
        <v>90</v>
      </c>
      <c r="I68" s="209" t="s">
        <v>333</v>
      </c>
      <c r="J68" s="203"/>
    </row>
    <row r="69" spans="2:10" hidden="1">
      <c r="B69" s="13" t="s">
        <v>61</v>
      </c>
      <c r="C69" s="13" t="s">
        <v>56</v>
      </c>
      <c r="D69" s="14" t="s">
        <v>4</v>
      </c>
      <c r="E69" s="14" t="s">
        <v>4</v>
      </c>
      <c r="F69" s="201" t="s">
        <v>4</v>
      </c>
      <c r="G69" s="203" t="s">
        <v>297</v>
      </c>
      <c r="H69" s="205" t="s">
        <v>90</v>
      </c>
      <c r="I69" s="209" t="s">
        <v>333</v>
      </c>
      <c r="J69" s="203"/>
    </row>
    <row r="70" spans="2:10" hidden="1">
      <c r="B70" s="13" t="s">
        <v>61</v>
      </c>
      <c r="C70" s="13" t="s">
        <v>62</v>
      </c>
      <c r="D70" s="14" t="s">
        <v>3</v>
      </c>
      <c r="E70" s="14" t="s">
        <v>4</v>
      </c>
      <c r="F70" s="201" t="s">
        <v>4</v>
      </c>
      <c r="G70" s="203" t="s">
        <v>297</v>
      </c>
      <c r="H70" s="205" t="s">
        <v>90</v>
      </c>
      <c r="I70" s="209" t="s">
        <v>333</v>
      </c>
      <c r="J70" s="203"/>
    </row>
    <row r="71" spans="2:10" hidden="1">
      <c r="B71" s="13" t="s">
        <v>63</v>
      </c>
      <c r="C71" s="13" t="s">
        <v>89</v>
      </c>
      <c r="D71" s="14" t="s">
        <v>90</v>
      </c>
      <c r="E71" s="14" t="s">
        <v>90</v>
      </c>
      <c r="F71" s="201" t="s">
        <v>90</v>
      </c>
      <c r="G71" s="203" t="s">
        <v>90</v>
      </c>
      <c r="H71" s="205" t="s">
        <v>90</v>
      </c>
      <c r="I71" s="209" t="s">
        <v>90</v>
      </c>
      <c r="J71" s="203" t="s">
        <v>90</v>
      </c>
    </row>
    <row r="72" spans="2:10" hidden="1">
      <c r="B72" s="13" t="s">
        <v>63</v>
      </c>
      <c r="C72" s="13" t="s">
        <v>64</v>
      </c>
      <c r="D72" s="14" t="s">
        <v>3</v>
      </c>
      <c r="E72" s="14" t="s">
        <v>4</v>
      </c>
      <c r="F72" s="201" t="s">
        <v>4</v>
      </c>
      <c r="G72" s="203" t="s">
        <v>297</v>
      </c>
      <c r="H72" s="205" t="s">
        <v>90</v>
      </c>
      <c r="I72" s="209" t="s">
        <v>333</v>
      </c>
      <c r="J72" s="203"/>
    </row>
    <row r="73" spans="2:10" hidden="1">
      <c r="B73" s="13" t="s">
        <v>63</v>
      </c>
      <c r="C73" s="13" t="s">
        <v>65</v>
      </c>
      <c r="D73" s="14" t="s">
        <v>3</v>
      </c>
      <c r="E73" s="14" t="s">
        <v>4</v>
      </c>
      <c r="F73" s="201" t="s">
        <v>4</v>
      </c>
      <c r="G73" s="203" t="s">
        <v>297</v>
      </c>
      <c r="H73" s="205" t="s">
        <v>90</v>
      </c>
      <c r="I73" s="209" t="s">
        <v>333</v>
      </c>
      <c r="J73" s="203"/>
    </row>
    <row r="74" spans="2:10" hidden="1">
      <c r="B74" s="13" t="s">
        <v>63</v>
      </c>
      <c r="C74" s="13" t="s">
        <v>66</v>
      </c>
      <c r="D74" s="14" t="s">
        <v>3</v>
      </c>
      <c r="E74" s="14" t="s">
        <v>4</v>
      </c>
      <c r="F74" s="201" t="s">
        <v>4</v>
      </c>
      <c r="G74" s="203" t="s">
        <v>297</v>
      </c>
      <c r="H74" s="205" t="s">
        <v>90</v>
      </c>
      <c r="I74" s="209" t="s">
        <v>333</v>
      </c>
      <c r="J74" s="203"/>
    </row>
    <row r="75" spans="2:10" hidden="1">
      <c r="B75" s="13" t="s">
        <v>63</v>
      </c>
      <c r="C75" s="13" t="s">
        <v>36</v>
      </c>
      <c r="D75" s="14" t="s">
        <v>3</v>
      </c>
      <c r="E75" s="14" t="s">
        <v>4</v>
      </c>
      <c r="F75" s="201" t="s">
        <v>4</v>
      </c>
      <c r="G75" s="203" t="s">
        <v>297</v>
      </c>
      <c r="H75" s="205" t="s">
        <v>90</v>
      </c>
      <c r="I75" s="209" t="s">
        <v>333</v>
      </c>
      <c r="J75" s="203"/>
    </row>
    <row r="76" spans="2:10" hidden="1">
      <c r="B76" s="13" t="s">
        <v>63</v>
      </c>
      <c r="C76" s="13" t="s">
        <v>38</v>
      </c>
      <c r="D76" s="14" t="s">
        <v>3</v>
      </c>
      <c r="E76" s="14" t="s">
        <v>4</v>
      </c>
      <c r="F76" s="201" t="s">
        <v>4</v>
      </c>
      <c r="G76" s="203" t="s">
        <v>297</v>
      </c>
      <c r="H76" s="205" t="s">
        <v>90</v>
      </c>
      <c r="I76" s="209" t="s">
        <v>333</v>
      </c>
      <c r="J76" s="203"/>
    </row>
    <row r="77" spans="2:10" hidden="1">
      <c r="B77" s="13" t="s">
        <v>63</v>
      </c>
      <c r="C77" s="13" t="s">
        <v>54</v>
      </c>
      <c r="D77" s="14" t="s">
        <v>3</v>
      </c>
      <c r="E77" s="14" t="s">
        <v>4</v>
      </c>
      <c r="F77" s="201" t="s">
        <v>4</v>
      </c>
      <c r="G77" s="203" t="s">
        <v>297</v>
      </c>
      <c r="H77" s="205" t="s">
        <v>90</v>
      </c>
      <c r="I77" s="209" t="s">
        <v>333</v>
      </c>
      <c r="J77" s="203"/>
    </row>
  </sheetData>
  <autoFilter ref="B4:J77" xr:uid="{385A7360-ED2F-4881-BCA6-8DB957F0124D}">
    <filterColumn colId="0">
      <filters>
        <filter val="lt002_instrument"/>
      </filters>
    </filterColumn>
    <filterColumn colId="1">
      <filters>
        <filter val="ACCMLTD_CHNGS_FV_CR_INSTRMNT"/>
        <filter val="ACCMLTD_IMPRMNT_INSTRMNT"/>
        <filter val="ACCNTNG_CLSSFCTN"/>
        <filter val="CCF"/>
        <filter val="COD_SOC_INTRGRP"/>
        <filter val="DFLT_STTS_INSTRMNT"/>
        <filter val="DT_RFRNC"/>
        <filter val="EAD"/>
        <filter val="GRSS_CRRYNG_AMNT_INSTRMNT"/>
        <filter val="IDCMB"/>
        <filter val="IMPRMNT_STTS"/>
        <filter val="INSTRMNT_ID"/>
        <filter val="LCL_INSTMRNT_ID"/>
        <filter val="OFF_BLNC_SHT_AMNT_INSTRMNT"/>
        <filter val="PRFRMNG_STTS"/>
        <filter val="PRVSNS_OFF_BLNC_SHT"/>
        <filter val="RWA"/>
        <filter val="SUBPORTFOLIO_ID"/>
        <filter val="TYP_INSTRMNT"/>
        <filter val="TYP_OFF_BLNC_PRDCT"/>
      </filters>
    </filterColumn>
    <filterColumn colId="2">
      <filters>
        <filter val="Y"/>
      </filters>
    </filterColumn>
  </autoFilter>
  <mergeCells count="1">
    <mergeCell ref="D3:F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3E6F2-AD05-4978-86B7-5D00CBFC5EF7}">
  <dimension ref="B2:H20"/>
  <sheetViews>
    <sheetView showGridLines="0" workbookViewId="0">
      <selection activeCell="C41" sqref="C41"/>
    </sheetView>
  </sheetViews>
  <sheetFormatPr defaultRowHeight="14.4"/>
  <cols>
    <col min="1" max="1" width="3.6640625" customWidth="1"/>
    <col min="2" max="2" width="34.44140625" bestFit="1" customWidth="1"/>
    <col min="3" max="3" width="20.33203125" bestFit="1" customWidth="1"/>
    <col min="4" max="4" width="18.109375" bestFit="1" customWidth="1"/>
    <col min="5" max="5" width="24.33203125" bestFit="1" customWidth="1"/>
  </cols>
  <sheetData>
    <row r="2" spans="2:8">
      <c r="B2" s="218" t="s">
        <v>81</v>
      </c>
      <c r="C2" s="212" t="s">
        <v>111</v>
      </c>
      <c r="D2" s="212" t="s">
        <v>348</v>
      </c>
      <c r="E2" s="212" t="s">
        <v>347</v>
      </c>
      <c r="G2" s="221" t="s">
        <v>344</v>
      </c>
      <c r="H2" t="s">
        <v>345</v>
      </c>
    </row>
    <row r="3" spans="2:8">
      <c r="B3" s="219" t="s">
        <v>33</v>
      </c>
      <c r="C3" s="209" t="s">
        <v>341</v>
      </c>
      <c r="D3" s="220" t="s">
        <v>349</v>
      </c>
      <c r="E3" s="220" t="s">
        <v>346</v>
      </c>
      <c r="G3" s="221" t="s">
        <v>350</v>
      </c>
      <c r="H3" t="s">
        <v>351</v>
      </c>
    </row>
    <row r="4" spans="2:8">
      <c r="B4" s="219" t="s">
        <v>34</v>
      </c>
      <c r="C4" s="209" t="s">
        <v>342</v>
      </c>
      <c r="D4" s="220" t="s">
        <v>349</v>
      </c>
      <c r="E4" s="220" t="s">
        <v>346</v>
      </c>
      <c r="G4" s="221" t="s">
        <v>356</v>
      </c>
      <c r="H4" t="s">
        <v>358</v>
      </c>
    </row>
    <row r="5" spans="2:8">
      <c r="B5" s="234" t="s">
        <v>35</v>
      </c>
      <c r="C5" s="235" t="s">
        <v>342</v>
      </c>
      <c r="D5" s="236" t="s">
        <v>353</v>
      </c>
      <c r="E5" s="236" t="s">
        <v>346</v>
      </c>
      <c r="G5" s="221" t="s">
        <v>354</v>
      </c>
      <c r="H5" t="s">
        <v>355</v>
      </c>
    </row>
    <row r="6" spans="2:8">
      <c r="B6" s="219" t="s">
        <v>36</v>
      </c>
      <c r="C6" s="209" t="s">
        <v>341</v>
      </c>
      <c r="D6" s="220" t="s">
        <v>352</v>
      </c>
      <c r="E6" s="220" t="s">
        <v>346</v>
      </c>
    </row>
    <row r="7" spans="2:8">
      <c r="B7" s="234" t="s">
        <v>37</v>
      </c>
      <c r="C7" s="235" t="s">
        <v>341</v>
      </c>
      <c r="D7" s="236" t="s">
        <v>353</v>
      </c>
      <c r="E7" s="236" t="s">
        <v>346</v>
      </c>
    </row>
    <row r="8" spans="2:8">
      <c r="B8" s="234" t="s">
        <v>39</v>
      </c>
      <c r="C8" s="235" t="s">
        <v>341</v>
      </c>
      <c r="D8" s="236" t="s">
        <v>353</v>
      </c>
      <c r="E8" s="236" t="s">
        <v>346</v>
      </c>
    </row>
    <row r="9" spans="2:8">
      <c r="B9" s="219" t="s">
        <v>40</v>
      </c>
      <c r="C9" s="209" t="s">
        <v>341</v>
      </c>
      <c r="D9" s="220" t="s">
        <v>349</v>
      </c>
      <c r="E9" s="220" t="s">
        <v>346</v>
      </c>
    </row>
    <row r="10" spans="2:8">
      <c r="B10" s="219" t="s">
        <v>41</v>
      </c>
      <c r="C10" s="209" t="s">
        <v>341</v>
      </c>
      <c r="D10" s="220" t="s">
        <v>349</v>
      </c>
      <c r="E10" s="220" t="s">
        <v>346</v>
      </c>
    </row>
    <row r="11" spans="2:8">
      <c r="B11" s="234" t="s">
        <v>42</v>
      </c>
      <c r="C11" s="235" t="s">
        <v>341</v>
      </c>
      <c r="D11" s="236" t="s">
        <v>353</v>
      </c>
      <c r="E11" s="236" t="s">
        <v>346</v>
      </c>
    </row>
    <row r="12" spans="2:8">
      <c r="B12" s="219" t="s">
        <v>43</v>
      </c>
      <c r="C12" s="209" t="s">
        <v>341</v>
      </c>
      <c r="D12" s="220" t="s">
        <v>343</v>
      </c>
      <c r="E12" s="220" t="s">
        <v>346</v>
      </c>
    </row>
    <row r="13" spans="2:8">
      <c r="B13" s="219" t="s">
        <v>44</v>
      </c>
      <c r="C13" s="209" t="s">
        <v>342</v>
      </c>
      <c r="D13" s="220" t="s">
        <v>343</v>
      </c>
      <c r="E13" s="220" t="s">
        <v>346</v>
      </c>
    </row>
    <row r="14" spans="2:8">
      <c r="B14" s="234" t="s">
        <v>45</v>
      </c>
      <c r="C14" s="235" t="s">
        <v>342</v>
      </c>
      <c r="D14" s="236" t="s">
        <v>353</v>
      </c>
      <c r="E14" s="236" t="s">
        <v>346</v>
      </c>
    </row>
    <row r="15" spans="2:8">
      <c r="B15" s="219" t="s">
        <v>46</v>
      </c>
      <c r="C15" s="209" t="s">
        <v>342</v>
      </c>
      <c r="D15" s="220" t="s">
        <v>343</v>
      </c>
      <c r="E15" s="220" t="s">
        <v>346</v>
      </c>
    </row>
    <row r="16" spans="2:8">
      <c r="B16" s="219" t="s">
        <v>47</v>
      </c>
      <c r="C16" s="209" t="s">
        <v>341</v>
      </c>
      <c r="D16" s="220" t="s">
        <v>343</v>
      </c>
      <c r="E16" s="220" t="s">
        <v>346</v>
      </c>
    </row>
    <row r="17" spans="2:5">
      <c r="B17" s="219" t="s">
        <v>48</v>
      </c>
      <c r="C17" s="209" t="s">
        <v>342</v>
      </c>
      <c r="D17" s="220" t="s">
        <v>343</v>
      </c>
      <c r="E17" s="220" t="s">
        <v>346</v>
      </c>
    </row>
    <row r="18" spans="2:5">
      <c r="B18" s="219" t="s">
        <v>49</v>
      </c>
      <c r="C18" s="209" t="s">
        <v>342</v>
      </c>
      <c r="D18" s="220" t="s">
        <v>343</v>
      </c>
      <c r="E18" s="220" t="s">
        <v>346</v>
      </c>
    </row>
    <row r="19" spans="2:5">
      <c r="B19" s="234" t="s">
        <v>50</v>
      </c>
      <c r="C19" s="235" t="s">
        <v>341</v>
      </c>
      <c r="D19" s="236" t="s">
        <v>353</v>
      </c>
      <c r="E19" s="236" t="s">
        <v>346</v>
      </c>
    </row>
    <row r="20" spans="2:5">
      <c r="B20" s="237" t="s">
        <v>52</v>
      </c>
      <c r="C20" s="238" t="s">
        <v>342</v>
      </c>
      <c r="D20" s="239" t="s">
        <v>357</v>
      </c>
      <c r="E20" s="239" t="s">
        <v>346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F2CD0D646C4A4BA134F31D4B24B40E" ma:contentTypeVersion="6" ma:contentTypeDescription="Criar um novo documento." ma:contentTypeScope="" ma:versionID="ee834c5e09faf6bcb2f836a3da2b7114">
  <xsd:schema xmlns:xsd="http://www.w3.org/2001/XMLSchema" xmlns:xs="http://www.w3.org/2001/XMLSchema" xmlns:p="http://schemas.microsoft.com/office/2006/metadata/properties" xmlns:ns1="http://schemas.microsoft.com/sharepoint/v3" xmlns:ns2="452ab218-3f18-4af3-9aea-c75ce8322b25" targetNamespace="http://schemas.microsoft.com/office/2006/metadata/properties" ma:root="true" ma:fieldsID="f519bc8625f3442e1ae96e3884ef305c" ns1:_="" ns2:_="">
    <xsd:import namespace="http://schemas.microsoft.com/sharepoint/v3"/>
    <xsd:import namespace="452ab218-3f18-4af3-9aea-c75ce8322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ab218-3f18-4af3-9aea-c75ce8322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977BA31-8C64-48B3-993F-448563B54EC5}"/>
</file>

<file path=customXml/itemProps2.xml><?xml version="1.0" encoding="utf-8"?>
<ds:datastoreItem xmlns:ds="http://schemas.openxmlformats.org/officeDocument/2006/customXml" ds:itemID="{4AA06C1D-565E-447C-9420-BB363FADB122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07A8245C-F91A-4A0E-ABCD-1774850F8EF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Status Resumo</vt:lpstr>
      <vt:lpstr>Aux Gráficos</vt:lpstr>
      <vt:lpstr>MacroPlano</vt:lpstr>
      <vt:lpstr>MacroPlano Equipa</vt:lpstr>
      <vt:lpstr>Detalhe Entregas e Status</vt:lpstr>
      <vt:lpstr>Detalhe Testes</vt:lpstr>
      <vt:lpstr>Aux Testes_Status</vt:lpstr>
      <vt:lpstr>Aux Simulações e Testes</vt:lpstr>
      <vt:lpstr>Comuns com PM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Carreira, Filipa Silva</dc:creator>
  <cp:lastModifiedBy>Ana Filipa Silva Carreira</cp:lastModifiedBy>
  <dcterms:created xsi:type="dcterms:W3CDTF">2025-05-09T17:10:42Z</dcterms:created>
  <dcterms:modified xsi:type="dcterms:W3CDTF">2025-07-17T20:17:42Z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2025-05-14T08:47:33Z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ba72436b-d1b1-43fc-9704-768547c42f96</vt:lpwstr>
  </property>
  <property fmtid="{D5CDD505-2E9C-101B-9397-08002B2CF9AE}" pid="8" name="MSIP_Label_0c2abd79-57a9-4473-8700-c843f76a1e37_ContentBits">
    <vt:lpwstr>0</vt:lpwstr>
  </property>
  <property fmtid="{D5CDD505-2E9C-101B-9397-08002B2CF9AE}" pid="9" name="MSIP_Label_0c2abd79-57a9-4473-8700-c843f76a1e37_Tag">
    <vt:lpwstr>10, 0, 1, 1</vt:lpwstr>
  </property>
  <property fmtid="{D5CDD505-2E9C-101B-9397-08002B2CF9AE}" pid="10" name="ContentTypeId">
    <vt:lpwstr>0x010100B0F2CD0D646C4A4BA134F31D4B24B40E</vt:lpwstr>
  </property>
</Properties>
</file>