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388" documentId="8_{631F29C6-B92D-4B05-82FA-A0D592DCF26D}" xr6:coauthVersionLast="47" xr6:coauthVersionMax="47" xr10:uidLastSave="{B6BD1F91-3449-4AE5-B0C8-0D868CAE318E}"/>
  <bookViews>
    <workbookView xWindow="-120" yWindow="-16320" windowWidth="29040" windowHeight="15720" tabRatio="849" xr2:uid="{98B4704B-8397-4F36-BA6C-DBF8269E9D42}"/>
  </bookViews>
  <sheets>
    <sheet name="Status Resumo" sheetId="11" r:id="rId1"/>
    <sheet name="Aux Gráficos" sheetId="10" r:id="rId2"/>
    <sheet name="MacroPlano" sheetId="8" r:id="rId3"/>
    <sheet name="MacroPlano Equipa" sheetId="1" r:id="rId4"/>
    <sheet name="Detalhe Entregas e Status" sheetId="2" r:id="rId5"/>
    <sheet name="Detalhe Testes" sheetId="6" r:id="rId6"/>
    <sheet name="Aux Testes_Status" sheetId="7" r:id="rId7"/>
    <sheet name="Aux Simulações e Testes" sheetId="12" r:id="rId8"/>
    <sheet name="Comuns com PM" sheetId="14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Status'!$B$8:$V$81</definedName>
    <definedName name="_xlnm._FilterDatabase" localSheetId="5" hidden="1">'Detalhe Testes'!$A$8:$XFC$171</definedName>
    <definedName name="asefadf">#REF!</definedName>
    <definedName name="bn">#REF!</definedName>
  </definedNames>
  <calcPr calcId="191029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0" l="1"/>
  <c r="P7" i="10"/>
  <c r="P6" i="10"/>
  <c r="P5" i="10"/>
  <c r="P4" i="10"/>
  <c r="O8" i="10"/>
  <c r="O7" i="10"/>
  <c r="O6" i="10"/>
  <c r="O5" i="10"/>
  <c r="O4" i="10"/>
  <c r="J44" i="11"/>
  <c r="I44" i="11"/>
  <c r="P3" i="10" l="1"/>
  <c r="E22" i="11"/>
  <c r="D22" i="11"/>
  <c r="I104" i="11"/>
  <c r="I87" i="11"/>
  <c r="I70" i="11"/>
  <c r="J94" i="11"/>
  <c r="I94" i="11"/>
  <c r="J77" i="11"/>
  <c r="I77" i="11"/>
  <c r="J60" i="11"/>
  <c r="I60" i="11"/>
  <c r="J84" i="11" l="1"/>
  <c r="J83" i="11"/>
  <c r="J82" i="11"/>
  <c r="J81" i="11"/>
  <c r="J80" i="11"/>
  <c r="J79" i="11"/>
  <c r="J78" i="11"/>
  <c r="I84" i="11"/>
  <c r="I83" i="11"/>
  <c r="I82" i="11"/>
  <c r="I81" i="11"/>
  <c r="I80" i="11"/>
  <c r="I79" i="11"/>
  <c r="I78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84" i="11" l="1"/>
  <c r="K83" i="11"/>
  <c r="K82" i="11"/>
  <c r="K81" i="11"/>
  <c r="K80" i="11"/>
  <c r="J85" i="11"/>
  <c r="K79" i="11"/>
  <c r="I85" i="11"/>
  <c r="K78" i="11"/>
  <c r="H118" i="6" a="1"/>
  <c r="H118" i="6" s="1"/>
  <c r="H171" i="6" a="1"/>
  <c r="H171" i="6" s="1"/>
  <c r="H27" i="6" a="1"/>
  <c r="H27" i="6" s="1"/>
  <c r="H50" i="6" a="1"/>
  <c r="H50" i="6" s="1"/>
  <c r="H110" i="6" a="1"/>
  <c r="H110" i="6" s="1"/>
  <c r="H164" i="6" a="1"/>
  <c r="H164" i="6" s="1"/>
  <c r="H12" i="6" a="1"/>
  <c r="H12" i="6" s="1"/>
  <c r="H20" i="6" a="1"/>
  <c r="H20" i="6" s="1"/>
  <c r="H28" i="6" a="1"/>
  <c r="H28" i="6" s="1"/>
  <c r="H36" i="6" a="1"/>
  <c r="H36" i="6" s="1"/>
  <c r="H51" i="6" a="1"/>
  <c r="H51" i="6" s="1"/>
  <c r="H58" i="6" a="1"/>
  <c r="H58" i="6" s="1"/>
  <c r="H65" i="6" a="1"/>
  <c r="H65" i="6" s="1"/>
  <c r="H73" i="6" a="1"/>
  <c r="H73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4" i="6" a="1"/>
  <c r="H134" i="6" s="1"/>
  <c r="H141" i="6" a="1"/>
  <c r="H141" i="6" s="1"/>
  <c r="H149" i="6" a="1"/>
  <c r="H149" i="6" s="1"/>
  <c r="H157" i="6" a="1"/>
  <c r="H157" i="6" s="1"/>
  <c r="H165" i="6" a="1"/>
  <c r="H165" i="6" s="1"/>
  <c r="H19" i="6" a="1"/>
  <c r="H19" i="6" s="1"/>
  <c r="H64" i="6" a="1"/>
  <c r="H64" i="6" s="1"/>
  <c r="H102" i="6" a="1"/>
  <c r="H102" i="6" s="1"/>
  <c r="H156" i="6" a="1"/>
  <c r="H156" i="6" s="1"/>
  <c r="H13" i="6" a="1"/>
  <c r="H13" i="6" s="1"/>
  <c r="H21" i="6" a="1"/>
  <c r="H21" i="6" s="1"/>
  <c r="H29" i="6" a="1"/>
  <c r="H29" i="6" s="1"/>
  <c r="H37" i="6" a="1"/>
  <c r="H37" i="6" s="1"/>
  <c r="H44" i="6" a="1"/>
  <c r="H44" i="6" s="1"/>
  <c r="H59" i="6" a="1"/>
  <c r="H59" i="6" s="1"/>
  <c r="H66" i="6" a="1"/>
  <c r="H66" i="6" s="1"/>
  <c r="H74" i="6" a="1"/>
  <c r="H74" i="6" s="1"/>
  <c r="H80" i="6" a="1"/>
  <c r="H80" i="6" s="1"/>
  <c r="H88" i="6" a="1"/>
  <c r="H88" i="6" s="1"/>
  <c r="H96" i="6" a="1"/>
  <c r="H96" i="6" s="1"/>
  <c r="H104" i="6" a="1"/>
  <c r="H104" i="6" s="1"/>
  <c r="H112" i="6" a="1"/>
  <c r="H112" i="6" s="1"/>
  <c r="H120" i="6" a="1"/>
  <c r="H120" i="6" s="1"/>
  <c r="H135" i="6" a="1"/>
  <c r="H135" i="6" s="1"/>
  <c r="H142" i="6" a="1"/>
  <c r="H142" i="6" s="1"/>
  <c r="H150" i="6" a="1"/>
  <c r="H150" i="6" s="1"/>
  <c r="H158" i="6" a="1"/>
  <c r="H158" i="6" s="1"/>
  <c r="H166" i="6" a="1"/>
  <c r="H166" i="6" s="1"/>
  <c r="H79" i="6" a="1"/>
  <c r="H79" i="6" s="1"/>
  <c r="H126" i="6" a="1"/>
  <c r="H126" i="6" s="1"/>
  <c r="H14" i="6" a="1"/>
  <c r="H14" i="6" s="1"/>
  <c r="H22" i="6" a="1"/>
  <c r="H22" i="6" s="1"/>
  <c r="H30" i="6" a="1"/>
  <c r="H30" i="6" s="1"/>
  <c r="H38" i="6" a="1"/>
  <c r="H38" i="6" s="1"/>
  <c r="H45" i="6" a="1"/>
  <c r="H45" i="6" s="1"/>
  <c r="H52" i="6" a="1"/>
  <c r="H52" i="6" s="1"/>
  <c r="H60" i="6" a="1"/>
  <c r="H60" i="6" s="1"/>
  <c r="H67" i="6" a="1"/>
  <c r="H67" i="6" s="1"/>
  <c r="H75" i="6" a="1"/>
  <c r="H75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8" i="6" a="1"/>
  <c r="H128" i="6" s="1"/>
  <c r="H136" i="6" a="1"/>
  <c r="H136" i="6" s="1"/>
  <c r="H143" i="6" a="1"/>
  <c r="H143" i="6" s="1"/>
  <c r="H151" i="6" a="1"/>
  <c r="H151" i="6" s="1"/>
  <c r="H159" i="6" a="1"/>
  <c r="H159" i="6" s="1"/>
  <c r="H167" i="6" a="1"/>
  <c r="H167" i="6" s="1"/>
  <c r="H57" i="6" a="1"/>
  <c r="H57" i="6" s="1"/>
  <c r="H133" i="6" a="1"/>
  <c r="H133" i="6" s="1"/>
  <c r="H15" i="6" a="1"/>
  <c r="H15" i="6" s="1"/>
  <c r="H23" i="6" a="1"/>
  <c r="H23" i="6" s="1"/>
  <c r="H31" i="6" a="1"/>
  <c r="H31" i="6" s="1"/>
  <c r="H39" i="6" a="1"/>
  <c r="H39" i="6" s="1"/>
  <c r="H46" i="6" a="1"/>
  <c r="H46" i="6" s="1"/>
  <c r="H53" i="6" a="1"/>
  <c r="H53" i="6" s="1"/>
  <c r="H61" i="6" a="1"/>
  <c r="H61" i="6" s="1"/>
  <c r="H68" i="6" a="1"/>
  <c r="H68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29" i="6" a="1"/>
  <c r="H129" i="6" s="1"/>
  <c r="H137" i="6" a="1"/>
  <c r="H137" i="6" s="1"/>
  <c r="H144" i="6" a="1"/>
  <c r="H144" i="6" s="1"/>
  <c r="H152" i="6" a="1"/>
  <c r="H152" i="6" s="1"/>
  <c r="H160" i="6" a="1"/>
  <c r="H160" i="6" s="1"/>
  <c r="H168" i="6" a="1"/>
  <c r="H168" i="6" s="1"/>
  <c r="H35" i="6" a="1"/>
  <c r="H35" i="6" s="1"/>
  <c r="H86" i="6" a="1"/>
  <c r="H86" i="6" s="1"/>
  <c r="H148" i="6" a="1"/>
  <c r="H148" i="6" s="1"/>
  <c r="H9" i="6" a="1"/>
  <c r="H9" i="6" s="1"/>
  <c r="H16" i="6" a="1"/>
  <c r="H16" i="6" s="1"/>
  <c r="H24" i="6" a="1"/>
  <c r="H24" i="6" s="1"/>
  <c r="H32" i="6" a="1"/>
  <c r="H32" i="6" s="1"/>
  <c r="H40" i="6" a="1"/>
  <c r="H40" i="6" s="1"/>
  <c r="H47" i="6" a="1"/>
  <c r="H47" i="6" s="1"/>
  <c r="H54" i="6" a="1"/>
  <c r="H54" i="6" s="1"/>
  <c r="H62" i="6" a="1"/>
  <c r="H62" i="6" s="1"/>
  <c r="H69" i="6" a="1"/>
  <c r="H69" i="6" s="1"/>
  <c r="H76" i="6" a="1"/>
  <c r="H76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0" i="6" a="1"/>
  <c r="H130" i="6" s="1"/>
  <c r="H138" i="6" a="1"/>
  <c r="H138" i="6" s="1"/>
  <c r="H145" i="6" a="1"/>
  <c r="H145" i="6" s="1"/>
  <c r="H153" i="6" a="1"/>
  <c r="H153" i="6" s="1"/>
  <c r="H161" i="6" a="1"/>
  <c r="H161" i="6" s="1"/>
  <c r="H169" i="6" a="1"/>
  <c r="H169" i="6" s="1"/>
  <c r="H43" i="6" a="1"/>
  <c r="H43" i="6" s="1"/>
  <c r="H94" i="6" a="1"/>
  <c r="H94" i="6" s="1"/>
  <c r="H140" i="6" a="1"/>
  <c r="H140" i="6" s="1"/>
  <c r="H10" i="6" a="1"/>
  <c r="H10" i="6" s="1"/>
  <c r="H17" i="6" a="1"/>
  <c r="H17" i="6" s="1"/>
  <c r="H25" i="6" a="1"/>
  <c r="H25" i="6" s="1"/>
  <c r="H33" i="6" a="1"/>
  <c r="H33" i="6" s="1"/>
  <c r="H41" i="6" a="1"/>
  <c r="H41" i="6" s="1"/>
  <c r="H48" i="6" a="1"/>
  <c r="H48" i="6" s="1"/>
  <c r="H55" i="6" a="1"/>
  <c r="H55" i="6" s="1"/>
  <c r="H63" i="6" a="1"/>
  <c r="H63" i="6" s="1"/>
  <c r="H70" i="6" a="1"/>
  <c r="H70" i="6" s="1"/>
  <c r="H77" i="6" a="1"/>
  <c r="H77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1" i="6" a="1"/>
  <c r="H131" i="6" s="1"/>
  <c r="H139" i="6" a="1"/>
  <c r="H139" i="6" s="1"/>
  <c r="H146" i="6" a="1"/>
  <c r="H146" i="6" s="1"/>
  <c r="H154" i="6" a="1"/>
  <c r="H154" i="6" s="1"/>
  <c r="H162" i="6" a="1"/>
  <c r="H162" i="6" s="1"/>
  <c r="H170" i="6" a="1"/>
  <c r="H170" i="6" s="1"/>
  <c r="H72" i="6" a="1"/>
  <c r="H72" i="6" s="1"/>
  <c r="H11" i="6" a="1"/>
  <c r="H11" i="6" s="1"/>
  <c r="H18" i="6" a="1"/>
  <c r="H18" i="6" s="1"/>
  <c r="H26" i="6" a="1"/>
  <c r="H26" i="6" s="1"/>
  <c r="H34" i="6" a="1"/>
  <c r="H34" i="6" s="1"/>
  <c r="H42" i="6" a="1"/>
  <c r="H42" i="6" s="1"/>
  <c r="H49" i="6" a="1"/>
  <c r="H49" i="6" s="1"/>
  <c r="H56" i="6" a="1"/>
  <c r="H56" i="6" s="1"/>
  <c r="H71" i="6" a="1"/>
  <c r="H71" i="6" s="1"/>
  <c r="H78" i="6" a="1"/>
  <c r="H78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2" i="6" a="1"/>
  <c r="H132" i="6" s="1"/>
  <c r="H147" i="6" a="1"/>
  <c r="H147" i="6" s="1"/>
  <c r="H155" i="6" a="1"/>
  <c r="H155" i="6" s="1"/>
  <c r="H163" i="6" a="1"/>
  <c r="H163" i="6" s="1"/>
  <c r="J101" i="11" l="1"/>
  <c r="J100" i="11"/>
  <c r="J99" i="11"/>
  <c r="J98" i="11"/>
  <c r="J97" i="11"/>
  <c r="J96" i="11"/>
  <c r="J95" i="11"/>
  <c r="I101" i="11"/>
  <c r="I100" i="11"/>
  <c r="I99" i="11"/>
  <c r="I98" i="11"/>
  <c r="I97" i="11"/>
  <c r="I96" i="11"/>
  <c r="I95" i="11"/>
  <c r="F25" i="11"/>
  <c r="F24" i="11"/>
  <c r="F23" i="11"/>
  <c r="F22" i="11"/>
  <c r="G26" i="11"/>
  <c r="E26" i="11"/>
  <c r="D26" i="11"/>
  <c r="J50" i="11"/>
  <c r="J49" i="11"/>
  <c r="J48" i="11"/>
  <c r="J47" i="11"/>
  <c r="J46" i="11"/>
  <c r="J45" i="11"/>
  <c r="I67" i="11"/>
  <c r="I66" i="11"/>
  <c r="I65" i="11"/>
  <c r="I64" i="11"/>
  <c r="I63" i="11"/>
  <c r="I62" i="11"/>
  <c r="J67" i="11"/>
  <c r="J66" i="11"/>
  <c r="J65" i="11"/>
  <c r="J64" i="11"/>
  <c r="J63" i="11"/>
  <c r="J62" i="11"/>
  <c r="J61" i="11"/>
  <c r="K100" i="11" l="1"/>
  <c r="K101" i="11"/>
  <c r="J102" i="11"/>
  <c r="K96" i="11"/>
  <c r="K98" i="11"/>
  <c r="K99" i="11"/>
  <c r="K97" i="11"/>
  <c r="I102" i="11"/>
  <c r="K95" i="11"/>
  <c r="F26" i="11"/>
  <c r="J51" i="11"/>
  <c r="K62" i="11"/>
  <c r="K63" i="11"/>
  <c r="K64" i="11"/>
  <c r="K65" i="11"/>
  <c r="K66" i="11"/>
  <c r="K67" i="11"/>
  <c r="J68" i="11"/>
  <c r="I50" i="11" l="1"/>
  <c r="K50" i="11" s="1"/>
  <c r="I61" i="11"/>
  <c r="I49" i="11"/>
  <c r="K49" i="11" s="1"/>
  <c r="I48" i="11"/>
  <c r="K48" i="11" s="1"/>
  <c r="I47" i="11"/>
  <c r="K47" i="11" s="1"/>
  <c r="I46" i="11"/>
  <c r="K46" i="11" s="1"/>
  <c r="I45" i="11"/>
  <c r="K45" i="11" s="1"/>
  <c r="K44" i="11"/>
  <c r="K61" i="11" l="1"/>
  <c r="I68" i="11"/>
  <c r="I51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<sst xmlns="http://schemas.openxmlformats.org/spreadsheetml/2006/main" count="3409" uniqueCount="393">
  <si>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</si>
  <si>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</si>
  <si>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</si>
  <si>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</si>
  <si>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</si>
  <si>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</si>
  <si>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</si>
  <si>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</si>
  <si>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</si>
  <si>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</si>
  <si>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</si>
  <si>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</si>
  <si>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</si>
  <si>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</si>
  <si>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</si>
  <si>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</si>
  <si>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</si>
  <si>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</si>
  <si>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</si>
  <si>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</si>
  <si>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</si>
  <si>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</si>
  <si>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</si>
  <si>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</si>
  <si>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</si>
  <si>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</si>
  <si>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</si>
  <si>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</si>
  <si>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</si>
  <si>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</si>
  <si>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</si>
  <si>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</si>
  <si>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</si>
  <si>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</si>
  <si>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</si>
  <si>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</si>
  <si>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</si>
  <si>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</si>
  <si>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</si>
  <si>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</si>
  <si>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</si>
  <si>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</si>
  <si>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</si>
  <si>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</si>
  <si>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</si>
  <si>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</si>
  <si>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</si>
  <si>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</si>
  <si>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</si>
  <si>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</si>
  <si>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</si>
  <si>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</si>
  <si>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</si>
  <si>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</si>
  <si>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</si>
  <si>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</si>
  <si>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</si>
  <si>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</si>
  <si>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</si>
  <si>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</si>
  <si>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</si>
  <si>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</si>
  <si>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</si>
  <si>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</si>
  <si>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</si>
  <si>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</si>
  <si>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</si>
  <si>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</si>
  <si>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</si>
  <si>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</si>
  <si>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</si>
  <si>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</si>
  <si>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</si>
  <si>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</si>
  <si>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</si>
  <si>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</si>
  <si>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</si>
  <si>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</si>
  <si>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</si>
  <si>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</si>
  <si>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</si>
  <si>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</si>
  <si>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</si>
  <si>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</si>
  <si>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</si>
  <si>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</si>
  <si>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</si>
  <si>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</si>
  <si>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</si>
  <si>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</si>
  <si>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</si>
  <si>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</si>
  <si>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</si>
  <si>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</si>
  <si>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</si>
  <si>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</si>
  <si>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</si>
  <si>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</si>
  <si>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</si>
  <si>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</si>
  <si>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</si>
  <si>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</si>
  <si>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</si>
  <si>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</si>
  <si>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</si>
  <si>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</si>
  <si>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</si>
  <si>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</si>
  <si>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</si>
  <si>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</si>
  <si>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</si>
  <si>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</si>
  <si>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</si>
  <si>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</si>
  <si>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</si>
  <si>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</si>
  <si>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</si>
  <si>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</si>
  <si>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</si>
  <si>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</si>
  <si>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</si>
  <si>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</si>
  <si>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</si>
  <si>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</si>
  <si>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</si>
  <si>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</si>
  <si>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</si>
  <si>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</si>
  <si>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</si>
  <si>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</si>
  <si>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</si>
  <si>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</si>
  <si>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</si>
  <si>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</si>
  <si>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</si>
  <si>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</si>
  <si>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</si>
  <si>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</si>
  <si>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</si>
  <si>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</si>
  <si>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</si>
  <si>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</si>
  <si>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</si>
  <si>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</si>
  <si>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</si>
  <si>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</si>
  <si>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</si>
  <si>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</si>
  <si>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</si>
  <si>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</si>
  <si>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</si>
  <si>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</si>
  <si>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</si>
  <si>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</si>
  <si>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</si>
  <si>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</si>
  <si>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</si>
  <si>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</si>
  <si>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</si>
  <si>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</si>
  <si>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</si>
  <si>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</si>
  <si>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</si>
  <si>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</si>
  <si>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</si>
  <si>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</si>
  <si>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</si>
  <si>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</si>
  <si>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</si>
  <si>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</si>
  <si>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</si>
  <si>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</si>
  <si>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</si>
  <si>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</si>
  <si>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</si>
  <si>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</si>
  <si>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</si>
  <si>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</si>
  <si>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</si>
  <si>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</si>
  <si>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</si>
  <si>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</si>
  <si>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</si>
  <si>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</si>
  <si>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</si>
  <si>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</si>
  <si>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</si>
  <si>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</si>
  <si>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</si>
  <si>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</si>
  <si>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</si>
  <si>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</si>
  <si>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</si>
  <si>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</si>
  <si>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</si>
  <si>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</si>
  <si>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</si>
  <si>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</si>
  <si>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</si>
  <si>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</si>
  <si>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</si>
  <si>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</si>
  <si>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</si>
  <si>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</si>
  <si>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</si>
  <si>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</si>
  <si>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</si>
  <si>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</si>
  <si>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</si>
  <si>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</si>
  <si>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</si>
  <si>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</si>
  <si>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</si>
  <si>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</si>
  <si>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</si>
  <si>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</si>
  <si>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</si>
  <si>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</si>
  <si>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</si>
  <si>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</si>
  <si>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</si>
  <si>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</si>
  <si>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</si>
  <si>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</si>
  <si>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</si>
  <si>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</si>
  <si>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</si>
  <si>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</si>
  <si>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</si>
  <si>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</si>
  <si>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</si>
  <si>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</si>
  <si>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</si>
  <si>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</si>
  <si>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</si>
  <si>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</si>
  <si>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</si>
  <si>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</si>
  <si>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</si>
  <si>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</si>
  <si>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</si>
  <si>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</si>
  <si>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</si>
  <si>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</si>
  <si>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</si>
  <si>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</si>
  <si>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</si>
  <si>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</si>
  <si>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</si>
  <si>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</si>
  <si>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</si>
  <si>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</si>
  <si>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</si>
  <si>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</si>
  <si>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</si>
  <si>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</si>
  <si>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</si>
  <si>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</si>
  <si>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</si>
  <si>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</si>
  <si>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</si>
  <si>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</si>
  <si>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</si>
  <si>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</si>
  <si>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</si>
  <si>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</si>
  <si>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</si>
  <si>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</si>
  <si>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</si>
  <si>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</si>
  <si>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</si>
  <si>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</si>
  <si>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</si>
  <si>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</si>
  <si>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</si>
  <si>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</si>
  <si>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</si>
  <si>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</si>
  <si>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</si>
  <si>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</si>
  <si>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</si>
  <si>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</si>
  <si>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</si>
  <si>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</si>
  <si>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</si>
  <si>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</si>
  <si>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</si>
  <si>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</si>
  <si>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</si>
  <si>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</si>
  <si>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</si>
  <si>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por iniciar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</si>
  <si>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</si>
  <si>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</si>
  <si>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</si>
  <si>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</si>
  <si>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</si>
  <si>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</si>
  <si>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</si>
  <si>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</si>
  <si>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</si>
  <si>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</si>
  <si>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</si>
  <si>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</si>
  <si>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</si>
  <si>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</si>
  <si>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</si>
  <si>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</si>
  <si>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</si>
  <si>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</si>
  <si>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</si>
  <si>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</si>
  <si>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</si>
  <si>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</si>
  <si>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</si>
  <si>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</si>
  <si>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todos os campos, referentes ao âmbito GD, estes encontram-se classificados como "6. Por Iniciar" uma vez que ainda se encontram em análise pela equipa do Pilar 3.</t>
    </r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</si>
  <si>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</si>
  <si>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</si>
  <si>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</si>
  <si>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</si>
  <si>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</si>
  <si>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</si>
  <si>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</si>
  <si>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</si>
  <si>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</si>
  <si>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</si>
  <si>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</si>
  <si>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</si>
  <si>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</si>
  <si>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</si>
  <si>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</si>
  <si>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</si>
  <si>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</si>
  <si>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</si>
  <si>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</si>
  <si>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</si>
  <si>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</si>
  <si>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</si>
  <si>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</si>
  <si>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</si>
  <si>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</si>
  <si>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</si>
  <si>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</si>
  <si>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</si>
  <si>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</si>
  <si>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</si>
  <si>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</si>
  <si>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</si>
  <si>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</si>
  <si>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</si>
  <si>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</si>
  <si>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</si>
  <si>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</si>
  <si>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</si>
  <si>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</si>
  <si>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</si>
  <si>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</si>
  <si>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</si>
  <si>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</si>
  <si>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</si>
  <si>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</si>
  <si>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</si>
  <si>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</si>
  <si>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</si>
  <si>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</si>
  <si>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</si>
  <si>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</si>
  <si>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Por inicial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</si>
  <si>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</si>
  <si>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</si>
  <si>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</si>
  <si>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</si>
  <si>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</si>
  <si>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</si>
  <si>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</si>
  <si>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</si>
  <si>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</si>
  <si>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</si>
  <si>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</si>
  <si>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em correção</t>
  </si>
  <si>
    <t>Total campos</t>
  </si>
  <si>
    <t>Entregas IT</t>
  </si>
  <si>
    <t>Campos em correção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</si>
  <si>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em teste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</si>
  <si>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t>Sumário Executivo | 06/jun a 17/jun</t>
  </si>
  <si>
    <r>
      <t>Dos 51 campos entregues por IT, encontram-se 24 em correção.</t>
    </r>
    <r>
      <rPr>
        <i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Encontra-se em análise por parte da equipa de testes:
    • Campo </t>
    </r>
    <r>
      <rPr>
        <i/>
        <sz val="10"/>
        <rFont val="Arial"/>
        <family val="2"/>
      </rPr>
      <t xml:space="preserve">nw_bsnss </t>
    </r>
    <r>
      <rPr>
        <sz val="10"/>
        <rFont val="Arial"/>
        <family val="2"/>
      </rPr>
      <t xml:space="preserve">e </t>
    </r>
    <r>
      <rPr>
        <i/>
        <sz val="10"/>
        <rFont val="Arial"/>
        <family val="2"/>
      </rPr>
      <t xml:space="preserve">bsnss_area </t>
    </r>
    <r>
      <rPr>
        <sz val="10"/>
        <rFont val="Arial"/>
        <family val="2"/>
      </rPr>
      <t xml:space="preserve">
Foram detetadas incidências no campo </t>
    </r>
    <r>
      <rPr>
        <i/>
        <sz val="10"/>
        <rFont val="Arial"/>
        <family val="2"/>
      </rPr>
      <t>bsnss_area_ccrr</t>
    </r>
    <r>
      <rPr>
        <sz val="10"/>
        <rFont val="Arial"/>
        <family val="2"/>
      </rPr>
      <t>, a qual será hoje (dia 17/jun) enviada à equipa de IT.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</si>
  <si>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Foram detetadas incidências nos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</t>
    </r>
    <r>
      <rPr>
        <sz val="10"/>
        <rFont val="Arial"/>
        <family val="2"/>
      </rPr>
      <t>, as quais serão enviadas hoje (dia 17/jun) à equipa de IT.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</si>
  <si>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24 campos em correção do lado da equipa de IT assim como o universo da tabela </t>
    </r>
    <r>
      <rPr>
        <i/>
        <sz val="10"/>
        <rFont val="Arial"/>
        <family val="2"/>
      </rPr>
      <t>lt002_instrument</t>
    </r>
    <r>
      <rPr>
        <sz val="10"/>
        <rFont val="Arial"/>
        <family val="2"/>
      </rPr>
      <t xml:space="preserve">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Re-validação do universo e campos da tabela da </t>
    </r>
    <r>
      <rPr>
        <i/>
        <sz val="10"/>
        <rFont val="Arial"/>
        <family val="2"/>
      </rPr>
      <t>lt004_protection.</t>
    </r>
    <r>
      <rPr>
        <sz val="10"/>
        <rFont val="Arial"/>
        <family val="2"/>
      </rPr>
      <t xml:space="preserve">
    • Continuação da validação dos campos da</t>
    </r>
    <r>
      <rPr>
        <i/>
        <sz val="10"/>
        <rFont val="Arial"/>
        <family val="2"/>
      </rPr>
      <t xml:space="preserve"> lt002_instrument.
    •</t>
    </r>
    <r>
      <rPr>
        <sz val="10"/>
        <rFont val="Arial"/>
        <family val="2"/>
      </rPr>
      <t>Continuação da validação do universo e campos da</t>
    </r>
    <r>
      <rPr>
        <i/>
        <sz val="10"/>
        <rFont val="Arial"/>
        <family val="2"/>
      </rPr>
      <t xml:space="preserve"> lt006_instr_protection.</t>
    </r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</si>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</sst>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0" tint="-0.499984740745262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89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7" fillId="0" borderId="1" xfId="0" applyNumberFormat="1" applyFont="1" applyBorder="1"/>
    <xf numFmtId="16" fontId="37" fillId="0" borderId="1" xfId="0" applyNumberFormat="1" applyFont="1" applyBorder="1" applyAlignment="1">
      <alignment horizontal="right" vertical="center"/>
    </xf>
    <xf numFmtId="16" fontId="37" fillId="0" borderId="2" xfId="0" applyNumberFormat="1" applyFont="1" applyBorder="1" applyAlignment="1">
      <alignment horizontal="right" vertical="center"/>
    </xf>
    <xf numFmtId="0" fontId="37" fillId="0" borderId="0" xfId="0" applyFont="1"/>
    <xf numFmtId="3" fontId="37" fillId="0" borderId="1" xfId="0" applyNumberFormat="1" applyFont="1" applyBorder="1"/>
    <xf numFmtId="0" fontId="37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8" fillId="18" borderId="49" xfId="0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vertical="center" wrapText="1"/>
    </xf>
    <xf numFmtId="0" fontId="4" fillId="2" borderId="49" xfId="0" applyFont="1" applyFill="1" applyBorder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1" fillId="17" borderId="49" xfId="0" applyFont="1" applyFill="1" applyBorder="1" applyAlignment="1">
      <alignment horizontal="center" vertical="center" wrapText="1"/>
    </xf>
    <xf numFmtId="0" fontId="42" fillId="18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3" fillId="0" borderId="0" xfId="0" applyFont="1"/>
    <xf numFmtId="0" fontId="3" fillId="16" borderId="1" xfId="0" applyFont="1" applyFill="1" applyBorder="1" applyAlignment="1">
      <alignment vertical="center"/>
    </xf>
    <xf numFmtId="16" fontId="3" fillId="0" borderId="1" xfId="0" quotePrefix="1" applyNumberFormat="1" applyFont="1" applyBorder="1" applyAlignment="1">
      <alignment horizontal="right" vertical="center"/>
    </xf>
    <xf numFmtId="0" fontId="36" fillId="0" borderId="0" xfId="0" applyFont="1" applyAlignment="1">
      <alignment horizontal="center" vertical="center"/>
    </xf>
    <xf numFmtId="16" fontId="44" fillId="0" borderId="0" xfId="0" applyNumberFormat="1" applyFont="1" applyAlignment="1">
      <alignment horizontal="right" vertical="center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18" fillId="0" borderId="61" xfId="0" applyFont="1" applyBorder="1" applyAlignment="1">
      <alignment horizontal="left" vertical="center" wrapTex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18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40" fillId="3" borderId="49" xfId="0" applyFont="1" applyFill="1" applyBorder="1" applyAlignment="1">
      <alignment horizontal="left" vertical="center" wrapText="1" indent="1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5" fillId="2" borderId="1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45" fillId="3" borderId="0" xfId="0" applyFont="1" applyFill="1" applyAlignment="1">
      <alignment horizontal="left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3868C"/>
      <color rgb="FF1CC6CE"/>
      <color rgb="FFFFE084"/>
      <color rgb="FF62B967"/>
      <color rgb="FFFFDDDD"/>
      <color rgb="FFE6AC00"/>
      <color rgb="FF993366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[BS_TestesGD_Fase2_MacroPlano_v1.7.xlsx]Aux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Gráficos'!$F$6:$F$9</c:f>
              <c:strCache>
                <c:ptCount val="4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4. Em Correção</c:v>
                </c:pt>
              </c:strCache>
            </c:strRef>
          </c:cat>
          <c:val>
            <c:numRef>
              <c:f>'Aux Gráficos'!$G$6:$G$9</c:f>
              <c:numCache>
                <c:formatCode>General</c:formatCode>
                <c:ptCount val="4"/>
                <c:pt idx="0">
                  <c:v>15</c:v>
                </c:pt>
                <c:pt idx="1">
                  <c:v>3</c:v>
                </c:pt>
                <c:pt idx="2">
                  <c:v>9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[BS_TestesGD_Fase2_MacroPlano_v1.7.xlsx]Aux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[BS_TestesGD_Fase2_MacroPlano_v1.7.xlsx]Aux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</c:f>
              <c:strCache>
                <c:ptCount val="1"/>
                <c:pt idx="0">
                  <c:v>6. Por Iniciar</c:v>
                </c:pt>
              </c:strCache>
            </c:strRef>
          </c:cat>
          <c:val>
            <c:numRef>
              <c:f>'Aux Gráficos'!$G$28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[BS_TestesGD_Fase2_MacroPlano_v1.7.xlsx]Aux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1200574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56</xdr:row>
      <xdr:rowOff>0</xdr:rowOff>
    </xdr:from>
    <xdr:to>
      <xdr:col>6</xdr:col>
      <xdr:colOff>542925</xdr:colOff>
      <xdr:row>56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41</xdr:row>
      <xdr:rowOff>169070</xdr:rowOff>
    </xdr:from>
    <xdr:to>
      <xdr:col>5</xdr:col>
      <xdr:colOff>0</xdr:colOff>
      <xdr:row>51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58</xdr:row>
      <xdr:rowOff>186690</xdr:rowOff>
    </xdr:from>
    <xdr:to>
      <xdr:col>5</xdr:col>
      <xdr:colOff>0</xdr:colOff>
      <xdr:row>68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43</xdr:row>
      <xdr:rowOff>60413</xdr:rowOff>
    </xdr:from>
    <xdr:to>
      <xdr:col>5</xdr:col>
      <xdr:colOff>627722</xdr:colOff>
      <xdr:row>49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22228" y="7285020"/>
          <a:ext cx="120387" cy="145029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60</xdr:row>
      <xdr:rowOff>59690</xdr:rowOff>
    </xdr:from>
    <xdr:to>
      <xdr:col>5</xdr:col>
      <xdr:colOff>627722</xdr:colOff>
      <xdr:row>66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22228" y="10882630"/>
          <a:ext cx="12038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94</xdr:row>
      <xdr:rowOff>55880</xdr:rowOff>
    </xdr:from>
    <xdr:to>
      <xdr:col>5</xdr:col>
      <xdr:colOff>631532</xdr:colOff>
      <xdr:row>101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26038" y="18083107"/>
          <a:ext cx="112767" cy="149749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93</xdr:row>
      <xdr:rowOff>22225</xdr:rowOff>
    </xdr:from>
    <xdr:to>
      <xdr:col>5</xdr:col>
      <xdr:colOff>71978</xdr:colOff>
      <xdr:row>103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77</xdr:row>
      <xdr:rowOff>55880</xdr:rowOff>
    </xdr:from>
    <xdr:to>
      <xdr:col>5</xdr:col>
      <xdr:colOff>631532</xdr:colOff>
      <xdr:row>84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26038" y="14484773"/>
          <a:ext cx="112767" cy="149749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75</xdr:row>
      <xdr:rowOff>149227</xdr:rowOff>
    </xdr:from>
    <xdr:to>
      <xdr:col>5</xdr:col>
      <xdr:colOff>531</xdr:colOff>
      <xdr:row>85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42205" y="1481668"/>
          <a:ext cx="1584000" cy="864657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69,6%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58880" y="1481668"/>
          <a:ext cx="1587810" cy="864657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34,8%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25.436130787035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6">
        <s v="4. Em Correção"/>
        <s v="2. Em Teste"/>
        <s v="6. Por Iniciar"/>
        <s v="1. Concluído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1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1"/>
  </r>
  <r>
    <x v="0"/>
    <x v="8"/>
    <x v="2"/>
  </r>
  <r>
    <x v="0"/>
    <x v="9"/>
    <x v="0"/>
  </r>
  <r>
    <x v="0"/>
    <x v="10"/>
    <x v="0"/>
  </r>
  <r>
    <x v="0"/>
    <x v="11"/>
    <x v="0"/>
  </r>
  <r>
    <x v="0"/>
    <x v="12"/>
    <x v="3"/>
  </r>
  <r>
    <x v="0"/>
    <x v="13"/>
    <x v="3"/>
  </r>
  <r>
    <x v="0"/>
    <x v="14"/>
    <x v="3"/>
  </r>
  <r>
    <x v="0"/>
    <x v="15"/>
    <x v="0"/>
  </r>
  <r>
    <x v="0"/>
    <x v="16"/>
    <x v="3"/>
  </r>
  <r>
    <x v="0"/>
    <x v="17"/>
    <x v="0"/>
  </r>
  <r>
    <x v="0"/>
    <x v="18"/>
    <x v="0"/>
  </r>
  <r>
    <x v="0"/>
    <x v="19"/>
    <x v="2"/>
  </r>
  <r>
    <x v="0"/>
    <x v="20"/>
    <x v="0"/>
  </r>
  <r>
    <x v="0"/>
    <x v="21"/>
    <x v="0"/>
  </r>
  <r>
    <x v="0"/>
    <x v="22"/>
    <x v="3"/>
  </r>
  <r>
    <x v="0"/>
    <x v="23"/>
    <x v="3"/>
  </r>
  <r>
    <x v="0"/>
    <x v="24"/>
    <x v="3"/>
  </r>
  <r>
    <x v="0"/>
    <x v="25"/>
    <x v="3"/>
  </r>
  <r>
    <x v="0"/>
    <x v="26"/>
    <x v="3"/>
  </r>
  <r>
    <x v="0"/>
    <x v="27"/>
    <x v="1"/>
  </r>
  <r>
    <x v="0"/>
    <x v="28"/>
    <x v="3"/>
  </r>
  <r>
    <x v="0"/>
    <x v="29"/>
    <x v="3"/>
  </r>
  <r>
    <x v="0"/>
    <x v="30"/>
    <x v="0"/>
  </r>
  <r>
    <x v="0"/>
    <x v="31"/>
    <x v="0"/>
  </r>
  <r>
    <x v="0"/>
    <x v="32"/>
    <x v="2"/>
  </r>
  <r>
    <x v="0"/>
    <x v="33"/>
    <x v="3"/>
  </r>
  <r>
    <x v="0"/>
    <x v="34"/>
    <x v="2"/>
  </r>
  <r>
    <x v="0"/>
    <x v="35"/>
    <x v="3"/>
  </r>
  <r>
    <x v="0"/>
    <x v="36"/>
    <x v="2"/>
  </r>
  <r>
    <x v="0"/>
    <x v="37"/>
    <x v="0"/>
  </r>
  <r>
    <x v="0"/>
    <x v="38"/>
    <x v="0"/>
  </r>
  <r>
    <x v="0"/>
    <x v="39"/>
    <x v="2"/>
  </r>
  <r>
    <x v="0"/>
    <x v="40"/>
    <x v="0"/>
  </r>
  <r>
    <x v="0"/>
    <x v="41"/>
    <x v="0"/>
  </r>
  <r>
    <x v="0"/>
    <x v="42"/>
    <x v="2"/>
  </r>
  <r>
    <x v="0"/>
    <x v="43"/>
    <x v="0"/>
  </r>
  <r>
    <x v="0"/>
    <x v="44"/>
    <x v="0"/>
  </r>
  <r>
    <x v="0"/>
    <x v="45"/>
    <x v="0"/>
  </r>
  <r>
    <x v="0"/>
    <x v="46"/>
    <x v="0"/>
  </r>
  <r>
    <x v="0"/>
    <x v="47"/>
    <x v="2"/>
  </r>
  <r>
    <x v="0"/>
    <x v="48"/>
    <x v="3"/>
  </r>
  <r>
    <x v="0"/>
    <x v="49"/>
    <x v="2"/>
  </r>
  <r>
    <x v="0"/>
    <x v="50"/>
    <x v="0"/>
  </r>
  <r>
    <x v="0"/>
    <x v="51"/>
    <x v="3"/>
  </r>
  <r>
    <x v="1"/>
    <x v="0"/>
    <x v="3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1"/>
  </r>
  <r>
    <x v="1"/>
    <x v="55"/>
    <x v="3"/>
  </r>
  <r>
    <x v="1"/>
    <x v="56"/>
    <x v="1"/>
  </r>
  <r>
    <x v="2"/>
    <x v="0"/>
    <x v="3"/>
  </r>
  <r>
    <x v="2"/>
    <x v="33"/>
    <x v="3"/>
  </r>
  <r>
    <x v="2"/>
    <x v="35"/>
    <x v="3"/>
  </r>
  <r>
    <x v="2"/>
    <x v="51"/>
    <x v="3"/>
  </r>
  <r>
    <x v="2"/>
    <x v="52"/>
    <x v="3"/>
  </r>
  <r>
    <x v="2"/>
    <x v="57"/>
    <x v="1"/>
  </r>
  <r>
    <x v="3"/>
    <x v="0"/>
    <x v="2"/>
  </r>
  <r>
    <x v="3"/>
    <x v="58"/>
    <x v="2"/>
  </r>
  <r>
    <x v="3"/>
    <x v="59"/>
    <x v="2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1"/>
        <item x="2"/>
        <item m="1" x="4"/>
        <item m="1" x="5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6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1"/>
        <item x="2"/>
        <item m="1" x="4"/>
        <item m="1" x="5"/>
        <item x="0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1"/>
        <item x="2"/>
        <item m="1" x="4"/>
        <item m="1" x="5"/>
        <item x="0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7:G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1"/>
        <item x="2"/>
        <item m="1" x="4"/>
        <item m="1" x="5"/>
        <item x="0"/>
        <item t="default"/>
      </items>
    </pivotField>
  </pivotFields>
  <rowFields count="1">
    <field x="2"/>
  </rowFields>
  <rowItems count="1">
    <i>
      <x v="2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16"/>
  <sheetViews>
    <sheetView showGridLines="0" tabSelected="1" zoomScale="90" zoomScaleNormal="90" workbookViewId="0">
      <selection activeCell="I13" sqref="I13"/>
    </sheetView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16384" width="9.5546875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385</v>
      </c>
    </row>
    <row r="8" spans="1:50" ht="6.9" customHeight="1"/>
    <row r="9" spans="1:50" ht="13.95" customHeight="1">
      <c r="B9" s="173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</row>
    <row r="10" spans="1:50" ht="13.95" customHeight="1">
      <c r="B10" s="182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8"/>
    </row>
    <row r="11" spans="1:50" ht="13.95" customHeight="1">
      <c r="B11" s="182"/>
      <c r="C11" s="177"/>
      <c r="D11" s="177"/>
      <c r="E11" s="177"/>
      <c r="F11" s="177"/>
      <c r="G11" s="177"/>
      <c r="H11" s="177"/>
      <c r="I11" s="177"/>
      <c r="J11" s="190"/>
      <c r="K11" s="177"/>
      <c r="L11" s="177"/>
      <c r="M11" s="177"/>
      <c r="N11" s="177"/>
      <c r="O11" s="177"/>
      <c r="P11" s="177"/>
      <c r="Q11" s="177"/>
      <c r="R11" s="177"/>
      <c r="S11" s="178"/>
    </row>
    <row r="12" spans="1:50" ht="13.95" customHeight="1">
      <c r="B12" s="182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8"/>
    </row>
    <row r="13" spans="1:50" ht="13.95" customHeight="1">
      <c r="B13" s="182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8"/>
    </row>
    <row r="14" spans="1:50" ht="13.95" customHeight="1">
      <c r="B14" s="182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8"/>
    </row>
    <row r="15" spans="1:50" ht="13.95" customHeight="1">
      <c r="B15" s="182"/>
      <c r="C15" s="288" t="s">
        <v>391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8"/>
    </row>
    <row r="16" spans="1:50" ht="13.95" customHeight="1">
      <c r="B16" s="182"/>
      <c r="C16" s="288" t="s">
        <v>392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8"/>
    </row>
    <row r="17" spans="2:19" ht="13.95" customHeight="1">
      <c r="B17" s="182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8"/>
    </row>
    <row r="18" spans="2:19" ht="13.95" customHeight="1">
      <c r="B18" s="182"/>
      <c r="C18" s="187" t="s">
        <v>290</v>
      </c>
      <c r="D18" s="177"/>
      <c r="E18" s="177"/>
      <c r="F18" s="177"/>
      <c r="G18" s="177"/>
      <c r="H18" s="177"/>
      <c r="I18" s="190" t="s">
        <v>268</v>
      </c>
      <c r="J18" s="177"/>
      <c r="K18" s="177"/>
      <c r="L18" s="177"/>
      <c r="M18" s="177"/>
      <c r="N18" s="177"/>
      <c r="O18" s="177"/>
      <c r="P18" s="177"/>
      <c r="Q18" s="177"/>
      <c r="R18" s="177"/>
      <c r="S18" s="178"/>
    </row>
    <row r="19" spans="2:19" ht="7.2" customHeight="1">
      <c r="B19" s="182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8"/>
    </row>
    <row r="20" spans="2:19" ht="15.6" customHeight="1">
      <c r="B20" s="176"/>
      <c r="C20" s="177"/>
      <c r="D20" s="243" t="s">
        <v>382</v>
      </c>
      <c r="E20" s="243"/>
      <c r="F20" s="243"/>
      <c r="G20" s="231" t="s">
        <v>383</v>
      </c>
      <c r="H20" s="177"/>
      <c r="I20" s="233" t="s">
        <v>388</v>
      </c>
      <c r="J20" s="234"/>
      <c r="K20" s="234"/>
      <c r="L20" s="234"/>
      <c r="M20" s="234"/>
      <c r="N20" s="234"/>
      <c r="O20" s="234"/>
      <c r="P20" s="234"/>
      <c r="Q20" s="234"/>
      <c r="R20" s="235"/>
      <c r="S20" s="178"/>
    </row>
    <row r="21" spans="2:19">
      <c r="B21" s="176"/>
      <c r="C21" s="183" t="s">
        <v>80</v>
      </c>
      <c r="D21" s="186" t="s">
        <v>286</v>
      </c>
      <c r="E21" s="186" t="s">
        <v>248</v>
      </c>
      <c r="F21" s="186" t="s">
        <v>285</v>
      </c>
      <c r="G21" s="232"/>
      <c r="H21" s="177"/>
      <c r="I21" s="236"/>
      <c r="J21" s="237"/>
      <c r="K21" s="237"/>
      <c r="L21" s="237"/>
      <c r="M21" s="237"/>
      <c r="N21" s="237"/>
      <c r="O21" s="237"/>
      <c r="P21" s="237"/>
      <c r="Q21" s="237"/>
      <c r="R21" s="238"/>
      <c r="S21" s="178"/>
    </row>
    <row r="22" spans="2:19">
      <c r="B22" s="176"/>
      <c r="C22" s="184" t="s">
        <v>1</v>
      </c>
      <c r="D22" s="188">
        <f>43+8</f>
        <v>51</v>
      </c>
      <c r="E22" s="188">
        <f>43+8</f>
        <v>51</v>
      </c>
      <c r="F22" s="188">
        <f>E22-D22</f>
        <v>0</v>
      </c>
      <c r="G22" s="188">
        <v>24</v>
      </c>
      <c r="H22" s="177"/>
      <c r="I22" s="236"/>
      <c r="J22" s="237"/>
      <c r="K22" s="237"/>
      <c r="L22" s="237"/>
      <c r="M22" s="237"/>
      <c r="N22" s="237"/>
      <c r="O22" s="237"/>
      <c r="P22" s="237"/>
      <c r="Q22" s="237"/>
      <c r="R22" s="238"/>
      <c r="S22" s="178"/>
    </row>
    <row r="23" spans="2:19">
      <c r="B23" s="176"/>
      <c r="C23" s="184" t="s">
        <v>55</v>
      </c>
      <c r="D23" s="188">
        <v>7</v>
      </c>
      <c r="E23" s="188">
        <v>7</v>
      </c>
      <c r="F23" s="188">
        <f>E23-D23</f>
        <v>0</v>
      </c>
      <c r="G23" s="188">
        <v>0</v>
      </c>
      <c r="H23" s="177"/>
      <c r="I23" s="236"/>
      <c r="J23" s="237"/>
      <c r="K23" s="237"/>
      <c r="L23" s="237"/>
      <c r="M23" s="237"/>
      <c r="N23" s="237"/>
      <c r="O23" s="237"/>
      <c r="P23" s="237"/>
      <c r="Q23" s="237"/>
      <c r="R23" s="238"/>
      <c r="S23" s="178"/>
    </row>
    <row r="24" spans="2:19">
      <c r="B24" s="176"/>
      <c r="C24" s="184" t="s">
        <v>61</v>
      </c>
      <c r="D24" s="188">
        <v>5</v>
      </c>
      <c r="E24" s="188">
        <v>5</v>
      </c>
      <c r="F24" s="188">
        <f>E24-D24</f>
        <v>0</v>
      </c>
      <c r="G24" s="188">
        <v>0</v>
      </c>
      <c r="H24" s="177"/>
      <c r="I24" s="236"/>
      <c r="J24" s="237"/>
      <c r="K24" s="237"/>
      <c r="L24" s="237"/>
      <c r="M24" s="237"/>
      <c r="N24" s="237"/>
      <c r="O24" s="237"/>
      <c r="P24" s="237"/>
      <c r="Q24" s="237"/>
      <c r="R24" s="238"/>
      <c r="S24" s="178"/>
    </row>
    <row r="25" spans="2:19">
      <c r="B25" s="176"/>
      <c r="C25" s="184" t="s">
        <v>63</v>
      </c>
      <c r="D25" s="188">
        <v>6</v>
      </c>
      <c r="E25" s="188">
        <v>6</v>
      </c>
      <c r="F25" s="188">
        <f>E25-D25</f>
        <v>0</v>
      </c>
      <c r="G25" s="188">
        <v>0</v>
      </c>
      <c r="H25" s="177"/>
      <c r="I25" s="236"/>
      <c r="J25" s="237"/>
      <c r="K25" s="237"/>
      <c r="L25" s="237"/>
      <c r="M25" s="237"/>
      <c r="N25" s="237"/>
      <c r="O25" s="237"/>
      <c r="P25" s="237"/>
      <c r="Q25" s="237"/>
      <c r="R25" s="238"/>
      <c r="S25" s="178"/>
    </row>
    <row r="26" spans="2:19">
      <c r="B26" s="176"/>
      <c r="C26" s="185" t="s">
        <v>269</v>
      </c>
      <c r="D26" s="186">
        <f>SUM(D22:D25)</f>
        <v>69</v>
      </c>
      <c r="E26" s="186">
        <f t="shared" ref="E26:G26" si="0">SUM(E22:E25)</f>
        <v>69</v>
      </c>
      <c r="F26" s="186">
        <f t="shared" si="0"/>
        <v>0</v>
      </c>
      <c r="G26" s="186">
        <f t="shared" si="0"/>
        <v>24</v>
      </c>
      <c r="H26" s="177"/>
      <c r="I26" s="239"/>
      <c r="J26" s="240"/>
      <c r="K26" s="240"/>
      <c r="L26" s="240"/>
      <c r="M26" s="240"/>
      <c r="N26" s="240"/>
      <c r="O26" s="240"/>
      <c r="P26" s="240"/>
      <c r="Q26" s="240"/>
      <c r="R26" s="241"/>
      <c r="S26" s="178"/>
    </row>
    <row r="27" spans="2:19">
      <c r="B27" s="176"/>
      <c r="C27" s="189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8"/>
    </row>
    <row r="28" spans="2:19">
      <c r="B28" s="176"/>
      <c r="C28" s="187" t="s">
        <v>305</v>
      </c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8"/>
    </row>
    <row r="29" spans="2:19" ht="7.2" customHeight="1">
      <c r="B29" s="176"/>
      <c r="C29" s="18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8"/>
    </row>
    <row r="30" spans="2:19" ht="13.95" customHeight="1">
      <c r="B30" s="176"/>
      <c r="C30" s="183" t="s">
        <v>80</v>
      </c>
      <c r="D30" s="244" t="s">
        <v>287</v>
      </c>
      <c r="E30" s="244"/>
      <c r="F30" s="244"/>
      <c r="G30" s="244" t="s">
        <v>288</v>
      </c>
      <c r="H30" s="244"/>
      <c r="I30" s="244"/>
      <c r="J30" s="244"/>
      <c r="K30" s="244"/>
      <c r="L30" s="244"/>
      <c r="M30" s="244"/>
      <c r="N30" s="244"/>
      <c r="O30" s="244"/>
      <c r="P30" s="244"/>
      <c r="Q30" s="191" t="s">
        <v>312</v>
      </c>
      <c r="R30" s="191" t="s">
        <v>313</v>
      </c>
      <c r="S30" s="178"/>
    </row>
    <row r="31" spans="2:19" ht="15" customHeight="1">
      <c r="B31" s="176"/>
      <c r="C31" s="202" t="s">
        <v>1</v>
      </c>
      <c r="D31" s="242" t="s">
        <v>309</v>
      </c>
      <c r="E31" s="242"/>
      <c r="F31" s="242"/>
      <c r="G31" s="242" t="s">
        <v>342</v>
      </c>
      <c r="H31" s="242"/>
      <c r="I31" s="242"/>
      <c r="J31" s="242"/>
      <c r="K31" s="242"/>
      <c r="L31" s="242"/>
      <c r="M31" s="242"/>
      <c r="N31" s="242"/>
      <c r="O31" s="242"/>
      <c r="P31" s="242"/>
      <c r="Q31" s="192" t="s">
        <v>308</v>
      </c>
      <c r="R31" s="201" t="s">
        <v>311</v>
      </c>
      <c r="S31" s="178"/>
    </row>
    <row r="32" spans="2:19">
      <c r="B32" s="176"/>
      <c r="C32" s="202" t="s">
        <v>1</v>
      </c>
      <c r="D32" s="242" t="s">
        <v>306</v>
      </c>
      <c r="E32" s="242"/>
      <c r="F32" s="242"/>
      <c r="G32" s="242" t="s">
        <v>344</v>
      </c>
      <c r="H32" s="242"/>
      <c r="I32" s="242"/>
      <c r="J32" s="242"/>
      <c r="K32" s="242"/>
      <c r="L32" s="242"/>
      <c r="M32" s="242"/>
      <c r="N32" s="242"/>
      <c r="O32" s="242"/>
      <c r="P32" s="242"/>
      <c r="Q32" s="192" t="s">
        <v>343</v>
      </c>
      <c r="R32" s="201" t="s">
        <v>311</v>
      </c>
      <c r="S32" s="178"/>
    </row>
    <row r="33" spans="2:19">
      <c r="B33" s="176"/>
      <c r="C33" s="202" t="s">
        <v>1</v>
      </c>
      <c r="D33" s="242" t="s">
        <v>307</v>
      </c>
      <c r="E33" s="242"/>
      <c r="F33" s="242"/>
      <c r="G33" s="242" t="s">
        <v>374</v>
      </c>
      <c r="H33" s="242"/>
      <c r="I33" s="242"/>
      <c r="J33" s="242"/>
      <c r="K33" s="242"/>
      <c r="L33" s="242"/>
      <c r="M33" s="242"/>
      <c r="N33" s="242"/>
      <c r="O33" s="242"/>
      <c r="P33" s="242"/>
      <c r="Q33" s="217" t="s">
        <v>289</v>
      </c>
      <c r="R33" s="192" t="s">
        <v>289</v>
      </c>
      <c r="S33" s="178"/>
    </row>
    <row r="34" spans="2:19" ht="14.25" customHeight="1">
      <c r="B34" s="176"/>
      <c r="C34" s="202" t="s">
        <v>1</v>
      </c>
      <c r="D34" s="245" t="s">
        <v>375</v>
      </c>
      <c r="E34" s="245"/>
      <c r="F34" s="245"/>
      <c r="G34" s="242" t="s">
        <v>373</v>
      </c>
      <c r="H34" s="242"/>
      <c r="I34" s="242"/>
      <c r="J34" s="242"/>
      <c r="K34" s="242"/>
      <c r="L34" s="242"/>
      <c r="M34" s="242"/>
      <c r="N34" s="242"/>
      <c r="O34" s="242"/>
      <c r="P34" s="242"/>
      <c r="Q34" s="192" t="s">
        <v>308</v>
      </c>
      <c r="R34" s="201" t="s">
        <v>311</v>
      </c>
      <c r="S34" s="178"/>
    </row>
    <row r="35" spans="2:19" ht="14.25" customHeight="1">
      <c r="B35" s="176"/>
      <c r="C35" s="202" t="s">
        <v>1</v>
      </c>
      <c r="D35" s="242" t="s">
        <v>371</v>
      </c>
      <c r="E35" s="242"/>
      <c r="F35" s="242"/>
      <c r="G35" s="242" t="s">
        <v>377</v>
      </c>
      <c r="H35" s="242"/>
      <c r="I35" s="242"/>
      <c r="J35" s="242"/>
      <c r="K35" s="242"/>
      <c r="L35" s="242"/>
      <c r="M35" s="242"/>
      <c r="N35" s="242"/>
      <c r="O35" s="242"/>
      <c r="P35" s="242"/>
      <c r="Q35" s="192" t="s">
        <v>308</v>
      </c>
      <c r="R35" s="218" t="s">
        <v>310</v>
      </c>
      <c r="S35" s="178"/>
    </row>
    <row r="36" spans="2:19" ht="14.25" customHeight="1">
      <c r="B36" s="176"/>
      <c r="C36" s="202" t="s">
        <v>1</v>
      </c>
      <c r="D36" s="242" t="s">
        <v>372</v>
      </c>
      <c r="E36" s="242"/>
      <c r="F36" s="242"/>
      <c r="G36" s="242" t="s">
        <v>378</v>
      </c>
      <c r="H36" s="242"/>
      <c r="I36" s="242"/>
      <c r="J36" s="242"/>
      <c r="K36" s="242"/>
      <c r="L36" s="242"/>
      <c r="M36" s="242"/>
      <c r="N36" s="242"/>
      <c r="O36" s="242"/>
      <c r="P36" s="242"/>
      <c r="Q36" s="192" t="s">
        <v>308</v>
      </c>
      <c r="R36" s="218" t="s">
        <v>310</v>
      </c>
      <c r="S36" s="178"/>
    </row>
    <row r="37" spans="2:19" ht="14.25" customHeight="1">
      <c r="B37" s="176"/>
      <c r="C37" s="202" t="s">
        <v>55</v>
      </c>
      <c r="D37" s="245" t="s">
        <v>376</v>
      </c>
      <c r="E37" s="245"/>
      <c r="F37" s="245"/>
      <c r="G37" s="242" t="s">
        <v>315</v>
      </c>
      <c r="H37" s="242"/>
      <c r="I37" s="242"/>
      <c r="J37" s="242"/>
      <c r="K37" s="242"/>
      <c r="L37" s="242"/>
      <c r="M37" s="242"/>
      <c r="N37" s="242"/>
      <c r="O37" s="242"/>
      <c r="P37" s="242"/>
      <c r="Q37" s="192" t="s">
        <v>308</v>
      </c>
      <c r="R37" s="192" t="s">
        <v>289</v>
      </c>
      <c r="S37" s="178"/>
    </row>
    <row r="38" spans="2:19">
      <c r="B38" s="179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1"/>
    </row>
    <row r="39" spans="2:19"/>
    <row r="40" spans="2:19" ht="18" customHeight="1">
      <c r="B40" s="247" t="s">
        <v>270</v>
      </c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</row>
    <row r="41" spans="2:19" ht="6.9" customHeight="1">
      <c r="G41" s="151"/>
    </row>
    <row r="42" spans="2:19" ht="17.399999999999999" customHeight="1">
      <c r="B42" s="136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8"/>
    </row>
    <row r="43" spans="2:19" ht="17.399999999999999" customHeight="1">
      <c r="B43" s="139"/>
      <c r="C43" s="140" t="s">
        <v>267</v>
      </c>
      <c r="G43" s="155" t="s">
        <v>277</v>
      </c>
      <c r="H43" s="155"/>
      <c r="I43" s="169">
        <v>45813</v>
      </c>
      <c r="J43" s="169">
        <v>45806</v>
      </c>
      <c r="K43" s="170" t="s">
        <v>285</v>
      </c>
      <c r="M43" s="152" t="s">
        <v>268</v>
      </c>
      <c r="S43" s="141"/>
    </row>
    <row r="44" spans="2:19" ht="17.399999999999999" customHeight="1">
      <c r="B44" s="139"/>
      <c r="G44" s="147" t="s">
        <v>115</v>
      </c>
      <c r="I44" s="147">
        <f>COUNTIFS('Detalhe Entregas e Status'!$U:$U,'Status Resumo'!G44,'Detalhe Entregas e Status'!$B:$B,"lt002_instrument",'Detalhe Entregas e Status'!$C:$C,"&lt;&gt;"&amp;"UNIVERSO")</f>
        <v>15</v>
      </c>
      <c r="J44" s="147">
        <f>COUNTIFS('Detalhe Entregas e Status'!$V:$V,'Status Resumo'!G44,'Detalhe Entregas e Status'!$B:$B,"lt002_instrument",'Detalhe Entregas e Status'!$C:$C,"&lt;&gt;"&amp;"UNIVERSO")</f>
        <v>15</v>
      </c>
      <c r="K44" s="171" t="str">
        <f>IF(I44-J44=0,"-",IF(I44-J44&gt;0,_xlfn.CONCAT("+ ",I44-J44),_xlfn.CONCAT("- ",J44-I44)))</f>
        <v>-</v>
      </c>
      <c r="M44" s="249" t="s">
        <v>386</v>
      </c>
      <c r="N44" s="250"/>
      <c r="O44" s="250"/>
      <c r="P44" s="250"/>
      <c r="Q44" s="250"/>
      <c r="R44" s="251"/>
      <c r="S44" s="141"/>
    </row>
    <row r="45" spans="2:19" ht="17.399999999999999" customHeight="1">
      <c r="B45" s="139"/>
      <c r="G45" s="147" t="s">
        <v>118</v>
      </c>
      <c r="I45" s="147">
        <f>COUNTIFS('Detalhe Entregas e Status'!$U:$U,'Status Resumo'!G45,'Detalhe Entregas e Status'!$B:$B,"lt002_instrument",'Detalhe Entregas e Status'!$C:$C,"&lt;&gt;"&amp;"UNIVERSO")</f>
        <v>3</v>
      </c>
      <c r="J45" s="147">
        <f>COUNTIFS('Detalhe Entregas e Status'!$V:$V,'Status Resumo'!G45,'Detalhe Entregas e Status'!$B:$B,"lt002_instrument",'Detalhe Entregas e Status'!$C:$C,"&lt;&gt;"&amp;"UNIVERSO")</f>
        <v>3</v>
      </c>
      <c r="K45" s="171" t="str">
        <f t="shared" ref="K45:K50" si="1">IF(I45-J45=0,"-",IF(I45-J45&gt;0,_xlfn.CONCAT("+ ",I45-J45),_xlfn.CONCAT("- ",J45-I45)))</f>
        <v>-</v>
      </c>
      <c r="M45" s="252"/>
      <c r="N45" s="253"/>
      <c r="O45" s="253"/>
      <c r="P45" s="253"/>
      <c r="Q45" s="253"/>
      <c r="R45" s="254"/>
      <c r="S45" s="141"/>
    </row>
    <row r="46" spans="2:19" ht="17.399999999999999" customHeight="1">
      <c r="B46" s="139"/>
      <c r="G46" s="147" t="s">
        <v>116</v>
      </c>
      <c r="I46" s="147">
        <f>COUNTIFS('Detalhe Entregas e Status'!$U:$U,'Status Resumo'!G46,'Detalhe Entregas e Status'!$B:$B,"lt002_instrument",'Detalhe Entregas e Status'!$C:$C,"&lt;&gt;"&amp;"UNIVERSO")</f>
        <v>0</v>
      </c>
      <c r="J46" s="147">
        <f>COUNTIFS('Detalhe Entregas e Status'!$V:$V,'Status Resumo'!G46,'Detalhe Entregas e Status'!$B:$B,"lt002_instrument",'Detalhe Entregas e Status'!$C:$C,"&lt;&gt;"&amp;"UNIVERSO")</f>
        <v>0</v>
      </c>
      <c r="K46" s="171" t="str">
        <f t="shared" si="1"/>
        <v>-</v>
      </c>
      <c r="M46" s="252"/>
      <c r="N46" s="253"/>
      <c r="O46" s="253"/>
      <c r="P46" s="253"/>
      <c r="Q46" s="253"/>
      <c r="R46" s="254"/>
      <c r="S46" s="141"/>
    </row>
    <row r="47" spans="2:19" ht="17.399999999999999" customHeight="1">
      <c r="B47" s="139"/>
      <c r="D47" s="142"/>
      <c r="E47" s="142"/>
      <c r="G47" s="147" t="s">
        <v>117</v>
      </c>
      <c r="I47" s="147">
        <f>COUNTIFS('Detalhe Entregas e Status'!$U:$U,'Status Resumo'!G47,'Detalhe Entregas e Status'!$B:$B,"lt002_instrument",'Detalhe Entregas e Status'!$C:$C,"&lt;&gt;"&amp;"UNIVERSO")</f>
        <v>24</v>
      </c>
      <c r="J47" s="147">
        <f>COUNTIFS('Detalhe Entregas e Status'!$V:$V,'Status Resumo'!G47,'Detalhe Entregas e Status'!$B:$B,"lt002_instrument",'Detalhe Entregas e Status'!$C:$C,"&lt;&gt;"&amp;"UNIVERSO")</f>
        <v>24</v>
      </c>
      <c r="K47" s="171" t="str">
        <f t="shared" si="1"/>
        <v>-</v>
      </c>
      <c r="M47" s="252"/>
      <c r="N47" s="253"/>
      <c r="O47" s="253"/>
      <c r="P47" s="253"/>
      <c r="Q47" s="253"/>
      <c r="R47" s="254"/>
      <c r="S47" s="141"/>
    </row>
    <row r="48" spans="2:19" ht="17.399999999999999" customHeight="1">
      <c r="B48" s="139"/>
      <c r="D48" s="142"/>
      <c r="E48" s="142"/>
      <c r="G48" s="147" t="s">
        <v>123</v>
      </c>
      <c r="I48" s="147">
        <f>COUNTIFS('Detalhe Entregas e Status'!$U:$U,'Status Resumo'!G48,'Detalhe Entregas e Status'!$B:$B,"lt002_instrument",'Detalhe Entregas e Status'!$C:$C,"&lt;&gt;"&amp;"UNIVERSO")</f>
        <v>0</v>
      </c>
      <c r="J48" s="147">
        <f>COUNTIFS('Detalhe Entregas e Status'!$V:$V,'Status Resumo'!G48,'Detalhe Entregas e Status'!$B:$B,"lt002_instrument",'Detalhe Entregas e Status'!$C:$C,"&lt;&gt;"&amp;"UNIVERSO")</f>
        <v>0</v>
      </c>
      <c r="K48" s="171" t="str">
        <f t="shared" si="1"/>
        <v>-</v>
      </c>
      <c r="M48" s="252"/>
      <c r="N48" s="253"/>
      <c r="O48" s="253"/>
      <c r="P48" s="253"/>
      <c r="Q48" s="253"/>
      <c r="R48" s="254"/>
      <c r="S48" s="141"/>
    </row>
    <row r="49" spans="2:19" ht="17.399999999999999" customHeight="1">
      <c r="B49" s="139"/>
      <c r="D49" s="142"/>
      <c r="E49" s="142"/>
      <c r="G49" s="147" t="s">
        <v>125</v>
      </c>
      <c r="I49" s="147">
        <f>COUNTIFS('Detalhe Entregas e Status'!$U:$U,'Status Resumo'!G49,'Detalhe Entregas e Status'!$B:$B,"lt002_instrument",'Detalhe Entregas e Status'!$C:$C,"&lt;&gt;"&amp;"UNIVERSO")</f>
        <v>9</v>
      </c>
      <c r="J49" s="147">
        <f>COUNTIFS('Detalhe Entregas e Status'!$V:$V,'Status Resumo'!G49,'Detalhe Entregas e Status'!$B:$B,"lt002_instrument",'Detalhe Entregas e Status'!$C:$C,"&lt;&gt;"&amp;"UNIVERSO")</f>
        <v>9</v>
      </c>
      <c r="K49" s="171" t="str">
        <f t="shared" si="1"/>
        <v>-</v>
      </c>
      <c r="M49" s="252"/>
      <c r="N49" s="253"/>
      <c r="O49" s="253"/>
      <c r="P49" s="253"/>
      <c r="Q49" s="253"/>
      <c r="R49" s="254"/>
      <c r="S49" s="141"/>
    </row>
    <row r="50" spans="2:19" ht="17.399999999999999" customHeight="1">
      <c r="B50" s="139"/>
      <c r="G50" s="147" t="s">
        <v>278</v>
      </c>
      <c r="H50" s="155"/>
      <c r="I50" s="147">
        <f>COUNTIFS('Detalhe Entregas e Status'!$U:$U,'Status Resumo'!G50,'Detalhe Entregas e Status'!$B:$B,"lt002_instrument",'Detalhe Entregas e Status'!$C:$C,"&lt;&gt;"&amp;"UNIVERSO")</f>
        <v>0</v>
      </c>
      <c r="J50" s="147">
        <f>COUNTIFS('Detalhe Entregas e Status'!$V:$V,'Status Resumo'!G50,'Detalhe Entregas e Status'!$B:$B,"lt002_instrument",'Detalhe Entregas e Status'!$C:$C,"&lt;&gt;"&amp;"UNIVERSO")</f>
        <v>0</v>
      </c>
      <c r="K50" s="172" t="str">
        <f t="shared" si="1"/>
        <v>-</v>
      </c>
      <c r="M50" s="252"/>
      <c r="N50" s="253"/>
      <c r="O50" s="253"/>
      <c r="P50" s="253"/>
      <c r="Q50" s="253"/>
      <c r="R50" s="254"/>
      <c r="S50" s="141"/>
    </row>
    <row r="51" spans="2:19" ht="17.399999999999999" customHeight="1">
      <c r="B51" s="139"/>
      <c r="G51" s="148" t="s">
        <v>269</v>
      </c>
      <c r="I51" s="148">
        <f>SUM(I44:I50)</f>
        <v>51</v>
      </c>
      <c r="J51" s="148">
        <f>SUM(J44:J50)</f>
        <v>51</v>
      </c>
      <c r="K51" s="168"/>
      <c r="L51" s="143"/>
      <c r="M51" s="252"/>
      <c r="N51" s="253"/>
      <c r="O51" s="253"/>
      <c r="P51" s="253"/>
      <c r="Q51" s="253"/>
      <c r="R51" s="254"/>
      <c r="S51" s="141"/>
    </row>
    <row r="52" spans="2:19" ht="17.399999999999999" customHeight="1">
      <c r="B52" s="139"/>
      <c r="G52"/>
      <c r="H52"/>
      <c r="I52"/>
      <c r="J52"/>
      <c r="K52"/>
      <c r="L52" s="143"/>
      <c r="M52" s="252"/>
      <c r="N52" s="253"/>
      <c r="O52" s="253"/>
      <c r="P52" s="253"/>
      <c r="Q52" s="253"/>
      <c r="R52" s="254"/>
      <c r="S52" s="141"/>
    </row>
    <row r="53" spans="2:19" ht="17.399999999999999" customHeight="1">
      <c r="B53" s="139"/>
      <c r="G53" s="155" t="s">
        <v>276</v>
      </c>
      <c r="H53" s="155"/>
      <c r="I53" s="169">
        <v>45813</v>
      </c>
      <c r="J53" s="167"/>
      <c r="K53" s="167"/>
      <c r="L53" s="143"/>
      <c r="M53" s="252"/>
      <c r="N53" s="253"/>
      <c r="O53" s="253"/>
      <c r="P53" s="253"/>
      <c r="Q53" s="253"/>
      <c r="R53" s="254"/>
      <c r="S53" s="141"/>
    </row>
    <row r="54" spans="2:19" ht="17.399999999999999" customHeight="1">
      <c r="B54" s="139"/>
      <c r="G54" s="156" t="s">
        <v>1</v>
      </c>
      <c r="I54" s="229" t="s">
        <v>380</v>
      </c>
      <c r="J54" s="157"/>
      <c r="K54" s="157"/>
      <c r="L54" s="143"/>
      <c r="M54" s="255"/>
      <c r="N54" s="256"/>
      <c r="O54" s="256"/>
      <c r="P54" s="256"/>
      <c r="Q54" s="256"/>
      <c r="R54" s="257"/>
      <c r="S54" s="141"/>
    </row>
    <row r="55" spans="2:19" ht="17.399999999999999" customHeight="1">
      <c r="B55" s="144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6"/>
    </row>
    <row r="56" spans="2:19"/>
    <row r="57" spans="2:19" ht="18" customHeight="1">
      <c r="B57" s="247" t="s">
        <v>273</v>
      </c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</row>
    <row r="58" spans="2:19" ht="6.9" customHeight="1">
      <c r="G58" s="151"/>
    </row>
    <row r="59" spans="2:19" ht="17.399999999999999" customHeight="1">
      <c r="B59" s="136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8"/>
    </row>
    <row r="60" spans="2:19" ht="17.399999999999999" customHeight="1">
      <c r="B60" s="139"/>
      <c r="C60" s="140" t="s">
        <v>267</v>
      </c>
      <c r="G60" s="155" t="s">
        <v>275</v>
      </c>
      <c r="H60" s="155"/>
      <c r="I60" s="169">
        <f>I43</f>
        <v>45813</v>
      </c>
      <c r="J60" s="169">
        <f>J43</f>
        <v>45806</v>
      </c>
      <c r="K60" s="170" t="s">
        <v>285</v>
      </c>
      <c r="M60" s="152" t="s">
        <v>268</v>
      </c>
      <c r="S60" s="141"/>
    </row>
    <row r="61" spans="2:19" ht="17.399999999999999" customHeight="1">
      <c r="B61" s="139"/>
      <c r="G61" s="147" t="s">
        <v>115</v>
      </c>
      <c r="I61" s="147">
        <f>COUNTIFS('Detalhe Entregas e Status'!$U:$U,'Status Resumo'!G61,'Detalhe Entregas e Status'!$B:$B,"lt004_protection",'Detalhe Entregas e Status'!$C:$C,"&lt;&gt;"&amp;"UNIVERSO")</f>
        <v>5</v>
      </c>
      <c r="J61" s="147">
        <f>COUNTIFS('Detalhe Entregas e Status'!$V:$V,'Status Resumo'!G61,'Detalhe Entregas e Status'!$B:$B,"lt004_protection",'Detalhe Entregas e Status'!$C:$C,"&lt;&gt;"&amp;"UNIVERSO")</f>
        <v>5</v>
      </c>
      <c r="K61" s="171" t="str">
        <f t="shared" ref="K61:K67" si="2">IF(I61-J61=0,"-",IF(I61-J61&gt;0,_xlfn.CONCAT("+ ",I61-J61),_xlfn.CONCAT("- ",J61-I61)))</f>
        <v>-</v>
      </c>
      <c r="M61" s="246" t="s">
        <v>387</v>
      </c>
      <c r="N61" s="246"/>
      <c r="O61" s="246"/>
      <c r="P61" s="246"/>
      <c r="Q61" s="246"/>
      <c r="R61" s="246"/>
      <c r="S61" s="141"/>
    </row>
    <row r="62" spans="2:19" ht="17.399999999999999" customHeight="1">
      <c r="B62" s="139"/>
      <c r="G62" s="147" t="s">
        <v>118</v>
      </c>
      <c r="I62" s="147">
        <f>COUNTIFS('Detalhe Entregas e Status'!$U:$U,'Status Resumo'!G62,'Detalhe Entregas e Status'!$B:$B,"lt004_protection",'Detalhe Entregas e Status'!$C:$C,"&lt;&gt;"&amp;"UNIVERSO")</f>
        <v>2</v>
      </c>
      <c r="J62" s="147">
        <f>COUNTIFS('Detalhe Entregas e Status'!$V:$V,'Status Resumo'!G62,'Detalhe Entregas e Status'!$B:$B,"lt004_protection",'Detalhe Entregas e Status'!$C:$C,"&lt;&gt;"&amp;"UNIVERSO")</f>
        <v>2</v>
      </c>
      <c r="K62" s="171" t="str">
        <f t="shared" si="2"/>
        <v>-</v>
      </c>
      <c r="M62" s="246"/>
      <c r="N62" s="246"/>
      <c r="O62" s="246"/>
      <c r="P62" s="246"/>
      <c r="Q62" s="246"/>
      <c r="R62" s="246"/>
      <c r="S62" s="141"/>
    </row>
    <row r="63" spans="2:19" ht="17.399999999999999" customHeight="1">
      <c r="B63" s="139"/>
      <c r="G63" s="147" t="s">
        <v>116</v>
      </c>
      <c r="I63" s="147">
        <f>COUNTIFS('Detalhe Entregas e Status'!$U:$U,'Status Resumo'!G63,'Detalhe Entregas e Status'!$B:$B,"lt004_protection",'Detalhe Entregas e Status'!$C:$C,"&lt;&gt;"&amp;"UNIVERSO")</f>
        <v>0</v>
      </c>
      <c r="J63" s="147">
        <f>COUNTIFS('Detalhe Entregas e Status'!$V:$V,'Status Resumo'!G63,'Detalhe Entregas e Status'!$B:$B,"lt004_protection",'Detalhe Entregas e Status'!$C:$C,"&lt;&gt;"&amp;"UNIVERSO")</f>
        <v>0</v>
      </c>
      <c r="K63" s="171" t="str">
        <f t="shared" si="2"/>
        <v>-</v>
      </c>
      <c r="M63" s="246"/>
      <c r="N63" s="246"/>
      <c r="O63" s="246"/>
      <c r="P63" s="246"/>
      <c r="Q63" s="246"/>
      <c r="R63" s="246"/>
      <c r="S63" s="141"/>
    </row>
    <row r="64" spans="2:19" ht="17.399999999999999" customHeight="1">
      <c r="B64" s="139"/>
      <c r="D64" s="142"/>
      <c r="E64" s="142"/>
      <c r="G64" s="147" t="s">
        <v>117</v>
      </c>
      <c r="I64" s="147">
        <f>COUNTIFS('Detalhe Entregas e Status'!$U:$U,'Status Resumo'!G64,'Detalhe Entregas e Status'!$B:$B,"lt004_protection",'Detalhe Entregas e Status'!$C:$C,"&lt;&gt;"&amp;"UNIVERSO")</f>
        <v>0</v>
      </c>
      <c r="J64" s="147">
        <f>COUNTIFS('Detalhe Entregas e Status'!$V:$V,'Status Resumo'!G64,'Detalhe Entregas e Status'!$B:$B,"lt004_protection",'Detalhe Entregas e Status'!$C:$C,"&lt;&gt;"&amp;"UNIVERSO")</f>
        <v>0</v>
      </c>
      <c r="K64" s="171" t="str">
        <f t="shared" si="2"/>
        <v>-</v>
      </c>
      <c r="M64" s="246"/>
      <c r="N64" s="246"/>
      <c r="O64" s="246"/>
      <c r="P64" s="246"/>
      <c r="Q64" s="246"/>
      <c r="R64" s="246"/>
      <c r="S64" s="141"/>
    </row>
    <row r="65" spans="2:19" ht="17.399999999999999" customHeight="1">
      <c r="B65" s="139"/>
      <c r="D65" s="142"/>
      <c r="E65" s="142"/>
      <c r="G65" s="147" t="s">
        <v>123</v>
      </c>
      <c r="I65" s="147">
        <f>COUNTIFS('Detalhe Entregas e Status'!$U:$U,'Status Resumo'!G65,'Detalhe Entregas e Status'!$B:$B,"lt004_protection",'Detalhe Entregas e Status'!$C:$C,"&lt;&gt;"&amp;"UNIVERSO")</f>
        <v>0</v>
      </c>
      <c r="J65" s="147">
        <f>COUNTIFS('Detalhe Entregas e Status'!$V:$V,'Status Resumo'!G65,'Detalhe Entregas e Status'!$B:$B,"lt004_protection",'Detalhe Entregas e Status'!$C:$C,"&lt;&gt;"&amp;"UNIVERSO")</f>
        <v>0</v>
      </c>
      <c r="K65" s="171" t="str">
        <f t="shared" si="2"/>
        <v>-</v>
      </c>
      <c r="M65" s="246"/>
      <c r="N65" s="246"/>
      <c r="O65" s="246"/>
      <c r="P65" s="246"/>
      <c r="Q65" s="246"/>
      <c r="R65" s="246"/>
      <c r="S65" s="141"/>
    </row>
    <row r="66" spans="2:19" ht="17.399999999999999" customHeight="1">
      <c r="B66" s="139"/>
      <c r="D66" s="142"/>
      <c r="E66" s="142"/>
      <c r="G66" s="147" t="s">
        <v>125</v>
      </c>
      <c r="I66" s="147">
        <f>COUNTIFS('Detalhe Entregas e Status'!$U:$U,'Status Resumo'!G66,'Detalhe Entregas e Status'!$B:$B,"lt004_protection",'Detalhe Entregas e Status'!$C:$C,"&lt;&gt;"&amp;"UNIVERSO")</f>
        <v>0</v>
      </c>
      <c r="J66" s="147">
        <f>COUNTIFS('Detalhe Entregas e Status'!$V:$V,'Status Resumo'!G66,'Detalhe Entregas e Status'!$B:$B,"lt004_protection",'Detalhe Entregas e Status'!$C:$C,"&lt;&gt;"&amp;"UNIVERSO")</f>
        <v>0</v>
      </c>
      <c r="K66" s="171" t="str">
        <f t="shared" si="2"/>
        <v>-</v>
      </c>
      <c r="M66" s="246"/>
      <c r="N66" s="246"/>
      <c r="O66" s="246"/>
      <c r="P66" s="246"/>
      <c r="Q66" s="246"/>
      <c r="R66" s="246"/>
      <c r="S66" s="141"/>
    </row>
    <row r="67" spans="2:19" ht="17.399999999999999" customHeight="1">
      <c r="B67" s="139"/>
      <c r="G67" s="147" t="s">
        <v>278</v>
      </c>
      <c r="H67" s="155"/>
      <c r="I67" s="147">
        <f>COUNTIFS('Detalhe Entregas e Status'!$U:$U,'Status Resumo'!G67,'Detalhe Entregas e Status'!$B:$B,"lt004_protection",'Detalhe Entregas e Status'!$C:$C,"&lt;&gt;"&amp;"UNIVERSO")</f>
        <v>0</v>
      </c>
      <c r="J67" s="147">
        <f>COUNTIFS('Detalhe Entregas e Status'!$V:$V,'Status Resumo'!G67,'Detalhe Entregas e Status'!$B:$B,"lt004_protection",'Detalhe Entregas e Status'!$C:$C,"&lt;&gt;"&amp;"UNIVERSO")</f>
        <v>0</v>
      </c>
      <c r="K67" s="172" t="str">
        <f t="shared" si="2"/>
        <v>-</v>
      </c>
      <c r="M67" s="246"/>
      <c r="N67" s="246"/>
      <c r="O67" s="246"/>
      <c r="P67" s="246"/>
      <c r="Q67" s="246"/>
      <c r="R67" s="246"/>
      <c r="S67" s="141"/>
    </row>
    <row r="68" spans="2:19" ht="17.399999999999999" customHeight="1">
      <c r="B68" s="139"/>
      <c r="G68" s="148" t="s">
        <v>269</v>
      </c>
      <c r="I68" s="148">
        <f>SUM(I61:I67)</f>
        <v>7</v>
      </c>
      <c r="J68" s="148">
        <f>SUM(J61:J67)</f>
        <v>7</v>
      </c>
      <c r="K68" s="168"/>
      <c r="L68" s="143"/>
      <c r="M68" s="246"/>
      <c r="N68" s="246"/>
      <c r="O68" s="246"/>
      <c r="P68" s="246"/>
      <c r="Q68" s="246"/>
      <c r="R68" s="246"/>
      <c r="S68" s="141"/>
    </row>
    <row r="69" spans="2:19" ht="17.399999999999999" customHeight="1">
      <c r="B69" s="139"/>
      <c r="C69" s="140"/>
      <c r="F69" s="140"/>
      <c r="L69" s="143"/>
      <c r="M69" s="246"/>
      <c r="N69" s="246"/>
      <c r="O69" s="246"/>
      <c r="P69" s="246"/>
      <c r="Q69" s="246"/>
      <c r="R69" s="246"/>
      <c r="S69" s="141"/>
    </row>
    <row r="70" spans="2:19" ht="17.399999999999999" customHeight="1">
      <c r="B70" s="139"/>
      <c r="G70" s="155" t="s">
        <v>276</v>
      </c>
      <c r="H70" s="155"/>
      <c r="I70" s="169">
        <f>I53</f>
        <v>45813</v>
      </c>
      <c r="J70" s="167"/>
      <c r="K70" s="167"/>
      <c r="L70" s="143"/>
      <c r="M70" s="153"/>
      <c r="N70" s="153"/>
      <c r="O70" s="153"/>
      <c r="P70" s="153"/>
      <c r="Q70" s="153"/>
      <c r="R70" s="153"/>
      <c r="S70" s="141"/>
    </row>
    <row r="71" spans="2:19" ht="17.399999999999999" customHeight="1">
      <c r="B71" s="139"/>
      <c r="G71" s="158" t="s">
        <v>55</v>
      </c>
      <c r="I71" s="159" t="s">
        <v>274</v>
      </c>
      <c r="J71" s="159"/>
      <c r="K71" s="159"/>
      <c r="L71" s="143"/>
      <c r="M71" s="153"/>
      <c r="N71" s="153"/>
      <c r="O71" s="153"/>
      <c r="P71" s="153"/>
      <c r="Q71" s="153"/>
      <c r="R71" s="153"/>
      <c r="S71" s="141"/>
    </row>
    <row r="72" spans="2:19" ht="17.399999999999999" customHeight="1">
      <c r="B72" s="144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6"/>
    </row>
    <row r="73" spans="2:19"/>
    <row r="74" spans="2:19" ht="18" customHeight="1">
      <c r="B74" s="247" t="s">
        <v>303</v>
      </c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</row>
    <row r="75" spans="2:19" ht="6.9" customHeight="1">
      <c r="G75" s="151"/>
    </row>
    <row r="76" spans="2:19" ht="17.399999999999999" customHeight="1">
      <c r="B76" s="136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8"/>
    </row>
    <row r="77" spans="2:19" ht="17.399999999999999" customHeight="1">
      <c r="B77" s="139"/>
      <c r="C77" s="140" t="s">
        <v>267</v>
      </c>
      <c r="G77" s="155" t="s">
        <v>275</v>
      </c>
      <c r="H77" s="155"/>
      <c r="I77" s="169">
        <f>I43</f>
        <v>45813</v>
      </c>
      <c r="J77" s="169">
        <f>J43</f>
        <v>45806</v>
      </c>
      <c r="K77" s="170" t="s">
        <v>285</v>
      </c>
      <c r="M77" s="152" t="s">
        <v>268</v>
      </c>
      <c r="S77" s="141"/>
    </row>
    <row r="78" spans="2:19" ht="17.399999999999999" customHeight="1">
      <c r="B78" s="139"/>
      <c r="G78" s="147" t="s">
        <v>115</v>
      </c>
      <c r="I78" s="147">
        <f>COUNTIFS('Detalhe Entregas e Status'!$U:$U,'Status Resumo'!G78,'Detalhe Entregas e Status'!$B:$B,"lt006_instr_protection",'Detalhe Entregas e Status'!$C:$C,"&lt;&gt;"&amp;"UNIVERSO")</f>
        <v>4</v>
      </c>
      <c r="J78" s="147">
        <f>COUNTIFS('Detalhe Entregas e Status'!$V:$V,'Status Resumo'!G78,'Detalhe Entregas e Status'!$B:$B,"lt006_instr_protection",'Detalhe Entregas e Status'!$C:$C,"&lt;&gt;"&amp;"UNIVERSO")</f>
        <v>2</v>
      </c>
      <c r="K78" s="171" t="str">
        <f t="shared" ref="K78:K84" si="3">IF(I78-J78=0,"-",IF(I78-J78&gt;0,_xlfn.CONCAT("+ ",I78-J78),_xlfn.CONCAT("- ",J78-I78)))</f>
        <v>+ 2</v>
      </c>
      <c r="M78" s="246" t="s">
        <v>384</v>
      </c>
      <c r="N78" s="248"/>
      <c r="O78" s="248"/>
      <c r="P78" s="248"/>
      <c r="Q78" s="248"/>
      <c r="R78" s="248"/>
      <c r="S78" s="141"/>
    </row>
    <row r="79" spans="2:19" ht="17.399999999999999" customHeight="1">
      <c r="B79" s="139"/>
      <c r="G79" s="147" t="s">
        <v>118</v>
      </c>
      <c r="I79" s="147">
        <f>COUNTIFS('Detalhe Entregas e Status'!$U:$U,'Status Resumo'!G79,'Detalhe Entregas e Status'!$B:$B,"lt006_instr_protection",'Detalhe Entregas e Status'!$C:$C,"&lt;&gt;"&amp;"UNIVERSO")</f>
        <v>1</v>
      </c>
      <c r="J79" s="147">
        <f>COUNTIFS('Detalhe Entregas e Status'!$V:$V,'Status Resumo'!G79,'Detalhe Entregas e Status'!$B:$B,"lt006_instr_protection",'Detalhe Entregas e Status'!$C:$C,"&lt;&gt;"&amp;"UNIVERSO")</f>
        <v>3</v>
      </c>
      <c r="K79" s="171" t="str">
        <f t="shared" si="3"/>
        <v>- 2</v>
      </c>
      <c r="M79" s="248"/>
      <c r="N79" s="248"/>
      <c r="O79" s="248"/>
      <c r="P79" s="248"/>
      <c r="Q79" s="248"/>
      <c r="R79" s="248"/>
      <c r="S79" s="141"/>
    </row>
    <row r="80" spans="2:19" ht="17.399999999999999" customHeight="1">
      <c r="B80" s="139"/>
      <c r="G80" s="147" t="s">
        <v>116</v>
      </c>
      <c r="I80" s="147">
        <f>COUNTIFS('Detalhe Entregas e Status'!$U:$U,'Status Resumo'!G80,'Detalhe Entregas e Status'!$B:$B,"lt006_instr_protection",'Detalhe Entregas e Status'!$C:$C,"&lt;&gt;"&amp;"UNIVERSO")</f>
        <v>0</v>
      </c>
      <c r="J80" s="147">
        <f>COUNTIFS('Detalhe Entregas e Status'!$V:$V,'Status Resumo'!G80,'Detalhe Entregas e Status'!$B:$B,"lt006_instr_protection",'Detalhe Entregas e Status'!$C:$C,"&lt;&gt;"&amp;"UNIVERSO")</f>
        <v>0</v>
      </c>
      <c r="K80" s="171" t="str">
        <f t="shared" si="3"/>
        <v>-</v>
      </c>
      <c r="M80" s="248"/>
      <c r="N80" s="248"/>
      <c r="O80" s="248"/>
      <c r="P80" s="248"/>
      <c r="Q80" s="248"/>
      <c r="R80" s="248"/>
      <c r="S80" s="141"/>
    </row>
    <row r="81" spans="2:19" ht="17.399999999999999" customHeight="1">
      <c r="B81" s="139"/>
      <c r="D81" s="142"/>
      <c r="E81" s="142"/>
      <c r="G81" s="147" t="s">
        <v>117</v>
      </c>
      <c r="I81" s="147">
        <f>COUNTIFS('Detalhe Entregas e Status'!$U:$U,'Status Resumo'!G81,'Detalhe Entregas e Status'!$B:$B,"lt006_instr_protection",'Detalhe Entregas e Status'!$C:$C,"&lt;&gt;"&amp;"UNIVERSO")</f>
        <v>0</v>
      </c>
      <c r="J81" s="147">
        <f>COUNTIFS('Detalhe Entregas e Status'!$V:$V,'Status Resumo'!G81,'Detalhe Entregas e Status'!$B:$B,"lt006_instr_protection",'Detalhe Entregas e Status'!$C:$C,"&lt;&gt;"&amp;"UNIVERSO")</f>
        <v>0</v>
      </c>
      <c r="K81" s="171" t="str">
        <f t="shared" si="3"/>
        <v>-</v>
      </c>
      <c r="M81" s="248"/>
      <c r="N81" s="248"/>
      <c r="O81" s="248"/>
      <c r="P81" s="248"/>
      <c r="Q81" s="248"/>
      <c r="R81" s="248"/>
      <c r="S81" s="141"/>
    </row>
    <row r="82" spans="2:19" ht="17.399999999999999" customHeight="1">
      <c r="B82" s="139"/>
      <c r="D82" s="142"/>
      <c r="E82" s="142"/>
      <c r="G82" s="147" t="s">
        <v>123</v>
      </c>
      <c r="I82" s="147">
        <f>COUNTIFS('Detalhe Entregas e Status'!$U:$U,'Status Resumo'!G82,'Detalhe Entregas e Status'!$B:$B,"lt006_instr_protection",'Detalhe Entregas e Status'!$C:$C,"&lt;&gt;"&amp;"UNIVERSO")</f>
        <v>0</v>
      </c>
      <c r="J82" s="147">
        <f>COUNTIFS('Detalhe Entregas e Status'!$V:$V,'Status Resumo'!G82,'Detalhe Entregas e Status'!$B:$B,"lt006_instr_protection",'Detalhe Entregas e Status'!$C:$C,"&lt;&gt;"&amp;"UNIVERSO")</f>
        <v>0</v>
      </c>
      <c r="K82" s="171" t="str">
        <f t="shared" si="3"/>
        <v>-</v>
      </c>
      <c r="M82" s="248"/>
      <c r="N82" s="248"/>
      <c r="O82" s="248"/>
      <c r="P82" s="248"/>
      <c r="Q82" s="248"/>
      <c r="R82" s="248"/>
      <c r="S82" s="141"/>
    </row>
    <row r="83" spans="2:19" ht="17.399999999999999" customHeight="1">
      <c r="B83" s="139"/>
      <c r="D83" s="142"/>
      <c r="E83" s="142"/>
      <c r="G83" s="147" t="s">
        <v>125</v>
      </c>
      <c r="I83" s="147">
        <f>COUNTIFS('Detalhe Entregas e Status'!$U:$U,'Status Resumo'!G83,'Detalhe Entregas e Status'!$B:$B,"lt006_instr_protection",'Detalhe Entregas e Status'!$C:$C,"&lt;&gt;"&amp;"UNIVERSO")</f>
        <v>0</v>
      </c>
      <c r="J83" s="147">
        <f>COUNTIFS('Detalhe Entregas e Status'!$V:$V,'Status Resumo'!G83,'Detalhe Entregas e Status'!$B:$B,"lt006_instr_protection",'Detalhe Entregas e Status'!$C:$C,"&lt;&gt;"&amp;"UNIVERSO")</f>
        <v>0</v>
      </c>
      <c r="K83" s="171" t="str">
        <f t="shared" si="3"/>
        <v>-</v>
      </c>
      <c r="M83" s="248"/>
      <c r="N83" s="248"/>
      <c r="O83" s="248"/>
      <c r="P83" s="248"/>
      <c r="Q83" s="248"/>
      <c r="R83" s="248"/>
      <c r="S83" s="141"/>
    </row>
    <row r="84" spans="2:19" ht="17.399999999999999" customHeight="1">
      <c r="B84" s="139"/>
      <c r="G84" s="147" t="s">
        <v>278</v>
      </c>
      <c r="H84" s="155"/>
      <c r="I84" s="147">
        <f>COUNTIFS('Detalhe Entregas e Status'!$U:$U,'Status Resumo'!G84,'Detalhe Entregas e Status'!$B:$B,"lt006_instr_protection",'Detalhe Entregas e Status'!$C:$C,"&lt;&gt;"&amp;"UNIVERSO")</f>
        <v>0</v>
      </c>
      <c r="J84" s="147">
        <f>COUNTIFS('Detalhe Entregas e Status'!$V:$V,'Status Resumo'!G84,'Detalhe Entregas e Status'!$B:$B,"lt006_instr_protection",'Detalhe Entregas e Status'!$C:$C,"&lt;&gt;"&amp;"UNIVERSO")</f>
        <v>0</v>
      </c>
      <c r="K84" s="172" t="str">
        <f t="shared" si="3"/>
        <v>-</v>
      </c>
      <c r="M84" s="248"/>
      <c r="N84" s="248"/>
      <c r="O84" s="248"/>
      <c r="P84" s="248"/>
      <c r="Q84" s="248"/>
      <c r="R84" s="248"/>
      <c r="S84" s="141"/>
    </row>
    <row r="85" spans="2:19" ht="17.399999999999999" customHeight="1">
      <c r="B85" s="139"/>
      <c r="G85" s="148" t="s">
        <v>269</v>
      </c>
      <c r="I85" s="148">
        <f>SUM(I78:I84)</f>
        <v>5</v>
      </c>
      <c r="J85" s="148">
        <f>SUM(J78:J84)</f>
        <v>5</v>
      </c>
      <c r="K85" s="168"/>
      <c r="L85" s="143"/>
      <c r="M85" s="248"/>
      <c r="N85" s="248"/>
      <c r="O85" s="248"/>
      <c r="P85" s="248"/>
      <c r="Q85" s="248"/>
      <c r="R85" s="248"/>
      <c r="S85" s="141"/>
    </row>
    <row r="86" spans="2:19" ht="17.399999999999999" customHeight="1">
      <c r="B86" s="139"/>
      <c r="C86" s="140"/>
      <c r="F86" s="140"/>
      <c r="L86" s="143"/>
      <c r="M86" s="248"/>
      <c r="N86" s="248"/>
      <c r="O86" s="248"/>
      <c r="P86" s="248"/>
      <c r="Q86" s="248"/>
      <c r="R86" s="248"/>
      <c r="S86" s="141"/>
    </row>
    <row r="87" spans="2:19" ht="17.399999999999999" customHeight="1">
      <c r="B87" s="139"/>
      <c r="G87" s="155" t="s">
        <v>276</v>
      </c>
      <c r="H87" s="155"/>
      <c r="I87" s="169">
        <f>I53</f>
        <v>45813</v>
      </c>
      <c r="J87" s="167"/>
      <c r="K87" s="167"/>
      <c r="L87" s="143"/>
      <c r="M87" s="153"/>
      <c r="N87" s="153"/>
      <c r="O87" s="153"/>
      <c r="P87" s="153"/>
      <c r="Q87" s="153"/>
      <c r="R87" s="153"/>
      <c r="S87" s="141"/>
    </row>
    <row r="88" spans="2:19" ht="17.399999999999999" customHeight="1">
      <c r="B88" s="139"/>
      <c r="G88" s="158" t="s">
        <v>61</v>
      </c>
      <c r="I88" s="159" t="s">
        <v>274</v>
      </c>
      <c r="J88" s="159"/>
      <c r="K88" s="159"/>
      <c r="L88" s="143"/>
      <c r="M88" s="153"/>
      <c r="N88" s="153"/>
      <c r="O88" s="153"/>
      <c r="P88" s="153"/>
      <c r="Q88" s="153"/>
      <c r="R88" s="153"/>
      <c r="S88" s="141"/>
    </row>
    <row r="89" spans="2:19" ht="17.399999999999999" customHeight="1">
      <c r="B89" s="144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6"/>
    </row>
    <row r="90" spans="2:19"/>
    <row r="91" spans="2:19" ht="18" customHeight="1">
      <c r="B91" s="247" t="s">
        <v>304</v>
      </c>
      <c r="C91" s="247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7"/>
      <c r="S91" s="247"/>
    </row>
    <row r="92" spans="2:19" ht="6.9" customHeight="1">
      <c r="G92" s="151"/>
    </row>
    <row r="93" spans="2:19" ht="17.399999999999999" customHeight="1">
      <c r="B93" s="136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8"/>
    </row>
    <row r="94" spans="2:19" ht="17.399999999999999" customHeight="1">
      <c r="B94" s="139"/>
      <c r="C94" s="140" t="s">
        <v>267</v>
      </c>
      <c r="G94" s="155" t="s">
        <v>275</v>
      </c>
      <c r="H94" s="155"/>
      <c r="I94" s="169">
        <f>I43</f>
        <v>45813</v>
      </c>
      <c r="J94" s="169">
        <f>J43</f>
        <v>45806</v>
      </c>
      <c r="K94" s="170" t="s">
        <v>285</v>
      </c>
      <c r="M94" s="152" t="s">
        <v>268</v>
      </c>
      <c r="S94" s="141"/>
    </row>
    <row r="95" spans="2:19" ht="17.399999999999999" customHeight="1">
      <c r="B95" s="139"/>
      <c r="G95" s="147" t="s">
        <v>115</v>
      </c>
      <c r="I95" s="147">
        <f>COUNTIFS('Detalhe Entregas e Status'!$U:$U,'Status Resumo'!G95,'Detalhe Entregas e Status'!$B:$B,"lt007_instr_activity",'Detalhe Entregas e Status'!$C:$C,"&lt;&gt;"&amp;"UNIVERSO")</f>
        <v>0</v>
      </c>
      <c r="J95" s="147">
        <f>COUNTIFS('Detalhe Entregas e Status'!$V:$V,'Status Resumo'!G95,'Detalhe Entregas e Status'!$B:$B,"lt007_instr_activity",'Detalhe Entregas e Status'!$C:$C,"&lt;&gt;"&amp;"UNIVERSO")</f>
        <v>0</v>
      </c>
      <c r="K95" s="171" t="str">
        <f t="shared" ref="K95:K101" si="4">IF(I95-J95=0,"-",IF(I95-J95&gt;0,_xlfn.CONCAT("+ ",I95-J95),_xlfn.CONCAT("- ",J95-I95)))</f>
        <v>-</v>
      </c>
      <c r="M95" s="246" t="s">
        <v>316</v>
      </c>
      <c r="N95" s="246"/>
      <c r="O95" s="246"/>
      <c r="P95" s="246"/>
      <c r="Q95" s="246"/>
      <c r="R95" s="246"/>
      <c r="S95" s="141"/>
    </row>
    <row r="96" spans="2:19" ht="17.399999999999999" customHeight="1">
      <c r="B96" s="139"/>
      <c r="G96" s="147" t="s">
        <v>118</v>
      </c>
      <c r="I96" s="147">
        <f>COUNTIFS('Detalhe Entregas e Status'!$U:$U,'Status Resumo'!G96,'Detalhe Entregas e Status'!$B:$B,"lt007_instr_activity",'Detalhe Entregas e Status'!$C:$C,"&lt;&gt;"&amp;"UNIVERSO")</f>
        <v>0</v>
      </c>
      <c r="J96" s="147">
        <f>COUNTIFS('Detalhe Entregas e Status'!$V:$V,'Status Resumo'!G96,'Detalhe Entregas e Status'!$B:$B,"lt007_instr_activity",'Detalhe Entregas e Status'!$C:$C,"&lt;&gt;"&amp;"UNIVERSO")</f>
        <v>0</v>
      </c>
      <c r="K96" s="171" t="str">
        <f t="shared" si="4"/>
        <v>-</v>
      </c>
      <c r="M96" s="246"/>
      <c r="N96" s="246"/>
      <c r="O96" s="246"/>
      <c r="P96" s="246"/>
      <c r="Q96" s="246"/>
      <c r="R96" s="246"/>
      <c r="S96" s="141"/>
    </row>
    <row r="97" spans="2:19" ht="17.399999999999999" customHeight="1">
      <c r="B97" s="139"/>
      <c r="G97" s="147" t="s">
        <v>116</v>
      </c>
      <c r="I97" s="147">
        <f>COUNTIFS('Detalhe Entregas e Status'!$U:$U,'Status Resumo'!G97,'Detalhe Entregas e Status'!$B:$B,"lt007_instr_activity",'Detalhe Entregas e Status'!$C:$C,"&lt;&gt;"&amp;"UNIVERSO")</f>
        <v>0</v>
      </c>
      <c r="J97" s="147">
        <f>COUNTIFS('Detalhe Entregas e Status'!$V:$V,'Status Resumo'!G97,'Detalhe Entregas e Status'!$B:$B,"lt007_instr_activity",'Detalhe Entregas e Status'!$C:$C,"&lt;&gt;"&amp;"UNIVERSO")</f>
        <v>0</v>
      </c>
      <c r="K97" s="171" t="str">
        <f t="shared" si="4"/>
        <v>-</v>
      </c>
      <c r="M97" s="246"/>
      <c r="N97" s="246"/>
      <c r="O97" s="246"/>
      <c r="P97" s="246"/>
      <c r="Q97" s="246"/>
      <c r="R97" s="246"/>
      <c r="S97" s="141"/>
    </row>
    <row r="98" spans="2:19" ht="17.399999999999999" customHeight="1">
      <c r="B98" s="139"/>
      <c r="D98" s="142"/>
      <c r="E98" s="142"/>
      <c r="G98" s="147" t="s">
        <v>117</v>
      </c>
      <c r="I98" s="147">
        <f>COUNTIFS('Detalhe Entregas e Status'!$U:$U,'Status Resumo'!G98,'Detalhe Entregas e Status'!$B:$B,"lt007_instr_activity",'Detalhe Entregas e Status'!$C:$C,"&lt;&gt;"&amp;"UNIVERSO")</f>
        <v>0</v>
      </c>
      <c r="J98" s="147">
        <f>COUNTIFS('Detalhe Entregas e Status'!$V:$V,'Status Resumo'!G98,'Detalhe Entregas e Status'!$B:$B,"lt007_instr_activity",'Detalhe Entregas e Status'!$C:$C,"&lt;&gt;"&amp;"UNIVERSO")</f>
        <v>0</v>
      </c>
      <c r="K98" s="171" t="str">
        <f t="shared" si="4"/>
        <v>-</v>
      </c>
      <c r="M98" s="246"/>
      <c r="N98" s="246"/>
      <c r="O98" s="246"/>
      <c r="P98" s="246"/>
      <c r="Q98" s="246"/>
      <c r="R98" s="246"/>
      <c r="S98" s="141"/>
    </row>
    <row r="99" spans="2:19" ht="17.399999999999999" customHeight="1">
      <c r="B99" s="139"/>
      <c r="D99" s="142"/>
      <c r="E99" s="142"/>
      <c r="G99" s="147" t="s">
        <v>123</v>
      </c>
      <c r="I99" s="147">
        <f>COUNTIFS('Detalhe Entregas e Status'!$U:$U,'Status Resumo'!G99,'Detalhe Entregas e Status'!$B:$B,"lt007_instr_activity",'Detalhe Entregas e Status'!$C:$C,"&lt;&gt;"&amp;"UNIVERSO")</f>
        <v>0</v>
      </c>
      <c r="J99" s="147">
        <f>COUNTIFS('Detalhe Entregas e Status'!$V:$V,'Status Resumo'!G99,'Detalhe Entregas e Status'!$B:$B,"lt007_instr_activity",'Detalhe Entregas e Status'!$C:$C,"&lt;&gt;"&amp;"UNIVERSO")</f>
        <v>0</v>
      </c>
      <c r="K99" s="171" t="str">
        <f t="shared" si="4"/>
        <v>-</v>
      </c>
      <c r="M99" s="246"/>
      <c r="N99" s="246"/>
      <c r="O99" s="246"/>
      <c r="P99" s="246"/>
      <c r="Q99" s="246"/>
      <c r="R99" s="246"/>
      <c r="S99" s="141"/>
    </row>
    <row r="100" spans="2:19" ht="17.399999999999999" customHeight="1">
      <c r="B100" s="139"/>
      <c r="D100" s="142"/>
      <c r="E100" s="142"/>
      <c r="G100" s="147" t="s">
        <v>125</v>
      </c>
      <c r="I100" s="147">
        <f>COUNTIFS('Detalhe Entregas e Status'!$U:$U,'Status Resumo'!G100,'Detalhe Entregas e Status'!$B:$B,"lt007_instr_activity",'Detalhe Entregas e Status'!$C:$C,"&lt;&gt;"&amp;"UNIVERSO")</f>
        <v>6</v>
      </c>
      <c r="J100" s="147">
        <f>COUNTIFS('Detalhe Entregas e Status'!$V:$V,'Status Resumo'!G100,'Detalhe Entregas e Status'!$B:$B,"lt007_instr_activity",'Detalhe Entregas e Status'!$C:$C,"&lt;&gt;"&amp;"UNIVERSO")</f>
        <v>6</v>
      </c>
      <c r="K100" s="171" t="str">
        <f t="shared" si="4"/>
        <v>-</v>
      </c>
      <c r="M100" s="246"/>
      <c r="N100" s="246"/>
      <c r="O100" s="246"/>
      <c r="P100" s="246"/>
      <c r="Q100" s="246"/>
      <c r="R100" s="246"/>
      <c r="S100" s="141"/>
    </row>
    <row r="101" spans="2:19" ht="17.399999999999999" customHeight="1">
      <c r="B101" s="139"/>
      <c r="G101" s="147" t="s">
        <v>278</v>
      </c>
      <c r="H101" s="155"/>
      <c r="I101" s="147">
        <f>COUNTIFS('Detalhe Entregas e Status'!$U:$U,'Status Resumo'!G101,'Detalhe Entregas e Status'!$B:$B,"lt007_instr_activity",'Detalhe Entregas e Status'!$C:$C,"&lt;&gt;"&amp;"UNIVERSO")</f>
        <v>0</v>
      </c>
      <c r="J101" s="147">
        <f>COUNTIFS('Detalhe Entregas e Status'!$V:$V,'Status Resumo'!G101,'Detalhe Entregas e Status'!$B:$B,"lt007_instr_activity",'Detalhe Entregas e Status'!$C:$C,"&lt;&gt;"&amp;"UNIVERSO")</f>
        <v>0</v>
      </c>
      <c r="K101" s="172" t="str">
        <f t="shared" si="4"/>
        <v>-</v>
      </c>
      <c r="M101" s="246"/>
      <c r="N101" s="246"/>
      <c r="O101" s="246"/>
      <c r="P101" s="246"/>
      <c r="Q101" s="246"/>
      <c r="R101" s="246"/>
      <c r="S101" s="141"/>
    </row>
    <row r="102" spans="2:19" ht="17.399999999999999" customHeight="1">
      <c r="B102" s="139"/>
      <c r="G102" s="148" t="s">
        <v>269</v>
      </c>
      <c r="I102" s="148">
        <f>SUM(I95:I101)</f>
        <v>6</v>
      </c>
      <c r="J102" s="148">
        <f>SUM(J95:J101)</f>
        <v>6</v>
      </c>
      <c r="K102" s="168"/>
      <c r="L102" s="143"/>
      <c r="M102" s="246"/>
      <c r="N102" s="246"/>
      <c r="O102" s="246"/>
      <c r="P102" s="246"/>
      <c r="Q102" s="246"/>
      <c r="R102" s="246"/>
      <c r="S102" s="141"/>
    </row>
    <row r="103" spans="2:19" ht="17.399999999999999" customHeight="1">
      <c r="B103" s="139"/>
      <c r="C103" s="140"/>
      <c r="F103" s="140"/>
      <c r="L103" s="143"/>
      <c r="M103" s="246"/>
      <c r="N103" s="246"/>
      <c r="O103" s="246"/>
      <c r="P103" s="246"/>
      <c r="Q103" s="246"/>
      <c r="R103" s="246"/>
      <c r="S103" s="141"/>
    </row>
    <row r="104" spans="2:19" ht="17.399999999999999" customHeight="1">
      <c r="B104" s="139"/>
      <c r="G104" s="155" t="s">
        <v>276</v>
      </c>
      <c r="H104" s="155"/>
      <c r="I104" s="169">
        <f>I53</f>
        <v>45813</v>
      </c>
      <c r="J104" s="167"/>
      <c r="K104" s="167"/>
      <c r="L104" s="143"/>
      <c r="M104" s="153"/>
      <c r="N104" s="153"/>
      <c r="O104" s="153"/>
      <c r="P104" s="153"/>
      <c r="Q104" s="153"/>
      <c r="R104" s="153"/>
      <c r="S104" s="141"/>
    </row>
    <row r="105" spans="2:19" ht="17.399999999999999" customHeight="1">
      <c r="B105" s="139"/>
      <c r="G105" s="158" t="s">
        <v>63</v>
      </c>
      <c r="I105" s="230" t="s">
        <v>291</v>
      </c>
      <c r="J105" s="159"/>
      <c r="K105" s="159"/>
      <c r="L105" s="143"/>
      <c r="M105" s="153"/>
      <c r="N105" s="153"/>
      <c r="O105" s="153"/>
      <c r="P105" s="153"/>
      <c r="Q105" s="153"/>
      <c r="R105" s="153"/>
      <c r="S105" s="141"/>
    </row>
    <row r="106" spans="2:19" ht="17.399999999999999" customHeight="1">
      <c r="B106" s="144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6"/>
    </row>
    <row r="107" spans="2:19"/>
    <row r="108" spans="2:19"/>
    <row r="109" spans="2:19"/>
    <row r="110" spans="2:19"/>
    <row r="111" spans="2:19"/>
    <row r="112" spans="2:19"/>
    <row r="113"/>
    <row r="114"/>
    <row r="115"/>
    <row r="116"/>
  </sheetData>
  <mergeCells count="27">
    <mergeCell ref="M95:R103"/>
    <mergeCell ref="B74:S74"/>
    <mergeCell ref="M78:R86"/>
    <mergeCell ref="D35:F35"/>
    <mergeCell ref="G35:P35"/>
    <mergeCell ref="D36:F36"/>
    <mergeCell ref="G36:P36"/>
    <mergeCell ref="M61:R69"/>
    <mergeCell ref="B40:S40"/>
    <mergeCell ref="B57:S57"/>
    <mergeCell ref="B91:S91"/>
    <mergeCell ref="M44:R54"/>
    <mergeCell ref="G37:P37"/>
    <mergeCell ref="D31:F31"/>
    <mergeCell ref="D33:F33"/>
    <mergeCell ref="D34:F34"/>
    <mergeCell ref="D37:F37"/>
    <mergeCell ref="G31:P31"/>
    <mergeCell ref="G32:P32"/>
    <mergeCell ref="G33:P33"/>
    <mergeCell ref="G20:G21"/>
    <mergeCell ref="I20:R26"/>
    <mergeCell ref="G34:P34"/>
    <mergeCell ref="D20:F20"/>
    <mergeCell ref="D32:F32"/>
    <mergeCell ref="D30:F30"/>
    <mergeCell ref="G30:P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workbookViewId="0">
      <selection activeCell="P13" sqref="P13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3" bestFit="1" customWidth="1"/>
    <col min="7" max="7" width="19.6640625" bestFit="1" customWidth="1"/>
    <col min="10" max="10" width="13" bestFit="1" customWidth="1"/>
    <col min="11" max="11" width="21.77734375" bestFit="1" customWidth="1"/>
    <col min="14" max="14" width="19.44140625" bestFit="1" customWidth="1"/>
  </cols>
  <sheetData>
    <row r="2" spans="2:16">
      <c r="B2" s="22" t="s">
        <v>80</v>
      </c>
      <c r="C2" s="23" t="s">
        <v>81</v>
      </c>
      <c r="D2" s="12" t="s">
        <v>112</v>
      </c>
      <c r="F2" s="149" t="s">
        <v>80</v>
      </c>
      <c r="G2" t="s">
        <v>1</v>
      </c>
    </row>
    <row r="3" spans="2:16">
      <c r="B3" s="13" t="s">
        <v>1</v>
      </c>
      <c r="C3" s="13" t="s">
        <v>90</v>
      </c>
      <c r="D3" s="29" t="s">
        <v>117</v>
      </c>
      <c r="F3" s="149" t="s">
        <v>81</v>
      </c>
      <c r="G3" t="s">
        <v>280</v>
      </c>
      <c r="N3" s="278" t="s">
        <v>381</v>
      </c>
      <c r="O3" s="278">
        <v>69</v>
      </c>
      <c r="P3" s="279">
        <f>P4+P7+P8</f>
        <v>0.99999999999999989</v>
      </c>
    </row>
    <row r="4" spans="2:16">
      <c r="B4" s="18" t="s">
        <v>1</v>
      </c>
      <c r="C4" s="18" t="s">
        <v>2</v>
      </c>
      <c r="D4" s="29" t="s">
        <v>117</v>
      </c>
      <c r="N4" s="280" t="s">
        <v>389</v>
      </c>
      <c r="O4" s="280">
        <f>COUNTIFS($D$3:$D$75,"&lt;&gt;"&amp;"6. Por Iniciar",$D$3:$D$75,"&lt;&gt;"&amp;"2. Em Teste",$C$3:$C$75,"&lt;&gt;"&amp;"UNIVERSO")</f>
        <v>48</v>
      </c>
      <c r="P4" s="281">
        <f>O4/$O$3</f>
        <v>0.69565217391304346</v>
      </c>
    </row>
    <row r="5" spans="2:16">
      <c r="B5" s="13" t="s">
        <v>1</v>
      </c>
      <c r="C5" s="13" t="s">
        <v>5</v>
      </c>
      <c r="D5" s="29" t="s">
        <v>118</v>
      </c>
      <c r="F5" s="149" t="s">
        <v>271</v>
      </c>
      <c r="G5" t="s">
        <v>272</v>
      </c>
      <c r="N5" s="282" t="s">
        <v>390</v>
      </c>
      <c r="O5" s="283">
        <f>COUNTIFS($D$3:$D$75,"1. Concluído",$C$3:$C$75,"&lt;&gt;"&amp;"UNIVERSO")</f>
        <v>24</v>
      </c>
      <c r="P5" s="284">
        <f t="shared" ref="P5:P8" si="0">O5/$O$3</f>
        <v>0.34782608695652173</v>
      </c>
    </row>
    <row r="6" spans="2:16">
      <c r="B6" s="13" t="s">
        <v>1</v>
      </c>
      <c r="C6" s="13" t="s">
        <v>6</v>
      </c>
      <c r="D6" s="29" t="s">
        <v>117</v>
      </c>
      <c r="F6" s="150" t="s">
        <v>115</v>
      </c>
      <c r="G6">
        <v>15</v>
      </c>
      <c r="N6" s="105" t="s">
        <v>311</v>
      </c>
      <c r="O6" s="147">
        <f>COUNTIFS($D$3:$D$75,"4. Em Correção",$C$3:$C$75,"&lt;&gt;"&amp;"UNIVERSO")</f>
        <v>24</v>
      </c>
      <c r="P6" s="285">
        <f t="shared" si="0"/>
        <v>0.34782608695652173</v>
      </c>
    </row>
    <row r="7" spans="2:16">
      <c r="B7" s="13" t="s">
        <v>1</v>
      </c>
      <c r="C7" s="13" t="s">
        <v>7</v>
      </c>
      <c r="D7" s="29" t="s">
        <v>117</v>
      </c>
      <c r="F7" s="150" t="s">
        <v>118</v>
      </c>
      <c r="G7">
        <v>3</v>
      </c>
      <c r="N7" s="286" t="s">
        <v>364</v>
      </c>
      <c r="O7" s="286">
        <f>COUNTIFS($D$3:$D$75,"2. Em Teste",$C$3:$C$75,"&lt;&gt;"&amp;"UNIVERSO")</f>
        <v>6</v>
      </c>
      <c r="P7" s="287">
        <f t="shared" si="0"/>
        <v>8.6956521739130432E-2</v>
      </c>
    </row>
    <row r="8" spans="2:16">
      <c r="B8" s="13" t="s">
        <v>1</v>
      </c>
      <c r="C8" s="13" t="s">
        <v>8</v>
      </c>
      <c r="D8" s="29" t="s">
        <v>117</v>
      </c>
      <c r="F8" s="150" t="s">
        <v>125</v>
      </c>
      <c r="G8">
        <v>9</v>
      </c>
      <c r="N8" s="286" t="s">
        <v>365</v>
      </c>
      <c r="O8" s="286">
        <f>COUNTIFS($D$3:$D$75,"6. Por Iniciar",$C$3:$C$75,"&lt;&gt;"&amp;"UNIVERSO")</f>
        <v>15</v>
      </c>
      <c r="P8" s="287">
        <f t="shared" si="0"/>
        <v>0.21739130434782608</v>
      </c>
    </row>
    <row r="9" spans="2:16">
      <c r="B9" s="13" t="s">
        <v>1</v>
      </c>
      <c r="C9" s="13" t="s">
        <v>9</v>
      </c>
      <c r="D9" s="29" t="s">
        <v>117</v>
      </c>
      <c r="F9" s="150" t="s">
        <v>117</v>
      </c>
      <c r="G9">
        <v>24</v>
      </c>
    </row>
    <row r="10" spans="2:16">
      <c r="B10" s="13" t="s">
        <v>1</v>
      </c>
      <c r="C10" s="13" t="s">
        <v>10</v>
      </c>
      <c r="D10" s="29" t="s">
        <v>118</v>
      </c>
    </row>
    <row r="11" spans="2:16">
      <c r="B11" s="13" t="s">
        <v>1</v>
      </c>
      <c r="C11" s="13" t="s">
        <v>11</v>
      </c>
      <c r="D11" s="29" t="s">
        <v>125</v>
      </c>
    </row>
    <row r="12" spans="2:16">
      <c r="B12" s="13" t="s">
        <v>1</v>
      </c>
      <c r="C12" s="13" t="s">
        <v>12</v>
      </c>
      <c r="D12" s="29" t="s">
        <v>117</v>
      </c>
    </row>
    <row r="13" spans="2:16">
      <c r="B13" s="13" t="s">
        <v>1</v>
      </c>
      <c r="C13" s="13" t="s">
        <v>13</v>
      </c>
      <c r="D13" s="29" t="s">
        <v>117</v>
      </c>
    </row>
    <row r="14" spans="2:16">
      <c r="B14" s="13" t="s">
        <v>1</v>
      </c>
      <c r="C14" s="13" t="s">
        <v>14</v>
      </c>
      <c r="D14" s="29" t="s">
        <v>117</v>
      </c>
    </row>
    <row r="15" spans="2:16">
      <c r="B15" s="13" t="s">
        <v>1</v>
      </c>
      <c r="C15" s="13" t="s">
        <v>15</v>
      </c>
      <c r="D15" s="29" t="s">
        <v>115</v>
      </c>
    </row>
    <row r="16" spans="2:16">
      <c r="B16" s="13" t="s">
        <v>1</v>
      </c>
      <c r="C16" s="13" t="s">
        <v>16</v>
      </c>
      <c r="D16" s="29" t="s">
        <v>115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115</v>
      </c>
      <c r="F17" s="149" t="s">
        <v>81</v>
      </c>
      <c r="G17" t="s">
        <v>280</v>
      </c>
    </row>
    <row r="18" spans="2:11">
      <c r="B18" s="13" t="s">
        <v>1</v>
      </c>
      <c r="C18" s="13" t="s">
        <v>18</v>
      </c>
      <c r="D18" s="29" t="s">
        <v>117</v>
      </c>
    </row>
    <row r="19" spans="2:11">
      <c r="B19" s="13" t="s">
        <v>1</v>
      </c>
      <c r="C19" s="13" t="s">
        <v>19</v>
      </c>
      <c r="D19" s="29" t="s">
        <v>115</v>
      </c>
      <c r="F19" s="149" t="s">
        <v>271</v>
      </c>
      <c r="G19" t="s">
        <v>272</v>
      </c>
    </row>
    <row r="20" spans="2:11">
      <c r="B20" s="13" t="s">
        <v>1</v>
      </c>
      <c r="C20" s="13" t="s">
        <v>20</v>
      </c>
      <c r="D20" s="29" t="s">
        <v>117</v>
      </c>
      <c r="F20" s="150" t="s">
        <v>115</v>
      </c>
      <c r="G20">
        <v>5</v>
      </c>
    </row>
    <row r="21" spans="2:11">
      <c r="B21" s="13" t="s">
        <v>1</v>
      </c>
      <c r="C21" s="13" t="s">
        <v>21</v>
      </c>
      <c r="D21" s="29" t="s">
        <v>117</v>
      </c>
      <c r="F21" s="150" t="s">
        <v>118</v>
      </c>
      <c r="G21">
        <v>2</v>
      </c>
    </row>
    <row r="22" spans="2:11">
      <c r="B22" s="13" t="s">
        <v>1</v>
      </c>
      <c r="C22" s="13" t="s">
        <v>22</v>
      </c>
      <c r="D22" s="29" t="s">
        <v>125</v>
      </c>
    </row>
    <row r="23" spans="2:11">
      <c r="B23" s="13" t="s">
        <v>1</v>
      </c>
      <c r="C23" s="13" t="s">
        <v>23</v>
      </c>
      <c r="D23" s="29" t="s">
        <v>117</v>
      </c>
    </row>
    <row r="24" spans="2:11">
      <c r="B24" s="13" t="s">
        <v>1</v>
      </c>
      <c r="C24" s="13" t="s">
        <v>24</v>
      </c>
      <c r="D24" s="29" t="s">
        <v>117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115</v>
      </c>
      <c r="F25" s="149" t="s">
        <v>81</v>
      </c>
      <c r="G25" t="s">
        <v>280</v>
      </c>
      <c r="J25" s="149" t="s">
        <v>81</v>
      </c>
      <c r="K25" t="s">
        <v>280</v>
      </c>
    </row>
    <row r="26" spans="2:11">
      <c r="B26" s="13" t="s">
        <v>1</v>
      </c>
      <c r="C26" s="13" t="s">
        <v>26</v>
      </c>
      <c r="D26" s="29" t="s">
        <v>115</v>
      </c>
    </row>
    <row r="27" spans="2:11">
      <c r="B27" s="13" t="s">
        <v>1</v>
      </c>
      <c r="C27" s="13" t="s">
        <v>27</v>
      </c>
      <c r="D27" s="29" t="s">
        <v>115</v>
      </c>
      <c r="F27" s="149" t="s">
        <v>271</v>
      </c>
      <c r="G27" t="s">
        <v>272</v>
      </c>
      <c r="J27" s="149" t="s">
        <v>271</v>
      </c>
      <c r="K27" t="s">
        <v>272</v>
      </c>
    </row>
    <row r="28" spans="2:11">
      <c r="B28" s="13" t="s">
        <v>1</v>
      </c>
      <c r="C28" s="13" t="s">
        <v>28</v>
      </c>
      <c r="D28" s="29" t="s">
        <v>115</v>
      </c>
      <c r="F28" s="150" t="s">
        <v>125</v>
      </c>
      <c r="G28">
        <v>6</v>
      </c>
      <c r="J28" s="150" t="s">
        <v>115</v>
      </c>
      <c r="K28">
        <v>4</v>
      </c>
    </row>
    <row r="29" spans="2:11">
      <c r="B29" s="13" t="s">
        <v>1</v>
      </c>
      <c r="C29" s="13" t="s">
        <v>29</v>
      </c>
      <c r="D29" s="29" t="s">
        <v>115</v>
      </c>
      <c r="J29" s="150" t="s">
        <v>118</v>
      </c>
      <c r="K29">
        <v>1</v>
      </c>
    </row>
    <row r="30" spans="2:11">
      <c r="B30" s="13" t="s">
        <v>1</v>
      </c>
      <c r="C30" s="13" t="s">
        <v>30</v>
      </c>
      <c r="D30" s="29" t="s">
        <v>118</v>
      </c>
    </row>
    <row r="31" spans="2:11">
      <c r="B31" s="13" t="s">
        <v>1</v>
      </c>
      <c r="C31" s="13" t="s">
        <v>31</v>
      </c>
      <c r="D31" s="29" t="s">
        <v>115</v>
      </c>
    </row>
    <row r="32" spans="2:11">
      <c r="B32" s="13" t="s">
        <v>1</v>
      </c>
      <c r="C32" s="13" t="s">
        <v>32</v>
      </c>
      <c r="D32" s="29" t="s">
        <v>115</v>
      </c>
    </row>
    <row r="33" spans="2:4">
      <c r="B33" s="13" t="s">
        <v>1</v>
      </c>
      <c r="C33" s="13" t="s">
        <v>33</v>
      </c>
      <c r="D33" s="29" t="s">
        <v>117</v>
      </c>
    </row>
    <row r="34" spans="2:4">
      <c r="B34" s="13" t="s">
        <v>1</v>
      </c>
      <c r="C34" s="13" t="s">
        <v>34</v>
      </c>
      <c r="D34" s="29" t="s">
        <v>117</v>
      </c>
    </row>
    <row r="35" spans="2:4">
      <c r="B35" s="13" t="s">
        <v>1</v>
      </c>
      <c r="C35" s="13" t="s">
        <v>35</v>
      </c>
      <c r="D35" s="29" t="s">
        <v>125</v>
      </c>
    </row>
    <row r="36" spans="2:4">
      <c r="B36" s="13" t="s">
        <v>1</v>
      </c>
      <c r="C36" s="13" t="s">
        <v>36</v>
      </c>
      <c r="D36" s="29" t="s">
        <v>115</v>
      </c>
    </row>
    <row r="37" spans="2:4">
      <c r="B37" s="13" t="s">
        <v>1</v>
      </c>
      <c r="C37" s="13" t="s">
        <v>37</v>
      </c>
      <c r="D37" s="29" t="s">
        <v>125</v>
      </c>
    </row>
    <row r="38" spans="2:4">
      <c r="B38" s="13" t="s">
        <v>1</v>
      </c>
      <c r="C38" s="13" t="s">
        <v>38</v>
      </c>
      <c r="D38" s="29" t="s">
        <v>115</v>
      </c>
    </row>
    <row r="39" spans="2:4">
      <c r="B39" s="13" t="s">
        <v>1</v>
      </c>
      <c r="C39" s="13" t="s">
        <v>39</v>
      </c>
      <c r="D39" s="29" t="s">
        <v>125</v>
      </c>
    </row>
    <row r="40" spans="2:4">
      <c r="B40" s="13" t="s">
        <v>1</v>
      </c>
      <c r="C40" s="13" t="s">
        <v>40</v>
      </c>
      <c r="D40" s="29" t="s">
        <v>117</v>
      </c>
    </row>
    <row r="41" spans="2:4">
      <c r="B41" s="13" t="s">
        <v>1</v>
      </c>
      <c r="C41" s="13" t="s">
        <v>41</v>
      </c>
      <c r="D41" s="29" t="s">
        <v>117</v>
      </c>
    </row>
    <row r="42" spans="2:4">
      <c r="B42" s="13" t="s">
        <v>1</v>
      </c>
      <c r="C42" s="13" t="s">
        <v>42</v>
      </c>
      <c r="D42" s="29" t="s">
        <v>125</v>
      </c>
    </row>
    <row r="43" spans="2:4">
      <c r="B43" s="13" t="s">
        <v>1</v>
      </c>
      <c r="C43" s="13" t="s">
        <v>43</v>
      </c>
      <c r="D43" s="29" t="s">
        <v>117</v>
      </c>
    </row>
    <row r="44" spans="2:4">
      <c r="B44" s="13" t="s">
        <v>1</v>
      </c>
      <c r="C44" s="13" t="s">
        <v>44</v>
      </c>
      <c r="D44" s="29" t="s">
        <v>117</v>
      </c>
    </row>
    <row r="45" spans="2:4">
      <c r="B45" s="13" t="s">
        <v>1</v>
      </c>
      <c r="C45" s="13" t="s">
        <v>45</v>
      </c>
      <c r="D45" s="29" t="s">
        <v>125</v>
      </c>
    </row>
    <row r="46" spans="2:4">
      <c r="B46" s="13" t="s">
        <v>1</v>
      </c>
      <c r="C46" s="13" t="s">
        <v>46</v>
      </c>
      <c r="D46" s="29" t="s">
        <v>117</v>
      </c>
    </row>
    <row r="47" spans="2:4">
      <c r="B47" s="13" t="s">
        <v>1</v>
      </c>
      <c r="C47" s="13" t="s">
        <v>47</v>
      </c>
      <c r="D47" s="29" t="s">
        <v>117</v>
      </c>
    </row>
    <row r="48" spans="2:4">
      <c r="B48" s="13" t="s">
        <v>1</v>
      </c>
      <c r="C48" s="13" t="s">
        <v>48</v>
      </c>
      <c r="D48" s="29" t="s">
        <v>117</v>
      </c>
    </row>
    <row r="49" spans="2:4">
      <c r="B49" s="13" t="s">
        <v>1</v>
      </c>
      <c r="C49" s="13" t="s">
        <v>49</v>
      </c>
      <c r="D49" s="29" t="s">
        <v>117</v>
      </c>
    </row>
    <row r="50" spans="2:4">
      <c r="B50" s="13" t="s">
        <v>1</v>
      </c>
      <c r="C50" s="13" t="s">
        <v>50</v>
      </c>
      <c r="D50" s="29" t="s">
        <v>125</v>
      </c>
    </row>
    <row r="51" spans="2:4">
      <c r="B51" s="13" t="s">
        <v>1</v>
      </c>
      <c r="C51" s="13" t="s">
        <v>51</v>
      </c>
      <c r="D51" s="29" t="s">
        <v>115</v>
      </c>
    </row>
    <row r="52" spans="2:4">
      <c r="B52" s="13" t="s">
        <v>1</v>
      </c>
      <c r="C52" s="13" t="s">
        <v>52</v>
      </c>
      <c r="D52" s="29" t="s">
        <v>125</v>
      </c>
    </row>
    <row r="53" spans="2:4">
      <c r="B53" s="13" t="s">
        <v>1</v>
      </c>
      <c r="C53" s="13" t="s">
        <v>53</v>
      </c>
      <c r="D53" s="29" t="s">
        <v>117</v>
      </c>
    </row>
    <row r="54" spans="2:4">
      <c r="B54" s="13" t="s">
        <v>1</v>
      </c>
      <c r="C54" s="13" t="s">
        <v>54</v>
      </c>
      <c r="D54" s="29" t="s">
        <v>115</v>
      </c>
    </row>
    <row r="55" spans="2:4">
      <c r="B55" s="13" t="s">
        <v>55</v>
      </c>
      <c r="C55" s="13" t="s">
        <v>90</v>
      </c>
      <c r="D55" s="29" t="s">
        <v>115</v>
      </c>
    </row>
    <row r="56" spans="2:4">
      <c r="B56" s="13" t="s">
        <v>55</v>
      </c>
      <c r="C56" s="13" t="s">
        <v>36</v>
      </c>
      <c r="D56" s="29" t="s">
        <v>115</v>
      </c>
    </row>
    <row r="57" spans="2:4">
      <c r="B57" s="13" t="s">
        <v>55</v>
      </c>
      <c r="C57" s="13" t="s">
        <v>38</v>
      </c>
      <c r="D57" s="29" t="s">
        <v>115</v>
      </c>
    </row>
    <row r="58" spans="2:4">
      <c r="B58" s="13" t="s">
        <v>55</v>
      </c>
      <c r="C58" s="13" t="s">
        <v>56</v>
      </c>
      <c r="D58" s="29" t="s">
        <v>115</v>
      </c>
    </row>
    <row r="59" spans="2:4">
      <c r="B59" s="13" t="s">
        <v>55</v>
      </c>
      <c r="C59" s="13" t="s">
        <v>57</v>
      </c>
      <c r="D59" s="29" t="s">
        <v>115</v>
      </c>
    </row>
    <row r="60" spans="2:4">
      <c r="B60" s="13" t="s">
        <v>55</v>
      </c>
      <c r="C60" s="13" t="s">
        <v>58</v>
      </c>
      <c r="D60" s="29" t="s">
        <v>118</v>
      </c>
    </row>
    <row r="61" spans="2:4">
      <c r="B61" s="13" t="s">
        <v>55</v>
      </c>
      <c r="C61" s="13" t="s">
        <v>59</v>
      </c>
      <c r="D61" s="29" t="s">
        <v>115</v>
      </c>
    </row>
    <row r="62" spans="2:4">
      <c r="B62" s="13" t="s">
        <v>55</v>
      </c>
      <c r="C62" s="13" t="s">
        <v>60</v>
      </c>
      <c r="D62" s="29" t="s">
        <v>118</v>
      </c>
    </row>
    <row r="63" spans="2:4">
      <c r="B63" s="13" t="s">
        <v>61</v>
      </c>
      <c r="C63" s="13" t="s">
        <v>90</v>
      </c>
      <c r="D63" s="29" t="s">
        <v>115</v>
      </c>
    </row>
    <row r="64" spans="2:4">
      <c r="B64" s="13" t="s">
        <v>61</v>
      </c>
      <c r="C64" s="13" t="s">
        <v>36</v>
      </c>
      <c r="D64" s="29" t="s">
        <v>115</v>
      </c>
    </row>
    <row r="65" spans="2:4">
      <c r="B65" s="13" t="s">
        <v>61</v>
      </c>
      <c r="C65" s="13" t="s">
        <v>38</v>
      </c>
      <c r="D65" s="29" t="s">
        <v>115</v>
      </c>
    </row>
    <row r="66" spans="2:4">
      <c r="B66" s="13" t="s">
        <v>61</v>
      </c>
      <c r="C66" s="13" t="s">
        <v>54</v>
      </c>
      <c r="D66" s="29" t="s">
        <v>115</v>
      </c>
    </row>
    <row r="67" spans="2:4">
      <c r="B67" s="13" t="s">
        <v>61</v>
      </c>
      <c r="C67" s="13" t="s">
        <v>56</v>
      </c>
      <c r="D67" s="29" t="s">
        <v>115</v>
      </c>
    </row>
    <row r="68" spans="2:4">
      <c r="B68" s="13" t="s">
        <v>61</v>
      </c>
      <c r="C68" s="13" t="s">
        <v>62</v>
      </c>
      <c r="D68" s="29" t="s">
        <v>118</v>
      </c>
    </row>
    <row r="69" spans="2:4">
      <c r="B69" s="13" t="s">
        <v>63</v>
      </c>
      <c r="C69" s="13" t="s">
        <v>90</v>
      </c>
      <c r="D69" s="29" t="s">
        <v>125</v>
      </c>
    </row>
    <row r="70" spans="2:4">
      <c r="B70" s="13" t="s">
        <v>63</v>
      </c>
      <c r="C70" s="13" t="s">
        <v>64</v>
      </c>
      <c r="D70" s="29" t="s">
        <v>125</v>
      </c>
    </row>
    <row r="71" spans="2:4">
      <c r="B71" s="13" t="s">
        <v>63</v>
      </c>
      <c r="C71" s="13" t="s">
        <v>65</v>
      </c>
      <c r="D71" s="29" t="s">
        <v>125</v>
      </c>
    </row>
    <row r="72" spans="2:4">
      <c r="B72" s="13" t="s">
        <v>63</v>
      </c>
      <c r="C72" s="13" t="s">
        <v>66</v>
      </c>
      <c r="D72" s="29" t="s">
        <v>125</v>
      </c>
    </row>
    <row r="73" spans="2:4">
      <c r="B73" s="13" t="s">
        <v>63</v>
      </c>
      <c r="C73" s="13" t="s">
        <v>36</v>
      </c>
      <c r="D73" s="29" t="s">
        <v>125</v>
      </c>
    </row>
    <row r="74" spans="2:4">
      <c r="B74" s="13" t="s">
        <v>63</v>
      </c>
      <c r="C74" s="13" t="s">
        <v>38</v>
      </c>
      <c r="D74" s="29" t="s">
        <v>125</v>
      </c>
    </row>
    <row r="75" spans="2:4">
      <c r="B75" s="13" t="s">
        <v>63</v>
      </c>
      <c r="C75" s="13" t="s">
        <v>54</v>
      </c>
      <c r="D75" s="29" t="s">
        <v>125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78E93A14-C623-4BD8-AF19-F8C8A3E0665C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D23193AF-DA10-438D-A9ED-F5CC323FC276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E1D31BC8-B064-4929-8B95-1A6C256C6D3A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91F74173-9419-4DEA-8F34-8BF96803ECAB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6BEB8A17-15A3-4AEE-9BCD-3E1A41F998BD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6110076E-FE3D-454C-92D7-0EFC28065D7F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445C7C15-0EA3-4A90-9BA2-9623A7FD91AC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250</v>
      </c>
    </row>
    <row r="8" spans="1:52" ht="6.9" customHeight="1"/>
    <row r="9" spans="1:52">
      <c r="B9" s="162" t="s">
        <v>281</v>
      </c>
      <c r="C9" s="105" t="s">
        <v>251</v>
      </c>
    </row>
    <row r="10" spans="1:52" ht="13.8">
      <c r="B10" s="92" t="s">
        <v>246</v>
      </c>
      <c r="C10" s="105" t="s">
        <v>253</v>
      </c>
    </row>
    <row r="11" spans="1:52" ht="14.4">
      <c r="B11" s="90">
        <v>3</v>
      </c>
      <c r="C11" s="105" t="s">
        <v>252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58" t="s">
        <v>135</v>
      </c>
      <c r="H14" s="259"/>
      <c r="I14" s="259"/>
      <c r="J14" s="260"/>
      <c r="K14" s="258" t="s">
        <v>136</v>
      </c>
      <c r="L14" s="259"/>
      <c r="M14" s="259"/>
      <c r="N14" s="259"/>
      <c r="O14" s="260"/>
      <c r="P14" s="258" t="s">
        <v>137</v>
      </c>
      <c r="Q14" s="259"/>
      <c r="R14" s="259"/>
      <c r="S14" s="259"/>
      <c r="T14" s="260"/>
      <c r="U14" s="258" t="s">
        <v>138</v>
      </c>
      <c r="V14" s="259"/>
      <c r="W14" s="259"/>
      <c r="X14" s="259"/>
      <c r="Y14" s="259"/>
      <c r="Z14" s="258" t="s">
        <v>139</v>
      </c>
      <c r="AA14" s="259"/>
      <c r="AB14" s="259"/>
      <c r="AC14" s="259"/>
      <c r="AD14" s="259"/>
      <c r="AE14" s="260"/>
      <c r="AF14" s="258" t="s">
        <v>140</v>
      </c>
      <c r="AG14" s="259"/>
      <c r="AH14" s="259"/>
      <c r="AI14" s="259"/>
      <c r="AJ14" s="259"/>
      <c r="AK14" s="258" t="s">
        <v>141</v>
      </c>
      <c r="AL14" s="259"/>
      <c r="AM14" s="259"/>
      <c r="AN14" s="260"/>
      <c r="AO14" s="258" t="s">
        <v>142</v>
      </c>
      <c r="AP14" s="259"/>
      <c r="AQ14" s="259"/>
      <c r="AR14" s="259"/>
      <c r="AS14" s="259"/>
      <c r="AT14" s="258" t="s">
        <v>143</v>
      </c>
      <c r="AU14" s="259"/>
      <c r="AV14" s="259"/>
      <c r="AW14" s="259"/>
      <c r="AX14" s="259"/>
      <c r="AY14" s="260"/>
    </row>
    <row r="15" spans="1:52" ht="15" customHeight="1" thickBot="1">
      <c r="B15" s="50" t="s">
        <v>128</v>
      </c>
      <c r="C15" s="258" t="s">
        <v>129</v>
      </c>
      <c r="D15" s="260"/>
      <c r="E15" s="50" t="s">
        <v>130</v>
      </c>
      <c r="G15" s="261" t="s">
        <v>257</v>
      </c>
      <c r="H15" s="262"/>
      <c r="I15" s="262"/>
      <c r="J15" s="263"/>
      <c r="K15" s="261" t="s">
        <v>258</v>
      </c>
      <c r="L15" s="262"/>
      <c r="M15" s="262"/>
      <c r="N15" s="262"/>
      <c r="O15" s="263"/>
      <c r="P15" s="261" t="s">
        <v>259</v>
      </c>
      <c r="Q15" s="262"/>
      <c r="R15" s="262"/>
      <c r="S15" s="262"/>
      <c r="T15" s="263"/>
      <c r="U15" s="261" t="s">
        <v>260</v>
      </c>
      <c r="V15" s="262"/>
      <c r="W15" s="262"/>
      <c r="X15" s="262"/>
      <c r="Y15" s="263"/>
      <c r="Z15" s="264" t="s">
        <v>261</v>
      </c>
      <c r="AA15" s="265"/>
      <c r="AB15" s="265"/>
      <c r="AC15" s="265"/>
      <c r="AD15" s="265"/>
      <c r="AE15" s="266"/>
      <c r="AF15" s="261" t="s">
        <v>262</v>
      </c>
      <c r="AG15" s="262"/>
      <c r="AH15" s="262"/>
      <c r="AI15" s="262"/>
      <c r="AJ15" s="263"/>
      <c r="AK15" s="261" t="s">
        <v>263</v>
      </c>
      <c r="AL15" s="262"/>
      <c r="AM15" s="262"/>
      <c r="AN15" s="263"/>
      <c r="AO15" s="261" t="s">
        <v>264</v>
      </c>
      <c r="AP15" s="262"/>
      <c r="AQ15" s="262"/>
      <c r="AR15" s="262"/>
      <c r="AS15" s="263"/>
      <c r="AT15" s="261" t="s">
        <v>265</v>
      </c>
      <c r="AU15" s="262"/>
      <c r="AV15" s="262"/>
      <c r="AW15" s="262"/>
      <c r="AX15" s="262"/>
      <c r="AY15" s="263"/>
    </row>
    <row r="16" spans="1:52" s="8" customFormat="1" ht="15" customHeight="1">
      <c r="B16" s="55" t="s">
        <v>144</v>
      </c>
      <c r="C16" s="268" t="s">
        <v>145</v>
      </c>
      <c r="D16" s="268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147</v>
      </c>
      <c r="C17" s="269" t="s">
        <v>236</v>
      </c>
      <c r="D17" s="269"/>
      <c r="E17" s="64" t="s">
        <v>234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235</v>
      </c>
      <c r="C18" s="269" t="s">
        <v>148</v>
      </c>
      <c r="D18" s="269"/>
      <c r="E18" s="64" t="s">
        <v>149</v>
      </c>
      <c r="G18" s="57"/>
      <c r="H18" s="57"/>
      <c r="I18" s="57"/>
      <c r="J18" s="113" t="s">
        <v>246</v>
      </c>
      <c r="K18" s="110"/>
      <c r="L18" s="57"/>
      <c r="M18" s="57"/>
      <c r="N18" s="57"/>
      <c r="O18" s="113" t="s">
        <v>246</v>
      </c>
      <c r="P18" s="70"/>
      <c r="Q18" s="57"/>
      <c r="R18" s="57"/>
      <c r="S18" s="57"/>
      <c r="T18" s="113" t="s">
        <v>246</v>
      </c>
      <c r="U18" s="70"/>
      <c r="V18" s="56"/>
      <c r="W18" s="56"/>
      <c r="X18" s="56"/>
      <c r="Y18" s="113" t="s">
        <v>246</v>
      </c>
      <c r="Z18" s="74"/>
      <c r="AA18" s="72"/>
      <c r="AB18" s="77"/>
      <c r="AC18" s="74"/>
      <c r="AD18" s="92" t="s">
        <v>246</v>
      </c>
      <c r="AE18" s="125"/>
      <c r="AF18" s="74"/>
      <c r="AG18" s="56"/>
      <c r="AH18" s="56"/>
      <c r="AI18" s="77"/>
      <c r="AJ18" s="113" t="s">
        <v>246</v>
      </c>
      <c r="AK18" s="74"/>
      <c r="AL18" s="56"/>
      <c r="AM18" s="56"/>
      <c r="AN18" s="113" t="s">
        <v>246</v>
      </c>
      <c r="AO18" s="74"/>
      <c r="AP18" s="56"/>
      <c r="AQ18" s="56"/>
      <c r="AR18" s="56"/>
      <c r="AS18" s="113" t="s">
        <v>246</v>
      </c>
      <c r="AT18" s="74"/>
      <c r="AU18" s="56"/>
      <c r="AV18" s="56"/>
      <c r="AW18" s="56"/>
      <c r="AX18" s="92" t="s">
        <v>246</v>
      </c>
      <c r="AY18" s="120"/>
    </row>
    <row r="19" spans="2:51" s="8" customFormat="1" ht="15" customHeight="1">
      <c r="B19" s="55" t="s">
        <v>146</v>
      </c>
      <c r="C19" s="267" t="s">
        <v>150</v>
      </c>
      <c r="D19" s="267"/>
      <c r="E19" s="53"/>
      <c r="G19" s="162" t="s">
        <v>281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151</v>
      </c>
      <c r="C20" s="59" t="s">
        <v>1</v>
      </c>
      <c r="D20" s="59" t="s">
        <v>90</v>
      </c>
      <c r="E20" s="58" t="s">
        <v>234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152</v>
      </c>
      <c r="C21" s="59" t="s">
        <v>1</v>
      </c>
      <c r="D21" s="59" t="s">
        <v>5</v>
      </c>
      <c r="E21" s="58" t="s">
        <v>234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153</v>
      </c>
      <c r="C22" s="59" t="s">
        <v>1</v>
      </c>
      <c r="D22" s="61" t="s">
        <v>25</v>
      </c>
      <c r="E22" s="58" t="s">
        <v>234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234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154</v>
      </c>
      <c r="C24" s="59" t="s">
        <v>1</v>
      </c>
      <c r="D24" s="61" t="s">
        <v>27</v>
      </c>
      <c r="E24" s="58" t="s">
        <v>234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155</v>
      </c>
      <c r="C25" s="59" t="s">
        <v>1</v>
      </c>
      <c r="D25" s="61" t="s">
        <v>28</v>
      </c>
      <c r="E25" s="58" t="s">
        <v>234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156</v>
      </c>
      <c r="C26" s="59" t="s">
        <v>1</v>
      </c>
      <c r="D26" s="61" t="s">
        <v>29</v>
      </c>
      <c r="E26" s="58" t="s">
        <v>234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157</v>
      </c>
      <c r="C27" s="59" t="s">
        <v>1</v>
      </c>
      <c r="D27" s="61" t="s">
        <v>30</v>
      </c>
      <c r="E27" s="58" t="s">
        <v>234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158</v>
      </c>
      <c r="C28" s="59" t="s">
        <v>1</v>
      </c>
      <c r="D28" s="61" t="s">
        <v>31</v>
      </c>
      <c r="E28" s="58" t="s">
        <v>234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159</v>
      </c>
      <c r="C29" s="59" t="s">
        <v>1</v>
      </c>
      <c r="D29" s="61" t="s">
        <v>32</v>
      </c>
      <c r="E29" s="58" t="s">
        <v>234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160</v>
      </c>
      <c r="C30" s="59" t="s">
        <v>1</v>
      </c>
      <c r="D30" s="61" t="s">
        <v>38</v>
      </c>
      <c r="E30" s="58" t="s">
        <v>234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161</v>
      </c>
      <c r="C31" s="59" t="s">
        <v>1</v>
      </c>
      <c r="D31" s="59" t="s">
        <v>53</v>
      </c>
      <c r="E31" s="58" t="s">
        <v>234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162</v>
      </c>
      <c r="C32" s="59" t="s">
        <v>1</v>
      </c>
      <c r="D32" s="59" t="s">
        <v>54</v>
      </c>
      <c r="E32" s="58" t="s">
        <v>234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166</v>
      </c>
      <c r="C33" s="267" t="s">
        <v>167</v>
      </c>
      <c r="D33" s="267"/>
      <c r="E33" s="53"/>
      <c r="G33" s="162" t="s">
        <v>281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171</v>
      </c>
      <c r="C34" s="59" t="s">
        <v>1</v>
      </c>
      <c r="D34" s="59" t="s">
        <v>6</v>
      </c>
      <c r="E34" s="58" t="s">
        <v>234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172</v>
      </c>
      <c r="C35" s="59" t="s">
        <v>1</v>
      </c>
      <c r="D35" s="59" t="s">
        <v>7</v>
      </c>
      <c r="E35" s="58" t="s">
        <v>234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173</v>
      </c>
      <c r="C36" s="59" t="s">
        <v>1</v>
      </c>
      <c r="D36" s="59" t="s">
        <v>12</v>
      </c>
      <c r="E36" s="58" t="s">
        <v>234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174</v>
      </c>
      <c r="C37" s="59" t="s">
        <v>1</v>
      </c>
      <c r="D37" s="59" t="s">
        <v>18</v>
      </c>
      <c r="E37" s="58" t="s">
        <v>234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175</v>
      </c>
      <c r="C38" s="59" t="s">
        <v>1</v>
      </c>
      <c r="D38" s="59" t="s">
        <v>20</v>
      </c>
      <c r="E38" s="58" t="s">
        <v>234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176</v>
      </c>
      <c r="C39" s="59" t="s">
        <v>1</v>
      </c>
      <c r="D39" s="59" t="s">
        <v>21</v>
      </c>
      <c r="E39" s="58" t="s">
        <v>234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177</v>
      </c>
      <c r="C40" s="59" t="s">
        <v>55</v>
      </c>
      <c r="D40" s="59" t="s">
        <v>90</v>
      </c>
      <c r="E40" s="58" t="s">
        <v>234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178</v>
      </c>
      <c r="C41" s="59" t="s">
        <v>55</v>
      </c>
      <c r="D41" s="59" t="s">
        <v>59</v>
      </c>
      <c r="E41" s="58" t="s">
        <v>234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179</v>
      </c>
      <c r="C42" s="59" t="s">
        <v>63</v>
      </c>
      <c r="D42" s="59" t="s">
        <v>90</v>
      </c>
      <c r="E42" s="58" t="s">
        <v>234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180</v>
      </c>
      <c r="C43" s="59" t="s">
        <v>63</v>
      </c>
      <c r="D43" s="59" t="s">
        <v>64</v>
      </c>
      <c r="E43" s="58" t="s">
        <v>234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168</v>
      </c>
      <c r="C44" s="59" t="s">
        <v>63</v>
      </c>
      <c r="D44" s="59" t="s">
        <v>66</v>
      </c>
      <c r="E44" s="58" t="s">
        <v>234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169</v>
      </c>
      <c r="C45" s="59" t="s">
        <v>63</v>
      </c>
      <c r="D45" s="59" t="s">
        <v>36</v>
      </c>
      <c r="E45" s="58" t="s">
        <v>234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170</v>
      </c>
      <c r="C46" s="59" t="s">
        <v>63</v>
      </c>
      <c r="D46" s="59" t="s">
        <v>38</v>
      </c>
      <c r="E46" s="58" t="s">
        <v>234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181</v>
      </c>
      <c r="C47" s="59" t="s">
        <v>63</v>
      </c>
      <c r="D47" s="59" t="s">
        <v>54</v>
      </c>
      <c r="E47" s="58" t="s">
        <v>234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182</v>
      </c>
      <c r="C48" s="267" t="s">
        <v>183</v>
      </c>
      <c r="D48" s="267"/>
      <c r="E48" s="53"/>
      <c r="G48" s="54"/>
      <c r="H48" s="54"/>
      <c r="I48" s="54"/>
      <c r="J48" s="119"/>
      <c r="K48" s="54"/>
      <c r="L48" s="162" t="s">
        <v>281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184</v>
      </c>
      <c r="C49" s="59" t="s">
        <v>1</v>
      </c>
      <c r="D49" s="59" t="s">
        <v>2</v>
      </c>
      <c r="E49" s="58" t="s">
        <v>234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185</v>
      </c>
      <c r="C50" s="59" t="s">
        <v>1</v>
      </c>
      <c r="D50" s="59" t="s">
        <v>8</v>
      </c>
      <c r="E50" s="58" t="s">
        <v>234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187</v>
      </c>
      <c r="C51" s="59" t="s">
        <v>1</v>
      </c>
      <c r="D51" s="59" t="s">
        <v>9</v>
      </c>
      <c r="E51" s="58" t="s">
        <v>234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186</v>
      </c>
      <c r="C52" s="59" t="s">
        <v>1</v>
      </c>
      <c r="D52" s="164" t="s">
        <v>11</v>
      </c>
      <c r="E52" s="58" t="s">
        <v>234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188</v>
      </c>
      <c r="C53" s="59" t="s">
        <v>1</v>
      </c>
      <c r="D53" s="59" t="s">
        <v>13</v>
      </c>
      <c r="E53" s="58" t="s">
        <v>234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190</v>
      </c>
      <c r="C54" s="59" t="s">
        <v>1</v>
      </c>
      <c r="D54" s="59" t="s">
        <v>14</v>
      </c>
      <c r="E54" s="58" t="s">
        <v>234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192</v>
      </c>
      <c r="C55" s="59" t="s">
        <v>1</v>
      </c>
      <c r="D55" s="59" t="s">
        <v>15</v>
      </c>
      <c r="E55" s="58" t="s">
        <v>234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194</v>
      </c>
      <c r="C56" s="59" t="s">
        <v>1</v>
      </c>
      <c r="D56" s="59" t="s">
        <v>16</v>
      </c>
      <c r="E56" s="58" t="s">
        <v>234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195</v>
      </c>
      <c r="C57" s="59" t="s">
        <v>1</v>
      </c>
      <c r="D57" s="59" t="s">
        <v>17</v>
      </c>
      <c r="E57" s="58" t="s">
        <v>234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196</v>
      </c>
      <c r="C58" s="59" t="s">
        <v>1</v>
      </c>
      <c r="D58" s="59" t="s">
        <v>19</v>
      </c>
      <c r="E58" s="58" t="s">
        <v>234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197</v>
      </c>
      <c r="C59" s="59" t="s">
        <v>1</v>
      </c>
      <c r="D59" s="59" t="s">
        <v>23</v>
      </c>
      <c r="E59" s="58" t="s">
        <v>234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198</v>
      </c>
      <c r="C60" s="59" t="s">
        <v>1</v>
      </c>
      <c r="D60" s="164" t="s">
        <v>50</v>
      </c>
      <c r="E60" s="58" t="s">
        <v>234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199</v>
      </c>
      <c r="C61" s="267" t="s">
        <v>200</v>
      </c>
      <c r="D61" s="267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281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201</v>
      </c>
      <c r="C62" s="59" t="s">
        <v>1</v>
      </c>
      <c r="D62" s="59" t="s">
        <v>10</v>
      </c>
      <c r="E62" s="58" t="s">
        <v>234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202</v>
      </c>
      <c r="C63" s="59" t="s">
        <v>1</v>
      </c>
      <c r="D63" s="164" t="s">
        <v>22</v>
      </c>
      <c r="E63" s="58" t="s">
        <v>234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203</v>
      </c>
      <c r="C64" s="59" t="s">
        <v>1</v>
      </c>
      <c r="D64" s="59" t="s">
        <v>24</v>
      </c>
      <c r="E64" s="58" t="s">
        <v>234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204</v>
      </c>
      <c r="C65" s="59" t="s">
        <v>1</v>
      </c>
      <c r="D65" s="59" t="s">
        <v>33</v>
      </c>
      <c r="E65" s="58" t="s">
        <v>234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205</v>
      </c>
      <c r="C66" s="59" t="s">
        <v>1</v>
      </c>
      <c r="D66" s="59" t="s">
        <v>36</v>
      </c>
      <c r="E66" s="58" t="s">
        <v>234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206</v>
      </c>
      <c r="C67" s="59" t="s">
        <v>1</v>
      </c>
      <c r="D67" s="164" t="s">
        <v>37</v>
      </c>
      <c r="E67" s="58" t="s">
        <v>234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207</v>
      </c>
      <c r="C68" s="59" t="s">
        <v>1</v>
      </c>
      <c r="D68" s="164" t="s">
        <v>39</v>
      </c>
      <c r="E68" s="58" t="s">
        <v>234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208</v>
      </c>
      <c r="C69" s="59" t="s">
        <v>1</v>
      </c>
      <c r="D69" s="59" t="s">
        <v>40</v>
      </c>
      <c r="E69" s="58" t="s">
        <v>234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209</v>
      </c>
      <c r="C70" s="59" t="s">
        <v>1</v>
      </c>
      <c r="D70" s="59" t="s">
        <v>41</v>
      </c>
      <c r="E70" s="58" t="s">
        <v>234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210</v>
      </c>
      <c r="C71" s="59" t="s">
        <v>1</v>
      </c>
      <c r="D71" s="164" t="s">
        <v>42</v>
      </c>
      <c r="E71" s="58" t="s">
        <v>234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211</v>
      </c>
      <c r="C72" s="59" t="s">
        <v>1</v>
      </c>
      <c r="D72" s="59" t="s">
        <v>43</v>
      </c>
      <c r="E72" s="58" t="s">
        <v>234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212</v>
      </c>
      <c r="C73" s="59" t="s">
        <v>1</v>
      </c>
      <c r="D73" s="59" t="s">
        <v>47</v>
      </c>
      <c r="E73" s="58" t="s">
        <v>234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213</v>
      </c>
      <c r="C74" s="59" t="s">
        <v>1</v>
      </c>
      <c r="D74" s="59" t="s">
        <v>51</v>
      </c>
      <c r="E74" s="58" t="s">
        <v>234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214</v>
      </c>
      <c r="C75" s="59" t="s">
        <v>55</v>
      </c>
      <c r="D75" s="59" t="s">
        <v>36</v>
      </c>
      <c r="E75" s="58" t="s">
        <v>234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215</v>
      </c>
      <c r="C76" s="59" t="s">
        <v>55</v>
      </c>
      <c r="D76" s="59" t="s">
        <v>38</v>
      </c>
      <c r="E76" s="58" t="s">
        <v>234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216</v>
      </c>
      <c r="C77" s="59" t="s">
        <v>55</v>
      </c>
      <c r="D77" s="59" t="s">
        <v>56</v>
      </c>
      <c r="E77" s="58" t="s">
        <v>234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217</v>
      </c>
      <c r="C78" s="59" t="s">
        <v>55</v>
      </c>
      <c r="D78" s="59" t="s">
        <v>57</v>
      </c>
      <c r="E78" s="58" t="s">
        <v>234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218</v>
      </c>
      <c r="C79" s="59" t="s">
        <v>55</v>
      </c>
      <c r="D79" s="59" t="s">
        <v>58</v>
      </c>
      <c r="E79" s="58" t="s">
        <v>234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219</v>
      </c>
      <c r="C80" s="59" t="s">
        <v>55</v>
      </c>
      <c r="D80" s="59" t="s">
        <v>60</v>
      </c>
      <c r="E80" s="58" t="s">
        <v>234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220</v>
      </c>
      <c r="C81" s="59" t="s">
        <v>61</v>
      </c>
      <c r="D81" s="59" t="s">
        <v>90</v>
      </c>
      <c r="E81" s="58" t="s">
        <v>234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221</v>
      </c>
      <c r="C82" s="59" t="s">
        <v>61</v>
      </c>
      <c r="D82" s="59" t="s">
        <v>36</v>
      </c>
      <c r="E82" s="58" t="s">
        <v>234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222</v>
      </c>
      <c r="C83" s="59" t="s">
        <v>61</v>
      </c>
      <c r="D83" s="59" t="s">
        <v>38</v>
      </c>
      <c r="E83" s="58" t="s">
        <v>234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223</v>
      </c>
      <c r="C84" s="59" t="s">
        <v>61</v>
      </c>
      <c r="D84" s="59" t="s">
        <v>54</v>
      </c>
      <c r="E84" s="58" t="s">
        <v>234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224</v>
      </c>
      <c r="C85" s="59" t="s">
        <v>61</v>
      </c>
      <c r="D85" s="59" t="s">
        <v>56</v>
      </c>
      <c r="E85" s="58" t="s">
        <v>234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225</v>
      </c>
      <c r="C86" s="59" t="s">
        <v>61</v>
      </c>
      <c r="D86" s="59" t="s">
        <v>62</v>
      </c>
      <c r="E86" s="58" t="s">
        <v>234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226</v>
      </c>
      <c r="C87" s="59" t="s">
        <v>63</v>
      </c>
      <c r="D87" s="59" t="s">
        <v>65</v>
      </c>
      <c r="E87" s="58" t="s">
        <v>234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227</v>
      </c>
      <c r="C88" s="267" t="s">
        <v>228</v>
      </c>
      <c r="D88" s="267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281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229</v>
      </c>
      <c r="C89" s="59" t="s">
        <v>1</v>
      </c>
      <c r="D89" s="59" t="s">
        <v>34</v>
      </c>
      <c r="E89" s="58" t="s">
        <v>234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230</v>
      </c>
      <c r="C90" s="59" t="s">
        <v>1</v>
      </c>
      <c r="D90" s="164" t="s">
        <v>35</v>
      </c>
      <c r="E90" s="58" t="s">
        <v>234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231</v>
      </c>
      <c r="C91" s="59" t="s">
        <v>1</v>
      </c>
      <c r="D91" s="59" t="s">
        <v>44</v>
      </c>
      <c r="E91" s="58" t="s">
        <v>234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232</v>
      </c>
      <c r="C92" s="59" t="s">
        <v>1</v>
      </c>
      <c r="D92" s="164" t="s">
        <v>45</v>
      </c>
      <c r="E92" s="58" t="s">
        <v>234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189</v>
      </c>
      <c r="C93" s="59" t="s">
        <v>1</v>
      </c>
      <c r="D93" s="59" t="s">
        <v>46</v>
      </c>
      <c r="E93" s="58" t="s">
        <v>234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191</v>
      </c>
      <c r="C94" s="59" t="s">
        <v>1</v>
      </c>
      <c r="D94" s="59" t="s">
        <v>48</v>
      </c>
      <c r="E94" s="58" t="s">
        <v>234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193</v>
      </c>
      <c r="C95" s="59" t="s">
        <v>1</v>
      </c>
      <c r="D95" s="59" t="s">
        <v>49</v>
      </c>
      <c r="E95" s="58" t="s">
        <v>234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233</v>
      </c>
      <c r="C96" s="59" t="s">
        <v>1</v>
      </c>
      <c r="D96" s="164" t="s">
        <v>52</v>
      </c>
      <c r="E96" s="58" t="s">
        <v>234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238</v>
      </c>
      <c r="C97" s="267" t="s">
        <v>239</v>
      </c>
      <c r="D97" s="267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240</v>
      </c>
      <c r="C98" s="59" t="s">
        <v>241</v>
      </c>
      <c r="D98" s="59"/>
      <c r="E98" s="58" t="s">
        <v>234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242</v>
      </c>
      <c r="C99" s="267" t="s">
        <v>243</v>
      </c>
      <c r="D99" s="267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244</v>
      </c>
      <c r="C100" s="59" t="s">
        <v>245</v>
      </c>
      <c r="D100" s="59"/>
      <c r="E100" s="58" t="s">
        <v>234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9" width="8.6640625" style="3" customWidth="1"/>
    <col min="10" max="11" width="8.6640625" style="3" hidden="1" customWidth="1"/>
    <col min="12" max="12" width="10.33203125" style="3" hidden="1" customWidth="1"/>
    <col min="13" max="13" width="6.33203125" style="3" customWidth="1"/>
    <col min="14" max="14" width="0.88671875" style="3" customWidth="1"/>
    <col min="15" max="16" width="6.44140625" style="47" bestFit="1" customWidth="1"/>
    <col min="17" max="17" width="6.6640625" style="47" bestFit="1" customWidth="1"/>
    <col min="18" max="34" width="6.44140625" style="47" bestFit="1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250</v>
      </c>
    </row>
    <row r="8" spans="1:78" ht="6.9" customHeight="1"/>
    <row r="9" spans="1:78">
      <c r="B9" s="162" t="s">
        <v>281</v>
      </c>
      <c r="C9" s="105" t="s">
        <v>251</v>
      </c>
    </row>
    <row r="10" spans="1:78" ht="13.8">
      <c r="B10" s="92" t="s">
        <v>246</v>
      </c>
      <c r="C10" s="105" t="s">
        <v>253</v>
      </c>
    </row>
    <row r="11" spans="1:78">
      <c r="B11" s="90">
        <v>3</v>
      </c>
      <c r="C11" s="105" t="s">
        <v>252</v>
      </c>
      <c r="L11" s="79" t="s">
        <v>163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254</v>
      </c>
      <c r="L12" s="79" t="s">
        <v>164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255</v>
      </c>
      <c r="L13" s="79" t="s">
        <v>165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256</v>
      </c>
    </row>
    <row r="15" spans="1:78" ht="15" customHeight="1" thickBot="1">
      <c r="F15" s="270" t="s">
        <v>131</v>
      </c>
      <c r="G15" s="270"/>
      <c r="H15" s="270" t="s">
        <v>134</v>
      </c>
      <c r="I15" s="270"/>
      <c r="J15" s="272" t="s">
        <v>114</v>
      </c>
      <c r="K15" s="272"/>
      <c r="L15" s="11"/>
      <c r="M15" s="11"/>
      <c r="O15" s="271" t="s">
        <v>135</v>
      </c>
      <c r="P15" s="271"/>
      <c r="Q15" s="271"/>
      <c r="R15" s="271"/>
      <c r="S15" s="271"/>
      <c r="T15" s="271"/>
      <c r="U15" s="271"/>
      <c r="V15" s="271" t="s">
        <v>136</v>
      </c>
      <c r="W15" s="271"/>
      <c r="X15" s="271"/>
      <c r="Y15" s="271"/>
      <c r="Z15" s="271"/>
      <c r="AA15" s="271"/>
      <c r="AB15" s="271"/>
      <c r="AC15" s="271" t="s">
        <v>137</v>
      </c>
      <c r="AD15" s="271"/>
      <c r="AE15" s="271"/>
      <c r="AF15" s="271"/>
      <c r="AG15" s="271"/>
      <c r="AH15" s="271"/>
      <c r="AI15" s="271"/>
      <c r="AJ15" s="271" t="s">
        <v>138</v>
      </c>
      <c r="AK15" s="271"/>
      <c r="AL15" s="271"/>
      <c r="AM15" s="271"/>
      <c r="AN15" s="271"/>
      <c r="AO15" s="271"/>
      <c r="AP15" s="271"/>
      <c r="AQ15" s="271" t="s">
        <v>139</v>
      </c>
      <c r="AR15" s="271"/>
      <c r="AS15" s="271"/>
      <c r="AT15" s="271"/>
      <c r="AU15" s="271"/>
      <c r="AV15" s="271"/>
      <c r="AW15" s="271"/>
      <c r="AX15" s="271" t="s">
        <v>140</v>
      </c>
      <c r="AY15" s="271"/>
      <c r="AZ15" s="271"/>
      <c r="BA15" s="271"/>
      <c r="BB15" s="271"/>
      <c r="BC15" s="271"/>
      <c r="BD15" s="271"/>
      <c r="BE15" s="271" t="s">
        <v>141</v>
      </c>
      <c r="BF15" s="271"/>
      <c r="BG15" s="271"/>
      <c r="BH15" s="271"/>
      <c r="BI15" s="271"/>
      <c r="BJ15" s="271"/>
      <c r="BK15" s="271"/>
      <c r="BL15" s="271" t="s">
        <v>142</v>
      </c>
      <c r="BM15" s="271"/>
      <c r="BN15" s="271"/>
      <c r="BO15" s="271"/>
      <c r="BP15" s="271"/>
      <c r="BQ15" s="271"/>
      <c r="BR15" s="271"/>
      <c r="BS15" s="271" t="s">
        <v>143</v>
      </c>
      <c r="BT15" s="271"/>
      <c r="BU15" s="271"/>
      <c r="BV15" s="271"/>
      <c r="BW15" s="271"/>
      <c r="BX15" s="271"/>
      <c r="BY15" s="271"/>
    </row>
    <row r="16" spans="1:78" ht="15" customHeight="1" thickBot="1">
      <c r="B16" s="50" t="s">
        <v>128</v>
      </c>
      <c r="C16" s="258" t="s">
        <v>129</v>
      </c>
      <c r="D16" s="260"/>
      <c r="E16" s="50" t="s">
        <v>130</v>
      </c>
      <c r="F16" s="52" t="s">
        <v>132</v>
      </c>
      <c r="G16" s="52" t="s">
        <v>133</v>
      </c>
      <c r="H16" s="52" t="s">
        <v>132</v>
      </c>
      <c r="I16" s="52" t="s">
        <v>133</v>
      </c>
      <c r="J16" s="97" t="s">
        <v>247</v>
      </c>
      <c r="K16" s="97" t="s">
        <v>248</v>
      </c>
      <c r="L16" s="81" t="s">
        <v>249</v>
      </c>
      <c r="M16" s="88" t="s">
        <v>237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144</v>
      </c>
      <c r="C17" s="268" t="s">
        <v>145</v>
      </c>
      <c r="D17" s="268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147</v>
      </c>
      <c r="C18" s="269" t="s">
        <v>236</v>
      </c>
      <c r="D18" s="269"/>
      <c r="E18" s="64" t="s">
        <v>234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235</v>
      </c>
      <c r="C19" s="269" t="s">
        <v>148</v>
      </c>
      <c r="D19" s="269"/>
      <c r="E19" s="64" t="s">
        <v>149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246</v>
      </c>
      <c r="S19" s="68"/>
      <c r="T19" s="94">
        <v>0</v>
      </c>
      <c r="U19" s="95">
        <v>0</v>
      </c>
      <c r="V19" s="70"/>
      <c r="W19" s="57"/>
      <c r="X19" s="57"/>
      <c r="Y19" s="92" t="s">
        <v>246</v>
      </c>
      <c r="Z19" s="57"/>
      <c r="AA19" s="94">
        <v>0</v>
      </c>
      <c r="AB19" s="95">
        <v>0</v>
      </c>
      <c r="AC19" s="57"/>
      <c r="AD19" s="57"/>
      <c r="AE19" s="57"/>
      <c r="AF19" s="92" t="s">
        <v>246</v>
      </c>
      <c r="AG19" s="57"/>
      <c r="AH19" s="94">
        <v>0</v>
      </c>
      <c r="AI19" s="95">
        <v>0</v>
      </c>
      <c r="AJ19" s="56"/>
      <c r="AK19" s="56"/>
      <c r="AL19" s="56"/>
      <c r="AM19" s="92" t="s">
        <v>246</v>
      </c>
      <c r="AN19" s="56"/>
      <c r="AO19" s="94">
        <v>0</v>
      </c>
      <c r="AP19" s="95">
        <v>0</v>
      </c>
      <c r="AQ19" s="72"/>
      <c r="AR19" s="77"/>
      <c r="AS19" s="74"/>
      <c r="AT19" s="92" t="s">
        <v>246</v>
      </c>
      <c r="AU19" s="77"/>
      <c r="AV19" s="94">
        <v>0</v>
      </c>
      <c r="AW19" s="95">
        <v>0</v>
      </c>
      <c r="AX19" s="56"/>
      <c r="AY19" s="56"/>
      <c r="AZ19" s="92" t="s">
        <v>246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246</v>
      </c>
      <c r="BI19" s="56"/>
      <c r="BJ19" s="94">
        <v>0</v>
      </c>
      <c r="BK19" s="95">
        <v>0</v>
      </c>
      <c r="BL19" s="56"/>
      <c r="BM19" s="56"/>
      <c r="BN19" s="56"/>
      <c r="BO19" s="92" t="s">
        <v>246</v>
      </c>
      <c r="BP19" s="56"/>
      <c r="BQ19" s="94">
        <v>0</v>
      </c>
      <c r="BR19" s="95">
        <v>0</v>
      </c>
      <c r="BS19" s="56"/>
      <c r="BT19" s="56"/>
      <c r="BU19" s="56"/>
      <c r="BV19" s="92" t="s">
        <v>246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146</v>
      </c>
      <c r="C20" s="267" t="s">
        <v>150</v>
      </c>
      <c r="D20" s="267"/>
      <c r="E20" s="53"/>
      <c r="F20" s="53"/>
      <c r="G20" s="53"/>
      <c r="H20" s="53"/>
      <c r="I20" s="96"/>
      <c r="J20" s="96"/>
      <c r="K20" s="96"/>
      <c r="L20" s="53"/>
      <c r="O20" s="162" t="s">
        <v>281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151</v>
      </c>
      <c r="C21" s="59" t="s">
        <v>1</v>
      </c>
      <c r="D21" s="164" t="s">
        <v>90</v>
      </c>
      <c r="E21" s="58" t="s">
        <v>234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152</v>
      </c>
      <c r="C22" s="59" t="s">
        <v>1</v>
      </c>
      <c r="D22" s="164" t="s">
        <v>5</v>
      </c>
      <c r="E22" s="58" t="s">
        <v>234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153</v>
      </c>
      <c r="C23" s="59" t="s">
        <v>1</v>
      </c>
      <c r="D23" s="219" t="s">
        <v>25</v>
      </c>
      <c r="E23" s="58" t="s">
        <v>234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9" t="s">
        <v>26</v>
      </c>
      <c r="E24" s="58" t="s">
        <v>234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154</v>
      </c>
      <c r="C25" s="59" t="s">
        <v>1</v>
      </c>
      <c r="D25" s="219" t="s">
        <v>27</v>
      </c>
      <c r="E25" s="58" t="s">
        <v>234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155</v>
      </c>
      <c r="C26" s="59" t="s">
        <v>1</v>
      </c>
      <c r="D26" s="219" t="s">
        <v>28</v>
      </c>
      <c r="E26" s="58" t="s">
        <v>234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156</v>
      </c>
      <c r="C27" s="59" t="s">
        <v>1</v>
      </c>
      <c r="D27" s="219" t="s">
        <v>29</v>
      </c>
      <c r="E27" s="58" t="s">
        <v>234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157</v>
      </c>
      <c r="C28" s="59" t="s">
        <v>1</v>
      </c>
      <c r="D28" s="219" t="s">
        <v>30</v>
      </c>
      <c r="E28" s="58" t="s">
        <v>234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158</v>
      </c>
      <c r="C29" s="59" t="s">
        <v>1</v>
      </c>
      <c r="D29" s="219" t="s">
        <v>31</v>
      </c>
      <c r="E29" s="58" t="s">
        <v>234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159</v>
      </c>
      <c r="C30" s="59" t="s">
        <v>1</v>
      </c>
      <c r="D30" s="219" t="s">
        <v>32</v>
      </c>
      <c r="E30" s="58" t="s">
        <v>234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160</v>
      </c>
      <c r="C31" s="59" t="s">
        <v>1</v>
      </c>
      <c r="D31" s="219" t="s">
        <v>38</v>
      </c>
      <c r="E31" s="58" t="s">
        <v>234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161</v>
      </c>
      <c r="C32" s="59" t="s">
        <v>1</v>
      </c>
      <c r="D32" s="164" t="s">
        <v>53</v>
      </c>
      <c r="E32" s="58" t="s">
        <v>234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162</v>
      </c>
      <c r="C33" s="59" t="s">
        <v>1</v>
      </c>
      <c r="D33" s="164" t="s">
        <v>54</v>
      </c>
      <c r="E33" s="58" t="s">
        <v>234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166</v>
      </c>
      <c r="C34" s="267" t="s">
        <v>167</v>
      </c>
      <c r="D34" s="267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281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171</v>
      </c>
      <c r="C35" s="59" t="s">
        <v>1</v>
      </c>
      <c r="D35" s="220" t="s">
        <v>6</v>
      </c>
      <c r="E35" s="58" t="s">
        <v>234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172</v>
      </c>
      <c r="C36" s="59" t="s">
        <v>1</v>
      </c>
      <c r="D36" s="220" t="s">
        <v>7</v>
      </c>
      <c r="E36" s="58" t="s">
        <v>234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173</v>
      </c>
      <c r="C37" s="59" t="s">
        <v>1</v>
      </c>
      <c r="D37" s="220" t="s">
        <v>12</v>
      </c>
      <c r="E37" s="58" t="s">
        <v>234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174</v>
      </c>
      <c r="C38" s="59" t="s">
        <v>1</v>
      </c>
      <c r="D38" s="221" t="s">
        <v>18</v>
      </c>
      <c r="E38" s="58" t="s">
        <v>234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175</v>
      </c>
      <c r="C39" s="59" t="s">
        <v>1</v>
      </c>
      <c r="D39" s="220" t="s">
        <v>20</v>
      </c>
      <c r="E39" s="58" t="s">
        <v>234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176</v>
      </c>
      <c r="C40" s="59" t="s">
        <v>1</v>
      </c>
      <c r="D40" s="220" t="s">
        <v>21</v>
      </c>
      <c r="E40" s="58" t="s">
        <v>234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177</v>
      </c>
      <c r="C41" s="59" t="s">
        <v>55</v>
      </c>
      <c r="D41" s="134" t="s">
        <v>90</v>
      </c>
      <c r="E41" s="58" t="s">
        <v>234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178</v>
      </c>
      <c r="C42" s="59" t="s">
        <v>55</v>
      </c>
      <c r="D42" s="134" t="s">
        <v>59</v>
      </c>
      <c r="E42" s="58" t="s">
        <v>234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179</v>
      </c>
      <c r="C43" s="59" t="s">
        <v>63</v>
      </c>
      <c r="D43" s="59" t="s">
        <v>90</v>
      </c>
      <c r="E43" s="58" t="s">
        <v>234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3</v>
      </c>
      <c r="I43" s="82">
        <f t="shared" ca="1" si="8"/>
        <v>0.375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180</v>
      </c>
      <c r="C44" s="59" t="s">
        <v>63</v>
      </c>
      <c r="D44" s="59" t="s">
        <v>64</v>
      </c>
      <c r="E44" s="58" t="s">
        <v>234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0</v>
      </c>
      <c r="I44" s="82">
        <f t="shared" ca="1" si="8"/>
        <v>0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168</v>
      </c>
      <c r="C45" s="59" t="s">
        <v>63</v>
      </c>
      <c r="D45" s="59" t="s">
        <v>66</v>
      </c>
      <c r="E45" s="58" t="s">
        <v>234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0</v>
      </c>
      <c r="I45" s="82">
        <f t="shared" ca="1" si="8"/>
        <v>0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169</v>
      </c>
      <c r="C46" s="59" t="s">
        <v>63</v>
      </c>
      <c r="D46" s="59" t="s">
        <v>36</v>
      </c>
      <c r="E46" s="58" t="s">
        <v>234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0</v>
      </c>
      <c r="I46" s="82">
        <f t="shared" ca="1" si="8"/>
        <v>0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170</v>
      </c>
      <c r="C47" s="59" t="s">
        <v>63</v>
      </c>
      <c r="D47" s="59" t="s">
        <v>38</v>
      </c>
      <c r="E47" s="58" t="s">
        <v>234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0</v>
      </c>
      <c r="I47" s="82">
        <f t="shared" ca="1" si="8"/>
        <v>0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181</v>
      </c>
      <c r="C48" s="59" t="s">
        <v>63</v>
      </c>
      <c r="D48" s="59" t="s">
        <v>54</v>
      </c>
      <c r="E48" s="58" t="s">
        <v>234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0</v>
      </c>
      <c r="I48" s="82">
        <f t="shared" ca="1" si="8"/>
        <v>0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182</v>
      </c>
      <c r="C49" s="267" t="s">
        <v>183</v>
      </c>
      <c r="D49" s="267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281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184</v>
      </c>
      <c r="C50" s="59" t="s">
        <v>1</v>
      </c>
      <c r="D50" s="222" t="s">
        <v>2</v>
      </c>
      <c r="E50" s="58" t="s">
        <v>234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185</v>
      </c>
      <c r="C51" s="59" t="s">
        <v>1</v>
      </c>
      <c r="D51" s="222" t="s">
        <v>8</v>
      </c>
      <c r="E51" s="58" t="s">
        <v>234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187</v>
      </c>
      <c r="C52" s="59" t="s">
        <v>1</v>
      </c>
      <c r="D52" s="222" t="s">
        <v>9</v>
      </c>
      <c r="E52" s="58" t="s">
        <v>234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186</v>
      </c>
      <c r="C53" s="59" t="s">
        <v>1</v>
      </c>
      <c r="D53" s="164" t="s">
        <v>11</v>
      </c>
      <c r="E53" s="58" t="s">
        <v>234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188</v>
      </c>
      <c r="C54" s="59" t="s">
        <v>1</v>
      </c>
      <c r="D54" s="222" t="s">
        <v>13</v>
      </c>
      <c r="E54" s="58" t="s">
        <v>234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190</v>
      </c>
      <c r="C55" s="59" t="s">
        <v>1</v>
      </c>
      <c r="D55" s="222" t="s">
        <v>14</v>
      </c>
      <c r="E55" s="58" t="s">
        <v>234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192</v>
      </c>
      <c r="C56" s="59" t="s">
        <v>1</v>
      </c>
      <c r="D56" s="134" t="s">
        <v>15</v>
      </c>
      <c r="E56" s="58" t="s">
        <v>234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194</v>
      </c>
      <c r="C57" s="59" t="s">
        <v>1</v>
      </c>
      <c r="D57" s="134" t="s">
        <v>16</v>
      </c>
      <c r="E57" s="58" t="s">
        <v>234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195</v>
      </c>
      <c r="C58" s="59" t="s">
        <v>1</v>
      </c>
      <c r="D58" s="134" t="s">
        <v>17</v>
      </c>
      <c r="E58" s="58" t="s">
        <v>234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196</v>
      </c>
      <c r="C59" s="59" t="s">
        <v>1</v>
      </c>
      <c r="D59" s="134" t="s">
        <v>19</v>
      </c>
      <c r="E59" s="58" t="s">
        <v>234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197</v>
      </c>
      <c r="C60" s="59" t="s">
        <v>1</v>
      </c>
      <c r="D60" s="222" t="s">
        <v>23</v>
      </c>
      <c r="E60" s="58" t="s">
        <v>234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198</v>
      </c>
      <c r="C61" s="59" t="s">
        <v>1</v>
      </c>
      <c r="D61" s="134" t="s">
        <v>50</v>
      </c>
      <c r="E61" s="58" t="s">
        <v>234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199</v>
      </c>
      <c r="C62" s="267" t="s">
        <v>200</v>
      </c>
      <c r="D62" s="267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281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201</v>
      </c>
      <c r="C63" s="59" t="s">
        <v>1</v>
      </c>
      <c r="D63" s="59" t="s">
        <v>10</v>
      </c>
      <c r="E63" s="58" t="s">
        <v>234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202</v>
      </c>
      <c r="C64" s="59" t="s">
        <v>1</v>
      </c>
      <c r="D64" s="59" t="s">
        <v>22</v>
      </c>
      <c r="E64" s="58" t="s">
        <v>234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203</v>
      </c>
      <c r="C65" s="59" t="s">
        <v>1</v>
      </c>
      <c r="D65" s="59" t="s">
        <v>24</v>
      </c>
      <c r="E65" s="58" t="s">
        <v>234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204</v>
      </c>
      <c r="C66" s="59" t="s">
        <v>1</v>
      </c>
      <c r="D66" s="59" t="s">
        <v>33</v>
      </c>
      <c r="E66" s="58" t="s">
        <v>234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205</v>
      </c>
      <c r="C67" s="59" t="s">
        <v>1</v>
      </c>
      <c r="D67" s="59" t="s">
        <v>36</v>
      </c>
      <c r="E67" s="58" t="s">
        <v>234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206</v>
      </c>
      <c r="C68" s="59" t="s">
        <v>1</v>
      </c>
      <c r="D68" s="59" t="s">
        <v>37</v>
      </c>
      <c r="E68" s="58" t="s">
        <v>234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207</v>
      </c>
      <c r="C69" s="59" t="s">
        <v>1</v>
      </c>
      <c r="D69" s="59" t="s">
        <v>39</v>
      </c>
      <c r="E69" s="58" t="s">
        <v>234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208</v>
      </c>
      <c r="C70" s="59" t="s">
        <v>1</v>
      </c>
      <c r="D70" s="59" t="s">
        <v>40</v>
      </c>
      <c r="E70" s="58" t="s">
        <v>234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209</v>
      </c>
      <c r="C71" s="59" t="s">
        <v>1</v>
      </c>
      <c r="D71" s="59" t="s">
        <v>41</v>
      </c>
      <c r="E71" s="58" t="s">
        <v>234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210</v>
      </c>
      <c r="C72" s="59" t="s">
        <v>1</v>
      </c>
      <c r="D72" s="59" t="s">
        <v>42</v>
      </c>
      <c r="E72" s="58" t="s">
        <v>234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211</v>
      </c>
      <c r="C73" s="59" t="s">
        <v>1</v>
      </c>
      <c r="D73" s="59" t="s">
        <v>43</v>
      </c>
      <c r="E73" s="58" t="s">
        <v>234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212</v>
      </c>
      <c r="C74" s="59" t="s">
        <v>1</v>
      </c>
      <c r="D74" s="59" t="s">
        <v>47</v>
      </c>
      <c r="E74" s="58" t="s">
        <v>234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213</v>
      </c>
      <c r="C75" s="59" t="s">
        <v>1</v>
      </c>
      <c r="D75" s="59" t="s">
        <v>51</v>
      </c>
      <c r="E75" s="58" t="s">
        <v>234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214</v>
      </c>
      <c r="C76" s="59" t="s">
        <v>55</v>
      </c>
      <c r="D76" s="59" t="s">
        <v>36</v>
      </c>
      <c r="E76" s="58" t="s">
        <v>234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215</v>
      </c>
      <c r="C77" s="59" t="s">
        <v>55</v>
      </c>
      <c r="D77" s="59" t="s">
        <v>38</v>
      </c>
      <c r="E77" s="58" t="s">
        <v>234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216</v>
      </c>
      <c r="C78" s="59" t="s">
        <v>55</v>
      </c>
      <c r="D78" s="59" t="s">
        <v>56</v>
      </c>
      <c r="E78" s="58" t="s">
        <v>234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217</v>
      </c>
      <c r="C79" s="59" t="s">
        <v>55</v>
      </c>
      <c r="D79" s="59" t="s">
        <v>57</v>
      </c>
      <c r="E79" s="58" t="s">
        <v>234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218</v>
      </c>
      <c r="C80" s="59" t="s">
        <v>55</v>
      </c>
      <c r="D80" s="59" t="s">
        <v>58</v>
      </c>
      <c r="E80" s="58" t="s">
        <v>234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219</v>
      </c>
      <c r="C81" s="59" t="s">
        <v>55</v>
      </c>
      <c r="D81" s="59" t="s">
        <v>60</v>
      </c>
      <c r="E81" s="58" t="s">
        <v>234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220</v>
      </c>
      <c r="C82" s="59" t="s">
        <v>61</v>
      </c>
      <c r="D82" s="59" t="s">
        <v>90</v>
      </c>
      <c r="E82" s="58" t="s">
        <v>234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221</v>
      </c>
      <c r="C83" s="59" t="s">
        <v>61</v>
      </c>
      <c r="D83" s="59" t="s">
        <v>36</v>
      </c>
      <c r="E83" s="58" t="s">
        <v>234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222</v>
      </c>
      <c r="C84" s="59" t="s">
        <v>61</v>
      </c>
      <c r="D84" s="59" t="s">
        <v>38</v>
      </c>
      <c r="E84" s="58" t="s">
        <v>234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223</v>
      </c>
      <c r="C85" s="59" t="s">
        <v>61</v>
      </c>
      <c r="D85" s="59" t="s">
        <v>54</v>
      </c>
      <c r="E85" s="58" t="s">
        <v>234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224</v>
      </c>
      <c r="C86" s="59" t="s">
        <v>61</v>
      </c>
      <c r="D86" s="59" t="s">
        <v>56</v>
      </c>
      <c r="E86" s="58" t="s">
        <v>234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225</v>
      </c>
      <c r="C87" s="59" t="s">
        <v>61</v>
      </c>
      <c r="D87" s="59" t="s">
        <v>62</v>
      </c>
      <c r="E87" s="58" t="s">
        <v>234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226</v>
      </c>
      <c r="C88" s="59" t="s">
        <v>63</v>
      </c>
      <c r="D88" s="59" t="s">
        <v>65</v>
      </c>
      <c r="E88" s="58" t="s">
        <v>234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0</v>
      </c>
      <c r="I88" s="82">
        <f t="shared" ca="1" si="11"/>
        <v>0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227</v>
      </c>
      <c r="C89" s="267" t="s">
        <v>228</v>
      </c>
      <c r="D89" s="267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281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229</v>
      </c>
      <c r="C90" s="59" t="s">
        <v>1</v>
      </c>
      <c r="D90" s="59" t="s">
        <v>34</v>
      </c>
      <c r="E90" s="58" t="s">
        <v>234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230</v>
      </c>
      <c r="C91" s="59" t="s">
        <v>1</v>
      </c>
      <c r="D91" s="59" t="s">
        <v>35</v>
      </c>
      <c r="E91" s="58" t="s">
        <v>234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231</v>
      </c>
      <c r="C92" s="59" t="s">
        <v>1</v>
      </c>
      <c r="D92" s="59" t="s">
        <v>44</v>
      </c>
      <c r="E92" s="58" t="s">
        <v>234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232</v>
      </c>
      <c r="C93" s="59" t="s">
        <v>1</v>
      </c>
      <c r="D93" s="59" t="s">
        <v>45</v>
      </c>
      <c r="E93" s="58" t="s">
        <v>234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189</v>
      </c>
      <c r="C94" s="59" t="s">
        <v>1</v>
      </c>
      <c r="D94" s="59" t="s">
        <v>46</v>
      </c>
      <c r="E94" s="58" t="s">
        <v>234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191</v>
      </c>
      <c r="C95" s="59" t="s">
        <v>1</v>
      </c>
      <c r="D95" s="59" t="s">
        <v>48</v>
      </c>
      <c r="E95" s="58" t="s">
        <v>234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193</v>
      </c>
      <c r="C96" s="59" t="s">
        <v>1</v>
      </c>
      <c r="D96" s="59" t="s">
        <v>49</v>
      </c>
      <c r="E96" s="58" t="s">
        <v>234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233</v>
      </c>
      <c r="C97" s="59" t="s">
        <v>1</v>
      </c>
      <c r="D97" s="59" t="s">
        <v>52</v>
      </c>
      <c r="E97" s="58" t="s">
        <v>234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238</v>
      </c>
      <c r="C98" s="267" t="s">
        <v>239</v>
      </c>
      <c r="D98" s="267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281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240</v>
      </c>
      <c r="C99" s="59" t="s">
        <v>241</v>
      </c>
      <c r="D99" s="59"/>
      <c r="E99" s="58" t="s">
        <v>234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0</v>
      </c>
      <c r="I99" s="82">
        <f ca="1">H99/8</f>
        <v>0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242</v>
      </c>
      <c r="C100" s="267" t="s">
        <v>243</v>
      </c>
      <c r="D100" s="267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281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244</v>
      </c>
      <c r="C101" s="59" t="s">
        <v>245</v>
      </c>
      <c r="D101" s="59"/>
      <c r="E101" s="58" t="s">
        <v>234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0</v>
      </c>
      <c r="I101" s="82">
        <f ca="1">H101/8</f>
        <v>0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W81"/>
  <sheetViews>
    <sheetView showGridLines="0" zoomScaleNormal="100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U86" sqref="U86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3" width="13.88671875" style="3" hidden="1" customWidth="1"/>
    <col min="14" max="15" width="24.44140625" style="8" hidden="1" customWidth="1"/>
    <col min="16" max="16" width="2.6640625" style="3" hidden="1" customWidth="1"/>
    <col min="17" max="19" width="20.6640625" style="3" customWidth="1"/>
    <col min="20" max="20" width="2.6640625" style="3" customWidth="1"/>
    <col min="21" max="22" width="22.6640625" style="3" customWidth="1"/>
    <col min="23" max="23" width="3.6640625" style="3" customWidth="1"/>
    <col min="24" max="16384" width="8.88671875" style="3" hidden="1"/>
  </cols>
  <sheetData>
    <row r="1" spans="1:23" ht="16.2" customHeight="1">
      <c r="L1" s="3"/>
    </row>
    <row r="2" spans="1:23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4"/>
      <c r="U2" s="4"/>
      <c r="V2" s="4"/>
      <c r="W2" s="4"/>
    </row>
    <row r="3" spans="1:23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7"/>
      <c r="U3" s="7"/>
      <c r="V3" s="7"/>
      <c r="W3" s="7"/>
    </row>
    <row r="4" spans="1:23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4"/>
      <c r="U4" s="4"/>
      <c r="V4" s="4"/>
      <c r="W4" s="4"/>
    </row>
    <row r="5" spans="1:23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"/>
      <c r="U5" s="2"/>
      <c r="V5" s="2"/>
      <c r="W5" s="2"/>
    </row>
    <row r="7" spans="1:23" ht="15" customHeight="1">
      <c r="I7" s="273" t="s">
        <v>69</v>
      </c>
      <c r="J7" s="273"/>
      <c r="K7" s="273"/>
      <c r="Q7" s="274" t="s">
        <v>89</v>
      </c>
      <c r="R7" s="275"/>
      <c r="S7" s="276"/>
    </row>
    <row r="8" spans="1:23" ht="15" customHeight="1">
      <c r="B8" s="22" t="s">
        <v>80</v>
      </c>
      <c r="C8" s="23" t="s">
        <v>81</v>
      </c>
      <c r="D8" s="23" t="s">
        <v>292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88</v>
      </c>
      <c r="R8" s="24" t="s">
        <v>83</v>
      </c>
      <c r="S8" s="25" t="s">
        <v>87</v>
      </c>
      <c r="U8" s="12" t="s">
        <v>112</v>
      </c>
      <c r="V8" s="30" t="s">
        <v>113</v>
      </c>
    </row>
    <row r="9" spans="1:23">
      <c r="B9" s="13" t="s">
        <v>1</v>
      </c>
      <c r="C9" s="13" t="s">
        <v>90</v>
      </c>
      <c r="D9" s="13" t="str">
        <f t="shared" ref="D9:D40" si="0">_xlfn.CONCAT(B9,C9)</f>
        <v>lt002_instrumentUNIVERSO</v>
      </c>
      <c r="E9" s="14" t="s">
        <v>91</v>
      </c>
      <c r="F9" s="14" t="s">
        <v>91</v>
      </c>
      <c r="G9" s="14" t="s">
        <v>91</v>
      </c>
      <c r="H9" s="14" t="s">
        <v>73</v>
      </c>
      <c r="I9" s="15">
        <v>45782</v>
      </c>
      <c r="J9" s="16">
        <v>45782</v>
      </c>
      <c r="K9" s="19">
        <f>+IF(J9="","N/A",J9-I9)</f>
        <v>0</v>
      </c>
      <c r="M9" s="166">
        <f>SUMIFS('Detalhe Testes'!$H:$H,'Detalhe Testes'!$B:$B,'Detalhe Entregas e Status'!B9,'Detalhe Testes'!$C:$C,'Detalhe Entregas e Status'!C9)</f>
        <v>534004</v>
      </c>
      <c r="N9" s="19" t="s">
        <v>299</v>
      </c>
      <c r="O9" s="14" t="s">
        <v>282</v>
      </c>
      <c r="Q9" s="15">
        <v>45814</v>
      </c>
      <c r="R9" s="15">
        <v>45841</v>
      </c>
      <c r="S9" s="15"/>
      <c r="U9" s="29" t="s">
        <v>117</v>
      </c>
      <c r="V9" s="29" t="s">
        <v>118</v>
      </c>
    </row>
    <row r="10" spans="1:23">
      <c r="B10" s="18" t="s">
        <v>1</v>
      </c>
      <c r="C10" s="18" t="s">
        <v>2</v>
      </c>
      <c r="D10" s="198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>+IF(J10="","N/A",J10-I10)</f>
        <v>0</v>
      </c>
      <c r="M10" s="166">
        <f>SUMIFS('Detalhe Testes'!$H:$H,'Detalhe Testes'!$B:$B,'Detalhe Entregas e Status'!B10,'Detalhe Testes'!$C:$C,'Detalhe Entregas e Status'!C10)</f>
        <v>0</v>
      </c>
      <c r="N10" s="19" t="s">
        <v>282</v>
      </c>
      <c r="O10" s="14" t="s">
        <v>282</v>
      </c>
      <c r="Q10" s="20">
        <v>45803</v>
      </c>
      <c r="R10" s="228">
        <v>45841</v>
      </c>
      <c r="S10" s="20"/>
      <c r="U10" s="29" t="s">
        <v>117</v>
      </c>
      <c r="V10" s="29" t="s">
        <v>117</v>
      </c>
    </row>
    <row r="11" spans="1:23">
      <c r="B11" s="13" t="s">
        <v>1</v>
      </c>
      <c r="C11" s="1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ref="K11:K77" si="1">+IF(J11="","N/A",J11-I11)</f>
        <v>0</v>
      </c>
      <c r="M11" s="166">
        <f>SUMIFS('Detalhe Testes'!$H:$H,'Detalhe Testes'!$B:$B,'Detalhe Entregas e Status'!B11,'Detalhe Testes'!$C:$C,'Detalhe Entregas e Status'!C11)</f>
        <v>0</v>
      </c>
      <c r="N11" s="14"/>
      <c r="O11" s="14"/>
      <c r="Q11" s="15"/>
      <c r="R11" s="15"/>
      <c r="S11" s="15"/>
      <c r="U11" s="29" t="s">
        <v>118</v>
      </c>
      <c r="V11" s="29" t="s">
        <v>118</v>
      </c>
    </row>
    <row r="12" spans="1:23">
      <c r="B12" s="13" t="s">
        <v>1</v>
      </c>
      <c r="C12" s="1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>
        <f>SUMIFS('Detalhe Testes'!$H:$H,'Detalhe Testes'!$B:$B,'Detalhe Entregas e Status'!B12,'Detalhe Testes'!$C:$C,'Detalhe Entregas e Status'!C12)</f>
        <v>0</v>
      </c>
      <c r="N12" s="14" t="s">
        <v>282</v>
      </c>
      <c r="O12" s="14" t="s">
        <v>282</v>
      </c>
      <c r="Q12" s="195">
        <v>45803</v>
      </c>
      <c r="R12" s="228" t="s">
        <v>379</v>
      </c>
      <c r="S12" s="15"/>
      <c r="U12" s="29" t="s">
        <v>117</v>
      </c>
      <c r="V12" s="29" t="s">
        <v>117</v>
      </c>
    </row>
    <row r="13" spans="1:23">
      <c r="B13" s="13" t="s">
        <v>1</v>
      </c>
      <c r="C13" s="1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>
        <f>SUMIFS('Detalhe Testes'!$H:$H,'Detalhe Testes'!$B:$B,'Detalhe Entregas e Status'!B13,'Detalhe Testes'!$C:$C,'Detalhe Entregas e Status'!C13)</f>
        <v>0</v>
      </c>
      <c r="N13" s="14" t="s">
        <v>282</v>
      </c>
      <c r="O13" s="14" t="s">
        <v>282</v>
      </c>
      <c r="Q13" s="195">
        <v>45803</v>
      </c>
      <c r="R13" s="228" t="s">
        <v>379</v>
      </c>
      <c r="S13" s="15"/>
      <c r="U13" s="29" t="s">
        <v>117</v>
      </c>
      <c r="V13" s="29" t="s">
        <v>117</v>
      </c>
    </row>
    <row r="14" spans="1:23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>
        <f>SUMIFS('Detalhe Testes'!$H:$H,'Detalhe Testes'!$B:$B,'Detalhe Entregas e Status'!B14,'Detalhe Testes'!$C:$C,'Detalhe Entregas e Status'!C14)</f>
        <v>0</v>
      </c>
      <c r="N14" s="14" t="s">
        <v>282</v>
      </c>
      <c r="O14" s="14" t="s">
        <v>282</v>
      </c>
      <c r="Q14" s="20">
        <v>45803</v>
      </c>
      <c r="R14" s="228" t="s">
        <v>379</v>
      </c>
      <c r="S14" s="15"/>
      <c r="U14" s="29" t="s">
        <v>117</v>
      </c>
      <c r="V14" s="29" t="s">
        <v>117</v>
      </c>
    </row>
    <row r="15" spans="1:23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>
        <f>SUMIFS('Detalhe Testes'!$H:$H,'Detalhe Testes'!$B:$B,'Detalhe Entregas e Status'!B15,'Detalhe Testes'!$C:$C,'Detalhe Entregas e Status'!C15)</f>
        <v>0</v>
      </c>
      <c r="N15" s="14" t="s">
        <v>282</v>
      </c>
      <c r="O15" s="14" t="s">
        <v>282</v>
      </c>
      <c r="Q15" s="195">
        <v>45803</v>
      </c>
      <c r="R15" s="228">
        <v>45845</v>
      </c>
      <c r="S15" s="15"/>
      <c r="U15" s="29" t="s">
        <v>117</v>
      </c>
      <c r="V15" s="29" t="s">
        <v>117</v>
      </c>
    </row>
    <row r="16" spans="1:23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4">
        <v>45803</v>
      </c>
      <c r="K16" s="14">
        <f t="shared" si="1"/>
        <v>0</v>
      </c>
      <c r="M16" s="166">
        <f>SUMIFS('Detalhe Testes'!$H:$H,'Detalhe Testes'!$B:$B,'Detalhe Entregas e Status'!B16,'Detalhe Testes'!$C:$C,'Detalhe Entregas e Status'!C16)</f>
        <v>0</v>
      </c>
      <c r="N16" s="14"/>
      <c r="O16" s="14"/>
      <c r="Q16" s="15"/>
      <c r="R16" s="15"/>
      <c r="S16" s="15"/>
      <c r="U16" s="29" t="s">
        <v>118</v>
      </c>
      <c r="V16" s="29" t="s">
        <v>118</v>
      </c>
    </row>
    <row r="17" spans="2:22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>
        <f>SUMIFS('Detalhe Testes'!$H:$H,'Detalhe Testes'!$B:$B,'Detalhe Entregas e Status'!B17,'Detalhe Testes'!$C:$C,'Detalhe Entregas e Status'!C17)</f>
        <v>0</v>
      </c>
      <c r="N17" s="14"/>
      <c r="O17" s="14"/>
      <c r="Q17" s="15"/>
      <c r="R17" s="15"/>
      <c r="S17" s="15"/>
      <c r="U17" s="29" t="s">
        <v>125</v>
      </c>
      <c r="V17" s="29" t="s">
        <v>125</v>
      </c>
    </row>
    <row r="18" spans="2:22">
      <c r="B18" s="13" t="s">
        <v>1</v>
      </c>
      <c r="C18" s="1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>
        <f>SUMIFS('Detalhe Testes'!$H:$H,'Detalhe Testes'!$B:$B,'Detalhe Entregas e Status'!B18,'Detalhe Testes'!$C:$C,'Detalhe Entregas e Status'!C18)</f>
        <v>0</v>
      </c>
      <c r="N18" s="14" t="s">
        <v>282</v>
      </c>
      <c r="O18" s="14" t="s">
        <v>282</v>
      </c>
      <c r="Q18" s="195">
        <v>45803</v>
      </c>
      <c r="R18" s="228" t="s">
        <v>379</v>
      </c>
      <c r="S18" s="15"/>
      <c r="U18" s="29" t="s">
        <v>117</v>
      </c>
      <c r="V18" s="29" t="s">
        <v>117</v>
      </c>
    </row>
    <row r="19" spans="2:22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>
        <f>SUMIFS('Detalhe Testes'!$H:$H,'Detalhe Testes'!$B:$B,'Detalhe Entregas e Status'!B19,'Detalhe Testes'!$C:$C,'Detalhe Entregas e Status'!C19)</f>
        <v>0</v>
      </c>
      <c r="N19" s="14" t="s">
        <v>282</v>
      </c>
      <c r="O19" s="14" t="s">
        <v>282</v>
      </c>
      <c r="Q19" s="20">
        <v>45803</v>
      </c>
      <c r="R19" s="228" t="s">
        <v>379</v>
      </c>
      <c r="S19" s="15"/>
      <c r="U19" s="29" t="s">
        <v>117</v>
      </c>
      <c r="V19" s="29" t="s">
        <v>117</v>
      </c>
    </row>
    <row r="20" spans="2:22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>
        <f>SUMIFS('Detalhe Testes'!$H:$H,'Detalhe Testes'!$B:$B,'Detalhe Entregas e Status'!B20,'Detalhe Testes'!$C:$C,'Detalhe Entregas e Status'!C20)</f>
        <v>268230</v>
      </c>
      <c r="N20" s="14" t="s">
        <v>299</v>
      </c>
      <c r="O20" s="14" t="s">
        <v>282</v>
      </c>
      <c r="Q20" s="20">
        <v>45804</v>
      </c>
      <c r="R20" s="15">
        <v>45845</v>
      </c>
      <c r="S20" s="15"/>
      <c r="U20" s="29" t="s">
        <v>117</v>
      </c>
      <c r="V20" s="29" t="s">
        <v>117</v>
      </c>
    </row>
    <row r="21" spans="2:22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>
        <f>SUMIFS('Detalhe Testes'!$H:$H,'Detalhe Testes'!$B:$B,'Detalhe Entregas e Status'!B21,'Detalhe Testes'!$C:$C,'Detalhe Entregas e Status'!C21)</f>
        <v>0</v>
      </c>
      <c r="N21" s="14"/>
      <c r="O21" s="14"/>
      <c r="Q21" s="15"/>
      <c r="R21" s="15"/>
      <c r="S21" s="15"/>
      <c r="U21" s="29" t="s">
        <v>115</v>
      </c>
      <c r="V21" s="29" t="s">
        <v>115</v>
      </c>
    </row>
    <row r="22" spans="2:22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>
        <f>SUMIFS('Detalhe Testes'!$H:$H,'Detalhe Testes'!$B:$B,'Detalhe Entregas e Status'!B22,'Detalhe Testes'!$C:$C,'Detalhe Entregas e Status'!C22)</f>
        <v>0</v>
      </c>
      <c r="N22" s="14"/>
      <c r="O22" s="14"/>
      <c r="Q22" s="15"/>
      <c r="R22" s="15"/>
      <c r="S22" s="15"/>
      <c r="U22" s="29" t="s">
        <v>115</v>
      </c>
      <c r="V22" s="29" t="s">
        <v>115</v>
      </c>
    </row>
    <row r="23" spans="2:22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>
        <f>SUMIFS('Detalhe Testes'!$H:$H,'Detalhe Testes'!$B:$B,'Detalhe Entregas e Status'!B23,'Detalhe Testes'!$C:$C,'Detalhe Entregas e Status'!C23)</f>
        <v>0</v>
      </c>
      <c r="N23" s="14"/>
      <c r="O23" s="14"/>
      <c r="Q23" s="15"/>
      <c r="R23" s="15"/>
      <c r="S23" s="15"/>
      <c r="U23" s="29" t="s">
        <v>115</v>
      </c>
      <c r="V23" s="29" t="s">
        <v>115</v>
      </c>
    </row>
    <row r="24" spans="2:22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>
        <f>SUMIFS('Detalhe Testes'!$H:$H,'Detalhe Testes'!$B:$B,'Detalhe Entregas e Status'!B24,'Detalhe Testes'!$C:$C,'Detalhe Entregas e Status'!C24)</f>
        <v>0</v>
      </c>
      <c r="N24" s="14" t="s">
        <v>282</v>
      </c>
      <c r="O24" s="14" t="s">
        <v>282</v>
      </c>
      <c r="Q24" s="195">
        <v>45803</v>
      </c>
      <c r="R24" s="228">
        <v>45841</v>
      </c>
      <c r="S24" s="15"/>
      <c r="U24" s="29" t="s">
        <v>117</v>
      </c>
      <c r="V24" s="29" t="s">
        <v>117</v>
      </c>
    </row>
    <row r="25" spans="2:22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>
        <f>SUMIFS('Detalhe Testes'!$H:$H,'Detalhe Testes'!$B:$B,'Detalhe Entregas e Status'!B25,'Detalhe Testes'!$C:$C,'Detalhe Entregas e Status'!C25)</f>
        <v>0</v>
      </c>
      <c r="N25" s="14"/>
      <c r="O25" s="14"/>
      <c r="Q25" s="15"/>
      <c r="R25" s="15"/>
      <c r="S25" s="15"/>
      <c r="U25" s="29" t="s">
        <v>115</v>
      </c>
      <c r="V25" s="29" t="s">
        <v>115</v>
      </c>
    </row>
    <row r="26" spans="2:22">
      <c r="B26" s="13" t="s">
        <v>1</v>
      </c>
      <c r="C26" s="13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>
        <f>SUMIFS('Detalhe Testes'!$H:$H,'Detalhe Testes'!$B:$B,'Detalhe Entregas e Status'!B26,'Detalhe Testes'!$C:$C,'Detalhe Entregas e Status'!C26)</f>
        <v>0</v>
      </c>
      <c r="N26" s="14" t="s">
        <v>282</v>
      </c>
      <c r="O26" s="14" t="s">
        <v>282</v>
      </c>
      <c r="Q26" s="195">
        <v>45803</v>
      </c>
      <c r="R26" s="228" t="s">
        <v>379</v>
      </c>
      <c r="S26" s="15"/>
      <c r="U26" s="29" t="s">
        <v>117</v>
      </c>
      <c r="V26" s="29" t="s">
        <v>117</v>
      </c>
    </row>
    <row r="27" spans="2:22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>
        <f>SUMIFS('Detalhe Testes'!$H:$H,'Detalhe Testes'!$B:$B,'Detalhe Entregas e Status'!B27,'Detalhe Testes'!$C:$C,'Detalhe Entregas e Status'!C27)</f>
        <v>0</v>
      </c>
      <c r="N27" s="14" t="s">
        <v>282</v>
      </c>
      <c r="O27" s="14" t="s">
        <v>282</v>
      </c>
      <c r="Q27" s="195">
        <v>45803</v>
      </c>
      <c r="R27" s="228" t="s">
        <v>379</v>
      </c>
      <c r="S27" s="15"/>
      <c r="U27" s="29" t="s">
        <v>117</v>
      </c>
      <c r="V27" s="29" t="s">
        <v>117</v>
      </c>
    </row>
    <row r="28" spans="2:22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>
        <f>SUMIFS('Detalhe Testes'!$H:$H,'Detalhe Testes'!$B:$B,'Detalhe Entregas e Status'!B28,'Detalhe Testes'!$C:$C,'Detalhe Entregas e Status'!C28)</f>
        <v>0</v>
      </c>
      <c r="N28" s="14"/>
      <c r="O28" s="14"/>
      <c r="Q28" s="15"/>
      <c r="R28" s="15"/>
      <c r="S28" s="15"/>
      <c r="U28" s="29" t="s">
        <v>125</v>
      </c>
      <c r="V28" s="29" t="s">
        <v>125</v>
      </c>
    </row>
    <row r="29" spans="2:22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>
        <f>SUMIFS('Detalhe Testes'!$H:$H,'Detalhe Testes'!$B:$B,'Detalhe Entregas e Status'!B29,'Detalhe Testes'!$C:$C,'Detalhe Entregas e Status'!C29)</f>
        <v>0</v>
      </c>
      <c r="N29" s="14" t="s">
        <v>282</v>
      </c>
      <c r="O29" s="14" t="s">
        <v>282</v>
      </c>
      <c r="Q29" s="195">
        <v>45803</v>
      </c>
      <c r="R29" s="228" t="s">
        <v>379</v>
      </c>
      <c r="S29" s="15"/>
      <c r="U29" s="29" t="s">
        <v>117</v>
      </c>
      <c r="V29" s="29" t="s">
        <v>117</v>
      </c>
    </row>
    <row r="30" spans="2:22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4">
        <v>45803</v>
      </c>
      <c r="K30" s="14">
        <f t="shared" si="1"/>
        <v>0</v>
      </c>
      <c r="M30" s="166">
        <f>SUMIFS('Detalhe Testes'!$H:$H,'Detalhe Testes'!$B:$B,'Detalhe Entregas e Status'!B30,'Detalhe Testes'!$C:$C,'Detalhe Entregas e Status'!C30)</f>
        <v>0</v>
      </c>
      <c r="N30" s="14" t="s">
        <v>282</v>
      </c>
      <c r="O30" s="14" t="s">
        <v>282</v>
      </c>
      <c r="Q30" s="195">
        <v>45803</v>
      </c>
      <c r="R30" s="228">
        <v>45845</v>
      </c>
      <c r="S30" s="15"/>
      <c r="U30" s="29" t="s">
        <v>117</v>
      </c>
      <c r="V30" s="29" t="s">
        <v>117</v>
      </c>
    </row>
    <row r="31" spans="2:22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>
        <f>SUMIFS('Detalhe Testes'!$H:$H,'Detalhe Testes'!$B:$B,'Detalhe Entregas e Status'!B31,'Detalhe Testes'!$C:$C,'Detalhe Entregas e Status'!C31)</f>
        <v>0</v>
      </c>
      <c r="N31" s="14"/>
      <c r="O31" s="14"/>
      <c r="Q31" s="15"/>
      <c r="R31" s="15"/>
      <c r="S31" s="15"/>
      <c r="U31" s="29" t="s">
        <v>115</v>
      </c>
      <c r="V31" s="29" t="s">
        <v>115</v>
      </c>
    </row>
    <row r="32" spans="2:22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>
        <f>SUMIFS('Detalhe Testes'!$H:$H,'Detalhe Testes'!$B:$B,'Detalhe Entregas e Status'!B32,'Detalhe Testes'!$C:$C,'Detalhe Entregas e Status'!C32)</f>
        <v>0</v>
      </c>
      <c r="N32" s="14"/>
      <c r="O32" s="14"/>
      <c r="Q32" s="15"/>
      <c r="R32" s="15"/>
      <c r="S32" s="15"/>
      <c r="U32" s="29" t="s">
        <v>115</v>
      </c>
      <c r="V32" s="29" t="s">
        <v>115</v>
      </c>
    </row>
    <row r="33" spans="2:22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>
        <f>SUMIFS('Detalhe Testes'!$H:$H,'Detalhe Testes'!$B:$B,'Detalhe Entregas e Status'!B33,'Detalhe Testes'!$C:$C,'Detalhe Entregas e Status'!C33)</f>
        <v>0</v>
      </c>
      <c r="N33" s="14"/>
      <c r="O33" s="14"/>
      <c r="Q33" s="15"/>
      <c r="R33" s="15"/>
      <c r="S33" s="15"/>
      <c r="U33" s="29" t="s">
        <v>115</v>
      </c>
      <c r="V33" s="29" t="s">
        <v>115</v>
      </c>
    </row>
    <row r="34" spans="2:22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>
        <f>SUMIFS('Detalhe Testes'!$H:$H,'Detalhe Testes'!$B:$B,'Detalhe Entregas e Status'!B34,'Detalhe Testes'!$C:$C,'Detalhe Entregas e Status'!C34)</f>
        <v>0</v>
      </c>
      <c r="N34" s="14"/>
      <c r="O34" s="14"/>
      <c r="Q34" s="15"/>
      <c r="R34" s="15"/>
      <c r="S34" s="15"/>
      <c r="U34" s="29" t="s">
        <v>115</v>
      </c>
      <c r="V34" s="29" t="s">
        <v>115</v>
      </c>
    </row>
    <row r="35" spans="2:22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>
        <f>SUMIFS('Detalhe Testes'!$H:$H,'Detalhe Testes'!$B:$B,'Detalhe Entregas e Status'!B35,'Detalhe Testes'!$C:$C,'Detalhe Entregas e Status'!C35)</f>
        <v>0</v>
      </c>
      <c r="N35" s="14"/>
      <c r="O35" s="14"/>
      <c r="Q35" s="15"/>
      <c r="R35" s="15"/>
      <c r="S35" s="15"/>
      <c r="U35" s="29" t="s">
        <v>115</v>
      </c>
      <c r="V35" s="29" t="s">
        <v>115</v>
      </c>
    </row>
    <row r="36" spans="2:22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>
        <f>SUMIFS('Detalhe Testes'!$H:$H,'Detalhe Testes'!$B:$B,'Detalhe Entregas e Status'!B36,'Detalhe Testes'!$C:$C,'Detalhe Entregas e Status'!C36)</f>
        <v>0</v>
      </c>
      <c r="N36" s="14" t="s">
        <v>299</v>
      </c>
      <c r="O36" s="14" t="s">
        <v>282</v>
      </c>
      <c r="Q36" s="15"/>
      <c r="R36" s="15"/>
      <c r="S36" s="15"/>
      <c r="U36" s="29" t="s">
        <v>118</v>
      </c>
      <c r="V36" s="29" t="s">
        <v>115</v>
      </c>
    </row>
    <row r="37" spans="2:22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>
        <f>SUMIFS('Detalhe Testes'!$H:$H,'Detalhe Testes'!$B:$B,'Detalhe Entregas e Status'!B37,'Detalhe Testes'!$C:$C,'Detalhe Entregas e Status'!C37)</f>
        <v>0</v>
      </c>
      <c r="N37" s="14"/>
      <c r="O37" s="14"/>
      <c r="Q37" s="15"/>
      <c r="R37" s="15"/>
      <c r="S37" s="15"/>
      <c r="U37" s="29" t="s">
        <v>115</v>
      </c>
      <c r="V37" s="29" t="s">
        <v>115</v>
      </c>
    </row>
    <row r="38" spans="2:22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>
        <f>SUMIFS('Detalhe Testes'!$H:$H,'Detalhe Testes'!$B:$B,'Detalhe Entregas e Status'!B38,'Detalhe Testes'!$C:$C,'Detalhe Entregas e Status'!C38)</f>
        <v>0</v>
      </c>
      <c r="N38" s="14"/>
      <c r="O38" s="14"/>
      <c r="Q38" s="15"/>
      <c r="R38" s="15"/>
      <c r="S38" s="15"/>
      <c r="U38" s="29" t="s">
        <v>115</v>
      </c>
      <c r="V38" s="29" t="s">
        <v>115</v>
      </c>
    </row>
    <row r="39" spans="2:22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4">
        <v>45803</v>
      </c>
      <c r="K39" s="14">
        <f t="shared" si="1"/>
        <v>0</v>
      </c>
      <c r="M39" s="166">
        <f>SUMIFS('Detalhe Testes'!$H:$H,'Detalhe Testes'!$B:$B,'Detalhe Entregas e Status'!B39,'Detalhe Testes'!$C:$C,'Detalhe Entregas e Status'!C39)</f>
        <v>0</v>
      </c>
      <c r="N39" s="14" t="s">
        <v>299</v>
      </c>
      <c r="O39" s="14" t="s">
        <v>282</v>
      </c>
      <c r="Q39" s="15">
        <v>45814</v>
      </c>
      <c r="R39" s="15">
        <v>45841</v>
      </c>
      <c r="S39" s="15"/>
      <c r="U39" s="29" t="s">
        <v>117</v>
      </c>
      <c r="V39" s="29" t="s">
        <v>117</v>
      </c>
    </row>
    <row r="40" spans="2:22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>
        <f>SUMIFS('Detalhe Testes'!$H:$H,'Detalhe Testes'!$B:$B,'Detalhe Entregas e Status'!B40,'Detalhe Testes'!$C:$C,'Detalhe Entregas e Status'!C40)</f>
        <v>0</v>
      </c>
      <c r="N40" s="14" t="s">
        <v>299</v>
      </c>
      <c r="O40" s="14" t="s">
        <v>282</v>
      </c>
      <c r="Q40" s="15">
        <v>45814</v>
      </c>
      <c r="R40" s="15">
        <v>45841</v>
      </c>
      <c r="S40" s="15"/>
      <c r="U40" s="29" t="s">
        <v>117</v>
      </c>
      <c r="V40" s="29" t="s">
        <v>117</v>
      </c>
    </row>
    <row r="41" spans="2:22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si="1"/>
        <v>0</v>
      </c>
      <c r="M41" s="166">
        <f>SUMIFS('Detalhe Testes'!$H:$H,'Detalhe Testes'!$B:$B,'Detalhe Entregas e Status'!B41,'Detalhe Testes'!$C:$C,'Detalhe Entregas e Status'!C41)</f>
        <v>0</v>
      </c>
      <c r="N41" s="14"/>
      <c r="O41" s="14"/>
      <c r="Q41" s="15"/>
      <c r="R41" s="15"/>
      <c r="S41" s="15"/>
      <c r="U41" s="29" t="s">
        <v>125</v>
      </c>
      <c r="V41" s="29" t="s">
        <v>125</v>
      </c>
    </row>
    <row r="42" spans="2:22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4">
        <v>45803</v>
      </c>
      <c r="K42" s="14">
        <f t="shared" si="1"/>
        <v>0</v>
      </c>
      <c r="M42" s="166">
        <f>SUMIFS('Detalhe Testes'!$H:$H,'Detalhe Testes'!$B:$B,'Detalhe Entregas e Status'!B42,'Detalhe Testes'!$C:$C,'Detalhe Entregas e Status'!C42)</f>
        <v>0</v>
      </c>
      <c r="N42" s="14"/>
      <c r="O42" s="14"/>
      <c r="Q42" s="15"/>
      <c r="R42" s="15"/>
      <c r="S42" s="15"/>
      <c r="U42" s="29" t="s">
        <v>115</v>
      </c>
      <c r="V42" s="29" t="s">
        <v>118</v>
      </c>
    </row>
    <row r="43" spans="2:22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4">
        <v>45803</v>
      </c>
      <c r="K43" s="14">
        <f t="shared" si="1"/>
        <v>0</v>
      </c>
      <c r="M43" s="166">
        <f>SUMIFS('Detalhe Testes'!$H:$H,'Detalhe Testes'!$B:$B,'Detalhe Entregas e Status'!B43,'Detalhe Testes'!$C:$C,'Detalhe Entregas e Status'!C43)</f>
        <v>0</v>
      </c>
      <c r="N43" s="14"/>
      <c r="O43" s="14"/>
      <c r="Q43" s="15"/>
      <c r="R43" s="15"/>
      <c r="S43" s="15"/>
      <c r="U43" s="29" t="s">
        <v>125</v>
      </c>
      <c r="V43" s="29" t="s">
        <v>125</v>
      </c>
    </row>
    <row r="44" spans="2:22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1"/>
        <v>0</v>
      </c>
      <c r="M44" s="166">
        <f>SUMIFS('Detalhe Testes'!$H:$H,'Detalhe Testes'!$B:$B,'Detalhe Entregas e Status'!B44,'Detalhe Testes'!$C:$C,'Detalhe Entregas e Status'!C44)</f>
        <v>0</v>
      </c>
      <c r="N44" s="14"/>
      <c r="O44" s="14"/>
      <c r="Q44" s="15"/>
      <c r="R44" s="15"/>
      <c r="S44" s="15"/>
      <c r="U44" s="29" t="s">
        <v>115</v>
      </c>
      <c r="V44" s="29" t="s">
        <v>115</v>
      </c>
    </row>
    <row r="45" spans="2:22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4">
        <v>45803</v>
      </c>
      <c r="K45" s="14">
        <f t="shared" si="1"/>
        <v>0</v>
      </c>
      <c r="M45" s="166">
        <f>SUMIFS('Detalhe Testes'!$H:$H,'Detalhe Testes'!$B:$B,'Detalhe Entregas e Status'!B45,'Detalhe Testes'!$C:$C,'Detalhe Entregas e Status'!C45)</f>
        <v>0</v>
      </c>
      <c r="N45" s="14"/>
      <c r="O45" s="14"/>
      <c r="Q45" s="15"/>
      <c r="R45" s="15"/>
      <c r="S45" s="15"/>
      <c r="U45" s="29" t="s">
        <v>125</v>
      </c>
      <c r="V45" s="29" t="s">
        <v>125</v>
      </c>
    </row>
    <row r="46" spans="2:22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4">
        <v>45803</v>
      </c>
      <c r="K46" s="14">
        <f t="shared" si="1"/>
        <v>0</v>
      </c>
      <c r="M46" s="166">
        <f>SUMIFS('Detalhe Testes'!$H:$H,'Detalhe Testes'!$B:$B,'Detalhe Entregas e Status'!B46,'Detalhe Testes'!$C:$C,'Detalhe Entregas e Status'!C46)</f>
        <v>0</v>
      </c>
      <c r="N46" s="14" t="s">
        <v>299</v>
      </c>
      <c r="O46" s="14" t="s">
        <v>282</v>
      </c>
      <c r="Q46" s="15">
        <v>45814</v>
      </c>
      <c r="R46" s="15">
        <v>45841</v>
      </c>
      <c r="S46" s="15"/>
      <c r="U46" s="29" t="s">
        <v>117</v>
      </c>
      <c r="V46" s="29" t="s">
        <v>117</v>
      </c>
    </row>
    <row r="47" spans="2:22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4">
        <v>45803</v>
      </c>
      <c r="K47" s="14">
        <f t="shared" si="1"/>
        <v>0</v>
      </c>
      <c r="M47" s="166">
        <f>SUMIFS('Detalhe Testes'!$H:$H,'Detalhe Testes'!$B:$B,'Detalhe Entregas e Status'!B47,'Detalhe Testes'!$C:$C,'Detalhe Entregas e Status'!C47)</f>
        <v>0</v>
      </c>
      <c r="N47" s="14" t="s">
        <v>299</v>
      </c>
      <c r="O47" s="14" t="s">
        <v>282</v>
      </c>
      <c r="Q47" s="15">
        <v>45814</v>
      </c>
      <c r="R47" s="15">
        <v>45841</v>
      </c>
      <c r="S47" s="15"/>
      <c r="U47" s="29" t="s">
        <v>117</v>
      </c>
      <c r="V47" s="29" t="s">
        <v>117</v>
      </c>
    </row>
    <row r="48" spans="2:22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4">
        <v>45803</v>
      </c>
      <c r="K48" s="14">
        <f t="shared" si="1"/>
        <v>0</v>
      </c>
      <c r="M48" s="166">
        <f>SUMIFS('Detalhe Testes'!$H:$H,'Detalhe Testes'!$B:$B,'Detalhe Entregas e Status'!B48,'Detalhe Testes'!$C:$C,'Detalhe Entregas e Status'!C48)</f>
        <v>0</v>
      </c>
      <c r="N48" s="14"/>
      <c r="O48" s="14"/>
      <c r="Q48" s="15"/>
      <c r="R48" s="15"/>
      <c r="S48" s="15"/>
      <c r="U48" s="29" t="s">
        <v>125</v>
      </c>
      <c r="V48" s="29" t="s">
        <v>125</v>
      </c>
    </row>
    <row r="49" spans="2:22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4">
        <v>45803</v>
      </c>
      <c r="K49" s="14">
        <f t="shared" si="1"/>
        <v>0</v>
      </c>
      <c r="M49" s="166">
        <f>SUMIFS('Detalhe Testes'!$H:$H,'Detalhe Testes'!$B:$B,'Detalhe Entregas e Status'!B49,'Detalhe Testes'!$C:$C,'Detalhe Entregas e Status'!C49)</f>
        <v>0</v>
      </c>
      <c r="N49" s="14" t="s">
        <v>299</v>
      </c>
      <c r="O49" s="14" t="s">
        <v>282</v>
      </c>
      <c r="Q49" s="15">
        <v>45814</v>
      </c>
      <c r="R49" s="15">
        <v>45841</v>
      </c>
      <c r="S49" s="15"/>
      <c r="U49" s="29" t="s">
        <v>117</v>
      </c>
      <c r="V49" s="29" t="s">
        <v>117</v>
      </c>
    </row>
    <row r="50" spans="2:22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1"/>
        <v>0</v>
      </c>
      <c r="M50" s="166">
        <f>SUMIFS('Detalhe Testes'!$H:$H,'Detalhe Testes'!$B:$B,'Detalhe Entregas e Status'!B50,'Detalhe Testes'!$C:$C,'Detalhe Entregas e Status'!C50)</f>
        <v>0</v>
      </c>
      <c r="N50" s="14" t="s">
        <v>299</v>
      </c>
      <c r="O50" s="14" t="s">
        <v>282</v>
      </c>
      <c r="Q50" s="15">
        <v>45814</v>
      </c>
      <c r="R50" s="15">
        <v>45841</v>
      </c>
      <c r="S50" s="15"/>
      <c r="U50" s="29" t="s">
        <v>117</v>
      </c>
      <c r="V50" s="29" t="s">
        <v>117</v>
      </c>
    </row>
    <row r="51" spans="2:22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1"/>
        <v>0</v>
      </c>
      <c r="M51" s="166">
        <f>SUMIFS('Detalhe Testes'!$H:$H,'Detalhe Testes'!$B:$B,'Detalhe Entregas e Status'!B51,'Detalhe Testes'!$C:$C,'Detalhe Entregas e Status'!C51)</f>
        <v>0</v>
      </c>
      <c r="N51" s="14"/>
      <c r="O51" s="14"/>
      <c r="Q51" s="15"/>
      <c r="R51" s="15"/>
      <c r="S51" s="15"/>
      <c r="U51" s="29" t="s">
        <v>125</v>
      </c>
      <c r="V51" s="29" t="s">
        <v>125</v>
      </c>
    </row>
    <row r="52" spans="2:22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1"/>
        <v>0</v>
      </c>
      <c r="M52" s="166">
        <f>SUMIFS('Detalhe Testes'!$H:$H,'Detalhe Testes'!$B:$B,'Detalhe Entregas e Status'!B52,'Detalhe Testes'!$C:$C,'Detalhe Entregas e Status'!C52)</f>
        <v>0</v>
      </c>
      <c r="N52" s="14" t="s">
        <v>299</v>
      </c>
      <c r="O52" s="14" t="s">
        <v>282</v>
      </c>
      <c r="Q52" s="15">
        <v>45814</v>
      </c>
      <c r="R52" s="15">
        <v>45841</v>
      </c>
      <c r="S52" s="15"/>
      <c r="U52" s="29" t="s">
        <v>117</v>
      </c>
      <c r="V52" s="29" t="s">
        <v>117</v>
      </c>
    </row>
    <row r="53" spans="2:22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4">
        <v>45803</v>
      </c>
      <c r="K53" s="14">
        <f t="shared" si="1"/>
        <v>0</v>
      </c>
      <c r="M53" s="166">
        <f>SUMIFS('Detalhe Testes'!$H:$H,'Detalhe Testes'!$B:$B,'Detalhe Entregas e Status'!B53,'Detalhe Testes'!$C:$C,'Detalhe Entregas e Status'!C53)</f>
        <v>0</v>
      </c>
      <c r="N53" s="14" t="s">
        <v>299</v>
      </c>
      <c r="O53" s="14" t="s">
        <v>282</v>
      </c>
      <c r="Q53" s="15">
        <v>45814</v>
      </c>
      <c r="R53" s="15">
        <v>45841</v>
      </c>
      <c r="S53" s="15"/>
      <c r="U53" s="29" t="s">
        <v>117</v>
      </c>
      <c r="V53" s="29" t="s">
        <v>117</v>
      </c>
    </row>
    <row r="54" spans="2:22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1"/>
        <v>0</v>
      </c>
      <c r="M54" s="166">
        <f>SUMIFS('Detalhe Testes'!$H:$H,'Detalhe Testes'!$B:$B,'Detalhe Entregas e Status'!B54,'Detalhe Testes'!$C:$C,'Detalhe Entregas e Status'!C54)</f>
        <v>0</v>
      </c>
      <c r="N54" s="14" t="s">
        <v>299</v>
      </c>
      <c r="O54" s="14" t="s">
        <v>282</v>
      </c>
      <c r="Q54" s="15">
        <v>45814</v>
      </c>
      <c r="R54" s="15">
        <v>45841</v>
      </c>
      <c r="S54" s="15"/>
      <c r="U54" s="29" t="s">
        <v>117</v>
      </c>
      <c r="V54" s="29" t="s">
        <v>117</v>
      </c>
    </row>
    <row r="55" spans="2:22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1"/>
        <v>0</v>
      </c>
      <c r="M55" s="166">
        <f>SUMIFS('Detalhe Testes'!$H:$H,'Detalhe Testes'!$B:$B,'Detalhe Entregas e Status'!B55,'Detalhe Testes'!$C:$C,'Detalhe Entregas e Status'!C55)</f>
        <v>0</v>
      </c>
      <c r="N55" s="14" t="s">
        <v>299</v>
      </c>
      <c r="O55" s="14" t="s">
        <v>282</v>
      </c>
      <c r="Q55" s="15">
        <v>45814</v>
      </c>
      <c r="R55" s="15">
        <v>45841</v>
      </c>
      <c r="S55" s="15"/>
      <c r="U55" s="29" t="s">
        <v>117</v>
      </c>
      <c r="V55" s="29" t="s">
        <v>117</v>
      </c>
    </row>
    <row r="56" spans="2:22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1"/>
        <v>0</v>
      </c>
      <c r="M56" s="166">
        <f>SUMIFS('Detalhe Testes'!$H:$H,'Detalhe Testes'!$B:$B,'Detalhe Entregas e Status'!B56,'Detalhe Testes'!$C:$C,'Detalhe Entregas e Status'!C56)</f>
        <v>0</v>
      </c>
      <c r="N56" s="14"/>
      <c r="O56" s="14"/>
      <c r="Q56" s="15"/>
      <c r="R56" s="15"/>
      <c r="S56" s="15"/>
      <c r="U56" s="29" t="s">
        <v>125</v>
      </c>
      <c r="V56" s="29" t="s">
        <v>125</v>
      </c>
    </row>
    <row r="57" spans="2:22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4">
        <v>45803</v>
      </c>
      <c r="K57" s="14">
        <f t="shared" si="1"/>
        <v>0</v>
      </c>
      <c r="M57" s="166">
        <f>SUMIFS('Detalhe Testes'!$H:$H,'Detalhe Testes'!$B:$B,'Detalhe Entregas e Status'!B57,'Detalhe Testes'!$C:$C,'Detalhe Entregas e Status'!C57)</f>
        <v>0</v>
      </c>
      <c r="N57" s="14"/>
      <c r="O57" s="14"/>
      <c r="Q57" s="15"/>
      <c r="R57" s="15"/>
      <c r="S57" s="15"/>
      <c r="U57" s="29" t="s">
        <v>115</v>
      </c>
      <c r="V57" s="29" t="s">
        <v>115</v>
      </c>
    </row>
    <row r="58" spans="2:22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1"/>
        <v>0</v>
      </c>
      <c r="M58" s="166">
        <f>SUMIFS('Detalhe Testes'!$H:$H,'Detalhe Testes'!$B:$B,'Detalhe Entregas e Status'!B58,'Detalhe Testes'!$C:$C,'Detalhe Entregas e Status'!C58)</f>
        <v>0</v>
      </c>
      <c r="N58" s="14"/>
      <c r="O58" s="14"/>
      <c r="Q58" s="15"/>
      <c r="R58" s="15"/>
      <c r="S58" s="15"/>
      <c r="U58" s="29" t="s">
        <v>125</v>
      </c>
      <c r="V58" s="29" t="s">
        <v>125</v>
      </c>
    </row>
    <row r="59" spans="2:22"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1"/>
        <v>0</v>
      </c>
      <c r="M59" s="166">
        <f>SUMIFS('Detalhe Testes'!$H:$H,'Detalhe Testes'!$B:$B,'Detalhe Entregas e Status'!B59,'Detalhe Testes'!$C:$C,'Detalhe Entregas e Status'!C59)</f>
        <v>0</v>
      </c>
      <c r="N59" s="14" t="s">
        <v>282</v>
      </c>
      <c r="O59" s="14" t="s">
        <v>282</v>
      </c>
      <c r="Q59" s="195">
        <v>45803</v>
      </c>
      <c r="R59" s="228" t="s">
        <v>379</v>
      </c>
      <c r="S59" s="15"/>
      <c r="U59" s="29" t="s">
        <v>117</v>
      </c>
      <c r="V59" s="29" t="s">
        <v>117</v>
      </c>
    </row>
    <row r="60" spans="2:22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1"/>
        <v>0</v>
      </c>
      <c r="M60" s="166">
        <f>SUMIFS('Detalhe Testes'!$H:$H,'Detalhe Testes'!$B:$B,'Detalhe Entregas e Status'!B60,'Detalhe Testes'!$C:$C,'Detalhe Entregas e Status'!C60)</f>
        <v>0</v>
      </c>
      <c r="N60" s="14" t="s">
        <v>299</v>
      </c>
      <c r="O60" s="14" t="s">
        <v>282</v>
      </c>
      <c r="Q60" s="15"/>
      <c r="R60" s="15"/>
      <c r="S60" s="15"/>
      <c r="U60" s="29" t="s">
        <v>115</v>
      </c>
      <c r="V60" s="29" t="s">
        <v>115</v>
      </c>
    </row>
    <row r="61" spans="2:22">
      <c r="B61" s="13" t="s">
        <v>55</v>
      </c>
      <c r="C61" s="13" t="s">
        <v>90</v>
      </c>
      <c r="D61" s="13" t="str">
        <f t="shared" si="2"/>
        <v>lt004_protectionUNIVERSO</v>
      </c>
      <c r="E61" s="14" t="s">
        <v>91</v>
      </c>
      <c r="F61" s="14" t="s">
        <v>91</v>
      </c>
      <c r="G61" s="14" t="s">
        <v>91</v>
      </c>
      <c r="H61" s="14" t="s">
        <v>75</v>
      </c>
      <c r="I61" s="15">
        <v>45789</v>
      </c>
      <c r="J61" s="16">
        <v>45789</v>
      </c>
      <c r="K61" s="14">
        <f t="shared" si="1"/>
        <v>0</v>
      </c>
      <c r="M61" s="166">
        <f>SUMIFS('Detalhe Testes'!$H:$H,'Detalhe Testes'!$B:$B,'Detalhe Entregas e Status'!B61,'Detalhe Testes'!$C:$C,'Detalhe Entregas e Status'!C61)</f>
        <v>0</v>
      </c>
      <c r="N61" s="14"/>
      <c r="O61" s="14"/>
      <c r="Q61" s="15"/>
      <c r="R61" s="15"/>
      <c r="S61" s="15"/>
      <c r="U61" s="29" t="s">
        <v>115</v>
      </c>
      <c r="V61" s="29" t="s">
        <v>115</v>
      </c>
    </row>
    <row r="62" spans="2:22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1"/>
        <v>0</v>
      </c>
      <c r="M62" s="166">
        <f>SUMIFS('Detalhe Testes'!$H:$H,'Detalhe Testes'!$B:$B,'Detalhe Entregas e Status'!B62,'Detalhe Testes'!$C:$C,'Detalhe Entregas e Status'!C62)</f>
        <v>0</v>
      </c>
      <c r="N62" s="14"/>
      <c r="O62" s="14"/>
      <c r="Q62" s="15"/>
      <c r="R62" s="15"/>
      <c r="S62" s="15"/>
      <c r="U62" s="29" t="s">
        <v>115</v>
      </c>
      <c r="V62" s="29" t="s">
        <v>115</v>
      </c>
    </row>
    <row r="63" spans="2:22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3">
        <v>45803</v>
      </c>
      <c r="K63" s="14">
        <f t="shared" si="1"/>
        <v>0</v>
      </c>
      <c r="M63" s="166">
        <f>SUMIFS('Detalhe Testes'!$H:$H,'Detalhe Testes'!$B:$B,'Detalhe Entregas e Status'!B63,'Detalhe Testes'!$C:$C,'Detalhe Entregas e Status'!C63)</f>
        <v>0</v>
      </c>
      <c r="N63" s="14"/>
      <c r="O63" s="14"/>
      <c r="Q63" s="15"/>
      <c r="R63" s="15"/>
      <c r="S63" s="15"/>
      <c r="U63" s="29" t="s">
        <v>115</v>
      </c>
      <c r="V63" s="29" t="s">
        <v>115</v>
      </c>
    </row>
    <row r="64" spans="2:22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3">
        <v>45803</v>
      </c>
      <c r="K64" s="14">
        <f t="shared" si="1"/>
        <v>0</v>
      </c>
      <c r="M64" s="166">
        <f>SUMIFS('Detalhe Testes'!$H:$H,'Detalhe Testes'!$B:$B,'Detalhe Entregas e Status'!B64,'Detalhe Testes'!$C:$C,'Detalhe Entregas e Status'!C64)</f>
        <v>0</v>
      </c>
      <c r="N64" s="14"/>
      <c r="O64" s="14"/>
      <c r="Q64" s="15"/>
      <c r="R64" s="15"/>
      <c r="S64" s="15"/>
      <c r="U64" s="29" t="s">
        <v>115</v>
      </c>
      <c r="V64" s="29" t="s">
        <v>115</v>
      </c>
    </row>
    <row r="65" spans="2:22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3">
        <v>45803</v>
      </c>
      <c r="K65" s="14">
        <f t="shared" si="1"/>
        <v>0</v>
      </c>
      <c r="M65" s="166">
        <f>SUMIFS('Detalhe Testes'!$H:$H,'Detalhe Testes'!$B:$B,'Detalhe Entregas e Status'!B65,'Detalhe Testes'!$C:$C,'Detalhe Entregas e Status'!C65)</f>
        <v>0</v>
      </c>
      <c r="N65" s="14"/>
      <c r="O65" s="14"/>
      <c r="Q65" s="15"/>
      <c r="R65" s="15"/>
      <c r="S65" s="15"/>
      <c r="U65" s="29" t="s">
        <v>115</v>
      </c>
      <c r="V65" s="29" t="s">
        <v>115</v>
      </c>
    </row>
    <row r="66" spans="2:22">
      <c r="B66" s="13" t="s">
        <v>55</v>
      </c>
      <c r="C66" s="227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3">
        <v>45803</v>
      </c>
      <c r="K66" s="14">
        <f t="shared" si="1"/>
        <v>0</v>
      </c>
      <c r="M66" s="166">
        <f>SUMIFS('Detalhe Testes'!$H:$H,'Detalhe Testes'!$B:$B,'Detalhe Entregas e Status'!B66,'Detalhe Testes'!$C:$C,'Detalhe Entregas e Status'!C66)</f>
        <v>24805</v>
      </c>
      <c r="N66" s="14" t="s">
        <v>299</v>
      </c>
      <c r="O66" s="14" t="s">
        <v>282</v>
      </c>
      <c r="Q66" s="15"/>
      <c r="R66" s="15"/>
      <c r="S66" s="15"/>
      <c r="U66" s="29" t="s">
        <v>118</v>
      </c>
      <c r="V66" s="29" t="s">
        <v>118</v>
      </c>
    </row>
    <row r="67" spans="2:22"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1"/>
        <v>0</v>
      </c>
      <c r="M67" s="166">
        <f>SUMIFS('Detalhe Testes'!$H:$H,'Detalhe Testes'!$B:$B,'Detalhe Entregas e Status'!B67,'Detalhe Testes'!$C:$C,'Detalhe Entregas e Status'!C67)</f>
        <v>0</v>
      </c>
      <c r="N67" s="14"/>
      <c r="O67" s="14"/>
      <c r="Q67" s="15"/>
      <c r="R67" s="15"/>
      <c r="S67" s="15"/>
      <c r="U67" s="29" t="s">
        <v>115</v>
      </c>
      <c r="V67" s="29" t="s">
        <v>115</v>
      </c>
    </row>
    <row r="68" spans="2:22">
      <c r="B68" s="13" t="s">
        <v>55</v>
      </c>
      <c r="C68" s="227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3">
        <v>45810</v>
      </c>
      <c r="K68" s="14">
        <f t="shared" si="1"/>
        <v>7</v>
      </c>
      <c r="M68" s="166">
        <f>SUMIFS('Detalhe Testes'!$H:$H,'Detalhe Testes'!$B:$B,'Detalhe Entregas e Status'!B68,'Detalhe Testes'!$C:$C,'Detalhe Entregas e Status'!C68)</f>
        <v>5163</v>
      </c>
      <c r="N68" s="14" t="s">
        <v>299</v>
      </c>
      <c r="O68" s="14" t="s">
        <v>282</v>
      </c>
      <c r="Q68" s="15"/>
      <c r="R68" s="15"/>
      <c r="S68" s="15"/>
      <c r="U68" s="29" t="s">
        <v>118</v>
      </c>
      <c r="V68" s="29" t="s">
        <v>118</v>
      </c>
    </row>
    <row r="69" spans="2:22">
      <c r="B69" s="13" t="s">
        <v>61</v>
      </c>
      <c r="C69" s="13" t="s">
        <v>90</v>
      </c>
      <c r="D69" s="13" t="str">
        <f t="shared" si="2"/>
        <v>lt006_instr_protectionUNIVERSO</v>
      </c>
      <c r="E69" s="14" t="s">
        <v>91</v>
      </c>
      <c r="F69" s="14" t="s">
        <v>91</v>
      </c>
      <c r="G69" s="14" t="s">
        <v>91</v>
      </c>
      <c r="H69" s="14" t="s">
        <v>75</v>
      </c>
      <c r="I69" s="15">
        <v>45803</v>
      </c>
      <c r="J69" s="16">
        <v>45803</v>
      </c>
      <c r="K69" s="14">
        <f t="shared" si="1"/>
        <v>0</v>
      </c>
      <c r="M69" s="166">
        <f>SUMIFS('Detalhe Testes'!$H:$H,'Detalhe Testes'!$B:$B,'Detalhe Entregas e Status'!B69,'Detalhe Testes'!$C:$C,'Detalhe Entregas e Status'!C69)</f>
        <v>0</v>
      </c>
      <c r="N69" s="14"/>
      <c r="O69" s="14"/>
      <c r="Q69" s="15"/>
      <c r="R69" s="15"/>
      <c r="S69" s="15"/>
      <c r="U69" s="29" t="s">
        <v>115</v>
      </c>
      <c r="V69" s="29" t="s">
        <v>118</v>
      </c>
    </row>
    <row r="70" spans="2:22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3">
        <v>45803</v>
      </c>
      <c r="K70" s="14">
        <f t="shared" si="1"/>
        <v>0</v>
      </c>
      <c r="M70" s="166">
        <f>SUMIFS('Detalhe Testes'!$H:$H,'Detalhe Testes'!$B:$B,'Detalhe Entregas e Status'!B70,'Detalhe Testes'!$C:$C,'Detalhe Entregas e Status'!C70)</f>
        <v>0</v>
      </c>
      <c r="N70" s="14"/>
      <c r="O70" s="14"/>
      <c r="Q70" s="15"/>
      <c r="R70" s="15"/>
      <c r="S70" s="15"/>
      <c r="U70" s="29" t="s">
        <v>115</v>
      </c>
      <c r="V70" s="29" t="s">
        <v>115</v>
      </c>
    </row>
    <row r="71" spans="2:22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3">
        <v>45803</v>
      </c>
      <c r="K71" s="14">
        <f t="shared" si="1"/>
        <v>0</v>
      </c>
      <c r="M71" s="166">
        <f>SUMIFS('Detalhe Testes'!$H:$H,'Detalhe Testes'!$B:$B,'Detalhe Entregas e Status'!B71,'Detalhe Testes'!$C:$C,'Detalhe Entregas e Status'!C71)</f>
        <v>0</v>
      </c>
      <c r="N71" s="14"/>
      <c r="O71" s="14"/>
      <c r="Q71" s="15"/>
      <c r="R71" s="15"/>
      <c r="S71" s="15"/>
      <c r="U71" s="29" t="s">
        <v>115</v>
      </c>
      <c r="V71" s="29" t="s">
        <v>115</v>
      </c>
    </row>
    <row r="72" spans="2:22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3">
        <v>45803</v>
      </c>
      <c r="K72" s="14">
        <f t="shared" si="1"/>
        <v>0</v>
      </c>
      <c r="M72" s="166">
        <f>SUMIFS('Detalhe Testes'!$H:$H,'Detalhe Testes'!$B:$B,'Detalhe Entregas e Status'!B72,'Detalhe Testes'!$C:$C,'Detalhe Entregas e Status'!C72)</f>
        <v>0</v>
      </c>
      <c r="N72" s="14"/>
      <c r="O72" s="14"/>
      <c r="Q72" s="15"/>
      <c r="R72" s="15"/>
      <c r="S72" s="15"/>
      <c r="U72" s="29" t="s">
        <v>115</v>
      </c>
      <c r="V72" s="29" t="s">
        <v>118</v>
      </c>
    </row>
    <row r="73" spans="2:22">
      <c r="B73" s="13" t="s">
        <v>61</v>
      </c>
      <c r="C73" s="13" t="s">
        <v>56</v>
      </c>
      <c r="D73" s="13" t="str">
        <f t="shared" ref="D73:D81" si="3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3">
        <v>45803</v>
      </c>
      <c r="K73" s="14">
        <f t="shared" si="1"/>
        <v>0</v>
      </c>
      <c r="M73" s="166">
        <f>SUMIFS('Detalhe Testes'!$H:$H,'Detalhe Testes'!$B:$B,'Detalhe Entregas e Status'!B73,'Detalhe Testes'!$C:$C,'Detalhe Entregas e Status'!C73)</f>
        <v>0</v>
      </c>
      <c r="N73" s="14"/>
      <c r="O73" s="14"/>
      <c r="Q73" s="15"/>
      <c r="R73" s="15"/>
      <c r="S73" s="15"/>
      <c r="U73" s="29" t="s">
        <v>115</v>
      </c>
      <c r="V73" s="29" t="s">
        <v>118</v>
      </c>
    </row>
    <row r="74" spans="2:22">
      <c r="B74" s="13" t="s">
        <v>61</v>
      </c>
      <c r="C74" s="13" t="s">
        <v>62</v>
      </c>
      <c r="D74" s="198" t="str">
        <f t="shared" si="3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1"/>
        <v>0</v>
      </c>
      <c r="M74" s="166">
        <f>SUMIFS('Detalhe Testes'!$H:$H,'Detalhe Testes'!$B:$B,'Detalhe Entregas e Status'!B74,'Detalhe Testes'!$C:$C,'Detalhe Entregas e Status'!C74)</f>
        <v>0</v>
      </c>
      <c r="N74" s="14"/>
      <c r="O74" s="14"/>
      <c r="Q74" s="15"/>
      <c r="R74" s="15"/>
      <c r="S74" s="15"/>
      <c r="U74" s="29" t="s">
        <v>118</v>
      </c>
      <c r="V74" s="29" t="s">
        <v>118</v>
      </c>
    </row>
    <row r="75" spans="2:22">
      <c r="B75" s="13" t="s">
        <v>63</v>
      </c>
      <c r="C75" s="13" t="s">
        <v>90</v>
      </c>
      <c r="D75" s="13" t="str">
        <f t="shared" si="3"/>
        <v>lt007_instr_activityUNIVERSO</v>
      </c>
      <c r="E75" s="14" t="s">
        <v>91</v>
      </c>
      <c r="F75" s="14" t="s">
        <v>91</v>
      </c>
      <c r="G75" s="14" t="s">
        <v>91</v>
      </c>
      <c r="H75" s="14" t="s">
        <v>78</v>
      </c>
      <c r="I75" s="15">
        <v>45789</v>
      </c>
      <c r="J75" s="16">
        <v>45789</v>
      </c>
      <c r="K75" s="14">
        <f t="shared" si="1"/>
        <v>0</v>
      </c>
      <c r="M75" s="166">
        <f>SUMIFS('Detalhe Testes'!$H:$H,'Detalhe Testes'!$B:$B,'Detalhe Entregas e Status'!B75,'Detalhe Testes'!$C:$C,'Detalhe Entregas e Status'!C75)</f>
        <v>0</v>
      </c>
      <c r="N75" s="14"/>
      <c r="O75" s="14"/>
      <c r="Q75" s="15"/>
      <c r="R75" s="15"/>
      <c r="S75" s="15"/>
      <c r="U75" s="29" t="s">
        <v>125</v>
      </c>
      <c r="V75" s="29" t="s">
        <v>125</v>
      </c>
    </row>
    <row r="76" spans="2:22">
      <c r="B76" s="13" t="s">
        <v>63</v>
      </c>
      <c r="C76" s="13" t="s">
        <v>64</v>
      </c>
      <c r="D76" s="13" t="str">
        <f t="shared" si="3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1"/>
        <v>0</v>
      </c>
      <c r="M76" s="166">
        <f>SUMIFS('Detalhe Testes'!$H:$H,'Detalhe Testes'!$B:$B,'Detalhe Entregas e Status'!B76,'Detalhe Testes'!$C:$C,'Detalhe Entregas e Status'!C76)</f>
        <v>0</v>
      </c>
      <c r="N76" s="14"/>
      <c r="O76" s="14"/>
      <c r="Q76" s="15"/>
      <c r="R76" s="15"/>
      <c r="S76" s="15"/>
      <c r="U76" s="29" t="s">
        <v>125</v>
      </c>
      <c r="V76" s="29" t="s">
        <v>125</v>
      </c>
    </row>
    <row r="77" spans="2:22">
      <c r="B77" s="13" t="s">
        <v>63</v>
      </c>
      <c r="C77" s="13" t="s">
        <v>65</v>
      </c>
      <c r="D77" s="13" t="str">
        <f t="shared" si="3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4">
        <v>45803</v>
      </c>
      <c r="K77" s="14">
        <f t="shared" si="1"/>
        <v>0</v>
      </c>
      <c r="M77" s="166">
        <f>SUMIFS('Detalhe Testes'!$H:$H,'Detalhe Testes'!$B:$B,'Detalhe Entregas e Status'!B77,'Detalhe Testes'!$C:$C,'Detalhe Entregas e Status'!C77)</f>
        <v>0</v>
      </c>
      <c r="N77" s="14"/>
      <c r="O77" s="14"/>
      <c r="Q77" s="15"/>
      <c r="R77" s="15"/>
      <c r="S77" s="15"/>
      <c r="U77" s="29" t="s">
        <v>125</v>
      </c>
      <c r="V77" s="29" t="s">
        <v>125</v>
      </c>
    </row>
    <row r="78" spans="2:22">
      <c r="B78" s="13" t="s">
        <v>63</v>
      </c>
      <c r="C78" s="13" t="s">
        <v>66</v>
      </c>
      <c r="D78" s="13" t="str">
        <f t="shared" si="3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ref="K78:K81" si="4">+IF(J78="","N/A",J78-I78)</f>
        <v>0</v>
      </c>
      <c r="M78" s="166">
        <f>SUMIFS('Detalhe Testes'!$H:$H,'Detalhe Testes'!$B:$B,'Detalhe Entregas e Status'!B78,'Detalhe Testes'!$C:$C,'Detalhe Entregas e Status'!C78)</f>
        <v>0</v>
      </c>
      <c r="N78" s="14"/>
      <c r="O78" s="14"/>
      <c r="Q78" s="15"/>
      <c r="R78" s="15"/>
      <c r="S78" s="15"/>
      <c r="U78" s="29" t="s">
        <v>125</v>
      </c>
      <c r="V78" s="29" t="s">
        <v>125</v>
      </c>
    </row>
    <row r="79" spans="2:22">
      <c r="B79" s="13" t="s">
        <v>63</v>
      </c>
      <c r="C79" s="13" t="s">
        <v>36</v>
      </c>
      <c r="D79" s="13" t="str">
        <f t="shared" si="3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4"/>
        <v>0</v>
      </c>
      <c r="M79" s="166">
        <f>SUMIFS('Detalhe Testes'!$H:$H,'Detalhe Testes'!$B:$B,'Detalhe Entregas e Status'!B79,'Detalhe Testes'!$C:$C,'Detalhe Entregas e Status'!C79)</f>
        <v>0</v>
      </c>
      <c r="N79" s="14"/>
      <c r="O79" s="14"/>
      <c r="Q79" s="15"/>
      <c r="R79" s="15"/>
      <c r="S79" s="15"/>
      <c r="U79" s="29" t="s">
        <v>125</v>
      </c>
      <c r="V79" s="29" t="s">
        <v>125</v>
      </c>
    </row>
    <row r="80" spans="2:22">
      <c r="B80" s="13" t="s">
        <v>63</v>
      </c>
      <c r="C80" s="13" t="s">
        <v>38</v>
      </c>
      <c r="D80" s="13" t="str">
        <f t="shared" si="3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4"/>
        <v>0</v>
      </c>
      <c r="M80" s="166">
        <f>SUMIFS('Detalhe Testes'!$H:$H,'Detalhe Testes'!$B:$B,'Detalhe Entregas e Status'!B80,'Detalhe Testes'!$C:$C,'Detalhe Entregas e Status'!C80)</f>
        <v>0</v>
      </c>
      <c r="N80" s="14"/>
      <c r="O80" s="14"/>
      <c r="Q80" s="15"/>
      <c r="R80" s="15"/>
      <c r="S80" s="15"/>
      <c r="U80" s="29" t="s">
        <v>125</v>
      </c>
      <c r="V80" s="29" t="s">
        <v>125</v>
      </c>
    </row>
    <row r="81" spans="2:22">
      <c r="B81" s="13" t="s">
        <v>63</v>
      </c>
      <c r="C81" s="13" t="s">
        <v>54</v>
      </c>
      <c r="D81" s="13" t="str">
        <f t="shared" si="3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4"/>
        <v>0</v>
      </c>
      <c r="M81" s="166">
        <f>SUMIFS('Detalhe Testes'!$H:$H,'Detalhe Testes'!$B:$B,'Detalhe Entregas e Status'!B81,'Detalhe Testes'!$C:$C,'Detalhe Entregas e Status'!C81)</f>
        <v>0</v>
      </c>
      <c r="N81" s="14"/>
      <c r="O81" s="14"/>
      <c r="Q81" s="15"/>
      <c r="R81" s="15"/>
      <c r="S81" s="15"/>
      <c r="U81" s="29" t="s">
        <v>125</v>
      </c>
      <c r="V81" s="29" t="s">
        <v>125</v>
      </c>
    </row>
  </sheetData>
  <autoFilter ref="B8:V81" xr:uid="{B42690F1-F88C-47BB-A452-DBF1CCF20DAA}"/>
  <mergeCells count="2">
    <mergeCell ref="I7:K7"/>
    <mergeCell ref="Q7:S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U9:V81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U9:V81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sheetPr filterMode="1"/>
  <dimension ref="A1:AF175"/>
  <sheetViews>
    <sheetView showGridLines="0" zoomScaleNormal="100" workbookViewId="0">
      <pane xSplit="3" ySplit="8" topLeftCell="D141" activePane="bottomRight" state="frozen"/>
      <selection pane="topRight" activeCell="D1" sqref="D1"/>
      <selection pane="bottomLeft" activeCell="A9" sqref="A9"/>
      <selection pane="bottomRight" activeCell="H137" sqref="H137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customWidth="1"/>
    <col min="6" max="6" width="17.44140625" style="3" bestFit="1" customWidth="1"/>
    <col min="7" max="7" width="2.6640625" style="3" customWidth="1"/>
    <col min="8" max="8" width="13.88671875" style="3" customWidth="1"/>
    <col min="9" max="9" width="15" style="3" customWidth="1"/>
    <col min="10" max="10" width="2.6640625" style="3" customWidth="1"/>
    <col min="11" max="15" width="15.6640625" style="3" customWidth="1"/>
    <col min="16" max="17" width="15.6640625" style="8" customWidth="1"/>
    <col min="18" max="20" width="15.6640625" style="3" customWidth="1"/>
    <col min="21" max="16383" width="8.88671875" style="3"/>
    <col min="16384" max="16384" width="8.88671875" style="3" bestFit="1"/>
  </cols>
  <sheetData>
    <row r="1" spans="1:32" ht="16.2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 t="s">
        <v>302</v>
      </c>
      <c r="K7" s="273" t="s">
        <v>266</v>
      </c>
      <c r="L7" s="273"/>
      <c r="M7" s="273"/>
      <c r="N7" s="273"/>
      <c r="O7" s="273"/>
    </row>
    <row r="8" spans="1:32" ht="15" customHeight="1">
      <c r="B8" s="22" t="s">
        <v>80</v>
      </c>
      <c r="C8" s="23" t="s">
        <v>81</v>
      </c>
      <c r="D8" s="23" t="s">
        <v>92</v>
      </c>
      <c r="E8" s="23" t="s">
        <v>98</v>
      </c>
      <c r="F8" s="30" t="s">
        <v>102</v>
      </c>
      <c r="H8" s="26" t="s">
        <v>72</v>
      </c>
      <c r="I8" s="26" t="s">
        <v>111</v>
      </c>
      <c r="K8" s="37">
        <v>45789</v>
      </c>
      <c r="L8" s="38">
        <v>45796</v>
      </c>
      <c r="M8" s="38">
        <v>45803</v>
      </c>
      <c r="N8" s="38">
        <v>45810</v>
      </c>
      <c r="O8" s="39"/>
      <c r="P8" s="3"/>
      <c r="Q8" s="3"/>
    </row>
    <row r="9" spans="1:32" ht="15" hidden="1" customHeight="1">
      <c r="B9" s="13" t="s">
        <v>1</v>
      </c>
      <c r="C9" s="13" t="s">
        <v>90</v>
      </c>
      <c r="D9" s="29" t="s">
        <v>93</v>
      </c>
      <c r="E9" s="14" t="s">
        <v>99</v>
      </c>
      <c r="F9" s="14">
        <v>16</v>
      </c>
      <c r="H9" s="197" cm="1">
        <f t="array" ref="H9">IF(INDEX($K:$AA,ROW(C9),MATCH(IF(VLOOKUP(_xlfn.CONCAT(B9,C9),'Detalhe Entregas e Status'!$D$9:$J$81,7,0)=DATE(2025,5,5),DATE(2025,5,12),VLOOKUP(_xlfn.CONCAT(B9,C9),'Detalhe Entregas e Status'!$D$9:$J$81,7,0)),$K$8:$AA$8,0))="","",INDEX($K:$AA,ROW(C9),MATCH(IF(VLOOKUP(_xlfn.CONCAT(B9,C9),'Detalhe Entregas e Status'!$D$9:$J$81,7,0)=DATE(2025,5,5),DATE(2025,5,12),VLOOKUP(_xlfn.CONCAT(B9,C9),'Detalhe Entregas e Status'!$D$9:$J$81,7,0)),$K$8:$AA$8,0)))</f>
        <v>534004</v>
      </c>
      <c r="I9" s="17"/>
      <c r="J9" s="200" t="s">
        <v>294</v>
      </c>
      <c r="K9" s="165">
        <v>534004</v>
      </c>
      <c r="L9" s="165">
        <v>534004</v>
      </c>
      <c r="M9" s="165">
        <v>91804</v>
      </c>
      <c r="N9" s="165"/>
      <c r="O9" s="165"/>
      <c r="P9" s="199"/>
    </row>
    <row r="10" spans="1:32" ht="15" hidden="1" customHeight="1">
      <c r="B10" s="13" t="s">
        <v>1</v>
      </c>
      <c r="C10" s="13" t="s">
        <v>2</v>
      </c>
      <c r="D10" s="29" t="s">
        <v>94</v>
      </c>
      <c r="E10" s="14" t="s">
        <v>100</v>
      </c>
      <c r="F10" s="14">
        <v>4</v>
      </c>
      <c r="H10" s="165" t="str" cm="1">
        <f t="array" ref="H10">IF(INDEX($K:$AA,ROW(C10),MATCH(IF(VLOOKUP(_xlfn.CONCAT(B10,C10),'Detalhe Entregas e Status'!$D$9:$J$81,7,0)=DATE(2025,5,5),DATE(2025,5,12),VLOOKUP(_xlfn.CONCAT(B10,C10),'Detalhe Entregas e Status'!$D$9:$J$81,7,0)),$K$8:$AA$8,0))="","",INDEX($K:$AA,ROW(C10),MATCH(IF(VLOOKUP(_xlfn.CONCAT(B10,C10),'Detalhe Entregas e Status'!$D$9:$J$81,7,0)=DATE(2025,5,5),DATE(2025,5,12),VLOOKUP(_xlfn.CONCAT(B10,C10),'Detalhe Entregas e Status'!$D$9:$J$81,7,0)),$K$8:$AA$8,0)))</f>
        <v/>
      </c>
      <c r="I10" s="17" t="s">
        <v>363</v>
      </c>
      <c r="J10" s="200" t="s">
        <v>294</v>
      </c>
      <c r="K10" s="165"/>
      <c r="L10" s="165"/>
      <c r="M10" s="165"/>
      <c r="N10" s="165"/>
      <c r="O10" s="165"/>
    </row>
    <row r="11" spans="1:32" ht="15" hidden="1" customHeight="1">
      <c r="B11" s="13" t="s">
        <v>1</v>
      </c>
      <c r="C11" s="13" t="s">
        <v>2</v>
      </c>
      <c r="D11" s="29" t="s">
        <v>95</v>
      </c>
      <c r="E11" s="14" t="s">
        <v>101</v>
      </c>
      <c r="F11" s="14">
        <v>1</v>
      </c>
      <c r="H11" s="165" t="str" cm="1">
        <f t="array" ref="H11">IF(INDEX($K:$AA,ROW(C11),MATCH(IF(VLOOKUP(_xlfn.CONCAT(B11,C11),'Detalhe Entregas e Status'!$D$9:$J$81,7,0)=DATE(2025,5,5),DATE(2025,5,12),VLOOKUP(_xlfn.CONCAT(B11,C11),'Detalhe Entregas e Status'!$D$9:$J$81,7,0)),$K$8:$AA$8,0))="","",INDEX($K:$AA,ROW(C11),MATCH(IF(VLOOKUP(_xlfn.CONCAT(B11,C11),'Detalhe Entregas e Status'!$D$9:$J$81,7,0)=DATE(2025,5,5),DATE(2025,5,12),VLOOKUP(_xlfn.CONCAT(B11,C11),'Detalhe Entregas e Status'!$D$9:$J$81,7,0)),$K$8:$AA$8,0)))</f>
        <v/>
      </c>
      <c r="I11" s="17"/>
      <c r="J11" s="200" t="s">
        <v>294</v>
      </c>
      <c r="K11" s="165"/>
      <c r="L11" s="165"/>
      <c r="M11" s="165"/>
      <c r="N11" s="165"/>
      <c r="O11" s="165"/>
    </row>
    <row r="12" spans="1:32" ht="15" hidden="1" customHeight="1">
      <c r="B12" s="13" t="s">
        <v>1</v>
      </c>
      <c r="C12" s="13" t="s">
        <v>5</v>
      </c>
      <c r="D12" s="29" t="s">
        <v>94</v>
      </c>
      <c r="E12" s="14" t="s">
        <v>100</v>
      </c>
      <c r="F12" s="14">
        <v>4</v>
      </c>
      <c r="H12" s="165" t="str" cm="1">
        <f t="array" ref="H12">IF(INDEX($K:$AA,ROW(C12),MATCH(IF(VLOOKUP(_xlfn.CONCAT(B12,C12),'Detalhe Entregas e Status'!$D$9:$J$81,7,0)=DATE(2025,5,5),DATE(2025,5,12),VLOOKUP(_xlfn.CONCAT(B12,C12),'Detalhe Entregas e Status'!$D$9:$J$81,7,0)),$K$8:$AA$8,0))="","",INDEX($K:$AA,ROW(C12),MATCH(IF(VLOOKUP(_xlfn.CONCAT(B12,C12),'Detalhe Entregas e Status'!$D$9:$J$81,7,0)=DATE(2025,5,5),DATE(2025,5,12),VLOOKUP(_xlfn.CONCAT(B12,C12),'Detalhe Entregas e Status'!$D$9:$J$81,7,0)),$K$8:$AA$8,0)))</f>
        <v/>
      </c>
      <c r="I12" s="17" t="s">
        <v>364</v>
      </c>
      <c r="J12" s="200" t="s">
        <v>294</v>
      </c>
      <c r="K12" s="165"/>
      <c r="L12" s="165"/>
      <c r="M12" s="165"/>
      <c r="N12" s="165"/>
      <c r="O12" s="165"/>
    </row>
    <row r="13" spans="1:32" ht="15" hidden="1" customHeight="1">
      <c r="B13" s="13" t="s">
        <v>1</v>
      </c>
      <c r="C13" s="13" t="s">
        <v>5</v>
      </c>
      <c r="D13" s="29" t="s">
        <v>95</v>
      </c>
      <c r="E13" s="14" t="s">
        <v>101</v>
      </c>
      <c r="F13" s="14">
        <v>1</v>
      </c>
      <c r="H13" s="165" t="str" cm="1">
        <f t="array" ref="H13">IF(INDEX($K:$AA,ROW(C13),MATCH(IF(VLOOKUP(_xlfn.CONCAT(B13,C13),'Detalhe Entregas e Status'!$D$9:$J$81,7,0)=DATE(2025,5,5),DATE(2025,5,12),VLOOKUP(_xlfn.CONCAT(B13,C13),'Detalhe Entregas e Status'!$D$9:$J$81,7,0)),$K$8:$AA$8,0))="","",INDEX($K:$AA,ROW(C13),MATCH(IF(VLOOKUP(_xlfn.CONCAT(B13,C13),'Detalhe Entregas e Status'!$D$9:$J$81,7,0)=DATE(2025,5,5),DATE(2025,5,12),VLOOKUP(_xlfn.CONCAT(B13,C13),'Detalhe Entregas e Status'!$D$9:$J$81,7,0)),$K$8:$AA$8,0)))</f>
        <v/>
      </c>
      <c r="I13" s="17"/>
      <c r="J13" s="200" t="s">
        <v>294</v>
      </c>
      <c r="K13" s="165"/>
      <c r="L13" s="165"/>
      <c r="M13" s="165"/>
      <c r="N13" s="165"/>
      <c r="O13" s="165"/>
    </row>
    <row r="14" spans="1:32" ht="15" hidden="1" customHeight="1">
      <c r="B14" s="13" t="s">
        <v>1</v>
      </c>
      <c r="C14" s="13" t="s">
        <v>6</v>
      </c>
      <c r="D14" s="29" t="s">
        <v>94</v>
      </c>
      <c r="E14" s="14" t="s">
        <v>100</v>
      </c>
      <c r="F14" s="14">
        <v>4</v>
      </c>
      <c r="H14" s="165" t="str" cm="1">
        <f t="array" ref="H14">IF(INDEX($K:$AA,ROW(C14),MATCH(IF(VLOOKUP(_xlfn.CONCAT(B14,C14),'Detalhe Entregas e Status'!$D$9:$J$81,7,0)=DATE(2025,5,5),DATE(2025,5,12),VLOOKUP(_xlfn.CONCAT(B14,C14),'Detalhe Entregas e Status'!$D$9:$J$81,7,0)),$K$8:$AA$8,0))="","",INDEX($K:$AA,ROW(C14),MATCH(IF(VLOOKUP(_xlfn.CONCAT(B14,C14),'Detalhe Entregas e Status'!$D$9:$J$81,7,0)=DATE(2025,5,5),DATE(2025,5,12),VLOOKUP(_xlfn.CONCAT(B14,C14),'Detalhe Entregas e Status'!$D$9:$J$81,7,0)),$K$8:$AA$8,0)))</f>
        <v/>
      </c>
      <c r="I14" s="17" t="s">
        <v>283</v>
      </c>
      <c r="J14" s="200" t="s">
        <v>294</v>
      </c>
      <c r="K14" s="165"/>
      <c r="L14" s="165"/>
      <c r="M14" s="165"/>
      <c r="N14" s="165"/>
      <c r="O14" s="165"/>
    </row>
    <row r="15" spans="1:32" ht="15" hidden="1" customHeight="1">
      <c r="B15" s="13" t="s">
        <v>1</v>
      </c>
      <c r="C15" s="13" t="s">
        <v>6</v>
      </c>
      <c r="D15" s="29" t="s">
        <v>95</v>
      </c>
      <c r="E15" s="14" t="s">
        <v>101</v>
      </c>
      <c r="F15" s="14">
        <v>1</v>
      </c>
      <c r="H15" s="165" t="str" cm="1">
        <f t="array" ref="H15">IF(INDEX($K:$AA,ROW(C15),MATCH(IF(VLOOKUP(_xlfn.CONCAT(B15,C15),'Detalhe Entregas e Status'!$D$9:$J$81,7,0)=DATE(2025,5,5),DATE(2025,5,12),VLOOKUP(_xlfn.CONCAT(B15,C15),'Detalhe Entregas e Status'!$D$9:$J$81,7,0)),$K$8:$AA$8,0))="","",INDEX($K:$AA,ROW(C15),MATCH(IF(VLOOKUP(_xlfn.CONCAT(B15,C15),'Detalhe Entregas e Status'!$D$9:$J$81,7,0)=DATE(2025,5,5),DATE(2025,5,12),VLOOKUP(_xlfn.CONCAT(B15,C15),'Detalhe Entregas e Status'!$D$9:$J$81,7,0)),$K$8:$AA$8,0)))</f>
        <v/>
      </c>
      <c r="I15" s="17"/>
      <c r="J15" s="200" t="s">
        <v>294</v>
      </c>
      <c r="K15" s="165"/>
      <c r="L15" s="165"/>
      <c r="M15" s="165"/>
      <c r="N15" s="165"/>
      <c r="O15" s="165"/>
    </row>
    <row r="16" spans="1:32" ht="15" hidden="1" customHeight="1">
      <c r="B16" s="13" t="s">
        <v>1</v>
      </c>
      <c r="C16" s="13" t="s">
        <v>7</v>
      </c>
      <c r="D16" s="29" t="s">
        <v>94</v>
      </c>
      <c r="E16" s="14" t="s">
        <v>100</v>
      </c>
      <c r="F16" s="14">
        <v>4</v>
      </c>
      <c r="H16" s="165" t="str" cm="1">
        <f t="array" ref="H16">IF(INDEX($K:$AA,ROW(C16),MATCH(IF(VLOOKUP(_xlfn.CONCAT(B16,C16),'Detalhe Entregas e Status'!$D$9:$J$81,7,0)=DATE(2025,5,5),DATE(2025,5,12),VLOOKUP(_xlfn.CONCAT(B16,C16),'Detalhe Entregas e Status'!$D$9:$J$81,7,0)),$K$8:$AA$8,0))="","",INDEX($K:$AA,ROW(C16),MATCH(IF(VLOOKUP(_xlfn.CONCAT(B16,C16),'Detalhe Entregas e Status'!$D$9:$J$81,7,0)=DATE(2025,5,5),DATE(2025,5,12),VLOOKUP(_xlfn.CONCAT(B16,C16),'Detalhe Entregas e Status'!$D$9:$J$81,7,0)),$K$8:$AA$8,0)))</f>
        <v/>
      </c>
      <c r="I16" s="17" t="s">
        <v>283</v>
      </c>
      <c r="J16" s="200" t="s">
        <v>294</v>
      </c>
      <c r="K16" s="165"/>
      <c r="L16" s="165"/>
      <c r="M16" s="165"/>
      <c r="N16" s="165"/>
      <c r="O16" s="165"/>
    </row>
    <row r="17" spans="2:15" ht="15" hidden="1" customHeight="1">
      <c r="B17" s="13" t="s">
        <v>1</v>
      </c>
      <c r="C17" s="13" t="s">
        <v>7</v>
      </c>
      <c r="D17" s="29" t="s">
        <v>95</v>
      </c>
      <c r="E17" s="14" t="s">
        <v>101</v>
      </c>
      <c r="F17" s="14">
        <v>1</v>
      </c>
      <c r="H17" s="165" t="str" cm="1">
        <f t="array" ref="H17">IF(INDEX($K:$AA,ROW(C17),MATCH(IF(VLOOKUP(_xlfn.CONCAT(B17,C17),'Detalhe Entregas e Status'!$D$9:$J$81,7,0)=DATE(2025,5,5),DATE(2025,5,12),VLOOKUP(_xlfn.CONCAT(B17,C17),'Detalhe Entregas e Status'!$D$9:$J$81,7,0)),$K$8:$AA$8,0))="","",INDEX($K:$AA,ROW(C17),MATCH(IF(VLOOKUP(_xlfn.CONCAT(B17,C17),'Detalhe Entregas e Status'!$D$9:$J$81,7,0)=DATE(2025,5,5),DATE(2025,5,12),VLOOKUP(_xlfn.CONCAT(B17,C17),'Detalhe Entregas e Status'!$D$9:$J$81,7,0)),$K$8:$AA$8,0)))</f>
        <v/>
      </c>
      <c r="I17" s="17"/>
      <c r="J17" s="200" t="s">
        <v>294</v>
      </c>
      <c r="K17" s="165"/>
      <c r="L17" s="165"/>
      <c r="M17" s="165"/>
      <c r="N17" s="165"/>
      <c r="O17" s="165"/>
    </row>
    <row r="18" spans="2:15" ht="15" hidden="1" customHeight="1">
      <c r="B18" s="13" t="s">
        <v>1</v>
      </c>
      <c r="C18" s="13" t="s">
        <v>8</v>
      </c>
      <c r="D18" s="29" t="s">
        <v>94</v>
      </c>
      <c r="E18" s="14" t="s">
        <v>100</v>
      </c>
      <c r="F18" s="14">
        <v>4</v>
      </c>
      <c r="H18" s="165" t="str" cm="1">
        <f t="array" ref="H18">IF(INDEX($K:$AA,ROW(C18),MATCH(IF(VLOOKUP(_xlfn.CONCAT(B18,C18),'Detalhe Entregas e Status'!$D$9:$J$81,7,0)=DATE(2025,5,5),DATE(2025,5,12),VLOOKUP(_xlfn.CONCAT(B18,C18),'Detalhe Entregas e Status'!$D$9:$J$81,7,0)),$K$8:$AA$8,0))="","",INDEX($K:$AA,ROW(C18),MATCH(IF(VLOOKUP(_xlfn.CONCAT(B18,C18),'Detalhe Entregas e Status'!$D$9:$J$81,7,0)=DATE(2025,5,5),DATE(2025,5,12),VLOOKUP(_xlfn.CONCAT(B18,C18),'Detalhe Entregas e Status'!$D$9:$J$81,7,0)),$K$8:$AA$8,0)))</f>
        <v/>
      </c>
      <c r="I18" s="17" t="s">
        <v>283</v>
      </c>
      <c r="J18" s="200" t="s">
        <v>294</v>
      </c>
      <c r="K18" s="165"/>
      <c r="L18" s="165"/>
      <c r="M18" s="165"/>
      <c r="N18" s="165"/>
      <c r="O18" s="165"/>
    </row>
    <row r="19" spans="2:15" ht="15" hidden="1" customHeight="1">
      <c r="B19" s="13" t="s">
        <v>1</v>
      </c>
      <c r="C19" s="13" t="s">
        <v>8</v>
      </c>
      <c r="D19" s="29" t="s">
        <v>95</v>
      </c>
      <c r="E19" s="14" t="s">
        <v>101</v>
      </c>
      <c r="F19" s="14">
        <v>1</v>
      </c>
      <c r="H19" s="165" t="str" cm="1">
        <f t="array" ref="H19">IF(INDEX($K:$AA,ROW(C19),MATCH(IF(VLOOKUP(_xlfn.CONCAT(B19,C19),'Detalhe Entregas e Status'!$D$9:$J$81,7,0)=DATE(2025,5,5),DATE(2025,5,12),VLOOKUP(_xlfn.CONCAT(B19,C19),'Detalhe Entregas e Status'!$D$9:$J$81,7,0)),$K$8:$AA$8,0))="","",INDEX($K:$AA,ROW(C19),MATCH(IF(VLOOKUP(_xlfn.CONCAT(B19,C19),'Detalhe Entregas e Status'!$D$9:$J$81,7,0)=DATE(2025,5,5),DATE(2025,5,12),VLOOKUP(_xlfn.CONCAT(B19,C19),'Detalhe Entregas e Status'!$D$9:$J$81,7,0)),$K$8:$AA$8,0)))</f>
        <v/>
      </c>
      <c r="I19" s="17"/>
      <c r="J19" s="200" t="s">
        <v>294</v>
      </c>
      <c r="K19" s="165"/>
      <c r="L19" s="165"/>
      <c r="M19" s="165"/>
      <c r="N19" s="165"/>
      <c r="O19" s="165"/>
    </row>
    <row r="20" spans="2:15" ht="15" hidden="1" customHeight="1">
      <c r="B20" s="13" t="s">
        <v>1</v>
      </c>
      <c r="C20" s="13" t="s">
        <v>9</v>
      </c>
      <c r="D20" s="29" t="s">
        <v>95</v>
      </c>
      <c r="E20" s="14" t="s">
        <v>101</v>
      </c>
      <c r="F20" s="14">
        <v>1</v>
      </c>
      <c r="H20" s="165" t="str" cm="1">
        <f t="array" ref="H20">IF(INDEX($K:$AA,ROW(C20),MATCH(IF(VLOOKUP(_xlfn.CONCAT(B20,C20),'Detalhe Entregas e Status'!$D$9:$J$81,7,0)=DATE(2025,5,5),DATE(2025,5,12),VLOOKUP(_xlfn.CONCAT(B20,C20),'Detalhe Entregas e Status'!$D$9:$J$81,7,0)),$K$8:$AA$8,0))="","",INDEX($K:$AA,ROW(C20),MATCH(IF(VLOOKUP(_xlfn.CONCAT(B20,C20),'Detalhe Entregas e Status'!$D$9:$J$81,7,0)=DATE(2025,5,5),DATE(2025,5,12),VLOOKUP(_xlfn.CONCAT(B20,C20),'Detalhe Entregas e Status'!$D$9:$J$81,7,0)),$K$8:$AA$8,0)))</f>
        <v/>
      </c>
      <c r="I20" s="17" t="s">
        <v>363</v>
      </c>
      <c r="J20" s="200" t="s">
        <v>294</v>
      </c>
      <c r="K20" s="165"/>
      <c r="L20" s="165"/>
      <c r="M20" s="165"/>
      <c r="N20" s="165"/>
      <c r="O20" s="165"/>
    </row>
    <row r="21" spans="2:15" ht="15" hidden="1" customHeight="1">
      <c r="B21" s="13" t="s">
        <v>1</v>
      </c>
      <c r="C21" s="13" t="s">
        <v>10</v>
      </c>
      <c r="D21" s="29" t="s">
        <v>94</v>
      </c>
      <c r="E21" s="14" t="s">
        <v>101</v>
      </c>
      <c r="F21" s="14">
        <v>2</v>
      </c>
      <c r="H21" s="165" t="str" cm="1">
        <f t="array" ref="H21">IF(INDEX($K:$AA,ROW(C21),MATCH(IF(VLOOKUP(_xlfn.CONCAT(B21,C21),'Detalhe Entregas e Status'!$D$9:$J$81,7,0)=DATE(2025,5,5),DATE(2025,5,12),VLOOKUP(_xlfn.CONCAT(B21,C21),'Detalhe Entregas e Status'!$D$9:$J$81,7,0)),$K$8:$AA$8,0))="","",INDEX($K:$AA,ROW(C21),MATCH(IF(VLOOKUP(_xlfn.CONCAT(B21,C21),'Detalhe Entregas e Status'!$D$9:$J$81,7,0)=DATE(2025,5,5),DATE(2025,5,12),VLOOKUP(_xlfn.CONCAT(B21,C21),'Detalhe Entregas e Status'!$D$9:$J$81,7,0)),$K$8:$AA$8,0)))</f>
        <v/>
      </c>
      <c r="I21" s="17"/>
      <c r="J21" s="200" t="s">
        <v>294</v>
      </c>
      <c r="K21" s="165"/>
      <c r="L21" s="165"/>
      <c r="M21" s="165"/>
      <c r="N21" s="165"/>
      <c r="O21" s="165"/>
    </row>
    <row r="22" spans="2:15" ht="15" hidden="1" customHeight="1">
      <c r="B22" s="13" t="s">
        <v>1</v>
      </c>
      <c r="C22" s="13" t="s">
        <v>10</v>
      </c>
      <c r="D22" s="29" t="s">
        <v>95</v>
      </c>
      <c r="E22" s="14" t="s">
        <v>101</v>
      </c>
      <c r="F22" s="14">
        <v>1</v>
      </c>
      <c r="H22" s="165" t="str" cm="1">
        <f t="array" ref="H22">IF(INDEX($K:$AA,ROW(C22),MATCH(IF(VLOOKUP(_xlfn.CONCAT(B22,C22),'Detalhe Entregas e Status'!$D$9:$J$81,7,0)=DATE(2025,5,5),DATE(2025,5,12),VLOOKUP(_xlfn.CONCAT(B22,C22),'Detalhe Entregas e Status'!$D$9:$J$81,7,0)),$K$8:$AA$8,0))="","",INDEX($K:$AA,ROW(C22),MATCH(IF(VLOOKUP(_xlfn.CONCAT(B22,C22),'Detalhe Entregas e Status'!$D$9:$J$81,7,0)=DATE(2025,5,5),DATE(2025,5,12),VLOOKUP(_xlfn.CONCAT(B22,C22),'Detalhe Entregas e Status'!$D$9:$J$81,7,0)),$K$8:$AA$8,0)))</f>
        <v/>
      </c>
      <c r="I22" s="17"/>
      <c r="J22" s="200" t="s">
        <v>294</v>
      </c>
      <c r="K22" s="165"/>
      <c r="L22" s="165"/>
      <c r="M22" s="165"/>
      <c r="N22" s="165"/>
      <c r="O22" s="165"/>
    </row>
    <row r="23" spans="2:15" ht="15" hidden="1" customHeight="1">
      <c r="B23" s="13" t="s">
        <v>1</v>
      </c>
      <c r="C23" s="13" t="s">
        <v>10</v>
      </c>
      <c r="D23" s="29" t="s">
        <v>96</v>
      </c>
      <c r="E23" s="14" t="s">
        <v>101</v>
      </c>
      <c r="F23" s="14">
        <v>2</v>
      </c>
      <c r="H23" s="165" t="str" cm="1">
        <f t="array" ref="H23">IF(INDEX($K:$AA,ROW(C23),MATCH(IF(VLOOKUP(_xlfn.CONCAT(B23,C23),'Detalhe Entregas e Status'!$D$9:$J$81,7,0)=DATE(2025,5,5),DATE(2025,5,12),VLOOKUP(_xlfn.CONCAT(B23,C23),'Detalhe Entregas e Status'!$D$9:$J$81,7,0)),$K$8:$AA$8,0))="","",INDEX($K:$AA,ROW(C23),MATCH(IF(VLOOKUP(_xlfn.CONCAT(B23,C23),'Detalhe Entregas e Status'!$D$9:$J$81,7,0)=DATE(2025,5,5),DATE(2025,5,12),VLOOKUP(_xlfn.CONCAT(B23,C23),'Detalhe Entregas e Status'!$D$9:$J$81,7,0)),$K$8:$AA$8,0)))</f>
        <v/>
      </c>
      <c r="I23" s="17"/>
      <c r="J23" s="200" t="s">
        <v>294</v>
      </c>
      <c r="K23" s="165"/>
      <c r="L23" s="165"/>
      <c r="M23" s="165"/>
      <c r="N23" s="165"/>
      <c r="O23" s="165"/>
    </row>
    <row r="24" spans="2:15" ht="15" hidden="1" customHeight="1">
      <c r="B24" s="13" t="s">
        <v>1</v>
      </c>
      <c r="C24" s="13" t="s">
        <v>11</v>
      </c>
      <c r="D24" s="29" t="s">
        <v>94</v>
      </c>
      <c r="E24" s="14" t="s">
        <v>101</v>
      </c>
      <c r="F24" s="14">
        <v>2</v>
      </c>
      <c r="H24" s="165" t="str" cm="1">
        <f t="array" ref="H24">IF(INDEX($K:$AA,ROW(C24),MATCH(IF(VLOOKUP(_xlfn.CONCAT(B24,C24),'Detalhe Entregas e Status'!$D$9:$J$81,7,0)=DATE(2025,5,5),DATE(2025,5,12),VLOOKUP(_xlfn.CONCAT(B24,C24),'Detalhe Entregas e Status'!$D$9:$J$81,7,0)),$K$8:$AA$8,0))="","",INDEX($K:$AA,ROW(C24),MATCH(IF(VLOOKUP(_xlfn.CONCAT(B24,C24),'Detalhe Entregas e Status'!$D$9:$J$81,7,0)=DATE(2025,5,5),DATE(2025,5,12),VLOOKUP(_xlfn.CONCAT(B24,C24),'Detalhe Entregas e Status'!$D$9:$J$81,7,0)),$K$8:$AA$8,0)))</f>
        <v/>
      </c>
      <c r="I24" s="17" t="s">
        <v>365</v>
      </c>
      <c r="J24" s="200" t="s">
        <v>294</v>
      </c>
      <c r="K24" s="165"/>
      <c r="L24" s="165"/>
      <c r="M24" s="165"/>
      <c r="N24" s="165"/>
      <c r="O24" s="165"/>
    </row>
    <row r="25" spans="2:15" ht="15" hidden="1" customHeight="1">
      <c r="B25" s="13" t="s">
        <v>1</v>
      </c>
      <c r="C25" s="13" t="s">
        <v>11</v>
      </c>
      <c r="D25" s="29" t="s">
        <v>95</v>
      </c>
      <c r="E25" s="14" t="s">
        <v>101</v>
      </c>
      <c r="F25" s="14">
        <v>1</v>
      </c>
      <c r="H25" s="165" t="str" cm="1">
        <f t="array" ref="H25">IF(INDEX($K:$AA,ROW(C25),MATCH(IF(VLOOKUP(_xlfn.CONCAT(B25,C25),'Detalhe Entregas e Status'!$D$9:$J$81,7,0)=DATE(2025,5,5),DATE(2025,5,12),VLOOKUP(_xlfn.CONCAT(B25,C25),'Detalhe Entregas e Status'!$D$9:$J$81,7,0)),$K$8:$AA$8,0))="","",INDEX($K:$AA,ROW(C25),MATCH(IF(VLOOKUP(_xlfn.CONCAT(B25,C25),'Detalhe Entregas e Status'!$D$9:$J$81,7,0)=DATE(2025,5,5),DATE(2025,5,12),VLOOKUP(_xlfn.CONCAT(B25,C25),'Detalhe Entregas e Status'!$D$9:$J$81,7,0)),$K$8:$AA$8,0)))</f>
        <v/>
      </c>
      <c r="I25" s="17"/>
      <c r="J25" s="200" t="s">
        <v>294</v>
      </c>
      <c r="K25" s="165"/>
      <c r="L25" s="165"/>
      <c r="M25" s="165"/>
      <c r="N25" s="165"/>
      <c r="O25" s="165"/>
    </row>
    <row r="26" spans="2:15" ht="15" hidden="1" customHeight="1">
      <c r="B26" s="13" t="s">
        <v>1</v>
      </c>
      <c r="C26" s="13" t="s">
        <v>11</v>
      </c>
      <c r="D26" s="29" t="s">
        <v>96</v>
      </c>
      <c r="E26" s="14" t="s">
        <v>101</v>
      </c>
      <c r="F26" s="14">
        <v>2</v>
      </c>
      <c r="H26" s="165" t="str" cm="1">
        <f t="array" ref="H26">IF(INDEX($K:$AA,ROW(C26),MATCH(IF(VLOOKUP(_xlfn.CONCAT(B26,C26),'Detalhe Entregas e Status'!$D$9:$J$81,7,0)=DATE(2025,5,5),DATE(2025,5,12),VLOOKUP(_xlfn.CONCAT(B26,C26),'Detalhe Entregas e Status'!$D$9:$J$81,7,0)),$K$8:$AA$8,0))="","",INDEX($K:$AA,ROW(C26),MATCH(IF(VLOOKUP(_xlfn.CONCAT(B26,C26),'Detalhe Entregas e Status'!$D$9:$J$81,7,0)=DATE(2025,5,5),DATE(2025,5,12),VLOOKUP(_xlfn.CONCAT(B26,C26),'Detalhe Entregas e Status'!$D$9:$J$81,7,0)),$K$8:$AA$8,0)))</f>
        <v/>
      </c>
      <c r="I26" s="17"/>
      <c r="J26" s="200" t="s">
        <v>294</v>
      </c>
      <c r="K26" s="165"/>
      <c r="L26" s="165"/>
      <c r="M26" s="165"/>
      <c r="N26" s="165"/>
      <c r="O26" s="165"/>
    </row>
    <row r="27" spans="2:15" ht="15" hidden="1" customHeight="1">
      <c r="B27" s="13" t="s">
        <v>1</v>
      </c>
      <c r="C27" s="13" t="s">
        <v>12</v>
      </c>
      <c r="D27" s="29" t="s">
        <v>94</v>
      </c>
      <c r="E27" s="14" t="s">
        <v>100</v>
      </c>
      <c r="F27" s="14">
        <v>4</v>
      </c>
      <c r="H27" s="165" t="str" cm="1">
        <f t="array" ref="H27">IF(INDEX($K:$AA,ROW(C27),MATCH(IF(VLOOKUP(_xlfn.CONCAT(B27,C27),'Detalhe Entregas e Status'!$D$9:$J$81,7,0)=DATE(2025,5,5),DATE(2025,5,12),VLOOKUP(_xlfn.CONCAT(B27,C27),'Detalhe Entregas e Status'!$D$9:$J$81,7,0)),$K$8:$AA$8,0))="","",INDEX($K:$AA,ROW(C27),MATCH(IF(VLOOKUP(_xlfn.CONCAT(B27,C27),'Detalhe Entregas e Status'!$D$9:$J$81,7,0)=DATE(2025,5,5),DATE(2025,5,12),VLOOKUP(_xlfn.CONCAT(B27,C27),'Detalhe Entregas e Status'!$D$9:$J$81,7,0)),$K$8:$AA$8,0)))</f>
        <v/>
      </c>
      <c r="I27" s="17" t="s">
        <v>283</v>
      </c>
      <c r="J27" s="200" t="s">
        <v>294</v>
      </c>
      <c r="K27" s="165"/>
      <c r="L27" s="165"/>
      <c r="M27" s="165"/>
      <c r="N27" s="165"/>
      <c r="O27" s="165"/>
    </row>
    <row r="28" spans="2:15" ht="15" hidden="1" customHeight="1">
      <c r="B28" s="13" t="s">
        <v>1</v>
      </c>
      <c r="C28" s="13" t="s">
        <v>12</v>
      </c>
      <c r="D28" s="29" t="s">
        <v>95</v>
      </c>
      <c r="E28" s="14" t="s">
        <v>101</v>
      </c>
      <c r="F28" s="14">
        <v>1</v>
      </c>
      <c r="H28" s="165" t="str" cm="1">
        <f t="array" ref="H28">IF(INDEX($K:$AA,ROW(C28),MATCH(IF(VLOOKUP(_xlfn.CONCAT(B28,C28),'Detalhe Entregas e Status'!$D$9:$J$81,7,0)=DATE(2025,5,5),DATE(2025,5,12),VLOOKUP(_xlfn.CONCAT(B28,C28),'Detalhe Entregas e Status'!$D$9:$J$81,7,0)),$K$8:$AA$8,0))="","",INDEX($K:$AA,ROW(C28),MATCH(IF(VLOOKUP(_xlfn.CONCAT(B28,C28),'Detalhe Entregas e Status'!$D$9:$J$81,7,0)=DATE(2025,5,5),DATE(2025,5,12),VLOOKUP(_xlfn.CONCAT(B28,C28),'Detalhe Entregas e Status'!$D$9:$J$81,7,0)),$K$8:$AA$8,0)))</f>
        <v/>
      </c>
      <c r="I28" s="17"/>
      <c r="J28" s="200" t="s">
        <v>294</v>
      </c>
      <c r="K28" s="165"/>
      <c r="L28" s="165"/>
      <c r="M28" s="165"/>
      <c r="N28" s="165"/>
      <c r="O28" s="165"/>
    </row>
    <row r="29" spans="2:15" ht="15" hidden="1" customHeight="1">
      <c r="B29" s="13" t="s">
        <v>1</v>
      </c>
      <c r="C29" s="13" t="s">
        <v>13</v>
      </c>
      <c r="D29" s="29" t="s">
        <v>94</v>
      </c>
      <c r="E29" s="14" t="s">
        <v>101</v>
      </c>
      <c r="F29" s="14">
        <v>2</v>
      </c>
      <c r="H29" s="165" t="str" cm="1">
        <f t="array" ref="H29">IF(INDEX($K:$AA,ROW(C29),MATCH(IF(VLOOKUP(_xlfn.CONCAT(B29,C29),'Detalhe Entregas e Status'!$D$9:$J$81,7,0)=DATE(2025,5,5),DATE(2025,5,12),VLOOKUP(_xlfn.CONCAT(B29,C29),'Detalhe Entregas e Status'!$D$9:$J$81,7,0)),$K$8:$AA$8,0))="","",INDEX($K:$AA,ROW(C29),MATCH(IF(VLOOKUP(_xlfn.CONCAT(B29,C29),'Detalhe Entregas e Status'!$D$9:$J$81,7,0)=DATE(2025,5,5),DATE(2025,5,12),VLOOKUP(_xlfn.CONCAT(B29,C29),'Detalhe Entregas e Status'!$D$9:$J$81,7,0)),$K$8:$AA$8,0)))</f>
        <v/>
      </c>
      <c r="I29" s="17" t="s">
        <v>283</v>
      </c>
      <c r="J29" s="200" t="s">
        <v>294</v>
      </c>
      <c r="K29" s="165"/>
      <c r="L29" s="165"/>
      <c r="M29" s="165"/>
      <c r="N29" s="165"/>
      <c r="O29" s="165"/>
    </row>
    <row r="30" spans="2:15" ht="15" hidden="1" customHeight="1">
      <c r="B30" s="13" t="s">
        <v>1</v>
      </c>
      <c r="C30" s="13" t="s">
        <v>13</v>
      </c>
      <c r="D30" s="29" t="s">
        <v>95</v>
      </c>
      <c r="E30" s="14" t="s">
        <v>101</v>
      </c>
      <c r="F30" s="14">
        <v>1</v>
      </c>
      <c r="H30" s="165" t="str" cm="1">
        <f t="array" ref="H30">IF(INDEX($K:$AA,ROW(C30),MATCH(IF(VLOOKUP(_xlfn.CONCAT(B30,C30),'Detalhe Entregas e Status'!$D$9:$J$81,7,0)=DATE(2025,5,5),DATE(2025,5,12),VLOOKUP(_xlfn.CONCAT(B30,C30),'Detalhe Entregas e Status'!$D$9:$J$81,7,0)),$K$8:$AA$8,0))="","",INDEX($K:$AA,ROW(C30),MATCH(IF(VLOOKUP(_xlfn.CONCAT(B30,C30),'Detalhe Entregas e Status'!$D$9:$J$81,7,0)=DATE(2025,5,5),DATE(2025,5,12),VLOOKUP(_xlfn.CONCAT(B30,C30),'Detalhe Entregas e Status'!$D$9:$J$81,7,0)),$K$8:$AA$8,0)))</f>
        <v/>
      </c>
      <c r="I30" s="17"/>
      <c r="J30" s="200" t="s">
        <v>294</v>
      </c>
      <c r="K30" s="165"/>
      <c r="L30" s="165"/>
      <c r="M30" s="165"/>
      <c r="N30" s="165"/>
      <c r="O30" s="165"/>
    </row>
    <row r="31" spans="2:15" ht="15" hidden="1" customHeight="1">
      <c r="B31" s="13" t="s">
        <v>1</v>
      </c>
      <c r="C31" s="13" t="s">
        <v>14</v>
      </c>
      <c r="D31" s="29" t="s">
        <v>94</v>
      </c>
      <c r="E31" s="14" t="s">
        <v>101</v>
      </c>
      <c r="F31" s="14">
        <v>2</v>
      </c>
      <c r="H31" s="165" cm="1">
        <f t="array" ref="H31">IF(INDEX($K:$AA,ROW(C31),MATCH(IF(VLOOKUP(_xlfn.CONCAT(B31,C31),'Detalhe Entregas e Status'!$D$9:$J$81,7,0)=DATE(2025,5,5),DATE(2025,5,12),VLOOKUP(_xlfn.CONCAT(B31,C31),'Detalhe Entregas e Status'!$D$9:$J$81,7,0)),$K$8:$AA$8,0))="","",INDEX($K:$AA,ROW(C31),MATCH(IF(VLOOKUP(_xlfn.CONCAT(B31,C31),'Detalhe Entregas e Status'!$D$9:$J$81,7,0)=DATE(2025,5,5),DATE(2025,5,12),VLOOKUP(_xlfn.CONCAT(B31,C31),'Detalhe Entregas e Status'!$D$9:$J$81,7,0)),$K$8:$AA$8,0)))</f>
        <v>134115</v>
      </c>
      <c r="I31" s="17" t="s">
        <v>366</v>
      </c>
      <c r="J31" s="200" t="s">
        <v>294</v>
      </c>
      <c r="K31" s="165"/>
      <c r="L31" s="165">
        <v>134115</v>
      </c>
      <c r="M31" s="165">
        <v>134115</v>
      </c>
      <c r="N31" s="165"/>
      <c r="O31" s="165"/>
    </row>
    <row r="32" spans="2:15" ht="15" hidden="1" customHeight="1">
      <c r="B32" s="13" t="s">
        <v>1</v>
      </c>
      <c r="C32" s="13" t="s">
        <v>14</v>
      </c>
      <c r="D32" s="29" t="s">
        <v>95</v>
      </c>
      <c r="E32" s="14" t="s">
        <v>101</v>
      </c>
      <c r="F32" s="14">
        <v>1</v>
      </c>
      <c r="H32" s="165" cm="1">
        <f t="array" ref="H32">IF(INDEX($K:$AA,ROW(C32),MATCH(IF(VLOOKUP(_xlfn.CONCAT(B32,C32),'Detalhe Entregas e Status'!$D$9:$J$81,7,0)=DATE(2025,5,5),DATE(2025,5,12),VLOOKUP(_xlfn.CONCAT(B32,C32),'Detalhe Entregas e Status'!$D$9:$J$81,7,0)),$K$8:$AA$8,0))="","",INDEX($K:$AA,ROW(C32),MATCH(IF(VLOOKUP(_xlfn.CONCAT(B32,C32),'Detalhe Entregas e Status'!$D$9:$J$81,7,0)=DATE(2025,5,5),DATE(2025,5,12),VLOOKUP(_xlfn.CONCAT(B32,C32),'Detalhe Entregas e Status'!$D$9:$J$81,7,0)),$K$8:$AA$8,0)))</f>
        <v>134115</v>
      </c>
      <c r="I32" s="17"/>
      <c r="J32" s="200" t="s">
        <v>294</v>
      </c>
      <c r="K32" s="165"/>
      <c r="L32" s="165">
        <v>134115</v>
      </c>
      <c r="M32" s="165">
        <v>134115</v>
      </c>
      <c r="N32" s="165"/>
      <c r="O32" s="165"/>
    </row>
    <row r="33" spans="2:15" ht="15" hidden="1" customHeight="1">
      <c r="B33" s="13" t="s">
        <v>1</v>
      </c>
      <c r="C33" s="13" t="s">
        <v>15</v>
      </c>
      <c r="D33" s="29" t="s">
        <v>94</v>
      </c>
      <c r="E33" s="14" t="s">
        <v>101</v>
      </c>
      <c r="F33" s="14">
        <v>2</v>
      </c>
      <c r="H33" s="165" cm="1">
        <f t="array" ref="H33">IF(INDEX($K:$AA,ROW(C33),MATCH(IF(VLOOKUP(_xlfn.CONCAT(B33,C33),'Detalhe Entregas e Status'!$D$9:$J$81,7,0)=DATE(2025,5,5),DATE(2025,5,12),VLOOKUP(_xlfn.CONCAT(B33,C33),'Detalhe Entregas e Status'!$D$9:$J$81,7,0)),$K$8:$AA$8,0))="","",INDEX($K:$AA,ROW(C33),MATCH(IF(VLOOKUP(_xlfn.CONCAT(B33,C33),'Detalhe Entregas e Status'!$D$9:$J$81,7,0)=DATE(2025,5,5),DATE(2025,5,12),VLOOKUP(_xlfn.CONCAT(B33,C33),'Detalhe Entregas e Status'!$D$9:$J$81,7,0)),$K$8:$AA$8,0)))</f>
        <v>0</v>
      </c>
      <c r="I33" s="17" t="s">
        <v>367</v>
      </c>
      <c r="J33" s="200" t="s">
        <v>294</v>
      </c>
      <c r="K33" s="165"/>
      <c r="L33" s="165">
        <v>0</v>
      </c>
      <c r="M33" s="165">
        <v>0</v>
      </c>
      <c r="N33" s="165"/>
      <c r="O33" s="165"/>
    </row>
    <row r="34" spans="2:15" ht="15" hidden="1" customHeight="1">
      <c r="B34" s="13" t="s">
        <v>1</v>
      </c>
      <c r="C34" s="13" t="s">
        <v>15</v>
      </c>
      <c r="D34" s="29" t="s">
        <v>95</v>
      </c>
      <c r="E34" s="14" t="s">
        <v>101</v>
      </c>
      <c r="F34" s="14">
        <v>1</v>
      </c>
      <c r="H34" s="165" cm="1">
        <f t="array" ref="H34">IF(INDEX($K:$AA,ROW(C34),MATCH(IF(VLOOKUP(_xlfn.CONCAT(B34,C34),'Detalhe Entregas e Status'!$D$9:$J$81,7,0)=DATE(2025,5,5),DATE(2025,5,12),VLOOKUP(_xlfn.CONCAT(B34,C34),'Detalhe Entregas e Status'!$D$9:$J$81,7,0)),$K$8:$AA$8,0))="","",INDEX($K:$AA,ROW(C34),MATCH(IF(VLOOKUP(_xlfn.CONCAT(B34,C34),'Detalhe Entregas e Status'!$D$9:$J$81,7,0)=DATE(2025,5,5),DATE(2025,5,12),VLOOKUP(_xlfn.CONCAT(B34,C34),'Detalhe Entregas e Status'!$D$9:$J$81,7,0)),$K$8:$AA$8,0)))</f>
        <v>0</v>
      </c>
      <c r="I34" s="17"/>
      <c r="J34" s="200" t="s">
        <v>294</v>
      </c>
      <c r="K34" s="165"/>
      <c r="L34" s="165">
        <v>0</v>
      </c>
      <c r="M34" s="165">
        <v>0</v>
      </c>
      <c r="N34" s="165"/>
      <c r="O34" s="165"/>
    </row>
    <row r="35" spans="2:15" ht="15" hidden="1" customHeight="1">
      <c r="B35" s="13" t="s">
        <v>1</v>
      </c>
      <c r="C35" s="13" t="s">
        <v>16</v>
      </c>
      <c r="D35" s="29" t="s">
        <v>94</v>
      </c>
      <c r="E35" s="14" t="s">
        <v>101</v>
      </c>
      <c r="F35" s="14">
        <v>2</v>
      </c>
      <c r="H35" s="165" cm="1">
        <f t="array" ref="H35">IF(INDEX($K:$AA,ROW(C35),MATCH(IF(VLOOKUP(_xlfn.CONCAT(B35,C35),'Detalhe Entregas e Status'!$D$9:$J$81,7,0)=DATE(2025,5,5),DATE(2025,5,12),VLOOKUP(_xlfn.CONCAT(B35,C35),'Detalhe Entregas e Status'!$D$9:$J$81,7,0)),$K$8:$AA$8,0))="","",INDEX($K:$AA,ROW(C35),MATCH(IF(VLOOKUP(_xlfn.CONCAT(B35,C35),'Detalhe Entregas e Status'!$D$9:$J$81,7,0)=DATE(2025,5,5),DATE(2025,5,12),VLOOKUP(_xlfn.CONCAT(B35,C35),'Detalhe Entregas e Status'!$D$9:$J$81,7,0)),$K$8:$AA$8,0)))</f>
        <v>0</v>
      </c>
      <c r="I35" s="17" t="s">
        <v>367</v>
      </c>
      <c r="J35" s="200" t="s">
        <v>294</v>
      </c>
      <c r="K35" s="165"/>
      <c r="L35" s="165">
        <v>0</v>
      </c>
      <c r="M35" s="165">
        <v>0</v>
      </c>
      <c r="N35" s="165"/>
      <c r="O35" s="165"/>
    </row>
    <row r="36" spans="2:15" ht="15" hidden="1" customHeight="1">
      <c r="B36" s="13" t="s">
        <v>1</v>
      </c>
      <c r="C36" s="13" t="s">
        <v>16</v>
      </c>
      <c r="D36" s="29" t="s">
        <v>95</v>
      </c>
      <c r="E36" s="14" t="s">
        <v>101</v>
      </c>
      <c r="F36" s="14">
        <v>1</v>
      </c>
      <c r="H36" s="165" cm="1">
        <f t="array" ref="H36">IF(INDEX($K:$AA,ROW(C36),MATCH(IF(VLOOKUP(_xlfn.CONCAT(B36,C36),'Detalhe Entregas e Status'!$D$9:$J$81,7,0)=DATE(2025,5,5),DATE(2025,5,12),VLOOKUP(_xlfn.CONCAT(B36,C36),'Detalhe Entregas e Status'!$D$9:$J$81,7,0)),$K$8:$AA$8,0))="","",INDEX($K:$AA,ROW(C36),MATCH(IF(VLOOKUP(_xlfn.CONCAT(B36,C36),'Detalhe Entregas e Status'!$D$9:$J$81,7,0)=DATE(2025,5,5),DATE(2025,5,12),VLOOKUP(_xlfn.CONCAT(B36,C36),'Detalhe Entregas e Status'!$D$9:$J$81,7,0)),$K$8:$AA$8,0)))</f>
        <v>0</v>
      </c>
      <c r="I36" s="17"/>
      <c r="J36" s="200" t="s">
        <v>294</v>
      </c>
      <c r="K36" s="165"/>
      <c r="L36" s="165">
        <v>0</v>
      </c>
      <c r="M36" s="165">
        <v>0</v>
      </c>
      <c r="N36" s="165"/>
      <c r="O36" s="165"/>
    </row>
    <row r="37" spans="2:15" ht="15" hidden="1" customHeight="1">
      <c r="B37" s="13" t="s">
        <v>1</v>
      </c>
      <c r="C37" s="13" t="s">
        <v>17</v>
      </c>
      <c r="D37" s="29" t="s">
        <v>94</v>
      </c>
      <c r="E37" s="14" t="s">
        <v>101</v>
      </c>
      <c r="F37" s="14">
        <v>2</v>
      </c>
      <c r="H37" s="165" cm="1">
        <f t="array" ref="H37">IF(INDEX($K:$AA,ROW(C37),MATCH(IF(VLOOKUP(_xlfn.CONCAT(B37,C37),'Detalhe Entregas e Status'!$D$9:$J$81,7,0)=DATE(2025,5,5),DATE(2025,5,12),VLOOKUP(_xlfn.CONCAT(B37,C37),'Detalhe Entregas e Status'!$D$9:$J$81,7,0)),$K$8:$AA$8,0))="","",INDEX($K:$AA,ROW(C37),MATCH(IF(VLOOKUP(_xlfn.CONCAT(B37,C37),'Detalhe Entregas e Status'!$D$9:$J$81,7,0)=DATE(2025,5,5),DATE(2025,5,12),VLOOKUP(_xlfn.CONCAT(B37,C37),'Detalhe Entregas e Status'!$D$9:$J$81,7,0)),$K$8:$AA$8,0)))</f>
        <v>0</v>
      </c>
      <c r="I37" s="17" t="s">
        <v>367</v>
      </c>
      <c r="J37" s="200" t="s">
        <v>294</v>
      </c>
      <c r="K37" s="165"/>
      <c r="L37" s="165">
        <v>0</v>
      </c>
      <c r="M37" s="165">
        <v>0</v>
      </c>
      <c r="N37" s="165"/>
      <c r="O37" s="165"/>
    </row>
    <row r="38" spans="2:15" ht="15" hidden="1" customHeight="1">
      <c r="B38" s="13" t="s">
        <v>1</v>
      </c>
      <c r="C38" s="13" t="s">
        <v>17</v>
      </c>
      <c r="D38" s="29" t="s">
        <v>95</v>
      </c>
      <c r="E38" s="14" t="s">
        <v>101</v>
      </c>
      <c r="F38" s="14">
        <v>1</v>
      </c>
      <c r="H38" s="165" cm="1">
        <f t="array" ref="H38">IF(INDEX($K:$AA,ROW(C38),MATCH(IF(VLOOKUP(_xlfn.CONCAT(B38,C38),'Detalhe Entregas e Status'!$D$9:$J$81,7,0)=DATE(2025,5,5),DATE(2025,5,12),VLOOKUP(_xlfn.CONCAT(B38,C38),'Detalhe Entregas e Status'!$D$9:$J$81,7,0)),$K$8:$AA$8,0))="","",INDEX($K:$AA,ROW(C38),MATCH(IF(VLOOKUP(_xlfn.CONCAT(B38,C38),'Detalhe Entregas e Status'!$D$9:$J$81,7,0)=DATE(2025,5,5),DATE(2025,5,12),VLOOKUP(_xlfn.CONCAT(B38,C38),'Detalhe Entregas e Status'!$D$9:$J$81,7,0)),$K$8:$AA$8,0)))</f>
        <v>0</v>
      </c>
      <c r="I38" s="17"/>
      <c r="J38" s="200" t="s">
        <v>294</v>
      </c>
      <c r="K38" s="165"/>
      <c r="L38" s="165">
        <v>0</v>
      </c>
      <c r="M38" s="165">
        <v>0</v>
      </c>
      <c r="N38" s="165"/>
      <c r="O38" s="165"/>
    </row>
    <row r="39" spans="2:15" ht="15" hidden="1" customHeight="1">
      <c r="B39" s="13" t="s">
        <v>1</v>
      </c>
      <c r="C39" s="13" t="s">
        <v>18</v>
      </c>
      <c r="D39" s="29" t="s">
        <v>94</v>
      </c>
      <c r="E39" s="14" t="s">
        <v>100</v>
      </c>
      <c r="F39" s="14">
        <v>4</v>
      </c>
      <c r="H39" s="165" t="str" cm="1">
        <f t="array" ref="H39">IF(INDEX($K:$AA,ROW(C39),MATCH(IF(VLOOKUP(_xlfn.CONCAT(B39,C39),'Detalhe Entregas e Status'!$D$9:$J$81,7,0)=DATE(2025,5,5),DATE(2025,5,12),VLOOKUP(_xlfn.CONCAT(B39,C39),'Detalhe Entregas e Status'!$D$9:$J$81,7,0)),$K$8:$AA$8,0))="","",INDEX($K:$AA,ROW(C39),MATCH(IF(VLOOKUP(_xlfn.CONCAT(B39,C39),'Detalhe Entregas e Status'!$D$9:$J$81,7,0)=DATE(2025,5,5),DATE(2025,5,12),VLOOKUP(_xlfn.CONCAT(B39,C39),'Detalhe Entregas e Status'!$D$9:$J$81,7,0)),$K$8:$AA$8,0)))</f>
        <v/>
      </c>
      <c r="I39" s="17" t="s">
        <v>363</v>
      </c>
      <c r="J39" s="200" t="s">
        <v>294</v>
      </c>
      <c r="K39" s="165"/>
      <c r="L39" s="165"/>
      <c r="M39" s="165"/>
      <c r="N39" s="165"/>
      <c r="O39" s="165"/>
    </row>
    <row r="40" spans="2:15" ht="15" hidden="1" customHeight="1">
      <c r="B40" s="13" t="s">
        <v>1</v>
      </c>
      <c r="C40" s="13" t="s">
        <v>18</v>
      </c>
      <c r="D40" s="29" t="s">
        <v>95</v>
      </c>
      <c r="E40" s="14" t="s">
        <v>101</v>
      </c>
      <c r="F40" s="14">
        <v>1</v>
      </c>
      <c r="H40" s="165" t="str" cm="1">
        <f t="array" ref="H40">IF(INDEX($K:$AA,ROW(C40),MATCH(IF(VLOOKUP(_xlfn.CONCAT(B40,C40),'Detalhe Entregas e Status'!$D$9:$J$81,7,0)=DATE(2025,5,5),DATE(2025,5,12),VLOOKUP(_xlfn.CONCAT(B40,C40),'Detalhe Entregas e Status'!$D$9:$J$81,7,0)),$K$8:$AA$8,0))="","",INDEX($K:$AA,ROW(C40),MATCH(IF(VLOOKUP(_xlfn.CONCAT(B40,C40),'Detalhe Entregas e Status'!$D$9:$J$81,7,0)=DATE(2025,5,5),DATE(2025,5,12),VLOOKUP(_xlfn.CONCAT(B40,C40),'Detalhe Entregas e Status'!$D$9:$J$81,7,0)),$K$8:$AA$8,0)))</f>
        <v/>
      </c>
      <c r="I40" s="17"/>
      <c r="J40" s="200" t="s">
        <v>294</v>
      </c>
      <c r="K40" s="165"/>
      <c r="L40" s="165"/>
      <c r="M40" s="165"/>
      <c r="N40" s="165"/>
      <c r="O40" s="165"/>
    </row>
    <row r="41" spans="2:15" ht="15" hidden="1" customHeight="1">
      <c r="B41" s="13" t="s">
        <v>1</v>
      </c>
      <c r="C41" s="13" t="s">
        <v>19</v>
      </c>
      <c r="D41" s="29" t="s">
        <v>94</v>
      </c>
      <c r="E41" s="14" t="s">
        <v>101</v>
      </c>
      <c r="F41" s="14">
        <v>2</v>
      </c>
      <c r="H41" s="165" cm="1">
        <f t="array" ref="H41">IF(INDEX($K:$AA,ROW(C41),MATCH(IF(VLOOKUP(_xlfn.CONCAT(B41,C41),'Detalhe Entregas e Status'!$D$9:$J$81,7,0)=DATE(2025,5,5),DATE(2025,5,12),VLOOKUP(_xlfn.CONCAT(B41,C41),'Detalhe Entregas e Status'!$D$9:$J$81,7,0)),$K$8:$AA$8,0))="","",INDEX($K:$AA,ROW(C41),MATCH(IF(VLOOKUP(_xlfn.CONCAT(B41,C41),'Detalhe Entregas e Status'!$D$9:$J$81,7,0)=DATE(2025,5,5),DATE(2025,5,12),VLOOKUP(_xlfn.CONCAT(B41,C41),'Detalhe Entregas e Status'!$D$9:$J$81,7,0)),$K$8:$AA$8,0)))</f>
        <v>0</v>
      </c>
      <c r="I41" s="17" t="s">
        <v>283</v>
      </c>
      <c r="J41" s="200" t="s">
        <v>294</v>
      </c>
      <c r="K41" s="165"/>
      <c r="L41" s="165">
        <v>0</v>
      </c>
      <c r="M41" s="165">
        <v>0</v>
      </c>
      <c r="N41" s="165"/>
      <c r="O41" s="165"/>
    </row>
    <row r="42" spans="2:15" ht="15" hidden="1" customHeight="1">
      <c r="B42" s="13" t="s">
        <v>1</v>
      </c>
      <c r="C42" s="13" t="s">
        <v>19</v>
      </c>
      <c r="D42" s="29" t="s">
        <v>95</v>
      </c>
      <c r="E42" s="14" t="s">
        <v>101</v>
      </c>
      <c r="F42" s="14">
        <v>1</v>
      </c>
      <c r="H42" s="165" cm="1">
        <f t="array" ref="H42">IF(INDEX($K:$AA,ROW(C42),MATCH(IF(VLOOKUP(_xlfn.CONCAT(B42,C42),'Detalhe Entregas e Status'!$D$9:$J$81,7,0)=DATE(2025,5,5),DATE(2025,5,12),VLOOKUP(_xlfn.CONCAT(B42,C42),'Detalhe Entregas e Status'!$D$9:$J$81,7,0)),$K$8:$AA$8,0))="","",INDEX($K:$AA,ROW(C42),MATCH(IF(VLOOKUP(_xlfn.CONCAT(B42,C42),'Detalhe Entregas e Status'!$D$9:$J$81,7,0)=DATE(2025,5,5),DATE(2025,5,12),VLOOKUP(_xlfn.CONCAT(B42,C42),'Detalhe Entregas e Status'!$D$9:$J$81,7,0)),$K$8:$AA$8,0)))</f>
        <v>0</v>
      </c>
      <c r="I42" s="17"/>
      <c r="J42" s="200" t="s">
        <v>294</v>
      </c>
      <c r="K42" s="165"/>
      <c r="L42" s="165">
        <v>0</v>
      </c>
      <c r="M42" s="165">
        <v>0</v>
      </c>
      <c r="N42" s="165"/>
      <c r="O42" s="165"/>
    </row>
    <row r="43" spans="2:15" ht="15" hidden="1" customHeight="1">
      <c r="B43" s="13" t="s">
        <v>1</v>
      </c>
      <c r="C43" s="13" t="s">
        <v>20</v>
      </c>
      <c r="D43" s="29" t="s">
        <v>94</v>
      </c>
      <c r="E43" s="14" t="s">
        <v>100</v>
      </c>
      <c r="F43" s="14">
        <v>4</v>
      </c>
      <c r="H43" s="165" t="str" cm="1">
        <f t="array" ref="H43">IF(INDEX($K:$AA,ROW(C43),MATCH(IF(VLOOKUP(_xlfn.CONCAT(B43,C43),'Detalhe Entregas e Status'!$D$9:$J$81,7,0)=DATE(2025,5,5),DATE(2025,5,12),VLOOKUP(_xlfn.CONCAT(B43,C43),'Detalhe Entregas e Status'!$D$9:$J$81,7,0)),$K$8:$AA$8,0))="","",INDEX($K:$AA,ROW(C43),MATCH(IF(VLOOKUP(_xlfn.CONCAT(B43,C43),'Detalhe Entregas e Status'!$D$9:$J$81,7,0)=DATE(2025,5,5),DATE(2025,5,12),VLOOKUP(_xlfn.CONCAT(B43,C43),'Detalhe Entregas e Status'!$D$9:$J$81,7,0)),$K$8:$AA$8,0)))</f>
        <v/>
      </c>
      <c r="I43" s="17" t="s">
        <v>283</v>
      </c>
      <c r="J43" s="200" t="s">
        <v>294</v>
      </c>
      <c r="K43" s="165"/>
      <c r="L43" s="165"/>
      <c r="M43" s="165"/>
      <c r="N43" s="165"/>
      <c r="O43" s="165"/>
    </row>
    <row r="44" spans="2:15" ht="15" hidden="1" customHeight="1">
      <c r="B44" s="13" t="s">
        <v>1</v>
      </c>
      <c r="C44" s="13" t="s">
        <v>20</v>
      </c>
      <c r="D44" s="29" t="s">
        <v>95</v>
      </c>
      <c r="E44" s="14" t="s">
        <v>101</v>
      </c>
      <c r="F44" s="14">
        <v>1</v>
      </c>
      <c r="H44" s="165" t="str" cm="1">
        <f t="array" ref="H44">IF(INDEX($K:$AA,ROW(C44),MATCH(IF(VLOOKUP(_xlfn.CONCAT(B44,C44),'Detalhe Entregas e Status'!$D$9:$J$81,7,0)=DATE(2025,5,5),DATE(2025,5,12),VLOOKUP(_xlfn.CONCAT(B44,C44),'Detalhe Entregas e Status'!$D$9:$J$81,7,0)),$K$8:$AA$8,0))="","",INDEX($K:$AA,ROW(C44),MATCH(IF(VLOOKUP(_xlfn.CONCAT(B44,C44),'Detalhe Entregas e Status'!$D$9:$J$81,7,0)=DATE(2025,5,5),DATE(2025,5,12),VLOOKUP(_xlfn.CONCAT(B44,C44),'Detalhe Entregas e Status'!$D$9:$J$81,7,0)),$K$8:$AA$8,0)))</f>
        <v/>
      </c>
      <c r="I44" s="17"/>
      <c r="J44" s="200" t="s">
        <v>294</v>
      </c>
      <c r="K44" s="165"/>
      <c r="L44" s="165"/>
      <c r="M44" s="165"/>
      <c r="N44" s="165"/>
      <c r="O44" s="165"/>
    </row>
    <row r="45" spans="2:15" ht="15" hidden="1" customHeight="1">
      <c r="B45" s="13" t="s">
        <v>1</v>
      </c>
      <c r="C45" s="13" t="s">
        <v>21</v>
      </c>
      <c r="D45" s="29" t="s">
        <v>94</v>
      </c>
      <c r="E45" s="14" t="s">
        <v>100</v>
      </c>
      <c r="F45" s="14">
        <v>4</v>
      </c>
      <c r="H45" s="165" t="str" cm="1">
        <f t="array" ref="H45">IF(INDEX($K:$AA,ROW(C45),MATCH(IF(VLOOKUP(_xlfn.CONCAT(B45,C45),'Detalhe Entregas e Status'!$D$9:$J$81,7,0)=DATE(2025,5,5),DATE(2025,5,12),VLOOKUP(_xlfn.CONCAT(B45,C45),'Detalhe Entregas e Status'!$D$9:$J$81,7,0)),$K$8:$AA$8,0))="","",INDEX($K:$AA,ROW(C45),MATCH(IF(VLOOKUP(_xlfn.CONCAT(B45,C45),'Detalhe Entregas e Status'!$D$9:$J$81,7,0)=DATE(2025,5,5),DATE(2025,5,12),VLOOKUP(_xlfn.CONCAT(B45,C45),'Detalhe Entregas e Status'!$D$9:$J$81,7,0)),$K$8:$AA$8,0)))</f>
        <v/>
      </c>
      <c r="I45" s="17" t="s">
        <v>283</v>
      </c>
      <c r="J45" s="200" t="s">
        <v>294</v>
      </c>
      <c r="K45" s="165"/>
      <c r="L45" s="165"/>
      <c r="M45" s="165"/>
      <c r="N45" s="165"/>
      <c r="O45" s="165"/>
    </row>
    <row r="46" spans="2:15" ht="15" hidden="1" customHeight="1">
      <c r="B46" s="13" t="s">
        <v>1</v>
      </c>
      <c r="C46" s="13" t="s">
        <v>21</v>
      </c>
      <c r="D46" s="29" t="s">
        <v>95</v>
      </c>
      <c r="E46" s="14" t="s">
        <v>101</v>
      </c>
      <c r="F46" s="14">
        <v>1</v>
      </c>
      <c r="H46" s="165" t="str" cm="1">
        <f t="array" ref="H46">IF(INDEX($K:$AA,ROW(C46),MATCH(IF(VLOOKUP(_xlfn.CONCAT(B46,C46),'Detalhe Entregas e Status'!$D$9:$J$81,7,0)=DATE(2025,5,5),DATE(2025,5,12),VLOOKUP(_xlfn.CONCAT(B46,C46),'Detalhe Entregas e Status'!$D$9:$J$81,7,0)),$K$8:$AA$8,0))="","",INDEX($K:$AA,ROW(C46),MATCH(IF(VLOOKUP(_xlfn.CONCAT(B46,C46),'Detalhe Entregas e Status'!$D$9:$J$81,7,0)=DATE(2025,5,5),DATE(2025,5,12),VLOOKUP(_xlfn.CONCAT(B46,C46),'Detalhe Entregas e Status'!$D$9:$J$81,7,0)),$K$8:$AA$8,0)))</f>
        <v/>
      </c>
      <c r="I46" s="17"/>
      <c r="J46" s="200" t="s">
        <v>294</v>
      </c>
      <c r="K46" s="165"/>
      <c r="L46" s="165"/>
      <c r="M46" s="165"/>
      <c r="N46" s="165"/>
      <c r="O46" s="165"/>
    </row>
    <row r="47" spans="2:15" ht="15" hidden="1" customHeight="1">
      <c r="B47" s="13" t="s">
        <v>1</v>
      </c>
      <c r="C47" s="13" t="s">
        <v>22</v>
      </c>
      <c r="D47" s="29" t="s">
        <v>94</v>
      </c>
      <c r="E47" s="14" t="s">
        <v>101</v>
      </c>
      <c r="F47" s="14">
        <v>2</v>
      </c>
      <c r="H47" s="165" t="str" cm="1">
        <f t="array" ref="H47">IF(INDEX($K:$AA,ROW(C47),MATCH(IF(VLOOKUP(_xlfn.CONCAT(B47,C47),'Detalhe Entregas e Status'!$D$9:$J$81,7,0)=DATE(2025,5,5),DATE(2025,5,12),VLOOKUP(_xlfn.CONCAT(B47,C47),'Detalhe Entregas e Status'!$D$9:$J$81,7,0)),$K$8:$AA$8,0))="","",INDEX($K:$AA,ROW(C47),MATCH(IF(VLOOKUP(_xlfn.CONCAT(B47,C47),'Detalhe Entregas e Status'!$D$9:$J$81,7,0)=DATE(2025,5,5),DATE(2025,5,12),VLOOKUP(_xlfn.CONCAT(B47,C47),'Detalhe Entregas e Status'!$D$9:$J$81,7,0)),$K$8:$AA$8,0)))</f>
        <v/>
      </c>
      <c r="I47" s="17" t="s">
        <v>368</v>
      </c>
      <c r="J47" s="200" t="s">
        <v>294</v>
      </c>
      <c r="K47" s="165"/>
      <c r="L47" s="165"/>
      <c r="M47" s="165"/>
      <c r="N47" s="165"/>
      <c r="O47" s="165"/>
    </row>
    <row r="48" spans="2:15" ht="15" hidden="1" customHeight="1">
      <c r="B48" s="13" t="s">
        <v>1</v>
      </c>
      <c r="C48" s="13" t="s">
        <v>22</v>
      </c>
      <c r="D48" s="29" t="s">
        <v>95</v>
      </c>
      <c r="E48" s="14" t="s">
        <v>101</v>
      </c>
      <c r="F48" s="14">
        <v>1</v>
      </c>
      <c r="H48" s="165" t="str" cm="1">
        <f t="array" ref="H48">IF(INDEX($K:$AA,ROW(C48),MATCH(IF(VLOOKUP(_xlfn.CONCAT(B48,C48),'Detalhe Entregas e Status'!$D$9:$J$81,7,0)=DATE(2025,5,5),DATE(2025,5,12),VLOOKUP(_xlfn.CONCAT(B48,C48),'Detalhe Entregas e Status'!$D$9:$J$81,7,0)),$K$8:$AA$8,0))="","",INDEX($K:$AA,ROW(C48),MATCH(IF(VLOOKUP(_xlfn.CONCAT(B48,C48),'Detalhe Entregas e Status'!$D$9:$J$81,7,0)=DATE(2025,5,5),DATE(2025,5,12),VLOOKUP(_xlfn.CONCAT(B48,C48),'Detalhe Entregas e Status'!$D$9:$J$81,7,0)),$K$8:$AA$8,0)))</f>
        <v/>
      </c>
      <c r="I48" s="17"/>
      <c r="J48" s="200" t="s">
        <v>294</v>
      </c>
      <c r="K48" s="165"/>
      <c r="L48" s="165"/>
      <c r="M48" s="165"/>
      <c r="N48" s="165"/>
      <c r="O48" s="165"/>
    </row>
    <row r="49" spans="2:15" ht="15" hidden="1" customHeight="1">
      <c r="B49" s="13" t="s">
        <v>1</v>
      </c>
      <c r="C49" s="13" t="s">
        <v>23</v>
      </c>
      <c r="D49" s="29" t="s">
        <v>94</v>
      </c>
      <c r="E49" s="14" t="s">
        <v>100</v>
      </c>
      <c r="F49" s="14">
        <v>4</v>
      </c>
      <c r="H49" s="165" t="str" cm="1">
        <f t="array" ref="H49">IF(INDEX($K:$AA,ROW(C49),MATCH(IF(VLOOKUP(_xlfn.CONCAT(B49,C49),'Detalhe Entregas e Status'!$D$9:$J$81,7,0)=DATE(2025,5,5),DATE(2025,5,12),VLOOKUP(_xlfn.CONCAT(B49,C49),'Detalhe Entregas e Status'!$D$9:$J$81,7,0)),$K$8:$AA$8,0))="","",INDEX($K:$AA,ROW(C49),MATCH(IF(VLOOKUP(_xlfn.CONCAT(B49,C49),'Detalhe Entregas e Status'!$D$9:$J$81,7,0)=DATE(2025,5,5),DATE(2025,5,12),VLOOKUP(_xlfn.CONCAT(B49,C49),'Detalhe Entregas e Status'!$D$9:$J$81,7,0)),$K$8:$AA$8,0)))</f>
        <v/>
      </c>
      <c r="I49" s="17" t="s">
        <v>283</v>
      </c>
      <c r="J49" s="200" t="s">
        <v>294</v>
      </c>
      <c r="K49" s="165"/>
      <c r="L49" s="165"/>
      <c r="M49" s="165"/>
      <c r="N49" s="165"/>
      <c r="O49" s="165"/>
    </row>
    <row r="50" spans="2:15" ht="15" hidden="1" customHeight="1">
      <c r="B50" s="13" t="s">
        <v>1</v>
      </c>
      <c r="C50" s="13" t="s">
        <v>23</v>
      </c>
      <c r="D50" s="29" t="s">
        <v>95</v>
      </c>
      <c r="E50" s="14" t="s">
        <v>101</v>
      </c>
      <c r="F50" s="14">
        <v>1</v>
      </c>
      <c r="H50" s="165" t="str" cm="1">
        <f t="array" ref="H50">IF(INDEX($K:$AA,ROW(C50),MATCH(IF(VLOOKUP(_xlfn.CONCAT(B50,C50),'Detalhe Entregas e Status'!$D$9:$J$81,7,0)=DATE(2025,5,5),DATE(2025,5,12),VLOOKUP(_xlfn.CONCAT(B50,C50),'Detalhe Entregas e Status'!$D$9:$J$81,7,0)),$K$8:$AA$8,0))="","",INDEX($K:$AA,ROW(C50),MATCH(IF(VLOOKUP(_xlfn.CONCAT(B50,C50),'Detalhe Entregas e Status'!$D$9:$J$81,7,0)=DATE(2025,5,5),DATE(2025,5,12),VLOOKUP(_xlfn.CONCAT(B50,C50),'Detalhe Entregas e Status'!$D$9:$J$81,7,0)),$K$8:$AA$8,0)))</f>
        <v/>
      </c>
      <c r="I50" s="17"/>
      <c r="J50" s="200" t="s">
        <v>294</v>
      </c>
      <c r="K50" s="165"/>
      <c r="L50" s="165"/>
      <c r="M50" s="165"/>
      <c r="N50" s="165"/>
      <c r="O50" s="165"/>
    </row>
    <row r="51" spans="2:15" ht="15" hidden="1" customHeight="1">
      <c r="B51" s="13" t="s">
        <v>1</v>
      </c>
      <c r="C51" s="13" t="s">
        <v>24</v>
      </c>
      <c r="D51" s="29" t="s">
        <v>94</v>
      </c>
      <c r="E51" s="14" t="s">
        <v>100</v>
      </c>
      <c r="F51" s="14">
        <v>4</v>
      </c>
      <c r="H51" s="165" t="str" cm="1">
        <f t="array" ref="H51">IF(INDEX($K:$AA,ROW(C51),MATCH(IF(VLOOKUP(_xlfn.CONCAT(B51,C51),'Detalhe Entregas e Status'!$D$9:$J$81,7,0)=DATE(2025,5,5),DATE(2025,5,12),VLOOKUP(_xlfn.CONCAT(B51,C51),'Detalhe Entregas e Status'!$D$9:$J$81,7,0)),$K$8:$AA$8,0))="","",INDEX($K:$AA,ROW(C51),MATCH(IF(VLOOKUP(_xlfn.CONCAT(B51,C51),'Detalhe Entregas e Status'!$D$9:$J$81,7,0)=DATE(2025,5,5),DATE(2025,5,12),VLOOKUP(_xlfn.CONCAT(B51,C51),'Detalhe Entregas e Status'!$D$9:$J$81,7,0)),$K$8:$AA$8,0)))</f>
        <v/>
      </c>
      <c r="I51" s="17" t="s">
        <v>283</v>
      </c>
      <c r="J51" s="200" t="s">
        <v>294</v>
      </c>
      <c r="K51" s="165"/>
      <c r="L51" s="165"/>
      <c r="M51" s="165"/>
      <c r="N51" s="165"/>
      <c r="O51" s="165"/>
    </row>
    <row r="52" spans="2:15" ht="15" hidden="1" customHeight="1">
      <c r="B52" s="13" t="s">
        <v>1</v>
      </c>
      <c r="C52" s="13" t="s">
        <v>24</v>
      </c>
      <c r="D52" s="29" t="s">
        <v>95</v>
      </c>
      <c r="E52" s="14" t="s">
        <v>101</v>
      </c>
      <c r="F52" s="14">
        <v>1</v>
      </c>
      <c r="H52" s="165" t="str" cm="1">
        <f t="array" ref="H52">IF(INDEX($K:$AA,ROW(C52),MATCH(IF(VLOOKUP(_xlfn.CONCAT(B52,C52),'Detalhe Entregas e Status'!$D$9:$J$81,7,0)=DATE(2025,5,5),DATE(2025,5,12),VLOOKUP(_xlfn.CONCAT(B52,C52),'Detalhe Entregas e Status'!$D$9:$J$81,7,0)),$K$8:$AA$8,0))="","",INDEX($K:$AA,ROW(C52),MATCH(IF(VLOOKUP(_xlfn.CONCAT(B52,C52),'Detalhe Entregas e Status'!$D$9:$J$81,7,0)=DATE(2025,5,5),DATE(2025,5,12),VLOOKUP(_xlfn.CONCAT(B52,C52),'Detalhe Entregas e Status'!$D$9:$J$81,7,0)),$K$8:$AA$8,0)))</f>
        <v/>
      </c>
      <c r="I52" s="17"/>
      <c r="J52" s="200" t="s">
        <v>294</v>
      </c>
      <c r="K52" s="165"/>
      <c r="L52" s="165"/>
      <c r="M52" s="165"/>
      <c r="N52" s="165"/>
      <c r="O52" s="165"/>
    </row>
    <row r="53" spans="2:15" ht="15" hidden="1" customHeight="1">
      <c r="B53" s="13" t="s">
        <v>1</v>
      </c>
      <c r="C53" s="13" t="s">
        <v>25</v>
      </c>
      <c r="D53" s="29" t="s">
        <v>94</v>
      </c>
      <c r="E53" s="14" t="s">
        <v>101</v>
      </c>
      <c r="F53" s="14">
        <v>2</v>
      </c>
      <c r="H53" s="165" t="str" cm="1">
        <f t="array" ref="H53">IF(INDEX($K:$AA,ROW(C53),MATCH(IF(VLOOKUP(_xlfn.CONCAT(B53,C53),'Detalhe Entregas e Status'!$D$9:$J$81,7,0)=DATE(2025,5,5),DATE(2025,5,12),VLOOKUP(_xlfn.CONCAT(B53,C53),'Detalhe Entregas e Status'!$D$9:$J$81,7,0)),$K$8:$AA$8,0))="","",INDEX($K:$AA,ROW(C53),MATCH(IF(VLOOKUP(_xlfn.CONCAT(B53,C53),'Detalhe Entregas e Status'!$D$9:$J$81,7,0)=DATE(2025,5,5),DATE(2025,5,12),VLOOKUP(_xlfn.CONCAT(B53,C53),'Detalhe Entregas e Status'!$D$9:$J$81,7,0)),$K$8:$AA$8,0)))</f>
        <v/>
      </c>
      <c r="I53" s="17" t="s">
        <v>367</v>
      </c>
      <c r="J53" s="200" t="s">
        <v>294</v>
      </c>
      <c r="K53" s="165"/>
      <c r="L53" s="165">
        <v>0</v>
      </c>
      <c r="M53" s="165"/>
      <c r="N53" s="165"/>
      <c r="O53" s="165"/>
    </row>
    <row r="54" spans="2:15" ht="15" hidden="1" customHeight="1">
      <c r="B54" s="13" t="s">
        <v>1</v>
      </c>
      <c r="C54" s="13" t="s">
        <v>25</v>
      </c>
      <c r="D54" s="29" t="s">
        <v>95</v>
      </c>
      <c r="E54" s="14" t="s">
        <v>101</v>
      </c>
      <c r="F54" s="14">
        <v>1</v>
      </c>
      <c r="H54" s="165" t="str" cm="1">
        <f t="array" ref="H54">IF(INDEX($K:$AA,ROW(C54),MATCH(IF(VLOOKUP(_xlfn.CONCAT(B54,C54),'Detalhe Entregas e Status'!$D$9:$J$81,7,0)=DATE(2025,5,5),DATE(2025,5,12),VLOOKUP(_xlfn.CONCAT(B54,C54),'Detalhe Entregas e Status'!$D$9:$J$81,7,0)),$K$8:$AA$8,0))="","",INDEX($K:$AA,ROW(C54),MATCH(IF(VLOOKUP(_xlfn.CONCAT(B54,C54),'Detalhe Entregas e Status'!$D$9:$J$81,7,0)=DATE(2025,5,5),DATE(2025,5,12),VLOOKUP(_xlfn.CONCAT(B54,C54),'Detalhe Entregas e Status'!$D$9:$J$81,7,0)),$K$8:$AA$8,0)))</f>
        <v/>
      </c>
      <c r="I54" s="17"/>
      <c r="J54" s="200" t="s">
        <v>294</v>
      </c>
      <c r="K54" s="165"/>
      <c r="L54" s="165">
        <v>0</v>
      </c>
      <c r="M54" s="165"/>
      <c r="N54" s="165"/>
      <c r="O54" s="165"/>
    </row>
    <row r="55" spans="2:15" ht="15" hidden="1" customHeight="1">
      <c r="B55" s="13" t="s">
        <v>1</v>
      </c>
      <c r="C55" s="13" t="s">
        <v>26</v>
      </c>
      <c r="D55" s="29" t="s">
        <v>94</v>
      </c>
      <c r="E55" s="14" t="s">
        <v>101</v>
      </c>
      <c r="F55" s="14">
        <v>2</v>
      </c>
      <c r="H55" s="165" t="str" cm="1">
        <f t="array" ref="H55">IF(INDEX($K:$AA,ROW(C55),MATCH(IF(VLOOKUP(_xlfn.CONCAT(B55,C55),'Detalhe Entregas e Status'!$D$9:$J$81,7,0)=DATE(2025,5,5),DATE(2025,5,12),VLOOKUP(_xlfn.CONCAT(B55,C55),'Detalhe Entregas e Status'!$D$9:$J$81,7,0)),$K$8:$AA$8,0))="","",INDEX($K:$AA,ROW(C55),MATCH(IF(VLOOKUP(_xlfn.CONCAT(B55,C55),'Detalhe Entregas e Status'!$D$9:$J$81,7,0)=DATE(2025,5,5),DATE(2025,5,12),VLOOKUP(_xlfn.CONCAT(B55,C55),'Detalhe Entregas e Status'!$D$9:$J$81,7,0)),$K$8:$AA$8,0)))</f>
        <v/>
      </c>
      <c r="I55" s="17" t="s">
        <v>367</v>
      </c>
      <c r="J55" s="200" t="s">
        <v>294</v>
      </c>
      <c r="K55" s="165"/>
      <c r="L55" s="165">
        <v>0</v>
      </c>
      <c r="M55" s="165"/>
      <c r="N55" s="165"/>
      <c r="O55" s="165"/>
    </row>
    <row r="56" spans="2:15" ht="15" hidden="1" customHeight="1">
      <c r="B56" s="13" t="s">
        <v>1</v>
      </c>
      <c r="C56" s="13" t="s">
        <v>26</v>
      </c>
      <c r="D56" s="29" t="s">
        <v>95</v>
      </c>
      <c r="E56" s="14" t="s">
        <v>101</v>
      </c>
      <c r="F56" s="14">
        <v>1</v>
      </c>
      <c r="H56" s="165" t="str" cm="1">
        <f t="array" ref="H56">IF(INDEX($K:$AA,ROW(C56),MATCH(IF(VLOOKUP(_xlfn.CONCAT(B56,C56),'Detalhe Entregas e Status'!$D$9:$J$81,7,0)=DATE(2025,5,5),DATE(2025,5,12),VLOOKUP(_xlfn.CONCAT(B56,C56),'Detalhe Entregas e Status'!$D$9:$J$81,7,0)),$K$8:$AA$8,0))="","",INDEX($K:$AA,ROW(C56),MATCH(IF(VLOOKUP(_xlfn.CONCAT(B56,C56),'Detalhe Entregas e Status'!$D$9:$J$81,7,0)=DATE(2025,5,5),DATE(2025,5,12),VLOOKUP(_xlfn.CONCAT(B56,C56),'Detalhe Entregas e Status'!$D$9:$J$81,7,0)),$K$8:$AA$8,0)))</f>
        <v/>
      </c>
      <c r="I56" s="17"/>
      <c r="J56" s="200" t="s">
        <v>294</v>
      </c>
      <c r="K56" s="165"/>
      <c r="L56" s="165">
        <v>0</v>
      </c>
      <c r="M56" s="165"/>
      <c r="N56" s="165"/>
      <c r="O56" s="165"/>
    </row>
    <row r="57" spans="2:15" ht="15" hidden="1" customHeight="1">
      <c r="B57" s="13" t="s">
        <v>1</v>
      </c>
      <c r="C57" s="13" t="s">
        <v>27</v>
      </c>
      <c r="D57" s="29" t="s">
        <v>94</v>
      </c>
      <c r="E57" s="14" t="s">
        <v>101</v>
      </c>
      <c r="F57" s="14">
        <v>2</v>
      </c>
      <c r="H57" s="165" t="str" cm="1">
        <f t="array" ref="H57">IF(INDEX($K:$AA,ROW(C57),MATCH(IF(VLOOKUP(_xlfn.CONCAT(B57,C57),'Detalhe Entregas e Status'!$D$9:$J$81,7,0)=DATE(2025,5,5),DATE(2025,5,12),VLOOKUP(_xlfn.CONCAT(B57,C57),'Detalhe Entregas e Status'!$D$9:$J$81,7,0)),$K$8:$AA$8,0))="","",INDEX($K:$AA,ROW(C57),MATCH(IF(VLOOKUP(_xlfn.CONCAT(B57,C57),'Detalhe Entregas e Status'!$D$9:$J$81,7,0)=DATE(2025,5,5),DATE(2025,5,12),VLOOKUP(_xlfn.CONCAT(B57,C57),'Detalhe Entregas e Status'!$D$9:$J$81,7,0)),$K$8:$AA$8,0)))</f>
        <v/>
      </c>
      <c r="I57" s="17" t="s">
        <v>367</v>
      </c>
      <c r="J57" s="200" t="s">
        <v>294</v>
      </c>
      <c r="K57" s="165"/>
      <c r="L57" s="165">
        <v>0</v>
      </c>
      <c r="M57" s="165"/>
      <c r="N57" s="165"/>
      <c r="O57" s="165"/>
    </row>
    <row r="58" spans="2:15" ht="15" hidden="1" customHeight="1">
      <c r="B58" s="13" t="s">
        <v>1</v>
      </c>
      <c r="C58" s="13" t="s">
        <v>27</v>
      </c>
      <c r="D58" s="29" t="s">
        <v>95</v>
      </c>
      <c r="E58" s="14" t="s">
        <v>101</v>
      </c>
      <c r="F58" s="14">
        <v>1</v>
      </c>
      <c r="H58" s="165" t="str" cm="1">
        <f t="array" ref="H58">IF(INDEX($K:$AA,ROW(C58),MATCH(IF(VLOOKUP(_xlfn.CONCAT(B58,C58),'Detalhe Entregas e Status'!$D$9:$J$81,7,0)=DATE(2025,5,5),DATE(2025,5,12),VLOOKUP(_xlfn.CONCAT(B58,C58),'Detalhe Entregas e Status'!$D$9:$J$81,7,0)),$K$8:$AA$8,0))="","",INDEX($K:$AA,ROW(C58),MATCH(IF(VLOOKUP(_xlfn.CONCAT(B58,C58),'Detalhe Entregas e Status'!$D$9:$J$81,7,0)=DATE(2025,5,5),DATE(2025,5,12),VLOOKUP(_xlfn.CONCAT(B58,C58),'Detalhe Entregas e Status'!$D$9:$J$81,7,0)),$K$8:$AA$8,0)))</f>
        <v/>
      </c>
      <c r="I58" s="17"/>
      <c r="J58" s="200" t="s">
        <v>294</v>
      </c>
      <c r="K58" s="165"/>
      <c r="L58" s="165">
        <v>0</v>
      </c>
      <c r="M58" s="165"/>
      <c r="N58" s="165"/>
      <c r="O58" s="165"/>
    </row>
    <row r="59" spans="2:15" ht="15" hidden="1" customHeight="1">
      <c r="B59" s="13" t="s">
        <v>1</v>
      </c>
      <c r="C59" s="13" t="s">
        <v>28</v>
      </c>
      <c r="D59" s="29" t="s">
        <v>94</v>
      </c>
      <c r="E59" s="14" t="s">
        <v>101</v>
      </c>
      <c r="F59" s="14">
        <v>2</v>
      </c>
      <c r="H59" s="165" t="str" cm="1">
        <f t="array" ref="H59">IF(INDEX($K:$AA,ROW(C59),MATCH(IF(VLOOKUP(_xlfn.CONCAT(B59,C59),'Detalhe Entregas e Status'!$D$9:$J$81,7,0)=DATE(2025,5,5),DATE(2025,5,12),VLOOKUP(_xlfn.CONCAT(B59,C59),'Detalhe Entregas e Status'!$D$9:$J$81,7,0)),$K$8:$AA$8,0))="","",INDEX($K:$AA,ROW(C59),MATCH(IF(VLOOKUP(_xlfn.CONCAT(B59,C59),'Detalhe Entregas e Status'!$D$9:$J$81,7,0)=DATE(2025,5,5),DATE(2025,5,12),VLOOKUP(_xlfn.CONCAT(B59,C59),'Detalhe Entregas e Status'!$D$9:$J$81,7,0)),$K$8:$AA$8,0)))</f>
        <v/>
      </c>
      <c r="I59" s="17" t="s">
        <v>367</v>
      </c>
      <c r="J59" s="200" t="s">
        <v>294</v>
      </c>
      <c r="K59" s="165"/>
      <c r="L59" s="165">
        <v>0</v>
      </c>
      <c r="M59" s="165"/>
      <c r="N59" s="165"/>
      <c r="O59" s="165"/>
    </row>
    <row r="60" spans="2:15" ht="15" hidden="1" customHeight="1">
      <c r="B60" s="13" t="s">
        <v>1</v>
      </c>
      <c r="C60" s="13" t="s">
        <v>28</v>
      </c>
      <c r="D60" s="29" t="s">
        <v>95</v>
      </c>
      <c r="E60" s="14" t="s">
        <v>101</v>
      </c>
      <c r="F60" s="14">
        <v>1</v>
      </c>
      <c r="H60" s="165" t="str" cm="1">
        <f t="array" ref="H60">IF(INDEX($K:$AA,ROW(C60),MATCH(IF(VLOOKUP(_xlfn.CONCAT(B60,C60),'Detalhe Entregas e Status'!$D$9:$J$81,7,0)=DATE(2025,5,5),DATE(2025,5,12),VLOOKUP(_xlfn.CONCAT(B60,C60),'Detalhe Entregas e Status'!$D$9:$J$81,7,0)),$K$8:$AA$8,0))="","",INDEX($K:$AA,ROW(C60),MATCH(IF(VLOOKUP(_xlfn.CONCAT(B60,C60),'Detalhe Entregas e Status'!$D$9:$J$81,7,0)=DATE(2025,5,5),DATE(2025,5,12),VLOOKUP(_xlfn.CONCAT(B60,C60),'Detalhe Entregas e Status'!$D$9:$J$81,7,0)),$K$8:$AA$8,0)))</f>
        <v/>
      </c>
      <c r="I60" s="17"/>
      <c r="J60" s="200" t="s">
        <v>294</v>
      </c>
      <c r="K60" s="165"/>
      <c r="L60" s="165">
        <v>0</v>
      </c>
      <c r="M60" s="165"/>
      <c r="N60" s="165"/>
      <c r="O60" s="165"/>
    </row>
    <row r="61" spans="2:15" ht="15" hidden="1" customHeight="1">
      <c r="B61" s="13" t="s">
        <v>1</v>
      </c>
      <c r="C61" s="13" t="s">
        <v>29</v>
      </c>
      <c r="D61" s="29" t="s">
        <v>94</v>
      </c>
      <c r="E61" s="14" t="s">
        <v>101</v>
      </c>
      <c r="F61" s="14">
        <v>2</v>
      </c>
      <c r="H61" s="165" t="str" cm="1">
        <f t="array" ref="H61">IF(INDEX($K:$AA,ROW(C61),MATCH(IF(VLOOKUP(_xlfn.CONCAT(B61,C61),'Detalhe Entregas e Status'!$D$9:$J$81,7,0)=DATE(2025,5,5),DATE(2025,5,12),VLOOKUP(_xlfn.CONCAT(B61,C61),'Detalhe Entregas e Status'!$D$9:$J$81,7,0)),$K$8:$AA$8,0))="","",INDEX($K:$AA,ROW(C61),MATCH(IF(VLOOKUP(_xlfn.CONCAT(B61,C61),'Detalhe Entregas e Status'!$D$9:$J$81,7,0)=DATE(2025,5,5),DATE(2025,5,12),VLOOKUP(_xlfn.CONCAT(B61,C61),'Detalhe Entregas e Status'!$D$9:$J$81,7,0)),$K$8:$AA$8,0)))</f>
        <v/>
      </c>
      <c r="I61" s="17" t="s">
        <v>367</v>
      </c>
      <c r="J61" s="200" t="s">
        <v>294</v>
      </c>
      <c r="K61" s="165"/>
      <c r="L61" s="165">
        <v>0</v>
      </c>
      <c r="M61" s="165"/>
      <c r="N61" s="165"/>
      <c r="O61" s="165"/>
    </row>
    <row r="62" spans="2:15" ht="15" hidden="1" customHeight="1">
      <c r="B62" s="13" t="s">
        <v>1</v>
      </c>
      <c r="C62" s="13" t="s">
        <v>29</v>
      </c>
      <c r="D62" s="29" t="s">
        <v>95</v>
      </c>
      <c r="E62" s="14" t="s">
        <v>101</v>
      </c>
      <c r="F62" s="14">
        <v>1</v>
      </c>
      <c r="H62" s="165" t="str" cm="1">
        <f t="array" ref="H62">IF(INDEX($K:$AA,ROW(C62),MATCH(IF(VLOOKUP(_xlfn.CONCAT(B62,C62),'Detalhe Entregas e Status'!$D$9:$J$81,7,0)=DATE(2025,5,5),DATE(2025,5,12),VLOOKUP(_xlfn.CONCAT(B62,C62),'Detalhe Entregas e Status'!$D$9:$J$81,7,0)),$K$8:$AA$8,0))="","",INDEX($K:$AA,ROW(C62),MATCH(IF(VLOOKUP(_xlfn.CONCAT(B62,C62),'Detalhe Entregas e Status'!$D$9:$J$81,7,0)=DATE(2025,5,5),DATE(2025,5,12),VLOOKUP(_xlfn.CONCAT(B62,C62),'Detalhe Entregas e Status'!$D$9:$J$81,7,0)),$K$8:$AA$8,0)))</f>
        <v/>
      </c>
      <c r="I62" s="17"/>
      <c r="J62" s="200" t="s">
        <v>294</v>
      </c>
      <c r="K62" s="165"/>
      <c r="L62" s="165">
        <v>0</v>
      </c>
      <c r="M62" s="165"/>
      <c r="N62" s="165"/>
      <c r="O62" s="165"/>
    </row>
    <row r="63" spans="2:15" ht="15" hidden="1" customHeight="1">
      <c r="B63" s="13" t="s">
        <v>1</v>
      </c>
      <c r="C63" s="13" t="s">
        <v>30</v>
      </c>
      <c r="D63" s="29" t="s">
        <v>94</v>
      </c>
      <c r="E63" s="14" t="s">
        <v>101</v>
      </c>
      <c r="F63" s="14">
        <v>2</v>
      </c>
      <c r="H63" s="165" t="str" cm="1">
        <f t="array" ref="H63">IF(INDEX($K:$AA,ROW(C63),MATCH(IF(VLOOKUP(_xlfn.CONCAT(B63,C63),'Detalhe Entregas e Status'!$D$9:$J$81,7,0)=DATE(2025,5,5),DATE(2025,5,12),VLOOKUP(_xlfn.CONCAT(B63,C63),'Detalhe Entregas e Status'!$D$9:$J$81,7,0)),$K$8:$AA$8,0))="","",INDEX($K:$AA,ROW(C63),MATCH(IF(VLOOKUP(_xlfn.CONCAT(B63,C63),'Detalhe Entregas e Status'!$D$9:$J$81,7,0)=DATE(2025,5,5),DATE(2025,5,12),VLOOKUP(_xlfn.CONCAT(B63,C63),'Detalhe Entregas e Status'!$D$9:$J$81,7,0)),$K$8:$AA$8,0)))</f>
        <v/>
      </c>
      <c r="I63" s="17" t="s">
        <v>367</v>
      </c>
      <c r="J63" s="200" t="s">
        <v>294</v>
      </c>
      <c r="K63" s="165"/>
      <c r="L63" s="165">
        <v>0</v>
      </c>
      <c r="M63" s="165"/>
      <c r="N63" s="165"/>
      <c r="O63" s="165"/>
    </row>
    <row r="64" spans="2:15" ht="15" hidden="1" customHeight="1">
      <c r="B64" s="13" t="s">
        <v>1</v>
      </c>
      <c r="C64" s="13" t="s">
        <v>30</v>
      </c>
      <c r="D64" s="29" t="s">
        <v>95</v>
      </c>
      <c r="E64" s="14" t="s">
        <v>101</v>
      </c>
      <c r="F64" s="14">
        <v>1</v>
      </c>
      <c r="H64" s="165" t="str" cm="1">
        <f t="array" ref="H64">IF(INDEX($K:$AA,ROW(C64),MATCH(IF(VLOOKUP(_xlfn.CONCAT(B64,C64),'Detalhe Entregas e Status'!$D$9:$J$81,7,0)=DATE(2025,5,5),DATE(2025,5,12),VLOOKUP(_xlfn.CONCAT(B64,C64),'Detalhe Entregas e Status'!$D$9:$J$81,7,0)),$K$8:$AA$8,0))="","",INDEX($K:$AA,ROW(C64),MATCH(IF(VLOOKUP(_xlfn.CONCAT(B64,C64),'Detalhe Entregas e Status'!$D$9:$J$81,7,0)=DATE(2025,5,5),DATE(2025,5,12),VLOOKUP(_xlfn.CONCAT(B64,C64),'Detalhe Entregas e Status'!$D$9:$J$81,7,0)),$K$8:$AA$8,0)))</f>
        <v/>
      </c>
      <c r="I64" s="17"/>
      <c r="J64" s="200" t="s">
        <v>294</v>
      </c>
      <c r="K64" s="165"/>
      <c r="L64" s="165">
        <v>0</v>
      </c>
      <c r="M64" s="165"/>
      <c r="N64" s="165"/>
      <c r="O64" s="165"/>
    </row>
    <row r="65" spans="2:15" ht="15" hidden="1" customHeight="1">
      <c r="B65" s="13" t="s">
        <v>1</v>
      </c>
      <c r="C65" s="13" t="s">
        <v>31</v>
      </c>
      <c r="D65" s="29" t="s">
        <v>94</v>
      </c>
      <c r="E65" s="14" t="s">
        <v>101</v>
      </c>
      <c r="F65" s="14">
        <v>2</v>
      </c>
      <c r="H65" s="165" t="str" cm="1">
        <f t="array" ref="H65">IF(INDEX($K:$AA,ROW(C65),MATCH(IF(VLOOKUP(_xlfn.CONCAT(B65,C65),'Detalhe Entregas e Status'!$D$9:$J$81,7,0)=DATE(2025,5,5),DATE(2025,5,12),VLOOKUP(_xlfn.CONCAT(B65,C65),'Detalhe Entregas e Status'!$D$9:$J$81,7,0)),$K$8:$AA$8,0))="","",INDEX($K:$AA,ROW(C65),MATCH(IF(VLOOKUP(_xlfn.CONCAT(B65,C65),'Detalhe Entregas e Status'!$D$9:$J$81,7,0)=DATE(2025,5,5),DATE(2025,5,12),VLOOKUP(_xlfn.CONCAT(B65,C65),'Detalhe Entregas e Status'!$D$9:$J$81,7,0)),$K$8:$AA$8,0)))</f>
        <v/>
      </c>
      <c r="I65" s="17" t="s">
        <v>367</v>
      </c>
      <c r="J65" s="200" t="s">
        <v>294</v>
      </c>
      <c r="K65" s="165"/>
      <c r="L65" s="165">
        <v>0</v>
      </c>
      <c r="M65" s="165"/>
      <c r="N65" s="165"/>
      <c r="O65" s="165"/>
    </row>
    <row r="66" spans="2:15" ht="15" hidden="1" customHeight="1">
      <c r="B66" s="13" t="s">
        <v>1</v>
      </c>
      <c r="C66" s="13" t="s">
        <v>31</v>
      </c>
      <c r="D66" s="29" t="s">
        <v>95</v>
      </c>
      <c r="E66" s="14" t="s">
        <v>101</v>
      </c>
      <c r="F66" s="14">
        <v>1</v>
      </c>
      <c r="H66" s="165" t="str" cm="1">
        <f t="array" ref="H66">IF(INDEX($K:$AA,ROW(C66),MATCH(IF(VLOOKUP(_xlfn.CONCAT(B66,C66),'Detalhe Entregas e Status'!$D$9:$J$81,7,0)=DATE(2025,5,5),DATE(2025,5,12),VLOOKUP(_xlfn.CONCAT(B66,C66),'Detalhe Entregas e Status'!$D$9:$J$81,7,0)),$K$8:$AA$8,0))="","",INDEX($K:$AA,ROW(C66),MATCH(IF(VLOOKUP(_xlfn.CONCAT(B66,C66),'Detalhe Entregas e Status'!$D$9:$J$81,7,0)=DATE(2025,5,5),DATE(2025,5,12),VLOOKUP(_xlfn.CONCAT(B66,C66),'Detalhe Entregas e Status'!$D$9:$J$81,7,0)),$K$8:$AA$8,0)))</f>
        <v/>
      </c>
      <c r="I66" s="17"/>
      <c r="J66" s="200" t="s">
        <v>294</v>
      </c>
      <c r="K66" s="165"/>
      <c r="L66" s="165">
        <v>0</v>
      </c>
      <c r="M66" s="165"/>
      <c r="N66" s="165"/>
      <c r="O66" s="165"/>
    </row>
    <row r="67" spans="2:15" ht="15" hidden="1" customHeight="1">
      <c r="B67" s="13" t="s">
        <v>1</v>
      </c>
      <c r="C67" s="13" t="s">
        <v>32</v>
      </c>
      <c r="D67" s="29" t="s">
        <v>94</v>
      </c>
      <c r="E67" s="14" t="s">
        <v>101</v>
      </c>
      <c r="F67" s="14">
        <v>2</v>
      </c>
      <c r="H67" s="165" t="str" cm="1">
        <f t="array" ref="H67">IF(INDEX($K:$AA,ROW(C67),MATCH(IF(VLOOKUP(_xlfn.CONCAT(B67,C67),'Detalhe Entregas e Status'!$D$9:$J$81,7,0)=DATE(2025,5,5),DATE(2025,5,12),VLOOKUP(_xlfn.CONCAT(B67,C67),'Detalhe Entregas e Status'!$D$9:$J$81,7,0)),$K$8:$AA$8,0))="","",INDEX($K:$AA,ROW(C67),MATCH(IF(VLOOKUP(_xlfn.CONCAT(B67,C67),'Detalhe Entregas e Status'!$D$9:$J$81,7,0)=DATE(2025,5,5),DATE(2025,5,12),VLOOKUP(_xlfn.CONCAT(B67,C67),'Detalhe Entregas e Status'!$D$9:$J$81,7,0)),$K$8:$AA$8,0)))</f>
        <v/>
      </c>
      <c r="I67" s="17" t="s">
        <v>367</v>
      </c>
      <c r="J67" s="200" t="s">
        <v>294</v>
      </c>
      <c r="K67" s="165"/>
      <c r="L67" s="165">
        <v>0</v>
      </c>
      <c r="M67" s="165"/>
      <c r="N67" s="165"/>
      <c r="O67" s="165"/>
    </row>
    <row r="68" spans="2:15" ht="15" hidden="1" customHeight="1">
      <c r="B68" s="13" t="s">
        <v>1</v>
      </c>
      <c r="C68" s="13" t="s">
        <v>32</v>
      </c>
      <c r="D68" s="29" t="s">
        <v>95</v>
      </c>
      <c r="E68" s="14" t="s">
        <v>101</v>
      </c>
      <c r="F68" s="14">
        <v>1</v>
      </c>
      <c r="H68" s="165" t="str" cm="1">
        <f t="array" ref="H68">IF(INDEX($K:$AA,ROW(C68),MATCH(IF(VLOOKUP(_xlfn.CONCAT(B68,C68),'Detalhe Entregas e Status'!$D$9:$J$81,7,0)=DATE(2025,5,5),DATE(2025,5,12),VLOOKUP(_xlfn.CONCAT(B68,C68),'Detalhe Entregas e Status'!$D$9:$J$81,7,0)),$K$8:$AA$8,0))="","",INDEX($K:$AA,ROW(C68),MATCH(IF(VLOOKUP(_xlfn.CONCAT(B68,C68),'Detalhe Entregas e Status'!$D$9:$J$81,7,0)=DATE(2025,5,5),DATE(2025,5,12),VLOOKUP(_xlfn.CONCAT(B68,C68),'Detalhe Entregas e Status'!$D$9:$J$81,7,0)),$K$8:$AA$8,0)))</f>
        <v/>
      </c>
      <c r="I68" s="17"/>
      <c r="J68" s="200" t="s">
        <v>294</v>
      </c>
      <c r="K68" s="165"/>
      <c r="L68" s="165">
        <v>0</v>
      </c>
      <c r="M68" s="165"/>
      <c r="N68" s="165"/>
      <c r="O68" s="165"/>
    </row>
    <row r="69" spans="2:15" ht="15" hidden="1" customHeight="1">
      <c r="B69" s="13" t="s">
        <v>1</v>
      </c>
      <c r="C69" s="13" t="s">
        <v>52</v>
      </c>
      <c r="D69" s="29" t="s">
        <v>94</v>
      </c>
      <c r="E69" s="14" t="s">
        <v>99</v>
      </c>
      <c r="F69" s="14">
        <v>8</v>
      </c>
      <c r="H69" s="165" t="str" cm="1">
        <f t="array" ref="H69">IF(INDEX($K:$AA,ROW(C69),MATCH(IF(VLOOKUP(_xlfn.CONCAT(B69,C69),'Detalhe Entregas e Status'!$D$9:$J$81,7,0)=DATE(2025,5,5),DATE(2025,5,12),VLOOKUP(_xlfn.CONCAT(B69,C69),'Detalhe Entregas e Status'!$D$9:$J$81,7,0)),$K$8:$AA$8,0))="","",INDEX($K:$AA,ROW(C69),MATCH(IF(VLOOKUP(_xlfn.CONCAT(B69,C69),'Detalhe Entregas e Status'!$D$9:$J$81,7,0)=DATE(2025,5,5),DATE(2025,5,12),VLOOKUP(_xlfn.CONCAT(B69,C69),'Detalhe Entregas e Status'!$D$9:$J$81,7,0)),$K$8:$AA$8,0)))</f>
        <v/>
      </c>
      <c r="I69" s="17" t="s">
        <v>369</v>
      </c>
      <c r="J69" s="200" t="s">
        <v>294</v>
      </c>
      <c r="K69" s="165"/>
      <c r="L69" s="165"/>
      <c r="M69" s="165"/>
      <c r="N69" s="165"/>
      <c r="O69" s="165"/>
    </row>
    <row r="70" spans="2:15" ht="15" hidden="1" customHeight="1">
      <c r="B70" s="13" t="s">
        <v>1</v>
      </c>
      <c r="C70" s="13" t="s">
        <v>52</v>
      </c>
      <c r="D70" s="29" t="s">
        <v>95</v>
      </c>
      <c r="E70" s="14" t="s">
        <v>101</v>
      </c>
      <c r="F70" s="14">
        <v>1</v>
      </c>
      <c r="H70" s="165" t="str" cm="1">
        <f t="array" ref="H70">IF(INDEX($K:$AA,ROW(C70),MATCH(IF(VLOOKUP(_xlfn.CONCAT(B70,C70),'Detalhe Entregas e Status'!$D$9:$J$81,7,0)=DATE(2025,5,5),DATE(2025,5,12),VLOOKUP(_xlfn.CONCAT(B70,C70),'Detalhe Entregas e Status'!$D$9:$J$81,7,0)),$K$8:$AA$8,0))="","",INDEX($K:$AA,ROW(C70),MATCH(IF(VLOOKUP(_xlfn.CONCAT(B70,C70),'Detalhe Entregas e Status'!$D$9:$J$81,7,0)=DATE(2025,5,5),DATE(2025,5,12),VLOOKUP(_xlfn.CONCAT(B70,C70),'Detalhe Entregas e Status'!$D$9:$J$81,7,0)),$K$8:$AA$8,0)))</f>
        <v/>
      </c>
      <c r="I70" s="17"/>
      <c r="J70" s="200" t="s">
        <v>294</v>
      </c>
      <c r="K70" s="165"/>
      <c r="L70" s="165"/>
      <c r="M70" s="165"/>
      <c r="N70" s="165"/>
      <c r="O70" s="165"/>
    </row>
    <row r="71" spans="2:15" ht="15" hidden="1" customHeight="1">
      <c r="B71" s="13" t="s">
        <v>1</v>
      </c>
      <c r="C71" s="13" t="s">
        <v>52</v>
      </c>
      <c r="D71" s="29" t="s">
        <v>97</v>
      </c>
      <c r="E71" s="14" t="s">
        <v>99</v>
      </c>
      <c r="F71" s="14">
        <v>2</v>
      </c>
      <c r="H71" s="165" t="str" cm="1">
        <f t="array" ref="H71">IF(INDEX($K:$AA,ROW(C71),MATCH(IF(VLOOKUP(_xlfn.CONCAT(B71,C71),'Detalhe Entregas e Status'!$D$9:$J$81,7,0)=DATE(2025,5,5),DATE(2025,5,12),VLOOKUP(_xlfn.CONCAT(B71,C71),'Detalhe Entregas e Status'!$D$9:$J$81,7,0)),$K$8:$AA$8,0))="","",INDEX($K:$AA,ROW(C71),MATCH(IF(VLOOKUP(_xlfn.CONCAT(B71,C71),'Detalhe Entregas e Status'!$D$9:$J$81,7,0)=DATE(2025,5,5),DATE(2025,5,12),VLOOKUP(_xlfn.CONCAT(B71,C71),'Detalhe Entregas e Status'!$D$9:$J$81,7,0)),$K$8:$AA$8,0)))</f>
        <v/>
      </c>
      <c r="I71" s="17"/>
      <c r="J71" s="200" t="s">
        <v>294</v>
      </c>
      <c r="K71" s="165"/>
      <c r="L71" s="165"/>
      <c r="M71" s="165"/>
      <c r="N71" s="165"/>
      <c r="O71" s="165"/>
    </row>
    <row r="72" spans="2:15" ht="15" hidden="1" customHeight="1">
      <c r="B72" s="13" t="s">
        <v>1</v>
      </c>
      <c r="C72" s="13" t="s">
        <v>53</v>
      </c>
      <c r="D72" s="29" t="s">
        <v>94</v>
      </c>
      <c r="E72" s="14" t="s">
        <v>99</v>
      </c>
      <c r="F72" s="14">
        <v>8</v>
      </c>
      <c r="H72" s="165" t="str" cm="1">
        <f t="array" ref="H72">IF(INDEX($K:$AA,ROW(C72),MATCH(IF(VLOOKUP(_xlfn.CONCAT(B72,C72),'Detalhe Entregas e Status'!$D$9:$J$81,7,0)=DATE(2025,5,5),DATE(2025,5,12),VLOOKUP(_xlfn.CONCAT(B72,C72),'Detalhe Entregas e Status'!$D$9:$J$81,7,0)),$K$8:$AA$8,0))="","",INDEX($K:$AA,ROW(C72),MATCH(IF(VLOOKUP(_xlfn.CONCAT(B72,C72),'Detalhe Entregas e Status'!$D$9:$J$81,7,0)=DATE(2025,5,5),DATE(2025,5,12),VLOOKUP(_xlfn.CONCAT(B72,C72),'Detalhe Entregas e Status'!$D$9:$J$81,7,0)),$K$8:$AA$8,0)))</f>
        <v/>
      </c>
      <c r="I72" s="17" t="s">
        <v>284</v>
      </c>
      <c r="J72" s="200" t="s">
        <v>294</v>
      </c>
      <c r="K72" s="165"/>
      <c r="L72" s="165">
        <v>77013</v>
      </c>
      <c r="M72" s="165"/>
      <c r="N72" s="165"/>
      <c r="O72" s="165"/>
    </row>
    <row r="73" spans="2:15" ht="15" hidden="1" customHeight="1">
      <c r="B73" s="13" t="s">
        <v>1</v>
      </c>
      <c r="C73" s="13" t="s">
        <v>53</v>
      </c>
      <c r="D73" s="29" t="s">
        <v>96</v>
      </c>
      <c r="E73" s="14" t="s">
        <v>101</v>
      </c>
      <c r="F73" s="14">
        <v>2</v>
      </c>
      <c r="H73" s="165" t="str" cm="1">
        <f t="array" ref="H73">IF(INDEX($K:$AA,ROW(C73),MATCH(IF(VLOOKUP(_xlfn.CONCAT(B73,C73),'Detalhe Entregas e Status'!$D$9:$J$81,7,0)=DATE(2025,5,5),DATE(2025,5,12),VLOOKUP(_xlfn.CONCAT(B73,C73),'Detalhe Entregas e Status'!$D$9:$J$81,7,0)),$K$8:$AA$8,0))="","",INDEX($K:$AA,ROW(C73),MATCH(IF(VLOOKUP(_xlfn.CONCAT(B73,C73),'Detalhe Entregas e Status'!$D$9:$J$81,7,0)=DATE(2025,5,5),DATE(2025,5,12),VLOOKUP(_xlfn.CONCAT(B73,C73),'Detalhe Entregas e Status'!$D$9:$J$81,7,0)),$K$8:$AA$8,0)))</f>
        <v/>
      </c>
      <c r="I73" s="17"/>
      <c r="J73" s="200" t="s">
        <v>294</v>
      </c>
      <c r="K73" s="165"/>
      <c r="L73" s="165"/>
      <c r="M73" s="165"/>
      <c r="N73" s="165"/>
      <c r="O73" s="165"/>
    </row>
    <row r="74" spans="2:15" ht="15" hidden="1" customHeight="1">
      <c r="B74" s="13" t="s">
        <v>1</v>
      </c>
      <c r="C74" s="13" t="s">
        <v>53</v>
      </c>
      <c r="D74" s="29" t="s">
        <v>95</v>
      </c>
      <c r="E74" s="14" t="s">
        <v>101</v>
      </c>
      <c r="F74" s="14">
        <v>1</v>
      </c>
      <c r="H74" s="165" t="str" cm="1">
        <f t="array" ref="H74">IF(INDEX($K:$AA,ROW(C74),MATCH(IF(VLOOKUP(_xlfn.CONCAT(B74,C74),'Detalhe Entregas e Status'!$D$9:$J$81,7,0)=DATE(2025,5,5),DATE(2025,5,12),VLOOKUP(_xlfn.CONCAT(B74,C74),'Detalhe Entregas e Status'!$D$9:$J$81,7,0)),$K$8:$AA$8,0))="","",INDEX($K:$AA,ROW(C74),MATCH(IF(VLOOKUP(_xlfn.CONCAT(B74,C74),'Detalhe Entregas e Status'!$D$9:$J$81,7,0)=DATE(2025,5,5),DATE(2025,5,12),VLOOKUP(_xlfn.CONCAT(B74,C74),'Detalhe Entregas e Status'!$D$9:$J$81,7,0)),$K$8:$AA$8,0)))</f>
        <v/>
      </c>
      <c r="I74" s="17"/>
      <c r="J74" s="200" t="s">
        <v>294</v>
      </c>
      <c r="K74" s="165"/>
      <c r="L74" s="165"/>
      <c r="M74" s="165"/>
      <c r="N74" s="165"/>
      <c r="O74" s="165"/>
    </row>
    <row r="75" spans="2:15" ht="15" hidden="1" customHeight="1">
      <c r="B75" s="13" t="s">
        <v>1</v>
      </c>
      <c r="C75" s="13" t="s">
        <v>33</v>
      </c>
      <c r="D75" s="29" t="s">
        <v>97</v>
      </c>
      <c r="E75" s="14" t="s">
        <v>101</v>
      </c>
      <c r="F75" s="14">
        <v>2</v>
      </c>
      <c r="H75" s="165" t="str" cm="1">
        <f t="array" ref="H75">IF(INDEX($K:$AA,ROW(C75),MATCH(IF(VLOOKUP(_xlfn.CONCAT(B75,C75),'Detalhe Entregas e Status'!$D$9:$J$81,7,0)=DATE(2025,5,5),DATE(2025,5,12),VLOOKUP(_xlfn.CONCAT(B75,C75),'Detalhe Entregas e Status'!$D$9:$J$81,7,0)),$K$8:$AA$8,0))="","",INDEX($K:$AA,ROW(C75),MATCH(IF(VLOOKUP(_xlfn.CONCAT(B75,C75),'Detalhe Entregas e Status'!$D$9:$J$81,7,0)=DATE(2025,5,5),DATE(2025,5,12),VLOOKUP(_xlfn.CONCAT(B75,C75),'Detalhe Entregas e Status'!$D$9:$J$81,7,0)),$K$8:$AA$8,0)))</f>
        <v/>
      </c>
      <c r="I75" s="17" t="s">
        <v>364</v>
      </c>
      <c r="J75" s="200" t="s">
        <v>294</v>
      </c>
      <c r="K75" s="165"/>
      <c r="L75" s="165"/>
      <c r="M75" s="165"/>
      <c r="N75" s="165"/>
      <c r="O75" s="165"/>
    </row>
    <row r="76" spans="2:15" ht="15" hidden="1" customHeight="1">
      <c r="B76" s="13" t="s">
        <v>1</v>
      </c>
      <c r="C76" s="13" t="s">
        <v>33</v>
      </c>
      <c r="D76" s="29" t="s">
        <v>95</v>
      </c>
      <c r="E76" s="14" t="s">
        <v>101</v>
      </c>
      <c r="F76" s="14">
        <v>1</v>
      </c>
      <c r="H76" s="165" t="str" cm="1">
        <f t="array" ref="H76">IF(INDEX($K:$AA,ROW(C76),MATCH(IF(VLOOKUP(_xlfn.CONCAT(B76,C76),'Detalhe Entregas e Status'!$D$9:$J$81,7,0)=DATE(2025,5,5),DATE(2025,5,12),VLOOKUP(_xlfn.CONCAT(B76,C76),'Detalhe Entregas e Status'!$D$9:$J$81,7,0)),$K$8:$AA$8,0))="","",INDEX($K:$AA,ROW(C76),MATCH(IF(VLOOKUP(_xlfn.CONCAT(B76,C76),'Detalhe Entregas e Status'!$D$9:$J$81,7,0)=DATE(2025,5,5),DATE(2025,5,12),VLOOKUP(_xlfn.CONCAT(B76,C76),'Detalhe Entregas e Status'!$D$9:$J$81,7,0)),$K$8:$AA$8,0)))</f>
        <v/>
      </c>
      <c r="I76" s="17"/>
      <c r="J76" s="200" t="s">
        <v>294</v>
      </c>
      <c r="K76" s="165"/>
      <c r="L76" s="165"/>
      <c r="M76" s="165"/>
      <c r="N76" s="165"/>
      <c r="O76" s="165"/>
    </row>
    <row r="77" spans="2:15" ht="15" hidden="1" customHeight="1">
      <c r="B77" s="13" t="s">
        <v>1</v>
      </c>
      <c r="C77" s="13" t="s">
        <v>34</v>
      </c>
      <c r="D77" s="29" t="s">
        <v>97</v>
      </c>
      <c r="E77" s="14" t="s">
        <v>101</v>
      </c>
      <c r="F77" s="14">
        <v>2</v>
      </c>
      <c r="H77" s="165" t="str" cm="1">
        <f t="array" ref="H77">IF(INDEX($K:$AA,ROW(C77),MATCH(IF(VLOOKUP(_xlfn.CONCAT(B77,C77),'Detalhe Entregas e Status'!$D$9:$J$81,7,0)=DATE(2025,5,5),DATE(2025,5,12),VLOOKUP(_xlfn.CONCAT(B77,C77),'Detalhe Entregas e Status'!$D$9:$J$81,7,0)),$K$8:$AA$8,0))="","",INDEX($K:$AA,ROW(C77),MATCH(IF(VLOOKUP(_xlfn.CONCAT(B77,C77),'Detalhe Entregas e Status'!$D$9:$J$81,7,0)=DATE(2025,5,5),DATE(2025,5,12),VLOOKUP(_xlfn.CONCAT(B77,C77),'Detalhe Entregas e Status'!$D$9:$J$81,7,0)),$K$8:$AA$8,0)))</f>
        <v/>
      </c>
      <c r="I77" s="17" t="s">
        <v>364</v>
      </c>
      <c r="J77" s="200" t="s">
        <v>294</v>
      </c>
      <c r="K77" s="165"/>
      <c r="L77" s="165"/>
      <c r="M77" s="165"/>
      <c r="N77" s="165"/>
      <c r="O77" s="165"/>
    </row>
    <row r="78" spans="2:15" ht="15" hidden="1" customHeight="1">
      <c r="B78" s="13" t="s">
        <v>1</v>
      </c>
      <c r="C78" s="13" t="s">
        <v>34</v>
      </c>
      <c r="D78" s="29" t="s">
        <v>95</v>
      </c>
      <c r="E78" s="14" t="s">
        <v>101</v>
      </c>
      <c r="F78" s="14">
        <v>1</v>
      </c>
      <c r="H78" s="165" t="str" cm="1">
        <f t="array" ref="H78">IF(INDEX($K:$AA,ROW(C78),MATCH(IF(VLOOKUP(_xlfn.CONCAT(B78,C78),'Detalhe Entregas e Status'!$D$9:$J$81,7,0)=DATE(2025,5,5),DATE(2025,5,12),VLOOKUP(_xlfn.CONCAT(B78,C78),'Detalhe Entregas e Status'!$D$9:$J$81,7,0)),$K$8:$AA$8,0))="","",INDEX($K:$AA,ROW(C78),MATCH(IF(VLOOKUP(_xlfn.CONCAT(B78,C78),'Detalhe Entregas e Status'!$D$9:$J$81,7,0)=DATE(2025,5,5),DATE(2025,5,12),VLOOKUP(_xlfn.CONCAT(B78,C78),'Detalhe Entregas e Status'!$D$9:$J$81,7,0)),$K$8:$AA$8,0)))</f>
        <v/>
      </c>
      <c r="I78" s="17"/>
      <c r="J78" s="200" t="s">
        <v>294</v>
      </c>
      <c r="K78" s="165"/>
      <c r="L78" s="165"/>
      <c r="M78" s="165"/>
      <c r="N78" s="165"/>
      <c r="O78" s="165"/>
    </row>
    <row r="79" spans="2:15" ht="15" hidden="1" customHeight="1">
      <c r="B79" s="13" t="s">
        <v>1</v>
      </c>
      <c r="C79" s="13" t="s">
        <v>35</v>
      </c>
      <c r="D79" s="29" t="s">
        <v>97</v>
      </c>
      <c r="E79" s="14" t="s">
        <v>101</v>
      </c>
      <c r="F79" s="14">
        <v>2</v>
      </c>
      <c r="H79" s="165" t="str" cm="1">
        <f t="array" ref="H79">IF(INDEX($K:$AA,ROW(C79),MATCH(IF(VLOOKUP(_xlfn.CONCAT(B79,C79),'Detalhe Entregas e Status'!$D$9:$J$81,7,0)=DATE(2025,5,5),DATE(2025,5,12),VLOOKUP(_xlfn.CONCAT(B79,C79),'Detalhe Entregas e Status'!$D$9:$J$81,7,0)),$K$8:$AA$8,0))="","",INDEX($K:$AA,ROW(C79),MATCH(IF(VLOOKUP(_xlfn.CONCAT(B79,C79),'Detalhe Entregas e Status'!$D$9:$J$81,7,0)=DATE(2025,5,5),DATE(2025,5,12),VLOOKUP(_xlfn.CONCAT(B79,C79),'Detalhe Entregas e Status'!$D$9:$J$81,7,0)),$K$8:$AA$8,0)))</f>
        <v/>
      </c>
      <c r="I79" s="17" t="s">
        <v>364</v>
      </c>
      <c r="J79" s="200" t="s">
        <v>294</v>
      </c>
      <c r="K79" s="165"/>
      <c r="L79" s="165"/>
      <c r="M79" s="165"/>
      <c r="N79" s="165"/>
      <c r="O79" s="165"/>
    </row>
    <row r="80" spans="2:15" ht="15" hidden="1" customHeight="1">
      <c r="B80" s="13" t="s">
        <v>1</v>
      </c>
      <c r="C80" s="13" t="s">
        <v>35</v>
      </c>
      <c r="D80" s="29" t="s">
        <v>95</v>
      </c>
      <c r="E80" s="14" t="s">
        <v>101</v>
      </c>
      <c r="F80" s="14">
        <v>1</v>
      </c>
      <c r="H80" s="165" t="str" cm="1">
        <f t="array" ref="H80">IF(INDEX($K:$AA,ROW(C80),MATCH(IF(VLOOKUP(_xlfn.CONCAT(B80,C80),'Detalhe Entregas e Status'!$D$9:$J$81,7,0)=DATE(2025,5,5),DATE(2025,5,12),VLOOKUP(_xlfn.CONCAT(B80,C80),'Detalhe Entregas e Status'!$D$9:$J$81,7,0)),$K$8:$AA$8,0))="","",INDEX($K:$AA,ROW(C80),MATCH(IF(VLOOKUP(_xlfn.CONCAT(B80,C80),'Detalhe Entregas e Status'!$D$9:$J$81,7,0)=DATE(2025,5,5),DATE(2025,5,12),VLOOKUP(_xlfn.CONCAT(B80,C80),'Detalhe Entregas e Status'!$D$9:$J$81,7,0)),$K$8:$AA$8,0)))</f>
        <v/>
      </c>
      <c r="I80" s="17"/>
      <c r="J80" s="200" t="s">
        <v>294</v>
      </c>
      <c r="K80" s="165"/>
      <c r="L80" s="165"/>
      <c r="M80" s="165"/>
      <c r="N80" s="165"/>
      <c r="O80" s="165"/>
    </row>
    <row r="81" spans="2:15" ht="15" hidden="1" customHeight="1">
      <c r="B81" s="13" t="s">
        <v>1</v>
      </c>
      <c r="C81" s="13" t="s">
        <v>36</v>
      </c>
      <c r="D81" s="29" t="s">
        <v>97</v>
      </c>
      <c r="E81" s="14" t="s">
        <v>101</v>
      </c>
      <c r="F81" s="14">
        <v>2</v>
      </c>
      <c r="H81" s="165" t="str" cm="1">
        <f t="array" ref="H81">IF(INDEX($K:$AA,ROW(C81),MATCH(IF(VLOOKUP(_xlfn.CONCAT(B81,C81),'Detalhe Entregas e Status'!$D$9:$J$81,7,0)=DATE(2025,5,5),DATE(2025,5,12),VLOOKUP(_xlfn.CONCAT(B81,C81),'Detalhe Entregas e Status'!$D$9:$J$81,7,0)),$K$8:$AA$8,0))="","",INDEX($K:$AA,ROW(C81),MATCH(IF(VLOOKUP(_xlfn.CONCAT(B81,C81),'Detalhe Entregas e Status'!$D$9:$J$81,7,0)=DATE(2025,5,5),DATE(2025,5,12),VLOOKUP(_xlfn.CONCAT(B81,C81),'Detalhe Entregas e Status'!$D$9:$J$81,7,0)),$K$8:$AA$8,0)))</f>
        <v/>
      </c>
      <c r="I81" s="17" t="s">
        <v>364</v>
      </c>
      <c r="J81" s="200" t="s">
        <v>294</v>
      </c>
      <c r="K81" s="165"/>
      <c r="L81" s="165"/>
      <c r="M81" s="165"/>
      <c r="N81" s="165"/>
      <c r="O81" s="165"/>
    </row>
    <row r="82" spans="2:15" ht="15" hidden="1" customHeight="1">
      <c r="B82" s="13" t="s">
        <v>1</v>
      </c>
      <c r="C82" s="13" t="s">
        <v>36</v>
      </c>
      <c r="D82" s="29" t="s">
        <v>95</v>
      </c>
      <c r="E82" s="14" t="s">
        <v>101</v>
      </c>
      <c r="F82" s="14">
        <v>1</v>
      </c>
      <c r="H82" s="165" t="str" cm="1">
        <f t="array" ref="H82">IF(INDEX($K:$AA,ROW(C82),MATCH(IF(VLOOKUP(_xlfn.CONCAT(B82,C82),'Detalhe Entregas e Status'!$D$9:$J$81,7,0)=DATE(2025,5,5),DATE(2025,5,12),VLOOKUP(_xlfn.CONCAT(B82,C82),'Detalhe Entregas e Status'!$D$9:$J$81,7,0)),$K$8:$AA$8,0))="","",INDEX($K:$AA,ROW(C82),MATCH(IF(VLOOKUP(_xlfn.CONCAT(B82,C82),'Detalhe Entregas e Status'!$D$9:$J$81,7,0)=DATE(2025,5,5),DATE(2025,5,12),VLOOKUP(_xlfn.CONCAT(B82,C82),'Detalhe Entregas e Status'!$D$9:$J$81,7,0)),$K$8:$AA$8,0)))</f>
        <v/>
      </c>
      <c r="I82" s="17"/>
      <c r="J82" s="200" t="s">
        <v>294</v>
      </c>
      <c r="K82" s="165"/>
      <c r="L82" s="165"/>
      <c r="M82" s="165"/>
      <c r="N82" s="165"/>
      <c r="O82" s="165"/>
    </row>
    <row r="83" spans="2:15" ht="15" hidden="1" customHeight="1">
      <c r="B83" s="13" t="s">
        <v>1</v>
      </c>
      <c r="C83" s="13" t="s">
        <v>37</v>
      </c>
      <c r="D83" s="29" t="s">
        <v>97</v>
      </c>
      <c r="E83" s="14" t="s">
        <v>101</v>
      </c>
      <c r="F83" s="14">
        <v>2</v>
      </c>
      <c r="H83" s="165" t="str" cm="1">
        <f t="array" ref="H83">IF(INDEX($K:$AA,ROW(C83),MATCH(IF(VLOOKUP(_xlfn.CONCAT(B83,C83),'Detalhe Entregas e Status'!$D$9:$J$81,7,0)=DATE(2025,5,5),DATE(2025,5,12),VLOOKUP(_xlfn.CONCAT(B83,C83),'Detalhe Entregas e Status'!$D$9:$J$81,7,0)),$K$8:$AA$8,0))="","",INDEX($K:$AA,ROW(C83),MATCH(IF(VLOOKUP(_xlfn.CONCAT(B83,C83),'Detalhe Entregas e Status'!$D$9:$J$81,7,0)=DATE(2025,5,5),DATE(2025,5,12),VLOOKUP(_xlfn.CONCAT(B83,C83),'Detalhe Entregas e Status'!$D$9:$J$81,7,0)),$K$8:$AA$8,0)))</f>
        <v/>
      </c>
      <c r="I83" s="17" t="s">
        <v>364</v>
      </c>
      <c r="J83" s="200" t="s">
        <v>294</v>
      </c>
      <c r="K83" s="165"/>
      <c r="L83" s="165"/>
      <c r="M83" s="165"/>
      <c r="N83" s="165"/>
      <c r="O83" s="165"/>
    </row>
    <row r="84" spans="2:15" ht="15" hidden="1" customHeight="1">
      <c r="B84" s="13" t="s">
        <v>1</v>
      </c>
      <c r="C84" s="13" t="s">
        <v>37</v>
      </c>
      <c r="D84" s="29" t="s">
        <v>95</v>
      </c>
      <c r="E84" s="14" t="s">
        <v>101</v>
      </c>
      <c r="F84" s="14">
        <v>1</v>
      </c>
      <c r="H84" s="165" t="str" cm="1">
        <f t="array" ref="H84">IF(INDEX($K:$AA,ROW(C84),MATCH(IF(VLOOKUP(_xlfn.CONCAT(B84,C84),'Detalhe Entregas e Status'!$D$9:$J$81,7,0)=DATE(2025,5,5),DATE(2025,5,12),VLOOKUP(_xlfn.CONCAT(B84,C84),'Detalhe Entregas e Status'!$D$9:$J$81,7,0)),$K$8:$AA$8,0))="","",INDEX($K:$AA,ROW(C84),MATCH(IF(VLOOKUP(_xlfn.CONCAT(B84,C84),'Detalhe Entregas e Status'!$D$9:$J$81,7,0)=DATE(2025,5,5),DATE(2025,5,12),VLOOKUP(_xlfn.CONCAT(B84,C84),'Detalhe Entregas e Status'!$D$9:$J$81,7,0)),$K$8:$AA$8,0)))</f>
        <v/>
      </c>
      <c r="I84" s="17"/>
      <c r="J84" s="200" t="s">
        <v>294</v>
      </c>
      <c r="K84" s="165"/>
      <c r="L84" s="165"/>
      <c r="M84" s="165"/>
      <c r="N84" s="165"/>
      <c r="O84" s="165"/>
    </row>
    <row r="85" spans="2:15" ht="15" hidden="1" customHeight="1">
      <c r="B85" s="13" t="s">
        <v>1</v>
      </c>
      <c r="C85" s="13" t="s">
        <v>38</v>
      </c>
      <c r="D85" s="29" t="s">
        <v>97</v>
      </c>
      <c r="E85" s="14" t="s">
        <v>101</v>
      </c>
      <c r="F85" s="14">
        <v>2</v>
      </c>
      <c r="H85" s="165" t="str" cm="1">
        <f t="array" ref="H85">IF(INDEX($K:$AA,ROW(C85),MATCH(IF(VLOOKUP(_xlfn.CONCAT(B85,C85),'Detalhe Entregas e Status'!$D$9:$J$81,7,0)=DATE(2025,5,5),DATE(2025,5,12),VLOOKUP(_xlfn.CONCAT(B85,C85),'Detalhe Entregas e Status'!$D$9:$J$81,7,0)),$K$8:$AA$8,0))="","",INDEX($K:$AA,ROW(C85),MATCH(IF(VLOOKUP(_xlfn.CONCAT(B85,C85),'Detalhe Entregas e Status'!$D$9:$J$81,7,0)=DATE(2025,5,5),DATE(2025,5,12),VLOOKUP(_xlfn.CONCAT(B85,C85),'Detalhe Entregas e Status'!$D$9:$J$81,7,0)),$K$8:$AA$8,0)))</f>
        <v/>
      </c>
      <c r="I85" s="17" t="s">
        <v>367</v>
      </c>
      <c r="J85" s="200" t="s">
        <v>294</v>
      </c>
      <c r="K85" s="165"/>
      <c r="L85" s="165">
        <v>0</v>
      </c>
      <c r="M85" s="165"/>
      <c r="N85" s="165"/>
      <c r="O85" s="165"/>
    </row>
    <row r="86" spans="2:15" ht="15" hidden="1" customHeight="1">
      <c r="B86" s="13" t="s">
        <v>1</v>
      </c>
      <c r="C86" s="13" t="s">
        <v>38</v>
      </c>
      <c r="D86" s="29" t="s">
        <v>95</v>
      </c>
      <c r="E86" s="14" t="s">
        <v>101</v>
      </c>
      <c r="F86" s="14">
        <v>1</v>
      </c>
      <c r="H86" s="165" t="str" cm="1">
        <f t="array" ref="H86">IF(INDEX($K:$AA,ROW(C86),MATCH(IF(VLOOKUP(_xlfn.CONCAT(B86,C86),'Detalhe Entregas e Status'!$D$9:$J$81,7,0)=DATE(2025,5,5),DATE(2025,5,12),VLOOKUP(_xlfn.CONCAT(B86,C86),'Detalhe Entregas e Status'!$D$9:$J$81,7,0)),$K$8:$AA$8,0))="","",INDEX($K:$AA,ROW(C86),MATCH(IF(VLOOKUP(_xlfn.CONCAT(B86,C86),'Detalhe Entregas e Status'!$D$9:$J$81,7,0)=DATE(2025,5,5),DATE(2025,5,12),VLOOKUP(_xlfn.CONCAT(B86,C86),'Detalhe Entregas e Status'!$D$9:$J$81,7,0)),$K$8:$AA$8,0)))</f>
        <v/>
      </c>
      <c r="I86" s="17"/>
      <c r="J86" s="200" t="s">
        <v>294</v>
      </c>
      <c r="K86" s="165"/>
      <c r="L86" s="165">
        <v>0</v>
      </c>
      <c r="M86" s="165"/>
      <c r="N86" s="165"/>
      <c r="O86" s="165"/>
    </row>
    <row r="87" spans="2:15" ht="15" hidden="1" customHeight="1">
      <c r="B87" s="13" t="s">
        <v>1</v>
      </c>
      <c r="C87" s="13" t="s">
        <v>39</v>
      </c>
      <c r="D87" s="29" t="s">
        <v>97</v>
      </c>
      <c r="E87" s="14" t="s">
        <v>101</v>
      </c>
      <c r="F87" s="14">
        <v>2</v>
      </c>
      <c r="H87" s="165" t="str" cm="1">
        <f t="array" ref="H87">IF(INDEX($K:$AA,ROW(C87),MATCH(IF(VLOOKUP(_xlfn.CONCAT(B87,C87),'Detalhe Entregas e Status'!$D$9:$J$81,7,0)=DATE(2025,5,5),DATE(2025,5,12),VLOOKUP(_xlfn.CONCAT(B87,C87),'Detalhe Entregas e Status'!$D$9:$J$81,7,0)),$K$8:$AA$8,0))="","",INDEX($K:$AA,ROW(C87),MATCH(IF(VLOOKUP(_xlfn.CONCAT(B87,C87),'Detalhe Entregas e Status'!$D$9:$J$81,7,0)=DATE(2025,5,5),DATE(2025,5,12),VLOOKUP(_xlfn.CONCAT(B87,C87),'Detalhe Entregas e Status'!$D$9:$J$81,7,0)),$K$8:$AA$8,0)))</f>
        <v/>
      </c>
      <c r="I87" s="17" t="s">
        <v>364</v>
      </c>
      <c r="J87" s="200" t="s">
        <v>294</v>
      </c>
      <c r="K87" s="165"/>
      <c r="L87" s="165"/>
      <c r="M87" s="165"/>
      <c r="N87" s="165"/>
      <c r="O87" s="165"/>
    </row>
    <row r="88" spans="2:15" ht="15" hidden="1" customHeight="1">
      <c r="B88" s="13" t="s">
        <v>1</v>
      </c>
      <c r="C88" s="13" t="s">
        <v>39</v>
      </c>
      <c r="D88" s="29" t="s">
        <v>95</v>
      </c>
      <c r="E88" s="14" t="s">
        <v>101</v>
      </c>
      <c r="F88" s="14">
        <v>1</v>
      </c>
      <c r="H88" s="165" t="str" cm="1">
        <f t="array" ref="H88">IF(INDEX($K:$AA,ROW(C88),MATCH(IF(VLOOKUP(_xlfn.CONCAT(B88,C88),'Detalhe Entregas e Status'!$D$9:$J$81,7,0)=DATE(2025,5,5),DATE(2025,5,12),VLOOKUP(_xlfn.CONCAT(B88,C88),'Detalhe Entregas e Status'!$D$9:$J$81,7,0)),$K$8:$AA$8,0))="","",INDEX($K:$AA,ROW(C88),MATCH(IF(VLOOKUP(_xlfn.CONCAT(B88,C88),'Detalhe Entregas e Status'!$D$9:$J$81,7,0)=DATE(2025,5,5),DATE(2025,5,12),VLOOKUP(_xlfn.CONCAT(B88,C88),'Detalhe Entregas e Status'!$D$9:$J$81,7,0)),$K$8:$AA$8,0)))</f>
        <v/>
      </c>
      <c r="I88" s="17"/>
      <c r="J88" s="200" t="s">
        <v>294</v>
      </c>
      <c r="K88" s="165"/>
      <c r="L88" s="165"/>
      <c r="M88" s="165"/>
      <c r="N88" s="165"/>
      <c r="O88" s="165"/>
    </row>
    <row r="89" spans="2:15" ht="15" hidden="1" customHeight="1">
      <c r="B89" s="13" t="s">
        <v>1</v>
      </c>
      <c r="C89" s="13" t="s">
        <v>39</v>
      </c>
      <c r="D89" s="29" t="s">
        <v>96</v>
      </c>
      <c r="E89" s="14" t="s">
        <v>101</v>
      </c>
      <c r="F89" s="14">
        <v>2</v>
      </c>
      <c r="H89" s="165" t="str" cm="1">
        <f t="array" ref="H89">IF(INDEX($K:$AA,ROW(C89),MATCH(IF(VLOOKUP(_xlfn.CONCAT(B89,C89),'Detalhe Entregas e Status'!$D$9:$J$81,7,0)=DATE(2025,5,5),DATE(2025,5,12),VLOOKUP(_xlfn.CONCAT(B89,C89),'Detalhe Entregas e Status'!$D$9:$J$81,7,0)),$K$8:$AA$8,0))="","",INDEX($K:$AA,ROW(C89),MATCH(IF(VLOOKUP(_xlfn.CONCAT(B89,C89),'Detalhe Entregas e Status'!$D$9:$J$81,7,0)=DATE(2025,5,5),DATE(2025,5,12),VLOOKUP(_xlfn.CONCAT(B89,C89),'Detalhe Entregas e Status'!$D$9:$J$81,7,0)),$K$8:$AA$8,0)))</f>
        <v/>
      </c>
      <c r="I89" s="17"/>
      <c r="J89" s="200" t="s">
        <v>294</v>
      </c>
      <c r="K89" s="165"/>
      <c r="L89" s="165"/>
      <c r="M89" s="165"/>
      <c r="N89" s="165"/>
      <c r="O89" s="165"/>
    </row>
    <row r="90" spans="2:15" ht="15" hidden="1" customHeight="1">
      <c r="B90" s="13" t="s">
        <v>1</v>
      </c>
      <c r="C90" s="13" t="s">
        <v>40</v>
      </c>
      <c r="D90" s="29" t="s">
        <v>97</v>
      </c>
      <c r="E90" s="14" t="s">
        <v>101</v>
      </c>
      <c r="F90" s="14">
        <v>2</v>
      </c>
      <c r="H90" s="165" t="str" cm="1">
        <f t="array" ref="H90">IF(INDEX($K:$AA,ROW(C90),MATCH(IF(VLOOKUP(_xlfn.CONCAT(B90,C90),'Detalhe Entregas e Status'!$D$9:$J$81,7,0)=DATE(2025,5,5),DATE(2025,5,12),VLOOKUP(_xlfn.CONCAT(B90,C90),'Detalhe Entregas e Status'!$D$9:$J$81,7,0)),$K$8:$AA$8,0))="","",INDEX($K:$AA,ROW(C90),MATCH(IF(VLOOKUP(_xlfn.CONCAT(B90,C90),'Detalhe Entregas e Status'!$D$9:$J$81,7,0)=DATE(2025,5,5),DATE(2025,5,12),VLOOKUP(_xlfn.CONCAT(B90,C90),'Detalhe Entregas e Status'!$D$9:$J$81,7,0)),$K$8:$AA$8,0)))</f>
        <v/>
      </c>
      <c r="I90" s="17" t="s">
        <v>364</v>
      </c>
      <c r="J90" s="200" t="s">
        <v>294</v>
      </c>
      <c r="K90" s="165"/>
      <c r="L90" s="165"/>
      <c r="M90" s="165"/>
      <c r="N90" s="165"/>
      <c r="O90" s="165"/>
    </row>
    <row r="91" spans="2:15" ht="15" hidden="1" customHeight="1">
      <c r="B91" s="13" t="s">
        <v>1</v>
      </c>
      <c r="C91" s="13" t="s">
        <v>40</v>
      </c>
      <c r="D91" s="29" t="s">
        <v>95</v>
      </c>
      <c r="E91" s="14" t="s">
        <v>101</v>
      </c>
      <c r="F91" s="14">
        <v>1</v>
      </c>
      <c r="H91" s="165" t="str" cm="1">
        <f t="array" ref="H91">IF(INDEX($K:$AA,ROW(C91),MATCH(IF(VLOOKUP(_xlfn.CONCAT(B91,C91),'Detalhe Entregas e Status'!$D$9:$J$81,7,0)=DATE(2025,5,5),DATE(2025,5,12),VLOOKUP(_xlfn.CONCAT(B91,C91),'Detalhe Entregas e Status'!$D$9:$J$81,7,0)),$K$8:$AA$8,0))="","",INDEX($K:$AA,ROW(C91),MATCH(IF(VLOOKUP(_xlfn.CONCAT(B91,C91),'Detalhe Entregas e Status'!$D$9:$J$81,7,0)=DATE(2025,5,5),DATE(2025,5,12),VLOOKUP(_xlfn.CONCAT(B91,C91),'Detalhe Entregas e Status'!$D$9:$J$81,7,0)),$K$8:$AA$8,0)))</f>
        <v/>
      </c>
      <c r="I91" s="17"/>
      <c r="J91" s="200" t="s">
        <v>294</v>
      </c>
      <c r="K91" s="165"/>
      <c r="L91" s="165"/>
      <c r="M91" s="165"/>
      <c r="N91" s="165"/>
      <c r="O91" s="165"/>
    </row>
    <row r="92" spans="2:15" ht="15" hidden="1" customHeight="1">
      <c r="B92" s="13" t="s">
        <v>1</v>
      </c>
      <c r="C92" s="13" t="s">
        <v>40</v>
      </c>
      <c r="D92" s="29" t="s">
        <v>96</v>
      </c>
      <c r="E92" s="14" t="s">
        <v>101</v>
      </c>
      <c r="F92" s="14">
        <v>2</v>
      </c>
      <c r="H92" s="165" t="str" cm="1">
        <f t="array" ref="H92">IF(INDEX($K:$AA,ROW(C92),MATCH(IF(VLOOKUP(_xlfn.CONCAT(B92,C92),'Detalhe Entregas e Status'!$D$9:$J$81,7,0)=DATE(2025,5,5),DATE(2025,5,12),VLOOKUP(_xlfn.CONCAT(B92,C92),'Detalhe Entregas e Status'!$D$9:$J$81,7,0)),$K$8:$AA$8,0))="","",INDEX($K:$AA,ROW(C92),MATCH(IF(VLOOKUP(_xlfn.CONCAT(B92,C92),'Detalhe Entregas e Status'!$D$9:$J$81,7,0)=DATE(2025,5,5),DATE(2025,5,12),VLOOKUP(_xlfn.CONCAT(B92,C92),'Detalhe Entregas e Status'!$D$9:$J$81,7,0)),$K$8:$AA$8,0)))</f>
        <v/>
      </c>
      <c r="I92" s="17"/>
      <c r="J92" s="200" t="s">
        <v>294</v>
      </c>
      <c r="K92" s="165"/>
      <c r="L92" s="165"/>
      <c r="M92" s="165"/>
      <c r="N92" s="165"/>
      <c r="O92" s="165"/>
    </row>
    <row r="93" spans="2:15" ht="15" hidden="1" customHeight="1">
      <c r="B93" s="13" t="s">
        <v>1</v>
      </c>
      <c r="C93" s="13" t="s">
        <v>41</v>
      </c>
      <c r="D93" s="29" t="s">
        <v>97</v>
      </c>
      <c r="E93" s="14" t="s">
        <v>101</v>
      </c>
      <c r="F93" s="14">
        <v>2</v>
      </c>
      <c r="H93" s="165" t="str" cm="1">
        <f t="array" ref="H93">IF(INDEX($K:$AA,ROW(C93),MATCH(IF(VLOOKUP(_xlfn.CONCAT(B93,C93),'Detalhe Entregas e Status'!$D$9:$J$81,7,0)=DATE(2025,5,5),DATE(2025,5,12),VLOOKUP(_xlfn.CONCAT(B93,C93),'Detalhe Entregas e Status'!$D$9:$J$81,7,0)),$K$8:$AA$8,0))="","",INDEX($K:$AA,ROW(C93),MATCH(IF(VLOOKUP(_xlfn.CONCAT(B93,C93),'Detalhe Entregas e Status'!$D$9:$J$81,7,0)=DATE(2025,5,5),DATE(2025,5,12),VLOOKUP(_xlfn.CONCAT(B93,C93),'Detalhe Entregas e Status'!$D$9:$J$81,7,0)),$K$8:$AA$8,0)))</f>
        <v/>
      </c>
      <c r="I93" s="17" t="s">
        <v>364</v>
      </c>
      <c r="J93" s="200" t="s">
        <v>294</v>
      </c>
      <c r="K93" s="165"/>
      <c r="L93" s="165"/>
      <c r="M93" s="165"/>
      <c r="N93" s="165"/>
      <c r="O93" s="165"/>
    </row>
    <row r="94" spans="2:15" ht="15" hidden="1" customHeight="1">
      <c r="B94" s="13" t="s">
        <v>1</v>
      </c>
      <c r="C94" s="13" t="s">
        <v>41</v>
      </c>
      <c r="D94" s="29" t="s">
        <v>95</v>
      </c>
      <c r="E94" s="14" t="s">
        <v>101</v>
      </c>
      <c r="F94" s="14">
        <v>1</v>
      </c>
      <c r="H94" s="165" t="str" cm="1">
        <f t="array" ref="H94">IF(INDEX($K:$AA,ROW(C94),MATCH(IF(VLOOKUP(_xlfn.CONCAT(B94,C94),'Detalhe Entregas e Status'!$D$9:$J$81,7,0)=DATE(2025,5,5),DATE(2025,5,12),VLOOKUP(_xlfn.CONCAT(B94,C94),'Detalhe Entregas e Status'!$D$9:$J$81,7,0)),$K$8:$AA$8,0))="","",INDEX($K:$AA,ROW(C94),MATCH(IF(VLOOKUP(_xlfn.CONCAT(B94,C94),'Detalhe Entregas e Status'!$D$9:$J$81,7,0)=DATE(2025,5,5),DATE(2025,5,12),VLOOKUP(_xlfn.CONCAT(B94,C94),'Detalhe Entregas e Status'!$D$9:$J$81,7,0)),$K$8:$AA$8,0)))</f>
        <v/>
      </c>
      <c r="I94" s="17"/>
      <c r="J94" s="200" t="s">
        <v>294</v>
      </c>
      <c r="K94" s="165"/>
      <c r="L94" s="165"/>
      <c r="M94" s="165"/>
      <c r="N94" s="165"/>
      <c r="O94" s="165"/>
    </row>
    <row r="95" spans="2:15" ht="15" hidden="1" customHeight="1">
      <c r="B95" s="13" t="s">
        <v>1</v>
      </c>
      <c r="C95" s="13" t="s">
        <v>41</v>
      </c>
      <c r="D95" s="29" t="s">
        <v>96</v>
      </c>
      <c r="E95" s="14" t="s">
        <v>101</v>
      </c>
      <c r="F95" s="14">
        <v>2</v>
      </c>
      <c r="H95" s="165" t="str" cm="1">
        <f t="array" ref="H95">IF(INDEX($K:$AA,ROW(C95),MATCH(IF(VLOOKUP(_xlfn.CONCAT(B95,C95),'Detalhe Entregas e Status'!$D$9:$J$81,7,0)=DATE(2025,5,5),DATE(2025,5,12),VLOOKUP(_xlfn.CONCAT(B95,C95),'Detalhe Entregas e Status'!$D$9:$J$81,7,0)),$K$8:$AA$8,0))="","",INDEX($K:$AA,ROW(C95),MATCH(IF(VLOOKUP(_xlfn.CONCAT(B95,C95),'Detalhe Entregas e Status'!$D$9:$J$81,7,0)=DATE(2025,5,5),DATE(2025,5,12),VLOOKUP(_xlfn.CONCAT(B95,C95),'Detalhe Entregas e Status'!$D$9:$J$81,7,0)),$K$8:$AA$8,0)))</f>
        <v/>
      </c>
      <c r="I95" s="17"/>
      <c r="J95" s="200" t="s">
        <v>294</v>
      </c>
      <c r="K95" s="165"/>
      <c r="L95" s="165"/>
      <c r="M95" s="165"/>
      <c r="N95" s="165"/>
      <c r="O95" s="165"/>
    </row>
    <row r="96" spans="2:15" ht="15" hidden="1" customHeight="1">
      <c r="B96" s="13" t="s">
        <v>1</v>
      </c>
      <c r="C96" s="13" t="s">
        <v>42</v>
      </c>
      <c r="D96" s="29" t="s">
        <v>97</v>
      </c>
      <c r="E96" s="14" t="s">
        <v>101</v>
      </c>
      <c r="F96" s="14">
        <v>2</v>
      </c>
      <c r="H96" s="165" t="str" cm="1">
        <f t="array" ref="H96">IF(INDEX($K:$AA,ROW(C96),MATCH(IF(VLOOKUP(_xlfn.CONCAT(B96,C96),'Detalhe Entregas e Status'!$D$9:$J$81,7,0)=DATE(2025,5,5),DATE(2025,5,12),VLOOKUP(_xlfn.CONCAT(B96,C96),'Detalhe Entregas e Status'!$D$9:$J$81,7,0)),$K$8:$AA$8,0))="","",INDEX($K:$AA,ROW(C96),MATCH(IF(VLOOKUP(_xlfn.CONCAT(B96,C96),'Detalhe Entregas e Status'!$D$9:$J$81,7,0)=DATE(2025,5,5),DATE(2025,5,12),VLOOKUP(_xlfn.CONCAT(B96,C96),'Detalhe Entregas e Status'!$D$9:$J$81,7,0)),$K$8:$AA$8,0)))</f>
        <v/>
      </c>
      <c r="I96" s="17" t="s">
        <v>364</v>
      </c>
      <c r="J96" s="200" t="s">
        <v>294</v>
      </c>
      <c r="K96" s="165"/>
      <c r="L96" s="165"/>
      <c r="M96" s="165"/>
      <c r="N96" s="165"/>
      <c r="O96" s="165"/>
    </row>
    <row r="97" spans="2:15" ht="15" hidden="1" customHeight="1">
      <c r="B97" s="13" t="s">
        <v>1</v>
      </c>
      <c r="C97" s="13" t="s">
        <v>42</v>
      </c>
      <c r="D97" s="29" t="s">
        <v>95</v>
      </c>
      <c r="E97" s="14" t="s">
        <v>101</v>
      </c>
      <c r="F97" s="14">
        <v>1</v>
      </c>
      <c r="H97" s="165" t="str" cm="1">
        <f t="array" ref="H97">IF(INDEX($K:$AA,ROW(C97),MATCH(IF(VLOOKUP(_xlfn.CONCAT(B97,C97),'Detalhe Entregas e Status'!$D$9:$J$81,7,0)=DATE(2025,5,5),DATE(2025,5,12),VLOOKUP(_xlfn.CONCAT(B97,C97),'Detalhe Entregas e Status'!$D$9:$J$81,7,0)),$K$8:$AA$8,0))="","",INDEX($K:$AA,ROW(C97),MATCH(IF(VLOOKUP(_xlfn.CONCAT(B97,C97),'Detalhe Entregas e Status'!$D$9:$J$81,7,0)=DATE(2025,5,5),DATE(2025,5,12),VLOOKUP(_xlfn.CONCAT(B97,C97),'Detalhe Entregas e Status'!$D$9:$J$81,7,0)),$K$8:$AA$8,0)))</f>
        <v/>
      </c>
      <c r="I97" s="17"/>
      <c r="J97" s="200" t="s">
        <v>294</v>
      </c>
      <c r="K97" s="165"/>
      <c r="L97" s="165"/>
      <c r="M97" s="165"/>
      <c r="N97" s="165"/>
      <c r="O97" s="165"/>
    </row>
    <row r="98" spans="2:15" ht="15" hidden="1" customHeight="1">
      <c r="B98" s="13" t="s">
        <v>1</v>
      </c>
      <c r="C98" s="13" t="s">
        <v>42</v>
      </c>
      <c r="D98" s="29" t="s">
        <v>96</v>
      </c>
      <c r="E98" s="14" t="s">
        <v>101</v>
      </c>
      <c r="F98" s="14">
        <v>2</v>
      </c>
      <c r="H98" s="165" t="str" cm="1">
        <f t="array" ref="H98">IF(INDEX($K:$AA,ROW(C98),MATCH(IF(VLOOKUP(_xlfn.CONCAT(B98,C98),'Detalhe Entregas e Status'!$D$9:$J$81,7,0)=DATE(2025,5,5),DATE(2025,5,12),VLOOKUP(_xlfn.CONCAT(B98,C98),'Detalhe Entregas e Status'!$D$9:$J$81,7,0)),$K$8:$AA$8,0))="","",INDEX($K:$AA,ROW(C98),MATCH(IF(VLOOKUP(_xlfn.CONCAT(B98,C98),'Detalhe Entregas e Status'!$D$9:$J$81,7,0)=DATE(2025,5,5),DATE(2025,5,12),VLOOKUP(_xlfn.CONCAT(B98,C98),'Detalhe Entregas e Status'!$D$9:$J$81,7,0)),$K$8:$AA$8,0)))</f>
        <v/>
      </c>
      <c r="I98" s="17"/>
      <c r="J98" s="200" t="s">
        <v>294</v>
      </c>
      <c r="K98" s="165"/>
      <c r="L98" s="165"/>
      <c r="M98" s="165"/>
      <c r="N98" s="165"/>
      <c r="O98" s="165"/>
    </row>
    <row r="99" spans="2:15" ht="15" hidden="1" customHeight="1">
      <c r="B99" s="13" t="s">
        <v>1</v>
      </c>
      <c r="C99" s="13" t="s">
        <v>43</v>
      </c>
      <c r="D99" s="29" t="s">
        <v>97</v>
      </c>
      <c r="E99" s="14" t="s">
        <v>101</v>
      </c>
      <c r="F99" s="14">
        <v>2</v>
      </c>
      <c r="H99" s="165" t="str" cm="1">
        <f t="array" ref="H99">IF(INDEX($K:$AA,ROW(C99),MATCH(IF(VLOOKUP(_xlfn.CONCAT(B99,C99),'Detalhe Entregas e Status'!$D$9:$J$81,7,0)=DATE(2025,5,5),DATE(2025,5,12),VLOOKUP(_xlfn.CONCAT(B99,C99),'Detalhe Entregas e Status'!$D$9:$J$81,7,0)),$K$8:$AA$8,0))="","",INDEX($K:$AA,ROW(C99),MATCH(IF(VLOOKUP(_xlfn.CONCAT(B99,C99),'Detalhe Entregas e Status'!$D$9:$J$81,7,0)=DATE(2025,5,5),DATE(2025,5,12),VLOOKUP(_xlfn.CONCAT(B99,C99),'Detalhe Entregas e Status'!$D$9:$J$81,7,0)),$K$8:$AA$8,0)))</f>
        <v/>
      </c>
      <c r="I99" s="17" t="s">
        <v>364</v>
      </c>
      <c r="J99" s="200" t="s">
        <v>294</v>
      </c>
      <c r="K99" s="165"/>
      <c r="L99" s="165"/>
      <c r="M99" s="165"/>
      <c r="N99" s="165"/>
      <c r="O99" s="165"/>
    </row>
    <row r="100" spans="2:15" ht="15" hidden="1" customHeight="1">
      <c r="B100" s="13" t="s">
        <v>1</v>
      </c>
      <c r="C100" s="13" t="s">
        <v>43</v>
      </c>
      <c r="D100" s="29" t="s">
        <v>95</v>
      </c>
      <c r="E100" s="14" t="s">
        <v>101</v>
      </c>
      <c r="F100" s="14">
        <v>1</v>
      </c>
      <c r="H100" s="165" t="str" cm="1">
        <f t="array" ref="H100">IF(INDEX($K:$AA,ROW(C100),MATCH(IF(VLOOKUP(_xlfn.CONCAT(B100,C100),'Detalhe Entregas e Status'!$D$9:$J$81,7,0)=DATE(2025,5,5),DATE(2025,5,12),VLOOKUP(_xlfn.CONCAT(B100,C100),'Detalhe Entregas e Status'!$D$9:$J$81,7,0)),$K$8:$AA$8,0))="","",INDEX($K:$AA,ROW(C100),MATCH(IF(VLOOKUP(_xlfn.CONCAT(B100,C100),'Detalhe Entregas e Status'!$D$9:$J$81,7,0)=DATE(2025,5,5),DATE(2025,5,12),VLOOKUP(_xlfn.CONCAT(B100,C100),'Detalhe Entregas e Status'!$D$9:$J$81,7,0)),$K$8:$AA$8,0)))</f>
        <v/>
      </c>
      <c r="I100" s="17"/>
      <c r="J100" s="200" t="s">
        <v>294</v>
      </c>
      <c r="K100" s="165"/>
      <c r="L100" s="165"/>
      <c r="M100" s="165"/>
      <c r="N100" s="165"/>
      <c r="O100" s="165"/>
    </row>
    <row r="101" spans="2:15" ht="15" hidden="1" customHeight="1">
      <c r="B101" s="13" t="s">
        <v>1</v>
      </c>
      <c r="C101" s="13" t="s">
        <v>44</v>
      </c>
      <c r="D101" s="29" t="s">
        <v>97</v>
      </c>
      <c r="E101" s="14" t="s">
        <v>101</v>
      </c>
      <c r="F101" s="14">
        <v>2</v>
      </c>
      <c r="H101" s="165" t="str" cm="1">
        <f t="array" ref="H101">IF(INDEX($K:$AA,ROW(C101),MATCH(IF(VLOOKUP(_xlfn.CONCAT(B101,C101),'Detalhe Entregas e Status'!$D$9:$J$81,7,0)=DATE(2025,5,5),DATE(2025,5,12),VLOOKUP(_xlfn.CONCAT(B101,C101),'Detalhe Entregas e Status'!$D$9:$J$81,7,0)),$K$8:$AA$8,0))="","",INDEX($K:$AA,ROW(C101),MATCH(IF(VLOOKUP(_xlfn.CONCAT(B101,C101),'Detalhe Entregas e Status'!$D$9:$J$81,7,0)=DATE(2025,5,5),DATE(2025,5,12),VLOOKUP(_xlfn.CONCAT(B101,C101),'Detalhe Entregas e Status'!$D$9:$J$81,7,0)),$K$8:$AA$8,0)))</f>
        <v/>
      </c>
      <c r="I101" s="17" t="s">
        <v>364</v>
      </c>
      <c r="J101" s="200" t="s">
        <v>294</v>
      </c>
      <c r="K101" s="165"/>
      <c r="L101" s="165"/>
      <c r="M101" s="165"/>
      <c r="N101" s="165"/>
      <c r="O101" s="165"/>
    </row>
    <row r="102" spans="2:15" ht="15" hidden="1" customHeight="1">
      <c r="B102" s="13" t="s">
        <v>1</v>
      </c>
      <c r="C102" s="13" t="s">
        <v>44</v>
      </c>
      <c r="D102" s="29" t="s">
        <v>95</v>
      </c>
      <c r="E102" s="14" t="s">
        <v>101</v>
      </c>
      <c r="F102" s="14">
        <v>1</v>
      </c>
      <c r="H102" s="165" t="str" cm="1">
        <f t="array" ref="H102">IF(INDEX($K:$AA,ROW(C102),MATCH(IF(VLOOKUP(_xlfn.CONCAT(B102,C102),'Detalhe Entregas e Status'!$D$9:$J$81,7,0)=DATE(2025,5,5),DATE(2025,5,12),VLOOKUP(_xlfn.CONCAT(B102,C102),'Detalhe Entregas e Status'!$D$9:$J$81,7,0)),$K$8:$AA$8,0))="","",INDEX($K:$AA,ROW(C102),MATCH(IF(VLOOKUP(_xlfn.CONCAT(B102,C102),'Detalhe Entregas e Status'!$D$9:$J$81,7,0)=DATE(2025,5,5),DATE(2025,5,12),VLOOKUP(_xlfn.CONCAT(B102,C102),'Detalhe Entregas e Status'!$D$9:$J$81,7,0)),$K$8:$AA$8,0)))</f>
        <v/>
      </c>
      <c r="I102" s="17"/>
      <c r="J102" s="200" t="s">
        <v>294</v>
      </c>
      <c r="K102" s="165"/>
      <c r="L102" s="165"/>
      <c r="M102" s="165"/>
      <c r="N102" s="165"/>
      <c r="O102" s="165"/>
    </row>
    <row r="103" spans="2:15" ht="15" hidden="1" customHeight="1">
      <c r="B103" s="13" t="s">
        <v>1</v>
      </c>
      <c r="C103" s="13" t="s">
        <v>45</v>
      </c>
      <c r="D103" s="29" t="s">
        <v>97</v>
      </c>
      <c r="E103" s="14" t="s">
        <v>101</v>
      </c>
      <c r="F103" s="14">
        <v>2</v>
      </c>
      <c r="H103" s="165" t="str" cm="1">
        <f t="array" ref="H103">IF(INDEX($K:$AA,ROW(C103),MATCH(IF(VLOOKUP(_xlfn.CONCAT(B103,C103),'Detalhe Entregas e Status'!$D$9:$J$81,7,0)=DATE(2025,5,5),DATE(2025,5,12),VLOOKUP(_xlfn.CONCAT(B103,C103),'Detalhe Entregas e Status'!$D$9:$J$81,7,0)),$K$8:$AA$8,0))="","",INDEX($K:$AA,ROW(C103),MATCH(IF(VLOOKUP(_xlfn.CONCAT(B103,C103),'Detalhe Entregas e Status'!$D$9:$J$81,7,0)=DATE(2025,5,5),DATE(2025,5,12),VLOOKUP(_xlfn.CONCAT(B103,C103),'Detalhe Entregas e Status'!$D$9:$J$81,7,0)),$K$8:$AA$8,0)))</f>
        <v/>
      </c>
      <c r="I103" s="17" t="s">
        <v>364</v>
      </c>
      <c r="J103" s="200" t="s">
        <v>294</v>
      </c>
      <c r="K103" s="165"/>
      <c r="L103" s="165"/>
      <c r="M103" s="165"/>
      <c r="N103" s="165"/>
      <c r="O103" s="165"/>
    </row>
    <row r="104" spans="2:15" ht="15" hidden="1" customHeight="1">
      <c r="B104" s="13" t="s">
        <v>1</v>
      </c>
      <c r="C104" s="13" t="s">
        <v>45</v>
      </c>
      <c r="D104" s="29" t="s">
        <v>95</v>
      </c>
      <c r="E104" s="14" t="s">
        <v>101</v>
      </c>
      <c r="F104" s="14">
        <v>1</v>
      </c>
      <c r="H104" s="165" t="str" cm="1">
        <f t="array" ref="H104">IF(INDEX($K:$AA,ROW(C104),MATCH(IF(VLOOKUP(_xlfn.CONCAT(B104,C104),'Detalhe Entregas e Status'!$D$9:$J$81,7,0)=DATE(2025,5,5),DATE(2025,5,12),VLOOKUP(_xlfn.CONCAT(B104,C104),'Detalhe Entregas e Status'!$D$9:$J$81,7,0)),$K$8:$AA$8,0))="","",INDEX($K:$AA,ROW(C104),MATCH(IF(VLOOKUP(_xlfn.CONCAT(B104,C104),'Detalhe Entregas e Status'!$D$9:$J$81,7,0)=DATE(2025,5,5),DATE(2025,5,12),VLOOKUP(_xlfn.CONCAT(B104,C104),'Detalhe Entregas e Status'!$D$9:$J$81,7,0)),$K$8:$AA$8,0)))</f>
        <v/>
      </c>
      <c r="I104" s="17"/>
      <c r="J104" s="200" t="s">
        <v>294</v>
      </c>
      <c r="K104" s="165"/>
      <c r="L104" s="165"/>
      <c r="M104" s="165"/>
      <c r="N104" s="165"/>
      <c r="O104" s="165"/>
    </row>
    <row r="105" spans="2:15" ht="15" hidden="1" customHeight="1">
      <c r="B105" s="13" t="s">
        <v>1</v>
      </c>
      <c r="C105" s="13" t="s">
        <v>45</v>
      </c>
      <c r="D105" s="29" t="s">
        <v>96</v>
      </c>
      <c r="E105" s="14" t="s">
        <v>101</v>
      </c>
      <c r="F105" s="14">
        <v>2</v>
      </c>
      <c r="H105" s="165" t="str" cm="1">
        <f t="array" ref="H105">IF(INDEX($K:$AA,ROW(C105),MATCH(IF(VLOOKUP(_xlfn.CONCAT(B105,C105),'Detalhe Entregas e Status'!$D$9:$J$81,7,0)=DATE(2025,5,5),DATE(2025,5,12),VLOOKUP(_xlfn.CONCAT(B105,C105),'Detalhe Entregas e Status'!$D$9:$J$81,7,0)),$K$8:$AA$8,0))="","",INDEX($K:$AA,ROW(C105),MATCH(IF(VLOOKUP(_xlfn.CONCAT(B105,C105),'Detalhe Entregas e Status'!$D$9:$J$81,7,0)=DATE(2025,5,5),DATE(2025,5,12),VLOOKUP(_xlfn.CONCAT(B105,C105),'Detalhe Entregas e Status'!$D$9:$J$81,7,0)),$K$8:$AA$8,0)))</f>
        <v/>
      </c>
      <c r="I105" s="17"/>
      <c r="J105" s="200" t="s">
        <v>294</v>
      </c>
      <c r="K105" s="165"/>
      <c r="L105" s="165"/>
      <c r="M105" s="165"/>
      <c r="N105" s="165"/>
      <c r="O105" s="165"/>
    </row>
    <row r="106" spans="2:15" ht="15" hidden="1" customHeight="1">
      <c r="B106" s="13" t="s">
        <v>1</v>
      </c>
      <c r="C106" s="13" t="s">
        <v>46</v>
      </c>
      <c r="D106" s="29" t="s">
        <v>97</v>
      </c>
      <c r="E106" s="14" t="s">
        <v>101</v>
      </c>
      <c r="F106" s="14">
        <v>2</v>
      </c>
      <c r="H106" s="165" t="str" cm="1">
        <f t="array" ref="H106">IF(INDEX($K:$AA,ROW(C106),MATCH(IF(VLOOKUP(_xlfn.CONCAT(B106,C106),'Detalhe Entregas e Status'!$D$9:$J$81,7,0)=DATE(2025,5,5),DATE(2025,5,12),VLOOKUP(_xlfn.CONCAT(B106,C106),'Detalhe Entregas e Status'!$D$9:$J$81,7,0)),$K$8:$AA$8,0))="","",INDEX($K:$AA,ROW(C106),MATCH(IF(VLOOKUP(_xlfn.CONCAT(B106,C106),'Detalhe Entregas e Status'!$D$9:$J$81,7,0)=DATE(2025,5,5),DATE(2025,5,12),VLOOKUP(_xlfn.CONCAT(B106,C106),'Detalhe Entregas e Status'!$D$9:$J$81,7,0)),$K$8:$AA$8,0)))</f>
        <v/>
      </c>
      <c r="I106" s="17" t="s">
        <v>364</v>
      </c>
      <c r="J106" s="200" t="s">
        <v>294</v>
      </c>
      <c r="K106" s="165"/>
      <c r="L106" s="165"/>
      <c r="M106" s="165"/>
      <c r="N106" s="165"/>
      <c r="O106" s="165"/>
    </row>
    <row r="107" spans="2:15" ht="15" hidden="1" customHeight="1">
      <c r="B107" s="13" t="s">
        <v>1</v>
      </c>
      <c r="C107" s="13" t="s">
        <v>46</v>
      </c>
      <c r="D107" s="29" t="s">
        <v>95</v>
      </c>
      <c r="E107" s="14" t="s">
        <v>101</v>
      </c>
      <c r="F107" s="14">
        <v>1</v>
      </c>
      <c r="H107" s="165" t="str" cm="1">
        <f t="array" ref="H107">IF(INDEX($K:$AA,ROW(C107),MATCH(IF(VLOOKUP(_xlfn.CONCAT(B107,C107),'Detalhe Entregas e Status'!$D$9:$J$81,7,0)=DATE(2025,5,5),DATE(2025,5,12),VLOOKUP(_xlfn.CONCAT(B107,C107),'Detalhe Entregas e Status'!$D$9:$J$81,7,0)),$K$8:$AA$8,0))="","",INDEX($K:$AA,ROW(C107),MATCH(IF(VLOOKUP(_xlfn.CONCAT(B107,C107),'Detalhe Entregas e Status'!$D$9:$J$81,7,0)=DATE(2025,5,5),DATE(2025,5,12),VLOOKUP(_xlfn.CONCAT(B107,C107),'Detalhe Entregas e Status'!$D$9:$J$81,7,0)),$K$8:$AA$8,0)))</f>
        <v/>
      </c>
      <c r="I107" s="17"/>
      <c r="J107" s="200" t="s">
        <v>294</v>
      </c>
      <c r="K107" s="165"/>
      <c r="L107" s="165"/>
      <c r="M107" s="165"/>
      <c r="N107" s="165"/>
      <c r="O107" s="165"/>
    </row>
    <row r="108" spans="2:15" ht="15" hidden="1" customHeight="1">
      <c r="B108" s="13" t="s">
        <v>1</v>
      </c>
      <c r="C108" s="13" t="s">
        <v>47</v>
      </c>
      <c r="D108" s="29" t="s">
        <v>97</v>
      </c>
      <c r="E108" s="14" t="s">
        <v>101</v>
      </c>
      <c r="F108" s="14">
        <v>2</v>
      </c>
      <c r="H108" s="165" t="str" cm="1">
        <f t="array" ref="H108">IF(INDEX($K:$AA,ROW(C108),MATCH(IF(VLOOKUP(_xlfn.CONCAT(B108,C108),'Detalhe Entregas e Status'!$D$9:$J$81,7,0)=DATE(2025,5,5),DATE(2025,5,12),VLOOKUP(_xlfn.CONCAT(B108,C108),'Detalhe Entregas e Status'!$D$9:$J$81,7,0)),$K$8:$AA$8,0))="","",INDEX($K:$AA,ROW(C108),MATCH(IF(VLOOKUP(_xlfn.CONCAT(B108,C108),'Detalhe Entregas e Status'!$D$9:$J$81,7,0)=DATE(2025,5,5),DATE(2025,5,12),VLOOKUP(_xlfn.CONCAT(B108,C108),'Detalhe Entregas e Status'!$D$9:$J$81,7,0)),$K$8:$AA$8,0)))</f>
        <v/>
      </c>
      <c r="I108" s="17" t="s">
        <v>364</v>
      </c>
      <c r="J108" s="200" t="s">
        <v>294</v>
      </c>
      <c r="K108" s="165"/>
      <c r="L108" s="165"/>
      <c r="M108" s="165"/>
      <c r="N108" s="165"/>
      <c r="O108" s="165"/>
    </row>
    <row r="109" spans="2:15" ht="15" hidden="1" customHeight="1">
      <c r="B109" s="13" t="s">
        <v>1</v>
      </c>
      <c r="C109" s="13" t="s">
        <v>47</v>
      </c>
      <c r="D109" s="29" t="s">
        <v>95</v>
      </c>
      <c r="E109" s="14" t="s">
        <v>101</v>
      </c>
      <c r="F109" s="14">
        <v>1</v>
      </c>
      <c r="H109" s="165" t="str" cm="1">
        <f t="array" ref="H109">IF(INDEX($K:$AA,ROW(C109),MATCH(IF(VLOOKUP(_xlfn.CONCAT(B109,C109),'Detalhe Entregas e Status'!$D$9:$J$81,7,0)=DATE(2025,5,5),DATE(2025,5,12),VLOOKUP(_xlfn.CONCAT(B109,C109),'Detalhe Entregas e Status'!$D$9:$J$81,7,0)),$K$8:$AA$8,0))="","",INDEX($K:$AA,ROW(C109),MATCH(IF(VLOOKUP(_xlfn.CONCAT(B109,C109),'Detalhe Entregas e Status'!$D$9:$J$81,7,0)=DATE(2025,5,5),DATE(2025,5,12),VLOOKUP(_xlfn.CONCAT(B109,C109),'Detalhe Entregas e Status'!$D$9:$J$81,7,0)),$K$8:$AA$8,0)))</f>
        <v/>
      </c>
      <c r="I109" s="17"/>
      <c r="J109" s="200" t="s">
        <v>294</v>
      </c>
      <c r="K109" s="165"/>
      <c r="L109" s="165"/>
      <c r="M109" s="165"/>
      <c r="N109" s="165"/>
      <c r="O109" s="165"/>
    </row>
    <row r="110" spans="2:15" ht="15" hidden="1" customHeight="1">
      <c r="B110" s="13" t="s">
        <v>1</v>
      </c>
      <c r="C110" s="13" t="s">
        <v>48</v>
      </c>
      <c r="D110" s="29" t="s">
        <v>97</v>
      </c>
      <c r="E110" s="14" t="s">
        <v>101</v>
      </c>
      <c r="F110" s="14">
        <v>2</v>
      </c>
      <c r="H110" s="165" t="str" cm="1">
        <f t="array" ref="H110">IF(INDEX($K:$AA,ROW(C110),MATCH(IF(VLOOKUP(_xlfn.CONCAT(B110,C110),'Detalhe Entregas e Status'!$D$9:$J$81,7,0)=DATE(2025,5,5),DATE(2025,5,12),VLOOKUP(_xlfn.CONCAT(B110,C110),'Detalhe Entregas e Status'!$D$9:$J$81,7,0)),$K$8:$AA$8,0))="","",INDEX($K:$AA,ROW(C110),MATCH(IF(VLOOKUP(_xlfn.CONCAT(B110,C110),'Detalhe Entregas e Status'!$D$9:$J$81,7,0)=DATE(2025,5,5),DATE(2025,5,12),VLOOKUP(_xlfn.CONCAT(B110,C110),'Detalhe Entregas e Status'!$D$9:$J$81,7,0)),$K$8:$AA$8,0)))</f>
        <v/>
      </c>
      <c r="I110" s="17" t="s">
        <v>364</v>
      </c>
      <c r="J110" s="200" t="s">
        <v>294</v>
      </c>
      <c r="K110" s="165"/>
      <c r="L110" s="165"/>
      <c r="M110" s="165"/>
      <c r="N110" s="165"/>
      <c r="O110" s="165"/>
    </row>
    <row r="111" spans="2:15" ht="15" hidden="1" customHeight="1">
      <c r="B111" s="13" t="s">
        <v>1</v>
      </c>
      <c r="C111" s="13" t="s">
        <v>48</v>
      </c>
      <c r="D111" s="29" t="s">
        <v>95</v>
      </c>
      <c r="E111" s="14" t="s">
        <v>101</v>
      </c>
      <c r="F111" s="14">
        <v>1</v>
      </c>
      <c r="H111" s="165" t="str" cm="1">
        <f t="array" ref="H111">IF(INDEX($K:$AA,ROW(C111),MATCH(IF(VLOOKUP(_xlfn.CONCAT(B111,C111),'Detalhe Entregas e Status'!$D$9:$J$81,7,0)=DATE(2025,5,5),DATE(2025,5,12),VLOOKUP(_xlfn.CONCAT(B111,C111),'Detalhe Entregas e Status'!$D$9:$J$81,7,0)),$K$8:$AA$8,0))="","",INDEX($K:$AA,ROW(C111),MATCH(IF(VLOOKUP(_xlfn.CONCAT(B111,C111),'Detalhe Entregas e Status'!$D$9:$J$81,7,0)=DATE(2025,5,5),DATE(2025,5,12),VLOOKUP(_xlfn.CONCAT(B111,C111),'Detalhe Entregas e Status'!$D$9:$J$81,7,0)),$K$8:$AA$8,0)))</f>
        <v/>
      </c>
      <c r="I111" s="17"/>
      <c r="J111" s="200" t="s">
        <v>294</v>
      </c>
      <c r="K111" s="165"/>
      <c r="L111" s="165"/>
      <c r="M111" s="165"/>
      <c r="N111" s="165"/>
      <c r="O111" s="165"/>
    </row>
    <row r="112" spans="2:15" ht="15" hidden="1" customHeight="1">
      <c r="B112" s="13" t="s">
        <v>1</v>
      </c>
      <c r="C112" s="13" t="s">
        <v>49</v>
      </c>
      <c r="D112" s="29" t="s">
        <v>97</v>
      </c>
      <c r="E112" s="14" t="s">
        <v>101</v>
      </c>
      <c r="F112" s="14">
        <v>2</v>
      </c>
      <c r="H112" s="165" t="str" cm="1">
        <f t="array" ref="H112">IF(INDEX($K:$AA,ROW(C112),MATCH(IF(VLOOKUP(_xlfn.CONCAT(B112,C112),'Detalhe Entregas e Status'!$D$9:$J$81,7,0)=DATE(2025,5,5),DATE(2025,5,12),VLOOKUP(_xlfn.CONCAT(B112,C112),'Detalhe Entregas e Status'!$D$9:$J$81,7,0)),$K$8:$AA$8,0))="","",INDEX($K:$AA,ROW(C112),MATCH(IF(VLOOKUP(_xlfn.CONCAT(B112,C112),'Detalhe Entregas e Status'!$D$9:$J$81,7,0)=DATE(2025,5,5),DATE(2025,5,12),VLOOKUP(_xlfn.CONCAT(B112,C112),'Detalhe Entregas e Status'!$D$9:$J$81,7,0)),$K$8:$AA$8,0)))</f>
        <v/>
      </c>
      <c r="I112" s="17" t="s">
        <v>364</v>
      </c>
      <c r="J112" s="200" t="s">
        <v>294</v>
      </c>
      <c r="K112" s="165"/>
      <c r="L112" s="165"/>
      <c r="M112" s="165"/>
      <c r="N112" s="165"/>
      <c r="O112" s="165"/>
    </row>
    <row r="113" spans="2:15" ht="15" hidden="1" customHeight="1">
      <c r="B113" s="13" t="s">
        <v>1</v>
      </c>
      <c r="C113" s="13" t="s">
        <v>49</v>
      </c>
      <c r="D113" s="29" t="s">
        <v>95</v>
      </c>
      <c r="E113" s="14" t="s">
        <v>101</v>
      </c>
      <c r="F113" s="14">
        <v>1</v>
      </c>
      <c r="H113" s="165" t="str" cm="1">
        <f t="array" ref="H113">IF(INDEX($K:$AA,ROW(C113),MATCH(IF(VLOOKUP(_xlfn.CONCAT(B113,C113),'Detalhe Entregas e Status'!$D$9:$J$81,7,0)=DATE(2025,5,5),DATE(2025,5,12),VLOOKUP(_xlfn.CONCAT(B113,C113),'Detalhe Entregas e Status'!$D$9:$J$81,7,0)),$K$8:$AA$8,0))="","",INDEX($K:$AA,ROW(C113),MATCH(IF(VLOOKUP(_xlfn.CONCAT(B113,C113),'Detalhe Entregas e Status'!$D$9:$J$81,7,0)=DATE(2025,5,5),DATE(2025,5,12),VLOOKUP(_xlfn.CONCAT(B113,C113),'Detalhe Entregas e Status'!$D$9:$J$81,7,0)),$K$8:$AA$8,0)))</f>
        <v/>
      </c>
      <c r="I113" s="17"/>
      <c r="J113" s="200" t="s">
        <v>294</v>
      </c>
      <c r="K113" s="165"/>
      <c r="L113" s="165"/>
      <c r="M113" s="165"/>
      <c r="N113" s="165"/>
      <c r="O113" s="165"/>
    </row>
    <row r="114" spans="2:15" ht="15" hidden="1" customHeight="1">
      <c r="B114" s="13" t="s">
        <v>1</v>
      </c>
      <c r="C114" s="13" t="s">
        <v>50</v>
      </c>
      <c r="D114" s="29" t="s">
        <v>97</v>
      </c>
      <c r="E114" s="14" t="s">
        <v>101</v>
      </c>
      <c r="F114" s="14">
        <v>2</v>
      </c>
      <c r="H114" s="165" t="str" cm="1">
        <f t="array" ref="H114">IF(INDEX($K:$AA,ROW(C114),MATCH(IF(VLOOKUP(_xlfn.CONCAT(B114,C114),'Detalhe Entregas e Status'!$D$9:$J$81,7,0)=DATE(2025,5,5),DATE(2025,5,12),VLOOKUP(_xlfn.CONCAT(B114,C114),'Detalhe Entregas e Status'!$D$9:$J$81,7,0)),$K$8:$AA$8,0))="","",INDEX($K:$AA,ROW(C114),MATCH(IF(VLOOKUP(_xlfn.CONCAT(B114,C114),'Detalhe Entregas e Status'!$D$9:$J$81,7,0)=DATE(2025,5,5),DATE(2025,5,12),VLOOKUP(_xlfn.CONCAT(B114,C114),'Detalhe Entregas e Status'!$D$9:$J$81,7,0)),$K$8:$AA$8,0)))</f>
        <v/>
      </c>
      <c r="I114" s="17" t="s">
        <v>364</v>
      </c>
      <c r="J114" s="200" t="s">
        <v>294</v>
      </c>
      <c r="K114" s="165"/>
      <c r="L114" s="165"/>
      <c r="M114" s="165"/>
      <c r="N114" s="165"/>
      <c r="O114" s="165"/>
    </row>
    <row r="115" spans="2:15" ht="15" hidden="1" customHeight="1">
      <c r="B115" s="13" t="s">
        <v>1</v>
      </c>
      <c r="C115" s="13" t="s">
        <v>50</v>
      </c>
      <c r="D115" s="29" t="s">
        <v>95</v>
      </c>
      <c r="E115" s="14" t="s">
        <v>101</v>
      </c>
      <c r="F115" s="14">
        <v>1</v>
      </c>
      <c r="H115" s="165" t="str" cm="1">
        <f t="array" ref="H115">IF(INDEX($K:$AA,ROW(C115),MATCH(IF(VLOOKUP(_xlfn.CONCAT(B115,C115),'Detalhe Entregas e Status'!$D$9:$J$81,7,0)=DATE(2025,5,5),DATE(2025,5,12),VLOOKUP(_xlfn.CONCAT(B115,C115),'Detalhe Entregas e Status'!$D$9:$J$81,7,0)),$K$8:$AA$8,0))="","",INDEX($K:$AA,ROW(C115),MATCH(IF(VLOOKUP(_xlfn.CONCAT(B115,C115),'Detalhe Entregas e Status'!$D$9:$J$81,7,0)=DATE(2025,5,5),DATE(2025,5,12),VLOOKUP(_xlfn.CONCAT(B115,C115),'Detalhe Entregas e Status'!$D$9:$J$81,7,0)),$K$8:$AA$8,0)))</f>
        <v/>
      </c>
      <c r="I115" s="17"/>
      <c r="J115" s="200" t="s">
        <v>294</v>
      </c>
      <c r="K115" s="165"/>
      <c r="L115" s="165"/>
      <c r="M115" s="165"/>
      <c r="N115" s="165"/>
      <c r="O115" s="165"/>
    </row>
    <row r="116" spans="2:15" ht="15" hidden="1" customHeight="1">
      <c r="B116" s="13" t="s">
        <v>1</v>
      </c>
      <c r="C116" s="13" t="s">
        <v>51</v>
      </c>
      <c r="D116" s="29" t="s">
        <v>97</v>
      </c>
      <c r="E116" s="14" t="s">
        <v>101</v>
      </c>
      <c r="F116" s="14">
        <v>2</v>
      </c>
      <c r="H116" s="165" t="str" cm="1">
        <f t="array" ref="H116">IF(INDEX($K:$AA,ROW(C116),MATCH(IF(VLOOKUP(_xlfn.CONCAT(B116,C116),'Detalhe Entregas e Status'!$D$9:$J$81,7,0)=DATE(2025,5,5),DATE(2025,5,12),VLOOKUP(_xlfn.CONCAT(B116,C116),'Detalhe Entregas e Status'!$D$9:$J$81,7,0)),$K$8:$AA$8,0))="","",INDEX($K:$AA,ROW(C116),MATCH(IF(VLOOKUP(_xlfn.CONCAT(B116,C116),'Detalhe Entregas e Status'!$D$9:$J$81,7,0)=DATE(2025,5,5),DATE(2025,5,12),VLOOKUP(_xlfn.CONCAT(B116,C116),'Detalhe Entregas e Status'!$D$9:$J$81,7,0)),$K$8:$AA$8,0)))</f>
        <v/>
      </c>
      <c r="I116" s="17" t="s">
        <v>370</v>
      </c>
      <c r="J116" s="200" t="s">
        <v>294</v>
      </c>
      <c r="K116" s="165"/>
      <c r="L116" s="165"/>
      <c r="M116" s="165"/>
      <c r="N116" s="165"/>
      <c r="O116" s="165"/>
    </row>
    <row r="117" spans="2:15" ht="15" hidden="1" customHeight="1">
      <c r="B117" s="13" t="s">
        <v>1</v>
      </c>
      <c r="C117" s="13" t="s">
        <v>51</v>
      </c>
      <c r="D117" s="29" t="s">
        <v>95</v>
      </c>
      <c r="E117" s="14" t="s">
        <v>101</v>
      </c>
      <c r="F117" s="14">
        <v>1</v>
      </c>
      <c r="H117" s="165" t="str" cm="1">
        <f t="array" ref="H117">IF(INDEX($K:$AA,ROW(C117),MATCH(IF(VLOOKUP(_xlfn.CONCAT(B117,C117),'Detalhe Entregas e Status'!$D$9:$J$81,7,0)=DATE(2025,5,5),DATE(2025,5,12),VLOOKUP(_xlfn.CONCAT(B117,C117),'Detalhe Entregas e Status'!$D$9:$J$81,7,0)),$K$8:$AA$8,0))="","",INDEX($K:$AA,ROW(C117),MATCH(IF(VLOOKUP(_xlfn.CONCAT(B117,C117),'Detalhe Entregas e Status'!$D$9:$J$81,7,0)=DATE(2025,5,5),DATE(2025,5,12),VLOOKUP(_xlfn.CONCAT(B117,C117),'Detalhe Entregas e Status'!$D$9:$J$81,7,0)),$K$8:$AA$8,0)))</f>
        <v/>
      </c>
      <c r="I117" s="17"/>
      <c r="J117" s="200" t="s">
        <v>294</v>
      </c>
      <c r="K117" s="165"/>
      <c r="L117" s="165"/>
      <c r="M117" s="165"/>
      <c r="N117" s="165"/>
      <c r="O117" s="165"/>
    </row>
    <row r="118" spans="2:15" ht="15" hidden="1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4</v>
      </c>
      <c r="H118" s="165" t="str" cm="1">
        <f t="array" ref="H118">IF(INDEX($K:$AA,ROW(C118),MATCH(IF(VLOOKUP(_xlfn.CONCAT(B118,C118),'Detalhe Entregas e Status'!$D$9:$J$81,7,0)=DATE(2025,5,5),DATE(2025,5,12),VLOOKUP(_xlfn.CONCAT(B118,C118),'Detalhe Entregas e Status'!$D$9:$J$81,7,0)),$K$8:$AA$8,0))="","",INDEX($K:$AA,ROW(C118),MATCH(IF(VLOOKUP(_xlfn.CONCAT(B118,C118),'Detalhe Entregas e Status'!$D$9:$J$81,7,0)=DATE(2025,5,5),DATE(2025,5,12),VLOOKUP(_xlfn.CONCAT(B118,C118),'Detalhe Entregas e Status'!$D$9:$J$81,7,0)),$K$8:$AA$8,0)))</f>
        <v/>
      </c>
      <c r="I118" s="17"/>
      <c r="J118" s="200" t="s">
        <v>294</v>
      </c>
      <c r="K118" s="165"/>
      <c r="L118" s="165"/>
      <c r="M118" s="165"/>
      <c r="N118" s="165"/>
      <c r="O118" s="165"/>
    </row>
    <row r="119" spans="2:15" ht="15" hidden="1" customHeight="1">
      <c r="B119" s="13" t="s">
        <v>1</v>
      </c>
      <c r="C119" s="13" t="s">
        <v>54</v>
      </c>
      <c r="D119" s="29" t="s">
        <v>97</v>
      </c>
      <c r="E119" s="14" t="s">
        <v>101</v>
      </c>
      <c r="F119" s="14">
        <v>2</v>
      </c>
      <c r="H119" s="165" t="str" cm="1">
        <f t="array" ref="H119">IF(INDEX($K:$AA,ROW(C119),MATCH(IF(VLOOKUP(_xlfn.CONCAT(B119,C119),'Detalhe Entregas e Status'!$D$9:$J$81,7,0)=DATE(2025,5,5),DATE(2025,5,12),VLOOKUP(_xlfn.CONCAT(B119,C119),'Detalhe Entregas e Status'!$D$9:$J$81,7,0)),$K$8:$AA$8,0))="","",INDEX($K:$AA,ROW(C119),MATCH(IF(VLOOKUP(_xlfn.CONCAT(B119,C119),'Detalhe Entregas e Status'!$D$9:$J$81,7,0)=DATE(2025,5,5),DATE(2025,5,12),VLOOKUP(_xlfn.CONCAT(B119,C119),'Detalhe Entregas e Status'!$D$9:$J$81,7,0)),$K$8:$AA$8,0)))</f>
        <v/>
      </c>
      <c r="I119" s="17" t="s">
        <v>370</v>
      </c>
      <c r="J119" s="200" t="s">
        <v>294</v>
      </c>
      <c r="K119" s="165"/>
      <c r="L119" s="165"/>
      <c r="M119" s="165"/>
      <c r="N119" s="165"/>
      <c r="O119" s="165"/>
    </row>
    <row r="120" spans="2:15" ht="15" hidden="1" customHeight="1">
      <c r="B120" s="13" t="s">
        <v>1</v>
      </c>
      <c r="C120" s="13" t="s">
        <v>54</v>
      </c>
      <c r="D120" s="29" t="s">
        <v>95</v>
      </c>
      <c r="E120" s="14" t="s">
        <v>101</v>
      </c>
      <c r="F120" s="14">
        <v>1</v>
      </c>
      <c r="H120" s="165" t="str" cm="1">
        <f t="array" ref="H120">IF(INDEX($K:$AA,ROW(C120),MATCH(IF(VLOOKUP(_xlfn.CONCAT(B120,C120),'Detalhe Entregas e Status'!$D$9:$J$81,7,0)=DATE(2025,5,5),DATE(2025,5,12),VLOOKUP(_xlfn.CONCAT(B120,C120),'Detalhe Entregas e Status'!$D$9:$J$81,7,0)),$K$8:$AA$8,0))="","",INDEX($K:$AA,ROW(C120),MATCH(IF(VLOOKUP(_xlfn.CONCAT(B120,C120),'Detalhe Entregas e Status'!$D$9:$J$81,7,0)=DATE(2025,5,5),DATE(2025,5,12),VLOOKUP(_xlfn.CONCAT(B120,C120),'Detalhe Entregas e Status'!$D$9:$J$81,7,0)),$K$8:$AA$8,0)))</f>
        <v/>
      </c>
      <c r="I120" s="17"/>
      <c r="J120" s="200" t="s">
        <v>294</v>
      </c>
      <c r="K120" s="165"/>
      <c r="L120" s="165"/>
      <c r="M120" s="165"/>
      <c r="N120" s="165"/>
      <c r="O120" s="165"/>
    </row>
    <row r="121" spans="2:15" ht="15" hidden="1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4</v>
      </c>
      <c r="H121" s="165" t="str" cm="1">
        <f t="array" ref="H121">IF(INDEX($K:$AA,ROW(C121),MATCH(IF(VLOOKUP(_xlfn.CONCAT(B121,C121),'Detalhe Entregas e Status'!$D$9:$J$81,7,0)=DATE(2025,5,5),DATE(2025,5,12),VLOOKUP(_xlfn.CONCAT(B121,C121),'Detalhe Entregas e Status'!$D$9:$J$81,7,0)),$K$8:$AA$8,0))="","",INDEX($K:$AA,ROW(C121),MATCH(IF(VLOOKUP(_xlfn.CONCAT(B121,C121),'Detalhe Entregas e Status'!$D$9:$J$81,7,0)=DATE(2025,5,5),DATE(2025,5,12),VLOOKUP(_xlfn.CONCAT(B121,C121),'Detalhe Entregas e Status'!$D$9:$J$81,7,0)),$K$8:$AA$8,0)))</f>
        <v/>
      </c>
      <c r="I121" s="17"/>
      <c r="J121" s="200" t="s">
        <v>294</v>
      </c>
      <c r="K121" s="165"/>
      <c r="L121" s="165"/>
      <c r="M121" s="165"/>
      <c r="N121" s="165"/>
      <c r="O121" s="165"/>
    </row>
    <row r="122" spans="2:15" ht="15" hidden="1" customHeight="1">
      <c r="B122" s="13" t="s">
        <v>55</v>
      </c>
      <c r="C122" s="13" t="s">
        <v>90</v>
      </c>
      <c r="D122" s="29" t="s">
        <v>93</v>
      </c>
      <c r="E122" s="14" t="s">
        <v>100</v>
      </c>
      <c r="F122" s="14">
        <v>6</v>
      </c>
      <c r="H122" s="165" cm="1">
        <f t="array" ref="H122">IF(INDEX($K:$AA,ROW(C122),MATCH(IF(VLOOKUP(_xlfn.CONCAT(B122,C122),'Detalhe Entregas e Status'!$D$9:$J$81,7,0)=DATE(2025,5,5),DATE(2025,5,12),VLOOKUP(_xlfn.CONCAT(B122,C122),'Detalhe Entregas e Status'!$D$9:$J$81,7,0)),$K$8:$AA$8,0))="","",INDEX($K:$AA,ROW(C122),MATCH(IF(VLOOKUP(_xlfn.CONCAT(B122,C122),'Detalhe Entregas e Status'!$D$9:$J$81,7,0)=DATE(2025,5,5),DATE(2025,5,12),VLOOKUP(_xlfn.CONCAT(B122,C122),'Detalhe Entregas e Status'!$D$9:$J$81,7,0)),$K$8:$AA$8,0)))</f>
        <v>0</v>
      </c>
      <c r="I122" s="17"/>
      <c r="J122" s="200" t="s">
        <v>294</v>
      </c>
      <c r="K122" s="165">
        <v>0</v>
      </c>
      <c r="L122" s="165"/>
      <c r="M122" s="165"/>
      <c r="N122" s="165"/>
      <c r="O122" s="165"/>
    </row>
    <row r="123" spans="2:15" ht="15" hidden="1" customHeight="1">
      <c r="B123" s="13" t="s">
        <v>55</v>
      </c>
      <c r="C123" s="13" t="s">
        <v>36</v>
      </c>
      <c r="D123" s="29" t="s">
        <v>97</v>
      </c>
      <c r="E123" s="14" t="s">
        <v>101</v>
      </c>
      <c r="F123" s="14">
        <v>2</v>
      </c>
      <c r="H123" s="165" cm="1">
        <f t="array" ref="H123">IF(INDEX($K:$AA,ROW(C123),MATCH(IF(VLOOKUP(_xlfn.CONCAT(B123,C123),'Detalhe Entregas e Status'!$D$9:$J$81,7,0)=DATE(2025,5,5),DATE(2025,5,12),VLOOKUP(_xlfn.CONCAT(B123,C123),'Detalhe Entregas e Status'!$D$9:$J$81,7,0)),$K$8:$AA$8,0))="","",INDEX($K:$AA,ROW(C123),MATCH(IF(VLOOKUP(_xlfn.CONCAT(B123,C123),'Detalhe Entregas e Status'!$D$9:$J$81,7,0)=DATE(2025,5,5),DATE(2025,5,12),VLOOKUP(_xlfn.CONCAT(B123,C123),'Detalhe Entregas e Status'!$D$9:$J$81,7,0)),$K$8:$AA$8,0)))</f>
        <v>0</v>
      </c>
      <c r="I123" s="17" t="s">
        <v>293</v>
      </c>
      <c r="J123" s="200" t="s">
        <v>294</v>
      </c>
      <c r="K123" s="165"/>
      <c r="L123" s="165"/>
      <c r="M123" s="165">
        <v>0</v>
      </c>
      <c r="N123" s="165"/>
      <c r="O123" s="165"/>
    </row>
    <row r="124" spans="2:15" ht="15" hidden="1" customHeight="1">
      <c r="B124" s="13" t="s">
        <v>55</v>
      </c>
      <c r="C124" s="13" t="s">
        <v>36</v>
      </c>
      <c r="D124" s="29" t="s">
        <v>95</v>
      </c>
      <c r="E124" s="14" t="s">
        <v>101</v>
      </c>
      <c r="F124" s="14">
        <v>1</v>
      </c>
      <c r="H124" s="165" cm="1">
        <f t="array" ref="H124">IF(INDEX($K:$AA,ROW(C124),MATCH(IF(VLOOKUP(_xlfn.CONCAT(B124,C124),'Detalhe Entregas e Status'!$D$9:$J$81,7,0)=DATE(2025,5,5),DATE(2025,5,12),VLOOKUP(_xlfn.CONCAT(B124,C124),'Detalhe Entregas e Status'!$D$9:$J$81,7,0)),$K$8:$AA$8,0))="","",INDEX($K:$AA,ROW(C124),MATCH(IF(VLOOKUP(_xlfn.CONCAT(B124,C124),'Detalhe Entregas e Status'!$D$9:$J$81,7,0)=DATE(2025,5,5),DATE(2025,5,12),VLOOKUP(_xlfn.CONCAT(B124,C124),'Detalhe Entregas e Status'!$D$9:$J$81,7,0)),$K$8:$AA$8,0)))</f>
        <v>0</v>
      </c>
      <c r="I124" s="17"/>
      <c r="J124" s="200" t="s">
        <v>294</v>
      </c>
      <c r="K124" s="165"/>
      <c r="L124" s="165"/>
      <c r="M124" s="165">
        <v>0</v>
      </c>
      <c r="N124" s="165"/>
      <c r="O124" s="165"/>
    </row>
    <row r="125" spans="2:15" ht="15" hidden="1" customHeight="1">
      <c r="B125" s="13" t="s">
        <v>55</v>
      </c>
      <c r="C125" s="13" t="s">
        <v>38</v>
      </c>
      <c r="D125" s="29" t="s">
        <v>97</v>
      </c>
      <c r="E125" s="14" t="s">
        <v>101</v>
      </c>
      <c r="F125" s="14">
        <v>2</v>
      </c>
      <c r="H125" s="165" cm="1">
        <f t="array" ref="H125">IF(INDEX($K:$AA,ROW(C125),MATCH(IF(VLOOKUP(_xlfn.CONCAT(B125,C125),'Detalhe Entregas e Status'!$D$9:$J$81,7,0)=DATE(2025,5,5),DATE(2025,5,12),VLOOKUP(_xlfn.CONCAT(B125,C125),'Detalhe Entregas e Status'!$D$9:$J$81,7,0)),$K$8:$AA$8,0))="","",INDEX($K:$AA,ROW(C125),MATCH(IF(VLOOKUP(_xlfn.CONCAT(B125,C125),'Detalhe Entregas e Status'!$D$9:$J$81,7,0)=DATE(2025,5,5),DATE(2025,5,12),VLOOKUP(_xlfn.CONCAT(B125,C125),'Detalhe Entregas e Status'!$D$9:$J$81,7,0)),$K$8:$AA$8,0)))</f>
        <v>0</v>
      </c>
      <c r="I125" s="17" t="s">
        <v>293</v>
      </c>
      <c r="J125" s="200" t="s">
        <v>294</v>
      </c>
      <c r="K125" s="165"/>
      <c r="L125" s="165"/>
      <c r="M125" s="165">
        <v>0</v>
      </c>
      <c r="N125" s="165"/>
      <c r="O125" s="165"/>
    </row>
    <row r="126" spans="2:15" ht="15" hidden="1" customHeight="1">
      <c r="B126" s="13" t="s">
        <v>55</v>
      </c>
      <c r="C126" s="13" t="s">
        <v>38</v>
      </c>
      <c r="D126" s="29" t="s">
        <v>95</v>
      </c>
      <c r="E126" s="14" t="s">
        <v>101</v>
      </c>
      <c r="F126" s="14">
        <v>1</v>
      </c>
      <c r="H126" s="165" cm="1">
        <f t="array" ref="H126">IF(INDEX($K:$AA,ROW(C126),MATCH(IF(VLOOKUP(_xlfn.CONCAT(B126,C126),'Detalhe Entregas e Status'!$D$9:$J$81,7,0)=DATE(2025,5,5),DATE(2025,5,12),VLOOKUP(_xlfn.CONCAT(B126,C126),'Detalhe Entregas e Status'!$D$9:$J$81,7,0)),$K$8:$AA$8,0))="","",INDEX($K:$AA,ROW(C126),MATCH(IF(VLOOKUP(_xlfn.CONCAT(B126,C126),'Detalhe Entregas e Status'!$D$9:$J$81,7,0)=DATE(2025,5,5),DATE(2025,5,12),VLOOKUP(_xlfn.CONCAT(B126,C126),'Detalhe Entregas e Status'!$D$9:$J$81,7,0)),$K$8:$AA$8,0)))</f>
        <v>0</v>
      </c>
      <c r="I126" s="17"/>
      <c r="J126" s="200" t="s">
        <v>294</v>
      </c>
      <c r="K126" s="165"/>
      <c r="L126" s="165"/>
      <c r="M126" s="165">
        <v>0</v>
      </c>
      <c r="N126" s="165"/>
      <c r="O126" s="165"/>
    </row>
    <row r="127" spans="2:15" ht="15" hidden="1" customHeight="1">
      <c r="B127" s="13" t="s">
        <v>55</v>
      </c>
      <c r="C127" s="13" t="s">
        <v>56</v>
      </c>
      <c r="D127" s="29" t="s">
        <v>97</v>
      </c>
      <c r="E127" s="14" t="s">
        <v>101</v>
      </c>
      <c r="F127" s="14">
        <v>2</v>
      </c>
      <c r="H127" s="165" cm="1">
        <f t="array" ref="H127">IF(INDEX($K:$AA,ROW(C127),MATCH(IF(VLOOKUP(_xlfn.CONCAT(B127,C127),'Detalhe Entregas e Status'!$D$9:$J$81,7,0)=DATE(2025,5,5),DATE(2025,5,12),VLOOKUP(_xlfn.CONCAT(B127,C127),'Detalhe Entregas e Status'!$D$9:$J$81,7,0)),$K$8:$AA$8,0))="","",INDEX($K:$AA,ROW(C127),MATCH(IF(VLOOKUP(_xlfn.CONCAT(B127,C127),'Detalhe Entregas e Status'!$D$9:$J$81,7,0)=DATE(2025,5,5),DATE(2025,5,12),VLOOKUP(_xlfn.CONCAT(B127,C127),'Detalhe Entregas e Status'!$D$9:$J$81,7,0)),$K$8:$AA$8,0)))</f>
        <v>0</v>
      </c>
      <c r="I127" s="17" t="s">
        <v>293</v>
      </c>
      <c r="J127" s="200" t="s">
        <v>294</v>
      </c>
      <c r="K127" s="165"/>
      <c r="L127" s="165"/>
      <c r="M127" s="165">
        <v>0</v>
      </c>
      <c r="N127" s="165"/>
      <c r="O127" s="165"/>
    </row>
    <row r="128" spans="2:15" ht="15" hidden="1" customHeight="1">
      <c r="B128" s="13" t="s">
        <v>55</v>
      </c>
      <c r="C128" s="13" t="s">
        <v>56</v>
      </c>
      <c r="D128" s="29" t="s">
        <v>95</v>
      </c>
      <c r="E128" s="14" t="s">
        <v>101</v>
      </c>
      <c r="F128" s="14">
        <v>1</v>
      </c>
      <c r="H128" s="165" cm="1">
        <f t="array" ref="H128">IF(INDEX($K:$AA,ROW(C128),MATCH(IF(VLOOKUP(_xlfn.CONCAT(B128,C128),'Detalhe Entregas e Status'!$D$9:$J$81,7,0)=DATE(2025,5,5),DATE(2025,5,12),VLOOKUP(_xlfn.CONCAT(B128,C128),'Detalhe Entregas e Status'!$D$9:$J$81,7,0)),$K$8:$AA$8,0))="","",INDEX($K:$AA,ROW(C128),MATCH(IF(VLOOKUP(_xlfn.CONCAT(B128,C128),'Detalhe Entregas e Status'!$D$9:$J$81,7,0)=DATE(2025,5,5),DATE(2025,5,12),VLOOKUP(_xlfn.CONCAT(B128,C128),'Detalhe Entregas e Status'!$D$9:$J$81,7,0)),$K$8:$AA$8,0)))</f>
        <v>0</v>
      </c>
      <c r="I128" s="17"/>
      <c r="J128" s="200" t="s">
        <v>294</v>
      </c>
      <c r="K128" s="165"/>
      <c r="L128" s="165"/>
      <c r="M128" s="165">
        <v>0</v>
      </c>
      <c r="N128" s="165"/>
      <c r="O128" s="165"/>
    </row>
    <row r="129" spans="2:15" ht="15" hidden="1" customHeight="1">
      <c r="B129" s="13" t="s">
        <v>55</v>
      </c>
      <c r="C129" s="13" t="s">
        <v>57</v>
      </c>
      <c r="D129" s="29" t="s">
        <v>97</v>
      </c>
      <c r="E129" s="14" t="s">
        <v>101</v>
      </c>
      <c r="F129" s="14">
        <v>2</v>
      </c>
      <c r="H129" s="165" cm="1">
        <f t="array" ref="H129">IF(INDEX($K:$AA,ROW(C129),MATCH(IF(VLOOKUP(_xlfn.CONCAT(B129,C129),'Detalhe Entregas e Status'!$D$9:$J$81,7,0)=DATE(2025,5,5),DATE(2025,5,12),VLOOKUP(_xlfn.CONCAT(B129,C129),'Detalhe Entregas e Status'!$D$9:$J$81,7,0)),$K$8:$AA$8,0))="","",INDEX($K:$AA,ROW(C129),MATCH(IF(VLOOKUP(_xlfn.CONCAT(B129,C129),'Detalhe Entregas e Status'!$D$9:$J$81,7,0)=DATE(2025,5,5),DATE(2025,5,12),VLOOKUP(_xlfn.CONCAT(B129,C129),'Detalhe Entregas e Status'!$D$9:$J$81,7,0)),$K$8:$AA$8,0)))</f>
        <v>0</v>
      </c>
      <c r="I129" s="17" t="s">
        <v>293</v>
      </c>
      <c r="J129" s="200" t="s">
        <v>294</v>
      </c>
      <c r="K129" s="165"/>
      <c r="L129" s="165"/>
      <c r="M129" s="165">
        <v>0</v>
      </c>
      <c r="N129" s="165"/>
      <c r="O129" s="165"/>
    </row>
    <row r="130" spans="2:15" ht="15" hidden="1" customHeight="1">
      <c r="B130" s="13" t="s">
        <v>55</v>
      </c>
      <c r="C130" s="13" t="s">
        <v>57</v>
      </c>
      <c r="D130" s="29" t="s">
        <v>95</v>
      </c>
      <c r="E130" s="14" t="s">
        <v>101</v>
      </c>
      <c r="F130" s="14">
        <v>1</v>
      </c>
      <c r="H130" s="165" cm="1">
        <f t="array" ref="H130">IF(INDEX($K:$AA,ROW(C130),MATCH(IF(VLOOKUP(_xlfn.CONCAT(B130,C130),'Detalhe Entregas e Status'!$D$9:$J$81,7,0)=DATE(2025,5,5),DATE(2025,5,12),VLOOKUP(_xlfn.CONCAT(B130,C130),'Detalhe Entregas e Status'!$D$9:$J$81,7,0)),$K$8:$AA$8,0))="","",INDEX($K:$AA,ROW(C130),MATCH(IF(VLOOKUP(_xlfn.CONCAT(B130,C130),'Detalhe Entregas e Status'!$D$9:$J$81,7,0)=DATE(2025,5,5),DATE(2025,5,12),VLOOKUP(_xlfn.CONCAT(B130,C130),'Detalhe Entregas e Status'!$D$9:$J$81,7,0)),$K$8:$AA$8,0)))</f>
        <v>0</v>
      </c>
      <c r="I130" s="17"/>
      <c r="J130" s="200" t="s">
        <v>294</v>
      </c>
      <c r="K130" s="165"/>
      <c r="L130" s="165"/>
      <c r="M130" s="165">
        <v>0</v>
      </c>
      <c r="N130" s="165"/>
      <c r="O130" s="165"/>
    </row>
    <row r="131" spans="2:15" ht="15" hidden="1" customHeight="1">
      <c r="B131" s="13" t="s">
        <v>55</v>
      </c>
      <c r="C131" s="13" t="s">
        <v>57</v>
      </c>
      <c r="D131" s="29" t="s">
        <v>96</v>
      </c>
      <c r="E131" s="14" t="s">
        <v>101</v>
      </c>
      <c r="F131" s="14">
        <v>2</v>
      </c>
      <c r="H131" s="165" cm="1">
        <f t="array" ref="H131">IF(INDEX($K:$AA,ROW(C131),MATCH(IF(VLOOKUP(_xlfn.CONCAT(B131,C131),'Detalhe Entregas e Status'!$D$9:$J$81,7,0)=DATE(2025,5,5),DATE(2025,5,12),VLOOKUP(_xlfn.CONCAT(B131,C131),'Detalhe Entregas e Status'!$D$9:$J$81,7,0)),$K$8:$AA$8,0))="","",INDEX($K:$AA,ROW(C131),MATCH(IF(VLOOKUP(_xlfn.CONCAT(B131,C131),'Detalhe Entregas e Status'!$D$9:$J$81,7,0)=DATE(2025,5,5),DATE(2025,5,12),VLOOKUP(_xlfn.CONCAT(B131,C131),'Detalhe Entregas e Status'!$D$9:$J$81,7,0)),$K$8:$AA$8,0)))</f>
        <v>0</v>
      </c>
      <c r="I131" s="17"/>
      <c r="J131" s="200" t="s">
        <v>294</v>
      </c>
      <c r="K131" s="165"/>
      <c r="L131" s="165"/>
      <c r="M131" s="165">
        <v>0</v>
      </c>
      <c r="N131" s="165"/>
      <c r="O131" s="165"/>
    </row>
    <row r="132" spans="2:15" ht="15" hidden="1" customHeight="1">
      <c r="B132" s="13" t="s">
        <v>55</v>
      </c>
      <c r="C132" s="13" t="s">
        <v>58</v>
      </c>
      <c r="D132" s="29" t="s">
        <v>97</v>
      </c>
      <c r="E132" s="14" t="s">
        <v>101</v>
      </c>
      <c r="F132" s="14">
        <v>2</v>
      </c>
      <c r="H132" s="165" cm="1">
        <f t="array" ref="H132">IF(INDEX($K:$AA,ROW(C132),MATCH(IF(VLOOKUP(_xlfn.CONCAT(B132,C132),'Detalhe Entregas e Status'!$D$9:$J$81,7,0)=DATE(2025,5,5),DATE(2025,5,12),VLOOKUP(_xlfn.CONCAT(B132,C132),'Detalhe Entregas e Status'!$D$9:$J$81,7,0)),$K$8:$AA$8,0))="","",INDEX($K:$AA,ROW(C132),MATCH(IF(VLOOKUP(_xlfn.CONCAT(B132,C132),'Detalhe Entregas e Status'!$D$9:$J$81,7,0)=DATE(2025,5,5),DATE(2025,5,12),VLOOKUP(_xlfn.CONCAT(B132,C132),'Detalhe Entregas e Status'!$D$9:$J$81,7,0)),$K$8:$AA$8,0)))</f>
        <v>24805</v>
      </c>
      <c r="I132" s="17" t="s">
        <v>293</v>
      </c>
      <c r="J132" s="200" t="s">
        <v>294</v>
      </c>
      <c r="K132" s="165"/>
      <c r="L132" s="165"/>
      <c r="M132" s="165">
        <v>24805</v>
      </c>
      <c r="N132" s="165"/>
      <c r="O132" s="165"/>
    </row>
    <row r="133" spans="2:15" ht="15" hidden="1" customHeight="1">
      <c r="B133" s="13" t="s">
        <v>55</v>
      </c>
      <c r="C133" s="13" t="s">
        <v>58</v>
      </c>
      <c r="D133" s="29" t="s">
        <v>95</v>
      </c>
      <c r="E133" s="14" t="s">
        <v>101</v>
      </c>
      <c r="F133" s="14">
        <v>1</v>
      </c>
      <c r="H133" s="165" cm="1">
        <f t="array" ref="H133">IF(INDEX($K:$AA,ROW(C133),MATCH(IF(VLOOKUP(_xlfn.CONCAT(B133,C133),'Detalhe Entregas e Status'!$D$9:$J$81,7,0)=DATE(2025,5,5),DATE(2025,5,12),VLOOKUP(_xlfn.CONCAT(B133,C133),'Detalhe Entregas e Status'!$D$9:$J$81,7,0)),$K$8:$AA$8,0))="","",INDEX($K:$AA,ROW(C133),MATCH(IF(VLOOKUP(_xlfn.CONCAT(B133,C133),'Detalhe Entregas e Status'!$D$9:$J$81,7,0)=DATE(2025,5,5),DATE(2025,5,12),VLOOKUP(_xlfn.CONCAT(B133,C133),'Detalhe Entregas e Status'!$D$9:$J$81,7,0)),$K$8:$AA$8,0)))</f>
        <v>0</v>
      </c>
      <c r="I133" s="17"/>
      <c r="J133" s="200" t="s">
        <v>294</v>
      </c>
      <c r="K133" s="165"/>
      <c r="L133" s="165"/>
      <c r="M133" s="165">
        <v>0</v>
      </c>
      <c r="N133" s="165"/>
      <c r="O133" s="165"/>
    </row>
    <row r="134" spans="2:15" ht="15" hidden="1" customHeight="1">
      <c r="B134" s="13" t="s">
        <v>55</v>
      </c>
      <c r="C134" s="13" t="s">
        <v>59</v>
      </c>
      <c r="D134" s="29" t="s">
        <v>97</v>
      </c>
      <c r="E134" s="14" t="s">
        <v>100</v>
      </c>
      <c r="F134" s="14">
        <v>2</v>
      </c>
      <c r="H134" s="165" cm="1">
        <f t="array" ref="H134">IF(INDEX($K:$AA,ROW(C134),MATCH(IF(VLOOKUP(_xlfn.CONCAT(B134,C134),'Detalhe Entregas e Status'!$D$9:$J$81,7,0)=DATE(2025,5,5),DATE(2025,5,12),VLOOKUP(_xlfn.CONCAT(B134,C134),'Detalhe Entregas e Status'!$D$9:$J$81,7,0)),$K$8:$AA$8,0))="","",INDEX($K:$AA,ROW(C134),MATCH(IF(VLOOKUP(_xlfn.CONCAT(B134,C134),'Detalhe Entregas e Status'!$D$9:$J$81,7,0)=DATE(2025,5,5),DATE(2025,5,12),VLOOKUP(_xlfn.CONCAT(B134,C134),'Detalhe Entregas e Status'!$D$9:$J$81,7,0)),$K$8:$AA$8,0)))</f>
        <v>0</v>
      </c>
      <c r="I134" s="17" t="s">
        <v>293</v>
      </c>
      <c r="J134" s="200" t="s">
        <v>294</v>
      </c>
      <c r="K134" s="165">
        <v>0</v>
      </c>
      <c r="L134" s="165"/>
      <c r="M134" s="165"/>
      <c r="N134" s="165"/>
      <c r="O134" s="165"/>
    </row>
    <row r="135" spans="2:15" ht="15" hidden="1" customHeight="1">
      <c r="B135" s="13" t="s">
        <v>55</v>
      </c>
      <c r="C135" s="13" t="s">
        <v>59</v>
      </c>
      <c r="D135" s="29" t="s">
        <v>95</v>
      </c>
      <c r="E135" s="14" t="s">
        <v>101</v>
      </c>
      <c r="F135" s="14">
        <v>1</v>
      </c>
      <c r="H135" s="165" cm="1">
        <f t="array" ref="H135">IF(INDEX($K:$AA,ROW(C135),MATCH(IF(VLOOKUP(_xlfn.CONCAT(B135,C135),'Detalhe Entregas e Status'!$D$9:$J$81,7,0)=DATE(2025,5,5),DATE(2025,5,12),VLOOKUP(_xlfn.CONCAT(B135,C135),'Detalhe Entregas e Status'!$D$9:$J$81,7,0)),$K$8:$AA$8,0))="","",INDEX($K:$AA,ROW(C135),MATCH(IF(VLOOKUP(_xlfn.CONCAT(B135,C135),'Detalhe Entregas e Status'!$D$9:$J$81,7,0)=DATE(2025,5,5),DATE(2025,5,12),VLOOKUP(_xlfn.CONCAT(B135,C135),'Detalhe Entregas e Status'!$D$9:$J$81,7,0)),$K$8:$AA$8,0)))</f>
        <v>0</v>
      </c>
      <c r="I135" s="17"/>
      <c r="J135" s="200" t="s">
        <v>294</v>
      </c>
      <c r="K135" s="165">
        <v>0</v>
      </c>
      <c r="L135" s="165"/>
      <c r="M135" s="165"/>
      <c r="N135" s="165"/>
      <c r="O135" s="165"/>
    </row>
    <row r="136" spans="2:15" ht="15" hidden="1" customHeight="1">
      <c r="B136" s="13" t="s">
        <v>55</v>
      </c>
      <c r="C136" s="13" t="s">
        <v>59</v>
      </c>
      <c r="D136" s="29" t="s">
        <v>96</v>
      </c>
      <c r="E136" s="14" t="s">
        <v>101</v>
      </c>
      <c r="F136" s="14">
        <v>2</v>
      </c>
      <c r="H136" s="165" cm="1">
        <f t="array" ref="H136">IF(INDEX($K:$AA,ROW(C136),MATCH(IF(VLOOKUP(_xlfn.CONCAT(B136,C136),'Detalhe Entregas e Status'!$D$9:$J$81,7,0)=DATE(2025,5,5),DATE(2025,5,12),VLOOKUP(_xlfn.CONCAT(B136,C136),'Detalhe Entregas e Status'!$D$9:$J$81,7,0)),$K$8:$AA$8,0))="","",INDEX($K:$AA,ROW(C136),MATCH(IF(VLOOKUP(_xlfn.CONCAT(B136,C136),'Detalhe Entregas e Status'!$D$9:$J$81,7,0)=DATE(2025,5,5),DATE(2025,5,12),VLOOKUP(_xlfn.CONCAT(B136,C136),'Detalhe Entregas e Status'!$D$9:$J$81,7,0)),$K$8:$AA$8,0)))</f>
        <v>0</v>
      </c>
      <c r="I136" s="17"/>
      <c r="J136" s="200" t="s">
        <v>294</v>
      </c>
      <c r="K136" s="165">
        <v>0</v>
      </c>
      <c r="L136" s="165"/>
      <c r="M136" s="165"/>
      <c r="N136" s="165"/>
      <c r="O136" s="165"/>
    </row>
    <row r="137" spans="2:15" ht="15" hidden="1" customHeight="1">
      <c r="B137" s="13" t="s">
        <v>55</v>
      </c>
      <c r="C137" s="13" t="s">
        <v>59</v>
      </c>
      <c r="D137" s="29" t="s">
        <v>94</v>
      </c>
      <c r="E137" s="14" t="s">
        <v>100</v>
      </c>
      <c r="F137" s="14">
        <v>4</v>
      </c>
      <c r="H137" s="165" cm="1">
        <f t="array" ref="H137">IF(INDEX($K:$AA,ROW(C137),MATCH(IF(VLOOKUP(_xlfn.CONCAT(B137,C137),'Detalhe Entregas e Status'!$D$9:$J$81,7,0)=DATE(2025,5,5),DATE(2025,5,12),VLOOKUP(_xlfn.CONCAT(B137,C137),'Detalhe Entregas e Status'!$D$9:$J$81,7,0)),$K$8:$AA$8,0))="","",INDEX($K:$AA,ROW(C137),MATCH(IF(VLOOKUP(_xlfn.CONCAT(B137,C137),'Detalhe Entregas e Status'!$D$9:$J$81,7,0)=DATE(2025,5,5),DATE(2025,5,12),VLOOKUP(_xlfn.CONCAT(B137,C137),'Detalhe Entregas e Status'!$D$9:$J$81,7,0)),$K$8:$AA$8,0)))</f>
        <v>0</v>
      </c>
      <c r="I137" s="17"/>
      <c r="J137" s="200" t="s">
        <v>294</v>
      </c>
      <c r="K137" s="165">
        <v>0</v>
      </c>
      <c r="L137" s="165"/>
      <c r="M137" s="165"/>
      <c r="N137" s="165"/>
      <c r="O137" s="165"/>
    </row>
    <row r="138" spans="2:15" ht="15" hidden="1" customHeight="1">
      <c r="B138" s="13" t="s">
        <v>55</v>
      </c>
      <c r="C138" s="13" t="s">
        <v>60</v>
      </c>
      <c r="D138" s="29" t="s">
        <v>95</v>
      </c>
      <c r="E138" s="14" t="s">
        <v>101</v>
      </c>
      <c r="F138" s="14">
        <v>1</v>
      </c>
      <c r="H138" s="165" cm="1">
        <f t="array" ref="H138">IF(INDEX($K:$AA,ROW(C138),MATCH(IF(VLOOKUP(_xlfn.CONCAT(B138,C138),'Detalhe Entregas e Status'!$D$9:$J$81,7,0)=DATE(2025,5,5),DATE(2025,5,12),VLOOKUP(_xlfn.CONCAT(B138,C138),'Detalhe Entregas e Status'!$D$9:$J$81,7,0)),$K$8:$AA$8,0))="","",INDEX($K:$AA,ROW(C138),MATCH(IF(VLOOKUP(_xlfn.CONCAT(B138,C138),'Detalhe Entregas e Status'!$D$9:$J$81,7,0)=DATE(2025,5,5),DATE(2025,5,12),VLOOKUP(_xlfn.CONCAT(B138,C138),'Detalhe Entregas e Status'!$D$9:$J$81,7,0)),$K$8:$AA$8,0)))</f>
        <v>0</v>
      </c>
      <c r="I138" s="17"/>
      <c r="J138" s="200" t="s">
        <v>294</v>
      </c>
      <c r="K138" s="165"/>
      <c r="L138" s="165"/>
      <c r="M138" s="165"/>
      <c r="N138" s="165">
        <v>0</v>
      </c>
      <c r="O138" s="165"/>
    </row>
    <row r="139" spans="2:15" ht="15" hidden="1" customHeight="1">
      <c r="B139" s="13" t="s">
        <v>55</v>
      </c>
      <c r="C139" s="13" t="s">
        <v>60</v>
      </c>
      <c r="D139" s="29" t="s">
        <v>96</v>
      </c>
      <c r="E139" s="14" t="s">
        <v>101</v>
      </c>
      <c r="F139" s="14">
        <v>2</v>
      </c>
      <c r="H139" s="165" cm="1">
        <f t="array" ref="H139">IF(INDEX($K:$AA,ROW(C139),MATCH(IF(VLOOKUP(_xlfn.CONCAT(B139,C139),'Detalhe Entregas e Status'!$D$9:$J$81,7,0)=DATE(2025,5,5),DATE(2025,5,12),VLOOKUP(_xlfn.CONCAT(B139,C139),'Detalhe Entregas e Status'!$D$9:$J$81,7,0)),$K$8:$AA$8,0))="","",INDEX($K:$AA,ROW(C139),MATCH(IF(VLOOKUP(_xlfn.CONCAT(B139,C139),'Detalhe Entregas e Status'!$D$9:$J$81,7,0)=DATE(2025,5,5),DATE(2025,5,12),VLOOKUP(_xlfn.CONCAT(B139,C139),'Detalhe Entregas e Status'!$D$9:$J$81,7,0)),$K$8:$AA$8,0)))</f>
        <v>0</v>
      </c>
      <c r="I139" s="17"/>
      <c r="J139" s="200" t="s">
        <v>294</v>
      </c>
      <c r="K139" s="165"/>
      <c r="L139" s="165"/>
      <c r="M139" s="165"/>
      <c r="N139" s="165">
        <v>0</v>
      </c>
      <c r="O139" s="165"/>
    </row>
    <row r="140" spans="2:15" ht="15" hidden="1" customHeight="1">
      <c r="B140" s="13" t="s">
        <v>55</v>
      </c>
      <c r="C140" s="13" t="s">
        <v>60</v>
      </c>
      <c r="D140" s="29" t="s">
        <v>94</v>
      </c>
      <c r="E140" s="14" t="s">
        <v>100</v>
      </c>
      <c r="F140" s="14">
        <v>4</v>
      </c>
      <c r="H140" s="165" cm="1">
        <f t="array" ref="H140">IF(INDEX($K:$AA,ROW(C140),MATCH(IF(VLOOKUP(_xlfn.CONCAT(B140,C140),'Detalhe Entregas e Status'!$D$9:$J$81,7,0)=DATE(2025,5,5),DATE(2025,5,12),VLOOKUP(_xlfn.CONCAT(B140,C140),'Detalhe Entregas e Status'!$D$9:$J$81,7,0)),$K$8:$AA$8,0))="","",INDEX($K:$AA,ROW(C140),MATCH(IF(VLOOKUP(_xlfn.CONCAT(B140,C140),'Detalhe Entregas e Status'!$D$9:$J$81,7,0)=DATE(2025,5,5),DATE(2025,5,12),VLOOKUP(_xlfn.CONCAT(B140,C140),'Detalhe Entregas e Status'!$D$9:$J$81,7,0)),$K$8:$AA$8,0)))</f>
        <v>5163</v>
      </c>
      <c r="I140" s="17"/>
      <c r="J140" s="200" t="s">
        <v>294</v>
      </c>
      <c r="K140" s="165"/>
      <c r="L140" s="165"/>
      <c r="M140" s="165"/>
      <c r="N140" s="165">
        <v>5163</v>
      </c>
      <c r="O140" s="165"/>
    </row>
    <row r="141" spans="2:15" ht="15" customHeight="1">
      <c r="B141" s="13" t="s">
        <v>61</v>
      </c>
      <c r="C141" s="13" t="s">
        <v>90</v>
      </c>
      <c r="D141" s="29" t="s">
        <v>93</v>
      </c>
      <c r="E141" s="14" t="s">
        <v>100</v>
      </c>
      <c r="F141" s="14">
        <v>6</v>
      </c>
      <c r="H141" s="165" t="str" cm="1">
        <f t="array" ref="H141">IF(INDEX($K:$AA,ROW(C141),MATCH(IF(VLOOKUP(_xlfn.CONCAT(B141,C141),'Detalhe Entregas e Status'!$D$9:$J$81,7,0)=DATE(2025,5,5),DATE(2025,5,12),VLOOKUP(_xlfn.CONCAT(B141,C141),'Detalhe Entregas e Status'!$D$9:$J$81,7,0)),$K$8:$AA$8,0))="","",INDEX($K:$AA,ROW(C141),MATCH(IF(VLOOKUP(_xlfn.CONCAT(B141,C141),'Detalhe Entregas e Status'!$D$9:$J$81,7,0)=DATE(2025,5,5),DATE(2025,5,12),VLOOKUP(_xlfn.CONCAT(B141,C141),'Detalhe Entregas e Status'!$D$9:$J$81,7,0)),$K$8:$AA$8,0)))</f>
        <v/>
      </c>
      <c r="I141" s="17"/>
      <c r="J141" s="200" t="s">
        <v>294</v>
      </c>
      <c r="K141" s="165"/>
      <c r="L141" s="165"/>
      <c r="M141" s="165"/>
      <c r="N141" s="165"/>
      <c r="O141" s="165"/>
    </row>
    <row r="142" spans="2:15" ht="15" customHeight="1">
      <c r="B142" s="13" t="s">
        <v>61</v>
      </c>
      <c r="C142" s="13" t="s">
        <v>36</v>
      </c>
      <c r="D142" s="29" t="s">
        <v>94</v>
      </c>
      <c r="E142" s="14" t="s">
        <v>101</v>
      </c>
      <c r="F142" s="14">
        <v>2</v>
      </c>
      <c r="H142" s="165" cm="1">
        <f t="array" ref="H142">IF(INDEX($K:$AA,ROW(C142),MATCH(IF(VLOOKUP(_xlfn.CONCAT(B142,C142),'Detalhe Entregas e Status'!$D$9:$J$81,7,0)=DATE(2025,5,5),DATE(2025,5,12),VLOOKUP(_xlfn.CONCAT(B142,C142),'Detalhe Entregas e Status'!$D$9:$J$81,7,0)),$K$8:$AA$8,0))="","",INDEX($K:$AA,ROW(C142),MATCH(IF(VLOOKUP(_xlfn.CONCAT(B142,C142),'Detalhe Entregas e Status'!$D$9:$J$81,7,0)=DATE(2025,5,5),DATE(2025,5,12),VLOOKUP(_xlfn.CONCAT(B142,C142),'Detalhe Entregas e Status'!$D$9:$J$81,7,0)),$K$8:$AA$8,0)))</f>
        <v>0</v>
      </c>
      <c r="I142" s="17" t="s">
        <v>301</v>
      </c>
      <c r="J142" s="200" t="s">
        <v>294</v>
      </c>
      <c r="K142" s="165"/>
      <c r="L142" s="165"/>
      <c r="M142" s="165">
        <v>0</v>
      </c>
      <c r="N142" s="165"/>
      <c r="O142" s="165"/>
    </row>
    <row r="143" spans="2:15" ht="15" customHeight="1">
      <c r="B143" s="13" t="s">
        <v>61</v>
      </c>
      <c r="C143" s="13" t="s">
        <v>36</v>
      </c>
      <c r="D143" s="29" t="s">
        <v>95</v>
      </c>
      <c r="E143" s="14" t="s">
        <v>101</v>
      </c>
      <c r="F143" s="14">
        <v>1</v>
      </c>
      <c r="H143" s="165" cm="1">
        <f t="array" ref="H143">IF(INDEX($K:$AA,ROW(C143),MATCH(IF(VLOOKUP(_xlfn.CONCAT(B143,C143),'Detalhe Entregas e Status'!$D$9:$J$81,7,0)=DATE(2025,5,5),DATE(2025,5,12),VLOOKUP(_xlfn.CONCAT(B143,C143),'Detalhe Entregas e Status'!$D$9:$J$81,7,0)),$K$8:$AA$8,0))="","",INDEX($K:$AA,ROW(C143),MATCH(IF(VLOOKUP(_xlfn.CONCAT(B143,C143),'Detalhe Entregas e Status'!$D$9:$J$81,7,0)=DATE(2025,5,5),DATE(2025,5,12),VLOOKUP(_xlfn.CONCAT(B143,C143),'Detalhe Entregas e Status'!$D$9:$J$81,7,0)),$K$8:$AA$8,0)))</f>
        <v>0</v>
      </c>
      <c r="I143" s="17"/>
      <c r="J143" s="200" t="s">
        <v>294</v>
      </c>
      <c r="K143" s="165"/>
      <c r="L143" s="165"/>
      <c r="M143" s="165">
        <v>0</v>
      </c>
      <c r="N143" s="165"/>
      <c r="O143" s="165"/>
    </row>
    <row r="144" spans="2:15" ht="15" customHeight="1">
      <c r="B144" s="13" t="s">
        <v>61</v>
      </c>
      <c r="C144" s="13" t="s">
        <v>38</v>
      </c>
      <c r="D144" s="29" t="s">
        <v>94</v>
      </c>
      <c r="E144" s="14" t="s">
        <v>101</v>
      </c>
      <c r="F144" s="14">
        <v>2</v>
      </c>
      <c r="H144" s="165" cm="1">
        <f t="array" ref="H144">IF(INDEX($K:$AA,ROW(C144),MATCH(IF(VLOOKUP(_xlfn.CONCAT(B144,C144),'Detalhe Entregas e Status'!$D$9:$J$81,7,0)=DATE(2025,5,5),DATE(2025,5,12),VLOOKUP(_xlfn.CONCAT(B144,C144),'Detalhe Entregas e Status'!$D$9:$J$81,7,0)),$K$8:$AA$8,0))="","",INDEX($K:$AA,ROW(C144),MATCH(IF(VLOOKUP(_xlfn.CONCAT(B144,C144),'Detalhe Entregas e Status'!$D$9:$J$81,7,0)=DATE(2025,5,5),DATE(2025,5,12),VLOOKUP(_xlfn.CONCAT(B144,C144),'Detalhe Entregas e Status'!$D$9:$J$81,7,0)),$K$8:$AA$8,0)))</f>
        <v>0</v>
      </c>
      <c r="I144" s="17" t="s">
        <v>301</v>
      </c>
      <c r="J144" s="200" t="s">
        <v>294</v>
      </c>
      <c r="K144" s="165"/>
      <c r="L144" s="165"/>
      <c r="M144" s="165">
        <v>0</v>
      </c>
      <c r="N144" s="165"/>
      <c r="O144" s="165"/>
    </row>
    <row r="145" spans="2:15" ht="15" customHeight="1">
      <c r="B145" s="13" t="s">
        <v>61</v>
      </c>
      <c r="C145" s="13" t="s">
        <v>38</v>
      </c>
      <c r="D145" s="29" t="s">
        <v>95</v>
      </c>
      <c r="E145" s="14" t="s">
        <v>101</v>
      </c>
      <c r="F145" s="14">
        <v>1</v>
      </c>
      <c r="H145" s="165" cm="1">
        <f t="array" ref="H145">IF(INDEX($K:$AA,ROW(C145),MATCH(IF(VLOOKUP(_xlfn.CONCAT(B145,C145),'Detalhe Entregas e Status'!$D$9:$J$81,7,0)=DATE(2025,5,5),DATE(2025,5,12),VLOOKUP(_xlfn.CONCAT(B145,C145),'Detalhe Entregas e Status'!$D$9:$J$81,7,0)),$K$8:$AA$8,0))="","",INDEX($K:$AA,ROW(C145),MATCH(IF(VLOOKUP(_xlfn.CONCAT(B145,C145),'Detalhe Entregas e Status'!$D$9:$J$81,7,0)=DATE(2025,5,5),DATE(2025,5,12),VLOOKUP(_xlfn.CONCAT(B145,C145),'Detalhe Entregas e Status'!$D$9:$J$81,7,0)),$K$8:$AA$8,0)))</f>
        <v>0</v>
      </c>
      <c r="I145" s="17"/>
      <c r="J145" s="200" t="s">
        <v>294</v>
      </c>
      <c r="K145" s="165"/>
      <c r="L145" s="165"/>
      <c r="M145" s="165">
        <v>0</v>
      </c>
      <c r="N145" s="165"/>
      <c r="O145" s="165"/>
    </row>
    <row r="146" spans="2:15" ht="15" customHeight="1">
      <c r="B146" s="13" t="s">
        <v>61</v>
      </c>
      <c r="C146" s="13" t="s">
        <v>54</v>
      </c>
      <c r="D146" s="29" t="s">
        <v>94</v>
      </c>
      <c r="E146" s="14" t="s">
        <v>101</v>
      </c>
      <c r="F146" s="14">
        <v>2</v>
      </c>
      <c r="H146" s="165" t="str" cm="1">
        <f t="array" ref="H146">IF(INDEX($K:$AA,ROW(C146),MATCH(IF(VLOOKUP(_xlfn.CONCAT(B146,C146),'Detalhe Entregas e Status'!$D$9:$J$81,7,0)=DATE(2025,5,5),DATE(2025,5,12),VLOOKUP(_xlfn.CONCAT(B146,C146),'Detalhe Entregas e Status'!$D$9:$J$81,7,0)),$K$8:$AA$8,0))="","",INDEX($K:$AA,ROW(C146),MATCH(IF(VLOOKUP(_xlfn.CONCAT(B146,C146),'Detalhe Entregas e Status'!$D$9:$J$81,7,0)=DATE(2025,5,5),DATE(2025,5,12),VLOOKUP(_xlfn.CONCAT(B146,C146),'Detalhe Entregas e Status'!$D$9:$J$81,7,0)),$K$8:$AA$8,0)))</f>
        <v/>
      </c>
      <c r="I146" s="17" t="s">
        <v>301</v>
      </c>
      <c r="J146" s="200" t="s">
        <v>294</v>
      </c>
      <c r="K146" s="165"/>
      <c r="L146" s="165"/>
      <c r="M146" s="165"/>
      <c r="N146" s="165"/>
      <c r="O146" s="165"/>
    </row>
    <row r="147" spans="2:15" ht="15" customHeight="1">
      <c r="B147" s="13" t="s">
        <v>61</v>
      </c>
      <c r="C147" s="13" t="s">
        <v>54</v>
      </c>
      <c r="D147" s="29" t="s">
        <v>95</v>
      </c>
      <c r="E147" s="14" t="s">
        <v>101</v>
      </c>
      <c r="F147" s="14">
        <v>1</v>
      </c>
      <c r="H147" s="165" t="str" cm="1">
        <f t="array" ref="H147">IF(INDEX($K:$AA,ROW(C147),MATCH(IF(VLOOKUP(_xlfn.CONCAT(B147,C147),'Detalhe Entregas e Status'!$D$9:$J$81,7,0)=DATE(2025,5,5),DATE(2025,5,12),VLOOKUP(_xlfn.CONCAT(B147,C147),'Detalhe Entregas e Status'!$D$9:$J$81,7,0)),$K$8:$AA$8,0))="","",INDEX($K:$AA,ROW(C147),MATCH(IF(VLOOKUP(_xlfn.CONCAT(B147,C147),'Detalhe Entregas e Status'!$D$9:$J$81,7,0)=DATE(2025,5,5),DATE(2025,5,12),VLOOKUP(_xlfn.CONCAT(B147,C147),'Detalhe Entregas e Status'!$D$9:$J$81,7,0)),$K$8:$AA$8,0)))</f>
        <v/>
      </c>
      <c r="I147" s="17"/>
      <c r="J147" s="200" t="s">
        <v>294</v>
      </c>
      <c r="K147" s="165"/>
      <c r="L147" s="165"/>
      <c r="M147" s="165"/>
      <c r="N147" s="165"/>
      <c r="O147" s="165"/>
    </row>
    <row r="148" spans="2:15" ht="15" customHeight="1">
      <c r="B148" s="13" t="s">
        <v>61</v>
      </c>
      <c r="C148" s="13" t="s">
        <v>56</v>
      </c>
      <c r="D148" s="29" t="s">
        <v>94</v>
      </c>
      <c r="E148" s="14" t="s">
        <v>101</v>
      </c>
      <c r="F148" s="14">
        <v>2</v>
      </c>
      <c r="H148" s="165" t="str" cm="1">
        <f t="array" ref="H148">IF(INDEX($K:$AA,ROW(C148),MATCH(IF(VLOOKUP(_xlfn.CONCAT(B148,C148),'Detalhe Entregas e Status'!$D$9:$J$81,7,0)=DATE(2025,5,5),DATE(2025,5,12),VLOOKUP(_xlfn.CONCAT(B148,C148),'Detalhe Entregas e Status'!$D$9:$J$81,7,0)),$K$8:$AA$8,0))="","",INDEX($K:$AA,ROW(C148),MATCH(IF(VLOOKUP(_xlfn.CONCAT(B148,C148),'Detalhe Entregas e Status'!$D$9:$J$81,7,0)=DATE(2025,5,5),DATE(2025,5,12),VLOOKUP(_xlfn.CONCAT(B148,C148),'Detalhe Entregas e Status'!$D$9:$J$81,7,0)),$K$8:$AA$8,0)))</f>
        <v/>
      </c>
      <c r="I148" s="17" t="s">
        <v>301</v>
      </c>
      <c r="J148" s="200" t="s">
        <v>294</v>
      </c>
      <c r="K148" s="165"/>
      <c r="L148" s="165"/>
      <c r="M148" s="165"/>
      <c r="N148" s="165"/>
      <c r="O148" s="165"/>
    </row>
    <row r="149" spans="2:15" ht="15" customHeight="1">
      <c r="B149" s="13" t="s">
        <v>61</v>
      </c>
      <c r="C149" s="13" t="s">
        <v>56</v>
      </c>
      <c r="D149" s="29" t="s">
        <v>95</v>
      </c>
      <c r="E149" s="14" t="s">
        <v>101</v>
      </c>
      <c r="F149" s="14">
        <v>1</v>
      </c>
      <c r="H149" s="165" t="str" cm="1">
        <f t="array" ref="H149">IF(INDEX($K:$AA,ROW(C149),MATCH(IF(VLOOKUP(_xlfn.CONCAT(B149,C149),'Detalhe Entregas e Status'!$D$9:$J$81,7,0)=DATE(2025,5,5),DATE(2025,5,12),VLOOKUP(_xlfn.CONCAT(B149,C149),'Detalhe Entregas e Status'!$D$9:$J$81,7,0)),$K$8:$AA$8,0))="","",INDEX($K:$AA,ROW(C149),MATCH(IF(VLOOKUP(_xlfn.CONCAT(B149,C149),'Detalhe Entregas e Status'!$D$9:$J$81,7,0)=DATE(2025,5,5),DATE(2025,5,12),VLOOKUP(_xlfn.CONCAT(B149,C149),'Detalhe Entregas e Status'!$D$9:$J$81,7,0)),$K$8:$AA$8,0)))</f>
        <v/>
      </c>
      <c r="I149" s="17"/>
      <c r="J149" s="200" t="s">
        <v>294</v>
      </c>
      <c r="K149" s="165"/>
      <c r="L149" s="165"/>
      <c r="M149" s="165"/>
      <c r="N149" s="165"/>
      <c r="O149" s="165"/>
    </row>
    <row r="150" spans="2:15" ht="15" customHeight="1">
      <c r="B150" s="13" t="s">
        <v>61</v>
      </c>
      <c r="C150" s="13" t="s">
        <v>62</v>
      </c>
      <c r="D150" s="29" t="s">
        <v>97</v>
      </c>
      <c r="E150" s="14" t="s">
        <v>100</v>
      </c>
      <c r="F150" s="14">
        <v>2</v>
      </c>
      <c r="H150" s="165" t="str" cm="1">
        <f t="array" ref="H150">IF(INDEX($K:$AA,ROW(C150),MATCH(IF(VLOOKUP(_xlfn.CONCAT(B150,C150),'Detalhe Entregas e Status'!$D$9:$J$81,7,0)=DATE(2025,5,5),DATE(2025,5,12),VLOOKUP(_xlfn.CONCAT(B150,C150),'Detalhe Entregas e Status'!$D$9:$J$81,7,0)),$K$8:$AA$8,0))="","",INDEX($K:$AA,ROW(C150),MATCH(IF(VLOOKUP(_xlfn.CONCAT(B150,C150),'Detalhe Entregas e Status'!$D$9:$J$81,7,0)=DATE(2025,5,5),DATE(2025,5,12),VLOOKUP(_xlfn.CONCAT(B150,C150),'Detalhe Entregas e Status'!$D$9:$J$81,7,0)),$K$8:$AA$8,0)))</f>
        <v/>
      </c>
      <c r="I150" s="17"/>
      <c r="J150" s="200" t="s">
        <v>294</v>
      </c>
      <c r="K150" s="165"/>
      <c r="L150" s="165"/>
      <c r="M150" s="165"/>
      <c r="N150" s="165"/>
      <c r="O150" s="165"/>
    </row>
    <row r="151" spans="2:15" ht="15" customHeight="1">
      <c r="B151" s="13" t="s">
        <v>61</v>
      </c>
      <c r="C151" s="13" t="s">
        <v>62</v>
      </c>
      <c r="D151" s="29" t="s">
        <v>95</v>
      </c>
      <c r="E151" s="14" t="s">
        <v>101</v>
      </c>
      <c r="F151" s="14">
        <v>1</v>
      </c>
      <c r="H151" s="165" t="str" cm="1">
        <f t="array" ref="H151">IF(INDEX($K:$AA,ROW(C151),MATCH(IF(VLOOKUP(_xlfn.CONCAT(B151,C151),'Detalhe Entregas e Status'!$D$9:$J$81,7,0)=DATE(2025,5,5),DATE(2025,5,12),VLOOKUP(_xlfn.CONCAT(B151,C151),'Detalhe Entregas e Status'!$D$9:$J$81,7,0)),$K$8:$AA$8,0))="","",INDEX($K:$AA,ROW(C151),MATCH(IF(VLOOKUP(_xlfn.CONCAT(B151,C151),'Detalhe Entregas e Status'!$D$9:$J$81,7,0)=DATE(2025,5,5),DATE(2025,5,12),VLOOKUP(_xlfn.CONCAT(B151,C151),'Detalhe Entregas e Status'!$D$9:$J$81,7,0)),$K$8:$AA$8,0)))</f>
        <v/>
      </c>
      <c r="I151" s="17"/>
      <c r="J151" s="200" t="s">
        <v>294</v>
      </c>
      <c r="K151" s="165"/>
      <c r="L151" s="165"/>
      <c r="M151" s="165"/>
      <c r="N151" s="165"/>
      <c r="O151" s="165"/>
    </row>
    <row r="152" spans="2:15" ht="15" customHeight="1">
      <c r="B152" s="13" t="s">
        <v>61</v>
      </c>
      <c r="C152" s="13" t="s">
        <v>62</v>
      </c>
      <c r="D152" s="29" t="s">
        <v>96</v>
      </c>
      <c r="E152" s="14" t="s">
        <v>101</v>
      </c>
      <c r="F152" s="14">
        <v>2</v>
      </c>
      <c r="H152" s="165" t="str" cm="1">
        <f t="array" ref="H152">IF(INDEX($K:$AA,ROW(C152),MATCH(IF(VLOOKUP(_xlfn.CONCAT(B152,C152),'Detalhe Entregas e Status'!$D$9:$J$81,7,0)=DATE(2025,5,5),DATE(2025,5,12),VLOOKUP(_xlfn.CONCAT(B152,C152),'Detalhe Entregas e Status'!$D$9:$J$81,7,0)),$K$8:$AA$8,0))="","",INDEX($K:$AA,ROW(C152),MATCH(IF(VLOOKUP(_xlfn.CONCAT(B152,C152),'Detalhe Entregas e Status'!$D$9:$J$81,7,0)=DATE(2025,5,5),DATE(2025,5,12),VLOOKUP(_xlfn.CONCAT(B152,C152),'Detalhe Entregas e Status'!$D$9:$J$81,7,0)),$K$8:$AA$8,0)))</f>
        <v/>
      </c>
      <c r="I152" s="17"/>
      <c r="J152" s="200" t="s">
        <v>294</v>
      </c>
      <c r="K152" s="165"/>
      <c r="L152" s="165"/>
      <c r="M152" s="165"/>
      <c r="N152" s="165"/>
      <c r="O152" s="165"/>
    </row>
    <row r="153" spans="2:15" ht="15" customHeight="1">
      <c r="B153" s="13" t="s">
        <v>61</v>
      </c>
      <c r="C153" s="13" t="s">
        <v>62</v>
      </c>
      <c r="D153" s="29" t="s">
        <v>94</v>
      </c>
      <c r="E153" s="14" t="s">
        <v>100</v>
      </c>
      <c r="F153" s="14">
        <v>4</v>
      </c>
      <c r="H153" s="165" t="str" cm="1">
        <f t="array" ref="H153">IF(INDEX($K:$AA,ROW(C153),MATCH(IF(VLOOKUP(_xlfn.CONCAT(B153,C153),'Detalhe Entregas e Status'!$D$9:$J$81,7,0)=DATE(2025,5,5),DATE(2025,5,12),VLOOKUP(_xlfn.CONCAT(B153,C153),'Detalhe Entregas e Status'!$D$9:$J$81,7,0)),$K$8:$AA$8,0))="","",INDEX($K:$AA,ROW(C153),MATCH(IF(VLOOKUP(_xlfn.CONCAT(B153,C153),'Detalhe Entregas e Status'!$D$9:$J$81,7,0)=DATE(2025,5,5),DATE(2025,5,12),VLOOKUP(_xlfn.CONCAT(B153,C153),'Detalhe Entregas e Status'!$D$9:$J$81,7,0)),$K$8:$AA$8,0)))</f>
        <v/>
      </c>
      <c r="I153" s="17"/>
      <c r="J153" s="200" t="s">
        <v>294</v>
      </c>
      <c r="K153" s="165"/>
      <c r="L153" s="165"/>
      <c r="M153" s="165"/>
      <c r="N153" s="165"/>
      <c r="O153" s="165"/>
    </row>
    <row r="154" spans="2:15" ht="15" hidden="1" customHeight="1">
      <c r="B154" s="13" t="s">
        <v>63</v>
      </c>
      <c r="C154" s="13" t="s">
        <v>90</v>
      </c>
      <c r="D154" s="29" t="s">
        <v>93</v>
      </c>
      <c r="E154" s="14" t="s">
        <v>99</v>
      </c>
      <c r="F154" s="14">
        <v>16</v>
      </c>
      <c r="H154" s="165" t="str" cm="1">
        <f t="array" ref="H154">IF(INDEX($K:$AA,ROW(C154),MATCH(IF(VLOOKUP(_xlfn.CONCAT(B154,C154),'Detalhe Entregas e Status'!$D$9:$J$81,7,0)=DATE(2025,5,5),DATE(2025,5,12),VLOOKUP(_xlfn.CONCAT(B154,C154),'Detalhe Entregas e Status'!$D$9:$J$81,7,0)),$K$8:$AA$8,0))="","",INDEX($K:$AA,ROW(C154),MATCH(IF(VLOOKUP(_xlfn.CONCAT(B154,C154),'Detalhe Entregas e Status'!$D$9:$J$81,7,0)=DATE(2025,5,5),DATE(2025,5,12),VLOOKUP(_xlfn.CONCAT(B154,C154),'Detalhe Entregas e Status'!$D$9:$J$81,7,0)),$K$8:$AA$8,0)))</f>
        <v/>
      </c>
      <c r="I154" s="17"/>
      <c r="J154" s="200" t="s">
        <v>294</v>
      </c>
      <c r="K154" s="165"/>
      <c r="L154" s="165"/>
      <c r="M154" s="165"/>
      <c r="N154" s="165"/>
      <c r="O154" s="165"/>
    </row>
    <row r="155" spans="2:15" ht="15" hidden="1" customHeight="1">
      <c r="B155" s="13" t="s">
        <v>63</v>
      </c>
      <c r="C155" s="13" t="s">
        <v>36</v>
      </c>
      <c r="D155" s="29" t="s">
        <v>97</v>
      </c>
      <c r="E155" s="14" t="s">
        <v>101</v>
      </c>
      <c r="F155" s="14">
        <v>2</v>
      </c>
      <c r="H155" s="165" t="str" cm="1">
        <f t="array" ref="H155">IF(INDEX($K:$AA,ROW(C155),MATCH(IF(VLOOKUP(_xlfn.CONCAT(B155,C155),'Detalhe Entregas e Status'!$D$9:$J$81,7,0)=DATE(2025,5,5),DATE(2025,5,12),VLOOKUP(_xlfn.CONCAT(B155,C155),'Detalhe Entregas e Status'!$D$9:$J$81,7,0)),$K$8:$AA$8,0))="","",INDEX($K:$AA,ROW(C155),MATCH(IF(VLOOKUP(_xlfn.CONCAT(B155,C155),'Detalhe Entregas e Status'!$D$9:$J$81,7,0)=DATE(2025,5,5),DATE(2025,5,12),VLOOKUP(_xlfn.CONCAT(B155,C155),'Detalhe Entregas e Status'!$D$9:$J$81,7,0)),$K$8:$AA$8,0)))</f>
        <v/>
      </c>
      <c r="I155" s="17"/>
      <c r="J155" s="200" t="s">
        <v>294</v>
      </c>
      <c r="K155" s="165"/>
      <c r="L155" s="165"/>
      <c r="M155" s="165"/>
      <c r="N155" s="165"/>
      <c r="O155" s="165"/>
    </row>
    <row r="156" spans="2:15" ht="15" hidden="1" customHeight="1">
      <c r="B156" s="13" t="s">
        <v>63</v>
      </c>
      <c r="C156" s="13" t="s">
        <v>36</v>
      </c>
      <c r="D156" s="29" t="s">
        <v>95</v>
      </c>
      <c r="E156" s="14" t="s">
        <v>101</v>
      </c>
      <c r="F156" s="14">
        <v>1</v>
      </c>
      <c r="H156" s="165" t="str" cm="1">
        <f t="array" ref="H156">IF(INDEX($K:$AA,ROW(C156),MATCH(IF(VLOOKUP(_xlfn.CONCAT(B156,C156),'Detalhe Entregas e Status'!$D$9:$J$81,7,0)=DATE(2025,5,5),DATE(2025,5,12),VLOOKUP(_xlfn.CONCAT(B156,C156),'Detalhe Entregas e Status'!$D$9:$J$81,7,0)),$K$8:$AA$8,0))="","",INDEX($K:$AA,ROW(C156),MATCH(IF(VLOOKUP(_xlfn.CONCAT(B156,C156),'Detalhe Entregas e Status'!$D$9:$J$81,7,0)=DATE(2025,5,5),DATE(2025,5,12),VLOOKUP(_xlfn.CONCAT(B156,C156),'Detalhe Entregas e Status'!$D$9:$J$81,7,0)),$K$8:$AA$8,0)))</f>
        <v/>
      </c>
      <c r="I156" s="17"/>
      <c r="J156" s="200" t="s">
        <v>294</v>
      </c>
      <c r="K156" s="165"/>
      <c r="L156" s="165"/>
      <c r="M156" s="165"/>
      <c r="N156" s="165"/>
      <c r="O156" s="165"/>
    </row>
    <row r="157" spans="2:15" ht="15" hidden="1" customHeight="1">
      <c r="B157" s="13" t="s">
        <v>63</v>
      </c>
      <c r="C157" s="13" t="s">
        <v>38</v>
      </c>
      <c r="D157" s="29" t="s">
        <v>97</v>
      </c>
      <c r="E157" s="14" t="s">
        <v>101</v>
      </c>
      <c r="F157" s="14">
        <v>2</v>
      </c>
      <c r="H157" s="165" t="str" cm="1">
        <f t="array" ref="H157">IF(INDEX($K:$AA,ROW(C157),MATCH(IF(VLOOKUP(_xlfn.CONCAT(B157,C157),'Detalhe Entregas e Status'!$D$9:$J$81,7,0)=DATE(2025,5,5),DATE(2025,5,12),VLOOKUP(_xlfn.CONCAT(B157,C157),'Detalhe Entregas e Status'!$D$9:$J$81,7,0)),$K$8:$AA$8,0))="","",INDEX($K:$AA,ROW(C157),MATCH(IF(VLOOKUP(_xlfn.CONCAT(B157,C157),'Detalhe Entregas e Status'!$D$9:$J$81,7,0)=DATE(2025,5,5),DATE(2025,5,12),VLOOKUP(_xlfn.CONCAT(B157,C157),'Detalhe Entregas e Status'!$D$9:$J$81,7,0)),$K$8:$AA$8,0)))</f>
        <v/>
      </c>
      <c r="I157" s="17"/>
      <c r="J157" s="200" t="s">
        <v>294</v>
      </c>
      <c r="K157" s="165"/>
      <c r="L157" s="165"/>
      <c r="M157" s="165"/>
      <c r="N157" s="165"/>
      <c r="O157" s="165"/>
    </row>
    <row r="158" spans="2:15" ht="15" hidden="1" customHeight="1">
      <c r="B158" s="13" t="s">
        <v>63</v>
      </c>
      <c r="C158" s="13" t="s">
        <v>38</v>
      </c>
      <c r="D158" s="29" t="s">
        <v>95</v>
      </c>
      <c r="E158" s="14" t="s">
        <v>101</v>
      </c>
      <c r="F158" s="14">
        <v>1</v>
      </c>
      <c r="H158" s="165" t="str" cm="1">
        <f t="array" ref="H158">IF(INDEX($K:$AA,ROW(C158),MATCH(IF(VLOOKUP(_xlfn.CONCAT(B158,C158),'Detalhe Entregas e Status'!$D$9:$J$81,7,0)=DATE(2025,5,5),DATE(2025,5,12),VLOOKUP(_xlfn.CONCAT(B158,C158),'Detalhe Entregas e Status'!$D$9:$J$81,7,0)),$K$8:$AA$8,0))="","",INDEX($K:$AA,ROW(C158),MATCH(IF(VLOOKUP(_xlfn.CONCAT(B158,C158),'Detalhe Entregas e Status'!$D$9:$J$81,7,0)=DATE(2025,5,5),DATE(2025,5,12),VLOOKUP(_xlfn.CONCAT(B158,C158),'Detalhe Entregas e Status'!$D$9:$J$81,7,0)),$K$8:$AA$8,0)))</f>
        <v/>
      </c>
      <c r="I158" s="17"/>
      <c r="J158" s="200" t="s">
        <v>294</v>
      </c>
      <c r="K158" s="165"/>
      <c r="L158" s="165"/>
      <c r="M158" s="165"/>
      <c r="N158" s="165"/>
      <c r="O158" s="165"/>
    </row>
    <row r="159" spans="2:15" ht="15" hidden="1" customHeight="1">
      <c r="B159" s="13" t="s">
        <v>63</v>
      </c>
      <c r="C159" s="13" t="s">
        <v>54</v>
      </c>
      <c r="D159" s="29" t="s">
        <v>97</v>
      </c>
      <c r="E159" s="14" t="s">
        <v>101</v>
      </c>
      <c r="F159" s="14">
        <v>2</v>
      </c>
      <c r="H159" s="165" t="str" cm="1">
        <f t="array" ref="H159">IF(INDEX($K:$AA,ROW(C159),MATCH(IF(VLOOKUP(_xlfn.CONCAT(B159,C159),'Detalhe Entregas e Status'!$D$9:$J$81,7,0)=DATE(2025,5,5),DATE(2025,5,12),VLOOKUP(_xlfn.CONCAT(B159,C159),'Detalhe Entregas e Status'!$D$9:$J$81,7,0)),$K$8:$AA$8,0))="","",INDEX($K:$AA,ROW(C159),MATCH(IF(VLOOKUP(_xlfn.CONCAT(B159,C159),'Detalhe Entregas e Status'!$D$9:$J$81,7,0)=DATE(2025,5,5),DATE(2025,5,12),VLOOKUP(_xlfn.CONCAT(B159,C159),'Detalhe Entregas e Status'!$D$9:$J$81,7,0)),$K$8:$AA$8,0)))</f>
        <v/>
      </c>
      <c r="I159" s="17"/>
      <c r="J159" s="200" t="s">
        <v>294</v>
      </c>
      <c r="K159" s="165"/>
      <c r="L159" s="165"/>
      <c r="M159" s="165"/>
      <c r="N159" s="165"/>
      <c r="O159" s="165"/>
    </row>
    <row r="160" spans="2:15" ht="15" hidden="1" customHeight="1">
      <c r="B160" s="13" t="s">
        <v>63</v>
      </c>
      <c r="C160" s="13" t="s">
        <v>54</v>
      </c>
      <c r="D160" s="29" t="s">
        <v>95</v>
      </c>
      <c r="E160" s="14" t="s">
        <v>101</v>
      </c>
      <c r="F160" s="14">
        <v>1</v>
      </c>
      <c r="H160" s="165" t="str" cm="1">
        <f t="array" ref="H160">IF(INDEX($K:$AA,ROW(C160),MATCH(IF(VLOOKUP(_xlfn.CONCAT(B160,C160),'Detalhe Entregas e Status'!$D$9:$J$81,7,0)=DATE(2025,5,5),DATE(2025,5,12),VLOOKUP(_xlfn.CONCAT(B160,C160),'Detalhe Entregas e Status'!$D$9:$J$81,7,0)),$K$8:$AA$8,0))="","",INDEX($K:$AA,ROW(C160),MATCH(IF(VLOOKUP(_xlfn.CONCAT(B160,C160),'Detalhe Entregas e Status'!$D$9:$J$81,7,0)=DATE(2025,5,5),DATE(2025,5,12),VLOOKUP(_xlfn.CONCAT(B160,C160),'Detalhe Entregas e Status'!$D$9:$J$81,7,0)),$K$8:$AA$8,0)))</f>
        <v/>
      </c>
      <c r="I160" s="17"/>
      <c r="J160" s="200" t="s">
        <v>294</v>
      </c>
      <c r="K160" s="165"/>
      <c r="L160" s="165"/>
      <c r="M160" s="165"/>
      <c r="N160" s="165"/>
      <c r="O160" s="165"/>
    </row>
    <row r="161" spans="2:15" ht="15" hidden="1" customHeight="1">
      <c r="B161" s="13" t="s">
        <v>63</v>
      </c>
      <c r="C161" s="13" t="s">
        <v>66</v>
      </c>
      <c r="D161" s="29" t="s">
        <v>94</v>
      </c>
      <c r="E161" s="14" t="s">
        <v>100</v>
      </c>
      <c r="F161" s="14">
        <v>4</v>
      </c>
      <c r="H161" s="165" t="str" cm="1">
        <f t="array" ref="H161">IF(INDEX($K:$AA,ROW(C161),MATCH(IF(VLOOKUP(_xlfn.CONCAT(B161,C161),'Detalhe Entregas e Status'!$D$9:$J$81,7,0)=DATE(2025,5,5),DATE(2025,5,12),VLOOKUP(_xlfn.CONCAT(B161,C161),'Detalhe Entregas e Status'!$D$9:$J$81,7,0)),$K$8:$AA$8,0))="","",INDEX($K:$AA,ROW(C161),MATCH(IF(VLOOKUP(_xlfn.CONCAT(B161,C161),'Detalhe Entregas e Status'!$D$9:$J$81,7,0)=DATE(2025,5,5),DATE(2025,5,12),VLOOKUP(_xlfn.CONCAT(B161,C161),'Detalhe Entregas e Status'!$D$9:$J$81,7,0)),$K$8:$AA$8,0)))</f>
        <v/>
      </c>
      <c r="I161" s="17"/>
      <c r="J161" s="200" t="s">
        <v>294</v>
      </c>
      <c r="K161" s="165"/>
      <c r="L161" s="165"/>
      <c r="M161" s="165"/>
      <c r="N161" s="165"/>
      <c r="O161" s="165"/>
    </row>
    <row r="162" spans="2:15" ht="15" hidden="1" customHeight="1">
      <c r="B162" s="13" t="s">
        <v>63</v>
      </c>
      <c r="C162" s="13" t="s">
        <v>66</v>
      </c>
      <c r="D162" s="29" t="s">
        <v>96</v>
      </c>
      <c r="E162" s="14" t="s">
        <v>101</v>
      </c>
      <c r="F162" s="14">
        <v>2</v>
      </c>
      <c r="H162" s="165" t="str" cm="1">
        <f t="array" ref="H162">IF(INDEX($K:$AA,ROW(C162),MATCH(IF(VLOOKUP(_xlfn.CONCAT(B162,C162),'Detalhe Entregas e Status'!$D$9:$J$81,7,0)=DATE(2025,5,5),DATE(2025,5,12),VLOOKUP(_xlfn.CONCAT(B162,C162),'Detalhe Entregas e Status'!$D$9:$J$81,7,0)),$K$8:$AA$8,0))="","",INDEX($K:$AA,ROW(C162),MATCH(IF(VLOOKUP(_xlfn.CONCAT(B162,C162),'Detalhe Entregas e Status'!$D$9:$J$81,7,0)=DATE(2025,5,5),DATE(2025,5,12),VLOOKUP(_xlfn.CONCAT(B162,C162),'Detalhe Entregas e Status'!$D$9:$J$81,7,0)),$K$8:$AA$8,0)))</f>
        <v/>
      </c>
      <c r="I162" s="17"/>
      <c r="J162" s="200" t="s">
        <v>294</v>
      </c>
      <c r="K162" s="165"/>
      <c r="L162" s="165"/>
      <c r="M162" s="165"/>
      <c r="N162" s="165"/>
      <c r="O162" s="165"/>
    </row>
    <row r="163" spans="2:15" ht="15" hidden="1" customHeight="1">
      <c r="B163" s="13" t="s">
        <v>63</v>
      </c>
      <c r="C163" s="13" t="s">
        <v>66</v>
      </c>
      <c r="D163" s="29" t="s">
        <v>97</v>
      </c>
      <c r="E163" s="14" t="s">
        <v>100</v>
      </c>
      <c r="F163" s="14">
        <v>2</v>
      </c>
      <c r="H163" s="165" t="str" cm="1">
        <f t="array" ref="H163">IF(INDEX($K:$AA,ROW(C163),MATCH(IF(VLOOKUP(_xlfn.CONCAT(B163,C163),'Detalhe Entregas e Status'!$D$9:$J$81,7,0)=DATE(2025,5,5),DATE(2025,5,12),VLOOKUP(_xlfn.CONCAT(B163,C163),'Detalhe Entregas e Status'!$D$9:$J$81,7,0)),$K$8:$AA$8,0))="","",INDEX($K:$AA,ROW(C163),MATCH(IF(VLOOKUP(_xlfn.CONCAT(B163,C163),'Detalhe Entregas e Status'!$D$9:$J$81,7,0)=DATE(2025,5,5),DATE(2025,5,12),VLOOKUP(_xlfn.CONCAT(B163,C163),'Detalhe Entregas e Status'!$D$9:$J$81,7,0)),$K$8:$AA$8,0)))</f>
        <v/>
      </c>
      <c r="I163" s="17"/>
      <c r="J163" s="200" t="s">
        <v>294</v>
      </c>
      <c r="K163" s="165"/>
      <c r="L163" s="165"/>
      <c r="M163" s="165"/>
      <c r="N163" s="165"/>
      <c r="O163" s="165"/>
    </row>
    <row r="164" spans="2:15" ht="15" hidden="1" customHeight="1">
      <c r="B164" s="13" t="s">
        <v>63</v>
      </c>
      <c r="C164" s="13" t="s">
        <v>66</v>
      </c>
      <c r="D164" s="29" t="s">
        <v>95</v>
      </c>
      <c r="E164" s="14" t="s">
        <v>101</v>
      </c>
      <c r="F164" s="14">
        <v>1</v>
      </c>
      <c r="H164" s="165" t="str" cm="1">
        <f t="array" ref="H164">IF(INDEX($K:$AA,ROW(C164),MATCH(IF(VLOOKUP(_xlfn.CONCAT(B164,C164),'Detalhe Entregas e Status'!$D$9:$J$81,7,0)=DATE(2025,5,5),DATE(2025,5,12),VLOOKUP(_xlfn.CONCAT(B164,C164),'Detalhe Entregas e Status'!$D$9:$J$81,7,0)),$K$8:$AA$8,0))="","",INDEX($K:$AA,ROW(C164),MATCH(IF(VLOOKUP(_xlfn.CONCAT(B164,C164),'Detalhe Entregas e Status'!$D$9:$J$81,7,0)=DATE(2025,5,5),DATE(2025,5,12),VLOOKUP(_xlfn.CONCAT(B164,C164),'Detalhe Entregas e Status'!$D$9:$J$81,7,0)),$K$8:$AA$8,0)))</f>
        <v/>
      </c>
      <c r="I164" s="17"/>
      <c r="J164" s="200" t="s">
        <v>294</v>
      </c>
      <c r="K164" s="165"/>
      <c r="L164" s="165"/>
      <c r="M164" s="165"/>
      <c r="N164" s="165"/>
      <c r="O164" s="165"/>
    </row>
    <row r="165" spans="2:15" ht="15" hidden="1" customHeight="1">
      <c r="B165" s="13" t="s">
        <v>63</v>
      </c>
      <c r="C165" s="13" t="s">
        <v>65</v>
      </c>
      <c r="D165" s="29" t="s">
        <v>94</v>
      </c>
      <c r="E165" s="14" t="s">
        <v>99</v>
      </c>
      <c r="F165" s="14">
        <v>8</v>
      </c>
      <c r="H165" s="165" t="str" cm="1">
        <f t="array" ref="H165">IF(INDEX($K:$AA,ROW(C165),MATCH(IF(VLOOKUP(_xlfn.CONCAT(B165,C165),'Detalhe Entregas e Status'!$D$9:$J$81,7,0)=DATE(2025,5,5),DATE(2025,5,12),VLOOKUP(_xlfn.CONCAT(B165,C165),'Detalhe Entregas e Status'!$D$9:$J$81,7,0)),$K$8:$AA$8,0))="","",INDEX($K:$AA,ROW(C165),MATCH(IF(VLOOKUP(_xlfn.CONCAT(B165,C165),'Detalhe Entregas e Status'!$D$9:$J$81,7,0)=DATE(2025,5,5),DATE(2025,5,12),VLOOKUP(_xlfn.CONCAT(B165,C165),'Detalhe Entregas e Status'!$D$9:$J$81,7,0)),$K$8:$AA$8,0)))</f>
        <v/>
      </c>
      <c r="I165" s="17"/>
      <c r="J165" s="200" t="s">
        <v>294</v>
      </c>
      <c r="K165" s="165"/>
      <c r="L165" s="165"/>
      <c r="M165" s="165"/>
      <c r="N165" s="165"/>
      <c r="O165" s="165"/>
    </row>
    <row r="166" spans="2:15" ht="15" hidden="1" customHeight="1">
      <c r="B166" s="13" t="s">
        <v>63</v>
      </c>
      <c r="C166" s="13" t="s">
        <v>65</v>
      </c>
      <c r="D166" s="29" t="s">
        <v>96</v>
      </c>
      <c r="E166" s="14" t="s">
        <v>101</v>
      </c>
      <c r="F166" s="14">
        <v>2</v>
      </c>
      <c r="H166" s="165" t="str" cm="1">
        <f t="array" ref="H166">IF(INDEX($K:$AA,ROW(C166),MATCH(IF(VLOOKUP(_xlfn.CONCAT(B166,C166),'Detalhe Entregas e Status'!$D$9:$J$81,7,0)=DATE(2025,5,5),DATE(2025,5,12),VLOOKUP(_xlfn.CONCAT(B166,C166),'Detalhe Entregas e Status'!$D$9:$J$81,7,0)),$K$8:$AA$8,0))="","",INDEX($K:$AA,ROW(C166),MATCH(IF(VLOOKUP(_xlfn.CONCAT(B166,C166),'Detalhe Entregas e Status'!$D$9:$J$81,7,0)=DATE(2025,5,5),DATE(2025,5,12),VLOOKUP(_xlfn.CONCAT(B166,C166),'Detalhe Entregas e Status'!$D$9:$J$81,7,0)),$K$8:$AA$8,0)))</f>
        <v/>
      </c>
      <c r="I166" s="17"/>
      <c r="J166" s="200" t="s">
        <v>294</v>
      </c>
      <c r="K166" s="165"/>
      <c r="L166" s="165"/>
      <c r="M166" s="165"/>
      <c r="N166" s="165"/>
      <c r="O166" s="165"/>
    </row>
    <row r="167" spans="2:15" ht="15" hidden="1" customHeight="1">
      <c r="B167" s="13" t="s">
        <v>63</v>
      </c>
      <c r="C167" s="13" t="s">
        <v>65</v>
      </c>
      <c r="D167" s="29" t="s">
        <v>97</v>
      </c>
      <c r="E167" s="14" t="s">
        <v>99</v>
      </c>
      <c r="F167" s="14">
        <v>2</v>
      </c>
      <c r="H167" s="165" t="str" cm="1">
        <f t="array" ref="H167">IF(INDEX($K:$AA,ROW(C167),MATCH(IF(VLOOKUP(_xlfn.CONCAT(B167,C167),'Detalhe Entregas e Status'!$D$9:$J$81,7,0)=DATE(2025,5,5),DATE(2025,5,12),VLOOKUP(_xlfn.CONCAT(B167,C167),'Detalhe Entregas e Status'!$D$9:$J$81,7,0)),$K$8:$AA$8,0))="","",INDEX($K:$AA,ROW(C167),MATCH(IF(VLOOKUP(_xlfn.CONCAT(B167,C167),'Detalhe Entregas e Status'!$D$9:$J$81,7,0)=DATE(2025,5,5),DATE(2025,5,12),VLOOKUP(_xlfn.CONCAT(B167,C167),'Detalhe Entregas e Status'!$D$9:$J$81,7,0)),$K$8:$AA$8,0)))</f>
        <v/>
      </c>
      <c r="I167" s="17"/>
      <c r="J167" s="200" t="s">
        <v>294</v>
      </c>
      <c r="K167" s="165"/>
      <c r="L167" s="165"/>
      <c r="M167" s="165"/>
      <c r="N167" s="165"/>
      <c r="O167" s="165"/>
    </row>
    <row r="168" spans="2:15" ht="15" hidden="1" customHeight="1">
      <c r="B168" s="13" t="s">
        <v>63</v>
      </c>
      <c r="C168" s="13" t="s">
        <v>65</v>
      </c>
      <c r="D168" s="29" t="s">
        <v>95</v>
      </c>
      <c r="E168" s="14" t="s">
        <v>101</v>
      </c>
      <c r="F168" s="14">
        <v>1</v>
      </c>
      <c r="H168" s="165" t="str" cm="1">
        <f t="array" ref="H168">IF(INDEX($K:$AA,ROW(C168),MATCH(IF(VLOOKUP(_xlfn.CONCAT(B168,C168),'Detalhe Entregas e Status'!$D$9:$J$81,7,0)=DATE(2025,5,5),DATE(2025,5,12),VLOOKUP(_xlfn.CONCAT(B168,C168),'Detalhe Entregas e Status'!$D$9:$J$81,7,0)),$K$8:$AA$8,0))="","",INDEX($K:$AA,ROW(C168),MATCH(IF(VLOOKUP(_xlfn.CONCAT(B168,C168),'Detalhe Entregas e Status'!$D$9:$J$81,7,0)=DATE(2025,5,5),DATE(2025,5,12),VLOOKUP(_xlfn.CONCAT(B168,C168),'Detalhe Entregas e Status'!$D$9:$J$81,7,0)),$K$8:$AA$8,0)))</f>
        <v/>
      </c>
      <c r="I168" s="17"/>
      <c r="J168" s="200" t="s">
        <v>294</v>
      </c>
      <c r="K168" s="165"/>
      <c r="L168" s="165"/>
      <c r="M168" s="165"/>
      <c r="N168" s="165"/>
      <c r="O168" s="165"/>
    </row>
    <row r="169" spans="2:15" ht="15" hidden="1" customHeight="1">
      <c r="B169" s="13" t="s">
        <v>63</v>
      </c>
      <c r="C169" s="13" t="s">
        <v>64</v>
      </c>
      <c r="D169" s="29" t="s">
        <v>94</v>
      </c>
      <c r="E169" s="14" t="s">
        <v>99</v>
      </c>
      <c r="F169" s="14">
        <v>8</v>
      </c>
      <c r="H169" s="165" t="str" cm="1">
        <f t="array" ref="H169">IF(INDEX($K:$AA,ROW(C169),MATCH(IF(VLOOKUP(_xlfn.CONCAT(B169,C169),'Detalhe Entregas e Status'!$D$9:$J$81,7,0)=DATE(2025,5,5),DATE(2025,5,12),VLOOKUP(_xlfn.CONCAT(B169,C169),'Detalhe Entregas e Status'!$D$9:$J$81,7,0)),$K$8:$AA$8,0))="","",INDEX($K:$AA,ROW(C169),MATCH(IF(VLOOKUP(_xlfn.CONCAT(B169,C169),'Detalhe Entregas e Status'!$D$9:$J$81,7,0)=DATE(2025,5,5),DATE(2025,5,12),VLOOKUP(_xlfn.CONCAT(B169,C169),'Detalhe Entregas e Status'!$D$9:$J$81,7,0)),$K$8:$AA$8,0)))</f>
        <v/>
      </c>
      <c r="I169" s="17"/>
      <c r="J169" s="200" t="s">
        <v>294</v>
      </c>
      <c r="K169" s="165"/>
      <c r="L169" s="165"/>
      <c r="M169" s="165"/>
      <c r="N169" s="165"/>
      <c r="O169" s="165"/>
    </row>
    <row r="170" spans="2:15" ht="15" hidden="1" customHeight="1">
      <c r="B170" s="13" t="s">
        <v>63</v>
      </c>
      <c r="C170" s="13" t="s">
        <v>64</v>
      </c>
      <c r="D170" s="29" t="s">
        <v>97</v>
      </c>
      <c r="E170" s="14" t="s">
        <v>99</v>
      </c>
      <c r="F170" s="14">
        <v>2</v>
      </c>
      <c r="H170" s="165" t="str" cm="1">
        <f t="array" ref="H170">IF(INDEX($K:$AA,ROW(C170),MATCH(IF(VLOOKUP(_xlfn.CONCAT(B170,C170),'Detalhe Entregas e Status'!$D$9:$J$81,7,0)=DATE(2025,5,5),DATE(2025,5,12),VLOOKUP(_xlfn.CONCAT(B170,C170),'Detalhe Entregas e Status'!$D$9:$J$81,7,0)),$K$8:$AA$8,0))="","",INDEX($K:$AA,ROW(C170),MATCH(IF(VLOOKUP(_xlfn.CONCAT(B170,C170),'Detalhe Entregas e Status'!$D$9:$J$81,7,0)=DATE(2025,5,5),DATE(2025,5,12),VLOOKUP(_xlfn.CONCAT(B170,C170),'Detalhe Entregas e Status'!$D$9:$J$81,7,0)),$K$8:$AA$8,0)))</f>
        <v/>
      </c>
      <c r="I170" s="17"/>
      <c r="J170" s="200" t="s">
        <v>294</v>
      </c>
      <c r="K170" s="165"/>
      <c r="L170" s="165"/>
      <c r="M170" s="165"/>
      <c r="N170" s="165"/>
      <c r="O170" s="165"/>
    </row>
    <row r="171" spans="2:15" ht="15" hidden="1" customHeight="1">
      <c r="B171" s="13" t="s">
        <v>63</v>
      </c>
      <c r="C171" s="13" t="s">
        <v>64</v>
      </c>
      <c r="D171" s="29" t="s">
        <v>95</v>
      </c>
      <c r="E171" s="14" t="s">
        <v>101</v>
      </c>
      <c r="F171" s="14">
        <v>1</v>
      </c>
      <c r="H171" s="165" t="str" cm="1">
        <f t="array" ref="H171">IF(INDEX($K:$AA,ROW(C171),MATCH(IF(VLOOKUP(_xlfn.CONCAT(B171,C171),'Detalhe Entregas e Status'!$D$9:$J$81,7,0)=DATE(2025,5,5),DATE(2025,5,12),VLOOKUP(_xlfn.CONCAT(B171,C171),'Detalhe Entregas e Status'!$D$9:$J$81,7,0)),$K$8:$AA$8,0))="","",INDEX($K:$AA,ROW(C171),MATCH(IF(VLOOKUP(_xlfn.CONCAT(B171,C171),'Detalhe Entregas e Status'!$D$9:$J$81,7,0)=DATE(2025,5,5),DATE(2025,5,12),VLOOKUP(_xlfn.CONCAT(B171,C171),'Detalhe Entregas e Status'!$D$9:$J$81,7,0)),$K$8:$AA$8,0)))</f>
        <v/>
      </c>
      <c r="I171" s="17"/>
      <c r="J171" s="200" t="s">
        <v>294</v>
      </c>
      <c r="K171" s="165"/>
      <c r="L171" s="165"/>
      <c r="M171" s="165"/>
      <c r="N171" s="165"/>
      <c r="O171" s="165"/>
    </row>
    <row r="175" spans="2:15">
      <c r="E175" s="196"/>
    </row>
  </sheetData>
  <autoFilter ref="A8:XFC171" xr:uid="{1E18BA37-0576-4DA3-B105-E9A64F054832}">
    <filterColumn colId="1">
      <filters>
        <filter val="lt006_instr_protection"/>
      </filters>
    </filterColumn>
  </autoFilter>
  <mergeCells count="1">
    <mergeCell ref="K7:O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6"/>
  <sheetViews>
    <sheetView showGridLines="0" zoomScaleNormal="100" workbookViewId="0"/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110</v>
      </c>
      <c r="C7" s="34"/>
    </row>
    <row r="8" spans="1:4" ht="6.9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1" t="s">
        <v>93</v>
      </c>
      <c r="C10" s="32" t="s">
        <v>105</v>
      </c>
    </row>
    <row r="11" spans="1:4" ht="30" customHeight="1">
      <c r="B11" s="31" t="s">
        <v>94</v>
      </c>
      <c r="C11" s="32" t="s">
        <v>106</v>
      </c>
    </row>
    <row r="12" spans="1:4" ht="30" customHeight="1">
      <c r="B12" s="31" t="s">
        <v>96</v>
      </c>
      <c r="C12" s="32" t="s">
        <v>107</v>
      </c>
    </row>
    <row r="13" spans="1:4" ht="30" customHeight="1">
      <c r="B13" s="31" t="s">
        <v>97</v>
      </c>
      <c r="C13" s="32" t="s">
        <v>108</v>
      </c>
    </row>
    <row r="14" spans="1:4" ht="30" customHeight="1">
      <c r="B14" s="31" t="s">
        <v>95</v>
      </c>
      <c r="C14" s="32" t="s">
        <v>109</v>
      </c>
    </row>
    <row r="17" spans="2:4">
      <c r="B17" s="33" t="s">
        <v>127</v>
      </c>
      <c r="C17" s="34"/>
      <c r="D17" s="34"/>
    </row>
    <row r="18" spans="2:4" ht="6.9" customHeight="1"/>
    <row r="19" spans="2:4" ht="15" customHeight="1">
      <c r="B19" s="46" t="s">
        <v>114</v>
      </c>
      <c r="C19" s="12" t="s">
        <v>104</v>
      </c>
    </row>
    <row r="20" spans="2:4" ht="15" customHeight="1">
      <c r="B20" s="41" t="s">
        <v>115</v>
      </c>
      <c r="C20" s="27" t="s">
        <v>119</v>
      </c>
    </row>
    <row r="21" spans="2:4" ht="15" customHeight="1">
      <c r="B21" s="42" t="s">
        <v>118</v>
      </c>
      <c r="C21" s="27" t="s">
        <v>120</v>
      </c>
    </row>
    <row r="22" spans="2:4" ht="15" customHeight="1">
      <c r="B22" s="43" t="s">
        <v>116</v>
      </c>
      <c r="C22" s="27" t="s">
        <v>121</v>
      </c>
    </row>
    <row r="23" spans="2:4" ht="15" customHeight="1">
      <c r="B23" s="44" t="s">
        <v>117</v>
      </c>
      <c r="C23" s="27" t="s">
        <v>122</v>
      </c>
    </row>
    <row r="24" spans="2:4" ht="15" customHeight="1">
      <c r="B24" s="45" t="s">
        <v>123</v>
      </c>
      <c r="C24" s="27" t="s">
        <v>124</v>
      </c>
    </row>
    <row r="25" spans="2:4" ht="15" customHeight="1">
      <c r="B25" s="161" t="s">
        <v>125</v>
      </c>
      <c r="C25" s="27" t="s">
        <v>126</v>
      </c>
    </row>
    <row r="26" spans="2:4">
      <c r="B26" s="203" t="s">
        <v>278</v>
      </c>
      <c r="C26" s="160" t="s">
        <v>279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>
      <selection activeCell="I32" sqref="I32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204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277" t="s">
        <v>338</v>
      </c>
      <c r="E3" s="277"/>
      <c r="F3" s="277"/>
    </row>
    <row r="4" spans="2:10">
      <c r="B4" s="22" t="s">
        <v>80</v>
      </c>
      <c r="C4" s="23" t="s">
        <v>81</v>
      </c>
      <c r="D4" s="211" t="s">
        <v>82</v>
      </c>
      <c r="E4" s="211" t="s">
        <v>86</v>
      </c>
      <c r="F4" s="211" t="s">
        <v>0</v>
      </c>
      <c r="G4" s="212" t="s">
        <v>295</v>
      </c>
      <c r="H4" s="212" t="s">
        <v>322</v>
      </c>
      <c r="I4" s="212" t="s">
        <v>296</v>
      </c>
      <c r="J4" s="212" t="s">
        <v>323</v>
      </c>
    </row>
    <row r="5" spans="2:10" hidden="1">
      <c r="B5" s="13" t="s">
        <v>1</v>
      </c>
      <c r="C5" s="13" t="s">
        <v>90</v>
      </c>
      <c r="D5" s="14" t="s">
        <v>91</v>
      </c>
      <c r="E5" s="14" t="s">
        <v>91</v>
      </c>
      <c r="F5" s="205" t="s">
        <v>91</v>
      </c>
      <c r="G5" s="207" t="s">
        <v>91</v>
      </c>
      <c r="H5" s="207" t="s">
        <v>91</v>
      </c>
      <c r="I5" s="210" t="s">
        <v>91</v>
      </c>
      <c r="J5" s="207" t="s">
        <v>91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06" t="s">
        <v>3</v>
      </c>
      <c r="G6" s="207" t="s">
        <v>282</v>
      </c>
      <c r="H6" s="209" t="s">
        <v>297</v>
      </c>
      <c r="I6" s="208" t="s">
        <v>298</v>
      </c>
      <c r="J6" s="207"/>
    </row>
    <row r="7" spans="2:10">
      <c r="B7" s="13" t="s">
        <v>1</v>
      </c>
      <c r="C7" s="13" t="s">
        <v>5</v>
      </c>
      <c r="D7" s="14" t="s">
        <v>3</v>
      </c>
      <c r="E7" s="14" t="s">
        <v>4</v>
      </c>
      <c r="F7" s="205" t="s">
        <v>4</v>
      </c>
      <c r="G7" s="207" t="s">
        <v>282</v>
      </c>
      <c r="H7" s="209" t="s">
        <v>297</v>
      </c>
      <c r="I7" s="208" t="s">
        <v>298</v>
      </c>
      <c r="J7" s="207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5" t="s">
        <v>4</v>
      </c>
      <c r="G8" s="207" t="s">
        <v>282</v>
      </c>
      <c r="H8" s="209" t="s">
        <v>297</v>
      </c>
      <c r="I8" s="208" t="s">
        <v>298</v>
      </c>
      <c r="J8" s="207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5" t="s">
        <v>4</v>
      </c>
      <c r="G9" s="207" t="s">
        <v>282</v>
      </c>
      <c r="H9" s="209" t="s">
        <v>297</v>
      </c>
      <c r="I9" s="208" t="s">
        <v>298</v>
      </c>
      <c r="J9" s="207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5" t="s">
        <v>3</v>
      </c>
      <c r="G10" s="207" t="s">
        <v>282</v>
      </c>
      <c r="H10" s="209" t="s">
        <v>297</v>
      </c>
      <c r="I10" s="208" t="s">
        <v>298</v>
      </c>
      <c r="J10" s="207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5" t="s">
        <v>3</v>
      </c>
      <c r="G11" s="207" t="s">
        <v>282</v>
      </c>
      <c r="H11" s="209" t="s">
        <v>297</v>
      </c>
      <c r="I11" s="208" t="s">
        <v>298</v>
      </c>
      <c r="J11" s="207"/>
    </row>
    <row r="12" spans="2:10">
      <c r="B12" s="13" t="s">
        <v>1</v>
      </c>
      <c r="C12" s="13" t="s">
        <v>10</v>
      </c>
      <c r="D12" s="14" t="s">
        <v>3</v>
      </c>
      <c r="E12" s="14" t="s">
        <v>4</v>
      </c>
      <c r="F12" s="205" t="s">
        <v>3</v>
      </c>
      <c r="G12" s="207" t="s">
        <v>282</v>
      </c>
      <c r="H12" s="209" t="s">
        <v>297</v>
      </c>
      <c r="I12" s="208" t="s">
        <v>298</v>
      </c>
      <c r="J12" s="207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5" t="s">
        <v>3</v>
      </c>
      <c r="G13" s="207" t="s">
        <v>282</v>
      </c>
      <c r="H13" s="209" t="s">
        <v>297</v>
      </c>
      <c r="I13" s="208" t="s">
        <v>298</v>
      </c>
      <c r="J13" s="207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5" t="s">
        <v>3</v>
      </c>
      <c r="G14" s="207" t="s">
        <v>282</v>
      </c>
      <c r="H14" s="209" t="s">
        <v>297</v>
      </c>
      <c r="I14" s="208" t="s">
        <v>298</v>
      </c>
      <c r="J14" s="207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5" t="s">
        <v>3</v>
      </c>
      <c r="G15" s="207" t="s">
        <v>282</v>
      </c>
      <c r="H15" s="209" t="s">
        <v>297</v>
      </c>
      <c r="I15" s="208" t="s">
        <v>298</v>
      </c>
      <c r="J15" s="207"/>
    </row>
    <row r="16" spans="2:10" ht="26.4">
      <c r="B16" s="13" t="s">
        <v>1</v>
      </c>
      <c r="C16" s="13" t="s">
        <v>14</v>
      </c>
      <c r="D16" s="14" t="s">
        <v>3</v>
      </c>
      <c r="E16" s="14" t="s">
        <v>4</v>
      </c>
      <c r="F16" s="205" t="s">
        <v>3</v>
      </c>
      <c r="G16" s="207" t="s">
        <v>299</v>
      </c>
      <c r="H16" s="209" t="s">
        <v>91</v>
      </c>
      <c r="I16" s="208" t="s">
        <v>300</v>
      </c>
      <c r="J16" s="207" t="s">
        <v>3</v>
      </c>
    </row>
    <row r="17" spans="2:10" ht="26.4">
      <c r="B17" s="13" t="s">
        <v>1</v>
      </c>
      <c r="C17" s="13" t="s">
        <v>15</v>
      </c>
      <c r="D17" s="14" t="s">
        <v>3</v>
      </c>
      <c r="E17" s="14" t="s">
        <v>4</v>
      </c>
      <c r="F17" s="205" t="s">
        <v>3</v>
      </c>
      <c r="G17" s="207" t="s">
        <v>299</v>
      </c>
      <c r="H17" s="209" t="s">
        <v>91</v>
      </c>
      <c r="I17" s="208" t="s">
        <v>300</v>
      </c>
      <c r="J17" s="207" t="s">
        <v>314</v>
      </c>
    </row>
    <row r="18" spans="2:10" ht="26.4" hidden="1">
      <c r="B18" s="13" t="s">
        <v>1</v>
      </c>
      <c r="C18" s="13" t="s">
        <v>16</v>
      </c>
      <c r="D18" s="14" t="s">
        <v>3</v>
      </c>
      <c r="E18" s="14" t="s">
        <v>4</v>
      </c>
      <c r="F18" s="205" t="s">
        <v>3</v>
      </c>
      <c r="G18" s="207" t="s">
        <v>299</v>
      </c>
      <c r="H18" s="209" t="s">
        <v>91</v>
      </c>
      <c r="I18" s="208" t="s">
        <v>300</v>
      </c>
      <c r="J18" s="207" t="s">
        <v>324</v>
      </c>
    </row>
    <row r="19" spans="2:10" ht="26.4">
      <c r="B19" s="13" t="s">
        <v>1</v>
      </c>
      <c r="C19" s="13" t="s">
        <v>17</v>
      </c>
      <c r="D19" s="14" t="s">
        <v>3</v>
      </c>
      <c r="E19" s="14" t="s">
        <v>4</v>
      </c>
      <c r="F19" s="205" t="s">
        <v>3</v>
      </c>
      <c r="G19" s="207" t="s">
        <v>299</v>
      </c>
      <c r="H19" s="209" t="s">
        <v>91</v>
      </c>
      <c r="I19" s="208" t="s">
        <v>300</v>
      </c>
      <c r="J19" s="207" t="s">
        <v>314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5" t="s">
        <v>3</v>
      </c>
      <c r="G20" s="207" t="s">
        <v>282</v>
      </c>
      <c r="H20" s="209" t="s">
        <v>297</v>
      </c>
      <c r="I20" s="208" t="s">
        <v>298</v>
      </c>
      <c r="J20" s="207"/>
    </row>
    <row r="21" spans="2:10" ht="26.4" hidden="1">
      <c r="B21" s="13" t="s">
        <v>1</v>
      </c>
      <c r="C21" s="13" t="s">
        <v>19</v>
      </c>
      <c r="D21" s="14" t="s">
        <v>3</v>
      </c>
      <c r="E21" s="14" t="s">
        <v>4</v>
      </c>
      <c r="F21" s="205" t="s">
        <v>3</v>
      </c>
      <c r="G21" s="207" t="s">
        <v>299</v>
      </c>
      <c r="H21" s="209" t="s">
        <v>91</v>
      </c>
      <c r="I21" s="208" t="s">
        <v>300</v>
      </c>
      <c r="J21" s="207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5" t="s">
        <v>4</v>
      </c>
      <c r="G22" s="207" t="s">
        <v>282</v>
      </c>
      <c r="H22" s="209" t="s">
        <v>297</v>
      </c>
      <c r="I22" s="208" t="s">
        <v>298</v>
      </c>
      <c r="J22" s="207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5" t="s">
        <v>3</v>
      </c>
      <c r="G23" s="207" t="s">
        <v>282</v>
      </c>
      <c r="H23" s="209" t="s">
        <v>297</v>
      </c>
      <c r="I23" s="208" t="s">
        <v>298</v>
      </c>
      <c r="J23" s="207"/>
    </row>
    <row r="24" spans="2:10" ht="26.4" hidden="1">
      <c r="B24" s="13" t="s">
        <v>1</v>
      </c>
      <c r="C24" s="13" t="s">
        <v>22</v>
      </c>
      <c r="D24" s="14" t="s">
        <v>3</v>
      </c>
      <c r="E24" s="14" t="s">
        <v>4</v>
      </c>
      <c r="F24" s="205" t="s">
        <v>3</v>
      </c>
      <c r="G24" s="207" t="s">
        <v>299</v>
      </c>
      <c r="H24" s="209" t="s">
        <v>91</v>
      </c>
      <c r="I24" s="208" t="s">
        <v>300</v>
      </c>
      <c r="J24" s="207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5" t="s">
        <v>3</v>
      </c>
      <c r="G25" s="207" t="s">
        <v>282</v>
      </c>
      <c r="H25" s="209" t="s">
        <v>297</v>
      </c>
      <c r="I25" s="208" t="s">
        <v>298</v>
      </c>
      <c r="J25" s="207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5" t="s">
        <v>3</v>
      </c>
      <c r="G26" s="207" t="s">
        <v>282</v>
      </c>
      <c r="H26" s="209" t="s">
        <v>297</v>
      </c>
      <c r="I26" s="208" t="s">
        <v>298</v>
      </c>
      <c r="J26" s="207"/>
    </row>
    <row r="27" spans="2:10" ht="26.4" hidden="1">
      <c r="B27" s="13" t="s">
        <v>1</v>
      </c>
      <c r="C27" s="13" t="s">
        <v>25</v>
      </c>
      <c r="D27" s="14" t="s">
        <v>3</v>
      </c>
      <c r="E27" s="14" t="s">
        <v>4</v>
      </c>
      <c r="F27" s="205" t="s">
        <v>3</v>
      </c>
      <c r="G27" s="207" t="s">
        <v>299</v>
      </c>
      <c r="H27" s="209" t="s">
        <v>91</v>
      </c>
      <c r="I27" s="208" t="s">
        <v>300</v>
      </c>
      <c r="J27" s="207">
        <v>11111111111</v>
      </c>
    </row>
    <row r="28" spans="2:10" ht="26.4" hidden="1">
      <c r="B28" s="13" t="s">
        <v>1</v>
      </c>
      <c r="C28" s="13" t="s">
        <v>26</v>
      </c>
      <c r="D28" s="14" t="s">
        <v>3</v>
      </c>
      <c r="E28" s="14" t="s">
        <v>4</v>
      </c>
      <c r="F28" s="205" t="s">
        <v>3</v>
      </c>
      <c r="G28" s="207" t="s">
        <v>299</v>
      </c>
      <c r="H28" s="209" t="s">
        <v>91</v>
      </c>
      <c r="I28" s="208" t="s">
        <v>300</v>
      </c>
      <c r="J28" s="207">
        <v>11111111111</v>
      </c>
    </row>
    <row r="29" spans="2:10" ht="26.4" hidden="1">
      <c r="B29" s="13" t="s">
        <v>1</v>
      </c>
      <c r="C29" s="13" t="s">
        <v>27</v>
      </c>
      <c r="D29" s="14" t="s">
        <v>3</v>
      </c>
      <c r="E29" s="14" t="s">
        <v>4</v>
      </c>
      <c r="F29" s="205" t="s">
        <v>3</v>
      </c>
      <c r="G29" s="207" t="s">
        <v>299</v>
      </c>
      <c r="H29" s="209" t="s">
        <v>91</v>
      </c>
      <c r="I29" s="208" t="s">
        <v>300</v>
      </c>
      <c r="J29" s="207">
        <v>11111111111</v>
      </c>
    </row>
    <row r="30" spans="2:10" ht="26.4" hidden="1">
      <c r="B30" s="13" t="s">
        <v>1</v>
      </c>
      <c r="C30" s="13" t="s">
        <v>28</v>
      </c>
      <c r="D30" s="14" t="s">
        <v>3</v>
      </c>
      <c r="E30" s="14" t="s">
        <v>4</v>
      </c>
      <c r="F30" s="205" t="s">
        <v>3</v>
      </c>
      <c r="G30" s="207" t="s">
        <v>299</v>
      </c>
      <c r="H30" s="209" t="s">
        <v>91</v>
      </c>
      <c r="I30" s="208" t="s">
        <v>300</v>
      </c>
      <c r="J30" s="207">
        <v>11111111111</v>
      </c>
    </row>
    <row r="31" spans="2:10" ht="26.4" hidden="1">
      <c r="B31" s="13" t="s">
        <v>1</v>
      </c>
      <c r="C31" s="13" t="s">
        <v>29</v>
      </c>
      <c r="D31" s="14" t="s">
        <v>3</v>
      </c>
      <c r="E31" s="14" t="s">
        <v>4</v>
      </c>
      <c r="F31" s="205" t="s">
        <v>3</v>
      </c>
      <c r="G31" s="207" t="s">
        <v>299</v>
      </c>
      <c r="H31" s="209" t="s">
        <v>91</v>
      </c>
      <c r="I31" s="208" t="s">
        <v>300</v>
      </c>
      <c r="J31" s="207">
        <v>11111111111</v>
      </c>
    </row>
    <row r="32" spans="2:10" ht="26.4">
      <c r="B32" s="13" t="s">
        <v>1</v>
      </c>
      <c r="C32" s="13" t="s">
        <v>30</v>
      </c>
      <c r="D32" s="14" t="s">
        <v>3</v>
      </c>
      <c r="E32" s="14" t="s">
        <v>4</v>
      </c>
      <c r="F32" s="205" t="s">
        <v>3</v>
      </c>
      <c r="G32" s="207" t="s">
        <v>299</v>
      </c>
      <c r="H32" s="209" t="s">
        <v>91</v>
      </c>
      <c r="I32" s="208" t="s">
        <v>300</v>
      </c>
      <c r="J32" s="207" t="s">
        <v>314</v>
      </c>
    </row>
    <row r="33" spans="2:10" ht="26.4" hidden="1">
      <c r="B33" s="13" t="s">
        <v>1</v>
      </c>
      <c r="C33" s="13" t="s">
        <v>31</v>
      </c>
      <c r="D33" s="14" t="s">
        <v>3</v>
      </c>
      <c r="E33" s="14" t="s">
        <v>4</v>
      </c>
      <c r="F33" s="205" t="s">
        <v>3</v>
      </c>
      <c r="G33" s="207" t="s">
        <v>299</v>
      </c>
      <c r="H33" s="209" t="s">
        <v>91</v>
      </c>
      <c r="I33" s="208" t="s">
        <v>300</v>
      </c>
      <c r="J33" s="207">
        <v>11111111111</v>
      </c>
    </row>
    <row r="34" spans="2:10" ht="26.4" hidden="1">
      <c r="B34" s="13" t="s">
        <v>1</v>
      </c>
      <c r="C34" s="13" t="s">
        <v>32</v>
      </c>
      <c r="D34" s="14" t="s">
        <v>3</v>
      </c>
      <c r="E34" s="14" t="s">
        <v>4</v>
      </c>
      <c r="F34" s="205" t="s">
        <v>3</v>
      </c>
      <c r="G34" s="207" t="s">
        <v>299</v>
      </c>
      <c r="H34" s="209" t="s">
        <v>91</v>
      </c>
      <c r="I34" s="208" t="s">
        <v>300</v>
      </c>
      <c r="J34" s="207">
        <v>11111111111</v>
      </c>
    </row>
    <row r="35" spans="2:10" ht="52.8" hidden="1">
      <c r="B35" s="13" t="s">
        <v>1</v>
      </c>
      <c r="C35" s="13" t="s">
        <v>33</v>
      </c>
      <c r="D35" s="14" t="s">
        <v>4</v>
      </c>
      <c r="E35" s="14" t="s">
        <v>4</v>
      </c>
      <c r="F35" s="205" t="s">
        <v>3</v>
      </c>
      <c r="G35" s="207" t="s">
        <v>299</v>
      </c>
      <c r="H35" s="209" t="s">
        <v>91</v>
      </c>
      <c r="I35" s="214" t="s">
        <v>318</v>
      </c>
      <c r="J35" s="207" t="s">
        <v>325</v>
      </c>
    </row>
    <row r="36" spans="2:10" ht="52.8" hidden="1">
      <c r="B36" s="13" t="s">
        <v>1</v>
      </c>
      <c r="C36" s="13" t="s">
        <v>34</v>
      </c>
      <c r="D36" s="14" t="s">
        <v>4</v>
      </c>
      <c r="E36" s="14" t="s">
        <v>4</v>
      </c>
      <c r="F36" s="205" t="s">
        <v>3</v>
      </c>
      <c r="G36" s="207" t="s">
        <v>299</v>
      </c>
      <c r="H36" s="209" t="s">
        <v>91</v>
      </c>
      <c r="I36" s="214" t="s">
        <v>318</v>
      </c>
      <c r="J36" s="207" t="s">
        <v>325</v>
      </c>
    </row>
    <row r="37" spans="2:10" ht="52.8" hidden="1">
      <c r="B37" s="13" t="s">
        <v>1</v>
      </c>
      <c r="C37" s="13" t="s">
        <v>35</v>
      </c>
      <c r="D37" s="14" t="s">
        <v>4</v>
      </c>
      <c r="E37" s="14" t="s">
        <v>4</v>
      </c>
      <c r="F37" s="205" t="s">
        <v>4</v>
      </c>
      <c r="G37" s="207" t="s">
        <v>282</v>
      </c>
      <c r="H37" s="209" t="s">
        <v>320</v>
      </c>
      <c r="I37" s="214" t="s">
        <v>321</v>
      </c>
      <c r="J37" s="208" t="s">
        <v>326</v>
      </c>
    </row>
    <row r="38" spans="2:10" ht="33" hidden="1" customHeight="1">
      <c r="B38" s="13" t="s">
        <v>1</v>
      </c>
      <c r="C38" s="13" t="s">
        <v>36</v>
      </c>
      <c r="D38" s="14" t="s">
        <v>4</v>
      </c>
      <c r="E38" s="14" t="s">
        <v>4</v>
      </c>
      <c r="F38" s="205" t="s">
        <v>4</v>
      </c>
      <c r="G38" s="207" t="s">
        <v>299</v>
      </c>
      <c r="H38" s="209" t="s">
        <v>91</v>
      </c>
      <c r="I38" s="208" t="s">
        <v>340</v>
      </c>
      <c r="J38" s="215" t="s">
        <v>339</v>
      </c>
    </row>
    <row r="39" spans="2:10" ht="52.8" hidden="1">
      <c r="B39" s="13" t="s">
        <v>1</v>
      </c>
      <c r="C39" s="13" t="s">
        <v>37</v>
      </c>
      <c r="D39" s="14" t="s">
        <v>4</v>
      </c>
      <c r="E39" s="14" t="s">
        <v>4</v>
      </c>
      <c r="F39" s="205" t="s">
        <v>4</v>
      </c>
      <c r="G39" s="207" t="s">
        <v>282</v>
      </c>
      <c r="H39" s="209" t="s">
        <v>320</v>
      </c>
      <c r="I39" s="214" t="s">
        <v>321</v>
      </c>
      <c r="J39" s="208" t="s">
        <v>327</v>
      </c>
    </row>
    <row r="40" spans="2:10" ht="26.4" hidden="1">
      <c r="B40" s="13" t="s">
        <v>1</v>
      </c>
      <c r="C40" s="13" t="s">
        <v>38</v>
      </c>
      <c r="D40" s="14" t="s">
        <v>4</v>
      </c>
      <c r="E40" s="14" t="s">
        <v>4</v>
      </c>
      <c r="F40" s="205" t="s">
        <v>4</v>
      </c>
      <c r="G40" s="207" t="s">
        <v>299</v>
      </c>
      <c r="H40" s="209" t="s">
        <v>91</v>
      </c>
      <c r="I40" s="214" t="s">
        <v>319</v>
      </c>
      <c r="J40" s="207"/>
    </row>
    <row r="41" spans="2:10" ht="52.8" hidden="1">
      <c r="B41" s="13" t="s">
        <v>1</v>
      </c>
      <c r="C41" s="13" t="s">
        <v>39</v>
      </c>
      <c r="D41" s="14" t="s">
        <v>4</v>
      </c>
      <c r="E41" s="14" t="s">
        <v>4</v>
      </c>
      <c r="F41" s="205" t="s">
        <v>4</v>
      </c>
      <c r="G41" s="207" t="s">
        <v>282</v>
      </c>
      <c r="H41" s="209" t="s">
        <v>320</v>
      </c>
      <c r="I41" s="214" t="s">
        <v>321</v>
      </c>
      <c r="J41" s="208" t="s">
        <v>328</v>
      </c>
    </row>
    <row r="42" spans="2:10" ht="52.8" hidden="1">
      <c r="B42" s="13" t="s">
        <v>1</v>
      </c>
      <c r="C42" s="13" t="s">
        <v>40</v>
      </c>
      <c r="D42" s="14" t="s">
        <v>4</v>
      </c>
      <c r="E42" s="14" t="s">
        <v>4</v>
      </c>
      <c r="F42" s="205" t="s">
        <v>4</v>
      </c>
      <c r="G42" s="207" t="s">
        <v>299</v>
      </c>
      <c r="H42" s="209" t="s">
        <v>91</v>
      </c>
      <c r="I42" s="214" t="s">
        <v>318</v>
      </c>
      <c r="J42" s="207" t="s">
        <v>325</v>
      </c>
    </row>
    <row r="43" spans="2:10" ht="52.8" hidden="1">
      <c r="B43" s="13" t="s">
        <v>1</v>
      </c>
      <c r="C43" s="13" t="s">
        <v>41</v>
      </c>
      <c r="D43" s="14" t="s">
        <v>4</v>
      </c>
      <c r="E43" s="14" t="s">
        <v>4</v>
      </c>
      <c r="F43" s="205" t="s">
        <v>4</v>
      </c>
      <c r="G43" s="207" t="s">
        <v>299</v>
      </c>
      <c r="H43" s="209" t="s">
        <v>91</v>
      </c>
      <c r="I43" s="214" t="s">
        <v>318</v>
      </c>
      <c r="J43" s="207" t="s">
        <v>325</v>
      </c>
    </row>
    <row r="44" spans="2:10" ht="52.8" hidden="1">
      <c r="B44" s="13" t="s">
        <v>1</v>
      </c>
      <c r="C44" s="13" t="s">
        <v>42</v>
      </c>
      <c r="D44" s="14" t="s">
        <v>4</v>
      </c>
      <c r="E44" s="14" t="s">
        <v>4</v>
      </c>
      <c r="F44" s="205" t="s">
        <v>4</v>
      </c>
      <c r="G44" s="207" t="s">
        <v>282</v>
      </c>
      <c r="H44" s="209" t="s">
        <v>320</v>
      </c>
      <c r="I44" s="214" t="s">
        <v>321</v>
      </c>
      <c r="J44" s="208" t="s">
        <v>329</v>
      </c>
    </row>
    <row r="45" spans="2:10" ht="39.6" hidden="1">
      <c r="B45" s="13" t="s">
        <v>1</v>
      </c>
      <c r="C45" s="13" t="s">
        <v>43</v>
      </c>
      <c r="D45" s="14" t="s">
        <v>4</v>
      </c>
      <c r="E45" s="14" t="s">
        <v>4</v>
      </c>
      <c r="F45" s="205" t="s">
        <v>4</v>
      </c>
      <c r="G45" s="207" t="s">
        <v>299</v>
      </c>
      <c r="H45" s="209" t="s">
        <v>91</v>
      </c>
      <c r="I45" s="214" t="s">
        <v>317</v>
      </c>
      <c r="J45" s="207" t="s">
        <v>341</v>
      </c>
    </row>
    <row r="46" spans="2:10" ht="39.6" hidden="1">
      <c r="B46" s="13" t="s">
        <v>1</v>
      </c>
      <c r="C46" s="13" t="s">
        <v>44</v>
      </c>
      <c r="D46" s="14" t="s">
        <v>4</v>
      </c>
      <c r="E46" s="14" t="s">
        <v>4</v>
      </c>
      <c r="F46" s="205" t="s">
        <v>4</v>
      </c>
      <c r="G46" s="207" t="s">
        <v>299</v>
      </c>
      <c r="H46" s="209" t="s">
        <v>91</v>
      </c>
      <c r="I46" s="214" t="s">
        <v>317</v>
      </c>
      <c r="J46" s="207" t="s">
        <v>341</v>
      </c>
    </row>
    <row r="47" spans="2:10" ht="52.8" hidden="1">
      <c r="B47" s="13" t="s">
        <v>1</v>
      </c>
      <c r="C47" s="13" t="s">
        <v>45</v>
      </c>
      <c r="D47" s="14" t="s">
        <v>4</v>
      </c>
      <c r="E47" s="14" t="s">
        <v>4</v>
      </c>
      <c r="F47" s="205" t="s">
        <v>4</v>
      </c>
      <c r="G47" s="207" t="s">
        <v>282</v>
      </c>
      <c r="H47" s="209" t="s">
        <v>320</v>
      </c>
      <c r="I47" s="214" t="s">
        <v>321</v>
      </c>
      <c r="J47" s="208" t="s">
        <v>330</v>
      </c>
    </row>
    <row r="48" spans="2:10" ht="39.6" hidden="1">
      <c r="B48" s="13" t="s">
        <v>1</v>
      </c>
      <c r="C48" s="13" t="s">
        <v>46</v>
      </c>
      <c r="D48" s="14" t="s">
        <v>4</v>
      </c>
      <c r="E48" s="14" t="s">
        <v>4</v>
      </c>
      <c r="F48" s="205" t="s">
        <v>3</v>
      </c>
      <c r="G48" s="207" t="s">
        <v>299</v>
      </c>
      <c r="H48" s="209" t="s">
        <v>91</v>
      </c>
      <c r="I48" s="214" t="s">
        <v>317</v>
      </c>
      <c r="J48" s="207" t="s">
        <v>341</v>
      </c>
    </row>
    <row r="49" spans="2:10" ht="39.6" hidden="1">
      <c r="B49" s="13" t="s">
        <v>1</v>
      </c>
      <c r="C49" s="13" t="s">
        <v>47</v>
      </c>
      <c r="D49" s="14" t="s">
        <v>4</v>
      </c>
      <c r="E49" s="14" t="s">
        <v>4</v>
      </c>
      <c r="F49" s="205" t="s">
        <v>3</v>
      </c>
      <c r="G49" s="207" t="s">
        <v>299</v>
      </c>
      <c r="H49" s="209" t="s">
        <v>91</v>
      </c>
      <c r="I49" s="214" t="s">
        <v>317</v>
      </c>
      <c r="J49" s="207" t="s">
        <v>341</v>
      </c>
    </row>
    <row r="50" spans="2:10" ht="39.6" hidden="1">
      <c r="B50" s="13" t="s">
        <v>1</v>
      </c>
      <c r="C50" s="13" t="s">
        <v>48</v>
      </c>
      <c r="D50" s="14" t="s">
        <v>4</v>
      </c>
      <c r="E50" s="14" t="s">
        <v>4</v>
      </c>
      <c r="F50" s="205" t="s">
        <v>4</v>
      </c>
      <c r="G50" s="207" t="s">
        <v>299</v>
      </c>
      <c r="H50" s="209" t="s">
        <v>91</v>
      </c>
      <c r="I50" s="214" t="s">
        <v>317</v>
      </c>
      <c r="J50" s="207" t="s">
        <v>341</v>
      </c>
    </row>
    <row r="51" spans="2:10" ht="39.6" hidden="1">
      <c r="B51" s="13" t="s">
        <v>1</v>
      </c>
      <c r="C51" s="13" t="s">
        <v>49</v>
      </c>
      <c r="D51" s="14" t="s">
        <v>4</v>
      </c>
      <c r="E51" s="14" t="s">
        <v>4</v>
      </c>
      <c r="F51" s="205" t="s">
        <v>4</v>
      </c>
      <c r="G51" s="207" t="s">
        <v>299</v>
      </c>
      <c r="H51" s="209" t="s">
        <v>91</v>
      </c>
      <c r="I51" s="214" t="s">
        <v>317</v>
      </c>
      <c r="J51" s="207" t="s">
        <v>341</v>
      </c>
    </row>
    <row r="52" spans="2:10" ht="52.8" hidden="1">
      <c r="B52" s="13" t="s">
        <v>1</v>
      </c>
      <c r="C52" s="13" t="s">
        <v>50</v>
      </c>
      <c r="D52" s="14" t="s">
        <v>4</v>
      </c>
      <c r="E52" s="14" t="s">
        <v>4</v>
      </c>
      <c r="F52" s="205" t="s">
        <v>3</v>
      </c>
      <c r="G52" s="207" t="s">
        <v>282</v>
      </c>
      <c r="H52" s="209" t="s">
        <v>320</v>
      </c>
      <c r="I52" s="214" t="s">
        <v>321</v>
      </c>
      <c r="J52" s="208" t="s">
        <v>331</v>
      </c>
    </row>
    <row r="53" spans="2:10" hidden="1">
      <c r="B53" s="13" t="s">
        <v>1</v>
      </c>
      <c r="C53" s="13" t="s">
        <v>51</v>
      </c>
      <c r="D53" s="14" t="s">
        <v>4</v>
      </c>
      <c r="E53" s="14" t="s">
        <v>4</v>
      </c>
      <c r="F53" s="205" t="s">
        <v>4</v>
      </c>
      <c r="G53" s="207" t="s">
        <v>282</v>
      </c>
      <c r="H53" s="209" t="s">
        <v>297</v>
      </c>
      <c r="I53" s="209" t="s">
        <v>298</v>
      </c>
      <c r="J53" s="209" t="s">
        <v>333</v>
      </c>
    </row>
    <row r="54" spans="2:10" ht="52.8" hidden="1">
      <c r="B54" s="13" t="s">
        <v>1</v>
      </c>
      <c r="C54" s="13" t="s">
        <v>52</v>
      </c>
      <c r="D54" s="14" t="s">
        <v>4</v>
      </c>
      <c r="E54" s="14" t="s">
        <v>4</v>
      </c>
      <c r="F54" s="205" t="s">
        <v>4</v>
      </c>
      <c r="G54" s="207" t="s">
        <v>282</v>
      </c>
      <c r="H54" s="209" t="s">
        <v>320</v>
      </c>
      <c r="I54" s="208" t="s">
        <v>321</v>
      </c>
      <c r="J54" s="209" t="s">
        <v>332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5" t="s">
        <v>4</v>
      </c>
      <c r="G55" s="207" t="s">
        <v>282</v>
      </c>
      <c r="H55" s="209" t="s">
        <v>297</v>
      </c>
      <c r="I55" s="209" t="s">
        <v>298</v>
      </c>
      <c r="J55" s="207"/>
    </row>
    <row r="56" spans="2:10" hidden="1">
      <c r="B56" s="13" t="s">
        <v>1</v>
      </c>
      <c r="C56" s="13" t="s">
        <v>54</v>
      </c>
      <c r="D56" s="14" t="s">
        <v>4</v>
      </c>
      <c r="E56" s="14" t="s">
        <v>4</v>
      </c>
      <c r="F56" s="205" t="s">
        <v>4</v>
      </c>
      <c r="G56" s="207" t="s">
        <v>282</v>
      </c>
      <c r="H56" s="209" t="s">
        <v>297</v>
      </c>
      <c r="I56" s="209" t="s">
        <v>298</v>
      </c>
      <c r="J56" s="207"/>
    </row>
    <row r="57" spans="2:10" hidden="1">
      <c r="B57" s="13" t="s">
        <v>55</v>
      </c>
      <c r="C57" s="13" t="s">
        <v>90</v>
      </c>
      <c r="D57" s="14" t="s">
        <v>91</v>
      </c>
      <c r="E57" s="14" t="s">
        <v>91</v>
      </c>
      <c r="F57" s="205" t="s">
        <v>91</v>
      </c>
      <c r="G57" s="207" t="s">
        <v>91</v>
      </c>
      <c r="H57" s="207" t="s">
        <v>91</v>
      </c>
      <c r="I57" s="207" t="s">
        <v>91</v>
      </c>
      <c r="J57" s="207" t="s">
        <v>91</v>
      </c>
    </row>
    <row r="58" spans="2:10" ht="26.4" hidden="1">
      <c r="B58" s="13" t="s">
        <v>55</v>
      </c>
      <c r="C58" s="13" t="s">
        <v>36</v>
      </c>
      <c r="D58" s="14" t="s">
        <v>4</v>
      </c>
      <c r="E58" s="14" t="s">
        <v>4</v>
      </c>
      <c r="F58" s="205" t="s">
        <v>4</v>
      </c>
      <c r="G58" s="207" t="s">
        <v>282</v>
      </c>
      <c r="H58" s="209" t="s">
        <v>334</v>
      </c>
      <c r="I58" s="214" t="s">
        <v>335</v>
      </c>
      <c r="J58" s="207"/>
    </row>
    <row r="59" spans="2:10" ht="26.4" hidden="1">
      <c r="B59" s="13" t="s">
        <v>55</v>
      </c>
      <c r="C59" s="13" t="s">
        <v>38</v>
      </c>
      <c r="D59" s="14" t="s">
        <v>4</v>
      </c>
      <c r="E59" s="14" t="s">
        <v>4</v>
      </c>
      <c r="F59" s="205" t="s">
        <v>4</v>
      </c>
      <c r="G59" s="207" t="s">
        <v>282</v>
      </c>
      <c r="H59" s="209" t="s">
        <v>334</v>
      </c>
      <c r="I59" s="214" t="s">
        <v>335</v>
      </c>
      <c r="J59" s="207"/>
    </row>
    <row r="60" spans="2:10" ht="26.4" hidden="1">
      <c r="B60" s="13" t="s">
        <v>55</v>
      </c>
      <c r="C60" s="13" t="s">
        <v>56</v>
      </c>
      <c r="D60" s="14" t="s">
        <v>4</v>
      </c>
      <c r="E60" s="14" t="s">
        <v>4</v>
      </c>
      <c r="F60" s="205" t="s">
        <v>4</v>
      </c>
      <c r="G60" s="207" t="s">
        <v>282</v>
      </c>
      <c r="H60" s="209" t="s">
        <v>334</v>
      </c>
      <c r="I60" s="214" t="s">
        <v>335</v>
      </c>
      <c r="J60" s="207"/>
    </row>
    <row r="61" spans="2:10" ht="26.4" hidden="1">
      <c r="B61" s="13" t="s">
        <v>55</v>
      </c>
      <c r="C61" s="13" t="s">
        <v>57</v>
      </c>
      <c r="D61" s="14" t="s">
        <v>4</v>
      </c>
      <c r="E61" s="14" t="s">
        <v>4</v>
      </c>
      <c r="F61" s="205" t="s">
        <v>4</v>
      </c>
      <c r="G61" s="207" t="s">
        <v>282</v>
      </c>
      <c r="H61" s="209" t="s">
        <v>334</v>
      </c>
      <c r="I61" s="214" t="s">
        <v>335</v>
      </c>
      <c r="J61" s="207"/>
    </row>
    <row r="62" spans="2:10" ht="26.4" hidden="1">
      <c r="B62" s="13" t="s">
        <v>55</v>
      </c>
      <c r="C62" s="13" t="s">
        <v>58</v>
      </c>
      <c r="D62" s="14" t="s">
        <v>4</v>
      </c>
      <c r="E62" s="14" t="s">
        <v>4</v>
      </c>
      <c r="F62" s="205" t="s">
        <v>4</v>
      </c>
      <c r="G62" s="207" t="s">
        <v>282</v>
      </c>
      <c r="H62" s="209" t="s">
        <v>334</v>
      </c>
      <c r="I62" s="214" t="s">
        <v>335</v>
      </c>
      <c r="J62" s="207"/>
    </row>
    <row r="63" spans="2:10" ht="26.4" hidden="1">
      <c r="B63" s="13" t="s">
        <v>55</v>
      </c>
      <c r="C63" s="13" t="s">
        <v>59</v>
      </c>
      <c r="D63" s="14" t="s">
        <v>3</v>
      </c>
      <c r="E63" s="14" t="s">
        <v>4</v>
      </c>
      <c r="F63" s="205" t="s">
        <v>4</v>
      </c>
      <c r="G63" s="207" t="s">
        <v>282</v>
      </c>
      <c r="H63" s="209" t="s">
        <v>334</v>
      </c>
      <c r="I63" s="214" t="s">
        <v>335</v>
      </c>
      <c r="J63" s="207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5" t="s">
        <v>3</v>
      </c>
      <c r="G64" s="207" t="s">
        <v>282</v>
      </c>
      <c r="H64" s="209" t="s">
        <v>334</v>
      </c>
      <c r="I64" s="214" t="s">
        <v>336</v>
      </c>
      <c r="J64" s="207"/>
    </row>
    <row r="65" spans="2:10" hidden="1">
      <c r="B65" s="13" t="s">
        <v>61</v>
      </c>
      <c r="C65" s="13" t="s">
        <v>90</v>
      </c>
      <c r="D65" s="14" t="s">
        <v>91</v>
      </c>
      <c r="E65" s="14" t="s">
        <v>91</v>
      </c>
      <c r="F65" s="205" t="s">
        <v>91</v>
      </c>
      <c r="G65" s="207" t="s">
        <v>91</v>
      </c>
      <c r="H65" s="209" t="s">
        <v>91</v>
      </c>
      <c r="I65" s="213" t="s">
        <v>91</v>
      </c>
      <c r="J65" s="207" t="s">
        <v>91</v>
      </c>
    </row>
    <row r="66" spans="2:10" hidden="1">
      <c r="B66" s="13" t="s">
        <v>61</v>
      </c>
      <c r="C66" s="13" t="s">
        <v>36</v>
      </c>
      <c r="D66" s="14" t="s">
        <v>4</v>
      </c>
      <c r="E66" s="14" t="s">
        <v>4</v>
      </c>
      <c r="F66" s="205" t="s">
        <v>4</v>
      </c>
      <c r="G66" s="207" t="s">
        <v>299</v>
      </c>
      <c r="H66" s="209" t="s">
        <v>91</v>
      </c>
      <c r="I66" s="213" t="s">
        <v>337</v>
      </c>
      <c r="J66" s="207"/>
    </row>
    <row r="67" spans="2:10" hidden="1">
      <c r="B67" s="13" t="s">
        <v>61</v>
      </c>
      <c r="C67" s="13" t="s">
        <v>38</v>
      </c>
      <c r="D67" s="14" t="s">
        <v>4</v>
      </c>
      <c r="E67" s="14" t="s">
        <v>4</v>
      </c>
      <c r="F67" s="205" t="s">
        <v>4</v>
      </c>
      <c r="G67" s="207" t="s">
        <v>299</v>
      </c>
      <c r="H67" s="209" t="s">
        <v>91</v>
      </c>
      <c r="I67" s="213" t="s">
        <v>337</v>
      </c>
      <c r="J67" s="207"/>
    </row>
    <row r="68" spans="2:10" hidden="1">
      <c r="B68" s="13" t="s">
        <v>61</v>
      </c>
      <c r="C68" s="13" t="s">
        <v>54</v>
      </c>
      <c r="D68" s="14" t="s">
        <v>4</v>
      </c>
      <c r="E68" s="14" t="s">
        <v>4</v>
      </c>
      <c r="F68" s="205" t="s">
        <v>4</v>
      </c>
      <c r="G68" s="207" t="s">
        <v>299</v>
      </c>
      <c r="H68" s="209" t="s">
        <v>91</v>
      </c>
      <c r="I68" s="213" t="s">
        <v>337</v>
      </c>
      <c r="J68" s="207"/>
    </row>
    <row r="69" spans="2:10" hidden="1">
      <c r="B69" s="13" t="s">
        <v>61</v>
      </c>
      <c r="C69" s="13" t="s">
        <v>56</v>
      </c>
      <c r="D69" s="14" t="s">
        <v>4</v>
      </c>
      <c r="E69" s="14" t="s">
        <v>4</v>
      </c>
      <c r="F69" s="205" t="s">
        <v>4</v>
      </c>
      <c r="G69" s="207" t="s">
        <v>299</v>
      </c>
      <c r="H69" s="209" t="s">
        <v>91</v>
      </c>
      <c r="I69" s="213" t="s">
        <v>337</v>
      </c>
      <c r="J69" s="207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5" t="s">
        <v>4</v>
      </c>
      <c r="G70" s="207" t="s">
        <v>299</v>
      </c>
      <c r="H70" s="209" t="s">
        <v>91</v>
      </c>
      <c r="I70" s="213" t="s">
        <v>337</v>
      </c>
      <c r="J70" s="207"/>
    </row>
    <row r="71" spans="2:10" hidden="1">
      <c r="B71" s="13" t="s">
        <v>63</v>
      </c>
      <c r="C71" s="13" t="s">
        <v>90</v>
      </c>
      <c r="D71" s="14" t="s">
        <v>91</v>
      </c>
      <c r="E71" s="14" t="s">
        <v>91</v>
      </c>
      <c r="F71" s="205" t="s">
        <v>91</v>
      </c>
      <c r="G71" s="207" t="s">
        <v>91</v>
      </c>
      <c r="H71" s="209" t="s">
        <v>91</v>
      </c>
      <c r="I71" s="213" t="s">
        <v>91</v>
      </c>
      <c r="J71" s="207" t="s">
        <v>91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5" t="s">
        <v>4</v>
      </c>
      <c r="G72" s="207" t="s">
        <v>299</v>
      </c>
      <c r="H72" s="209" t="s">
        <v>91</v>
      </c>
      <c r="I72" s="213" t="s">
        <v>337</v>
      </c>
      <c r="J72" s="207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5" t="s">
        <v>4</v>
      </c>
      <c r="G73" s="207" t="s">
        <v>299</v>
      </c>
      <c r="H73" s="209" t="s">
        <v>91</v>
      </c>
      <c r="I73" s="213" t="s">
        <v>337</v>
      </c>
      <c r="J73" s="207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5" t="s">
        <v>4</v>
      </c>
      <c r="G74" s="207" t="s">
        <v>299</v>
      </c>
      <c r="H74" s="209" t="s">
        <v>91</v>
      </c>
      <c r="I74" s="213" t="s">
        <v>337</v>
      </c>
      <c r="J74" s="207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5" t="s">
        <v>4</v>
      </c>
      <c r="G75" s="207" t="s">
        <v>299</v>
      </c>
      <c r="H75" s="209" t="s">
        <v>91</v>
      </c>
      <c r="I75" s="213" t="s">
        <v>337</v>
      </c>
      <c r="J75" s="207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5" t="s">
        <v>4</v>
      </c>
      <c r="G76" s="207" t="s">
        <v>299</v>
      </c>
      <c r="H76" s="209" t="s">
        <v>91</v>
      </c>
      <c r="I76" s="213" t="s">
        <v>337</v>
      </c>
      <c r="J76" s="207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5" t="s">
        <v>4</v>
      </c>
      <c r="G77" s="207" t="s">
        <v>299</v>
      </c>
      <c r="H77" s="209" t="s">
        <v>91</v>
      </c>
      <c r="I77" s="213" t="s">
        <v>337</v>
      </c>
      <c r="J77" s="207"/>
    </row>
  </sheetData>
  <autoFilter ref="B4:J77" xr:uid="{385A7360-ED2F-4881-BCA6-8DB957F0124D}">
    <filterColumn colId="1">
      <filters>
        <filter val="BSNSS_AREA"/>
        <filter val="BSNSS_AREA_CCRR"/>
        <filter val="BSNSS_AREA_DSTNTN"/>
        <filter val="FLG_INTRBSNSS"/>
        <filter val="INTRBSNSS_ADJ_COD"/>
        <filter val="NW_BSNSS"/>
      </filters>
    </filterColumn>
  </autoFilter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B20" activeCellId="5" sqref="B7:B8 B5 B11 B14 B19 B20"/>
    </sheetView>
  </sheetViews>
  <sheetFormatPr defaultRowHeight="14.4"/>
  <cols>
    <col min="1" max="1" width="3.6640625" customWidth="1"/>
    <col min="2" max="2" width="34.44140625" bestFit="1" customWidth="1"/>
    <col min="3" max="3" width="20.33203125" bestFit="1" customWidth="1"/>
    <col min="4" max="4" width="18.109375" bestFit="1" customWidth="1"/>
    <col min="5" max="5" width="24.33203125" bestFit="1" customWidth="1"/>
  </cols>
  <sheetData>
    <row r="2" spans="2:8">
      <c r="B2" s="223" t="s">
        <v>81</v>
      </c>
      <c r="C2" s="216" t="s">
        <v>112</v>
      </c>
      <c r="D2" s="216" t="s">
        <v>352</v>
      </c>
      <c r="E2" s="216" t="s">
        <v>351</v>
      </c>
      <c r="G2" s="226" t="s">
        <v>348</v>
      </c>
      <c r="H2" t="s">
        <v>349</v>
      </c>
    </row>
    <row r="3" spans="2:8">
      <c r="B3" s="224" t="s">
        <v>33</v>
      </c>
      <c r="C3" s="213" t="s">
        <v>345</v>
      </c>
      <c r="D3" s="225" t="s">
        <v>353</v>
      </c>
      <c r="E3" s="225" t="s">
        <v>350</v>
      </c>
      <c r="G3" s="226" t="s">
        <v>354</v>
      </c>
      <c r="H3" t="s">
        <v>355</v>
      </c>
    </row>
    <row r="4" spans="2:8">
      <c r="B4" s="224" t="s">
        <v>34</v>
      </c>
      <c r="C4" s="213" t="s">
        <v>346</v>
      </c>
      <c r="D4" s="225" t="s">
        <v>353</v>
      </c>
      <c r="E4" s="225" t="s">
        <v>350</v>
      </c>
      <c r="G4" s="226" t="s">
        <v>360</v>
      </c>
      <c r="H4" t="s">
        <v>362</v>
      </c>
    </row>
    <row r="5" spans="2:8">
      <c r="B5" s="224" t="s">
        <v>35</v>
      </c>
      <c r="C5" s="213" t="s">
        <v>346</v>
      </c>
      <c r="D5" s="225" t="s">
        <v>357</v>
      </c>
      <c r="E5" s="225" t="s">
        <v>350</v>
      </c>
      <c r="G5" s="226" t="s">
        <v>358</v>
      </c>
      <c r="H5" t="s">
        <v>359</v>
      </c>
    </row>
    <row r="6" spans="2:8">
      <c r="B6" s="224" t="s">
        <v>36</v>
      </c>
      <c r="C6" s="213" t="s">
        <v>345</v>
      </c>
      <c r="D6" s="225" t="s">
        <v>356</v>
      </c>
      <c r="E6" s="225" t="s">
        <v>350</v>
      </c>
    </row>
    <row r="7" spans="2:8">
      <c r="B7" s="224" t="s">
        <v>37</v>
      </c>
      <c r="C7" s="213" t="s">
        <v>345</v>
      </c>
      <c r="D7" s="225" t="s">
        <v>357</v>
      </c>
      <c r="E7" s="225" t="s">
        <v>350</v>
      </c>
    </row>
    <row r="8" spans="2:8">
      <c r="B8" s="224" t="s">
        <v>39</v>
      </c>
      <c r="C8" s="213" t="s">
        <v>345</v>
      </c>
      <c r="D8" s="225" t="s">
        <v>357</v>
      </c>
      <c r="E8" s="225" t="s">
        <v>350</v>
      </c>
    </row>
    <row r="9" spans="2:8">
      <c r="B9" s="224" t="s">
        <v>40</v>
      </c>
      <c r="C9" s="213" t="s">
        <v>345</v>
      </c>
      <c r="D9" s="225" t="s">
        <v>353</v>
      </c>
      <c r="E9" s="225" t="s">
        <v>350</v>
      </c>
    </row>
    <row r="10" spans="2:8">
      <c r="B10" s="224" t="s">
        <v>41</v>
      </c>
      <c r="C10" s="213" t="s">
        <v>345</v>
      </c>
      <c r="D10" s="225" t="s">
        <v>353</v>
      </c>
      <c r="E10" s="225" t="s">
        <v>350</v>
      </c>
    </row>
    <row r="11" spans="2:8">
      <c r="B11" s="224" t="s">
        <v>42</v>
      </c>
      <c r="C11" s="213" t="s">
        <v>345</v>
      </c>
      <c r="D11" s="225" t="s">
        <v>357</v>
      </c>
      <c r="E11" s="225" t="s">
        <v>350</v>
      </c>
    </row>
    <row r="12" spans="2:8">
      <c r="B12" s="224" t="s">
        <v>43</v>
      </c>
      <c r="C12" s="213" t="s">
        <v>345</v>
      </c>
      <c r="D12" s="225" t="s">
        <v>347</v>
      </c>
      <c r="E12" s="225" t="s">
        <v>350</v>
      </c>
    </row>
    <row r="13" spans="2:8">
      <c r="B13" s="224" t="s">
        <v>44</v>
      </c>
      <c r="C13" s="213" t="s">
        <v>346</v>
      </c>
      <c r="D13" s="225" t="s">
        <v>347</v>
      </c>
      <c r="E13" s="225" t="s">
        <v>350</v>
      </c>
    </row>
    <row r="14" spans="2:8">
      <c r="B14" s="224" t="s">
        <v>45</v>
      </c>
      <c r="C14" s="213" t="s">
        <v>346</v>
      </c>
      <c r="D14" s="225" t="s">
        <v>357</v>
      </c>
      <c r="E14" s="225" t="s">
        <v>350</v>
      </c>
    </row>
    <row r="15" spans="2:8">
      <c r="B15" s="224" t="s">
        <v>46</v>
      </c>
      <c r="C15" s="213" t="s">
        <v>346</v>
      </c>
      <c r="D15" s="225" t="s">
        <v>347</v>
      </c>
      <c r="E15" s="225" t="s">
        <v>350</v>
      </c>
    </row>
    <row r="16" spans="2:8">
      <c r="B16" s="224" t="s">
        <v>47</v>
      </c>
      <c r="C16" s="213" t="s">
        <v>345</v>
      </c>
      <c r="D16" s="225" t="s">
        <v>347</v>
      </c>
      <c r="E16" s="225" t="s">
        <v>350</v>
      </c>
    </row>
    <row r="17" spans="2:5">
      <c r="B17" s="224" t="s">
        <v>48</v>
      </c>
      <c r="C17" s="213" t="s">
        <v>346</v>
      </c>
      <c r="D17" s="225" t="s">
        <v>347</v>
      </c>
      <c r="E17" s="225" t="s">
        <v>350</v>
      </c>
    </row>
    <row r="18" spans="2:5">
      <c r="B18" s="224" t="s">
        <v>49</v>
      </c>
      <c r="C18" s="213" t="s">
        <v>346</v>
      </c>
      <c r="D18" s="225" t="s">
        <v>347</v>
      </c>
      <c r="E18" s="225" t="s">
        <v>350</v>
      </c>
    </row>
    <row r="19" spans="2:5">
      <c r="B19" s="224" t="s">
        <v>50</v>
      </c>
      <c r="C19" s="213" t="s">
        <v>345</v>
      </c>
      <c r="D19" s="225" t="s">
        <v>357</v>
      </c>
      <c r="E19" s="225" t="s">
        <v>350</v>
      </c>
    </row>
    <row r="20" spans="2:5">
      <c r="B20" s="224" t="s">
        <v>52</v>
      </c>
      <c r="C20" s="213" t="s">
        <v>346</v>
      </c>
      <c r="D20" s="225" t="s">
        <v>361</v>
      </c>
      <c r="E20" s="225" t="s">
        <v>350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6C4560B-9433-4FCE-8176-82C346731DCE}"/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2025-06-18T11:42:02Z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