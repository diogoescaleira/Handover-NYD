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namedSheetViews/namedSheetView2.xml" ContentType="application/vnd.ms-excel.namedsheetview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77" documentId="8_{CF439FC8-21C9-4A1B-84E9-73E04FBD4926}" xr6:coauthVersionLast="47" xr6:coauthVersionMax="47" xr10:uidLastSave="{481A4BFA-6F73-4B56-92A3-8B06FB9E72C0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state="hidden" r:id="rId4"/>
    <sheet name="Detalhe Entregas e Status" sheetId="2" r:id="rId5"/>
    <sheet name="Detalhe Testes" sheetId="6" r:id="rId6"/>
    <sheet name="Aux Testes_Status" sheetId="7" r:id="rId7"/>
    <sheet name="Incidências Junho" sheetId="15" state="hidden" r:id="rId8"/>
    <sheet name="Aux Simulações e Testes" sheetId="12" state="hidden" r:id="rId9"/>
    <sheet name="Comuns com PM" sheetId="14" state="hidden" r:id="rId10"/>
  </sheets>
  <definedNames>
    <definedName name="_xlnm._FilterDatabase" localSheetId="1" hidden="1">'Aux Gráficos'!$B$2:$D$75</definedName>
    <definedName name="_xlnm._FilterDatabase" localSheetId="8" hidden="1">'Aux Simulações e Testes'!$B$4:$J$77</definedName>
    <definedName name="_xlnm._FilterDatabase" localSheetId="4" hidden="1">'Detalhe Entregas e Status'!$A$8:$Y$81</definedName>
    <definedName name="_xlnm._FilterDatabase" localSheetId="5" hidden="1">'Detalhe Testes'!$B$8:$N$172</definedName>
    <definedName name="asefadf">#REF!</definedName>
    <definedName name="bn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1" l="1"/>
  <c r="J113" i="11"/>
  <c r="J112" i="11"/>
  <c r="J111" i="11"/>
  <c r="J110" i="11"/>
  <c r="J109" i="11"/>
  <c r="J108" i="11"/>
  <c r="J107" i="11"/>
  <c r="J106" i="11"/>
  <c r="I114" i="11"/>
  <c r="I113" i="11"/>
  <c r="I112" i="11"/>
  <c r="I111" i="11"/>
  <c r="I110" i="11"/>
  <c r="I109" i="11"/>
  <c r="I108" i="11"/>
  <c r="I107" i="11"/>
  <c r="I106" i="11"/>
  <c r="J95" i="11"/>
  <c r="J94" i="11"/>
  <c r="J93" i="11"/>
  <c r="J92" i="11"/>
  <c r="J91" i="11"/>
  <c r="J90" i="11"/>
  <c r="J89" i="11"/>
  <c r="J88" i="11"/>
  <c r="J87" i="11"/>
  <c r="I95" i="11"/>
  <c r="I94" i="11"/>
  <c r="I93" i="11"/>
  <c r="I92" i="11"/>
  <c r="I91" i="11"/>
  <c r="I90" i="11"/>
  <c r="I89" i="11"/>
  <c r="I88" i="11"/>
  <c r="I87" i="11"/>
  <c r="J76" i="11"/>
  <c r="J75" i="11"/>
  <c r="J74" i="11"/>
  <c r="J73" i="11"/>
  <c r="J72" i="11"/>
  <c r="J71" i="11"/>
  <c r="J70" i="11"/>
  <c r="J69" i="11"/>
  <c r="J68" i="11"/>
  <c r="I76" i="11"/>
  <c r="I75" i="11"/>
  <c r="I74" i="11"/>
  <c r="I73" i="11"/>
  <c r="I72" i="11"/>
  <c r="I71" i="11"/>
  <c r="I70" i="11"/>
  <c r="I69" i="11"/>
  <c r="I68" i="11"/>
  <c r="J57" i="11"/>
  <c r="J56" i="11"/>
  <c r="J55" i="11"/>
  <c r="J54" i="11"/>
  <c r="J53" i="11"/>
  <c r="J52" i="11"/>
  <c r="J51" i="11"/>
  <c r="J50" i="11"/>
  <c r="J49" i="11"/>
  <c r="I57" i="11"/>
  <c r="I56" i="11"/>
  <c r="I55" i="11"/>
  <c r="I54" i="11"/>
  <c r="I53" i="11"/>
  <c r="I52" i="11"/>
  <c r="I51" i="11"/>
  <c r="I50" i="11"/>
  <c r="I49" i="11"/>
  <c r="O7" i="10"/>
  <c r="P7" i="10" s="1"/>
  <c r="O4" i="10"/>
  <c r="O11" i="10"/>
  <c r="P11" i="10" s="1"/>
  <c r="K114" i="11" l="1"/>
  <c r="I115" i="11"/>
  <c r="J115" i="11"/>
  <c r="K76" i="11"/>
  <c r="I77" i="11"/>
  <c r="I96" i="11"/>
  <c r="J77" i="11"/>
  <c r="K95" i="11"/>
  <c r="J96" i="11"/>
  <c r="J58" i="11"/>
  <c r="I58" i="11"/>
  <c r="K57" i="11"/>
  <c r="K113" i="11"/>
  <c r="K75" i="11"/>
  <c r="K56" i="11"/>
  <c r="K94" i="11"/>
  <c r="O10" i="10" l="1"/>
  <c r="P10" i="10" s="1"/>
  <c r="I60" i="11" l="1"/>
  <c r="G25" i="11"/>
  <c r="G24" i="11"/>
  <c r="G23" i="11"/>
  <c r="G22" i="11"/>
  <c r="O9" i="10"/>
  <c r="P9" i="10" s="1"/>
  <c r="O8" i="10"/>
  <c r="P8" i="10" s="1"/>
  <c r="O6" i="10"/>
  <c r="P6" i="10" s="1"/>
  <c r="O5" i="10"/>
  <c r="P5" i="10" s="1"/>
  <c r="P4" i="10"/>
  <c r="P3" i="10" l="1"/>
  <c r="E22" i="11"/>
  <c r="D22" i="11"/>
  <c r="I117" i="11"/>
  <c r="I98" i="11"/>
  <c r="I79" i="11"/>
  <c r="J105" i="11"/>
  <c r="I105" i="11"/>
  <c r="J86" i="11"/>
  <c r="I86" i="11"/>
  <c r="J67" i="11"/>
  <c r="I67" i="11"/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H9" i="6" l="1" a="1"/>
  <c r="H9" i="6" s="1"/>
  <c r="H17" i="6" a="1"/>
  <c r="H17" i="6" s="1"/>
  <c r="H26" i="6" a="1"/>
  <c r="H26" i="6" s="1"/>
  <c r="H34" i="6" a="1"/>
  <c r="H34" i="6" s="1"/>
  <c r="H42" i="6" a="1"/>
  <c r="H42" i="6" s="1"/>
  <c r="H50" i="6" a="1"/>
  <c r="H50" i="6" s="1"/>
  <c r="H58" i="6" a="1"/>
  <c r="H58" i="6" s="1"/>
  <c r="H66" i="6" a="1"/>
  <c r="H66" i="6" s="1"/>
  <c r="H74" i="6" a="1"/>
  <c r="H74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30" i="6" a="1"/>
  <c r="H130" i="6" s="1"/>
  <c r="H138" i="6" a="1"/>
  <c r="H138" i="6" s="1"/>
  <c r="H146" i="6" a="1"/>
  <c r="H146" i="6" s="1"/>
  <c r="H154" i="6" a="1"/>
  <c r="H154" i="6" s="1"/>
  <c r="H162" i="6" a="1"/>
  <c r="H162" i="6" s="1"/>
  <c r="H170" i="6" a="1"/>
  <c r="H170" i="6" s="1"/>
  <c r="H155" i="6" a="1"/>
  <c r="H155" i="6" s="1"/>
  <c r="H163" i="6" a="1"/>
  <c r="H163" i="6" s="1"/>
  <c r="H156" i="6" a="1"/>
  <c r="H156" i="6" s="1"/>
  <c r="H80" i="6" a="1"/>
  <c r="H80" i="6" s="1"/>
  <c r="H144" i="6" a="1"/>
  <c r="H144" i="6" s="1"/>
  <c r="H33" i="6" a="1"/>
  <c r="H33" i="6" s="1"/>
  <c r="H97" i="6" a="1"/>
  <c r="H97" i="6" s="1"/>
  <c r="H161" i="6" a="1"/>
  <c r="H161" i="6" s="1"/>
  <c r="H10" i="6" a="1"/>
  <c r="H10" i="6" s="1"/>
  <c r="H18" i="6" a="1"/>
  <c r="H18" i="6" s="1"/>
  <c r="H27" i="6" a="1"/>
  <c r="H27" i="6" s="1"/>
  <c r="H35" i="6" a="1"/>
  <c r="H35" i="6" s="1"/>
  <c r="H43" i="6" a="1"/>
  <c r="H43" i="6" s="1"/>
  <c r="H51" i="6" a="1"/>
  <c r="H51" i="6" s="1"/>
  <c r="H59" i="6" a="1"/>
  <c r="H59" i="6" s="1"/>
  <c r="H67" i="6" a="1"/>
  <c r="H67" i="6" s="1"/>
  <c r="H75" i="6" a="1"/>
  <c r="H75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1" i="6" a="1"/>
  <c r="H131" i="6" s="1"/>
  <c r="H139" i="6" a="1"/>
  <c r="H139" i="6" s="1"/>
  <c r="H147" i="6" a="1"/>
  <c r="H147" i="6" s="1"/>
  <c r="H171" i="6" a="1"/>
  <c r="H171" i="6" s="1"/>
  <c r="H172" i="6" a="1"/>
  <c r="H172" i="6" s="1"/>
  <c r="H96" i="6" a="1"/>
  <c r="H96" i="6" s="1"/>
  <c r="H168" i="6" a="1"/>
  <c r="H168" i="6" s="1"/>
  <c r="H57" i="6" a="1"/>
  <c r="H57" i="6" s="1"/>
  <c r="H113" i="6" a="1"/>
  <c r="H113" i="6" s="1"/>
  <c r="H11" i="6" a="1"/>
  <c r="H11" i="6" s="1"/>
  <c r="H19" i="6" a="1"/>
  <c r="H19" i="6" s="1"/>
  <c r="H28" i="6" a="1"/>
  <c r="H28" i="6" s="1"/>
  <c r="H36" i="6" a="1"/>
  <c r="H36" i="6" s="1"/>
  <c r="H44" i="6" a="1"/>
  <c r="H44" i="6" s="1"/>
  <c r="H52" i="6" a="1"/>
  <c r="H52" i="6" s="1"/>
  <c r="H60" i="6" a="1"/>
  <c r="H60" i="6" s="1"/>
  <c r="H68" i="6" a="1"/>
  <c r="H68" i="6" s="1"/>
  <c r="H76" i="6" a="1"/>
  <c r="H76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2" i="6" a="1"/>
  <c r="H132" i="6" s="1"/>
  <c r="H140" i="6" a="1"/>
  <c r="H140" i="6" s="1"/>
  <c r="H148" i="6" a="1"/>
  <c r="H148" i="6" s="1"/>
  <c r="H164" i="6" a="1"/>
  <c r="H164" i="6" s="1"/>
  <c r="H104" i="6" a="1"/>
  <c r="H104" i="6" s="1"/>
  <c r="H160" i="6" a="1"/>
  <c r="H160" i="6" s="1"/>
  <c r="H65" i="6" a="1"/>
  <c r="H65" i="6" s="1"/>
  <c r="H153" i="6" a="1"/>
  <c r="H153" i="6" s="1"/>
  <c r="H12" i="6" a="1"/>
  <c r="H12" i="6" s="1"/>
  <c r="H21" i="6" a="1"/>
  <c r="H21" i="6" s="1"/>
  <c r="H29" i="6" a="1"/>
  <c r="H29" i="6" s="1"/>
  <c r="H37" i="6" a="1"/>
  <c r="H37" i="6" s="1"/>
  <c r="H45" i="6" a="1"/>
  <c r="H45" i="6" s="1"/>
  <c r="H53" i="6" a="1"/>
  <c r="H53" i="6" s="1"/>
  <c r="H61" i="6" a="1"/>
  <c r="H61" i="6" s="1"/>
  <c r="H69" i="6" a="1"/>
  <c r="H69" i="6" s="1"/>
  <c r="H77" i="6" a="1"/>
  <c r="H77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3" i="6" a="1"/>
  <c r="H133" i="6" s="1"/>
  <c r="H141" i="6" a="1"/>
  <c r="H141" i="6" s="1"/>
  <c r="H149" i="6" a="1"/>
  <c r="H149" i="6" s="1"/>
  <c r="H157" i="6" a="1"/>
  <c r="H157" i="6" s="1"/>
  <c r="H165" i="6" a="1"/>
  <c r="H165" i="6" s="1"/>
  <c r="H151" i="6" a="1"/>
  <c r="H151" i="6" s="1"/>
  <c r="H167" i="6" a="1"/>
  <c r="H167" i="6" s="1"/>
  <c r="H40" i="6" a="1"/>
  <c r="H40" i="6" s="1"/>
  <c r="H56" i="6" a="1"/>
  <c r="H56" i="6" s="1"/>
  <c r="H88" i="6" a="1"/>
  <c r="H88" i="6" s="1"/>
  <c r="H136" i="6" a="1"/>
  <c r="H136" i="6" s="1"/>
  <c r="H25" i="6" a="1"/>
  <c r="H25" i="6" s="1"/>
  <c r="H81" i="6" a="1"/>
  <c r="H81" i="6" s="1"/>
  <c r="H137" i="6" a="1"/>
  <c r="H137" i="6" s="1"/>
  <c r="H169" i="6" a="1"/>
  <c r="H169" i="6" s="1"/>
  <c r="H13" i="6" a="1"/>
  <c r="H13" i="6" s="1"/>
  <c r="H22" i="6" a="1"/>
  <c r="H22" i="6" s="1"/>
  <c r="H30" i="6" a="1"/>
  <c r="H30" i="6" s="1"/>
  <c r="H38" i="6" a="1"/>
  <c r="H38" i="6" s="1"/>
  <c r="H46" i="6" a="1"/>
  <c r="H46" i="6" s="1"/>
  <c r="H54" i="6" a="1"/>
  <c r="H54" i="6" s="1"/>
  <c r="H62" i="6" a="1"/>
  <c r="H62" i="6" s="1"/>
  <c r="H70" i="6" a="1"/>
  <c r="H70" i="6" s="1"/>
  <c r="H78" i="6" a="1"/>
  <c r="H78" i="6" s="1"/>
  <c r="H86" i="6" a="1"/>
  <c r="H86" i="6" s="1"/>
  <c r="H94" i="6" a="1"/>
  <c r="H94" i="6" s="1"/>
  <c r="H102" i="6" a="1"/>
  <c r="H102" i="6" s="1"/>
  <c r="H110" i="6" a="1"/>
  <c r="H110" i="6" s="1"/>
  <c r="H118" i="6" a="1"/>
  <c r="H118" i="6" s="1"/>
  <c r="H126" i="6" a="1"/>
  <c r="H126" i="6" s="1"/>
  <c r="H134" i="6" a="1"/>
  <c r="H134" i="6" s="1"/>
  <c r="H142" i="6" a="1"/>
  <c r="H142" i="6" s="1"/>
  <c r="H150" i="6" a="1"/>
  <c r="H150" i="6" s="1"/>
  <c r="H158" i="6" a="1"/>
  <c r="H158" i="6" s="1"/>
  <c r="H166" i="6" a="1"/>
  <c r="H166" i="6" s="1"/>
  <c r="H143" i="6" a="1"/>
  <c r="H143" i="6" s="1"/>
  <c r="H24" i="6" a="1"/>
  <c r="H24" i="6" s="1"/>
  <c r="H48" i="6" a="1"/>
  <c r="H48" i="6" s="1"/>
  <c r="H72" i="6" a="1"/>
  <c r="H72" i="6" s="1"/>
  <c r="H112" i="6" a="1"/>
  <c r="H112" i="6" s="1"/>
  <c r="H152" i="6" a="1"/>
  <c r="H152" i="6" s="1"/>
  <c r="H41" i="6" a="1"/>
  <c r="H41" i="6" s="1"/>
  <c r="H89" i="6" a="1"/>
  <c r="H89" i="6" s="1"/>
  <c r="H129" i="6" a="1"/>
  <c r="H129" i="6" s="1"/>
  <c r="H14" i="6" a="1"/>
  <c r="H14" i="6" s="1"/>
  <c r="H23" i="6" a="1"/>
  <c r="H23" i="6" s="1"/>
  <c r="H31" i="6" a="1"/>
  <c r="H31" i="6" s="1"/>
  <c r="H39" i="6" a="1"/>
  <c r="H39" i="6" s="1"/>
  <c r="H47" i="6" a="1"/>
  <c r="H47" i="6" s="1"/>
  <c r="H55" i="6" a="1"/>
  <c r="H55" i="6" s="1"/>
  <c r="H63" i="6" a="1"/>
  <c r="H63" i="6" s="1"/>
  <c r="H71" i="6" a="1"/>
  <c r="H71" i="6" s="1"/>
  <c r="H79" i="6" a="1"/>
  <c r="H79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5" i="6" a="1"/>
  <c r="H135" i="6" s="1"/>
  <c r="H159" i="6" a="1"/>
  <c r="H159" i="6" s="1"/>
  <c r="H32" i="6" a="1"/>
  <c r="H32" i="6" s="1"/>
  <c r="H64" i="6" a="1"/>
  <c r="H64" i="6" s="1"/>
  <c r="H120" i="6" a="1"/>
  <c r="H120" i="6" s="1"/>
  <c r="H16" i="6" a="1"/>
  <c r="H16" i="6" s="1"/>
  <c r="H73" i="6" a="1"/>
  <c r="H73" i="6" s="1"/>
  <c r="H121" i="6" a="1"/>
  <c r="H121" i="6" s="1"/>
  <c r="H145" i="6" a="1"/>
  <c r="H145" i="6" s="1"/>
  <c r="H15" i="6" a="1"/>
  <c r="H15" i="6" s="1"/>
  <c r="H128" i="6" a="1"/>
  <c r="H128" i="6" s="1"/>
  <c r="H49" i="6" a="1"/>
  <c r="H49" i="6" s="1"/>
  <c r="H105" i="6" a="1"/>
  <c r="H105" i="6" s="1"/>
  <c r="K93" i="11"/>
  <c r="K92" i="11"/>
  <c r="K91" i="11"/>
  <c r="K90" i="11"/>
  <c r="K89" i="11"/>
  <c r="K88" i="11"/>
  <c r="K87" i="11"/>
  <c r="F25" i="11" l="1"/>
  <c r="F24" i="11"/>
  <c r="F23" i="11"/>
  <c r="F22" i="11"/>
  <c r="G26" i="11"/>
  <c r="E26" i="11"/>
  <c r="D26" i="11"/>
  <c r="K111" i="11" l="1"/>
  <c r="K112" i="11"/>
  <c r="K107" i="11"/>
  <c r="K109" i="11"/>
  <c r="K110" i="11"/>
  <c r="K108" i="11"/>
  <c r="K106" i="11"/>
  <c r="F26" i="11"/>
  <c r="K69" i="11"/>
  <c r="K70" i="11"/>
  <c r="K71" i="11"/>
  <c r="K72" i="11"/>
  <c r="K73" i="11"/>
  <c r="K74" i="11"/>
  <c r="K55" i="11" l="1"/>
  <c r="K54" i="11"/>
  <c r="K53" i="11"/>
  <c r="K52" i="11"/>
  <c r="K51" i="11"/>
  <c r="K49" i="11"/>
  <c r="K50" i="11" l="1"/>
  <c r="K68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<sst xmlns="http://schemas.openxmlformats.org/spreadsheetml/2006/main" count="3816" uniqueCount="440">
  <si>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</si>
  <si>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</si>
  <si>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</si>
  <si>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</si>
  <si>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</si>
  <si>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</si>
  <si>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</si>
  <si>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</si>
  <si>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</si>
  <si>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</si>
  <si>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</si>
  <si>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</si>
  <si>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</si>
  <si>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</si>
  <si>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</si>
  <si>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</si>
  <si>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</si>
  <si>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</si>
  <si>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</si>
  <si>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</si>
  <si>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</si>
  <si>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</si>
  <si>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</si>
  <si>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</si>
  <si>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</si>
  <si>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</si>
  <si>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</si>
  <si>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</si>
  <si>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</si>
  <si>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</si>
  <si>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</si>
  <si>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</si>
  <si>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</si>
  <si>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</si>
  <si>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</si>
  <si>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</si>
  <si>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</si>
  <si>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</si>
  <si>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</si>
  <si>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</si>
  <si>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</si>
  <si>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</si>
  <si>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</si>
  <si>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</si>
  <si>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</si>
  <si>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</si>
  <si>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</si>
  <si>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</si>
  <si>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</si>
  <si>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</si>
  <si>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</si>
  <si>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</si>
  <si>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</si>
  <si>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</si>
  <si>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</si>
  <si>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</si>
  <si>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</si>
  <si>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</si>
  <si>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</si>
  <si>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</si>
  <si>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</si>
  <si>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</si>
  <si>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</si>
  <si>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</si>
  <si>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</si>
  <si>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</si>
  <si>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</si>
  <si>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</si>
  <si>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</si>
  <si>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</si>
  <si>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</si>
  <si>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</si>
  <si>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</si>
  <si>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</si>
  <si>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</si>
  <si>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</si>
  <si>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</si>
  <si>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</si>
  <si>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</si>
  <si>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</si>
  <si>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</si>
  <si>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</si>
  <si>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</si>
  <si>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</si>
  <si>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</si>
  <si>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</si>
  <si>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</si>
  <si>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</si>
  <si>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</si>
  <si>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</si>
  <si>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</si>
  <si>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</si>
  <si>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</si>
  <si>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</si>
  <si>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</si>
  <si>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</si>
  <si>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</si>
  <si>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</si>
  <si>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</si>
  <si>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</si>
  <si>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</si>
  <si>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</si>
  <si>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</si>
  <si>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</si>
  <si>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</si>
  <si>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</si>
  <si>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</si>
  <si>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</si>
  <si>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</si>
  <si>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</si>
  <si>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</si>
  <si>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</si>
  <si>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</si>
  <si>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</si>
  <si>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</si>
  <si>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</si>
  <si>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</si>
  <si>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</si>
  <si>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</si>
  <si>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</si>
  <si>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</si>
  <si>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</si>
  <si>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</si>
  <si>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</si>
  <si>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</si>
  <si>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</si>
  <si>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</si>
  <si>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</si>
  <si>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</si>
  <si>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</si>
  <si>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</si>
  <si>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</si>
  <si>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</si>
  <si>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</si>
  <si>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</si>
  <si>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</si>
  <si>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</si>
  <si>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</si>
  <si>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</si>
  <si>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</si>
  <si>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</si>
  <si>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</si>
  <si>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</si>
  <si>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</si>
  <si>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</si>
  <si>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</si>
  <si>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</si>
  <si>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</si>
  <si>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</si>
  <si>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</si>
  <si>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</si>
  <si>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</si>
  <si>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</si>
  <si>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</si>
  <si>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</si>
  <si>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</si>
  <si>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</si>
  <si>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</si>
  <si>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</si>
  <si>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</si>
  <si>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</si>
  <si>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</si>
  <si>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</si>
  <si>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</si>
  <si>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</si>
  <si>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</si>
  <si>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</si>
  <si>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</si>
  <si>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</si>
  <si>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</si>
  <si>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</si>
  <si>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</si>
  <si>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</si>
  <si>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</si>
  <si>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</si>
  <si>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</si>
  <si>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</si>
  <si>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</si>
  <si>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</si>
  <si>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</si>
  <si>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</si>
  <si>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</si>
  <si>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</si>
  <si>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</si>
  <si>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</si>
  <si>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</si>
  <si>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</si>
  <si>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</si>
  <si>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</si>
  <si>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</si>
  <si>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</si>
  <si>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</si>
  <si>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</si>
  <si>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</si>
  <si>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</si>
  <si>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</si>
  <si>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</si>
  <si>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</si>
  <si>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</si>
  <si>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</si>
  <si>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</si>
  <si>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</si>
  <si>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</si>
  <si>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</si>
  <si>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</si>
  <si>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</si>
  <si>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</si>
  <si>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</si>
  <si>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</si>
  <si>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</si>
  <si>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</si>
  <si>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</si>
  <si>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</si>
  <si>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</si>
  <si>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</si>
  <si>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</si>
  <si>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</si>
  <si>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</si>
  <si>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</si>
  <si>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</si>
  <si>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</si>
  <si>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</si>
  <si>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</si>
  <si>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</si>
  <si>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</si>
  <si>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</si>
  <si>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</si>
  <si>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</si>
  <si>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</si>
  <si>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</si>
  <si>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</si>
  <si>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</si>
  <si>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</si>
  <si>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</si>
  <si>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</si>
  <si>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</si>
  <si>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</si>
  <si>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</si>
  <si>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</si>
  <si>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</si>
  <si>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</si>
  <si>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</si>
  <si>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</si>
  <si>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</si>
  <si>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</si>
  <si>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</si>
  <si>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</si>
  <si>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</si>
  <si>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</si>
  <si>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</si>
  <si>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</si>
  <si>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</si>
  <si>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</si>
  <si>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</si>
  <si>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</si>
  <si>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</si>
  <si>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</si>
  <si>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</si>
  <si>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</si>
  <si>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</si>
  <si>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</si>
  <si>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</si>
  <si>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</si>
  <si>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</si>
  <si>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</si>
  <si>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</si>
  <si>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</si>
  <si>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</si>
  <si>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</si>
  <si>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</si>
  <si>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</si>
  <si>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</si>
  <si>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</si>
  <si>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</si>
  <si>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</si>
  <si>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</si>
  <si>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</si>
  <si>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</si>
  <si>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</si>
  <si>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</si>
  <si>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</si>
  <si>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</si>
  <si>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</si>
  <si>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</si>
  <si>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</si>
  <si>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</si>
  <si>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</si>
  <si>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</si>
  <si>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</si>
  <si>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</si>
  <si>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</si>
  <si>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</si>
  <si>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</si>
  <si>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</si>
  <si>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</si>
  <si>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</si>
  <si>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</si>
  <si>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</si>
  <si>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</si>
  <si>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</si>
  <si>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</si>
  <si>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</si>
  <si>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</si>
  <si>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</si>
  <si>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</si>
  <si>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</si>
  <si>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</si>
  <si>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</si>
  <si>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</si>
  <si>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</si>
  <si>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</si>
  <si>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</si>
  <si>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</si>
  <si>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</si>
  <si>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</si>
  <si>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</si>
  <si>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</si>
  <si>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</si>
  <si>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</si>
  <si>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</si>
  <si>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</si>
  <si>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</si>
  <si>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</si>
  <si>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</si>
  <si>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</si>
  <si>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</si>
  <si>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</si>
  <si>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</si>
  <si>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</si>
  <si>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</si>
  <si>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</si>
  <si>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</si>
  <si>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</si>
  <si>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</si>
  <si>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</si>
  <si>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</si>
  <si>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</si>
  <si>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</si>
  <si>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</si>
  <si>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</si>
  <si>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</si>
  <si>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</si>
  <si>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</si>
  <si>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</si>
  <si>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</si>
  <si>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</si>
  <si>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</si>
  <si>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</si>
  <si>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</si>
  <si>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</si>
  <si>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</si>
  <si>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</si>
  <si>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</si>
  <si>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</si>
  <si>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</si>
  <si>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</si>
  <si>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</si>
  <si>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</si>
  <si>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</si>
  <si>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</si>
  <si>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</si>
  <si>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</si>
  <si>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</si>
  <si>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</si>
  <si>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</si>
  <si>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</si>
  <si>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</si>
  <si>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</si>
  <si>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</si>
  <si>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</si>
  <si>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</si>
  <si>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</si>
  <si>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</si>
  <si>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</si>
  <si>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</si>
  <si>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</si>
  <si>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</si>
  <si>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</si>
  <si>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</si>
  <si>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</si>
  <si>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</si>
  <si>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</si>
  <si>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</si>
  <si>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</si>
  <si>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</si>
  <si>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</si>
  <si>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</si>
  <si>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</si>
  <si>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</si>
  <si>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</si>
  <si>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</si>
  <si>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Já foi disponibilizado no âmbito Pilar2, por isso já pode ser testado.</t>
  </si>
  <si>
    <t>TBD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</si>
  <si>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</si>
  <si>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</si>
  <si>
    <t>Dts Anteriores</t>
  </si>
  <si>
    <t>OK</t>
  </si>
  <si>
    <t>NOK</t>
  </si>
  <si>
    <t>Enviadas incidências no dia 15/jul</t>
  </si>
  <si>
    <t>nok</t>
  </si>
  <si>
    <t>Tem várias incidências</t>
  </si>
  <si>
    <t>Ainda não foi entregue</t>
  </si>
  <si>
    <t>Pendente de outras areas</t>
  </si>
  <si>
    <t xml:space="preserve">8. Pendente </t>
  </si>
  <si>
    <t>Pendente</t>
  </si>
  <si>
    <t>em análise</t>
  </si>
  <si>
    <t>Enviadas incidências no dia 22/jul</t>
  </si>
  <si>
    <t>1 NOK vs Simulação e 24804 NOK vs Pilar3 (Pilar 3 tem tudo com o 999999999999)</t>
  </si>
  <si>
    <t>Existem 24804 registos para os quais temos valor em GD mas Pilar3 tem 99999999999</t>
  </si>
  <si>
    <t>Enviadas incidências no dia 23/jul</t>
  </si>
  <si>
    <t># Nok</t>
  </si>
  <si>
    <t>Observações</t>
  </si>
  <si>
    <t>1. Incidências detetadas na LT002 a jun/25</t>
  </si>
  <si>
    <t>Status Atual | Jun25</t>
  </si>
  <si>
    <t>Status Anterior | Mar25</t>
  </si>
  <si>
    <t>tem NOK</t>
  </si>
  <si>
    <t>243 NOK</t>
  </si>
  <si>
    <t>242 NOK</t>
  </si>
  <si>
    <t>478 NOK</t>
  </si>
  <si>
    <t>716 NOK</t>
  </si>
  <si>
    <t>480 NOK</t>
  </si>
  <si>
    <t>139 NOK</t>
  </si>
  <si>
    <t>125 NOK</t>
  </si>
  <si>
    <t>596 NOK</t>
  </si>
  <si>
    <t>239 NOK</t>
  </si>
  <si>
    <t>1378 NOK</t>
  </si>
  <si>
    <t>9. Retestado c/ incidências</t>
  </si>
  <si>
    <t>Campo retestado pela equipa Neyond no qual foram identificadas incidências.</t>
  </si>
  <si>
    <t>Campo pendente de correções em outros âmbitos.</t>
  </si>
  <si>
    <t>validar pois os NOK é só em cancelados</t>
  </si>
  <si>
    <t>243 NOK (nos temos 0 e IT tem 999999, uma vez que a bsnss_area para eles está MISS)</t>
  </si>
  <si>
    <t>38332 NOK</t>
  </si>
  <si>
    <t>Retestado c/ incidências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</si>
  <si>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Concluído", "4. Em Correção" e "9. Restestado c/ incidências".</t>
    </r>
  </si>
  <si>
    <t>Sumário Executivo | 18/jul a 29/jul</t>
  </si>
  <si>
    <t>Relativamente à execução de junho, dos 51 campos, foram detetadas incidências em 16 campos e encontram-se 21 em teste.
Adicionalmente, foram detetados 236 contratos duplicados.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</si>
  <si>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O universo encontra-se coerente entre o âmbito GD e Pilar 3.
O campo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apresenta alguns registos diferentes entre o âmbito GD e Pilar 3.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</si>
  <si>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26 campos em re-teste para o mês de junho.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Ajustar a simulação para a data de referência de junho/2025.    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de todos os campos para o mês de reporte de junho.</t>
    </r>
  </si>
  <si>
    <t>33 471 NOK - apenas em universo comum com PM</t>
  </si>
  <si>
    <t>Maior parte dos NOK é por causa das diferenças na bsnss_area, apenas temos 1 NOK --&gt; a validar com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</si>
</sst>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FFC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DCCD5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10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6" fillId="0" borderId="1" xfId="0" applyNumberFormat="1" applyFont="1" applyBorder="1"/>
    <xf numFmtId="16" fontId="36" fillId="0" borderId="1" xfId="0" applyNumberFormat="1" applyFont="1" applyBorder="1" applyAlignment="1">
      <alignment horizontal="right" vertical="center"/>
    </xf>
    <xf numFmtId="16" fontId="36" fillId="0" borderId="2" xfId="0" applyNumberFormat="1" applyFont="1" applyBorder="1" applyAlignment="1">
      <alignment horizontal="right" vertical="center"/>
    </xf>
    <xf numFmtId="0" fontId="36" fillId="0" borderId="0" xfId="0" applyFont="1"/>
    <xf numFmtId="3" fontId="36" fillId="0" borderId="1" xfId="0" applyNumberFormat="1" applyFont="1" applyBorder="1"/>
    <xf numFmtId="0" fontId="36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7" fillId="0" borderId="49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38" fillId="17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39" fillId="0" borderId="0" xfId="0" applyFont="1"/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0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16" fontId="3" fillId="16" borderId="1" xfId="0" applyNumberFormat="1" applyFont="1" applyFill="1" applyBorder="1" applyAlignment="1">
      <alignment horizontal="left" vertical="center"/>
    </xf>
    <xf numFmtId="0" fontId="4" fillId="2" borderId="49" xfId="0" applyFont="1" applyFill="1" applyBorder="1" applyAlignment="1">
      <alignment vertical="center"/>
    </xf>
    <xf numFmtId="0" fontId="4" fillId="23" borderId="49" xfId="0" applyFont="1" applyFill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50" xfId="0" applyFont="1" applyFill="1" applyBorder="1" applyAlignment="1">
      <alignment horizontal="center" vertical="center"/>
    </xf>
    <xf numFmtId="0" fontId="39" fillId="0" borderId="8" xfId="0" applyFont="1" applyBorder="1"/>
    <xf numFmtId="0" fontId="0" fillId="0" borderId="8" xfId="0" applyBorder="1"/>
    <xf numFmtId="0" fontId="4" fillId="24" borderId="49" xfId="0" applyFont="1" applyFill="1" applyBorder="1" applyAlignment="1">
      <alignment vertical="center"/>
    </xf>
    <xf numFmtId="0" fontId="18" fillId="0" borderId="61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26" fillId="5" borderId="0" xfId="0" applyFont="1" applyFill="1" applyAlignment="1">
      <alignment horizontal="center" vertical="center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43" fillId="3" borderId="49" xfId="0" applyFont="1" applyFill="1" applyBorder="1" applyAlignment="1">
      <alignment horizontal="left" vertical="center" wrapText="1" inden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vertical="center"/>
    </xf>
    <xf numFmtId="0" fontId="3" fillId="25" borderId="2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7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DDD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</dxfs>
  <tableStyles count="0" defaultTableStyle="TableStyleMedium2" defaultPivotStyle="PivotStyleLight16"/>
  <colors>
    <mruColors>
      <color rgb="FF1DCCD5"/>
      <color rgb="FF13868C"/>
      <color rgb="FF993366"/>
      <color rgb="FFFFDDDD"/>
      <color rgb="FF62B967"/>
      <color rgb="FF1CC6CE"/>
      <color rgb="FFFFE084"/>
      <color rgb="FFE6AC00"/>
      <color rgb="FFC00000"/>
      <color rgb="FFFF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[BS_TestesGD_Fase2_MacroPlano_v1.15.xlsx]Aux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1DCC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5. Em Re-teste</c:v>
                </c:pt>
                <c:pt idx="2">
                  <c:v>9. Retestado c/ incidências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14</c:v>
                </c:pt>
                <c:pt idx="1">
                  <c:v>21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[BS_TestesGD_Fase2_MacroPlano_v1.15.xlsx]Aux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1DCC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9. Retestado c/ incidências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[BS_TestesGD_Fase2_MacroPlano_v1.15.xlsx]Aux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[BS_TestesGD_Fase2_MacroPlano_v1.15.xlsx]Aux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1659500</xdr:colOff>
      <xdr:row>0</xdr:row>
      <xdr:rowOff>135083</xdr:rowOff>
    </xdr:from>
    <xdr:to>
      <xdr:col>4</xdr:col>
      <xdr:colOff>94796</xdr:colOff>
      <xdr:row>3</xdr:row>
      <xdr:rowOff>25400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1367" y="135083"/>
          <a:ext cx="1085362" cy="4999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160867</xdr:colOff>
      <xdr:row>0</xdr:row>
      <xdr:rowOff>194734</xdr:rowOff>
    </xdr:from>
    <xdr:to>
      <xdr:col>2</xdr:col>
      <xdr:colOff>1270000</xdr:colOff>
      <xdr:row>2</xdr:row>
      <xdr:rowOff>172854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0867" y="194734"/>
          <a:ext cx="1651000" cy="384520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63</xdr:row>
      <xdr:rowOff>0</xdr:rowOff>
    </xdr:from>
    <xdr:to>
      <xdr:col>6</xdr:col>
      <xdr:colOff>542925</xdr:colOff>
      <xdr:row>63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65</xdr:row>
      <xdr:rowOff>186690</xdr:rowOff>
    </xdr:from>
    <xdr:to>
      <xdr:col>5</xdr:col>
      <xdr:colOff>0</xdr:colOff>
      <xdr:row>75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67</xdr:row>
      <xdr:rowOff>59690</xdr:rowOff>
    </xdr:from>
    <xdr:to>
      <xdr:col>5</xdr:col>
      <xdr:colOff>627722</xdr:colOff>
      <xdr:row>73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07835" y="9577070"/>
          <a:ext cx="112767" cy="144077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105</xdr:row>
      <xdr:rowOff>55880</xdr:rowOff>
    </xdr:from>
    <xdr:to>
      <xdr:col>5</xdr:col>
      <xdr:colOff>631532</xdr:colOff>
      <xdr:row>112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4025" y="17619980"/>
          <a:ext cx="120387" cy="149241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104</xdr:row>
      <xdr:rowOff>22225</xdr:rowOff>
    </xdr:from>
    <xdr:to>
      <xdr:col>5</xdr:col>
      <xdr:colOff>71978</xdr:colOff>
      <xdr:row>115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86</xdr:row>
      <xdr:rowOff>55880</xdr:rowOff>
    </xdr:from>
    <xdr:to>
      <xdr:col>5</xdr:col>
      <xdr:colOff>631532</xdr:colOff>
      <xdr:row>93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4025" y="13596620"/>
          <a:ext cx="120387" cy="149241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84</xdr:row>
      <xdr:rowOff>149227</xdr:rowOff>
    </xdr:from>
    <xdr:to>
      <xdr:col>5</xdr:col>
      <xdr:colOff>531</xdr:colOff>
      <xdr:row>94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36702" y="1470661"/>
          <a:ext cx="1583576" cy="8981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62,3%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8720" y="1470661"/>
          <a:ext cx="1575533" cy="8981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37,7%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74</xdr:row>
      <xdr:rowOff>56999</xdr:rowOff>
    </xdr:from>
    <xdr:to>
      <xdr:col>5</xdr:col>
      <xdr:colOff>635792</xdr:colOff>
      <xdr:row>74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93</xdr:row>
      <xdr:rowOff>82398</xdr:rowOff>
    </xdr:from>
    <xdr:to>
      <xdr:col>5</xdr:col>
      <xdr:colOff>635792</xdr:colOff>
      <xdr:row>93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112</xdr:row>
      <xdr:rowOff>90865</xdr:rowOff>
    </xdr:from>
    <xdr:to>
      <xdr:col>5</xdr:col>
      <xdr:colOff>644259</xdr:colOff>
      <xdr:row>112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56</xdr:row>
      <xdr:rowOff>65465</xdr:rowOff>
    </xdr:from>
    <xdr:to>
      <xdr:col>5</xdr:col>
      <xdr:colOff>635792</xdr:colOff>
      <xdr:row>56</xdr:row>
      <xdr:rowOff>179051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FCDB60-770D-4E34-810A-212825D03210}"/>
            </a:ext>
          </a:extLst>
        </xdr:cNvPr>
        <xdr:cNvSpPr>
          <a:spLocks noChangeAspect="1"/>
        </xdr:cNvSpPr>
      </xdr:nvSpPr>
      <xdr:spPr>
        <a:xfrm>
          <a:off x="4522759" y="10310132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75</xdr:row>
      <xdr:rowOff>82398</xdr:rowOff>
    </xdr:from>
    <xdr:to>
      <xdr:col>5</xdr:col>
      <xdr:colOff>644259</xdr:colOff>
      <xdr:row>75</xdr:row>
      <xdr:rowOff>195984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A5257BF1-1DBA-4C1B-A2A3-77CE36C3C9FC}"/>
            </a:ext>
          </a:extLst>
        </xdr:cNvPr>
        <xdr:cNvSpPr>
          <a:spLocks noChangeAspect="1"/>
        </xdr:cNvSpPr>
      </xdr:nvSpPr>
      <xdr:spPr>
        <a:xfrm>
          <a:off x="4531226" y="14340265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94</xdr:row>
      <xdr:rowOff>76200</xdr:rowOff>
    </xdr:from>
    <xdr:to>
      <xdr:col>5</xdr:col>
      <xdr:colOff>642700</xdr:colOff>
      <xdr:row>94</xdr:row>
      <xdr:rowOff>189786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228B713-F43A-428D-B35B-C285B61D8A40}"/>
            </a:ext>
          </a:extLst>
        </xdr:cNvPr>
        <xdr:cNvSpPr>
          <a:spLocks noChangeAspect="1"/>
        </xdr:cNvSpPr>
      </xdr:nvSpPr>
      <xdr:spPr>
        <a:xfrm>
          <a:off x="4529667" y="18347267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113</xdr:row>
      <xdr:rowOff>93133</xdr:rowOff>
    </xdr:from>
    <xdr:to>
      <xdr:col>5</xdr:col>
      <xdr:colOff>642700</xdr:colOff>
      <xdr:row>113</xdr:row>
      <xdr:rowOff>206719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1B1F01ED-430C-4321-8870-7A1443025F1D}"/>
            </a:ext>
          </a:extLst>
        </xdr:cNvPr>
        <xdr:cNvSpPr>
          <a:spLocks noChangeAspect="1"/>
        </xdr:cNvSpPr>
      </xdr:nvSpPr>
      <xdr:spPr>
        <a:xfrm>
          <a:off x="4529667" y="22377400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67.617833564815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9">
        <s v="9. Retestado c/ incidências"/>
        <s v="5. Em Re-teste"/>
        <s v="1. Concluído"/>
        <s v="4. Em Correção" u="1"/>
        <s v="8. Pendente " u="1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1"/>
  </r>
  <r>
    <x v="0"/>
    <x v="3"/>
    <x v="0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1"/>
  </r>
  <r>
    <x v="0"/>
    <x v="9"/>
    <x v="1"/>
  </r>
  <r>
    <x v="0"/>
    <x v="10"/>
    <x v="1"/>
  </r>
  <r>
    <x v="0"/>
    <x v="11"/>
    <x v="0"/>
  </r>
  <r>
    <x v="0"/>
    <x v="12"/>
    <x v="2"/>
  </r>
  <r>
    <x v="0"/>
    <x v="13"/>
    <x v="2"/>
  </r>
  <r>
    <x v="0"/>
    <x v="14"/>
    <x v="2"/>
  </r>
  <r>
    <x v="0"/>
    <x v="15"/>
    <x v="1"/>
  </r>
  <r>
    <x v="0"/>
    <x v="16"/>
    <x v="2"/>
  </r>
  <r>
    <x v="0"/>
    <x v="17"/>
    <x v="1"/>
  </r>
  <r>
    <x v="0"/>
    <x v="18"/>
    <x v="1"/>
  </r>
  <r>
    <x v="0"/>
    <x v="19"/>
    <x v="1"/>
  </r>
  <r>
    <x v="0"/>
    <x v="20"/>
    <x v="1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0"/>
  </r>
  <r>
    <x v="0"/>
    <x v="31"/>
    <x v="0"/>
  </r>
  <r>
    <x v="0"/>
    <x v="32"/>
    <x v="0"/>
  </r>
  <r>
    <x v="0"/>
    <x v="33"/>
    <x v="2"/>
  </r>
  <r>
    <x v="0"/>
    <x v="34"/>
    <x v="1"/>
  </r>
  <r>
    <x v="0"/>
    <x v="35"/>
    <x v="2"/>
  </r>
  <r>
    <x v="0"/>
    <x v="36"/>
    <x v="1"/>
  </r>
  <r>
    <x v="0"/>
    <x v="37"/>
    <x v="0"/>
  </r>
  <r>
    <x v="0"/>
    <x v="38"/>
    <x v="0"/>
  </r>
  <r>
    <x v="0"/>
    <x v="39"/>
    <x v="1"/>
  </r>
  <r>
    <x v="0"/>
    <x v="40"/>
    <x v="0"/>
  </r>
  <r>
    <x v="0"/>
    <x v="41"/>
    <x v="0"/>
  </r>
  <r>
    <x v="0"/>
    <x v="42"/>
    <x v="1"/>
  </r>
  <r>
    <x v="0"/>
    <x v="43"/>
    <x v="0"/>
  </r>
  <r>
    <x v="0"/>
    <x v="44"/>
    <x v="0"/>
  </r>
  <r>
    <x v="0"/>
    <x v="45"/>
    <x v="1"/>
  </r>
  <r>
    <x v="0"/>
    <x v="46"/>
    <x v="0"/>
  </r>
  <r>
    <x v="0"/>
    <x v="47"/>
    <x v="1"/>
  </r>
  <r>
    <x v="0"/>
    <x v="48"/>
    <x v="0"/>
  </r>
  <r>
    <x v="0"/>
    <x v="49"/>
    <x v="1"/>
  </r>
  <r>
    <x v="0"/>
    <x v="50"/>
    <x v="0"/>
  </r>
  <r>
    <x v="0"/>
    <x v="51"/>
    <x v="0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0"/>
  </r>
  <r>
    <x v="1"/>
    <x v="55"/>
    <x v="2"/>
  </r>
  <r>
    <x v="1"/>
    <x v="56"/>
    <x v="2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1"/>
  </r>
  <r>
    <x v="3"/>
    <x v="0"/>
    <x v="1"/>
  </r>
  <r>
    <x v="3"/>
    <x v="58"/>
    <x v="1"/>
  </r>
  <r>
    <x v="3"/>
    <x v="59"/>
    <x v="1"/>
  </r>
  <r>
    <x v="3"/>
    <x v="60"/>
    <x v="1"/>
  </r>
  <r>
    <x v="3"/>
    <x v="33"/>
    <x v="2"/>
  </r>
  <r>
    <x v="3"/>
    <x v="35"/>
    <x v="2"/>
  </r>
  <r>
    <x v="3"/>
    <x v="5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2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2"/>
        <item m="1" x="7"/>
        <item m="1" x="6"/>
        <item m="1" x="8"/>
        <item m="1" x="5"/>
        <item m="1" x="3"/>
        <item x="1"/>
        <item m="1" x="4"/>
        <item x="0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4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8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2"/>
        <item m="1" x="7"/>
        <item m="1" x="6"/>
        <item m="1" x="8"/>
        <item m="1" x="5"/>
        <item m="1" x="3"/>
        <item x="1"/>
        <item m="1" x="4"/>
        <item x="0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2"/>
        <item m="1" x="7"/>
        <item m="1" x="6"/>
        <item m="1" x="8"/>
        <item m="1" x="5"/>
        <item m="1" x="3"/>
        <item x="1"/>
        <item m="1" x="4"/>
        <item x="0"/>
        <item t="default"/>
      </items>
    </pivotField>
  </pivotFields>
  <rowFields count="1">
    <field x="2"/>
  </rowFields>
  <rowItems count="3">
    <i>
      <x/>
    </i>
    <i>
      <x v="6"/>
    </i>
    <i>
      <x v="8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9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2"/>
        <item m="1" x="7"/>
        <item m="1" x="6"/>
        <item m="1" x="8"/>
        <item m="1" x="5"/>
        <item m="1" x="3"/>
        <item x="1"/>
        <item m="1" x="4"/>
        <item x="0"/>
        <item t="default"/>
      </items>
    </pivotField>
  </pivotFields>
  <rowFields count="1">
    <field x="2"/>
  </rowFields>
  <rowItems count="2">
    <i>
      <x/>
    </i>
    <i>
      <x v="8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0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3"/>
  <sheetViews>
    <sheetView showGridLines="0" topLeftCell="B98" zoomScaleNormal="100" workbookViewId="0">
      <selection activeCell="I110" sqref="I110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50" width="9.5546875" style="135" hidden="1" customWidth="1"/>
    <col min="51" max="16384" width="0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434</v>
      </c>
    </row>
    <row r="8" spans="1:50" ht="6.9" customHeight="1"/>
    <row r="9" spans="1:50" ht="13.95" customHeight="1">
      <c r="B9" s="171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3"/>
    </row>
    <row r="10" spans="1:50" ht="13.95" customHeight="1">
      <c r="B10" s="180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6"/>
    </row>
    <row r="11" spans="1:50" ht="13.95" customHeight="1">
      <c r="B11" s="180"/>
      <c r="C11" s="175"/>
      <c r="D11" s="175"/>
      <c r="E11" s="175"/>
      <c r="F11" s="175"/>
      <c r="G11" s="175"/>
      <c r="H11" s="175"/>
      <c r="I11" s="175"/>
      <c r="J11" s="187"/>
      <c r="K11" s="175"/>
      <c r="L11" s="175"/>
      <c r="M11" s="175"/>
      <c r="N11" s="175"/>
      <c r="O11" s="175"/>
      <c r="P11" s="175"/>
      <c r="Q11" s="175"/>
      <c r="R11" s="175"/>
      <c r="S11" s="176"/>
    </row>
    <row r="12" spans="1:50" ht="13.95" customHeight="1">
      <c r="B12" s="180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6"/>
    </row>
    <row r="13" spans="1:50" ht="13.95" customHeight="1">
      <c r="B13" s="180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6"/>
    </row>
    <row r="14" spans="1:50" ht="13.95" customHeight="1">
      <c r="B14" s="180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6"/>
    </row>
    <row r="15" spans="1:50" ht="13.95" customHeight="1">
      <c r="B15" s="180"/>
      <c r="C15" s="231" t="s">
        <v>433</v>
      </c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6"/>
    </row>
    <row r="16" spans="1:50" ht="13.95" customHeight="1">
      <c r="B16" s="180"/>
      <c r="C16" s="231" t="s">
        <v>379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6"/>
    </row>
    <row r="17" spans="2:19" ht="13.95" customHeight="1">
      <c r="B17" s="180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</row>
    <row r="18" spans="2:19" ht="13.95" customHeight="1">
      <c r="B18" s="180"/>
      <c r="C18" s="184" t="s">
        <v>288</v>
      </c>
      <c r="D18" s="175"/>
      <c r="E18" s="175"/>
      <c r="F18" s="175"/>
      <c r="G18" s="175"/>
      <c r="H18" s="175"/>
      <c r="I18" s="187" t="s">
        <v>266</v>
      </c>
      <c r="J18" s="175"/>
      <c r="K18" s="175"/>
      <c r="L18" s="175"/>
      <c r="M18" s="175"/>
      <c r="N18" s="175"/>
      <c r="O18" s="175"/>
      <c r="P18" s="175"/>
      <c r="Q18" s="175"/>
      <c r="R18" s="175"/>
      <c r="S18" s="176"/>
    </row>
    <row r="19" spans="2:19" ht="7.2" customHeight="1">
      <c r="B19" s="180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6"/>
    </row>
    <row r="20" spans="2:19" ht="15.6" customHeight="1">
      <c r="B20" s="174"/>
      <c r="C20" s="175"/>
      <c r="D20" s="267" t="s">
        <v>375</v>
      </c>
      <c r="E20" s="267"/>
      <c r="F20" s="267"/>
      <c r="G20" s="256" t="s">
        <v>376</v>
      </c>
      <c r="H20" s="175"/>
      <c r="I20" s="258" t="s">
        <v>437</v>
      </c>
      <c r="J20" s="259"/>
      <c r="K20" s="259"/>
      <c r="L20" s="259"/>
      <c r="M20" s="259"/>
      <c r="N20" s="259"/>
      <c r="O20" s="259"/>
      <c r="P20" s="259"/>
      <c r="Q20" s="259"/>
      <c r="R20" s="260"/>
      <c r="S20" s="176"/>
    </row>
    <row r="21" spans="2:19">
      <c r="B21" s="174"/>
      <c r="C21" s="181" t="s">
        <v>80</v>
      </c>
      <c r="D21" s="183" t="s">
        <v>284</v>
      </c>
      <c r="E21" s="183" t="s">
        <v>246</v>
      </c>
      <c r="F21" s="183" t="s">
        <v>283</v>
      </c>
      <c r="G21" s="257"/>
      <c r="H21" s="175"/>
      <c r="I21" s="261"/>
      <c r="J21" s="262"/>
      <c r="K21" s="262"/>
      <c r="L21" s="262"/>
      <c r="M21" s="262"/>
      <c r="N21" s="262"/>
      <c r="O21" s="262"/>
      <c r="P21" s="262"/>
      <c r="Q21" s="262"/>
      <c r="R21" s="263"/>
      <c r="S21" s="176"/>
    </row>
    <row r="22" spans="2:19">
      <c r="B22" s="174"/>
      <c r="C22" s="198" t="s">
        <v>1</v>
      </c>
      <c r="D22" s="185">
        <f>43+8</f>
        <v>51</v>
      </c>
      <c r="E22" s="185">
        <f>43+8</f>
        <v>51</v>
      </c>
      <c r="F22" s="185">
        <f>E22-D22</f>
        <v>0</v>
      </c>
      <c r="G22" s="185">
        <f>COUNTIFS('Aux Gráficos'!$D$3:$D$75,"4. Em Correção",'Aux Gráficos'!$B$3:$B$75,'Status Resumo'!C22,'Aux Gráficos'!$C$3:$C$75,"&lt;&gt;"&amp;"UNIVERSO")</f>
        <v>0</v>
      </c>
      <c r="H22" s="175"/>
      <c r="I22" s="261"/>
      <c r="J22" s="262"/>
      <c r="K22" s="262"/>
      <c r="L22" s="262"/>
      <c r="M22" s="262"/>
      <c r="N22" s="262"/>
      <c r="O22" s="262"/>
      <c r="P22" s="262"/>
      <c r="Q22" s="262"/>
      <c r="R22" s="263"/>
      <c r="S22" s="176"/>
    </row>
    <row r="23" spans="2:19">
      <c r="B23" s="174"/>
      <c r="C23" s="198" t="s">
        <v>55</v>
      </c>
      <c r="D23" s="185">
        <v>7</v>
      </c>
      <c r="E23" s="185">
        <v>7</v>
      </c>
      <c r="F23" s="185">
        <f>E23-D23</f>
        <v>0</v>
      </c>
      <c r="G23" s="185">
        <f>COUNTIFS('Aux Gráficos'!$D$3:$D$75,"4. Em Correção",'Aux Gráficos'!$B$3:$B$75,'Status Resumo'!C23,'Aux Gráficos'!$C$3:$C$75,"&lt;&gt;"&amp;"UNIVERSO")</f>
        <v>0</v>
      </c>
      <c r="H23" s="175"/>
      <c r="I23" s="261"/>
      <c r="J23" s="262"/>
      <c r="K23" s="262"/>
      <c r="L23" s="262"/>
      <c r="M23" s="262"/>
      <c r="N23" s="262"/>
      <c r="O23" s="262"/>
      <c r="P23" s="262"/>
      <c r="Q23" s="262"/>
      <c r="R23" s="263"/>
      <c r="S23" s="176"/>
    </row>
    <row r="24" spans="2:19">
      <c r="B24" s="174"/>
      <c r="C24" s="198" t="s">
        <v>61</v>
      </c>
      <c r="D24" s="185">
        <v>5</v>
      </c>
      <c r="E24" s="185">
        <v>5</v>
      </c>
      <c r="F24" s="185">
        <f>E24-D24</f>
        <v>0</v>
      </c>
      <c r="G24" s="185">
        <f>COUNTIFS('Aux Gráficos'!$D$3:$D$75,"4. Em Correção",'Aux Gráficos'!$B$3:$B$75,'Status Resumo'!C24,'Aux Gráficos'!$C$3:$C$75,"&lt;&gt;"&amp;"UNIVERSO")</f>
        <v>0</v>
      </c>
      <c r="H24" s="175"/>
      <c r="I24" s="261"/>
      <c r="J24" s="262"/>
      <c r="K24" s="262"/>
      <c r="L24" s="262"/>
      <c r="M24" s="262"/>
      <c r="N24" s="262"/>
      <c r="O24" s="262"/>
      <c r="P24" s="262"/>
      <c r="Q24" s="262"/>
      <c r="R24" s="263"/>
      <c r="S24" s="176"/>
    </row>
    <row r="25" spans="2:19">
      <c r="B25" s="174"/>
      <c r="C25" s="198" t="s">
        <v>63</v>
      </c>
      <c r="D25" s="185">
        <v>6</v>
      </c>
      <c r="E25" s="185">
        <v>6</v>
      </c>
      <c r="F25" s="185">
        <f>E25-D25</f>
        <v>0</v>
      </c>
      <c r="G25" s="185">
        <f>COUNTIFS('Aux Gráficos'!$D$3:$D$75,"4. Em Correção",'Aux Gráficos'!$B$3:$B$75,'Status Resumo'!C25,'Aux Gráficos'!$C$3:$C$75,"&lt;&gt;"&amp;"UNIVERSO")</f>
        <v>0</v>
      </c>
      <c r="H25" s="175"/>
      <c r="I25" s="261"/>
      <c r="J25" s="262"/>
      <c r="K25" s="262"/>
      <c r="L25" s="262"/>
      <c r="M25" s="262"/>
      <c r="N25" s="262"/>
      <c r="O25" s="262"/>
      <c r="P25" s="262"/>
      <c r="Q25" s="262"/>
      <c r="R25" s="263"/>
      <c r="S25" s="176"/>
    </row>
    <row r="26" spans="2:19">
      <c r="B26" s="174"/>
      <c r="C26" s="182" t="s">
        <v>267</v>
      </c>
      <c r="D26" s="183">
        <f>SUM(D22:D25)</f>
        <v>69</v>
      </c>
      <c r="E26" s="183">
        <f t="shared" ref="E26:G26" si="0">SUM(E22:E25)</f>
        <v>69</v>
      </c>
      <c r="F26" s="183">
        <f t="shared" si="0"/>
        <v>0</v>
      </c>
      <c r="G26" s="183">
        <f t="shared" si="0"/>
        <v>0</v>
      </c>
      <c r="H26" s="175"/>
      <c r="I26" s="264"/>
      <c r="J26" s="265"/>
      <c r="K26" s="265"/>
      <c r="L26" s="265"/>
      <c r="M26" s="265"/>
      <c r="N26" s="265"/>
      <c r="O26" s="265"/>
      <c r="P26" s="265"/>
      <c r="Q26" s="265"/>
      <c r="R26" s="266"/>
      <c r="S26" s="176"/>
    </row>
    <row r="27" spans="2:19" hidden="1">
      <c r="B27" s="174"/>
      <c r="C27" s="186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6"/>
    </row>
    <row r="28" spans="2:19" hidden="1">
      <c r="B28" s="174"/>
      <c r="C28" s="184" t="s">
        <v>302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6"/>
    </row>
    <row r="29" spans="2:19" ht="7.2" hidden="1" customHeight="1">
      <c r="B29" s="174"/>
      <c r="C29" s="184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6"/>
    </row>
    <row r="30" spans="2:19" ht="13.95" hidden="1" customHeight="1">
      <c r="B30" s="174"/>
      <c r="C30" s="181" t="s">
        <v>80</v>
      </c>
      <c r="D30" s="268" t="s">
        <v>285</v>
      </c>
      <c r="E30" s="268"/>
      <c r="F30" s="268"/>
      <c r="G30" s="268" t="s">
        <v>286</v>
      </c>
      <c r="H30" s="268"/>
      <c r="I30" s="268"/>
      <c r="J30" s="268"/>
      <c r="K30" s="268"/>
      <c r="L30" s="268"/>
      <c r="M30" s="268"/>
      <c r="N30" s="268"/>
      <c r="O30" s="268"/>
      <c r="P30" s="268"/>
      <c r="Q30" s="188" t="s">
        <v>308</v>
      </c>
      <c r="R30" s="188" t="s">
        <v>309</v>
      </c>
      <c r="S30" s="176"/>
    </row>
    <row r="31" spans="2:19" ht="15" hidden="1" customHeight="1">
      <c r="B31" s="174"/>
      <c r="C31" s="198" t="s">
        <v>1</v>
      </c>
      <c r="D31" s="255" t="s">
        <v>306</v>
      </c>
      <c r="E31" s="255"/>
      <c r="F31" s="255"/>
      <c r="G31" s="255" t="s">
        <v>337</v>
      </c>
      <c r="H31" s="255"/>
      <c r="I31" s="255"/>
      <c r="J31" s="255"/>
      <c r="K31" s="255"/>
      <c r="L31" s="255"/>
      <c r="M31" s="255"/>
      <c r="N31" s="255"/>
      <c r="O31" s="255"/>
      <c r="P31" s="255"/>
      <c r="Q31" s="189" t="s">
        <v>305</v>
      </c>
      <c r="R31" s="189" t="s">
        <v>287</v>
      </c>
      <c r="S31" s="176"/>
    </row>
    <row r="32" spans="2:19" hidden="1">
      <c r="B32" s="174"/>
      <c r="C32" s="198" t="s">
        <v>1</v>
      </c>
      <c r="D32" s="255" t="s">
        <v>303</v>
      </c>
      <c r="E32" s="255"/>
      <c r="F32" s="255"/>
      <c r="G32" s="255" t="s">
        <v>339</v>
      </c>
      <c r="H32" s="255"/>
      <c r="I32" s="255"/>
      <c r="J32" s="255"/>
      <c r="K32" s="255"/>
      <c r="L32" s="255"/>
      <c r="M32" s="255"/>
      <c r="N32" s="255"/>
      <c r="O32" s="255"/>
      <c r="P32" s="255"/>
      <c r="Q32" s="189" t="s">
        <v>338</v>
      </c>
      <c r="R32" s="189" t="s">
        <v>287</v>
      </c>
      <c r="S32" s="176"/>
    </row>
    <row r="33" spans="2:19" hidden="1">
      <c r="B33" s="174"/>
      <c r="C33" s="198" t="s">
        <v>1</v>
      </c>
      <c r="D33" s="255" t="s">
        <v>304</v>
      </c>
      <c r="E33" s="255"/>
      <c r="F33" s="255"/>
      <c r="G33" s="255" t="s">
        <v>368</v>
      </c>
      <c r="H33" s="255"/>
      <c r="I33" s="255"/>
      <c r="J33" s="255"/>
      <c r="K33" s="255"/>
      <c r="L33" s="255"/>
      <c r="M33" s="255"/>
      <c r="N33" s="255"/>
      <c r="O33" s="255"/>
      <c r="P33" s="255"/>
      <c r="Q33" s="212" t="s">
        <v>287</v>
      </c>
      <c r="R33" s="189" t="s">
        <v>287</v>
      </c>
      <c r="S33" s="176"/>
    </row>
    <row r="34" spans="2:19" ht="14.25" hidden="1" customHeight="1">
      <c r="B34" s="174"/>
      <c r="C34" s="198" t="s">
        <v>1</v>
      </c>
      <c r="D34" s="269" t="s">
        <v>369</v>
      </c>
      <c r="E34" s="269"/>
      <c r="F34" s="269"/>
      <c r="G34" s="255" t="s">
        <v>367</v>
      </c>
      <c r="H34" s="255"/>
      <c r="I34" s="255"/>
      <c r="J34" s="255"/>
      <c r="K34" s="255"/>
      <c r="L34" s="255"/>
      <c r="M34" s="255"/>
      <c r="N34" s="255"/>
      <c r="O34" s="255"/>
      <c r="P34" s="255"/>
      <c r="Q34" s="189" t="s">
        <v>305</v>
      </c>
      <c r="R34" s="189" t="s">
        <v>287</v>
      </c>
      <c r="S34" s="176"/>
    </row>
    <row r="35" spans="2:19" ht="14.25" hidden="1" customHeight="1">
      <c r="B35" s="174"/>
      <c r="C35" s="198" t="s">
        <v>1</v>
      </c>
      <c r="D35" s="255" t="s">
        <v>365</v>
      </c>
      <c r="E35" s="255"/>
      <c r="F35" s="255"/>
      <c r="G35" s="255" t="s">
        <v>371</v>
      </c>
      <c r="H35" s="255"/>
      <c r="I35" s="255"/>
      <c r="J35" s="255"/>
      <c r="K35" s="255"/>
      <c r="L35" s="255"/>
      <c r="M35" s="255"/>
      <c r="N35" s="255"/>
      <c r="O35" s="255"/>
      <c r="P35" s="255"/>
      <c r="Q35" s="189" t="s">
        <v>305</v>
      </c>
      <c r="R35" s="189" t="s">
        <v>287</v>
      </c>
      <c r="S35" s="176"/>
    </row>
    <row r="36" spans="2:19" ht="14.25" hidden="1" customHeight="1">
      <c r="B36" s="174"/>
      <c r="C36" s="198" t="s">
        <v>1</v>
      </c>
      <c r="D36" s="255" t="s">
        <v>366</v>
      </c>
      <c r="E36" s="255"/>
      <c r="F36" s="255"/>
      <c r="G36" s="255" t="s">
        <v>372</v>
      </c>
      <c r="H36" s="255"/>
      <c r="I36" s="255"/>
      <c r="J36" s="255"/>
      <c r="K36" s="255"/>
      <c r="L36" s="255"/>
      <c r="M36" s="255"/>
      <c r="N36" s="255"/>
      <c r="O36" s="255"/>
      <c r="P36" s="255"/>
      <c r="Q36" s="189" t="s">
        <v>305</v>
      </c>
      <c r="R36" s="189" t="s">
        <v>287</v>
      </c>
      <c r="S36" s="176"/>
    </row>
    <row r="37" spans="2:19" ht="14.25" hidden="1" customHeight="1">
      <c r="B37" s="174"/>
      <c r="C37" s="198" t="s">
        <v>55</v>
      </c>
      <c r="D37" s="269" t="s">
        <v>370</v>
      </c>
      <c r="E37" s="273"/>
      <c r="F37" s="274"/>
      <c r="G37" s="255" t="s">
        <v>311</v>
      </c>
      <c r="H37" s="271"/>
      <c r="I37" s="271"/>
      <c r="J37" s="271"/>
      <c r="K37" s="271"/>
      <c r="L37" s="271"/>
      <c r="M37" s="271"/>
      <c r="N37" s="271"/>
      <c r="O37" s="271"/>
      <c r="P37" s="272"/>
      <c r="Q37" s="189" t="s">
        <v>305</v>
      </c>
      <c r="R37" s="189" t="s">
        <v>287</v>
      </c>
      <c r="S37" s="176"/>
    </row>
    <row r="38" spans="2:19" ht="14.25" hidden="1" customHeight="1">
      <c r="B38" s="174"/>
      <c r="C38" s="198" t="s">
        <v>55</v>
      </c>
      <c r="D38" s="255" t="s">
        <v>381</v>
      </c>
      <c r="E38" s="271"/>
      <c r="F38" s="272"/>
      <c r="G38" s="255" t="s">
        <v>382</v>
      </c>
      <c r="H38" s="271"/>
      <c r="I38" s="271"/>
      <c r="J38" s="271"/>
      <c r="K38" s="271"/>
      <c r="L38" s="271"/>
      <c r="M38" s="271"/>
      <c r="N38" s="271"/>
      <c r="O38" s="271"/>
      <c r="P38" s="272"/>
      <c r="Q38" s="189" t="s">
        <v>305</v>
      </c>
      <c r="R38" s="189" t="s">
        <v>287</v>
      </c>
      <c r="S38" s="176"/>
    </row>
    <row r="39" spans="2:19" ht="14.25" hidden="1" customHeight="1">
      <c r="B39" s="174"/>
      <c r="C39" s="198" t="s">
        <v>61</v>
      </c>
      <c r="D39" s="255" t="s">
        <v>381</v>
      </c>
      <c r="E39" s="271"/>
      <c r="F39" s="272"/>
      <c r="G39" s="255" t="s">
        <v>383</v>
      </c>
      <c r="H39" s="271"/>
      <c r="I39" s="271"/>
      <c r="J39" s="271"/>
      <c r="K39" s="271"/>
      <c r="L39" s="271"/>
      <c r="M39" s="271"/>
      <c r="N39" s="271"/>
      <c r="O39" s="271"/>
      <c r="P39" s="272"/>
      <c r="Q39" s="189" t="s">
        <v>305</v>
      </c>
      <c r="R39" s="189" t="s">
        <v>287</v>
      </c>
      <c r="S39" s="176"/>
    </row>
    <row r="40" spans="2:19" ht="14.25" hidden="1" customHeight="1">
      <c r="B40" s="174"/>
      <c r="C40" s="198" t="s">
        <v>63</v>
      </c>
      <c r="D40" s="255" t="s">
        <v>306</v>
      </c>
      <c r="E40" s="271"/>
      <c r="F40" s="272"/>
      <c r="G40" s="255" t="s">
        <v>384</v>
      </c>
      <c r="H40" s="271"/>
      <c r="I40" s="271"/>
      <c r="J40" s="271"/>
      <c r="K40" s="271"/>
      <c r="L40" s="271"/>
      <c r="M40" s="271"/>
      <c r="N40" s="271"/>
      <c r="O40" s="271"/>
      <c r="P40" s="272"/>
      <c r="Q40" s="189" t="s">
        <v>305</v>
      </c>
      <c r="R40" s="189" t="s">
        <v>287</v>
      </c>
      <c r="S40" s="176"/>
    </row>
    <row r="41" spans="2:19" ht="14.25" hidden="1" customHeight="1">
      <c r="B41" s="174"/>
      <c r="C41" s="198" t="s">
        <v>63</v>
      </c>
      <c r="D41" s="255" t="s">
        <v>381</v>
      </c>
      <c r="E41" s="271"/>
      <c r="F41" s="272"/>
      <c r="G41" s="255" t="s">
        <v>385</v>
      </c>
      <c r="H41" s="271"/>
      <c r="I41" s="271"/>
      <c r="J41" s="271"/>
      <c r="K41" s="271"/>
      <c r="L41" s="271"/>
      <c r="M41" s="271"/>
      <c r="N41" s="271"/>
      <c r="O41" s="271"/>
      <c r="P41" s="272"/>
      <c r="Q41" s="189" t="s">
        <v>305</v>
      </c>
      <c r="R41" s="189" t="s">
        <v>287</v>
      </c>
      <c r="S41" s="176"/>
    </row>
    <row r="42" spans="2:19" ht="27" hidden="1" customHeight="1">
      <c r="B42" s="174"/>
      <c r="C42" s="198" t="s">
        <v>1</v>
      </c>
      <c r="D42" s="255" t="s">
        <v>381</v>
      </c>
      <c r="E42" s="271"/>
      <c r="F42" s="272"/>
      <c r="G42" s="255" t="s">
        <v>387</v>
      </c>
      <c r="H42" s="255"/>
      <c r="I42" s="255"/>
      <c r="J42" s="255"/>
      <c r="K42" s="255"/>
      <c r="L42" s="255"/>
      <c r="M42" s="255"/>
      <c r="N42" s="255"/>
      <c r="O42" s="255"/>
      <c r="P42" s="255"/>
      <c r="Q42" s="189" t="s">
        <v>305</v>
      </c>
      <c r="R42" s="189" t="s">
        <v>287</v>
      </c>
      <c r="S42" s="176"/>
    </row>
    <row r="43" spans="2:19">
      <c r="B43" s="177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</row>
    <row r="44" spans="2:19"/>
    <row r="45" spans="2:19" ht="18" customHeight="1">
      <c r="B45" s="270" t="s">
        <v>268</v>
      </c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265</v>
      </c>
      <c r="G48" s="155" t="s">
        <v>275</v>
      </c>
      <c r="H48" s="155"/>
      <c r="I48" s="168">
        <v>45867</v>
      </c>
      <c r="J48" s="168">
        <v>45855</v>
      </c>
      <c r="K48" s="169" t="s">
        <v>283</v>
      </c>
      <c r="M48" s="152" t="s">
        <v>266</v>
      </c>
      <c r="S48" s="141"/>
    </row>
    <row r="49" spans="2:19" ht="17.399999999999999" customHeight="1">
      <c r="B49" s="139"/>
      <c r="G49" s="147" t="s">
        <v>113</v>
      </c>
      <c r="I49" s="147">
        <f>COUNTIFS('Detalhe Entregas e Status'!$V:$V,'Status Resumo'!G49,'Detalhe Entregas e Status'!$B:$B,"lt002_instrument",'Detalhe Entregas e Status'!$C:$C,"&lt;&gt;"&amp;"UNIVERSO")</f>
        <v>14</v>
      </c>
      <c r="J49" s="147">
        <f>COUNTIFS('Detalhe Entregas e Status'!$W:$W,'Status Resumo'!G49,'Detalhe Entregas e Status'!$B:$B,"lt002_instrument",'Detalhe Entregas e Status'!$C:$C,"&lt;&gt;"&amp;"UNIVERSO")</f>
        <v>32</v>
      </c>
      <c r="K49" s="170" t="str">
        <f>IF(I49-J49=0,"-",IF(I49-J49&gt;0,_xlfn.CONCAT("+ ",I49-J49),_xlfn.CONCAT("- ",J49-I49)))</f>
        <v>- 18</v>
      </c>
      <c r="M49" s="277" t="s">
        <v>435</v>
      </c>
      <c r="N49" s="278"/>
      <c r="O49" s="278"/>
      <c r="P49" s="278"/>
      <c r="Q49" s="278"/>
      <c r="R49" s="279"/>
      <c r="S49" s="141"/>
    </row>
    <row r="50" spans="2:19" ht="17.399999999999999" customHeight="1">
      <c r="B50" s="139"/>
      <c r="G50" s="147" t="s">
        <v>116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0" t="str">
        <f t="shared" ref="K50:K55" si="1">IF(I50-J50=0,"-",IF(I50-J50&gt;0,_xlfn.CONCAT("+ ",I50-J50),_xlfn.CONCAT("- ",J50-I50)))</f>
        <v>-</v>
      </c>
      <c r="M50" s="280"/>
      <c r="N50" s="281"/>
      <c r="O50" s="281"/>
      <c r="P50" s="281"/>
      <c r="Q50" s="281"/>
      <c r="R50" s="282"/>
      <c r="S50" s="141"/>
    </row>
    <row r="51" spans="2:19" ht="17.399999999999999" customHeight="1">
      <c r="B51" s="139"/>
      <c r="G51" s="147" t="s">
        <v>114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70" t="str">
        <f t="shared" si="1"/>
        <v>-</v>
      </c>
      <c r="M51" s="280"/>
      <c r="N51" s="281"/>
      <c r="O51" s="281"/>
      <c r="P51" s="281"/>
      <c r="Q51" s="281"/>
      <c r="R51" s="282"/>
      <c r="S51" s="141"/>
    </row>
    <row r="52" spans="2:19" ht="17.399999999999999" customHeight="1">
      <c r="B52" s="139"/>
      <c r="D52" s="142"/>
      <c r="E52" s="142"/>
      <c r="G52" s="147" t="s">
        <v>115</v>
      </c>
      <c r="I52" s="147">
        <f>COUNTIFS('Detalhe Entregas e Status'!$V:$V,'Status Resumo'!G52,'Detalhe Entregas e Status'!$B:$B,"lt002_instrument",'Detalhe Entregas e Status'!$C:$C,"&lt;&gt;"&amp;"UNIVERSO")</f>
        <v>2</v>
      </c>
      <c r="J52" s="147">
        <f>COUNTIFS('Detalhe Entregas e Status'!$W:$W,'Status Resumo'!G52,'Detalhe Entregas e Status'!$B:$B,"lt002_instrument",'Detalhe Entregas e Status'!$C:$C,"&lt;&gt;"&amp;"UNIVERSO")</f>
        <v>12</v>
      </c>
      <c r="K52" s="170" t="str">
        <f t="shared" si="1"/>
        <v>- 10</v>
      </c>
      <c r="M52" s="280"/>
      <c r="N52" s="281"/>
      <c r="O52" s="281"/>
      <c r="P52" s="281"/>
      <c r="Q52" s="281"/>
      <c r="R52" s="282"/>
      <c r="S52" s="141"/>
    </row>
    <row r="53" spans="2:19" ht="17.399999999999999" customHeight="1">
      <c r="B53" s="139"/>
      <c r="D53" s="142"/>
      <c r="E53" s="142"/>
      <c r="G53" s="147" t="s">
        <v>121</v>
      </c>
      <c r="I53" s="147">
        <f>COUNTIFS('Detalhe Entregas e Status'!$V:$V,'Status Resumo'!G53,'Detalhe Entregas e Status'!$B:$B,"lt002_instrument",'Detalhe Entregas e Status'!$C:$C,"&lt;&gt;"&amp;"UNIVERSO")</f>
        <v>21</v>
      </c>
      <c r="J53" s="147">
        <f>COUNTIFS('Detalhe Entregas e Status'!$W:$W,'Status Resumo'!G53,'Detalhe Entregas e Status'!$B:$B,"lt002_instrument",'Detalhe Entregas e Status'!$C:$C,"&lt;&gt;"&amp;"UNIVERSO")</f>
        <v>7</v>
      </c>
      <c r="K53" s="170" t="str">
        <f t="shared" si="1"/>
        <v>+ 14</v>
      </c>
      <c r="M53" s="280"/>
      <c r="N53" s="281"/>
      <c r="O53" s="281"/>
      <c r="P53" s="281"/>
      <c r="Q53" s="281"/>
      <c r="R53" s="282"/>
      <c r="S53" s="141"/>
    </row>
    <row r="54" spans="2:19" ht="17.399999999999999" customHeight="1">
      <c r="B54" s="139"/>
      <c r="D54" s="142"/>
      <c r="E54" s="142"/>
      <c r="G54" s="147" t="s">
        <v>123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0</v>
      </c>
      <c r="K54" s="170" t="str">
        <f t="shared" si="1"/>
        <v>-</v>
      </c>
      <c r="M54" s="280"/>
      <c r="N54" s="281"/>
      <c r="O54" s="281"/>
      <c r="P54" s="281"/>
      <c r="Q54" s="281"/>
      <c r="R54" s="282"/>
      <c r="S54" s="141"/>
    </row>
    <row r="55" spans="2:19" ht="17.399999999999999" customHeight="1">
      <c r="B55" s="139"/>
      <c r="G55" s="147" t="s">
        <v>276</v>
      </c>
      <c r="H55" s="250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0" t="str">
        <f t="shared" si="1"/>
        <v>-</v>
      </c>
      <c r="M55" s="280"/>
      <c r="N55" s="281"/>
      <c r="O55" s="281"/>
      <c r="P55" s="281"/>
      <c r="Q55" s="281"/>
      <c r="R55" s="282"/>
      <c r="S55" s="141"/>
    </row>
    <row r="56" spans="2:19" ht="17.399999999999999" customHeight="1">
      <c r="B56" s="139"/>
      <c r="G56" s="147" t="s">
        <v>403</v>
      </c>
      <c r="H56" s="250"/>
      <c r="I56" s="147">
        <f>COUNTIFS('Detalhe Entregas e Status'!$V:$V,'Status Resumo'!G56,'Detalhe Entregas e Status'!$B:$B,"lt002_instrument",'Detalhe Entregas e Status'!$C:$C,"&lt;&gt;"&amp;"UNIVERSO")</f>
        <v>0</v>
      </c>
      <c r="J56" s="147">
        <f>COUNTIFS('Detalhe Entregas e Status'!$W:$W,'Status Resumo'!G56,'Detalhe Entregas e Status'!$B:$B,"lt002_instrument",'Detalhe Entregas e Status'!$C:$C,"&lt;&gt;"&amp;"UNIVERSO")</f>
        <v>0</v>
      </c>
      <c r="K56" s="170" t="str">
        <f t="shared" ref="K56:K57" si="2">IF(I56-J56=0,"-",IF(I56-J56&gt;0,_xlfn.CONCAT("+ ",I56-J56),_xlfn.CONCAT("- ",J56-I56)))</f>
        <v>-</v>
      </c>
      <c r="L56" s="143"/>
      <c r="M56" s="280"/>
      <c r="N56" s="281"/>
      <c r="O56" s="281"/>
      <c r="P56" s="281"/>
      <c r="Q56" s="281"/>
      <c r="R56" s="282"/>
      <c r="S56" s="141"/>
    </row>
    <row r="57" spans="2:19" ht="17.399999999999999" customHeight="1">
      <c r="B57" s="139"/>
      <c r="G57" s="147" t="s">
        <v>426</v>
      </c>
      <c r="H57" s="250"/>
      <c r="I57" s="147">
        <f>COUNTIFS('Detalhe Entregas e Status'!$V:$V,'Status Resumo'!G57,'Detalhe Entregas e Status'!$B:$B,"lt002_instrument",'Detalhe Entregas e Status'!$C:$C,"&lt;&gt;"&amp;"UNIVERSO")</f>
        <v>14</v>
      </c>
      <c r="J57" s="147">
        <f>COUNTIFS('Detalhe Entregas e Status'!$W:$W,'Status Resumo'!G57,'Detalhe Entregas e Status'!$B:$B,"lt002_instrument",'Detalhe Entregas e Status'!$C:$C,"&lt;&gt;"&amp;"UNIVERSO")</f>
        <v>0</v>
      </c>
      <c r="K57" s="170" t="str">
        <f t="shared" si="2"/>
        <v>+ 14</v>
      </c>
      <c r="L57" s="143"/>
      <c r="M57" s="283"/>
      <c r="N57" s="284"/>
      <c r="O57" s="284"/>
      <c r="P57" s="284"/>
      <c r="Q57" s="284"/>
      <c r="R57" s="285"/>
      <c r="S57" s="141"/>
    </row>
    <row r="58" spans="2:19" ht="17.399999999999999" customHeight="1">
      <c r="B58" s="139"/>
      <c r="G58" s="148" t="s">
        <v>267</v>
      </c>
      <c r="H58" s="148"/>
      <c r="I58" s="148">
        <f>SUM(I49:I57)</f>
        <v>51</v>
      </c>
      <c r="J58" s="148">
        <f>SUM(J49:J57)</f>
        <v>51</v>
      </c>
      <c r="K58" s="148"/>
      <c r="L58" s="143"/>
      <c r="M58" s="143"/>
      <c r="N58" s="143"/>
      <c r="O58" s="143"/>
      <c r="P58" s="143"/>
      <c r="Q58" s="143"/>
      <c r="R58" s="143"/>
      <c r="S58" s="141"/>
    </row>
    <row r="59" spans="2:19" ht="17.399999999999999" customHeight="1">
      <c r="B59" s="139"/>
      <c r="K59" s="167"/>
      <c r="L59" s="143"/>
      <c r="M59" s="143"/>
      <c r="N59" s="143"/>
      <c r="O59" s="143"/>
      <c r="P59" s="143"/>
      <c r="Q59" s="143"/>
      <c r="R59" s="143"/>
      <c r="S59" s="141"/>
    </row>
    <row r="60" spans="2:19" ht="17.399999999999999" customHeight="1">
      <c r="B60" s="139"/>
      <c r="G60" s="155" t="s">
        <v>274</v>
      </c>
      <c r="H60" s="155"/>
      <c r="I60" s="168">
        <f>I48</f>
        <v>45867</v>
      </c>
      <c r="J60" s="167"/>
      <c r="K60" s="157"/>
      <c r="L60" s="143"/>
      <c r="S60" s="141"/>
    </row>
    <row r="61" spans="2:19" ht="17.399999999999999" customHeight="1">
      <c r="B61" s="139"/>
      <c r="G61" s="156" t="s">
        <v>1</v>
      </c>
      <c r="I61" s="249" t="s">
        <v>405</v>
      </c>
      <c r="J61" s="167"/>
      <c r="K61" s="157"/>
      <c r="L61" s="143"/>
      <c r="S61" s="141"/>
    </row>
    <row r="62" spans="2:19" ht="17.399999999999999" customHeight="1">
      <c r="B62" s="144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6"/>
    </row>
    <row r="63" spans="2:19"/>
    <row r="64" spans="2:19" ht="18" customHeight="1">
      <c r="B64" s="270" t="s">
        <v>271</v>
      </c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</row>
    <row r="65" spans="2:19" ht="6.9" customHeight="1">
      <c r="G65" s="151"/>
    </row>
    <row r="66" spans="2:19" ht="17.399999999999999" customHeight="1">
      <c r="B66" s="136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8"/>
    </row>
    <row r="67" spans="2:19" ht="17.399999999999999" customHeight="1">
      <c r="B67" s="139"/>
      <c r="C67" s="140" t="s">
        <v>265</v>
      </c>
      <c r="G67" s="155" t="s">
        <v>273</v>
      </c>
      <c r="H67" s="155"/>
      <c r="I67" s="168">
        <f>I48</f>
        <v>45867</v>
      </c>
      <c r="J67" s="168">
        <f>J48</f>
        <v>45855</v>
      </c>
      <c r="K67" s="169" t="s">
        <v>283</v>
      </c>
      <c r="M67" s="152" t="s">
        <v>266</v>
      </c>
      <c r="S67" s="141"/>
    </row>
    <row r="68" spans="2:19" ht="17.399999999999999" customHeight="1">
      <c r="B68" s="139"/>
      <c r="G68" s="147" t="s">
        <v>113</v>
      </c>
      <c r="I68" s="147">
        <f>COUNTIFS('Detalhe Entregas e Status'!$V:$V,'Status Resumo'!G68,'Detalhe Entregas e Status'!$B:$B,"lt004_protection",'Detalhe Entregas e Status'!$C:$C,"&lt;&gt;"&amp;"UNIVERSO")</f>
        <v>6</v>
      </c>
      <c r="J68" s="147">
        <f>COUNTIFS('Detalhe Entregas e Status'!$W:$W,'Status Resumo'!G68,'Detalhe Entregas e Status'!$B:$B,"lt004_protection",'Detalhe Entregas e Status'!$C:$C,"&lt;&gt;"&amp;"UNIVERSO")</f>
        <v>6</v>
      </c>
      <c r="K68" s="170" t="str">
        <f t="shared" ref="K68:K76" si="3">IF(I68-J68=0,"-",IF(I68-J68&gt;0,_xlfn.CONCAT("+ ",I68-J68),_xlfn.CONCAT("- ",J68-I68)))</f>
        <v>-</v>
      </c>
      <c r="M68" s="277" t="s">
        <v>436</v>
      </c>
      <c r="N68" s="278"/>
      <c r="O68" s="278"/>
      <c r="P68" s="278"/>
      <c r="Q68" s="278"/>
      <c r="R68" s="279"/>
      <c r="S68" s="141"/>
    </row>
    <row r="69" spans="2:19" ht="17.399999999999999" customHeight="1">
      <c r="B69" s="139"/>
      <c r="G69" s="147" t="s">
        <v>116</v>
      </c>
      <c r="I69" s="147">
        <f>COUNTIFS('Detalhe Entregas e Status'!$V:$V,'Status Resumo'!G69,'Detalhe Entregas e Status'!$B:$B,"lt004_protection",'Detalhe Entregas e Status'!$C:$C,"&lt;&gt;"&amp;"UNIVERSO")</f>
        <v>0</v>
      </c>
      <c r="J69" s="147">
        <f>COUNTIFS('Detalhe Entregas e Status'!$W:$W,'Status Resumo'!G69,'Detalhe Entregas e Status'!$B:$B,"lt004_protection",'Detalhe Entregas e Status'!$C:$C,"&lt;&gt;"&amp;"UNIVERSO")</f>
        <v>0</v>
      </c>
      <c r="K69" s="170" t="str">
        <f t="shared" si="3"/>
        <v>-</v>
      </c>
      <c r="M69" s="280"/>
      <c r="N69" s="281"/>
      <c r="O69" s="281"/>
      <c r="P69" s="281"/>
      <c r="Q69" s="281"/>
      <c r="R69" s="282"/>
      <c r="S69" s="141"/>
    </row>
    <row r="70" spans="2:19" ht="17.399999999999999" customHeight="1">
      <c r="B70" s="139"/>
      <c r="G70" s="147" t="s">
        <v>114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0" t="str">
        <f t="shared" si="3"/>
        <v>-</v>
      </c>
      <c r="M70" s="280"/>
      <c r="N70" s="281"/>
      <c r="O70" s="281"/>
      <c r="P70" s="281"/>
      <c r="Q70" s="281"/>
      <c r="R70" s="282"/>
      <c r="S70" s="141"/>
    </row>
    <row r="71" spans="2:19" ht="17.399999999999999" customHeight="1">
      <c r="B71" s="139"/>
      <c r="D71" s="142"/>
      <c r="E71" s="142"/>
      <c r="G71" s="147" t="s">
        <v>115</v>
      </c>
      <c r="I71" s="147">
        <f>COUNTIFS('Detalhe Entregas e Status'!$V:$V,'Status Resumo'!G71,'Detalhe Entregas e Status'!$B:$B,"lt004_protection",'Detalhe Entregas e Status'!$C:$C,"&lt;&gt;"&amp;"UNIVERSO")</f>
        <v>0</v>
      </c>
      <c r="J71" s="147">
        <f>COUNTIFS('Detalhe Entregas e Status'!$W:$W,'Status Resumo'!G71,'Detalhe Entregas e Status'!$B:$B,"lt004_protection",'Detalhe Entregas e Status'!$C:$C,"&lt;&gt;"&amp;"UNIVERSO")</f>
        <v>0</v>
      </c>
      <c r="K71" s="170" t="str">
        <f t="shared" si="3"/>
        <v>-</v>
      </c>
      <c r="M71" s="280"/>
      <c r="N71" s="281"/>
      <c r="O71" s="281"/>
      <c r="P71" s="281"/>
      <c r="Q71" s="281"/>
      <c r="R71" s="282"/>
      <c r="S71" s="141"/>
    </row>
    <row r="72" spans="2:19" ht="17.399999999999999" customHeight="1">
      <c r="B72" s="139"/>
      <c r="D72" s="142"/>
      <c r="E72" s="142"/>
      <c r="G72" s="147" t="s">
        <v>121</v>
      </c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1</v>
      </c>
      <c r="K72" s="170" t="str">
        <f t="shared" si="3"/>
        <v>- 1</v>
      </c>
      <c r="M72" s="280"/>
      <c r="N72" s="281"/>
      <c r="O72" s="281"/>
      <c r="P72" s="281"/>
      <c r="Q72" s="281"/>
      <c r="R72" s="282"/>
      <c r="S72" s="141"/>
    </row>
    <row r="73" spans="2:19" ht="17.399999999999999" customHeight="1">
      <c r="B73" s="139"/>
      <c r="D73" s="142"/>
      <c r="E73" s="142"/>
      <c r="G73" s="147" t="s">
        <v>123</v>
      </c>
      <c r="I73" s="147">
        <f>COUNTIFS('Detalhe Entregas e Status'!$V:$V,'Status Resumo'!G73,'Detalhe Entregas e Status'!$B:$B,"lt004_protection",'Detalhe Entregas e Status'!$C:$C,"&lt;&gt;"&amp;"UNIVERSO")</f>
        <v>0</v>
      </c>
      <c r="J73" s="147">
        <f>COUNTIFS('Detalhe Entregas e Status'!$W:$W,'Status Resumo'!G73,'Detalhe Entregas e Status'!$B:$B,"lt004_protection",'Detalhe Entregas e Status'!$C:$C,"&lt;&gt;"&amp;"UNIVERSO")</f>
        <v>0</v>
      </c>
      <c r="K73" s="170" t="str">
        <f t="shared" si="3"/>
        <v>-</v>
      </c>
      <c r="M73" s="280"/>
      <c r="N73" s="281"/>
      <c r="O73" s="281"/>
      <c r="P73" s="281"/>
      <c r="Q73" s="281"/>
      <c r="R73" s="282"/>
      <c r="S73" s="141"/>
    </row>
    <row r="74" spans="2:19" ht="17.399999999999999" customHeight="1">
      <c r="B74" s="139"/>
      <c r="G74" s="147" t="s">
        <v>276</v>
      </c>
      <c r="H74" s="250"/>
      <c r="I74" s="147">
        <f>COUNTIFS('Detalhe Entregas e Status'!$V:$V,'Status Resumo'!G74,'Detalhe Entregas e Status'!$B:$B,"lt004_protection",'Detalhe Entregas e Status'!$C:$C,"&lt;&gt;"&amp;"UNIVERSO")</f>
        <v>0</v>
      </c>
      <c r="J74" s="147">
        <f>COUNTIFS('Detalhe Entregas e Status'!$W:$W,'Status Resumo'!G74,'Detalhe Entregas e Status'!$B:$B,"lt004_protection",'Detalhe Entregas e Status'!$C:$C,"&lt;&gt;"&amp;"UNIVERSO")</f>
        <v>0</v>
      </c>
      <c r="K74" s="170" t="str">
        <f t="shared" si="3"/>
        <v>-</v>
      </c>
      <c r="M74" s="280"/>
      <c r="N74" s="281"/>
      <c r="O74" s="281"/>
      <c r="P74" s="281"/>
      <c r="Q74" s="281"/>
      <c r="R74" s="282"/>
      <c r="S74" s="141"/>
    </row>
    <row r="75" spans="2:19" ht="17.399999999999999" customHeight="1">
      <c r="B75" s="139"/>
      <c r="G75" s="147" t="s">
        <v>403</v>
      </c>
      <c r="H75" s="250"/>
      <c r="I75" s="147">
        <f>COUNTIFS('Detalhe Entregas e Status'!$V:$V,'Status Resumo'!G75,'Detalhe Entregas e Status'!$B:$B,"lt004_protection",'Detalhe Entregas e Status'!$C:$C,"&lt;&gt;"&amp;"UNIVERSO")</f>
        <v>0</v>
      </c>
      <c r="J75" s="147">
        <f>COUNTIFS('Detalhe Entregas e Status'!$W:$W,'Status Resumo'!G75,'Detalhe Entregas e Status'!$B:$B,"lt004_protection",'Detalhe Entregas e Status'!$C:$C,"&lt;&gt;"&amp;"UNIVERSO")</f>
        <v>0</v>
      </c>
      <c r="K75" s="170" t="str">
        <f t="shared" si="3"/>
        <v>-</v>
      </c>
      <c r="L75" s="143"/>
      <c r="M75" s="280"/>
      <c r="N75" s="281"/>
      <c r="O75" s="281"/>
      <c r="P75" s="281"/>
      <c r="Q75" s="281"/>
      <c r="R75" s="282"/>
      <c r="S75" s="141"/>
    </row>
    <row r="76" spans="2:19" ht="17.399999999999999" customHeight="1">
      <c r="B76" s="139"/>
      <c r="C76" s="140"/>
      <c r="F76" s="140"/>
      <c r="G76" s="147" t="s">
        <v>426</v>
      </c>
      <c r="I76" s="147">
        <f>COUNTIFS('Detalhe Entregas e Status'!$V:$V,'Status Resumo'!G76,'Detalhe Entregas e Status'!$B:$B,"lt004_protection",'Detalhe Entregas e Status'!$C:$C,"&lt;&gt;"&amp;"UNIVERSO")</f>
        <v>1</v>
      </c>
      <c r="J76" s="147">
        <f>COUNTIFS('Detalhe Entregas e Status'!$W:$W,'Status Resumo'!G76,'Detalhe Entregas e Status'!$B:$B,"lt004_protection",'Detalhe Entregas e Status'!$C:$C,"&lt;&gt;"&amp;"UNIVERSO")</f>
        <v>0</v>
      </c>
      <c r="K76" s="170" t="str">
        <f t="shared" si="3"/>
        <v>+ 1</v>
      </c>
      <c r="L76" s="143"/>
      <c r="M76" s="283"/>
      <c r="N76" s="284"/>
      <c r="O76" s="284"/>
      <c r="P76" s="284"/>
      <c r="Q76" s="284"/>
      <c r="R76" s="285"/>
      <c r="S76" s="141"/>
    </row>
    <row r="77" spans="2:19" ht="17.399999999999999" customHeight="1">
      <c r="B77" s="139"/>
      <c r="C77" s="140"/>
      <c r="F77" s="140"/>
      <c r="G77" s="148" t="s">
        <v>267</v>
      </c>
      <c r="H77" s="148"/>
      <c r="I77" s="148">
        <f>SUM(I68:I76)</f>
        <v>7</v>
      </c>
      <c r="J77" s="148">
        <f>SUM(J68:J76)</f>
        <v>7</v>
      </c>
      <c r="K77" s="148"/>
      <c r="L77" s="143"/>
      <c r="S77" s="141"/>
    </row>
    <row r="78" spans="2:19" ht="17.399999999999999" customHeight="1">
      <c r="B78" s="139"/>
      <c r="J78" s="167"/>
      <c r="K78" s="167"/>
      <c r="L78" s="143"/>
      <c r="M78" s="153"/>
      <c r="N78" s="153"/>
      <c r="O78" s="153"/>
      <c r="P78" s="153"/>
      <c r="Q78" s="153"/>
      <c r="R78" s="153"/>
      <c r="S78" s="141"/>
    </row>
    <row r="79" spans="2:19" ht="17.399999999999999" customHeight="1">
      <c r="B79" s="139"/>
      <c r="G79" s="155" t="s">
        <v>274</v>
      </c>
      <c r="H79" s="155"/>
      <c r="I79" s="168">
        <f>I60</f>
        <v>45867</v>
      </c>
      <c r="J79" s="159"/>
      <c r="K79" s="159"/>
      <c r="L79" s="143"/>
      <c r="M79" s="153"/>
      <c r="N79" s="153"/>
      <c r="O79" s="153"/>
      <c r="P79" s="153"/>
      <c r="Q79" s="153"/>
      <c r="R79" s="153"/>
      <c r="S79" s="141"/>
    </row>
    <row r="80" spans="2:19" ht="17.399999999999999" customHeight="1">
      <c r="B80" s="139"/>
      <c r="G80" s="158" t="s">
        <v>55</v>
      </c>
      <c r="I80" s="159" t="s">
        <v>272</v>
      </c>
      <c r="J80" s="159"/>
      <c r="K80" s="159"/>
      <c r="L80" s="143"/>
      <c r="M80" s="153"/>
      <c r="N80" s="153"/>
      <c r="O80" s="153"/>
      <c r="P80" s="153"/>
      <c r="Q80" s="153"/>
      <c r="R80" s="153"/>
      <c r="S80" s="141"/>
    </row>
    <row r="81" spans="2:19" ht="17.399999999999999" customHeight="1">
      <c r="B81" s="144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6"/>
    </row>
    <row r="82" spans="2:19"/>
    <row r="83" spans="2:19" ht="18" customHeight="1">
      <c r="B83" s="270" t="s">
        <v>300</v>
      </c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</row>
    <row r="84" spans="2:19" ht="6.9" customHeight="1">
      <c r="G84" s="151"/>
    </row>
    <row r="85" spans="2:19" ht="17.399999999999999" customHeight="1">
      <c r="B85" s="136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8"/>
    </row>
    <row r="86" spans="2:19" ht="17.399999999999999" customHeight="1">
      <c r="B86" s="139"/>
      <c r="C86" s="140" t="s">
        <v>265</v>
      </c>
      <c r="G86" s="155" t="s">
        <v>273</v>
      </c>
      <c r="H86" s="155"/>
      <c r="I86" s="168">
        <f>I48</f>
        <v>45867</v>
      </c>
      <c r="J86" s="168">
        <f>J48</f>
        <v>45855</v>
      </c>
      <c r="K86" s="169" t="s">
        <v>283</v>
      </c>
      <c r="M86" s="152" t="s">
        <v>266</v>
      </c>
      <c r="S86" s="141"/>
    </row>
    <row r="87" spans="2:19" ht="17.399999999999999" customHeight="1">
      <c r="B87" s="139"/>
      <c r="G87" s="147" t="s">
        <v>113</v>
      </c>
      <c r="I87" s="147">
        <f>COUNTIFS('Detalhe Entregas e Status'!$V:$V,'Status Resumo'!G87,'Detalhe Entregas e Status'!$B:$B,"lt006_instr_protection",'Detalhe Entregas e Status'!$C:$C,"&lt;&gt;"&amp;"UNIVERSO")</f>
        <v>4</v>
      </c>
      <c r="J87" s="147">
        <f>COUNTIFS('Detalhe Entregas e Status'!$W:$W,'Status Resumo'!G87,'Detalhe Entregas e Status'!$B:$B,"lt006_instr_protection",'Detalhe Entregas e Status'!$C:$C,"&lt;&gt;"&amp;"UNIVERSO")</f>
        <v>4</v>
      </c>
      <c r="K87" s="170" t="str">
        <f t="shared" ref="K87:K95" si="4">IF(I87-J87=0,"-",IF(I87-J87&gt;0,_xlfn.CONCAT("+ ",I87-J87),_xlfn.CONCAT("- ",J87-I87)))</f>
        <v>-</v>
      </c>
      <c r="M87" s="277" t="s">
        <v>393</v>
      </c>
      <c r="N87" s="278"/>
      <c r="O87" s="278"/>
      <c r="P87" s="278"/>
      <c r="Q87" s="278"/>
      <c r="R87" s="279"/>
      <c r="S87" s="141"/>
    </row>
    <row r="88" spans="2:19" ht="17.399999999999999" customHeight="1">
      <c r="B88" s="139"/>
      <c r="G88" s="147" t="s">
        <v>116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0" t="str">
        <f t="shared" si="4"/>
        <v>-</v>
      </c>
      <c r="M88" s="280"/>
      <c r="N88" s="281"/>
      <c r="O88" s="281"/>
      <c r="P88" s="281"/>
      <c r="Q88" s="281"/>
      <c r="R88" s="282"/>
      <c r="S88" s="141"/>
    </row>
    <row r="89" spans="2:19" ht="17.399999999999999" customHeight="1">
      <c r="B89" s="139"/>
      <c r="G89" s="147" t="s">
        <v>114</v>
      </c>
      <c r="I89" s="147">
        <f>COUNTIFS('Detalhe Entregas e Status'!$V:$V,'Status Resumo'!G89,'Detalhe Entregas e Status'!$B:$B,"lt006_instr_protection",'Detalhe Entregas e Status'!$C:$C,"&lt;&gt;"&amp;"UNIVERSO")</f>
        <v>0</v>
      </c>
      <c r="J89" s="147">
        <f>COUNTIFS('Detalhe Entregas e Status'!$W:$W,'Status Resumo'!G89,'Detalhe Entregas e Status'!$B:$B,"lt006_instr_protection",'Detalhe Entregas e Status'!$C:$C,"&lt;&gt;"&amp;"UNIVERSO")</f>
        <v>0</v>
      </c>
      <c r="K89" s="170" t="str">
        <f t="shared" si="4"/>
        <v>-</v>
      </c>
      <c r="M89" s="280"/>
      <c r="N89" s="281"/>
      <c r="O89" s="281"/>
      <c r="P89" s="281"/>
      <c r="Q89" s="281"/>
      <c r="R89" s="282"/>
      <c r="S89" s="141"/>
    </row>
    <row r="90" spans="2:19" ht="17.399999999999999" customHeight="1">
      <c r="B90" s="139"/>
      <c r="D90" s="142"/>
      <c r="E90" s="142"/>
      <c r="G90" s="147" t="s">
        <v>115</v>
      </c>
      <c r="I90" s="147">
        <f>COUNTIFS('Detalhe Entregas e Status'!$V:$V,'Status Resumo'!G90,'Detalhe Entregas e Status'!$B:$B,"lt006_instr_protection",'Detalhe Entregas e Status'!$C:$C,"&lt;&gt;"&amp;"UNIVERSO")</f>
        <v>0</v>
      </c>
      <c r="J90" s="147">
        <f>COUNTIFS('Detalhe Entregas e Status'!$W:$W,'Status Resumo'!G90,'Detalhe Entregas e Status'!$B:$B,"lt006_instr_protection",'Detalhe Entregas e Status'!$C:$C,"&lt;&gt;"&amp;"UNIVERSO")</f>
        <v>0</v>
      </c>
      <c r="K90" s="170" t="str">
        <f t="shared" si="4"/>
        <v>-</v>
      </c>
      <c r="M90" s="280"/>
      <c r="N90" s="281"/>
      <c r="O90" s="281"/>
      <c r="P90" s="281"/>
      <c r="Q90" s="281"/>
      <c r="R90" s="282"/>
      <c r="S90" s="141"/>
    </row>
    <row r="91" spans="2:19" ht="17.399999999999999" customHeight="1">
      <c r="B91" s="139"/>
      <c r="D91" s="142"/>
      <c r="E91" s="142"/>
      <c r="G91" s="147" t="s">
        <v>121</v>
      </c>
      <c r="I91" s="147">
        <f>COUNTIFS('Detalhe Entregas e Status'!$V:$V,'Status Resumo'!G91,'Detalhe Entregas e Status'!$B:$B,"lt006_instr_protection",'Detalhe Entregas e Status'!$C:$C,"&lt;&gt;"&amp;"UNIVERSO")</f>
        <v>1</v>
      </c>
      <c r="J91" s="147">
        <f>COUNTIFS('Detalhe Entregas e Status'!$W:$W,'Status Resumo'!G91,'Detalhe Entregas e Status'!$B:$B,"lt006_instr_protection",'Detalhe Entregas e Status'!$C:$C,"&lt;&gt;"&amp;"UNIVERSO")</f>
        <v>1</v>
      </c>
      <c r="K91" s="170" t="str">
        <f t="shared" si="4"/>
        <v>-</v>
      </c>
      <c r="M91" s="280"/>
      <c r="N91" s="281"/>
      <c r="O91" s="281"/>
      <c r="P91" s="281"/>
      <c r="Q91" s="281"/>
      <c r="R91" s="282"/>
      <c r="S91" s="141"/>
    </row>
    <row r="92" spans="2:19" ht="17.399999999999999" customHeight="1">
      <c r="B92" s="139"/>
      <c r="D92" s="142"/>
      <c r="E92" s="142"/>
      <c r="G92" s="147" t="s">
        <v>123</v>
      </c>
      <c r="I92" s="147">
        <f>COUNTIFS('Detalhe Entregas e Status'!$V:$V,'Status Resumo'!G92,'Detalhe Entregas e Status'!$B:$B,"lt006_instr_protection",'Detalhe Entregas e Status'!$C:$C,"&lt;&gt;"&amp;"UNIVERSO")</f>
        <v>0</v>
      </c>
      <c r="J92" s="147">
        <f>COUNTIFS('Detalhe Entregas e Status'!$W:$W,'Status Resumo'!G92,'Detalhe Entregas e Status'!$B:$B,"lt006_instr_protection",'Detalhe Entregas e Status'!$C:$C,"&lt;&gt;"&amp;"UNIVERSO")</f>
        <v>0</v>
      </c>
      <c r="K92" s="170" t="str">
        <f t="shared" si="4"/>
        <v>-</v>
      </c>
      <c r="M92" s="280"/>
      <c r="N92" s="281"/>
      <c r="O92" s="281"/>
      <c r="P92" s="281"/>
      <c r="Q92" s="281"/>
      <c r="R92" s="282"/>
      <c r="S92" s="141"/>
    </row>
    <row r="93" spans="2:19" ht="17.399999999999999" customHeight="1">
      <c r="B93" s="139"/>
      <c r="G93" s="147" t="s">
        <v>276</v>
      </c>
      <c r="H93" s="250"/>
      <c r="I93" s="147">
        <f>COUNTIFS('Detalhe Entregas e Status'!$V:$V,'Status Resumo'!G93,'Detalhe Entregas e Status'!$B:$B,"lt006_instr_protection",'Detalhe Entregas e Status'!$C:$C,"&lt;&gt;"&amp;"UNIVERSO")</f>
        <v>0</v>
      </c>
      <c r="J93" s="147">
        <f>COUNTIFS('Detalhe Entregas e Status'!$W:$W,'Status Resumo'!G93,'Detalhe Entregas e Status'!$B:$B,"lt006_instr_protection",'Detalhe Entregas e Status'!$C:$C,"&lt;&gt;"&amp;"UNIVERSO")</f>
        <v>0</v>
      </c>
      <c r="K93" s="170" t="str">
        <f t="shared" si="4"/>
        <v>-</v>
      </c>
      <c r="M93" s="280"/>
      <c r="N93" s="281"/>
      <c r="O93" s="281"/>
      <c r="P93" s="281"/>
      <c r="Q93" s="281"/>
      <c r="R93" s="282"/>
      <c r="S93" s="141"/>
    </row>
    <row r="94" spans="2:19" ht="17.399999999999999" customHeight="1">
      <c r="B94" s="139"/>
      <c r="G94" s="147" t="s">
        <v>403</v>
      </c>
      <c r="H94" s="250"/>
      <c r="I94" s="147">
        <f>COUNTIFS('Detalhe Entregas e Status'!$V:$V,'Status Resumo'!G94,'Detalhe Entregas e Status'!$B:$B,"lt006_instr_protection",'Detalhe Entregas e Status'!$C:$C,"&lt;&gt;"&amp;"UNIVERSO")</f>
        <v>0</v>
      </c>
      <c r="J94" s="147">
        <f>COUNTIFS('Detalhe Entregas e Status'!$W:$W,'Status Resumo'!G94,'Detalhe Entregas e Status'!$B:$B,"lt006_instr_protection",'Detalhe Entregas e Status'!$C:$C,"&lt;&gt;"&amp;"UNIVERSO")</f>
        <v>0</v>
      </c>
      <c r="K94" s="170" t="str">
        <f t="shared" si="4"/>
        <v>-</v>
      </c>
      <c r="L94" s="143"/>
      <c r="M94" s="280"/>
      <c r="N94" s="281"/>
      <c r="O94" s="281"/>
      <c r="P94" s="281"/>
      <c r="Q94" s="281"/>
      <c r="R94" s="282"/>
      <c r="S94" s="141"/>
    </row>
    <row r="95" spans="2:19" ht="17.399999999999999" customHeight="1">
      <c r="B95" s="139"/>
      <c r="C95" s="140"/>
      <c r="F95" s="140"/>
      <c r="G95" s="147" t="s">
        <v>426</v>
      </c>
      <c r="I95" s="147">
        <f>COUNTIFS('Detalhe Entregas e Status'!$V:$V,'Status Resumo'!G95,'Detalhe Entregas e Status'!$B:$B,"lt006_instr_protection",'Detalhe Entregas e Status'!$C:$C,"&lt;&gt;"&amp;"UNIVERSO")</f>
        <v>0</v>
      </c>
      <c r="J95" s="147">
        <f>COUNTIFS('Detalhe Entregas e Status'!$W:$W,'Status Resumo'!G95,'Detalhe Entregas e Status'!$B:$B,"lt006_instr_protection",'Detalhe Entregas e Status'!$C:$C,"&lt;&gt;"&amp;"UNIVERSO")</f>
        <v>0</v>
      </c>
      <c r="K95" s="170" t="str">
        <f t="shared" si="4"/>
        <v>-</v>
      </c>
      <c r="L95" s="143"/>
      <c r="M95" s="283"/>
      <c r="N95" s="284"/>
      <c r="O95" s="284"/>
      <c r="P95" s="284"/>
      <c r="Q95" s="284"/>
      <c r="R95" s="285"/>
      <c r="S95" s="141"/>
    </row>
    <row r="96" spans="2:19" ht="17.399999999999999" customHeight="1">
      <c r="B96" s="139"/>
      <c r="C96" s="140"/>
      <c r="F96" s="140"/>
      <c r="G96" s="148" t="s">
        <v>267</v>
      </c>
      <c r="H96" s="148"/>
      <c r="I96" s="148">
        <f>SUM(I87:I95)</f>
        <v>5</v>
      </c>
      <c r="J96" s="148">
        <f>SUM(J87:J95)</f>
        <v>5</v>
      </c>
      <c r="K96" s="148"/>
      <c r="L96" s="143"/>
      <c r="S96" s="141"/>
    </row>
    <row r="97" spans="2:19" ht="17.399999999999999" customHeight="1">
      <c r="B97" s="139"/>
      <c r="J97" s="167"/>
      <c r="K97" s="167"/>
      <c r="L97" s="143"/>
      <c r="M97" s="153"/>
      <c r="N97" s="153"/>
      <c r="O97" s="153"/>
      <c r="P97" s="153"/>
      <c r="Q97" s="153"/>
      <c r="R97" s="153"/>
      <c r="S97" s="141"/>
    </row>
    <row r="98" spans="2:19" ht="17.399999999999999" customHeight="1">
      <c r="B98" s="139"/>
      <c r="G98" s="155" t="s">
        <v>274</v>
      </c>
      <c r="H98" s="155"/>
      <c r="I98" s="168">
        <f>I60</f>
        <v>45867</v>
      </c>
      <c r="J98" s="159"/>
      <c r="K98" s="159"/>
      <c r="L98" s="143"/>
      <c r="M98" s="153"/>
      <c r="N98" s="153"/>
      <c r="O98" s="153"/>
      <c r="P98" s="153"/>
      <c r="Q98" s="153"/>
      <c r="R98" s="153"/>
      <c r="S98" s="141"/>
    </row>
    <row r="99" spans="2:19" ht="17.399999999999999" customHeight="1">
      <c r="B99" s="139"/>
      <c r="G99" s="158" t="s">
        <v>61</v>
      </c>
      <c r="I99" s="159" t="s">
        <v>272</v>
      </c>
      <c r="J99" s="159"/>
      <c r="K99" s="159"/>
      <c r="L99" s="143"/>
      <c r="M99" s="153"/>
      <c r="N99" s="153"/>
      <c r="O99" s="153"/>
      <c r="P99" s="153"/>
      <c r="Q99" s="153"/>
      <c r="R99" s="153"/>
      <c r="S99" s="141"/>
    </row>
    <row r="100" spans="2:19" ht="17.399999999999999" customHeight="1">
      <c r="B100" s="144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</row>
    <row r="101" spans="2:19"/>
    <row r="102" spans="2:19" ht="18" customHeight="1">
      <c r="B102" s="270" t="s">
        <v>301</v>
      </c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</row>
    <row r="103" spans="2:19" ht="6.9" customHeight="1">
      <c r="G103" s="151"/>
    </row>
    <row r="104" spans="2:19" ht="17.399999999999999" customHeight="1">
      <c r="B104" s="136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</row>
    <row r="105" spans="2:19" ht="17.399999999999999" customHeight="1">
      <c r="B105" s="139"/>
      <c r="C105" s="140" t="s">
        <v>265</v>
      </c>
      <c r="G105" s="155" t="s">
        <v>273</v>
      </c>
      <c r="H105" s="155"/>
      <c r="I105" s="168">
        <f>I48</f>
        <v>45867</v>
      </c>
      <c r="J105" s="168">
        <f>J48</f>
        <v>45855</v>
      </c>
      <c r="K105" s="169" t="s">
        <v>283</v>
      </c>
      <c r="M105" s="152" t="s">
        <v>266</v>
      </c>
      <c r="S105" s="141"/>
    </row>
    <row r="106" spans="2:19" ht="17.399999999999999" customHeight="1">
      <c r="B106" s="139"/>
      <c r="G106" s="147" t="s">
        <v>113</v>
      </c>
      <c r="I106" s="147">
        <f>COUNTIFS('Detalhe Entregas e Status'!$V:$V,'Status Resumo'!G106,'Detalhe Entregas e Status'!$B:$B,"lt007_instr_activity",'Detalhe Entregas e Status'!$C:$C,"&lt;&gt;"&amp;"UNIVERSO")</f>
        <v>2</v>
      </c>
      <c r="J106" s="147">
        <f>COUNTIFS('Detalhe Entregas e Status'!$W:$W,'Status Resumo'!G106,'Detalhe Entregas e Status'!$B:$B,"lt007_instr_activity",'Detalhe Entregas e Status'!$C:$C,"&lt;&gt;"&amp;"UNIVERSO")</f>
        <v>2</v>
      </c>
      <c r="K106" s="170" t="str">
        <f t="shared" ref="K106:K114" si="5">IF(I106-J106=0,"-",IF(I106-J106&gt;0,_xlfn.CONCAT("+ ",I106-J106),_xlfn.CONCAT("- ",J106-I106)))</f>
        <v>-</v>
      </c>
      <c r="M106" s="275" t="s">
        <v>394</v>
      </c>
      <c r="N106" s="276"/>
      <c r="O106" s="276"/>
      <c r="P106" s="276"/>
      <c r="Q106" s="276"/>
      <c r="R106" s="276"/>
      <c r="S106" s="141"/>
    </row>
    <row r="107" spans="2:19" ht="17.399999999999999" customHeight="1">
      <c r="B107" s="139"/>
      <c r="G107" s="147" t="s">
        <v>116</v>
      </c>
      <c r="I107" s="147">
        <f>COUNTIFS('Detalhe Entregas e Status'!$V:$V,'Status Resumo'!G107,'Detalhe Entregas e Status'!$B:$B,"lt007_instr_activity",'Detalhe Entregas e Status'!$C:$C,"&lt;&gt;"&amp;"UNIVERSO")</f>
        <v>0</v>
      </c>
      <c r="J107" s="147">
        <f>COUNTIFS('Detalhe Entregas e Status'!$W:$W,'Status Resumo'!G107,'Detalhe Entregas e Status'!$B:$B,"lt007_instr_activity",'Detalhe Entregas e Status'!$C:$C,"&lt;&gt;"&amp;"UNIVERSO")</f>
        <v>0</v>
      </c>
      <c r="K107" s="170" t="str">
        <f t="shared" si="5"/>
        <v>-</v>
      </c>
      <c r="M107" s="276"/>
      <c r="N107" s="276"/>
      <c r="O107" s="276"/>
      <c r="P107" s="276"/>
      <c r="Q107" s="276"/>
      <c r="R107" s="276"/>
      <c r="S107" s="141"/>
    </row>
    <row r="108" spans="2:19" ht="17.399999999999999" customHeight="1">
      <c r="B108" s="139"/>
      <c r="G108" s="147" t="s">
        <v>114</v>
      </c>
      <c r="I108" s="147">
        <f>COUNTIFS('Detalhe Entregas e Status'!$V:$V,'Status Resumo'!G108,'Detalhe Entregas e Status'!$B:$B,"lt007_instr_activity",'Detalhe Entregas e Status'!$C:$C,"&lt;&gt;"&amp;"UNIVERSO")</f>
        <v>0</v>
      </c>
      <c r="J108" s="147">
        <f>COUNTIFS('Detalhe Entregas e Status'!$W:$W,'Status Resumo'!G108,'Detalhe Entregas e Status'!$B:$B,"lt007_instr_activity",'Detalhe Entregas e Status'!$C:$C,"&lt;&gt;"&amp;"UNIVERSO")</f>
        <v>0</v>
      </c>
      <c r="K108" s="170" t="str">
        <f t="shared" si="5"/>
        <v>-</v>
      </c>
      <c r="M108" s="276"/>
      <c r="N108" s="276"/>
      <c r="O108" s="276"/>
      <c r="P108" s="276"/>
      <c r="Q108" s="276"/>
      <c r="R108" s="276"/>
      <c r="S108" s="141"/>
    </row>
    <row r="109" spans="2:19" ht="17.399999999999999" customHeight="1">
      <c r="B109" s="139"/>
      <c r="D109" s="142"/>
      <c r="E109" s="142"/>
      <c r="G109" s="147" t="s">
        <v>115</v>
      </c>
      <c r="I109" s="147">
        <f>COUNTIFS('Detalhe Entregas e Status'!$V:$V,'Status Resumo'!G109,'Detalhe Entregas e Status'!$B:$B,"lt007_instr_activity",'Detalhe Entregas e Status'!$C:$C,"&lt;&gt;"&amp;"UNIVERSO")</f>
        <v>0</v>
      </c>
      <c r="J109" s="147">
        <f>COUNTIFS('Detalhe Entregas e Status'!$W:$W,'Status Resumo'!G109,'Detalhe Entregas e Status'!$B:$B,"lt007_instr_activity",'Detalhe Entregas e Status'!$C:$C,"&lt;&gt;"&amp;"UNIVERSO")</f>
        <v>0</v>
      </c>
      <c r="K109" s="170" t="str">
        <f t="shared" si="5"/>
        <v>-</v>
      </c>
      <c r="M109" s="276"/>
      <c r="N109" s="276"/>
      <c r="O109" s="276"/>
      <c r="P109" s="276"/>
      <c r="Q109" s="276"/>
      <c r="R109" s="276"/>
      <c r="S109" s="141"/>
    </row>
    <row r="110" spans="2:19" ht="17.399999999999999" customHeight="1">
      <c r="B110" s="139"/>
      <c r="D110" s="142"/>
      <c r="E110" s="142"/>
      <c r="G110" s="147" t="s">
        <v>121</v>
      </c>
      <c r="I110" s="147">
        <f>COUNTIFS('Detalhe Entregas e Status'!$V:$V,'Status Resumo'!G110,'Detalhe Entregas e Status'!$B:$B,"lt007_instr_activity",'Detalhe Entregas e Status'!$C:$C,"&lt;&gt;"&amp;"UNIVERSO")</f>
        <v>4</v>
      </c>
      <c r="J110" s="147">
        <f>COUNTIFS('Detalhe Entregas e Status'!$W:$W,'Status Resumo'!G110,'Detalhe Entregas e Status'!$B:$B,"lt007_instr_activity",'Detalhe Entregas e Status'!$C:$C,"&lt;&gt;"&amp;"UNIVERSO")</f>
        <v>2</v>
      </c>
      <c r="K110" s="170" t="str">
        <f t="shared" si="5"/>
        <v>+ 2</v>
      </c>
      <c r="M110" s="276"/>
      <c r="N110" s="276"/>
      <c r="O110" s="276"/>
      <c r="P110" s="276"/>
      <c r="Q110" s="276"/>
      <c r="R110" s="276"/>
      <c r="S110" s="141"/>
    </row>
    <row r="111" spans="2:19" ht="17.399999999999999" customHeight="1">
      <c r="B111" s="139"/>
      <c r="D111" s="142"/>
      <c r="E111" s="142"/>
      <c r="G111" s="147" t="s">
        <v>123</v>
      </c>
      <c r="I111" s="147">
        <f>COUNTIFS('Detalhe Entregas e Status'!$V:$V,'Status Resumo'!G111,'Detalhe Entregas e Status'!$B:$B,"lt007_instr_activity",'Detalhe Entregas e Status'!$C:$C,"&lt;&gt;"&amp;"UNIVERSO")</f>
        <v>0</v>
      </c>
      <c r="J111" s="147">
        <f>COUNTIFS('Detalhe Entregas e Status'!$W:$W,'Status Resumo'!G111,'Detalhe Entregas e Status'!$B:$B,"lt007_instr_activity",'Detalhe Entregas e Status'!$C:$C,"&lt;&gt;"&amp;"UNIVERSO")</f>
        <v>0</v>
      </c>
      <c r="K111" s="170" t="str">
        <f t="shared" si="5"/>
        <v>-</v>
      </c>
      <c r="M111" s="276"/>
      <c r="N111" s="276"/>
      <c r="O111" s="276"/>
      <c r="P111" s="276"/>
      <c r="Q111" s="276"/>
      <c r="R111" s="276"/>
      <c r="S111" s="141"/>
    </row>
    <row r="112" spans="2:19" ht="17.399999999999999" customHeight="1">
      <c r="B112" s="139"/>
      <c r="G112" s="147" t="s">
        <v>276</v>
      </c>
      <c r="H112" s="250"/>
      <c r="I112" s="147">
        <f>COUNTIFS('Detalhe Entregas e Status'!$V:$V,'Status Resumo'!G112,'Detalhe Entregas e Status'!$B:$B,"lt007_instr_activity",'Detalhe Entregas e Status'!$C:$C,"&lt;&gt;"&amp;"UNIVERSO")</f>
        <v>0</v>
      </c>
      <c r="J112" s="147">
        <f>COUNTIFS('Detalhe Entregas e Status'!$W:$W,'Status Resumo'!G112,'Detalhe Entregas e Status'!$B:$B,"lt007_instr_activity",'Detalhe Entregas e Status'!$C:$C,"&lt;&gt;"&amp;"UNIVERSO")</f>
        <v>0</v>
      </c>
      <c r="K112" s="170" t="str">
        <f t="shared" si="5"/>
        <v>-</v>
      </c>
      <c r="M112" s="276"/>
      <c r="N112" s="276"/>
      <c r="O112" s="276"/>
      <c r="P112" s="276"/>
      <c r="Q112" s="276"/>
      <c r="R112" s="276"/>
      <c r="S112" s="141"/>
    </row>
    <row r="113" spans="2:19" ht="17.399999999999999" customHeight="1">
      <c r="B113" s="139"/>
      <c r="G113" s="147" t="s">
        <v>403</v>
      </c>
      <c r="H113" s="250"/>
      <c r="I113" s="147">
        <f>COUNTIFS('Detalhe Entregas e Status'!$V:$V,'Status Resumo'!G113,'Detalhe Entregas e Status'!$B:$B,"lt007_instr_activity",'Detalhe Entregas e Status'!$C:$C,"&lt;&gt;"&amp;"UNIVERSO")</f>
        <v>0</v>
      </c>
      <c r="J113" s="147">
        <f>COUNTIFS('Detalhe Entregas e Status'!$W:$W,'Status Resumo'!G113,'Detalhe Entregas e Status'!$B:$B,"lt007_instr_activity",'Detalhe Entregas e Status'!$C:$C,"&lt;&gt;"&amp;"UNIVERSO")</f>
        <v>2</v>
      </c>
      <c r="K113" s="170" t="str">
        <f t="shared" si="5"/>
        <v>- 2</v>
      </c>
      <c r="L113" s="143"/>
      <c r="M113" s="276"/>
      <c r="N113" s="276"/>
      <c r="O113" s="276"/>
      <c r="P113" s="276"/>
      <c r="Q113" s="276"/>
      <c r="R113" s="276"/>
      <c r="S113" s="141"/>
    </row>
    <row r="114" spans="2:19" ht="17.399999999999999" customHeight="1">
      <c r="B114" s="139"/>
      <c r="C114" s="140"/>
      <c r="F114" s="140"/>
      <c r="G114" s="147" t="s">
        <v>426</v>
      </c>
      <c r="I114" s="147">
        <f>COUNTIFS('Detalhe Entregas e Status'!$V:$V,'Status Resumo'!G114,'Detalhe Entregas e Status'!$B:$B,"lt007_instr_activity",'Detalhe Entregas e Status'!$C:$C,"&lt;&gt;"&amp;"UNIVERSO")</f>
        <v>0</v>
      </c>
      <c r="J114" s="147">
        <f>COUNTIFS('Detalhe Entregas e Status'!$W:$W,'Status Resumo'!G114,'Detalhe Entregas e Status'!$B:$B,"lt007_instr_activity",'Detalhe Entregas e Status'!$C:$C,"&lt;&gt;"&amp;"UNIVERSO")</f>
        <v>0</v>
      </c>
      <c r="K114" s="170" t="str">
        <f t="shared" si="5"/>
        <v>-</v>
      </c>
      <c r="L114" s="143"/>
      <c r="M114" s="276"/>
      <c r="N114" s="276"/>
      <c r="O114" s="276"/>
      <c r="P114" s="276"/>
      <c r="Q114" s="276"/>
      <c r="R114" s="276"/>
      <c r="S114" s="141"/>
    </row>
    <row r="115" spans="2:19" ht="17.399999999999999" customHeight="1">
      <c r="B115" s="139"/>
      <c r="C115" s="140"/>
      <c r="F115" s="140"/>
      <c r="G115" s="148" t="s">
        <v>267</v>
      </c>
      <c r="H115" s="148"/>
      <c r="I115" s="148">
        <f>SUM(I106:I114)</f>
        <v>6</v>
      </c>
      <c r="J115" s="148">
        <f>SUM(J106:J114)</f>
        <v>6</v>
      </c>
      <c r="K115" s="148"/>
      <c r="L115" s="143"/>
      <c r="M115" s="153"/>
      <c r="N115" s="153"/>
      <c r="O115" s="153"/>
      <c r="P115" s="153"/>
      <c r="Q115" s="153"/>
      <c r="R115" s="153"/>
      <c r="S115" s="141"/>
    </row>
    <row r="116" spans="2:19" ht="17.399999999999999" customHeight="1">
      <c r="B116" s="139"/>
      <c r="J116" s="167"/>
      <c r="K116" s="167"/>
      <c r="L116" s="143"/>
      <c r="M116" s="153"/>
      <c r="N116" s="153"/>
      <c r="O116" s="153"/>
      <c r="P116" s="153"/>
      <c r="Q116" s="153"/>
      <c r="R116" s="153"/>
      <c r="S116" s="141"/>
    </row>
    <row r="117" spans="2:19" ht="17.399999999999999" customHeight="1">
      <c r="B117" s="139"/>
      <c r="G117" s="155" t="s">
        <v>274</v>
      </c>
      <c r="H117" s="155"/>
      <c r="I117" s="168">
        <f>I60</f>
        <v>45867</v>
      </c>
      <c r="J117" s="159"/>
      <c r="K117" s="159"/>
      <c r="L117" s="143"/>
      <c r="M117" s="153"/>
      <c r="N117" s="153"/>
      <c r="O117" s="153"/>
      <c r="P117" s="153"/>
      <c r="Q117" s="153"/>
      <c r="R117" s="153"/>
      <c r="S117" s="141"/>
    </row>
    <row r="118" spans="2:19" ht="17.399999999999999" customHeight="1">
      <c r="B118" s="139"/>
      <c r="G118" s="158" t="s">
        <v>63</v>
      </c>
      <c r="I118" s="249" t="s">
        <v>405</v>
      </c>
      <c r="J118" s="159"/>
      <c r="K118" s="159"/>
      <c r="L118" s="143"/>
      <c r="M118" s="153"/>
      <c r="N118" s="153"/>
      <c r="O118" s="153"/>
      <c r="P118" s="153"/>
      <c r="Q118" s="153"/>
      <c r="R118" s="153"/>
      <c r="S118" s="141"/>
    </row>
    <row r="119" spans="2:19" ht="17.399999999999999" customHeight="1">
      <c r="B119" s="144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6"/>
    </row>
    <row r="120" spans="2:19"/>
    <row r="121" spans="2:19"/>
    <row r="122" spans="2:19"/>
    <row r="123" spans="2:19"/>
  </sheetData>
  <mergeCells count="37">
    <mergeCell ref="M106:R114"/>
    <mergeCell ref="B83:S83"/>
    <mergeCell ref="B64:S64"/>
    <mergeCell ref="B102:S102"/>
    <mergeCell ref="M49:R57"/>
    <mergeCell ref="M68:R76"/>
    <mergeCell ref="M87:R95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D41:F41"/>
    <mergeCell ref="D35:F35"/>
    <mergeCell ref="G35:P35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N3" sqref="N3:P11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2.5546875" bestFit="1" customWidth="1"/>
    <col min="7" max="7" width="18.33203125" bestFit="1" customWidth="1"/>
    <col min="10" max="10" width="12.5546875" bestFit="1" customWidth="1"/>
    <col min="11" max="11" width="20.77734375" bestFit="1" customWidth="1"/>
    <col min="14" max="14" width="22.2187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426</v>
      </c>
      <c r="F3" s="149" t="s">
        <v>81</v>
      </c>
      <c r="G3" t="s">
        <v>278</v>
      </c>
      <c r="N3" s="221" t="s">
        <v>374</v>
      </c>
      <c r="O3" s="221">
        <v>69</v>
      </c>
      <c r="P3" s="222">
        <f>P4+P8+P9</f>
        <v>0.62318840579710144</v>
      </c>
    </row>
    <row r="4" spans="2:16">
      <c r="B4" s="18" t="s">
        <v>1</v>
      </c>
      <c r="C4" s="18" t="s">
        <v>2</v>
      </c>
      <c r="D4" s="29" t="s">
        <v>121</v>
      </c>
      <c r="N4" s="223" t="s">
        <v>377</v>
      </c>
      <c r="O4" s="223">
        <f>COUNTIFS($D$3:$D$75,"&lt;&gt;"&amp;"6. Por Iniciar",$D$3:$D$75,"&lt;&gt;"&amp;"2. Em Teste",$C$3:$C$75,"&lt;&gt;"&amp;"UNIVERSO",$D$3:$D$75,"&lt;&gt;"&amp;"5. Em Re-teste",$D$3:$D$75,"&lt;&gt;"&amp;"8. Pendente ")</f>
        <v>43</v>
      </c>
      <c r="P4" s="224">
        <f>O4/$O$3</f>
        <v>0.62318840579710144</v>
      </c>
    </row>
    <row r="5" spans="2:16">
      <c r="B5" s="13" t="s">
        <v>1</v>
      </c>
      <c r="C5" s="13" t="s">
        <v>5</v>
      </c>
      <c r="D5" s="29" t="s">
        <v>121</v>
      </c>
      <c r="F5" s="149" t="s">
        <v>269</v>
      </c>
      <c r="G5" t="s">
        <v>270</v>
      </c>
      <c r="N5" s="225" t="s">
        <v>378</v>
      </c>
      <c r="O5" s="226">
        <f>COUNTIFS($D$3:$D$75,"1. Concluído",$C$3:$C$75,"&lt;&gt;"&amp;"UNIVERSO")</f>
        <v>26</v>
      </c>
      <c r="P5" s="227">
        <f t="shared" ref="P5:P7" si="0">O5/$O$3</f>
        <v>0.37681159420289856</v>
      </c>
    </row>
    <row r="6" spans="2:16">
      <c r="B6" s="13" t="s">
        <v>1</v>
      </c>
      <c r="C6" s="13" t="s">
        <v>6</v>
      </c>
      <c r="D6" s="29" t="s">
        <v>426</v>
      </c>
      <c r="F6" s="150" t="s">
        <v>113</v>
      </c>
      <c r="G6">
        <v>14</v>
      </c>
      <c r="N6" s="105" t="s">
        <v>307</v>
      </c>
      <c r="O6" s="147">
        <f>COUNTIFS($D$3:$D$75,"4. Em Correção",$C$3:$C$75,"&lt;&gt;"&amp;"UNIVERSO")</f>
        <v>0</v>
      </c>
      <c r="P6" s="228">
        <f t="shared" si="0"/>
        <v>0</v>
      </c>
    </row>
    <row r="7" spans="2:16">
      <c r="B7" s="13" t="s">
        <v>1</v>
      </c>
      <c r="C7" s="13" t="s">
        <v>7</v>
      </c>
      <c r="D7" s="29" t="s">
        <v>121</v>
      </c>
      <c r="F7" s="150" t="s">
        <v>121</v>
      </c>
      <c r="G7">
        <v>21</v>
      </c>
      <c r="N7" s="105" t="s">
        <v>432</v>
      </c>
      <c r="O7" s="147">
        <f>COUNTIFS($D$3:$D$75,"9. Retestado c/ incidências",$C$3:$C$75,"&lt;&gt;"&amp;"UNIVERSO")</f>
        <v>17</v>
      </c>
      <c r="P7" s="228">
        <f t="shared" si="0"/>
        <v>0.24637681159420291</v>
      </c>
    </row>
    <row r="8" spans="2:16">
      <c r="B8" s="13" t="s">
        <v>1</v>
      </c>
      <c r="C8" s="13" t="s">
        <v>8</v>
      </c>
      <c r="D8" s="29" t="s">
        <v>121</v>
      </c>
      <c r="F8" s="150" t="s">
        <v>426</v>
      </c>
      <c r="G8">
        <v>16</v>
      </c>
      <c r="N8" s="229" t="s">
        <v>359</v>
      </c>
      <c r="O8" s="229">
        <f>COUNTIFS($D$3:$D$75,"2. Em Teste",$C$3:$C$75,"&lt;&gt;"&amp;"UNIVERSO")</f>
        <v>0</v>
      </c>
      <c r="P8" s="230">
        <f>O8/$O$3</f>
        <v>0</v>
      </c>
    </row>
    <row r="9" spans="2:16">
      <c r="B9" s="13" t="s">
        <v>1</v>
      </c>
      <c r="C9" s="13" t="s">
        <v>9</v>
      </c>
      <c r="D9" s="29" t="s">
        <v>121</v>
      </c>
      <c r="N9" s="229" t="s">
        <v>360</v>
      </c>
      <c r="O9" s="229">
        <f>COUNTIFS($D$3:$D$75,"6. Por Iniciar",$C$3:$C$75,"&lt;&gt;"&amp;"UNIVERSO")</f>
        <v>0</v>
      </c>
      <c r="P9" s="230">
        <f>O9/$O$3</f>
        <v>0</v>
      </c>
    </row>
    <row r="10" spans="2:16">
      <c r="B10" s="13" t="s">
        <v>1</v>
      </c>
      <c r="C10" s="13" t="s">
        <v>10</v>
      </c>
      <c r="D10" s="29" t="s">
        <v>426</v>
      </c>
      <c r="N10" s="229" t="s">
        <v>388</v>
      </c>
      <c r="O10" s="229">
        <f>COUNTIFS($D$3:$D$75,"5. Em Re-teste",$C$3:$C$75,"&lt;&gt;"&amp;"UNIVERSO")</f>
        <v>26</v>
      </c>
      <c r="P10" s="230">
        <f t="shared" ref="P10:P11" si="1">O10/$O$3</f>
        <v>0.37681159420289856</v>
      </c>
    </row>
    <row r="11" spans="2:16">
      <c r="B11" s="13" t="s">
        <v>1</v>
      </c>
      <c r="C11" s="13" t="s">
        <v>11</v>
      </c>
      <c r="D11" s="29" t="s">
        <v>121</v>
      </c>
      <c r="N11" s="229" t="s">
        <v>404</v>
      </c>
      <c r="O11" s="229">
        <f>COUNTIFS($D$3:$D$75,"8. Pendente ",$C$3:$C$75,"&lt;&gt;"&amp;"UNIVERSO")</f>
        <v>0</v>
      </c>
      <c r="P11" s="230">
        <f t="shared" si="1"/>
        <v>0</v>
      </c>
    </row>
    <row r="12" spans="2:16">
      <c r="B12" s="13" t="s">
        <v>1</v>
      </c>
      <c r="C12" s="13" t="s">
        <v>12</v>
      </c>
      <c r="D12" s="29" t="s">
        <v>121</v>
      </c>
    </row>
    <row r="13" spans="2:16">
      <c r="B13" s="13" t="s">
        <v>1</v>
      </c>
      <c r="C13" s="13" t="s">
        <v>13</v>
      </c>
      <c r="D13" s="29" t="s">
        <v>121</v>
      </c>
    </row>
    <row r="14" spans="2:16">
      <c r="B14" s="13" t="s">
        <v>1</v>
      </c>
      <c r="C14" s="13" t="s">
        <v>14</v>
      </c>
      <c r="D14" s="29" t="s">
        <v>426</v>
      </c>
    </row>
    <row r="15" spans="2:16">
      <c r="B15" s="13" t="s">
        <v>1</v>
      </c>
      <c r="C15" s="13" t="s">
        <v>15</v>
      </c>
      <c r="D15" s="29" t="s">
        <v>113</v>
      </c>
    </row>
    <row r="16" spans="2:16">
      <c r="B16" s="13" t="s">
        <v>1</v>
      </c>
      <c r="C16" s="13" t="s">
        <v>16</v>
      </c>
      <c r="D16" s="29" t="s">
        <v>113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113</v>
      </c>
      <c r="F17" s="149" t="s">
        <v>81</v>
      </c>
      <c r="G17" t="s">
        <v>278</v>
      </c>
    </row>
    <row r="18" spans="2:11">
      <c r="B18" s="13" t="s">
        <v>1</v>
      </c>
      <c r="C18" s="13" t="s">
        <v>18</v>
      </c>
      <c r="D18" s="29" t="s">
        <v>121</v>
      </c>
    </row>
    <row r="19" spans="2:11">
      <c r="B19" s="13" t="s">
        <v>1</v>
      </c>
      <c r="C19" s="13" t="s">
        <v>19</v>
      </c>
      <c r="D19" s="29" t="s">
        <v>113</v>
      </c>
      <c r="F19" s="149" t="s">
        <v>269</v>
      </c>
      <c r="G19" t="s">
        <v>270</v>
      </c>
    </row>
    <row r="20" spans="2:11">
      <c r="B20" s="13" t="s">
        <v>1</v>
      </c>
      <c r="C20" s="13" t="s">
        <v>20</v>
      </c>
      <c r="D20" s="29" t="s">
        <v>121</v>
      </c>
      <c r="F20" s="150" t="s">
        <v>113</v>
      </c>
      <c r="G20">
        <v>6</v>
      </c>
    </row>
    <row r="21" spans="2:11">
      <c r="B21" s="13" t="s">
        <v>1</v>
      </c>
      <c r="C21" s="13" t="s">
        <v>21</v>
      </c>
      <c r="D21" s="29" t="s">
        <v>121</v>
      </c>
      <c r="F21" s="150" t="s">
        <v>426</v>
      </c>
      <c r="G21">
        <v>1</v>
      </c>
    </row>
    <row r="22" spans="2:11">
      <c r="B22" s="13" t="s">
        <v>1</v>
      </c>
      <c r="C22" s="13" t="s">
        <v>22</v>
      </c>
      <c r="D22" s="29" t="s">
        <v>121</v>
      </c>
    </row>
    <row r="23" spans="2:11">
      <c r="B23" s="13" t="s">
        <v>1</v>
      </c>
      <c r="C23" s="13" t="s">
        <v>23</v>
      </c>
      <c r="D23" s="29" t="s">
        <v>121</v>
      </c>
    </row>
    <row r="24" spans="2:11">
      <c r="B24" s="13" t="s">
        <v>1</v>
      </c>
      <c r="C24" s="13" t="s">
        <v>24</v>
      </c>
      <c r="D24" s="29" t="s">
        <v>121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113</v>
      </c>
      <c r="F25" s="149" t="s">
        <v>81</v>
      </c>
      <c r="G25" t="s">
        <v>278</v>
      </c>
      <c r="J25" s="149" t="s">
        <v>81</v>
      </c>
      <c r="K25" t="s">
        <v>278</v>
      </c>
    </row>
    <row r="26" spans="2:11">
      <c r="B26" s="13" t="s">
        <v>1</v>
      </c>
      <c r="C26" s="13" t="s">
        <v>26</v>
      </c>
      <c r="D26" s="29" t="s">
        <v>113</v>
      </c>
    </row>
    <row r="27" spans="2:11">
      <c r="B27" s="13" t="s">
        <v>1</v>
      </c>
      <c r="C27" s="13" t="s">
        <v>27</v>
      </c>
      <c r="D27" s="29" t="s">
        <v>113</v>
      </c>
      <c r="F27" s="149" t="s">
        <v>269</v>
      </c>
      <c r="G27" t="s">
        <v>270</v>
      </c>
      <c r="J27" s="149" t="s">
        <v>269</v>
      </c>
      <c r="K27" t="s">
        <v>270</v>
      </c>
    </row>
    <row r="28" spans="2:11">
      <c r="B28" s="13" t="s">
        <v>1</v>
      </c>
      <c r="C28" s="13" t="s">
        <v>28</v>
      </c>
      <c r="D28" s="29" t="s">
        <v>113</v>
      </c>
      <c r="F28" s="150" t="s">
        <v>113</v>
      </c>
      <c r="G28">
        <v>2</v>
      </c>
      <c r="J28" s="150" t="s">
        <v>113</v>
      </c>
      <c r="K28">
        <v>4</v>
      </c>
    </row>
    <row r="29" spans="2:11">
      <c r="B29" s="13" t="s">
        <v>1</v>
      </c>
      <c r="C29" s="13" t="s">
        <v>29</v>
      </c>
      <c r="D29" s="29" t="s">
        <v>113</v>
      </c>
      <c r="F29" s="150" t="s">
        <v>121</v>
      </c>
      <c r="G29">
        <v>4</v>
      </c>
      <c r="J29" s="150" t="s">
        <v>121</v>
      </c>
      <c r="K29">
        <v>1</v>
      </c>
    </row>
    <row r="30" spans="2:11">
      <c r="B30" s="13" t="s">
        <v>1</v>
      </c>
      <c r="C30" s="13" t="s">
        <v>30</v>
      </c>
      <c r="D30" s="29" t="s">
        <v>113</v>
      </c>
    </row>
    <row r="31" spans="2:11">
      <c r="B31" s="13" t="s">
        <v>1</v>
      </c>
      <c r="C31" s="13" t="s">
        <v>31</v>
      </c>
      <c r="D31" s="29" t="s">
        <v>113</v>
      </c>
    </row>
    <row r="32" spans="2:11">
      <c r="B32" s="13" t="s">
        <v>1</v>
      </c>
      <c r="C32" s="13" t="s">
        <v>32</v>
      </c>
      <c r="D32" s="29" t="s">
        <v>113</v>
      </c>
    </row>
    <row r="33" spans="2:4">
      <c r="B33" s="13" t="s">
        <v>1</v>
      </c>
      <c r="C33" s="13" t="s">
        <v>33</v>
      </c>
      <c r="D33" s="29" t="s">
        <v>426</v>
      </c>
    </row>
    <row r="34" spans="2:4">
      <c r="B34" s="13" t="s">
        <v>1</v>
      </c>
      <c r="C34" s="13" t="s">
        <v>34</v>
      </c>
      <c r="D34" s="29" t="s">
        <v>426</v>
      </c>
    </row>
    <row r="35" spans="2:4">
      <c r="B35" s="13" t="s">
        <v>1</v>
      </c>
      <c r="C35" s="13" t="s">
        <v>35</v>
      </c>
      <c r="D35" s="29" t="s">
        <v>426</v>
      </c>
    </row>
    <row r="36" spans="2:4">
      <c r="B36" s="13" t="s">
        <v>1</v>
      </c>
      <c r="C36" s="13" t="s">
        <v>36</v>
      </c>
      <c r="D36" s="29" t="s">
        <v>113</v>
      </c>
    </row>
    <row r="37" spans="2:4">
      <c r="B37" s="13" t="s">
        <v>1</v>
      </c>
      <c r="C37" s="13" t="s">
        <v>37</v>
      </c>
      <c r="D37" s="29" t="s">
        <v>121</v>
      </c>
    </row>
    <row r="38" spans="2:4">
      <c r="B38" s="13" t="s">
        <v>1</v>
      </c>
      <c r="C38" s="13" t="s">
        <v>38</v>
      </c>
      <c r="D38" s="29" t="s">
        <v>113</v>
      </c>
    </row>
    <row r="39" spans="2:4">
      <c r="B39" s="13" t="s">
        <v>1</v>
      </c>
      <c r="C39" s="13" t="s">
        <v>39</v>
      </c>
      <c r="D39" s="29" t="s">
        <v>121</v>
      </c>
    </row>
    <row r="40" spans="2:4">
      <c r="B40" s="13" t="s">
        <v>1</v>
      </c>
      <c r="C40" s="13" t="s">
        <v>40</v>
      </c>
      <c r="D40" s="29" t="s">
        <v>426</v>
      </c>
    </row>
    <row r="41" spans="2:4">
      <c r="B41" s="13" t="s">
        <v>1</v>
      </c>
      <c r="C41" s="13" t="s">
        <v>41</v>
      </c>
      <c r="D41" s="29" t="s">
        <v>426</v>
      </c>
    </row>
    <row r="42" spans="2:4">
      <c r="B42" s="13" t="s">
        <v>1</v>
      </c>
      <c r="C42" s="13" t="s">
        <v>42</v>
      </c>
      <c r="D42" s="29" t="s">
        <v>121</v>
      </c>
    </row>
    <row r="43" spans="2:4">
      <c r="B43" s="13" t="s">
        <v>1</v>
      </c>
      <c r="C43" s="13" t="s">
        <v>43</v>
      </c>
      <c r="D43" s="29" t="s">
        <v>426</v>
      </c>
    </row>
    <row r="44" spans="2:4">
      <c r="B44" s="13" t="s">
        <v>1</v>
      </c>
      <c r="C44" s="13" t="s">
        <v>44</v>
      </c>
      <c r="D44" s="29" t="s">
        <v>426</v>
      </c>
    </row>
    <row r="45" spans="2:4">
      <c r="B45" s="13" t="s">
        <v>1</v>
      </c>
      <c r="C45" s="13" t="s">
        <v>45</v>
      </c>
      <c r="D45" s="29" t="s">
        <v>121</v>
      </c>
    </row>
    <row r="46" spans="2:4">
      <c r="B46" s="13" t="s">
        <v>1</v>
      </c>
      <c r="C46" s="13" t="s">
        <v>46</v>
      </c>
      <c r="D46" s="29" t="s">
        <v>426</v>
      </c>
    </row>
    <row r="47" spans="2:4">
      <c r="B47" s="13" t="s">
        <v>1</v>
      </c>
      <c r="C47" s="13" t="s">
        <v>47</v>
      </c>
      <c r="D47" s="29" t="s">
        <v>426</v>
      </c>
    </row>
    <row r="48" spans="2:4">
      <c r="B48" s="13" t="s">
        <v>1</v>
      </c>
      <c r="C48" s="13" t="s">
        <v>48</v>
      </c>
      <c r="D48" s="29" t="s">
        <v>121</v>
      </c>
    </row>
    <row r="49" spans="2:4">
      <c r="B49" s="13" t="s">
        <v>1</v>
      </c>
      <c r="C49" s="13" t="s">
        <v>49</v>
      </c>
      <c r="D49" s="29" t="s">
        <v>426</v>
      </c>
    </row>
    <row r="50" spans="2:4">
      <c r="B50" s="13" t="s">
        <v>1</v>
      </c>
      <c r="C50" s="13" t="s">
        <v>50</v>
      </c>
      <c r="D50" s="29" t="s">
        <v>121</v>
      </c>
    </row>
    <row r="51" spans="2:4">
      <c r="B51" s="13" t="s">
        <v>1</v>
      </c>
      <c r="C51" s="13" t="s">
        <v>51</v>
      </c>
      <c r="D51" s="29" t="s">
        <v>426</v>
      </c>
    </row>
    <row r="52" spans="2:4">
      <c r="B52" s="13" t="s">
        <v>1</v>
      </c>
      <c r="C52" s="13" t="s">
        <v>52</v>
      </c>
      <c r="D52" s="29" t="s">
        <v>121</v>
      </c>
    </row>
    <row r="53" spans="2:4">
      <c r="B53" s="13" t="s">
        <v>1</v>
      </c>
      <c r="C53" s="13" t="s">
        <v>53</v>
      </c>
      <c r="D53" s="29" t="s">
        <v>426</v>
      </c>
    </row>
    <row r="54" spans="2:4">
      <c r="B54" s="13" t="s">
        <v>1</v>
      </c>
      <c r="C54" s="13" t="s">
        <v>54</v>
      </c>
      <c r="D54" s="29" t="s">
        <v>426</v>
      </c>
    </row>
    <row r="55" spans="2:4">
      <c r="B55" s="13" t="s">
        <v>55</v>
      </c>
      <c r="C55" s="13" t="s">
        <v>89</v>
      </c>
      <c r="D55" s="29" t="s">
        <v>113</v>
      </c>
    </row>
    <row r="56" spans="2:4">
      <c r="B56" s="13" t="s">
        <v>55</v>
      </c>
      <c r="C56" s="13" t="s">
        <v>36</v>
      </c>
      <c r="D56" s="29" t="s">
        <v>113</v>
      </c>
    </row>
    <row r="57" spans="2:4">
      <c r="B57" s="13" t="s">
        <v>55</v>
      </c>
      <c r="C57" s="13" t="s">
        <v>38</v>
      </c>
      <c r="D57" s="29" t="s">
        <v>113</v>
      </c>
    </row>
    <row r="58" spans="2:4">
      <c r="B58" s="13" t="s">
        <v>55</v>
      </c>
      <c r="C58" s="13" t="s">
        <v>56</v>
      </c>
      <c r="D58" s="29" t="s">
        <v>113</v>
      </c>
    </row>
    <row r="59" spans="2:4">
      <c r="B59" s="13" t="s">
        <v>55</v>
      </c>
      <c r="C59" s="13" t="s">
        <v>57</v>
      </c>
      <c r="D59" s="29" t="s">
        <v>113</v>
      </c>
    </row>
    <row r="60" spans="2:4">
      <c r="B60" s="13" t="s">
        <v>55</v>
      </c>
      <c r="C60" s="13" t="s">
        <v>58</v>
      </c>
      <c r="D60" s="29" t="s">
        <v>426</v>
      </c>
    </row>
    <row r="61" spans="2:4">
      <c r="B61" s="13" t="s">
        <v>55</v>
      </c>
      <c r="C61" s="13" t="s">
        <v>59</v>
      </c>
      <c r="D61" s="29" t="s">
        <v>113</v>
      </c>
    </row>
    <row r="62" spans="2:4">
      <c r="B62" s="13" t="s">
        <v>55</v>
      </c>
      <c r="C62" s="13" t="s">
        <v>60</v>
      </c>
      <c r="D62" s="29" t="s">
        <v>113</v>
      </c>
    </row>
    <row r="63" spans="2:4">
      <c r="B63" s="13" t="s">
        <v>61</v>
      </c>
      <c r="C63" s="13" t="s">
        <v>89</v>
      </c>
      <c r="D63" s="29" t="s">
        <v>113</v>
      </c>
    </row>
    <row r="64" spans="2:4">
      <c r="B64" s="13" t="s">
        <v>61</v>
      </c>
      <c r="C64" s="13" t="s">
        <v>36</v>
      </c>
      <c r="D64" s="29" t="s">
        <v>113</v>
      </c>
    </row>
    <row r="65" spans="2:4">
      <c r="B65" s="13" t="s">
        <v>61</v>
      </c>
      <c r="C65" s="13" t="s">
        <v>38</v>
      </c>
      <c r="D65" s="29" t="s">
        <v>113</v>
      </c>
    </row>
    <row r="66" spans="2:4">
      <c r="B66" s="13" t="s">
        <v>61</v>
      </c>
      <c r="C66" s="13" t="s">
        <v>54</v>
      </c>
      <c r="D66" s="29" t="s">
        <v>113</v>
      </c>
    </row>
    <row r="67" spans="2:4">
      <c r="B67" s="13" t="s">
        <v>61</v>
      </c>
      <c r="C67" s="13" t="s">
        <v>56</v>
      </c>
      <c r="D67" s="29" t="s">
        <v>113</v>
      </c>
    </row>
    <row r="68" spans="2:4">
      <c r="B68" s="13" t="s">
        <v>61</v>
      </c>
      <c r="C68" s="13" t="s">
        <v>62</v>
      </c>
      <c r="D68" s="29" t="s">
        <v>121</v>
      </c>
    </row>
    <row r="69" spans="2:4">
      <c r="B69" s="13" t="s">
        <v>63</v>
      </c>
      <c r="C69" s="13" t="s">
        <v>89</v>
      </c>
      <c r="D69" s="29" t="s">
        <v>121</v>
      </c>
    </row>
    <row r="70" spans="2:4">
      <c r="B70" s="13" t="s">
        <v>63</v>
      </c>
      <c r="C70" s="13" t="s">
        <v>64</v>
      </c>
      <c r="D70" s="29" t="s">
        <v>121</v>
      </c>
    </row>
    <row r="71" spans="2:4">
      <c r="B71" s="13" t="s">
        <v>63</v>
      </c>
      <c r="C71" s="13" t="s">
        <v>65</v>
      </c>
      <c r="D71" s="29" t="s">
        <v>121</v>
      </c>
    </row>
    <row r="72" spans="2:4">
      <c r="B72" s="13" t="s">
        <v>63</v>
      </c>
      <c r="C72" s="13" t="s">
        <v>66</v>
      </c>
      <c r="D72" s="29" t="s">
        <v>121</v>
      </c>
    </row>
    <row r="73" spans="2:4">
      <c r="B73" s="13" t="s">
        <v>63</v>
      </c>
      <c r="C73" s="13" t="s">
        <v>36</v>
      </c>
      <c r="D73" s="29" t="s">
        <v>113</v>
      </c>
    </row>
    <row r="74" spans="2:4">
      <c r="B74" s="13" t="s">
        <v>63</v>
      </c>
      <c r="C74" s="13" t="s">
        <v>38</v>
      </c>
      <c r="D74" s="29" t="s">
        <v>113</v>
      </c>
    </row>
    <row r="75" spans="2:4">
      <c r="B75" s="13" t="s">
        <v>63</v>
      </c>
      <c r="C75" s="13" t="s">
        <v>54</v>
      </c>
      <c r="D75" s="29" t="s">
        <v>121</v>
      </c>
    </row>
  </sheetData>
  <conditionalFormatting sqref="D3:D75">
    <cfRule type="cellIs" dxfId="26" priority="1" operator="equal">
      <formula>"9. Retestado c/ incidências"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39FB8570-945D-4FC0-A488-688022C4A925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E0E91549-5998-440B-AA15-90E7364FE973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663FFBE4-BF94-47CD-A408-3CC17CC4A35D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96388592-1D62-424C-AB4D-58E27F46A5FC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36F67407-9D78-4F93-AEA6-0D4D122CEFA7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7E66C8D9-13FE-4022-AED1-AC325A40359F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A3EB94E3-3777-4A12-BAA2-D9A22E31C35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FD592753-69A7-4789-BEFB-CDEA9FD2E388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FB4D9D-2D7A-47C7-8551-5314729B58BF}">
          <x14:formula1>
            <xm:f>'Aux Testes_Status'!$B$20:$B$28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248</v>
      </c>
    </row>
    <row r="8" spans="1:52" ht="6.9" customHeight="1"/>
    <row r="9" spans="1:52">
      <c r="B9" s="162" t="s">
        <v>279</v>
      </c>
      <c r="C9" s="105" t="s">
        <v>249</v>
      </c>
    </row>
    <row r="10" spans="1:52" ht="13.8">
      <c r="B10" s="92" t="s">
        <v>244</v>
      </c>
      <c r="C10" s="105" t="s">
        <v>251</v>
      </c>
    </row>
    <row r="11" spans="1:52" ht="14.4">
      <c r="B11" s="90">
        <v>3</v>
      </c>
      <c r="C11" s="105" t="s">
        <v>250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86" t="s">
        <v>133</v>
      </c>
      <c r="H14" s="287"/>
      <c r="I14" s="287"/>
      <c r="J14" s="288"/>
      <c r="K14" s="286" t="s">
        <v>134</v>
      </c>
      <c r="L14" s="287"/>
      <c r="M14" s="287"/>
      <c r="N14" s="287"/>
      <c r="O14" s="288"/>
      <c r="P14" s="286" t="s">
        <v>135</v>
      </c>
      <c r="Q14" s="287"/>
      <c r="R14" s="287"/>
      <c r="S14" s="287"/>
      <c r="T14" s="288"/>
      <c r="U14" s="286" t="s">
        <v>136</v>
      </c>
      <c r="V14" s="287"/>
      <c r="W14" s="287"/>
      <c r="X14" s="287"/>
      <c r="Y14" s="287"/>
      <c r="Z14" s="286" t="s">
        <v>137</v>
      </c>
      <c r="AA14" s="287"/>
      <c r="AB14" s="287"/>
      <c r="AC14" s="287"/>
      <c r="AD14" s="287"/>
      <c r="AE14" s="288"/>
      <c r="AF14" s="286" t="s">
        <v>138</v>
      </c>
      <c r="AG14" s="287"/>
      <c r="AH14" s="287"/>
      <c r="AI14" s="287"/>
      <c r="AJ14" s="287"/>
      <c r="AK14" s="286" t="s">
        <v>139</v>
      </c>
      <c r="AL14" s="287"/>
      <c r="AM14" s="287"/>
      <c r="AN14" s="288"/>
      <c r="AO14" s="286" t="s">
        <v>140</v>
      </c>
      <c r="AP14" s="287"/>
      <c r="AQ14" s="287"/>
      <c r="AR14" s="287"/>
      <c r="AS14" s="287"/>
      <c r="AT14" s="286" t="s">
        <v>141</v>
      </c>
      <c r="AU14" s="287"/>
      <c r="AV14" s="287"/>
      <c r="AW14" s="287"/>
      <c r="AX14" s="287"/>
      <c r="AY14" s="288"/>
    </row>
    <row r="15" spans="1:52" ht="15" customHeight="1" thickBot="1">
      <c r="B15" s="50" t="s">
        <v>126</v>
      </c>
      <c r="C15" s="286" t="s">
        <v>127</v>
      </c>
      <c r="D15" s="288"/>
      <c r="E15" s="50" t="s">
        <v>128</v>
      </c>
      <c r="G15" s="289" t="s">
        <v>255</v>
      </c>
      <c r="H15" s="290"/>
      <c r="I15" s="290"/>
      <c r="J15" s="291"/>
      <c r="K15" s="289" t="s">
        <v>256</v>
      </c>
      <c r="L15" s="290"/>
      <c r="M15" s="290"/>
      <c r="N15" s="290"/>
      <c r="O15" s="291"/>
      <c r="P15" s="289" t="s">
        <v>257</v>
      </c>
      <c r="Q15" s="290"/>
      <c r="R15" s="290"/>
      <c r="S15" s="290"/>
      <c r="T15" s="291"/>
      <c r="U15" s="289" t="s">
        <v>258</v>
      </c>
      <c r="V15" s="290"/>
      <c r="W15" s="290"/>
      <c r="X15" s="290"/>
      <c r="Y15" s="291"/>
      <c r="Z15" s="292" t="s">
        <v>259</v>
      </c>
      <c r="AA15" s="293"/>
      <c r="AB15" s="293"/>
      <c r="AC15" s="293"/>
      <c r="AD15" s="293"/>
      <c r="AE15" s="294"/>
      <c r="AF15" s="289" t="s">
        <v>260</v>
      </c>
      <c r="AG15" s="290"/>
      <c r="AH15" s="290"/>
      <c r="AI15" s="290"/>
      <c r="AJ15" s="291"/>
      <c r="AK15" s="289" t="s">
        <v>261</v>
      </c>
      <c r="AL15" s="290"/>
      <c r="AM15" s="290"/>
      <c r="AN15" s="291"/>
      <c r="AO15" s="289" t="s">
        <v>262</v>
      </c>
      <c r="AP15" s="290"/>
      <c r="AQ15" s="290"/>
      <c r="AR15" s="290"/>
      <c r="AS15" s="291"/>
      <c r="AT15" s="289" t="s">
        <v>263</v>
      </c>
      <c r="AU15" s="290"/>
      <c r="AV15" s="290"/>
      <c r="AW15" s="290"/>
      <c r="AX15" s="290"/>
      <c r="AY15" s="291"/>
    </row>
    <row r="16" spans="1:52" s="8" customFormat="1" ht="15" customHeight="1">
      <c r="B16" s="55" t="s">
        <v>142</v>
      </c>
      <c r="C16" s="296" t="s">
        <v>143</v>
      </c>
      <c r="D16" s="296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145</v>
      </c>
      <c r="C17" s="297" t="s">
        <v>234</v>
      </c>
      <c r="D17" s="297"/>
      <c r="E17" s="64" t="s">
        <v>232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233</v>
      </c>
      <c r="C18" s="297" t="s">
        <v>146</v>
      </c>
      <c r="D18" s="297"/>
      <c r="E18" s="64" t="s">
        <v>147</v>
      </c>
      <c r="G18" s="57"/>
      <c r="H18" s="57"/>
      <c r="I18" s="57"/>
      <c r="J18" s="113" t="s">
        <v>244</v>
      </c>
      <c r="K18" s="110"/>
      <c r="L18" s="57"/>
      <c r="M18" s="57"/>
      <c r="N18" s="57"/>
      <c r="O18" s="113" t="s">
        <v>244</v>
      </c>
      <c r="P18" s="70"/>
      <c r="Q18" s="57"/>
      <c r="R18" s="57"/>
      <c r="S18" s="57"/>
      <c r="T18" s="113" t="s">
        <v>244</v>
      </c>
      <c r="U18" s="70"/>
      <c r="V18" s="56"/>
      <c r="W18" s="56"/>
      <c r="X18" s="56"/>
      <c r="Y18" s="113" t="s">
        <v>244</v>
      </c>
      <c r="Z18" s="74"/>
      <c r="AA18" s="72"/>
      <c r="AB18" s="77"/>
      <c r="AC18" s="74"/>
      <c r="AD18" s="92" t="s">
        <v>244</v>
      </c>
      <c r="AE18" s="125"/>
      <c r="AF18" s="74"/>
      <c r="AG18" s="56"/>
      <c r="AH18" s="56"/>
      <c r="AI18" s="77"/>
      <c r="AJ18" s="113" t="s">
        <v>244</v>
      </c>
      <c r="AK18" s="74"/>
      <c r="AL18" s="56"/>
      <c r="AM18" s="56"/>
      <c r="AN18" s="113" t="s">
        <v>244</v>
      </c>
      <c r="AO18" s="74"/>
      <c r="AP18" s="56"/>
      <c r="AQ18" s="56"/>
      <c r="AR18" s="56"/>
      <c r="AS18" s="113" t="s">
        <v>244</v>
      </c>
      <c r="AT18" s="74"/>
      <c r="AU18" s="56"/>
      <c r="AV18" s="56"/>
      <c r="AW18" s="56"/>
      <c r="AX18" s="92" t="s">
        <v>244</v>
      </c>
      <c r="AY18" s="120"/>
    </row>
    <row r="19" spans="2:51" s="8" customFormat="1" ht="15" customHeight="1">
      <c r="B19" s="55" t="s">
        <v>144</v>
      </c>
      <c r="C19" s="295" t="s">
        <v>148</v>
      </c>
      <c r="D19" s="295"/>
      <c r="E19" s="53"/>
      <c r="G19" s="162" t="s">
        <v>279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149</v>
      </c>
      <c r="C20" s="59" t="s">
        <v>1</v>
      </c>
      <c r="D20" s="59" t="s">
        <v>89</v>
      </c>
      <c r="E20" s="58" t="s">
        <v>232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150</v>
      </c>
      <c r="C21" s="59" t="s">
        <v>1</v>
      </c>
      <c r="D21" s="59" t="s">
        <v>5</v>
      </c>
      <c r="E21" s="58" t="s">
        <v>232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151</v>
      </c>
      <c r="C22" s="59" t="s">
        <v>1</v>
      </c>
      <c r="D22" s="61" t="s">
        <v>25</v>
      </c>
      <c r="E22" s="58" t="s">
        <v>232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232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152</v>
      </c>
      <c r="C24" s="59" t="s">
        <v>1</v>
      </c>
      <c r="D24" s="61" t="s">
        <v>27</v>
      </c>
      <c r="E24" s="58" t="s">
        <v>232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153</v>
      </c>
      <c r="C25" s="59" t="s">
        <v>1</v>
      </c>
      <c r="D25" s="61" t="s">
        <v>28</v>
      </c>
      <c r="E25" s="58" t="s">
        <v>232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154</v>
      </c>
      <c r="C26" s="59" t="s">
        <v>1</v>
      </c>
      <c r="D26" s="61" t="s">
        <v>29</v>
      </c>
      <c r="E26" s="58" t="s">
        <v>232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155</v>
      </c>
      <c r="C27" s="59" t="s">
        <v>1</v>
      </c>
      <c r="D27" s="61" t="s">
        <v>30</v>
      </c>
      <c r="E27" s="58" t="s">
        <v>232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156</v>
      </c>
      <c r="C28" s="59" t="s">
        <v>1</v>
      </c>
      <c r="D28" s="61" t="s">
        <v>31</v>
      </c>
      <c r="E28" s="58" t="s">
        <v>232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157</v>
      </c>
      <c r="C29" s="59" t="s">
        <v>1</v>
      </c>
      <c r="D29" s="61" t="s">
        <v>32</v>
      </c>
      <c r="E29" s="58" t="s">
        <v>232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158</v>
      </c>
      <c r="C30" s="59" t="s">
        <v>1</v>
      </c>
      <c r="D30" s="61" t="s">
        <v>38</v>
      </c>
      <c r="E30" s="58" t="s">
        <v>232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159</v>
      </c>
      <c r="C31" s="59" t="s">
        <v>1</v>
      </c>
      <c r="D31" s="59" t="s">
        <v>53</v>
      </c>
      <c r="E31" s="58" t="s">
        <v>232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160</v>
      </c>
      <c r="C32" s="59" t="s">
        <v>1</v>
      </c>
      <c r="D32" s="59" t="s">
        <v>54</v>
      </c>
      <c r="E32" s="58" t="s">
        <v>232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164</v>
      </c>
      <c r="C33" s="295" t="s">
        <v>165</v>
      </c>
      <c r="D33" s="295"/>
      <c r="E33" s="53"/>
      <c r="G33" s="162" t="s">
        <v>279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169</v>
      </c>
      <c r="C34" s="59" t="s">
        <v>1</v>
      </c>
      <c r="D34" s="59" t="s">
        <v>6</v>
      </c>
      <c r="E34" s="58" t="s">
        <v>232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170</v>
      </c>
      <c r="C35" s="59" t="s">
        <v>1</v>
      </c>
      <c r="D35" s="59" t="s">
        <v>7</v>
      </c>
      <c r="E35" s="58" t="s">
        <v>232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171</v>
      </c>
      <c r="C36" s="59" t="s">
        <v>1</v>
      </c>
      <c r="D36" s="59" t="s">
        <v>12</v>
      </c>
      <c r="E36" s="58" t="s">
        <v>232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172</v>
      </c>
      <c r="C37" s="59" t="s">
        <v>1</v>
      </c>
      <c r="D37" s="59" t="s">
        <v>18</v>
      </c>
      <c r="E37" s="58" t="s">
        <v>232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173</v>
      </c>
      <c r="C38" s="59" t="s">
        <v>1</v>
      </c>
      <c r="D38" s="59" t="s">
        <v>20</v>
      </c>
      <c r="E38" s="58" t="s">
        <v>232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174</v>
      </c>
      <c r="C39" s="59" t="s">
        <v>1</v>
      </c>
      <c r="D39" s="59" t="s">
        <v>21</v>
      </c>
      <c r="E39" s="58" t="s">
        <v>232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175</v>
      </c>
      <c r="C40" s="59" t="s">
        <v>55</v>
      </c>
      <c r="D40" s="59" t="s">
        <v>89</v>
      </c>
      <c r="E40" s="58" t="s">
        <v>232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176</v>
      </c>
      <c r="C41" s="59" t="s">
        <v>55</v>
      </c>
      <c r="D41" s="59" t="s">
        <v>59</v>
      </c>
      <c r="E41" s="58" t="s">
        <v>232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177</v>
      </c>
      <c r="C42" s="59" t="s">
        <v>63</v>
      </c>
      <c r="D42" s="59" t="s">
        <v>89</v>
      </c>
      <c r="E42" s="58" t="s">
        <v>232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178</v>
      </c>
      <c r="C43" s="59" t="s">
        <v>63</v>
      </c>
      <c r="D43" s="59" t="s">
        <v>64</v>
      </c>
      <c r="E43" s="58" t="s">
        <v>232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166</v>
      </c>
      <c r="C44" s="59" t="s">
        <v>63</v>
      </c>
      <c r="D44" s="59" t="s">
        <v>66</v>
      </c>
      <c r="E44" s="58" t="s">
        <v>232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167</v>
      </c>
      <c r="C45" s="59" t="s">
        <v>63</v>
      </c>
      <c r="D45" s="59" t="s">
        <v>36</v>
      </c>
      <c r="E45" s="58" t="s">
        <v>232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168</v>
      </c>
      <c r="C46" s="59" t="s">
        <v>63</v>
      </c>
      <c r="D46" s="59" t="s">
        <v>38</v>
      </c>
      <c r="E46" s="58" t="s">
        <v>232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179</v>
      </c>
      <c r="C47" s="59" t="s">
        <v>63</v>
      </c>
      <c r="D47" s="59" t="s">
        <v>54</v>
      </c>
      <c r="E47" s="58" t="s">
        <v>232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180</v>
      </c>
      <c r="C48" s="295" t="s">
        <v>181</v>
      </c>
      <c r="D48" s="295"/>
      <c r="E48" s="53"/>
      <c r="G48" s="54"/>
      <c r="H48" s="54"/>
      <c r="I48" s="54"/>
      <c r="J48" s="119"/>
      <c r="K48" s="54"/>
      <c r="L48" s="162" t="s">
        <v>279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182</v>
      </c>
      <c r="C49" s="59" t="s">
        <v>1</v>
      </c>
      <c r="D49" s="59" t="s">
        <v>2</v>
      </c>
      <c r="E49" s="58" t="s">
        <v>232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183</v>
      </c>
      <c r="C50" s="59" t="s">
        <v>1</v>
      </c>
      <c r="D50" s="59" t="s">
        <v>8</v>
      </c>
      <c r="E50" s="58" t="s">
        <v>232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185</v>
      </c>
      <c r="C51" s="59" t="s">
        <v>1</v>
      </c>
      <c r="D51" s="59" t="s">
        <v>9</v>
      </c>
      <c r="E51" s="58" t="s">
        <v>232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184</v>
      </c>
      <c r="C52" s="59" t="s">
        <v>1</v>
      </c>
      <c r="D52" s="164" t="s">
        <v>11</v>
      </c>
      <c r="E52" s="58" t="s">
        <v>232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186</v>
      </c>
      <c r="C53" s="59" t="s">
        <v>1</v>
      </c>
      <c r="D53" s="59" t="s">
        <v>13</v>
      </c>
      <c r="E53" s="58" t="s">
        <v>232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188</v>
      </c>
      <c r="C54" s="59" t="s">
        <v>1</v>
      </c>
      <c r="D54" s="59" t="s">
        <v>14</v>
      </c>
      <c r="E54" s="58" t="s">
        <v>232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190</v>
      </c>
      <c r="C55" s="59" t="s">
        <v>1</v>
      </c>
      <c r="D55" s="59" t="s">
        <v>15</v>
      </c>
      <c r="E55" s="58" t="s">
        <v>232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192</v>
      </c>
      <c r="C56" s="59" t="s">
        <v>1</v>
      </c>
      <c r="D56" s="59" t="s">
        <v>16</v>
      </c>
      <c r="E56" s="58" t="s">
        <v>232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193</v>
      </c>
      <c r="C57" s="59" t="s">
        <v>1</v>
      </c>
      <c r="D57" s="59" t="s">
        <v>17</v>
      </c>
      <c r="E57" s="58" t="s">
        <v>232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194</v>
      </c>
      <c r="C58" s="59" t="s">
        <v>1</v>
      </c>
      <c r="D58" s="59" t="s">
        <v>19</v>
      </c>
      <c r="E58" s="58" t="s">
        <v>232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195</v>
      </c>
      <c r="C59" s="59" t="s">
        <v>1</v>
      </c>
      <c r="D59" s="59" t="s">
        <v>23</v>
      </c>
      <c r="E59" s="58" t="s">
        <v>232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196</v>
      </c>
      <c r="C60" s="59" t="s">
        <v>1</v>
      </c>
      <c r="D60" s="164" t="s">
        <v>50</v>
      </c>
      <c r="E60" s="58" t="s">
        <v>232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197</v>
      </c>
      <c r="C61" s="295" t="s">
        <v>198</v>
      </c>
      <c r="D61" s="295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279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199</v>
      </c>
      <c r="C62" s="59" t="s">
        <v>1</v>
      </c>
      <c r="D62" s="59" t="s">
        <v>10</v>
      </c>
      <c r="E62" s="58" t="s">
        <v>232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200</v>
      </c>
      <c r="C63" s="59" t="s">
        <v>1</v>
      </c>
      <c r="D63" s="164" t="s">
        <v>22</v>
      </c>
      <c r="E63" s="58" t="s">
        <v>232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201</v>
      </c>
      <c r="C64" s="59" t="s">
        <v>1</v>
      </c>
      <c r="D64" s="59" t="s">
        <v>24</v>
      </c>
      <c r="E64" s="58" t="s">
        <v>232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202</v>
      </c>
      <c r="C65" s="59" t="s">
        <v>1</v>
      </c>
      <c r="D65" s="59" t="s">
        <v>33</v>
      </c>
      <c r="E65" s="58" t="s">
        <v>232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203</v>
      </c>
      <c r="C66" s="59" t="s">
        <v>1</v>
      </c>
      <c r="D66" s="59" t="s">
        <v>36</v>
      </c>
      <c r="E66" s="58" t="s">
        <v>232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204</v>
      </c>
      <c r="C67" s="59" t="s">
        <v>1</v>
      </c>
      <c r="D67" s="164" t="s">
        <v>37</v>
      </c>
      <c r="E67" s="58" t="s">
        <v>232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205</v>
      </c>
      <c r="C68" s="59" t="s">
        <v>1</v>
      </c>
      <c r="D68" s="164" t="s">
        <v>39</v>
      </c>
      <c r="E68" s="58" t="s">
        <v>232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206</v>
      </c>
      <c r="C69" s="59" t="s">
        <v>1</v>
      </c>
      <c r="D69" s="59" t="s">
        <v>40</v>
      </c>
      <c r="E69" s="58" t="s">
        <v>232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207</v>
      </c>
      <c r="C70" s="59" t="s">
        <v>1</v>
      </c>
      <c r="D70" s="59" t="s">
        <v>41</v>
      </c>
      <c r="E70" s="58" t="s">
        <v>232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208</v>
      </c>
      <c r="C71" s="59" t="s">
        <v>1</v>
      </c>
      <c r="D71" s="164" t="s">
        <v>42</v>
      </c>
      <c r="E71" s="58" t="s">
        <v>232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209</v>
      </c>
      <c r="C72" s="59" t="s">
        <v>1</v>
      </c>
      <c r="D72" s="59" t="s">
        <v>43</v>
      </c>
      <c r="E72" s="58" t="s">
        <v>232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210</v>
      </c>
      <c r="C73" s="59" t="s">
        <v>1</v>
      </c>
      <c r="D73" s="59" t="s">
        <v>47</v>
      </c>
      <c r="E73" s="58" t="s">
        <v>232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211</v>
      </c>
      <c r="C74" s="59" t="s">
        <v>1</v>
      </c>
      <c r="D74" s="59" t="s">
        <v>51</v>
      </c>
      <c r="E74" s="58" t="s">
        <v>232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212</v>
      </c>
      <c r="C75" s="59" t="s">
        <v>55</v>
      </c>
      <c r="D75" s="59" t="s">
        <v>36</v>
      </c>
      <c r="E75" s="58" t="s">
        <v>232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213</v>
      </c>
      <c r="C76" s="59" t="s">
        <v>55</v>
      </c>
      <c r="D76" s="59" t="s">
        <v>38</v>
      </c>
      <c r="E76" s="58" t="s">
        <v>232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214</v>
      </c>
      <c r="C77" s="59" t="s">
        <v>55</v>
      </c>
      <c r="D77" s="59" t="s">
        <v>56</v>
      </c>
      <c r="E77" s="58" t="s">
        <v>232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215</v>
      </c>
      <c r="C78" s="59" t="s">
        <v>55</v>
      </c>
      <c r="D78" s="59" t="s">
        <v>57</v>
      </c>
      <c r="E78" s="58" t="s">
        <v>232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216</v>
      </c>
      <c r="C79" s="59" t="s">
        <v>55</v>
      </c>
      <c r="D79" s="59" t="s">
        <v>58</v>
      </c>
      <c r="E79" s="58" t="s">
        <v>232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217</v>
      </c>
      <c r="C80" s="59" t="s">
        <v>55</v>
      </c>
      <c r="D80" s="59" t="s">
        <v>60</v>
      </c>
      <c r="E80" s="58" t="s">
        <v>232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218</v>
      </c>
      <c r="C81" s="59" t="s">
        <v>61</v>
      </c>
      <c r="D81" s="59" t="s">
        <v>89</v>
      </c>
      <c r="E81" s="58" t="s">
        <v>232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219</v>
      </c>
      <c r="C82" s="59" t="s">
        <v>61</v>
      </c>
      <c r="D82" s="59" t="s">
        <v>36</v>
      </c>
      <c r="E82" s="58" t="s">
        <v>232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220</v>
      </c>
      <c r="C83" s="59" t="s">
        <v>61</v>
      </c>
      <c r="D83" s="59" t="s">
        <v>38</v>
      </c>
      <c r="E83" s="58" t="s">
        <v>232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221</v>
      </c>
      <c r="C84" s="59" t="s">
        <v>61</v>
      </c>
      <c r="D84" s="59" t="s">
        <v>54</v>
      </c>
      <c r="E84" s="58" t="s">
        <v>232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222</v>
      </c>
      <c r="C85" s="59" t="s">
        <v>61</v>
      </c>
      <c r="D85" s="59" t="s">
        <v>56</v>
      </c>
      <c r="E85" s="58" t="s">
        <v>232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223</v>
      </c>
      <c r="C86" s="59" t="s">
        <v>61</v>
      </c>
      <c r="D86" s="59" t="s">
        <v>62</v>
      </c>
      <c r="E86" s="58" t="s">
        <v>232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224</v>
      </c>
      <c r="C87" s="59" t="s">
        <v>63</v>
      </c>
      <c r="D87" s="59" t="s">
        <v>65</v>
      </c>
      <c r="E87" s="58" t="s">
        <v>232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225</v>
      </c>
      <c r="C88" s="295" t="s">
        <v>226</v>
      </c>
      <c r="D88" s="295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279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227</v>
      </c>
      <c r="C89" s="59" t="s">
        <v>1</v>
      </c>
      <c r="D89" s="59" t="s">
        <v>34</v>
      </c>
      <c r="E89" s="58" t="s">
        <v>232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228</v>
      </c>
      <c r="C90" s="59" t="s">
        <v>1</v>
      </c>
      <c r="D90" s="164" t="s">
        <v>35</v>
      </c>
      <c r="E90" s="58" t="s">
        <v>232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229</v>
      </c>
      <c r="C91" s="59" t="s">
        <v>1</v>
      </c>
      <c r="D91" s="59" t="s">
        <v>44</v>
      </c>
      <c r="E91" s="58" t="s">
        <v>232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230</v>
      </c>
      <c r="C92" s="59" t="s">
        <v>1</v>
      </c>
      <c r="D92" s="164" t="s">
        <v>45</v>
      </c>
      <c r="E92" s="58" t="s">
        <v>232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187</v>
      </c>
      <c r="C93" s="59" t="s">
        <v>1</v>
      </c>
      <c r="D93" s="59" t="s">
        <v>46</v>
      </c>
      <c r="E93" s="58" t="s">
        <v>232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189</v>
      </c>
      <c r="C94" s="59" t="s">
        <v>1</v>
      </c>
      <c r="D94" s="59" t="s">
        <v>48</v>
      </c>
      <c r="E94" s="58" t="s">
        <v>232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191</v>
      </c>
      <c r="C95" s="59" t="s">
        <v>1</v>
      </c>
      <c r="D95" s="59" t="s">
        <v>49</v>
      </c>
      <c r="E95" s="58" t="s">
        <v>232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231</v>
      </c>
      <c r="C96" s="59" t="s">
        <v>1</v>
      </c>
      <c r="D96" s="164" t="s">
        <v>52</v>
      </c>
      <c r="E96" s="58" t="s">
        <v>232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236</v>
      </c>
      <c r="C97" s="295" t="s">
        <v>237</v>
      </c>
      <c r="D97" s="295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238</v>
      </c>
      <c r="C98" s="59" t="s">
        <v>239</v>
      </c>
      <c r="D98" s="59"/>
      <c r="E98" s="58" t="s">
        <v>232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240</v>
      </c>
      <c r="C99" s="295" t="s">
        <v>241</v>
      </c>
      <c r="D99" s="295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242</v>
      </c>
      <c r="C100" s="59" t="s">
        <v>243</v>
      </c>
      <c r="D100" s="59"/>
      <c r="E100" s="58" t="s">
        <v>232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J1" sqref="J1:K1048576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11" width="8.6640625" style="3" customWidth="1"/>
    <col min="12" max="12" width="10.33203125" style="3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248</v>
      </c>
    </row>
    <row r="8" spans="1:78" ht="6.9" customHeight="1"/>
    <row r="9" spans="1:78">
      <c r="B9" s="162" t="s">
        <v>279</v>
      </c>
      <c r="C9" s="105" t="s">
        <v>249</v>
      </c>
    </row>
    <row r="10" spans="1:78" ht="13.8">
      <c r="B10" s="92" t="s">
        <v>244</v>
      </c>
      <c r="C10" s="105" t="s">
        <v>251</v>
      </c>
    </row>
    <row r="11" spans="1:78">
      <c r="B11" s="90">
        <v>3</v>
      </c>
      <c r="C11" s="105" t="s">
        <v>250</v>
      </c>
      <c r="L11" s="79" t="s">
        <v>161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252</v>
      </c>
      <c r="L12" s="79" t="s">
        <v>162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253</v>
      </c>
      <c r="L13" s="79" t="s">
        <v>163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254</v>
      </c>
    </row>
    <row r="15" spans="1:78" ht="15" customHeight="1" thickBot="1">
      <c r="F15" s="298" t="s">
        <v>129</v>
      </c>
      <c r="G15" s="298"/>
      <c r="H15" s="298" t="s">
        <v>132</v>
      </c>
      <c r="I15" s="298"/>
      <c r="J15" s="300" t="s">
        <v>112</v>
      </c>
      <c r="K15" s="300"/>
      <c r="L15" s="11"/>
      <c r="M15" s="11"/>
      <c r="O15" s="299" t="s">
        <v>133</v>
      </c>
      <c r="P15" s="299"/>
      <c r="Q15" s="299"/>
      <c r="R15" s="299"/>
      <c r="S15" s="299"/>
      <c r="T15" s="299"/>
      <c r="U15" s="299"/>
      <c r="V15" s="299" t="s">
        <v>134</v>
      </c>
      <c r="W15" s="299"/>
      <c r="X15" s="299"/>
      <c r="Y15" s="299"/>
      <c r="Z15" s="299"/>
      <c r="AA15" s="299"/>
      <c r="AB15" s="299"/>
      <c r="AC15" s="299" t="s">
        <v>135</v>
      </c>
      <c r="AD15" s="299"/>
      <c r="AE15" s="299"/>
      <c r="AF15" s="299"/>
      <c r="AG15" s="299"/>
      <c r="AH15" s="299"/>
      <c r="AI15" s="299"/>
      <c r="AJ15" s="299" t="s">
        <v>136</v>
      </c>
      <c r="AK15" s="299"/>
      <c r="AL15" s="299"/>
      <c r="AM15" s="299"/>
      <c r="AN15" s="299"/>
      <c r="AO15" s="299"/>
      <c r="AP15" s="299"/>
      <c r="AQ15" s="299" t="s">
        <v>137</v>
      </c>
      <c r="AR15" s="299"/>
      <c r="AS15" s="299"/>
      <c r="AT15" s="299"/>
      <c r="AU15" s="299"/>
      <c r="AV15" s="299"/>
      <c r="AW15" s="299"/>
      <c r="AX15" s="299" t="s">
        <v>138</v>
      </c>
      <c r="AY15" s="299"/>
      <c r="AZ15" s="299"/>
      <c r="BA15" s="299"/>
      <c r="BB15" s="299"/>
      <c r="BC15" s="299"/>
      <c r="BD15" s="299"/>
      <c r="BE15" s="299" t="s">
        <v>139</v>
      </c>
      <c r="BF15" s="299"/>
      <c r="BG15" s="299"/>
      <c r="BH15" s="299"/>
      <c r="BI15" s="299"/>
      <c r="BJ15" s="299"/>
      <c r="BK15" s="299"/>
      <c r="BL15" s="299" t="s">
        <v>140</v>
      </c>
      <c r="BM15" s="299"/>
      <c r="BN15" s="299"/>
      <c r="BO15" s="299"/>
      <c r="BP15" s="299"/>
      <c r="BQ15" s="299"/>
      <c r="BR15" s="299"/>
      <c r="BS15" s="299" t="s">
        <v>141</v>
      </c>
      <c r="BT15" s="299"/>
      <c r="BU15" s="299"/>
      <c r="BV15" s="299"/>
      <c r="BW15" s="299"/>
      <c r="BX15" s="299"/>
      <c r="BY15" s="299"/>
    </row>
    <row r="16" spans="1:78" ht="15" customHeight="1" thickBot="1">
      <c r="B16" s="50" t="s">
        <v>126</v>
      </c>
      <c r="C16" s="286" t="s">
        <v>127</v>
      </c>
      <c r="D16" s="288"/>
      <c r="E16" s="50" t="s">
        <v>128</v>
      </c>
      <c r="F16" s="52" t="s">
        <v>130</v>
      </c>
      <c r="G16" s="52" t="s">
        <v>131</v>
      </c>
      <c r="H16" s="52" t="s">
        <v>130</v>
      </c>
      <c r="I16" s="52" t="s">
        <v>131</v>
      </c>
      <c r="J16" s="97" t="s">
        <v>245</v>
      </c>
      <c r="K16" s="97" t="s">
        <v>246</v>
      </c>
      <c r="L16" s="81" t="s">
        <v>247</v>
      </c>
      <c r="M16" s="88" t="s">
        <v>235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142</v>
      </c>
      <c r="C17" s="296" t="s">
        <v>143</v>
      </c>
      <c r="D17" s="296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145</v>
      </c>
      <c r="C18" s="297" t="s">
        <v>234</v>
      </c>
      <c r="D18" s="297"/>
      <c r="E18" s="64" t="s">
        <v>232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233</v>
      </c>
      <c r="C19" s="297" t="s">
        <v>146</v>
      </c>
      <c r="D19" s="297"/>
      <c r="E19" s="64" t="s">
        <v>147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244</v>
      </c>
      <c r="S19" s="68"/>
      <c r="T19" s="94">
        <v>0</v>
      </c>
      <c r="U19" s="95">
        <v>0</v>
      </c>
      <c r="V19" s="70"/>
      <c r="W19" s="57"/>
      <c r="X19" s="57"/>
      <c r="Y19" s="92" t="s">
        <v>244</v>
      </c>
      <c r="Z19" s="57"/>
      <c r="AA19" s="94">
        <v>0</v>
      </c>
      <c r="AB19" s="95">
        <v>0</v>
      </c>
      <c r="AC19" s="57"/>
      <c r="AD19" s="57"/>
      <c r="AE19" s="57"/>
      <c r="AF19" s="92" t="s">
        <v>244</v>
      </c>
      <c r="AG19" s="57"/>
      <c r="AH19" s="94">
        <v>0</v>
      </c>
      <c r="AI19" s="95">
        <v>0</v>
      </c>
      <c r="AJ19" s="56"/>
      <c r="AK19" s="56"/>
      <c r="AL19" s="56"/>
      <c r="AM19" s="92" t="s">
        <v>244</v>
      </c>
      <c r="AN19" s="56"/>
      <c r="AO19" s="94">
        <v>0</v>
      </c>
      <c r="AP19" s="95">
        <v>0</v>
      </c>
      <c r="AQ19" s="72"/>
      <c r="AR19" s="77"/>
      <c r="AS19" s="74"/>
      <c r="AT19" s="92" t="s">
        <v>244</v>
      </c>
      <c r="AU19" s="77"/>
      <c r="AV19" s="94">
        <v>0</v>
      </c>
      <c r="AW19" s="95">
        <v>0</v>
      </c>
      <c r="AX19" s="56"/>
      <c r="AY19" s="56"/>
      <c r="AZ19" s="92" t="s">
        <v>244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244</v>
      </c>
      <c r="BI19" s="56"/>
      <c r="BJ19" s="94">
        <v>0</v>
      </c>
      <c r="BK19" s="95">
        <v>0</v>
      </c>
      <c r="BL19" s="56"/>
      <c r="BM19" s="56"/>
      <c r="BN19" s="56"/>
      <c r="BO19" s="92" t="s">
        <v>244</v>
      </c>
      <c r="BP19" s="56"/>
      <c r="BQ19" s="94">
        <v>0</v>
      </c>
      <c r="BR19" s="95">
        <v>0</v>
      </c>
      <c r="BS19" s="56"/>
      <c r="BT19" s="56"/>
      <c r="BU19" s="56"/>
      <c r="BV19" s="92" t="s">
        <v>244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144</v>
      </c>
      <c r="C20" s="295" t="s">
        <v>148</v>
      </c>
      <c r="D20" s="295"/>
      <c r="E20" s="53"/>
      <c r="F20" s="53"/>
      <c r="G20" s="53"/>
      <c r="H20" s="53"/>
      <c r="I20" s="96"/>
      <c r="J20" s="96"/>
      <c r="K20" s="96"/>
      <c r="L20" s="53"/>
      <c r="O20" s="162" t="s">
        <v>279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149</v>
      </c>
      <c r="C21" s="59" t="s">
        <v>1</v>
      </c>
      <c r="D21" s="164" t="s">
        <v>89</v>
      </c>
      <c r="E21" s="58" t="s">
        <v>232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150</v>
      </c>
      <c r="C22" s="59" t="s">
        <v>1</v>
      </c>
      <c r="D22" s="164" t="s">
        <v>5</v>
      </c>
      <c r="E22" s="58" t="s">
        <v>232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151</v>
      </c>
      <c r="C23" s="59" t="s">
        <v>1</v>
      </c>
      <c r="D23" s="213" t="s">
        <v>25</v>
      </c>
      <c r="E23" s="58" t="s">
        <v>232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3" t="s">
        <v>26</v>
      </c>
      <c r="E24" s="58" t="s">
        <v>232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152</v>
      </c>
      <c r="C25" s="59" t="s">
        <v>1</v>
      </c>
      <c r="D25" s="213" t="s">
        <v>27</v>
      </c>
      <c r="E25" s="58" t="s">
        <v>232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153</v>
      </c>
      <c r="C26" s="59" t="s">
        <v>1</v>
      </c>
      <c r="D26" s="213" t="s">
        <v>28</v>
      </c>
      <c r="E26" s="58" t="s">
        <v>232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154</v>
      </c>
      <c r="C27" s="59" t="s">
        <v>1</v>
      </c>
      <c r="D27" s="213" t="s">
        <v>29</v>
      </c>
      <c r="E27" s="58" t="s">
        <v>232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155</v>
      </c>
      <c r="C28" s="59" t="s">
        <v>1</v>
      </c>
      <c r="D28" s="213" t="s">
        <v>30</v>
      </c>
      <c r="E28" s="58" t="s">
        <v>232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156</v>
      </c>
      <c r="C29" s="59" t="s">
        <v>1</v>
      </c>
      <c r="D29" s="213" t="s">
        <v>31</v>
      </c>
      <c r="E29" s="58" t="s">
        <v>232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157</v>
      </c>
      <c r="C30" s="59" t="s">
        <v>1</v>
      </c>
      <c r="D30" s="213" t="s">
        <v>32</v>
      </c>
      <c r="E30" s="58" t="s">
        <v>232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158</v>
      </c>
      <c r="C31" s="59" t="s">
        <v>1</v>
      </c>
      <c r="D31" s="213" t="s">
        <v>38</v>
      </c>
      <c r="E31" s="58" t="s">
        <v>232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159</v>
      </c>
      <c r="C32" s="59" t="s">
        <v>1</v>
      </c>
      <c r="D32" s="164" t="s">
        <v>53</v>
      </c>
      <c r="E32" s="58" t="s">
        <v>232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160</v>
      </c>
      <c r="C33" s="59" t="s">
        <v>1</v>
      </c>
      <c r="D33" s="164" t="s">
        <v>54</v>
      </c>
      <c r="E33" s="58" t="s">
        <v>232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164</v>
      </c>
      <c r="C34" s="295" t="s">
        <v>165</v>
      </c>
      <c r="D34" s="295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279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169</v>
      </c>
      <c r="C35" s="59" t="s">
        <v>1</v>
      </c>
      <c r="D35" s="214" t="s">
        <v>6</v>
      </c>
      <c r="E35" s="58" t="s">
        <v>232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170</v>
      </c>
      <c r="C36" s="59" t="s">
        <v>1</v>
      </c>
      <c r="D36" s="214" t="s">
        <v>7</v>
      </c>
      <c r="E36" s="58" t="s">
        <v>232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171</v>
      </c>
      <c r="C37" s="59" t="s">
        <v>1</v>
      </c>
      <c r="D37" s="214" t="s">
        <v>12</v>
      </c>
      <c r="E37" s="58" t="s">
        <v>232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172</v>
      </c>
      <c r="C38" s="59" t="s">
        <v>1</v>
      </c>
      <c r="D38" s="215" t="s">
        <v>18</v>
      </c>
      <c r="E38" s="58" t="s">
        <v>232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173</v>
      </c>
      <c r="C39" s="59" t="s">
        <v>1</v>
      </c>
      <c r="D39" s="214" t="s">
        <v>20</v>
      </c>
      <c r="E39" s="58" t="s">
        <v>232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174</v>
      </c>
      <c r="C40" s="59" t="s">
        <v>1</v>
      </c>
      <c r="D40" s="214" t="s">
        <v>21</v>
      </c>
      <c r="E40" s="58" t="s">
        <v>232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175</v>
      </c>
      <c r="C41" s="59" t="s">
        <v>55</v>
      </c>
      <c r="D41" s="134" t="s">
        <v>89</v>
      </c>
      <c r="E41" s="58" t="s">
        <v>232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176</v>
      </c>
      <c r="C42" s="59" t="s">
        <v>55</v>
      </c>
      <c r="D42" s="134" t="s">
        <v>59</v>
      </c>
      <c r="E42" s="58" t="s">
        <v>232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177</v>
      </c>
      <c r="C43" s="59" t="s">
        <v>63</v>
      </c>
      <c r="D43" s="59" t="s">
        <v>89</v>
      </c>
      <c r="E43" s="58" t="s">
        <v>232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178</v>
      </c>
      <c r="C44" s="59" t="s">
        <v>63</v>
      </c>
      <c r="D44" s="59" t="s">
        <v>64</v>
      </c>
      <c r="E44" s="58" t="s">
        <v>232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166</v>
      </c>
      <c r="C45" s="59" t="s">
        <v>63</v>
      </c>
      <c r="D45" s="59" t="s">
        <v>66</v>
      </c>
      <c r="E45" s="58" t="s">
        <v>232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167</v>
      </c>
      <c r="C46" s="59" t="s">
        <v>63</v>
      </c>
      <c r="D46" s="59" t="s">
        <v>36</v>
      </c>
      <c r="E46" s="58" t="s">
        <v>232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168</v>
      </c>
      <c r="C47" s="59" t="s">
        <v>63</v>
      </c>
      <c r="D47" s="59" t="s">
        <v>38</v>
      </c>
      <c r="E47" s="58" t="s">
        <v>232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179</v>
      </c>
      <c r="C48" s="59" t="s">
        <v>63</v>
      </c>
      <c r="D48" s="59" t="s">
        <v>54</v>
      </c>
      <c r="E48" s="58" t="s">
        <v>232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180</v>
      </c>
      <c r="C49" s="295" t="s">
        <v>181</v>
      </c>
      <c r="D49" s="295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279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182</v>
      </c>
      <c r="C50" s="59" t="s">
        <v>1</v>
      </c>
      <c r="D50" s="216" t="s">
        <v>2</v>
      </c>
      <c r="E50" s="58" t="s">
        <v>232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183</v>
      </c>
      <c r="C51" s="59" t="s">
        <v>1</v>
      </c>
      <c r="D51" s="216" t="s">
        <v>8</v>
      </c>
      <c r="E51" s="58" t="s">
        <v>232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185</v>
      </c>
      <c r="C52" s="59" t="s">
        <v>1</v>
      </c>
      <c r="D52" s="216" t="s">
        <v>9</v>
      </c>
      <c r="E52" s="58" t="s">
        <v>232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184</v>
      </c>
      <c r="C53" s="59" t="s">
        <v>1</v>
      </c>
      <c r="D53" s="164" t="s">
        <v>11</v>
      </c>
      <c r="E53" s="58" t="s">
        <v>232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186</v>
      </c>
      <c r="C54" s="59" t="s">
        <v>1</v>
      </c>
      <c r="D54" s="216" t="s">
        <v>13</v>
      </c>
      <c r="E54" s="58" t="s">
        <v>232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188</v>
      </c>
      <c r="C55" s="59" t="s">
        <v>1</v>
      </c>
      <c r="D55" s="216" t="s">
        <v>14</v>
      </c>
      <c r="E55" s="58" t="s">
        <v>232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190</v>
      </c>
      <c r="C56" s="59" t="s">
        <v>1</v>
      </c>
      <c r="D56" s="134" t="s">
        <v>15</v>
      </c>
      <c r="E56" s="58" t="s">
        <v>232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192</v>
      </c>
      <c r="C57" s="59" t="s">
        <v>1</v>
      </c>
      <c r="D57" s="134" t="s">
        <v>16</v>
      </c>
      <c r="E57" s="58" t="s">
        <v>232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193</v>
      </c>
      <c r="C58" s="59" t="s">
        <v>1</v>
      </c>
      <c r="D58" s="134" t="s">
        <v>17</v>
      </c>
      <c r="E58" s="58" t="s">
        <v>232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194</v>
      </c>
      <c r="C59" s="59" t="s">
        <v>1</v>
      </c>
      <c r="D59" s="134" t="s">
        <v>19</v>
      </c>
      <c r="E59" s="58" t="s">
        <v>232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195</v>
      </c>
      <c r="C60" s="59" t="s">
        <v>1</v>
      </c>
      <c r="D60" s="216" t="s">
        <v>23</v>
      </c>
      <c r="E60" s="58" t="s">
        <v>232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196</v>
      </c>
      <c r="C61" s="59" t="s">
        <v>1</v>
      </c>
      <c r="D61" s="134" t="s">
        <v>50</v>
      </c>
      <c r="E61" s="58" t="s">
        <v>232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197</v>
      </c>
      <c r="C62" s="295" t="s">
        <v>198</v>
      </c>
      <c r="D62" s="295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279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199</v>
      </c>
      <c r="C63" s="59" t="s">
        <v>1</v>
      </c>
      <c r="D63" s="59" t="s">
        <v>10</v>
      </c>
      <c r="E63" s="58" t="s">
        <v>232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200</v>
      </c>
      <c r="C64" s="59" t="s">
        <v>1</v>
      </c>
      <c r="D64" s="59" t="s">
        <v>22</v>
      </c>
      <c r="E64" s="58" t="s">
        <v>232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201</v>
      </c>
      <c r="C65" s="59" t="s">
        <v>1</v>
      </c>
      <c r="D65" s="59" t="s">
        <v>24</v>
      </c>
      <c r="E65" s="58" t="s">
        <v>232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202</v>
      </c>
      <c r="C66" s="59" t="s">
        <v>1</v>
      </c>
      <c r="D66" s="59" t="s">
        <v>33</v>
      </c>
      <c r="E66" s="58" t="s">
        <v>232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203</v>
      </c>
      <c r="C67" s="59" t="s">
        <v>1</v>
      </c>
      <c r="D67" s="59" t="s">
        <v>36</v>
      </c>
      <c r="E67" s="58" t="s">
        <v>232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204</v>
      </c>
      <c r="C68" s="59" t="s">
        <v>1</v>
      </c>
      <c r="D68" s="59" t="s">
        <v>37</v>
      </c>
      <c r="E68" s="58" t="s">
        <v>232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205</v>
      </c>
      <c r="C69" s="59" t="s">
        <v>1</v>
      </c>
      <c r="D69" s="59" t="s">
        <v>39</v>
      </c>
      <c r="E69" s="58" t="s">
        <v>232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206</v>
      </c>
      <c r="C70" s="59" t="s">
        <v>1</v>
      </c>
      <c r="D70" s="59" t="s">
        <v>40</v>
      </c>
      <c r="E70" s="58" t="s">
        <v>232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207</v>
      </c>
      <c r="C71" s="59" t="s">
        <v>1</v>
      </c>
      <c r="D71" s="59" t="s">
        <v>41</v>
      </c>
      <c r="E71" s="58" t="s">
        <v>232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208</v>
      </c>
      <c r="C72" s="59" t="s">
        <v>1</v>
      </c>
      <c r="D72" s="59" t="s">
        <v>42</v>
      </c>
      <c r="E72" s="58" t="s">
        <v>232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209</v>
      </c>
      <c r="C73" s="59" t="s">
        <v>1</v>
      </c>
      <c r="D73" s="59" t="s">
        <v>43</v>
      </c>
      <c r="E73" s="58" t="s">
        <v>232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210</v>
      </c>
      <c r="C74" s="59" t="s">
        <v>1</v>
      </c>
      <c r="D74" s="59" t="s">
        <v>47</v>
      </c>
      <c r="E74" s="58" t="s">
        <v>232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211</v>
      </c>
      <c r="C75" s="59" t="s">
        <v>1</v>
      </c>
      <c r="D75" s="59" t="s">
        <v>51</v>
      </c>
      <c r="E75" s="58" t="s">
        <v>232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212</v>
      </c>
      <c r="C76" s="59" t="s">
        <v>55</v>
      </c>
      <c r="D76" s="59" t="s">
        <v>36</v>
      </c>
      <c r="E76" s="58" t="s">
        <v>232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213</v>
      </c>
      <c r="C77" s="59" t="s">
        <v>55</v>
      </c>
      <c r="D77" s="59" t="s">
        <v>38</v>
      </c>
      <c r="E77" s="58" t="s">
        <v>232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214</v>
      </c>
      <c r="C78" s="59" t="s">
        <v>55</v>
      </c>
      <c r="D78" s="59" t="s">
        <v>56</v>
      </c>
      <c r="E78" s="58" t="s">
        <v>232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215</v>
      </c>
      <c r="C79" s="59" t="s">
        <v>55</v>
      </c>
      <c r="D79" s="59" t="s">
        <v>57</v>
      </c>
      <c r="E79" s="58" t="s">
        <v>232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216</v>
      </c>
      <c r="C80" s="59" t="s">
        <v>55</v>
      </c>
      <c r="D80" s="59" t="s">
        <v>58</v>
      </c>
      <c r="E80" s="58" t="s">
        <v>232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217</v>
      </c>
      <c r="C81" s="59" t="s">
        <v>55</v>
      </c>
      <c r="D81" s="59" t="s">
        <v>60</v>
      </c>
      <c r="E81" s="58" t="s">
        <v>232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218</v>
      </c>
      <c r="C82" s="59" t="s">
        <v>61</v>
      </c>
      <c r="D82" s="59" t="s">
        <v>89</v>
      </c>
      <c r="E82" s="58" t="s">
        <v>232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219</v>
      </c>
      <c r="C83" s="59" t="s">
        <v>61</v>
      </c>
      <c r="D83" s="59" t="s">
        <v>36</v>
      </c>
      <c r="E83" s="58" t="s">
        <v>232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220</v>
      </c>
      <c r="C84" s="59" t="s">
        <v>61</v>
      </c>
      <c r="D84" s="59" t="s">
        <v>38</v>
      </c>
      <c r="E84" s="58" t="s">
        <v>232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221</v>
      </c>
      <c r="C85" s="59" t="s">
        <v>61</v>
      </c>
      <c r="D85" s="59" t="s">
        <v>54</v>
      </c>
      <c r="E85" s="58" t="s">
        <v>232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222</v>
      </c>
      <c r="C86" s="59" t="s">
        <v>61</v>
      </c>
      <c r="D86" s="59" t="s">
        <v>56</v>
      </c>
      <c r="E86" s="58" t="s">
        <v>232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223</v>
      </c>
      <c r="C87" s="59" t="s">
        <v>61</v>
      </c>
      <c r="D87" s="59" t="s">
        <v>62</v>
      </c>
      <c r="E87" s="58" t="s">
        <v>232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224</v>
      </c>
      <c r="C88" s="59" t="s">
        <v>63</v>
      </c>
      <c r="D88" s="59" t="s">
        <v>65</v>
      </c>
      <c r="E88" s="58" t="s">
        <v>232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225</v>
      </c>
      <c r="C89" s="295" t="s">
        <v>226</v>
      </c>
      <c r="D89" s="295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279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227</v>
      </c>
      <c r="C90" s="59" t="s">
        <v>1</v>
      </c>
      <c r="D90" s="59" t="s">
        <v>34</v>
      </c>
      <c r="E90" s="58" t="s">
        <v>232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228</v>
      </c>
      <c r="C91" s="59" t="s">
        <v>1</v>
      </c>
      <c r="D91" s="59" t="s">
        <v>35</v>
      </c>
      <c r="E91" s="58" t="s">
        <v>232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229</v>
      </c>
      <c r="C92" s="59" t="s">
        <v>1</v>
      </c>
      <c r="D92" s="59" t="s">
        <v>44</v>
      </c>
      <c r="E92" s="58" t="s">
        <v>232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230</v>
      </c>
      <c r="C93" s="59" t="s">
        <v>1</v>
      </c>
      <c r="D93" s="59" t="s">
        <v>45</v>
      </c>
      <c r="E93" s="58" t="s">
        <v>232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187</v>
      </c>
      <c r="C94" s="59" t="s">
        <v>1</v>
      </c>
      <c r="D94" s="59" t="s">
        <v>46</v>
      </c>
      <c r="E94" s="58" t="s">
        <v>232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189</v>
      </c>
      <c r="C95" s="59" t="s">
        <v>1</v>
      </c>
      <c r="D95" s="59" t="s">
        <v>48</v>
      </c>
      <c r="E95" s="58" t="s">
        <v>232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191</v>
      </c>
      <c r="C96" s="59" t="s">
        <v>1</v>
      </c>
      <c r="D96" s="59" t="s">
        <v>49</v>
      </c>
      <c r="E96" s="58" t="s">
        <v>232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231</v>
      </c>
      <c r="C97" s="59" t="s">
        <v>1</v>
      </c>
      <c r="D97" s="59" t="s">
        <v>52</v>
      </c>
      <c r="E97" s="58" t="s">
        <v>232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236</v>
      </c>
      <c r="C98" s="295" t="s">
        <v>237</v>
      </c>
      <c r="D98" s="295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279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238</v>
      </c>
      <c r="C99" s="59" t="s">
        <v>239</v>
      </c>
      <c r="D99" s="59"/>
      <c r="E99" s="58" t="s">
        <v>232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240</v>
      </c>
      <c r="C100" s="295" t="s">
        <v>241</v>
      </c>
      <c r="D100" s="295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279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242</v>
      </c>
      <c r="C101" s="59" t="s">
        <v>243</v>
      </c>
      <c r="D101" s="59"/>
      <c r="E101" s="58" t="s">
        <v>232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7" priority="1" operator="equal">
      <formula>0</formula>
    </cfRule>
  </conditionalFormatting>
  <conditionalFormatting sqref="O13:BY13">
    <cfRule type="cellIs" dxfId="16" priority="10" operator="notEqual">
      <formula>0</formula>
    </cfRule>
    <cfRule type="cellIs" dxfId="15" priority="11" operator="equal">
      <formula>0</formula>
    </cfRule>
  </conditionalFormatting>
  <conditionalFormatting sqref="T17:U101 AA17:AB101 AH17:AI101 AO17:AP101 AV17:AW101 BC17:BD101 BJ17:BK101 BQ17:BR101 BX17:BY101">
    <cfRule type="cellIs" dxfId="14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Y81"/>
  <sheetViews>
    <sheetView showGridLines="0" tabSelected="1" zoomScale="90" zoomScaleNormal="90" workbookViewId="0">
      <selection activeCell="V16" sqref="V16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hidden="1" customWidth="1"/>
    <col min="20" max="20" width="29.6640625" style="199" customWidth="1"/>
    <col min="21" max="21" width="2.6640625" style="3" customWidth="1"/>
    <col min="22" max="23" width="22.6640625" style="3" customWidth="1"/>
    <col min="24" max="24" width="22.6640625" style="3" hidden="1" customWidth="1"/>
    <col min="25" max="25" width="3.6640625" style="3" customWidth="1"/>
    <col min="26" max="16384" width="8.88671875" style="3" hidden="1"/>
  </cols>
  <sheetData>
    <row r="1" spans="1:25" ht="16.2" customHeight="1">
      <c r="L1" s="3"/>
    </row>
    <row r="2" spans="1:25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1"/>
      <c r="U2" s="4"/>
      <c r="V2" s="4"/>
      <c r="W2" s="4"/>
      <c r="X2" s="4"/>
      <c r="Y2" s="4"/>
    </row>
    <row r="3" spans="1:25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2"/>
      <c r="U3" s="7"/>
      <c r="V3" s="7"/>
      <c r="W3" s="7"/>
      <c r="X3" s="7"/>
      <c r="Y3" s="7"/>
    </row>
    <row r="4" spans="1:25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1"/>
      <c r="U4" s="4"/>
      <c r="V4" s="4"/>
      <c r="W4" s="4"/>
      <c r="X4" s="4"/>
      <c r="Y4" s="4"/>
    </row>
    <row r="5" spans="1:2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3"/>
      <c r="U5" s="2"/>
      <c r="V5" s="2"/>
      <c r="W5" s="2"/>
      <c r="X5" s="2"/>
      <c r="Y5" s="2"/>
    </row>
    <row r="7" spans="1:25" ht="15" customHeight="1">
      <c r="I7" s="301" t="s">
        <v>69</v>
      </c>
      <c r="J7" s="301"/>
      <c r="K7" s="301"/>
      <c r="Q7" s="302" t="s">
        <v>88</v>
      </c>
      <c r="R7" s="303"/>
      <c r="S7" s="304"/>
    </row>
    <row r="8" spans="1:25">
      <c r="B8" s="22" t="s">
        <v>80</v>
      </c>
      <c r="C8" s="23" t="s">
        <v>81</v>
      </c>
      <c r="D8" s="23" t="s">
        <v>289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386</v>
      </c>
      <c r="T8" s="238" t="s">
        <v>390</v>
      </c>
      <c r="V8" s="12" t="s">
        <v>413</v>
      </c>
      <c r="W8" s="12" t="s">
        <v>414</v>
      </c>
      <c r="X8" s="30" t="s">
        <v>414</v>
      </c>
    </row>
    <row r="9" spans="1:25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 t="e">
        <f>SUMIFS('Detalhe Testes'!$H:$H,'Detalhe Testes'!$B:$B,'Detalhe Entregas e Status'!B9,'Detalhe Testes'!$C:$C,'Detalhe Entregas e Status'!C9)</f>
        <v>#N/A</v>
      </c>
      <c r="N9" s="19" t="s">
        <v>296</v>
      </c>
      <c r="O9" s="14" t="s">
        <v>280</v>
      </c>
      <c r="Q9" s="15">
        <v>45814</v>
      </c>
      <c r="R9" s="15">
        <v>45849</v>
      </c>
      <c r="S9" s="15"/>
      <c r="T9" s="239" t="s">
        <v>398</v>
      </c>
      <c r="V9" s="29" t="s">
        <v>115</v>
      </c>
      <c r="W9" s="29" t="s">
        <v>121</v>
      </c>
      <c r="X9" s="29" t="s">
        <v>115</v>
      </c>
    </row>
    <row r="10" spans="1:25">
      <c r="B10" s="18" t="s">
        <v>1</v>
      </c>
      <c r="C10" s="307" t="s">
        <v>2</v>
      </c>
      <c r="D10" s="195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 t="e">
        <f>SUMIFS('Detalhe Testes'!$H:$H,'Detalhe Testes'!$B:$B,'Detalhe Entregas e Status'!B10,'Detalhe Testes'!$C:$C,'Detalhe Entregas e Status'!C10)</f>
        <v>#N/A</v>
      </c>
      <c r="N10" s="19" t="s">
        <v>280</v>
      </c>
      <c r="O10" s="14" t="s">
        <v>280</v>
      </c>
      <c r="Q10" s="20">
        <v>45803</v>
      </c>
      <c r="R10" s="15">
        <v>45846</v>
      </c>
      <c r="S10" s="20"/>
      <c r="T10" s="240" t="s">
        <v>406</v>
      </c>
      <c r="V10" s="29" t="s">
        <v>121</v>
      </c>
      <c r="W10" s="29" t="s">
        <v>115</v>
      </c>
      <c r="X10" s="29" t="s">
        <v>121</v>
      </c>
    </row>
    <row r="11" spans="1:25">
      <c r="A11" s="3" t="s">
        <v>389</v>
      </c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 t="e">
        <f>SUMIFS('Detalhe Testes'!$H:$H,'Detalhe Testes'!$B:$B,'Detalhe Entregas e Status'!B11,'Detalhe Testes'!$C:$C,'Detalhe Entregas e Status'!C11)</f>
        <v>#N/A</v>
      </c>
      <c r="N11" s="14"/>
      <c r="O11" s="14"/>
      <c r="Q11" s="15"/>
      <c r="R11" s="15">
        <v>45849</v>
      </c>
      <c r="S11" s="15"/>
      <c r="T11" s="240" t="s">
        <v>409</v>
      </c>
      <c r="V11" s="29" t="s">
        <v>121</v>
      </c>
      <c r="W11" s="29" t="s">
        <v>115</v>
      </c>
      <c r="X11" s="29" t="s">
        <v>121</v>
      </c>
    </row>
    <row r="12" spans="1:25">
      <c r="A12" s="3" t="s">
        <v>389</v>
      </c>
      <c r="B12" s="13" t="s">
        <v>1</v>
      </c>
      <c r="C12" s="306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 t="e">
        <f>SUMIFS('Detalhe Testes'!$H:$H,'Detalhe Testes'!$B:$B,'Detalhe Entregas e Status'!B12,'Detalhe Testes'!$C:$C,'Detalhe Entregas e Status'!C12)</f>
        <v>#N/A</v>
      </c>
      <c r="N12" s="14" t="s">
        <v>280</v>
      </c>
      <c r="O12" s="14" t="s">
        <v>280</v>
      </c>
      <c r="Q12" s="192">
        <v>45803</v>
      </c>
      <c r="R12" s="244">
        <v>45849</v>
      </c>
      <c r="S12" s="15"/>
      <c r="T12" s="240" t="s">
        <v>406</v>
      </c>
      <c r="V12" s="29" t="s">
        <v>426</v>
      </c>
      <c r="W12" s="29" t="s">
        <v>115</v>
      </c>
      <c r="X12" s="29" t="s">
        <v>121</v>
      </c>
    </row>
    <row r="13" spans="1:25">
      <c r="A13" s="3" t="s">
        <v>389</v>
      </c>
      <c r="B13" s="13" t="s">
        <v>1</v>
      </c>
      <c r="C13" s="306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 t="e">
        <f>SUMIFS('Detalhe Testes'!$H:$H,'Detalhe Testes'!$B:$B,'Detalhe Entregas e Status'!B13,'Detalhe Testes'!$C:$C,'Detalhe Entregas e Status'!C13)</f>
        <v>#N/A</v>
      </c>
      <c r="N13" s="14" t="s">
        <v>280</v>
      </c>
      <c r="O13" s="14" t="s">
        <v>280</v>
      </c>
      <c r="Q13" s="192">
        <v>45803</v>
      </c>
      <c r="R13" s="244">
        <v>45849</v>
      </c>
      <c r="S13" s="15"/>
      <c r="T13" s="240" t="s">
        <v>406</v>
      </c>
      <c r="V13" s="29" t="s">
        <v>121</v>
      </c>
      <c r="W13" s="29" t="s">
        <v>115</v>
      </c>
      <c r="X13" s="29" t="s">
        <v>121</v>
      </c>
    </row>
    <row r="14" spans="1:25">
      <c r="B14" s="13" t="s">
        <v>1</v>
      </c>
      <c r="C14" s="306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 t="e">
        <f>SUMIFS('Detalhe Testes'!$H:$H,'Detalhe Testes'!$B:$B,'Detalhe Entregas e Status'!B14,'Detalhe Testes'!$C:$C,'Detalhe Entregas e Status'!C14)</f>
        <v>#N/A</v>
      </c>
      <c r="N14" s="14" t="s">
        <v>280</v>
      </c>
      <c r="O14" s="14" t="s">
        <v>280</v>
      </c>
      <c r="Q14" s="20">
        <v>45803</v>
      </c>
      <c r="R14" s="244">
        <v>45849</v>
      </c>
      <c r="S14" s="15"/>
      <c r="T14" s="239" t="s">
        <v>399</v>
      </c>
      <c r="V14" s="29" t="s">
        <v>121</v>
      </c>
      <c r="W14" s="29" t="s">
        <v>121</v>
      </c>
      <c r="X14" s="29" t="s">
        <v>121</v>
      </c>
    </row>
    <row r="15" spans="1:25">
      <c r="B15" s="13" t="s">
        <v>1</v>
      </c>
      <c r="C15" s="306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 t="e">
        <f>SUMIFS('Detalhe Testes'!$H:$H,'Detalhe Testes'!$B:$B,'Detalhe Entregas e Status'!B15,'Detalhe Testes'!$C:$C,'Detalhe Entregas e Status'!C15)</f>
        <v>#N/A</v>
      </c>
      <c r="N15" s="14" t="s">
        <v>280</v>
      </c>
      <c r="O15" s="14" t="s">
        <v>280</v>
      </c>
      <c r="Q15" s="192">
        <v>45803</v>
      </c>
      <c r="R15" s="244">
        <v>45854</v>
      </c>
      <c r="S15" s="15"/>
      <c r="T15" s="240" t="s">
        <v>406</v>
      </c>
      <c r="V15" s="29" t="s">
        <v>121</v>
      </c>
      <c r="W15" s="29" t="s">
        <v>115</v>
      </c>
      <c r="X15" s="29" t="s">
        <v>121</v>
      </c>
    </row>
    <row r="16" spans="1:25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1">
        <v>45803</v>
      </c>
      <c r="K16" s="14">
        <f t="shared" si="1"/>
        <v>0</v>
      </c>
      <c r="M16" s="166" t="e">
        <f>SUMIFS('Detalhe Testes'!$H:$H,'Detalhe Testes'!$B:$B,'Detalhe Entregas e Status'!B16,'Detalhe Testes'!$C:$C,'Detalhe Entregas e Status'!C16)</f>
        <v>#N/A</v>
      </c>
      <c r="N16" s="14"/>
      <c r="O16" s="14"/>
      <c r="Q16" s="15">
        <v>45833</v>
      </c>
      <c r="R16" s="15">
        <v>45849</v>
      </c>
      <c r="S16" s="15"/>
      <c r="T16" s="309" t="s">
        <v>438</v>
      </c>
      <c r="V16" s="29" t="s">
        <v>121</v>
      </c>
      <c r="W16" s="29" t="s">
        <v>115</v>
      </c>
      <c r="X16" s="29" t="s">
        <v>115</v>
      </c>
    </row>
    <row r="17" spans="1:24">
      <c r="B17" s="13" t="s">
        <v>1</v>
      </c>
      <c r="C17" s="308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 t="e">
        <f>SUMIFS('Detalhe Testes'!$H:$H,'Detalhe Testes'!$B:$B,'Detalhe Entregas e Status'!B17,'Detalhe Testes'!$C:$C,'Detalhe Entregas e Status'!C17)</f>
        <v>#N/A</v>
      </c>
      <c r="N17" s="14"/>
      <c r="O17" s="14"/>
      <c r="Q17" s="15">
        <v>45833</v>
      </c>
      <c r="R17" s="15">
        <v>45849</v>
      </c>
      <c r="S17" s="15"/>
      <c r="T17" s="239" t="s">
        <v>439</v>
      </c>
      <c r="V17" s="29" t="s">
        <v>426</v>
      </c>
      <c r="W17" s="29" t="s">
        <v>113</v>
      </c>
      <c r="X17" s="29" t="s">
        <v>113</v>
      </c>
    </row>
    <row r="18" spans="1:24">
      <c r="B18" s="13" t="s">
        <v>1</v>
      </c>
      <c r="C18" s="306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 t="e">
        <f>SUMIFS('Detalhe Testes'!$H:$H,'Detalhe Testes'!$B:$B,'Detalhe Entregas e Status'!B18,'Detalhe Testes'!$C:$C,'Detalhe Entregas e Status'!C18)</f>
        <v>#N/A</v>
      </c>
      <c r="N18" s="14" t="s">
        <v>280</v>
      </c>
      <c r="O18" s="14" t="s">
        <v>280</v>
      </c>
      <c r="Q18" s="192">
        <v>45803</v>
      </c>
      <c r="R18" s="244">
        <v>45849</v>
      </c>
      <c r="S18" s="15"/>
      <c r="T18" s="240" t="s">
        <v>406</v>
      </c>
      <c r="V18" s="29" t="s">
        <v>121</v>
      </c>
      <c r="W18" s="29" t="s">
        <v>115</v>
      </c>
      <c r="X18" s="29" t="s">
        <v>121</v>
      </c>
    </row>
    <row r="19" spans="1:24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 t="e">
        <f>SUMIFS('Detalhe Testes'!$H:$H,'Detalhe Testes'!$B:$B,'Detalhe Entregas e Status'!B19,'Detalhe Testes'!$C:$C,'Detalhe Entregas e Status'!C19)</f>
        <v>#N/A</v>
      </c>
      <c r="N19" s="14" t="s">
        <v>280</v>
      </c>
      <c r="O19" s="14" t="s">
        <v>280</v>
      </c>
      <c r="Q19" s="20">
        <v>45803</v>
      </c>
      <c r="R19" s="244" t="s">
        <v>373</v>
      </c>
      <c r="S19" s="15"/>
      <c r="T19" s="239" t="s">
        <v>415</v>
      </c>
      <c r="V19" s="29" t="s">
        <v>121</v>
      </c>
      <c r="W19" s="29" t="s">
        <v>113</v>
      </c>
      <c r="X19" s="29" t="s">
        <v>113</v>
      </c>
    </row>
    <row r="20" spans="1:24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 t="e">
        <f>SUMIFS('Detalhe Testes'!$H:$H,'Detalhe Testes'!$B:$B,'Detalhe Entregas e Status'!B20,'Detalhe Testes'!$C:$C,'Detalhe Entregas e Status'!C20)</f>
        <v>#N/A</v>
      </c>
      <c r="N20" s="14" t="s">
        <v>296</v>
      </c>
      <c r="O20" s="14" t="s">
        <v>280</v>
      </c>
      <c r="Q20" s="20">
        <v>45804</v>
      </c>
      <c r="R20" s="15">
        <v>45854</v>
      </c>
      <c r="S20" s="15"/>
      <c r="T20" s="29" t="s">
        <v>431</v>
      </c>
      <c r="V20" s="29" t="s">
        <v>426</v>
      </c>
      <c r="W20" s="29" t="s">
        <v>121</v>
      </c>
      <c r="X20" s="29" t="s">
        <v>121</v>
      </c>
    </row>
    <row r="21" spans="1:24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 t="e">
        <f>SUMIFS('Detalhe Testes'!$H:$H,'Detalhe Testes'!$B:$B,'Detalhe Entregas e Status'!B21,'Detalhe Testes'!$C:$C,'Detalhe Entregas e Status'!C21)</f>
        <v>#N/A</v>
      </c>
      <c r="N21" s="14"/>
      <c r="O21" s="14"/>
      <c r="Q21" s="15"/>
      <c r="R21" s="15"/>
      <c r="S21" s="15"/>
      <c r="T21" s="15"/>
      <c r="V21" s="29" t="s">
        <v>113</v>
      </c>
      <c r="W21" s="29" t="s">
        <v>113</v>
      </c>
      <c r="X21" s="29" t="s">
        <v>113</v>
      </c>
    </row>
    <row r="22" spans="1:24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 t="e">
        <f>SUMIFS('Detalhe Testes'!$H:$H,'Detalhe Testes'!$B:$B,'Detalhe Entregas e Status'!B22,'Detalhe Testes'!$C:$C,'Detalhe Entregas e Status'!C22)</f>
        <v>#N/A</v>
      </c>
      <c r="N22" s="14"/>
      <c r="O22" s="14"/>
      <c r="Q22" s="15"/>
      <c r="R22" s="15"/>
      <c r="S22" s="15"/>
      <c r="T22" s="15"/>
      <c r="V22" s="29" t="s">
        <v>113</v>
      </c>
      <c r="W22" s="29" t="s">
        <v>113</v>
      </c>
      <c r="X22" s="29" t="s">
        <v>113</v>
      </c>
    </row>
    <row r="23" spans="1:24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 t="e">
        <f>SUMIFS('Detalhe Testes'!$H:$H,'Detalhe Testes'!$B:$B,'Detalhe Entregas e Status'!B23,'Detalhe Testes'!$C:$C,'Detalhe Entregas e Status'!C23)</f>
        <v>#N/A</v>
      </c>
      <c r="N23" s="14"/>
      <c r="O23" s="14"/>
      <c r="Q23" s="15"/>
      <c r="R23" s="15"/>
      <c r="S23" s="15"/>
      <c r="T23" s="15"/>
      <c r="V23" s="29" t="s">
        <v>113</v>
      </c>
      <c r="W23" s="29" t="s">
        <v>113</v>
      </c>
      <c r="X23" s="29" t="s">
        <v>113</v>
      </c>
    </row>
    <row r="24" spans="1:24">
      <c r="B24" s="13" t="s">
        <v>1</v>
      </c>
      <c r="C24" s="306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 t="e">
        <f>SUMIFS('Detalhe Testes'!$H:$H,'Detalhe Testes'!$B:$B,'Detalhe Entregas e Status'!B24,'Detalhe Testes'!$C:$C,'Detalhe Entregas e Status'!C24)</f>
        <v>#N/A</v>
      </c>
      <c r="N24" s="14" t="s">
        <v>280</v>
      </c>
      <c r="O24" s="14" t="s">
        <v>280</v>
      </c>
      <c r="Q24" s="192">
        <v>45803</v>
      </c>
      <c r="R24" s="15">
        <v>45846</v>
      </c>
      <c r="S24" s="15"/>
      <c r="T24" s="240" t="s">
        <v>406</v>
      </c>
      <c r="V24" s="29" t="s">
        <v>121</v>
      </c>
      <c r="W24" s="29" t="s">
        <v>115</v>
      </c>
      <c r="X24" s="29" t="s">
        <v>121</v>
      </c>
    </row>
    <row r="25" spans="1:24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 t="e">
        <f>SUMIFS('Detalhe Testes'!$H:$H,'Detalhe Testes'!$B:$B,'Detalhe Entregas e Status'!B25,'Detalhe Testes'!$C:$C,'Detalhe Entregas e Status'!C25)</f>
        <v>#N/A</v>
      </c>
      <c r="N25" s="14"/>
      <c r="O25" s="14"/>
      <c r="Q25" s="15"/>
      <c r="R25" s="15"/>
      <c r="S25" s="15"/>
      <c r="T25" s="15"/>
      <c r="V25" s="29" t="s">
        <v>113</v>
      </c>
      <c r="W25" s="29" t="s">
        <v>113</v>
      </c>
      <c r="X25" s="29" t="s">
        <v>113</v>
      </c>
    </row>
    <row r="26" spans="1:24">
      <c r="A26" s="3" t="s">
        <v>389</v>
      </c>
      <c r="B26" s="13" t="s">
        <v>1</v>
      </c>
      <c r="C26" s="306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 t="e">
        <f>SUMIFS('Detalhe Testes'!$H:$H,'Detalhe Testes'!$B:$B,'Detalhe Entregas e Status'!B26,'Detalhe Testes'!$C:$C,'Detalhe Entregas e Status'!C26)</f>
        <v>#N/A</v>
      </c>
      <c r="N26" s="14" t="s">
        <v>280</v>
      </c>
      <c r="O26" s="14" t="s">
        <v>280</v>
      </c>
      <c r="Q26" s="192">
        <v>45803</v>
      </c>
      <c r="R26" s="244">
        <v>45849</v>
      </c>
      <c r="S26" s="15"/>
      <c r="T26" s="240" t="s">
        <v>406</v>
      </c>
      <c r="V26" s="29" t="s">
        <v>121</v>
      </c>
      <c r="W26" s="29" t="s">
        <v>115</v>
      </c>
      <c r="X26" s="29" t="s">
        <v>121</v>
      </c>
    </row>
    <row r="27" spans="1:24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 t="e">
        <f>SUMIFS('Detalhe Testes'!$H:$H,'Detalhe Testes'!$B:$B,'Detalhe Entregas e Status'!B27,'Detalhe Testes'!$C:$C,'Detalhe Entregas e Status'!C27)</f>
        <v>#N/A</v>
      </c>
      <c r="N27" s="14" t="s">
        <v>280</v>
      </c>
      <c r="O27" s="14" t="s">
        <v>280</v>
      </c>
      <c r="Q27" s="192">
        <v>45803</v>
      </c>
      <c r="R27" s="244">
        <v>45849</v>
      </c>
      <c r="S27" s="15"/>
      <c r="T27" s="239" t="s">
        <v>416</v>
      </c>
      <c r="V27" s="29" t="s">
        <v>121</v>
      </c>
      <c r="W27" s="29" t="s">
        <v>113</v>
      </c>
      <c r="X27" s="29" t="s">
        <v>113</v>
      </c>
    </row>
    <row r="28" spans="1:24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 t="e">
        <f>SUMIFS('Detalhe Testes'!$H:$H,'Detalhe Testes'!$B:$B,'Detalhe Entregas e Status'!B28,'Detalhe Testes'!$C:$C,'Detalhe Entregas e Status'!C28)</f>
        <v>#N/A</v>
      </c>
      <c r="N28" s="14"/>
      <c r="O28" s="14"/>
      <c r="Q28" s="15">
        <v>45833</v>
      </c>
      <c r="R28" s="15">
        <v>45849</v>
      </c>
      <c r="S28" s="15"/>
      <c r="T28" s="239" t="s">
        <v>417</v>
      </c>
      <c r="V28" s="29" t="s">
        <v>121</v>
      </c>
      <c r="W28" s="29" t="s">
        <v>113</v>
      </c>
      <c r="X28" s="29" t="s">
        <v>113</v>
      </c>
    </row>
    <row r="29" spans="1:24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 t="e">
        <f>SUMIFS('Detalhe Testes'!$H:$H,'Detalhe Testes'!$B:$B,'Detalhe Entregas e Status'!B29,'Detalhe Testes'!$C:$C,'Detalhe Entregas e Status'!C29)</f>
        <v>#N/A</v>
      </c>
      <c r="N29" s="14" t="s">
        <v>280</v>
      </c>
      <c r="O29" s="14" t="s">
        <v>280</v>
      </c>
      <c r="Q29" s="192">
        <v>45803</v>
      </c>
      <c r="R29" s="244" t="s">
        <v>373</v>
      </c>
      <c r="S29" s="15"/>
      <c r="T29" s="239" t="s">
        <v>430</v>
      </c>
      <c r="V29" s="29" t="s">
        <v>121</v>
      </c>
      <c r="W29" s="29" t="s">
        <v>113</v>
      </c>
      <c r="X29" s="29" t="s">
        <v>113</v>
      </c>
    </row>
    <row r="30" spans="1:24">
      <c r="B30" s="13" t="s">
        <v>1</v>
      </c>
      <c r="C30" s="306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1">
        <v>45803</v>
      </c>
      <c r="K30" s="14">
        <f t="shared" si="1"/>
        <v>0</v>
      </c>
      <c r="M30" s="166" t="e">
        <f>SUMIFS('Detalhe Testes'!$H:$H,'Detalhe Testes'!$B:$B,'Detalhe Entregas e Status'!B30,'Detalhe Testes'!$C:$C,'Detalhe Entregas e Status'!C30)</f>
        <v>#N/A</v>
      </c>
      <c r="N30" s="14" t="s">
        <v>280</v>
      </c>
      <c r="O30" s="14" t="s">
        <v>280</v>
      </c>
      <c r="Q30" s="192">
        <v>45803</v>
      </c>
      <c r="R30" s="244">
        <v>45854</v>
      </c>
      <c r="S30" s="15"/>
      <c r="T30" s="240" t="s">
        <v>406</v>
      </c>
      <c r="V30" s="29" t="s">
        <v>121</v>
      </c>
      <c r="W30" s="29" t="s">
        <v>115</v>
      </c>
      <c r="X30" s="29" t="s">
        <v>121</v>
      </c>
    </row>
    <row r="31" spans="1:24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 t="e">
        <f>SUMIFS('Detalhe Testes'!$H:$H,'Detalhe Testes'!$B:$B,'Detalhe Entregas e Status'!B31,'Detalhe Testes'!$C:$C,'Detalhe Entregas e Status'!C31)</f>
        <v>#N/A</v>
      </c>
      <c r="N31" s="14"/>
      <c r="O31" s="14"/>
      <c r="Q31" s="15"/>
      <c r="R31" s="15"/>
      <c r="S31" s="15"/>
      <c r="T31" s="15"/>
      <c r="V31" s="29" t="s">
        <v>113</v>
      </c>
      <c r="W31" s="29" t="s">
        <v>113</v>
      </c>
      <c r="X31" s="29" t="s">
        <v>113</v>
      </c>
    </row>
    <row r="32" spans="1:24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 t="e">
        <f>SUMIFS('Detalhe Testes'!$H:$H,'Detalhe Testes'!$B:$B,'Detalhe Entregas e Status'!B32,'Detalhe Testes'!$C:$C,'Detalhe Entregas e Status'!C32)</f>
        <v>#N/A</v>
      </c>
      <c r="N32" s="14"/>
      <c r="O32" s="14"/>
      <c r="Q32" s="15"/>
      <c r="R32" s="15"/>
      <c r="S32" s="15"/>
      <c r="T32" s="15"/>
      <c r="V32" s="29" t="s">
        <v>113</v>
      </c>
      <c r="W32" s="29" t="s">
        <v>113</v>
      </c>
      <c r="X32" s="29" t="s">
        <v>113</v>
      </c>
    </row>
    <row r="33" spans="2:24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 t="e">
        <f>SUMIFS('Detalhe Testes'!$H:$H,'Detalhe Testes'!$B:$B,'Detalhe Entregas e Status'!B33,'Detalhe Testes'!$C:$C,'Detalhe Entregas e Status'!C33)</f>
        <v>#N/A</v>
      </c>
      <c r="N33" s="14"/>
      <c r="O33" s="14"/>
      <c r="Q33" s="15"/>
      <c r="R33" s="15"/>
      <c r="S33" s="15"/>
      <c r="T33" s="15"/>
      <c r="V33" s="29" t="s">
        <v>113</v>
      </c>
      <c r="W33" s="29" t="s">
        <v>113</v>
      </c>
      <c r="X33" s="29" t="s">
        <v>113</v>
      </c>
    </row>
    <row r="34" spans="2:24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 t="e">
        <f>SUMIFS('Detalhe Testes'!$H:$H,'Detalhe Testes'!$B:$B,'Detalhe Entregas e Status'!B34,'Detalhe Testes'!$C:$C,'Detalhe Entregas e Status'!C34)</f>
        <v>#N/A</v>
      </c>
      <c r="N34" s="14"/>
      <c r="O34" s="14"/>
      <c r="Q34" s="15"/>
      <c r="R34" s="15"/>
      <c r="S34" s="15"/>
      <c r="T34" s="15"/>
      <c r="V34" s="29" t="s">
        <v>113</v>
      </c>
      <c r="W34" s="29" t="s">
        <v>113</v>
      </c>
      <c r="X34" s="29" t="s">
        <v>113</v>
      </c>
    </row>
    <row r="35" spans="2:24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 t="e">
        <f>SUMIFS('Detalhe Testes'!$H:$H,'Detalhe Testes'!$B:$B,'Detalhe Entregas e Status'!B35,'Detalhe Testes'!$C:$C,'Detalhe Entregas e Status'!C35)</f>
        <v>#N/A</v>
      </c>
      <c r="N35" s="14"/>
      <c r="O35" s="14"/>
      <c r="Q35" s="15"/>
      <c r="R35" s="15"/>
      <c r="S35" s="15"/>
      <c r="T35" s="15"/>
      <c r="V35" s="29" t="s">
        <v>113</v>
      </c>
      <c r="W35" s="29" t="s">
        <v>113</v>
      </c>
      <c r="X35" s="29" t="s">
        <v>113</v>
      </c>
    </row>
    <row r="36" spans="2:24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 t="e">
        <f>SUMIFS('Detalhe Testes'!$H:$H,'Detalhe Testes'!$B:$B,'Detalhe Entregas e Status'!B36,'Detalhe Testes'!$C:$C,'Detalhe Entregas e Status'!C36)</f>
        <v>#N/A</v>
      </c>
      <c r="N36" s="14" t="s">
        <v>296</v>
      </c>
      <c r="O36" s="14" t="s">
        <v>280</v>
      </c>
      <c r="Q36" s="15">
        <v>45825</v>
      </c>
      <c r="R36" s="15"/>
      <c r="S36" s="15"/>
      <c r="T36" s="15"/>
      <c r="V36" s="29" t="s">
        <v>113</v>
      </c>
      <c r="W36" s="29" t="s">
        <v>113</v>
      </c>
      <c r="X36" s="29" t="s">
        <v>113</v>
      </c>
    </row>
    <row r="37" spans="2:24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 t="e">
        <f>SUMIFS('Detalhe Testes'!$H:$H,'Detalhe Testes'!$B:$B,'Detalhe Entregas e Status'!B37,'Detalhe Testes'!$C:$C,'Detalhe Entregas e Status'!C37)</f>
        <v>#N/A</v>
      </c>
      <c r="N37" s="14"/>
      <c r="O37" s="14"/>
      <c r="Q37" s="15"/>
      <c r="R37" s="15"/>
      <c r="S37" s="15"/>
      <c r="T37" s="15"/>
      <c r="V37" s="29" t="s">
        <v>113</v>
      </c>
      <c r="W37" s="29" t="s">
        <v>113</v>
      </c>
      <c r="X37" s="29" t="s">
        <v>113</v>
      </c>
    </row>
    <row r="38" spans="2:24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 t="e">
        <f>SUMIFS('Detalhe Testes'!$H:$H,'Detalhe Testes'!$B:$B,'Detalhe Entregas e Status'!B38,'Detalhe Testes'!$C:$C,'Detalhe Entregas e Status'!C38)</f>
        <v>#N/A</v>
      </c>
      <c r="N38" s="14"/>
      <c r="O38" s="14"/>
      <c r="Q38" s="15"/>
      <c r="R38" s="15"/>
      <c r="S38" s="15"/>
      <c r="T38" s="15"/>
      <c r="V38" s="29" t="s">
        <v>113</v>
      </c>
      <c r="W38" s="29" t="s">
        <v>113</v>
      </c>
      <c r="X38" s="29" t="s">
        <v>113</v>
      </c>
    </row>
    <row r="39" spans="2:24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1">
        <v>45803</v>
      </c>
      <c r="K39" s="14">
        <f t="shared" si="1"/>
        <v>0</v>
      </c>
      <c r="M39" s="166" t="e">
        <f>SUMIFS('Detalhe Testes'!$H:$H,'Detalhe Testes'!$B:$B,'Detalhe Entregas e Status'!B39,'Detalhe Testes'!$C:$C,'Detalhe Entregas e Status'!C39)</f>
        <v>#N/A</v>
      </c>
      <c r="N39" s="14" t="s">
        <v>296</v>
      </c>
      <c r="O39" s="14" t="s">
        <v>280</v>
      </c>
      <c r="Q39" s="15">
        <v>45814</v>
      </c>
      <c r="R39" s="15">
        <v>45846</v>
      </c>
      <c r="S39" s="15"/>
      <c r="T39" s="239" t="s">
        <v>418</v>
      </c>
      <c r="V39" s="29" t="s">
        <v>426</v>
      </c>
      <c r="W39" s="29" t="s">
        <v>113</v>
      </c>
      <c r="X39" s="29" t="s">
        <v>113</v>
      </c>
    </row>
    <row r="40" spans="2:24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 t="e">
        <f>SUMIFS('Detalhe Testes'!$H:$H,'Detalhe Testes'!$B:$B,'Detalhe Entregas e Status'!B40,'Detalhe Testes'!$C:$C,'Detalhe Entregas e Status'!C40)</f>
        <v>#N/A</v>
      </c>
      <c r="N40" s="14" t="s">
        <v>296</v>
      </c>
      <c r="O40" s="14" t="s">
        <v>280</v>
      </c>
      <c r="Q40" s="15">
        <v>45814</v>
      </c>
      <c r="R40" s="15">
        <v>45846</v>
      </c>
      <c r="S40" s="15"/>
      <c r="T40" s="239" t="s">
        <v>418</v>
      </c>
      <c r="V40" s="29" t="s">
        <v>426</v>
      </c>
      <c r="W40" s="29" t="s">
        <v>113</v>
      </c>
      <c r="X40" s="29" t="s">
        <v>113</v>
      </c>
    </row>
    <row r="41" spans="2:24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 t="e">
        <f>SUMIFS('Detalhe Testes'!$H:$H,'Detalhe Testes'!$B:$B,'Detalhe Entregas e Status'!B41,'Detalhe Testes'!$C:$C,'Detalhe Entregas e Status'!C41)</f>
        <v>#N/A</v>
      </c>
      <c r="N41" s="14"/>
      <c r="O41" s="14"/>
      <c r="Q41" s="15">
        <v>45841</v>
      </c>
      <c r="R41" s="15">
        <v>45854</v>
      </c>
      <c r="S41" s="15"/>
      <c r="T41" s="29"/>
      <c r="V41" s="29" t="s">
        <v>426</v>
      </c>
      <c r="W41" s="29" t="s">
        <v>121</v>
      </c>
      <c r="X41" s="29" t="s">
        <v>121</v>
      </c>
    </row>
    <row r="42" spans="2:24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1">
        <v>45803</v>
      </c>
      <c r="K42" s="14">
        <f t="shared" si="3"/>
        <v>0</v>
      </c>
      <c r="M42" s="166" t="e">
        <f>SUMIFS('Detalhe Testes'!$H:$H,'Detalhe Testes'!$B:$B,'Detalhe Entregas e Status'!B42,'Detalhe Testes'!$C:$C,'Detalhe Entregas e Status'!C42)</f>
        <v>#N/A</v>
      </c>
      <c r="N42" s="14"/>
      <c r="O42" s="14"/>
      <c r="Q42" s="15"/>
      <c r="R42" s="15"/>
      <c r="S42" s="15"/>
      <c r="T42" s="15"/>
      <c r="V42" s="29" t="s">
        <v>113</v>
      </c>
      <c r="W42" s="29" t="s">
        <v>113</v>
      </c>
      <c r="X42" s="29" t="s">
        <v>113</v>
      </c>
    </row>
    <row r="43" spans="2:24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1">
        <v>45803</v>
      </c>
      <c r="K43" s="14">
        <f t="shared" si="3"/>
        <v>0</v>
      </c>
      <c r="M43" s="166" t="e">
        <f>SUMIFS('Detalhe Testes'!$H:$H,'Detalhe Testes'!$B:$B,'Detalhe Entregas e Status'!B43,'Detalhe Testes'!$C:$C,'Detalhe Entregas e Status'!C43)</f>
        <v>#N/A</v>
      </c>
      <c r="N43" s="14"/>
      <c r="O43" s="14"/>
      <c r="Q43" s="15">
        <v>45841</v>
      </c>
      <c r="R43" s="15">
        <v>45854</v>
      </c>
      <c r="S43" s="15"/>
      <c r="T43" s="239"/>
      <c r="V43" s="29" t="s">
        <v>121</v>
      </c>
      <c r="W43" s="29" t="s">
        <v>121</v>
      </c>
      <c r="X43" s="29" t="s">
        <v>121</v>
      </c>
    </row>
    <row r="44" spans="2:24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 t="e">
        <f>SUMIFS('Detalhe Testes'!$H:$H,'Detalhe Testes'!$B:$B,'Detalhe Entregas e Status'!B44,'Detalhe Testes'!$C:$C,'Detalhe Entregas e Status'!C44)</f>
        <v>#N/A</v>
      </c>
      <c r="N44" s="14"/>
      <c r="O44" s="14"/>
      <c r="Q44" s="15"/>
      <c r="R44" s="15"/>
      <c r="S44" s="15"/>
      <c r="T44" s="15"/>
      <c r="V44" s="29" t="s">
        <v>113</v>
      </c>
      <c r="W44" s="29" t="s">
        <v>113</v>
      </c>
      <c r="X44" s="29" t="s">
        <v>113</v>
      </c>
    </row>
    <row r="45" spans="2:24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1">
        <v>45803</v>
      </c>
      <c r="K45" s="14">
        <f t="shared" si="3"/>
        <v>0</v>
      </c>
      <c r="M45" s="166" t="e">
        <f>SUMIFS('Detalhe Testes'!$H:$H,'Detalhe Testes'!$B:$B,'Detalhe Entregas e Status'!B45,'Detalhe Testes'!$C:$C,'Detalhe Entregas e Status'!C45)</f>
        <v>#N/A</v>
      </c>
      <c r="N45" s="14"/>
      <c r="O45" s="14"/>
      <c r="Q45" s="15">
        <v>45841</v>
      </c>
      <c r="R45" s="15">
        <v>45849</v>
      </c>
      <c r="S45" s="15"/>
      <c r="T45" s="239"/>
      <c r="V45" s="29" t="s">
        <v>121</v>
      </c>
      <c r="W45" s="29" t="s">
        <v>121</v>
      </c>
      <c r="X45" s="29" t="s">
        <v>121</v>
      </c>
    </row>
    <row r="46" spans="2:24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1">
        <v>45803</v>
      </c>
      <c r="K46" s="14">
        <f t="shared" si="3"/>
        <v>0</v>
      </c>
      <c r="M46" s="166" t="e">
        <f>SUMIFS('Detalhe Testes'!$H:$H,'Detalhe Testes'!$B:$B,'Detalhe Entregas e Status'!B46,'Detalhe Testes'!$C:$C,'Detalhe Entregas e Status'!C46)</f>
        <v>#N/A</v>
      </c>
      <c r="N46" s="14" t="s">
        <v>296</v>
      </c>
      <c r="O46" s="14" t="s">
        <v>280</v>
      </c>
      <c r="Q46" s="15">
        <v>45814</v>
      </c>
      <c r="R46" s="15">
        <v>45846</v>
      </c>
      <c r="S46" s="15"/>
      <c r="T46" s="239" t="s">
        <v>418</v>
      </c>
      <c r="V46" s="29" t="s">
        <v>426</v>
      </c>
      <c r="W46" s="29" t="s">
        <v>113</v>
      </c>
      <c r="X46" s="29" t="s">
        <v>113</v>
      </c>
    </row>
    <row r="47" spans="2:24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1">
        <v>45803</v>
      </c>
      <c r="K47" s="14">
        <f t="shared" si="3"/>
        <v>0</v>
      </c>
      <c r="M47" s="166" t="e">
        <f>SUMIFS('Detalhe Testes'!$H:$H,'Detalhe Testes'!$B:$B,'Detalhe Entregas e Status'!B47,'Detalhe Testes'!$C:$C,'Detalhe Entregas e Status'!C47)</f>
        <v>#N/A</v>
      </c>
      <c r="N47" s="14" t="s">
        <v>296</v>
      </c>
      <c r="O47" s="14" t="s">
        <v>280</v>
      </c>
      <c r="Q47" s="15">
        <v>45814</v>
      </c>
      <c r="R47" s="15">
        <v>45846</v>
      </c>
      <c r="S47" s="15"/>
      <c r="T47" s="239" t="s">
        <v>418</v>
      </c>
      <c r="V47" s="29" t="s">
        <v>426</v>
      </c>
      <c r="W47" s="29" t="s">
        <v>113</v>
      </c>
      <c r="X47" s="29" t="s">
        <v>113</v>
      </c>
    </row>
    <row r="48" spans="2:24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1">
        <v>45803</v>
      </c>
      <c r="K48" s="14">
        <f t="shared" si="3"/>
        <v>0</v>
      </c>
      <c r="M48" s="166" t="e">
        <f>SUMIFS('Detalhe Testes'!$H:$H,'Detalhe Testes'!$B:$B,'Detalhe Entregas e Status'!B48,'Detalhe Testes'!$C:$C,'Detalhe Entregas e Status'!C48)</f>
        <v>#N/A</v>
      </c>
      <c r="N48" s="14"/>
      <c r="O48" s="14"/>
      <c r="Q48" s="15">
        <v>45841</v>
      </c>
      <c r="R48" s="15">
        <v>45854</v>
      </c>
      <c r="S48" s="15"/>
      <c r="T48" s="239" t="s">
        <v>401</v>
      </c>
      <c r="V48" s="29" t="s">
        <v>121</v>
      </c>
      <c r="W48" s="29" t="s">
        <v>115</v>
      </c>
      <c r="X48" s="29" t="s">
        <v>115</v>
      </c>
    </row>
    <row r="49" spans="1:24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1">
        <v>45803</v>
      </c>
      <c r="K49" s="14">
        <f t="shared" si="3"/>
        <v>0</v>
      </c>
      <c r="M49" s="166" t="e">
        <f>SUMIFS('Detalhe Testes'!$H:$H,'Detalhe Testes'!$B:$B,'Detalhe Entregas e Status'!B49,'Detalhe Testes'!$C:$C,'Detalhe Entregas e Status'!C49)</f>
        <v>#N/A</v>
      </c>
      <c r="N49" s="14" t="s">
        <v>296</v>
      </c>
      <c r="O49" s="14" t="s">
        <v>280</v>
      </c>
      <c r="Q49" s="15">
        <v>45814</v>
      </c>
      <c r="R49" s="15">
        <v>45846</v>
      </c>
      <c r="S49" s="15"/>
      <c r="T49" s="239" t="s">
        <v>419</v>
      </c>
      <c r="V49" s="29" t="s">
        <v>426</v>
      </c>
      <c r="W49" s="29" t="s">
        <v>113</v>
      </c>
      <c r="X49" s="29" t="s">
        <v>113</v>
      </c>
    </row>
    <row r="50" spans="1:24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 t="e">
        <f>SUMIFS('Detalhe Testes'!$H:$H,'Detalhe Testes'!$B:$B,'Detalhe Entregas e Status'!B50,'Detalhe Testes'!$C:$C,'Detalhe Entregas e Status'!C50)</f>
        <v>#N/A</v>
      </c>
      <c r="N50" s="14" t="s">
        <v>296</v>
      </c>
      <c r="O50" s="14" t="s">
        <v>280</v>
      </c>
      <c r="Q50" s="15">
        <v>45814</v>
      </c>
      <c r="R50" s="15">
        <v>45846</v>
      </c>
      <c r="S50" s="15"/>
      <c r="T50" s="239" t="s">
        <v>420</v>
      </c>
      <c r="V50" s="29" t="s">
        <v>426</v>
      </c>
      <c r="W50" s="29" t="s">
        <v>113</v>
      </c>
      <c r="X50" s="29" t="s">
        <v>113</v>
      </c>
    </row>
    <row r="51" spans="1:24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 t="e">
        <f>SUMIFS('Detalhe Testes'!$H:$H,'Detalhe Testes'!$B:$B,'Detalhe Entregas e Status'!B51,'Detalhe Testes'!$C:$C,'Detalhe Entregas e Status'!C51)</f>
        <v>#N/A</v>
      </c>
      <c r="N51" s="14"/>
      <c r="O51" s="14"/>
      <c r="Q51" s="15">
        <v>45841</v>
      </c>
      <c r="R51" s="15">
        <v>45854</v>
      </c>
      <c r="S51" s="15"/>
      <c r="T51" s="239"/>
      <c r="V51" s="29" t="s">
        <v>121</v>
      </c>
      <c r="W51" s="29" t="s">
        <v>121</v>
      </c>
      <c r="X51" s="29" t="s">
        <v>121</v>
      </c>
    </row>
    <row r="52" spans="1:24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 t="e">
        <f>SUMIFS('Detalhe Testes'!$H:$H,'Detalhe Testes'!$B:$B,'Detalhe Entregas e Status'!B52,'Detalhe Testes'!$C:$C,'Detalhe Entregas e Status'!C52)</f>
        <v>#N/A</v>
      </c>
      <c r="N52" s="14" t="s">
        <v>296</v>
      </c>
      <c r="O52" s="14" t="s">
        <v>280</v>
      </c>
      <c r="Q52" s="15">
        <v>45814</v>
      </c>
      <c r="R52" s="15">
        <v>45846</v>
      </c>
      <c r="S52" s="15"/>
      <c r="T52" s="239" t="s">
        <v>421</v>
      </c>
      <c r="V52" s="29" t="s">
        <v>426</v>
      </c>
      <c r="W52" s="29" t="s">
        <v>113</v>
      </c>
      <c r="X52" s="29" t="s">
        <v>113</v>
      </c>
    </row>
    <row r="53" spans="1:24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1">
        <v>45803</v>
      </c>
      <c r="K53" s="14">
        <f t="shared" si="3"/>
        <v>0</v>
      </c>
      <c r="M53" s="166" t="e">
        <f>SUMIFS('Detalhe Testes'!$H:$H,'Detalhe Testes'!$B:$B,'Detalhe Entregas e Status'!B53,'Detalhe Testes'!$C:$C,'Detalhe Entregas e Status'!C53)</f>
        <v>#N/A</v>
      </c>
      <c r="N53" s="14" t="s">
        <v>296</v>
      </c>
      <c r="O53" s="14" t="s">
        <v>280</v>
      </c>
      <c r="Q53" s="15">
        <v>45814</v>
      </c>
      <c r="R53" s="15">
        <v>45846</v>
      </c>
      <c r="S53" s="15"/>
      <c r="T53" s="239" t="s">
        <v>422</v>
      </c>
      <c r="V53" s="29" t="s">
        <v>426</v>
      </c>
      <c r="W53" s="29" t="s">
        <v>113</v>
      </c>
      <c r="X53" s="29" t="s">
        <v>113</v>
      </c>
    </row>
    <row r="54" spans="1:24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 t="e">
        <f>SUMIFS('Detalhe Testes'!$H:$H,'Detalhe Testes'!$B:$B,'Detalhe Entregas e Status'!B54,'Detalhe Testes'!$C:$C,'Detalhe Entregas e Status'!C54)</f>
        <v>#N/A</v>
      </c>
      <c r="N54" s="14" t="s">
        <v>296</v>
      </c>
      <c r="O54" s="14" t="s">
        <v>280</v>
      </c>
      <c r="Q54" s="15">
        <v>45814</v>
      </c>
      <c r="R54" s="15">
        <v>45846</v>
      </c>
      <c r="S54" s="15"/>
      <c r="T54" s="246" t="s">
        <v>400</v>
      </c>
      <c r="V54" s="29" t="s">
        <v>121</v>
      </c>
      <c r="W54" s="29" t="s">
        <v>121</v>
      </c>
      <c r="X54" s="29" t="s">
        <v>121</v>
      </c>
    </row>
    <row r="55" spans="1:24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 t="e">
        <f>SUMIFS('Detalhe Testes'!$H:$H,'Detalhe Testes'!$B:$B,'Detalhe Entregas e Status'!B55,'Detalhe Testes'!$C:$C,'Detalhe Entregas e Status'!C55)</f>
        <v>#N/A</v>
      </c>
      <c r="N55" s="14" t="s">
        <v>296</v>
      </c>
      <c r="O55" s="14" t="s">
        <v>280</v>
      </c>
      <c r="Q55" s="15">
        <v>45814</v>
      </c>
      <c r="R55" s="15">
        <v>45846</v>
      </c>
      <c r="S55" s="15"/>
      <c r="T55" s="239" t="s">
        <v>423</v>
      </c>
      <c r="V55" s="29" t="s">
        <v>426</v>
      </c>
      <c r="W55" s="29" t="s">
        <v>113</v>
      </c>
      <c r="X55" s="29" t="s">
        <v>113</v>
      </c>
    </row>
    <row r="56" spans="1:24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 t="e">
        <f>SUMIFS('Detalhe Testes'!$H:$H,'Detalhe Testes'!$B:$B,'Detalhe Entregas e Status'!B56,'Detalhe Testes'!$C:$C,'Detalhe Entregas e Status'!C56)</f>
        <v>#N/A</v>
      </c>
      <c r="N56" s="14"/>
      <c r="O56" s="14"/>
      <c r="Q56" s="15"/>
      <c r="R56" s="15"/>
      <c r="S56" s="15"/>
      <c r="T56" s="239" t="s">
        <v>429</v>
      </c>
      <c r="V56" s="29" t="s">
        <v>121</v>
      </c>
      <c r="W56" s="29" t="s">
        <v>113</v>
      </c>
      <c r="X56" s="29" t="s">
        <v>113</v>
      </c>
    </row>
    <row r="57" spans="1:24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1">
        <v>45803</v>
      </c>
      <c r="K57" s="14">
        <f t="shared" si="3"/>
        <v>0</v>
      </c>
      <c r="M57" s="166" t="e">
        <f>SUMIFS('Detalhe Testes'!$H:$H,'Detalhe Testes'!$B:$B,'Detalhe Entregas e Status'!B57,'Detalhe Testes'!$C:$C,'Detalhe Entregas e Status'!C57)</f>
        <v>#N/A</v>
      </c>
      <c r="N57" s="14"/>
      <c r="O57" s="14"/>
      <c r="Q57" s="15"/>
      <c r="R57" s="15"/>
      <c r="S57" s="15"/>
      <c r="T57" s="239" t="s">
        <v>397</v>
      </c>
      <c r="V57" s="29" t="s">
        <v>115</v>
      </c>
      <c r="W57" s="29" t="s">
        <v>113</v>
      </c>
      <c r="X57" s="29" t="s">
        <v>113</v>
      </c>
    </row>
    <row r="58" spans="1:24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T58" s="15"/>
      <c r="V58" s="29" t="s">
        <v>121</v>
      </c>
      <c r="W58" s="29" t="s">
        <v>115</v>
      </c>
      <c r="X58" s="29" t="s">
        <v>115</v>
      </c>
    </row>
    <row r="59" spans="1:24">
      <c r="A59" s="3" t="s">
        <v>389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 t="e">
        <f>SUMIFS('Detalhe Testes'!$H:$H,'Detalhe Testes'!$B:$B,'Detalhe Entregas e Status'!B59,'Detalhe Testes'!$C:$C,'Detalhe Entregas e Status'!C59)</f>
        <v>#N/A</v>
      </c>
      <c r="N59" s="14" t="s">
        <v>280</v>
      </c>
      <c r="O59" s="14" t="s">
        <v>280</v>
      </c>
      <c r="Q59" s="192">
        <v>45803</v>
      </c>
      <c r="R59" s="15">
        <v>45854</v>
      </c>
      <c r="S59" s="15"/>
      <c r="T59" s="239" t="s">
        <v>424</v>
      </c>
      <c r="V59" s="29" t="s">
        <v>426</v>
      </c>
      <c r="W59" s="29" t="s">
        <v>113</v>
      </c>
      <c r="X59" s="29" t="s">
        <v>121</v>
      </c>
    </row>
    <row r="60" spans="1:24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 t="e">
        <f>SUMIFS('Detalhe Testes'!$H:$H,'Detalhe Testes'!$B:$B,'Detalhe Entregas e Status'!B60,'Detalhe Testes'!$C:$C,'Detalhe Entregas e Status'!C60)</f>
        <v>#N/A</v>
      </c>
      <c r="N60" s="14" t="s">
        <v>296</v>
      </c>
      <c r="O60" s="14" t="s">
        <v>280</v>
      </c>
      <c r="Q60" s="15"/>
      <c r="R60" s="15"/>
      <c r="S60" s="15"/>
      <c r="T60" s="239" t="s">
        <v>397</v>
      </c>
      <c r="V60" s="29" t="s">
        <v>115</v>
      </c>
      <c r="W60" s="29" t="s">
        <v>113</v>
      </c>
      <c r="X60" s="29" t="s">
        <v>113</v>
      </c>
    </row>
    <row r="61" spans="1:24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 t="e">
        <f>SUMIFS('Detalhe Testes'!$H:$H,'Detalhe Testes'!$B:$B,'Detalhe Entregas e Status'!B61,'Detalhe Testes'!$C:$C,'Detalhe Entregas e Status'!C61)</f>
        <v>#N/A</v>
      </c>
      <c r="N61" s="14"/>
      <c r="O61" s="14"/>
      <c r="Q61" s="15"/>
      <c r="R61" s="15"/>
      <c r="S61" s="15"/>
      <c r="T61" s="239"/>
      <c r="V61" s="29" t="s">
        <v>113</v>
      </c>
      <c r="W61" s="29" t="s">
        <v>113</v>
      </c>
      <c r="X61" s="29" t="s">
        <v>113</v>
      </c>
    </row>
    <row r="62" spans="1:24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 t="e">
        <f>SUMIFS('Detalhe Testes'!$H:$H,'Detalhe Testes'!$B:$B,'Detalhe Entregas e Status'!B62,'Detalhe Testes'!$C:$C,'Detalhe Entregas e Status'!C62)</f>
        <v>#N/A</v>
      </c>
      <c r="N62" s="14"/>
      <c r="O62" s="14"/>
      <c r="Q62" s="15"/>
      <c r="R62" s="15"/>
      <c r="S62" s="15"/>
      <c r="T62" s="239"/>
      <c r="V62" s="29" t="s">
        <v>113</v>
      </c>
      <c r="W62" s="29" t="s">
        <v>113</v>
      </c>
      <c r="X62" s="29" t="s">
        <v>113</v>
      </c>
    </row>
    <row r="63" spans="1:24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0">
        <v>45803</v>
      </c>
      <c r="K63" s="14">
        <f t="shared" si="3"/>
        <v>0</v>
      </c>
      <c r="M63" s="166" t="e">
        <f>SUMIFS('Detalhe Testes'!$H:$H,'Detalhe Testes'!$B:$B,'Detalhe Entregas e Status'!B63,'Detalhe Testes'!$C:$C,'Detalhe Entregas e Status'!C63)</f>
        <v>#N/A</v>
      </c>
      <c r="N63" s="14"/>
      <c r="O63" s="14"/>
      <c r="Q63" s="15"/>
      <c r="R63" s="15"/>
      <c r="S63" s="15"/>
      <c r="T63" s="15"/>
      <c r="V63" s="29" t="s">
        <v>113</v>
      </c>
      <c r="W63" s="29" t="s">
        <v>113</v>
      </c>
      <c r="X63" s="29" t="s">
        <v>113</v>
      </c>
    </row>
    <row r="64" spans="1:24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0">
        <v>45803</v>
      </c>
      <c r="K64" s="14">
        <f t="shared" si="3"/>
        <v>0</v>
      </c>
      <c r="M64" s="166" t="e">
        <f>SUMIFS('Detalhe Testes'!$H:$H,'Detalhe Testes'!$B:$B,'Detalhe Entregas e Status'!B64,'Detalhe Testes'!$C:$C,'Detalhe Entregas e Status'!C64)</f>
        <v>#N/A</v>
      </c>
      <c r="N64" s="14"/>
      <c r="O64" s="14"/>
      <c r="Q64" s="15"/>
      <c r="R64" s="15"/>
      <c r="S64" s="15"/>
      <c r="T64" s="15"/>
      <c r="V64" s="29" t="s">
        <v>113</v>
      </c>
      <c r="W64" s="29" t="s">
        <v>113</v>
      </c>
      <c r="X64" s="29" t="s">
        <v>113</v>
      </c>
    </row>
    <row r="65" spans="1:25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0">
        <v>45803</v>
      </c>
      <c r="K65" s="14">
        <f t="shared" si="3"/>
        <v>0</v>
      </c>
      <c r="M65" s="166" t="e">
        <f>SUMIFS('Detalhe Testes'!$H:$H,'Detalhe Testes'!$B:$B,'Detalhe Entregas e Status'!B65,'Detalhe Testes'!$C:$C,'Detalhe Entregas e Status'!C65)</f>
        <v>#N/A</v>
      </c>
      <c r="N65" s="14"/>
      <c r="O65" s="14"/>
      <c r="Q65" s="15"/>
      <c r="R65" s="15"/>
      <c r="S65" s="15"/>
      <c r="T65" s="15"/>
      <c r="V65" s="29" t="s">
        <v>113</v>
      </c>
      <c r="W65" s="29" t="s">
        <v>113</v>
      </c>
      <c r="X65" s="29" t="s">
        <v>113</v>
      </c>
    </row>
    <row r="66" spans="1:25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0">
        <v>45803</v>
      </c>
      <c r="K66" s="14">
        <f t="shared" si="3"/>
        <v>0</v>
      </c>
      <c r="M66" s="166" t="e">
        <f>SUMIFS('Detalhe Testes'!$H:$H,'Detalhe Testes'!$B:$B,'Detalhe Entregas e Status'!B66,'Detalhe Testes'!$C:$C,'Detalhe Entregas e Status'!C66)</f>
        <v>#N/A</v>
      </c>
      <c r="N66" s="14" t="s">
        <v>296</v>
      </c>
      <c r="O66" s="14" t="s">
        <v>280</v>
      </c>
      <c r="Q66" s="15">
        <v>45825</v>
      </c>
      <c r="R66" s="15">
        <v>45849</v>
      </c>
      <c r="S66" s="15"/>
      <c r="T66" s="239" t="s">
        <v>407</v>
      </c>
      <c r="V66" s="29" t="s">
        <v>426</v>
      </c>
      <c r="W66" s="29" t="s">
        <v>121</v>
      </c>
      <c r="X66" s="29" t="s">
        <v>121</v>
      </c>
    </row>
    <row r="67" spans="1:25">
      <c r="A67" s="3" t="s">
        <v>389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 t="e">
        <f>SUMIFS('Detalhe Testes'!$H:$H,'Detalhe Testes'!$B:$B,'Detalhe Entregas e Status'!B67,'Detalhe Testes'!$C:$C,'Detalhe Entregas e Status'!C67)</f>
        <v>#N/A</v>
      </c>
      <c r="N67" s="14"/>
      <c r="O67" s="14"/>
      <c r="Q67" s="15"/>
      <c r="R67" s="15"/>
      <c r="S67" s="15"/>
      <c r="T67" s="15"/>
      <c r="V67" s="29" t="s">
        <v>113</v>
      </c>
      <c r="W67" s="29" t="s">
        <v>113</v>
      </c>
      <c r="X67" s="29" t="s">
        <v>113</v>
      </c>
    </row>
    <row r="68" spans="1:25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0">
        <v>45810</v>
      </c>
      <c r="K68" s="14">
        <f t="shared" si="3"/>
        <v>7</v>
      </c>
      <c r="M68" s="166" t="e">
        <f>SUMIFS('Detalhe Testes'!$H:$H,'Detalhe Testes'!$B:$B,'Detalhe Entregas e Status'!B68,'Detalhe Testes'!$C:$C,'Detalhe Entregas e Status'!C68)</f>
        <v>#N/A</v>
      </c>
      <c r="N68" s="14" t="s">
        <v>296</v>
      </c>
      <c r="O68" s="14" t="s">
        <v>280</v>
      </c>
      <c r="Q68" s="15">
        <v>45825</v>
      </c>
      <c r="R68" s="15">
        <v>45849</v>
      </c>
      <c r="S68" s="15"/>
      <c r="T68" s="15"/>
      <c r="V68" s="29" t="s">
        <v>113</v>
      </c>
      <c r="W68" s="29" t="s">
        <v>113</v>
      </c>
      <c r="X68" s="29" t="s">
        <v>121</v>
      </c>
    </row>
    <row r="69" spans="1:25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 t="e">
        <f>SUMIFS('Detalhe Testes'!$H:$H,'Detalhe Testes'!$B:$B,'Detalhe Entregas e Status'!B69,'Detalhe Testes'!$C:$C,'Detalhe Entregas e Status'!C69)</f>
        <v>#N/A</v>
      </c>
      <c r="N69" s="14"/>
      <c r="O69" s="14"/>
      <c r="Q69" s="15"/>
      <c r="R69" s="15"/>
      <c r="S69" s="15"/>
      <c r="T69" s="15"/>
      <c r="V69" s="29" t="s">
        <v>113</v>
      </c>
      <c r="W69" s="29" t="s">
        <v>113</v>
      </c>
      <c r="X69" s="29" t="s">
        <v>113</v>
      </c>
    </row>
    <row r="70" spans="1:25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0">
        <v>45803</v>
      </c>
      <c r="K70" s="14">
        <f t="shared" si="3"/>
        <v>0</v>
      </c>
      <c r="M70" s="166" t="e">
        <f>SUMIFS('Detalhe Testes'!$H:$H,'Detalhe Testes'!$B:$B,'Detalhe Entregas e Status'!B70,'Detalhe Testes'!$C:$C,'Detalhe Entregas e Status'!C70)</f>
        <v>#N/A</v>
      </c>
      <c r="N70" s="14"/>
      <c r="O70" s="14"/>
      <c r="Q70" s="15"/>
      <c r="R70" s="15"/>
      <c r="S70" s="15"/>
      <c r="T70" s="15"/>
      <c r="V70" s="29" t="s">
        <v>113</v>
      </c>
      <c r="W70" s="29" t="s">
        <v>113</v>
      </c>
      <c r="X70" s="29" t="s">
        <v>113</v>
      </c>
    </row>
    <row r="71" spans="1:25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0">
        <v>45803</v>
      </c>
      <c r="K71" s="14">
        <f t="shared" si="3"/>
        <v>0</v>
      </c>
      <c r="M71" s="166" t="e">
        <f>SUMIFS('Detalhe Testes'!$H:$H,'Detalhe Testes'!$B:$B,'Detalhe Entregas e Status'!B71,'Detalhe Testes'!$C:$C,'Detalhe Entregas e Status'!C71)</f>
        <v>#N/A</v>
      </c>
      <c r="N71" s="14"/>
      <c r="O71" s="14"/>
      <c r="Q71" s="15"/>
      <c r="R71" s="15"/>
      <c r="S71" s="15"/>
      <c r="T71" s="15"/>
      <c r="V71" s="29" t="s">
        <v>113</v>
      </c>
      <c r="W71" s="29" t="s">
        <v>113</v>
      </c>
      <c r="X71" s="29" t="s">
        <v>113</v>
      </c>
    </row>
    <row r="72" spans="1:25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0">
        <v>45803</v>
      </c>
      <c r="K72" s="14">
        <f t="shared" si="3"/>
        <v>0</v>
      </c>
      <c r="M72" s="166" t="e">
        <f>SUMIFS('Detalhe Testes'!$H:$H,'Detalhe Testes'!$B:$B,'Detalhe Entregas e Status'!B72,'Detalhe Testes'!$C:$C,'Detalhe Entregas e Status'!C72)</f>
        <v>#N/A</v>
      </c>
      <c r="N72" s="14"/>
      <c r="O72" s="14"/>
      <c r="Q72" s="15"/>
      <c r="R72" s="15"/>
      <c r="S72" s="15"/>
      <c r="T72" s="15"/>
      <c r="V72" s="29" t="s">
        <v>113</v>
      </c>
      <c r="W72" s="29" t="s">
        <v>113</v>
      </c>
      <c r="X72" s="29" t="s">
        <v>113</v>
      </c>
    </row>
    <row r="73" spans="1:25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0">
        <v>45803</v>
      </c>
      <c r="K73" s="14">
        <f t="shared" ref="K73:K81" si="5">+IF(J73="","N/A",J73-I73)</f>
        <v>0</v>
      </c>
      <c r="M73" s="166" t="e">
        <f>SUMIFS('Detalhe Testes'!$H:$H,'Detalhe Testes'!$B:$B,'Detalhe Entregas e Status'!B73,'Detalhe Testes'!$C:$C,'Detalhe Entregas e Status'!C73)</f>
        <v>#N/A</v>
      </c>
      <c r="N73" s="14"/>
      <c r="O73" s="14"/>
      <c r="Q73" s="15"/>
      <c r="R73" s="15"/>
      <c r="S73" s="15"/>
      <c r="T73" s="15"/>
      <c r="V73" s="29" t="s">
        <v>113</v>
      </c>
      <c r="W73" s="29" t="s">
        <v>113</v>
      </c>
      <c r="X73" s="29" t="s">
        <v>113</v>
      </c>
    </row>
    <row r="74" spans="1:25">
      <c r="A74" s="3" t="s">
        <v>389</v>
      </c>
      <c r="B74" s="13" t="s">
        <v>61</v>
      </c>
      <c r="C74" s="13" t="s">
        <v>62</v>
      </c>
      <c r="D74" s="195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 t="e">
        <f>SUMIFS('Detalhe Testes'!$H:$H,'Detalhe Testes'!$B:$B,'Detalhe Entregas e Status'!B74,'Detalhe Testes'!$C:$C,'Detalhe Entregas e Status'!C74)</f>
        <v>#N/A</v>
      </c>
      <c r="N74" s="14"/>
      <c r="O74" s="14"/>
      <c r="Q74" s="15">
        <v>45826</v>
      </c>
      <c r="R74" s="15">
        <v>45846</v>
      </c>
      <c r="S74" s="15"/>
      <c r="T74" s="239" t="s">
        <v>425</v>
      </c>
      <c r="V74" s="29" t="s">
        <v>121</v>
      </c>
      <c r="W74" s="29" t="s">
        <v>121</v>
      </c>
      <c r="X74" s="29" t="s">
        <v>121</v>
      </c>
    </row>
    <row r="75" spans="1:25">
      <c r="A75" s="3" t="s">
        <v>389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 t="e">
        <f>SUMIFS('Detalhe Testes'!$H:$H,'Detalhe Testes'!$B:$B,'Detalhe Entregas e Status'!B75,'Detalhe Testes'!$C:$C,'Detalhe Entregas e Status'!C75)</f>
        <v>#N/A</v>
      </c>
      <c r="N75" s="14"/>
      <c r="O75" s="14"/>
      <c r="Q75" s="15">
        <v>45832</v>
      </c>
      <c r="R75" s="15" t="s">
        <v>392</v>
      </c>
      <c r="S75" s="15"/>
      <c r="T75" s="239" t="s">
        <v>402</v>
      </c>
      <c r="V75" s="29" t="s">
        <v>121</v>
      </c>
      <c r="W75" s="29" t="s">
        <v>403</v>
      </c>
      <c r="X75" s="29" t="s">
        <v>403</v>
      </c>
    </row>
    <row r="76" spans="1:25">
      <c r="A76" s="3" t="s">
        <v>389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 t="e">
        <f>SUMIFS('Detalhe Testes'!$H:$H,'Detalhe Testes'!$B:$B,'Detalhe Entregas e Status'!B76,'Detalhe Testes'!$C:$C,'Detalhe Entregas e Status'!C76)</f>
        <v>#N/A</v>
      </c>
      <c r="N76" s="14"/>
      <c r="O76" s="14"/>
      <c r="Q76" s="15">
        <v>45832</v>
      </c>
      <c r="R76" s="15">
        <v>45846</v>
      </c>
      <c r="S76" s="15"/>
      <c r="T76" s="15"/>
      <c r="V76" s="29" t="s">
        <v>121</v>
      </c>
      <c r="W76" s="29" t="s">
        <v>121</v>
      </c>
      <c r="X76" s="29" t="s">
        <v>121</v>
      </c>
    </row>
    <row r="77" spans="1:25">
      <c r="A77" s="3" t="s">
        <v>389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1">
        <v>45803</v>
      </c>
      <c r="K77" s="14">
        <f t="shared" si="5"/>
        <v>0</v>
      </c>
      <c r="M77" s="166" t="e">
        <f>SUMIFS('Detalhe Testes'!$H:$H,'Detalhe Testes'!$B:$B,'Detalhe Entregas e Status'!B77,'Detalhe Testes'!$C:$C,'Detalhe Entregas e Status'!C77)</f>
        <v>#N/A</v>
      </c>
      <c r="N77" s="14"/>
      <c r="O77" s="14"/>
      <c r="Q77" s="15">
        <v>45832</v>
      </c>
      <c r="R77" s="15"/>
      <c r="S77" s="15"/>
      <c r="T77" s="239" t="s">
        <v>391</v>
      </c>
      <c r="V77" s="29" t="s">
        <v>121</v>
      </c>
      <c r="W77" s="29" t="s">
        <v>121</v>
      </c>
      <c r="X77" s="29" t="s">
        <v>121</v>
      </c>
    </row>
    <row r="78" spans="1:25">
      <c r="A78" s="3" t="s">
        <v>389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 t="e">
        <f>SUMIFS('Detalhe Testes'!$H:$H,'Detalhe Testes'!$B:$B,'Detalhe Entregas e Status'!B78,'Detalhe Testes'!$C:$C,'Detalhe Entregas e Status'!C78)</f>
        <v>#N/A</v>
      </c>
      <c r="N78" s="14"/>
      <c r="O78" s="14"/>
      <c r="Q78" s="15">
        <v>45832</v>
      </c>
      <c r="R78" s="15">
        <v>45849</v>
      </c>
      <c r="S78" s="15"/>
      <c r="T78" s="15"/>
      <c r="V78" s="29" t="s">
        <v>121</v>
      </c>
      <c r="W78" s="29" t="s">
        <v>403</v>
      </c>
      <c r="X78" s="29" t="s">
        <v>403</v>
      </c>
      <c r="Y78" s="40"/>
    </row>
    <row r="79" spans="1:25">
      <c r="A79" s="3" t="s">
        <v>389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 t="e">
        <f>SUMIFS('Detalhe Testes'!$H:$H,'Detalhe Testes'!$B:$B,'Detalhe Entregas e Status'!B79,'Detalhe Testes'!$C:$C,'Detalhe Entregas e Status'!C79)</f>
        <v>#N/A</v>
      </c>
      <c r="N79" s="14"/>
      <c r="O79" s="14"/>
      <c r="Q79" s="15"/>
      <c r="R79" s="15"/>
      <c r="S79" s="15"/>
      <c r="T79" s="15"/>
      <c r="V79" s="29" t="s">
        <v>113</v>
      </c>
      <c r="W79" s="29" t="s">
        <v>113</v>
      </c>
      <c r="X79" s="29" t="s">
        <v>113</v>
      </c>
    </row>
    <row r="80" spans="1:25">
      <c r="A80" s="3" t="s">
        <v>389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 t="e">
        <f>SUMIFS('Detalhe Testes'!$H:$H,'Detalhe Testes'!$B:$B,'Detalhe Entregas e Status'!B80,'Detalhe Testes'!$C:$C,'Detalhe Entregas e Status'!C80)</f>
        <v>#N/A</v>
      </c>
      <c r="N80" s="14"/>
      <c r="O80" s="14"/>
      <c r="Q80" s="15"/>
      <c r="R80" s="15"/>
      <c r="S80" s="15"/>
      <c r="T80" s="15"/>
      <c r="V80" s="29" t="s">
        <v>113</v>
      </c>
      <c r="W80" s="29" t="s">
        <v>113</v>
      </c>
      <c r="X80" s="29" t="s">
        <v>113</v>
      </c>
    </row>
    <row r="81" spans="1:24">
      <c r="A81" s="3" t="s">
        <v>389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 t="e">
        <f>SUMIFS('Detalhe Testes'!$H:$H,'Detalhe Testes'!$B:$B,'Detalhe Entregas e Status'!B81,'Detalhe Testes'!$C:$C,'Detalhe Entregas e Status'!C81)</f>
        <v>#N/A</v>
      </c>
      <c r="N81" s="14"/>
      <c r="O81" s="14"/>
      <c r="Q81" s="15">
        <v>45832</v>
      </c>
      <c r="R81" s="15" t="s">
        <v>392</v>
      </c>
      <c r="S81" s="15"/>
      <c r="T81" s="239" t="s">
        <v>402</v>
      </c>
      <c r="V81" s="29" t="s">
        <v>121</v>
      </c>
      <c r="W81" s="29" t="s">
        <v>403</v>
      </c>
      <c r="X81" s="29" t="s">
        <v>403</v>
      </c>
    </row>
  </sheetData>
  <autoFilter ref="A8:Y81" xr:uid="{B42690F1-F88C-47BB-A452-DBF1CCF20DAA}"/>
  <mergeCells count="2">
    <mergeCell ref="I7:K7"/>
    <mergeCell ref="Q7:S7"/>
  </mergeCells>
  <conditionalFormatting sqref="K9:K81">
    <cfRule type="containsText" dxfId="13" priority="13" operator="containsText" text="N/A">
      <formula>NOT(ISERROR(SEARCH("N/A",K9)))</formula>
    </cfRule>
    <cfRule type="cellIs" dxfId="12" priority="14" operator="lessThanOrEqual">
      <formula>0</formula>
    </cfRule>
    <cfRule type="cellIs" dxfId="11" priority="15" operator="greaterThan">
      <formula>0</formula>
    </cfRule>
  </conditionalFormatting>
  <conditionalFormatting sqref="V9:V81">
    <cfRule type="cellIs" dxfId="10" priority="1" operator="equal">
      <formula>"9. Retestado c/ incidências"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8A3A846-41E3-4837-BE8F-361C4F0504A7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4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6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7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8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9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10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11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V9:X81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B03E6-73F5-4ACC-98B3-DC398A640614}">
          <x14:formula1>
            <xm:f>'Aux Testes_Status'!$B$20:$B$27</xm:f>
          </x14:formula1>
          <xm:sqref>W9:X81</xm:sqref>
        </x14:dataValidation>
        <x14:dataValidation type="list" allowBlank="1" showInputMessage="1" showErrorMessage="1" xr:uid="{E09C5862-38E3-4ED1-9896-228265D3CBC1}">
          <x14:formula1>
            <xm:f>'Aux Testes_Status'!$B$20:$B$28</xm:f>
          </x14:formula1>
          <xm:sqref>V9:V81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sheetPr filterMode="1"/>
  <dimension ref="A1:AE176"/>
  <sheetViews>
    <sheetView showGridLines="0" zoomScale="90" zoomScaleNormal="90" workbookViewId="0">
      <selection activeCell="O173" sqref="O173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hidden="1" customWidth="1"/>
    <col min="6" max="6" width="17.44140625" style="3" hidden="1" customWidth="1"/>
    <col min="7" max="7" width="2.6640625" style="3" customWidth="1"/>
    <col min="8" max="8" width="13.88671875" style="3" hidden="1" customWidth="1"/>
    <col min="9" max="9" width="15" style="3" hidden="1" customWidth="1"/>
    <col min="10" max="10" width="2.6640625" style="3" hidden="1" customWidth="1"/>
    <col min="11" max="14" width="15.6640625" style="3" customWidth="1"/>
    <col min="15" max="16" width="15.6640625" style="8" customWidth="1"/>
    <col min="17" max="19" width="15.6640625" style="3" customWidth="1"/>
    <col min="20" max="16382" width="8.88671875" style="3"/>
    <col min="16383" max="16383" width="8.88671875" style="3" bestFit="1"/>
    <col min="16384" max="16384" width="8.88671875" style="3"/>
  </cols>
  <sheetData>
    <row r="1" spans="1:31" ht="16.2" customHeight="1"/>
    <row r="2" spans="1:31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28"/>
      <c r="P3" s="2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7" spans="1:31" ht="15" customHeight="1">
      <c r="H7" s="40" t="s">
        <v>299</v>
      </c>
      <c r="K7" s="301" t="s">
        <v>264</v>
      </c>
      <c r="L7" s="301"/>
      <c r="M7" s="301"/>
      <c r="N7" s="301"/>
    </row>
    <row r="8" spans="1:31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9" t="s">
        <v>395</v>
      </c>
      <c r="L8" s="37">
        <v>45846</v>
      </c>
      <c r="M8" s="38">
        <v>45849</v>
      </c>
      <c r="N8" s="38">
        <v>45854</v>
      </c>
      <c r="O8" s="38">
        <v>45863</v>
      </c>
      <c r="P8" s="3"/>
    </row>
    <row r="9" spans="1:31" ht="15" hidden="1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4" t="e" cm="1">
        <f t="array" ref="H9">IF(INDEX($K:$Z,ROW(C9),MATCH(IF(VLOOKUP(_xlfn.CONCAT(B9,C9),'Detalhe Entregas e Status'!$D$9:$J$81,7,0)=DATE(2025,5,5),DATE(2025,5,12),VLOOKUP(_xlfn.CONCAT(B9,C9),'Detalhe Entregas e Status'!$D$9:$J$81,7,0)),$L$8:$Z$8,0))="","",INDEX($K:$Z,ROW(C9),MATCH(IF(VLOOKUP(_xlfn.CONCAT(B9,C9),'Detalhe Entregas e Status'!$D$9:$J$81,7,0)=DATE(2025,5,5),DATE(2025,5,12),VLOOKUP(_xlfn.CONCAT(B9,C9),'Detalhe Entregas e Status'!$D$9:$J$81,7,0)),$L$8:$Z$8,0)))</f>
        <v>#N/A</v>
      </c>
      <c r="I9" s="17"/>
      <c r="J9" s="197" t="s">
        <v>291</v>
      </c>
      <c r="K9" s="245" t="s">
        <v>397</v>
      </c>
      <c r="L9" s="245"/>
      <c r="M9" s="245"/>
      <c r="N9" s="245"/>
      <c r="O9" s="245" t="s">
        <v>397</v>
      </c>
      <c r="P9" s="196"/>
    </row>
    <row r="10" spans="1:31" ht="15" hidden="1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e" cm="1">
        <f t="array" ref="H10">IF(INDEX($K:$Z,ROW(C10),MATCH(IF(VLOOKUP(_xlfn.CONCAT(B10,C10),'Detalhe Entregas e Status'!$D$9:$J$81,7,0)=DATE(2025,5,5),DATE(2025,5,12),VLOOKUP(_xlfn.CONCAT(B10,C10),'Detalhe Entregas e Status'!$D$9:$J$81,7,0)),$L$8:$Z$8,0))="","",INDEX($K:$Z,ROW(C10),MATCH(IF(VLOOKUP(_xlfn.CONCAT(B10,C10),'Detalhe Entregas e Status'!$D$9:$J$81,7,0)=DATE(2025,5,5),DATE(2025,5,12),VLOOKUP(_xlfn.CONCAT(B10,C10),'Detalhe Entregas e Status'!$D$9:$J$81,7,0)),$L$8:$Z$8,0)))</f>
        <v>#N/A</v>
      </c>
      <c r="I10" s="17" t="s">
        <v>358</v>
      </c>
      <c r="J10" s="197" t="s">
        <v>291</v>
      </c>
      <c r="K10" s="245" t="s">
        <v>397</v>
      </c>
      <c r="L10" s="245" t="s">
        <v>397</v>
      </c>
      <c r="M10" s="245"/>
      <c r="N10" s="245"/>
      <c r="O10" s="245" t="s">
        <v>397</v>
      </c>
    </row>
    <row r="11" spans="1:31" ht="15" hidden="1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e" cm="1">
        <f t="array" ref="H11">IF(INDEX($K:$Z,ROW(C11),MATCH(IF(VLOOKUP(_xlfn.CONCAT(B11,C11),'Detalhe Entregas e Status'!$D$9:$J$81,7,0)=DATE(2025,5,5),DATE(2025,5,12),VLOOKUP(_xlfn.CONCAT(B11,C11),'Detalhe Entregas e Status'!$D$9:$J$81,7,0)),$L$8:$Z$8,0))="","",INDEX($K:$Z,ROW(C11),MATCH(IF(VLOOKUP(_xlfn.CONCAT(B11,C11),'Detalhe Entregas e Status'!$D$9:$J$81,7,0)=DATE(2025,5,5),DATE(2025,5,12),VLOOKUP(_xlfn.CONCAT(B11,C11),'Detalhe Entregas e Status'!$D$9:$J$81,7,0)),$L$8:$Z$8,0)))</f>
        <v>#N/A</v>
      </c>
      <c r="I11" s="17"/>
      <c r="J11" s="197" t="s">
        <v>291</v>
      </c>
      <c r="K11" s="245" t="s">
        <v>397</v>
      </c>
      <c r="L11" s="245" t="s">
        <v>397</v>
      </c>
      <c r="M11" s="245"/>
      <c r="N11" s="245"/>
      <c r="O11" s="245"/>
    </row>
    <row r="12" spans="1:31" ht="15" hidden="1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e" cm="1">
        <f t="array" ref="H12">IF(INDEX($K:$Z,ROW(C12),MATCH(IF(VLOOKUP(_xlfn.CONCAT(B12,C12),'Detalhe Entregas e Status'!$D$9:$J$81,7,0)=DATE(2025,5,5),DATE(2025,5,12),VLOOKUP(_xlfn.CONCAT(B12,C12),'Detalhe Entregas e Status'!$D$9:$J$81,7,0)),$L$8:$Z$8,0))="","",INDEX($K:$Z,ROW(C12),MATCH(IF(VLOOKUP(_xlfn.CONCAT(B12,C12),'Detalhe Entregas e Status'!$D$9:$J$81,7,0)=DATE(2025,5,5),DATE(2025,5,12),VLOOKUP(_xlfn.CONCAT(B12,C12),'Detalhe Entregas e Status'!$D$9:$J$81,7,0)),$L$8:$Z$8,0)))</f>
        <v>#N/A</v>
      </c>
      <c r="I12" s="17" t="s">
        <v>359</v>
      </c>
      <c r="J12" s="197" t="s">
        <v>291</v>
      </c>
      <c r="K12" s="245" t="s">
        <v>397</v>
      </c>
      <c r="L12" s="245"/>
      <c r="M12" s="245"/>
      <c r="N12" s="245"/>
      <c r="O12" s="245"/>
    </row>
    <row r="13" spans="1:31" ht="15" hidden="1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e" cm="1">
        <f t="array" ref="H13">IF(INDEX($K:$Z,ROW(C13),MATCH(IF(VLOOKUP(_xlfn.CONCAT(B13,C13),'Detalhe Entregas e Status'!$D$9:$J$81,7,0)=DATE(2025,5,5),DATE(2025,5,12),VLOOKUP(_xlfn.CONCAT(B13,C13),'Detalhe Entregas e Status'!$D$9:$J$81,7,0)),$L$8:$Z$8,0))="","",INDEX($K:$Z,ROW(C13),MATCH(IF(VLOOKUP(_xlfn.CONCAT(B13,C13),'Detalhe Entregas e Status'!$D$9:$J$81,7,0)=DATE(2025,5,5),DATE(2025,5,12),VLOOKUP(_xlfn.CONCAT(B13,C13),'Detalhe Entregas e Status'!$D$9:$J$81,7,0)),$L$8:$Z$8,0)))</f>
        <v>#N/A</v>
      </c>
      <c r="I13" s="17"/>
      <c r="J13" s="197" t="s">
        <v>291</v>
      </c>
      <c r="K13" s="245" t="s">
        <v>397</v>
      </c>
      <c r="L13" s="245"/>
      <c r="M13" s="245"/>
      <c r="N13" s="245"/>
      <c r="O13" s="245"/>
    </row>
    <row r="14" spans="1:31" ht="15" hidden="1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e" cm="1">
        <f t="array" ref="H14">IF(INDEX($K:$Z,ROW(C14),MATCH(IF(VLOOKUP(_xlfn.CONCAT(B14,C14),'Detalhe Entregas e Status'!$D$9:$J$81,7,0)=DATE(2025,5,5),DATE(2025,5,12),VLOOKUP(_xlfn.CONCAT(B14,C14),'Detalhe Entregas e Status'!$D$9:$J$81,7,0)),$L$8:$Z$8,0))="","",INDEX($K:$Z,ROW(C14),MATCH(IF(VLOOKUP(_xlfn.CONCAT(B14,C14),'Detalhe Entregas e Status'!$D$9:$J$81,7,0)=DATE(2025,5,5),DATE(2025,5,12),VLOOKUP(_xlfn.CONCAT(B14,C14),'Detalhe Entregas e Status'!$D$9:$J$81,7,0)),$L$8:$Z$8,0)))</f>
        <v>#N/A</v>
      </c>
      <c r="I14" s="17" t="s">
        <v>281</v>
      </c>
      <c r="J14" s="197" t="s">
        <v>291</v>
      </c>
      <c r="K14" s="245" t="s">
        <v>397</v>
      </c>
      <c r="L14" s="245"/>
      <c r="M14" s="245"/>
      <c r="N14" s="245"/>
      <c r="O14" s="245" t="s">
        <v>397</v>
      </c>
    </row>
    <row r="15" spans="1:31" ht="15" hidden="1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e" cm="1">
        <f t="array" ref="H15">IF(INDEX($K:$Z,ROW(C15),MATCH(IF(VLOOKUP(_xlfn.CONCAT(B15,C15),'Detalhe Entregas e Status'!$D$9:$J$81,7,0)=DATE(2025,5,5),DATE(2025,5,12),VLOOKUP(_xlfn.CONCAT(B15,C15),'Detalhe Entregas e Status'!$D$9:$J$81,7,0)),$L$8:$Z$8,0))="","",INDEX($K:$Z,ROW(C15),MATCH(IF(VLOOKUP(_xlfn.CONCAT(B15,C15),'Detalhe Entregas e Status'!$D$9:$J$81,7,0)=DATE(2025,5,5),DATE(2025,5,12),VLOOKUP(_xlfn.CONCAT(B15,C15),'Detalhe Entregas e Status'!$D$9:$J$81,7,0)),$L$8:$Z$8,0)))</f>
        <v>#N/A</v>
      </c>
      <c r="I15" s="17"/>
      <c r="J15" s="197" t="s">
        <v>291</v>
      </c>
      <c r="K15" s="245" t="s">
        <v>397</v>
      </c>
      <c r="L15" s="245"/>
      <c r="M15" s="245"/>
      <c r="N15" s="245"/>
      <c r="O15" s="245"/>
    </row>
    <row r="16" spans="1:31" ht="15" hidden="1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e" cm="1">
        <f t="array" ref="H16">IF(INDEX($K:$Z,ROW(C16),MATCH(IF(VLOOKUP(_xlfn.CONCAT(B16,C16),'Detalhe Entregas e Status'!$D$9:$J$81,7,0)=DATE(2025,5,5),DATE(2025,5,12),VLOOKUP(_xlfn.CONCAT(B16,C16),'Detalhe Entregas e Status'!$D$9:$J$81,7,0)),$L$8:$Z$8,0))="","",INDEX($K:$Z,ROW(C16),MATCH(IF(VLOOKUP(_xlfn.CONCAT(B16,C16),'Detalhe Entregas e Status'!$D$9:$J$81,7,0)=DATE(2025,5,5),DATE(2025,5,12),VLOOKUP(_xlfn.CONCAT(B16,C16),'Detalhe Entregas e Status'!$D$9:$J$81,7,0)),$L$8:$Z$8,0)))</f>
        <v>#N/A</v>
      </c>
      <c r="I16" s="17" t="s">
        <v>281</v>
      </c>
      <c r="J16" s="197" t="s">
        <v>291</v>
      </c>
      <c r="K16" s="245" t="s">
        <v>397</v>
      </c>
      <c r="L16" s="245"/>
      <c r="M16" s="245"/>
      <c r="N16" s="245"/>
      <c r="O16" s="245" t="s">
        <v>397</v>
      </c>
    </row>
    <row r="17" spans="2:15" ht="15" hidden="1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e" cm="1">
        <f t="array" ref="H17">IF(INDEX($K:$Z,ROW(C17),MATCH(IF(VLOOKUP(_xlfn.CONCAT(B17,C17),'Detalhe Entregas e Status'!$D$9:$J$81,7,0)=DATE(2025,5,5),DATE(2025,5,12),VLOOKUP(_xlfn.CONCAT(B17,C17),'Detalhe Entregas e Status'!$D$9:$J$81,7,0)),$L$8:$Z$8,0))="","",INDEX($K:$Z,ROW(C17),MATCH(IF(VLOOKUP(_xlfn.CONCAT(B17,C17),'Detalhe Entregas e Status'!$D$9:$J$81,7,0)=DATE(2025,5,5),DATE(2025,5,12),VLOOKUP(_xlfn.CONCAT(B17,C17),'Detalhe Entregas e Status'!$D$9:$J$81,7,0)),$L$8:$Z$8,0)))</f>
        <v>#N/A</v>
      </c>
      <c r="I17" s="17"/>
      <c r="J17" s="197" t="s">
        <v>291</v>
      </c>
      <c r="K17" s="245" t="s">
        <v>397</v>
      </c>
      <c r="L17" s="245"/>
      <c r="M17" s="245"/>
      <c r="N17" s="245"/>
      <c r="O17" s="245"/>
    </row>
    <row r="18" spans="2:15" ht="15" hidden="1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e" cm="1">
        <f t="array" ref="H18">IF(INDEX($K:$Z,ROW(C18),MATCH(IF(VLOOKUP(_xlfn.CONCAT(B18,C18),'Detalhe Entregas e Status'!$D$9:$J$81,7,0)=DATE(2025,5,5),DATE(2025,5,12),VLOOKUP(_xlfn.CONCAT(B18,C18),'Detalhe Entregas e Status'!$D$9:$J$81,7,0)),$L$8:$Z$8,0))="","",INDEX($K:$Z,ROW(C18),MATCH(IF(VLOOKUP(_xlfn.CONCAT(B18,C18),'Detalhe Entregas e Status'!$D$9:$J$81,7,0)=DATE(2025,5,5),DATE(2025,5,12),VLOOKUP(_xlfn.CONCAT(B18,C18),'Detalhe Entregas e Status'!$D$9:$J$81,7,0)),$L$8:$Z$8,0)))</f>
        <v>#N/A</v>
      </c>
      <c r="I18" s="17" t="s">
        <v>281</v>
      </c>
      <c r="J18" s="197" t="s">
        <v>291</v>
      </c>
      <c r="K18" s="245" t="s">
        <v>397</v>
      </c>
      <c r="L18" s="245"/>
      <c r="M18" s="245"/>
      <c r="N18" s="245"/>
      <c r="O18" s="245"/>
    </row>
    <row r="19" spans="2:15" ht="15" hidden="1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e" cm="1">
        <f t="array" ref="H19">IF(INDEX($K:$Z,ROW(C19),MATCH(IF(VLOOKUP(_xlfn.CONCAT(B19,C19),'Detalhe Entregas e Status'!$D$9:$J$81,7,0)=DATE(2025,5,5),DATE(2025,5,12),VLOOKUP(_xlfn.CONCAT(B19,C19),'Detalhe Entregas e Status'!$D$9:$J$81,7,0)),$L$8:$Z$8,0))="","",INDEX($K:$Z,ROW(C19),MATCH(IF(VLOOKUP(_xlfn.CONCAT(B19,C19),'Detalhe Entregas e Status'!$D$9:$J$81,7,0)=DATE(2025,5,5),DATE(2025,5,12),VLOOKUP(_xlfn.CONCAT(B19,C19),'Detalhe Entregas e Status'!$D$9:$J$81,7,0)),$L$8:$Z$8,0)))</f>
        <v>#N/A</v>
      </c>
      <c r="I19" s="17"/>
      <c r="J19" s="197" t="s">
        <v>291</v>
      </c>
      <c r="K19" s="245" t="s">
        <v>397</v>
      </c>
      <c r="L19" s="245"/>
      <c r="M19" s="245"/>
      <c r="N19" s="245"/>
      <c r="O19" s="245"/>
    </row>
    <row r="20" spans="2:15" ht="15" hidden="1" customHeight="1">
      <c r="B20" s="13" t="s">
        <v>1</v>
      </c>
      <c r="C20" s="13" t="s">
        <v>9</v>
      </c>
      <c r="D20" s="29" t="s">
        <v>93</v>
      </c>
      <c r="E20" s="14"/>
      <c r="F20" s="14"/>
      <c r="H20" s="165"/>
      <c r="I20" s="17"/>
      <c r="J20" s="197"/>
      <c r="K20" s="245" t="s">
        <v>397</v>
      </c>
      <c r="L20" s="245"/>
      <c r="M20" s="245"/>
      <c r="N20" s="245"/>
      <c r="O20" s="245" t="s">
        <v>397</v>
      </c>
    </row>
    <row r="21" spans="2:15" ht="15" hidden="1" customHeight="1">
      <c r="B21" s="13" t="s">
        <v>1</v>
      </c>
      <c r="C21" s="13" t="s">
        <v>9</v>
      </c>
      <c r="D21" s="29" t="s">
        <v>94</v>
      </c>
      <c r="E21" s="14" t="s">
        <v>100</v>
      </c>
      <c r="F21" s="14">
        <v>1</v>
      </c>
      <c r="H21" s="165" t="e" cm="1">
        <f t="array" ref="H21">IF(INDEX($K:$Z,ROW(C21),MATCH(IF(VLOOKUP(_xlfn.CONCAT(B21,C21),'Detalhe Entregas e Status'!$D$9:$J$81,7,0)=DATE(2025,5,5),DATE(2025,5,12),VLOOKUP(_xlfn.CONCAT(B21,C21),'Detalhe Entregas e Status'!$D$9:$J$81,7,0)),$L$8:$Z$8,0))="","",INDEX($K:$Z,ROW(C21),MATCH(IF(VLOOKUP(_xlfn.CONCAT(B21,C21),'Detalhe Entregas e Status'!$D$9:$J$81,7,0)=DATE(2025,5,5),DATE(2025,5,12),VLOOKUP(_xlfn.CONCAT(B21,C21),'Detalhe Entregas e Status'!$D$9:$J$81,7,0)),$L$8:$Z$8,0)))</f>
        <v>#N/A</v>
      </c>
      <c r="I21" s="17" t="s">
        <v>358</v>
      </c>
      <c r="J21" s="197" t="s">
        <v>291</v>
      </c>
      <c r="K21" s="245" t="s">
        <v>397</v>
      </c>
      <c r="L21" s="245"/>
      <c r="M21" s="245"/>
      <c r="N21" s="245"/>
      <c r="O21" s="245"/>
    </row>
    <row r="22" spans="2:15" ht="15" hidden="1" customHeight="1">
      <c r="B22" s="13" t="s">
        <v>1</v>
      </c>
      <c r="C22" s="13" t="s">
        <v>10</v>
      </c>
      <c r="D22" s="29" t="s">
        <v>93</v>
      </c>
      <c r="E22" s="14" t="s">
        <v>100</v>
      </c>
      <c r="F22" s="14">
        <v>2</v>
      </c>
      <c r="H22" s="165" t="e" cm="1">
        <f t="array" ref="H22">IF(INDEX($K:$Z,ROW(C22),MATCH(IF(VLOOKUP(_xlfn.CONCAT(B22,C22),'Detalhe Entregas e Status'!$D$9:$J$81,7,0)=DATE(2025,5,5),DATE(2025,5,12),VLOOKUP(_xlfn.CONCAT(B22,C22),'Detalhe Entregas e Status'!$D$9:$J$81,7,0)),$L$8:$Z$8,0))="","",INDEX($K:$Z,ROW(C22),MATCH(IF(VLOOKUP(_xlfn.CONCAT(B22,C22),'Detalhe Entregas e Status'!$D$9:$J$81,7,0)=DATE(2025,5,5),DATE(2025,5,12),VLOOKUP(_xlfn.CONCAT(B22,C22),'Detalhe Entregas e Status'!$D$9:$J$81,7,0)),$L$8:$Z$8,0)))</f>
        <v>#N/A</v>
      </c>
      <c r="I22" s="17"/>
      <c r="J22" s="197" t="s">
        <v>291</v>
      </c>
      <c r="K22" s="245" t="s">
        <v>397</v>
      </c>
      <c r="L22" s="245"/>
      <c r="M22" s="245"/>
      <c r="N22" s="245"/>
      <c r="O22" s="245"/>
    </row>
    <row r="23" spans="2:15" ht="15" hidden="1" customHeight="1">
      <c r="B23" s="13" t="s">
        <v>1</v>
      </c>
      <c r="C23" s="13" t="s">
        <v>10</v>
      </c>
      <c r="D23" s="29" t="s">
        <v>94</v>
      </c>
      <c r="E23" s="14" t="s">
        <v>100</v>
      </c>
      <c r="F23" s="14">
        <v>1</v>
      </c>
      <c r="H23" s="165" t="e" cm="1">
        <f t="array" ref="H23">IF(INDEX($K:$Z,ROW(C23),MATCH(IF(VLOOKUP(_xlfn.CONCAT(B23,C23),'Detalhe Entregas e Status'!$D$9:$J$81,7,0)=DATE(2025,5,5),DATE(2025,5,12),VLOOKUP(_xlfn.CONCAT(B23,C23),'Detalhe Entregas e Status'!$D$9:$J$81,7,0)),$L$8:$Z$8,0))="","",INDEX($K:$Z,ROW(C23),MATCH(IF(VLOOKUP(_xlfn.CONCAT(B23,C23),'Detalhe Entregas e Status'!$D$9:$J$81,7,0)=DATE(2025,5,5),DATE(2025,5,12),VLOOKUP(_xlfn.CONCAT(B23,C23),'Detalhe Entregas e Status'!$D$9:$J$81,7,0)),$L$8:$Z$8,0)))</f>
        <v>#N/A</v>
      </c>
      <c r="I23" s="17"/>
      <c r="J23" s="197" t="s">
        <v>291</v>
      </c>
      <c r="K23" s="245" t="s">
        <v>397</v>
      </c>
      <c r="L23" s="245"/>
      <c r="M23" s="245"/>
      <c r="N23" s="245"/>
      <c r="O23" s="245"/>
    </row>
    <row r="24" spans="2:15" ht="15" hidden="1" customHeight="1">
      <c r="B24" s="13" t="s">
        <v>1</v>
      </c>
      <c r="C24" s="13" t="s">
        <v>10</v>
      </c>
      <c r="D24" s="29" t="s">
        <v>95</v>
      </c>
      <c r="E24" s="14" t="s">
        <v>100</v>
      </c>
      <c r="F24" s="14">
        <v>2</v>
      </c>
      <c r="H24" s="165" t="e" cm="1">
        <f t="array" ref="H24">IF(INDEX($K:$Z,ROW(C24),MATCH(IF(VLOOKUP(_xlfn.CONCAT(B24,C24),'Detalhe Entregas e Status'!$D$9:$J$81,7,0)=DATE(2025,5,5),DATE(2025,5,12),VLOOKUP(_xlfn.CONCAT(B24,C24),'Detalhe Entregas e Status'!$D$9:$J$81,7,0)),$L$8:$Z$8,0))="","",INDEX($K:$Z,ROW(C24),MATCH(IF(VLOOKUP(_xlfn.CONCAT(B24,C24),'Detalhe Entregas e Status'!$D$9:$J$81,7,0)=DATE(2025,5,5),DATE(2025,5,12),VLOOKUP(_xlfn.CONCAT(B24,C24),'Detalhe Entregas e Status'!$D$9:$J$81,7,0)),$L$8:$Z$8,0)))</f>
        <v>#N/A</v>
      </c>
      <c r="I24" s="17"/>
      <c r="J24" s="197" t="s">
        <v>291</v>
      </c>
      <c r="K24" s="245" t="s">
        <v>397</v>
      </c>
      <c r="L24" s="245"/>
      <c r="M24" s="245"/>
      <c r="N24" s="245"/>
      <c r="O24" s="245"/>
    </row>
    <row r="25" spans="2:15" ht="15" customHeight="1">
      <c r="B25" s="13" t="s">
        <v>1</v>
      </c>
      <c r="C25" s="13" t="s">
        <v>11</v>
      </c>
      <c r="D25" s="29" t="s">
        <v>93</v>
      </c>
      <c r="E25" s="14" t="s">
        <v>100</v>
      </c>
      <c r="F25" s="14">
        <v>2</v>
      </c>
      <c r="H25" s="165" t="e" cm="1">
        <f t="array" ref="H25">IF(INDEX($K:$Z,ROW(C25),MATCH(IF(VLOOKUP(_xlfn.CONCAT(B25,C25),'Detalhe Entregas e Status'!$D$9:$J$81,7,0)=DATE(2025,5,5),DATE(2025,5,12),VLOOKUP(_xlfn.CONCAT(B25,C25),'Detalhe Entregas e Status'!$D$9:$J$81,7,0)),$L$8:$Z$8,0))="","",INDEX($K:$Z,ROW(C25),MATCH(IF(VLOOKUP(_xlfn.CONCAT(B25,C25),'Detalhe Entregas e Status'!$D$9:$J$81,7,0)=DATE(2025,5,5),DATE(2025,5,12),VLOOKUP(_xlfn.CONCAT(B25,C25),'Detalhe Entregas e Status'!$D$9:$J$81,7,0)),$L$8:$Z$8,0)))</f>
        <v>#N/A</v>
      </c>
      <c r="I25" s="17" t="s">
        <v>360</v>
      </c>
      <c r="J25" s="197" t="s">
        <v>291</v>
      </c>
      <c r="K25" s="245" t="s">
        <v>397</v>
      </c>
      <c r="L25" s="245"/>
      <c r="M25" s="245" t="s">
        <v>396</v>
      </c>
      <c r="N25" s="245"/>
      <c r="O25" s="245" t="s">
        <v>397</v>
      </c>
    </row>
    <row r="26" spans="2:15" ht="15" customHeight="1">
      <c r="B26" s="13" t="s">
        <v>1</v>
      </c>
      <c r="C26" s="13" t="s">
        <v>11</v>
      </c>
      <c r="D26" s="29" t="s">
        <v>94</v>
      </c>
      <c r="E26" s="14" t="s">
        <v>100</v>
      </c>
      <c r="F26" s="14">
        <v>1</v>
      </c>
      <c r="H26" s="165" t="e" cm="1">
        <f t="array" ref="H26">IF(INDEX($K:$Z,ROW(C26),MATCH(IF(VLOOKUP(_xlfn.CONCAT(B26,C26),'Detalhe Entregas e Status'!$D$9:$J$81,7,0)=DATE(2025,5,5),DATE(2025,5,12),VLOOKUP(_xlfn.CONCAT(B26,C26),'Detalhe Entregas e Status'!$D$9:$J$81,7,0)),$L$8:$Z$8,0))="","",INDEX($K:$Z,ROW(C26),MATCH(IF(VLOOKUP(_xlfn.CONCAT(B26,C26),'Detalhe Entregas e Status'!$D$9:$J$81,7,0)=DATE(2025,5,5),DATE(2025,5,12),VLOOKUP(_xlfn.CONCAT(B26,C26),'Detalhe Entregas e Status'!$D$9:$J$81,7,0)),$L$8:$Z$8,0)))</f>
        <v>#N/A</v>
      </c>
      <c r="I26" s="17"/>
      <c r="J26" s="197" t="s">
        <v>291</v>
      </c>
      <c r="K26" s="245" t="s">
        <v>397</v>
      </c>
      <c r="L26" s="245"/>
      <c r="M26" s="245" t="s">
        <v>396</v>
      </c>
      <c r="N26" s="245"/>
      <c r="O26" s="245" t="s">
        <v>396</v>
      </c>
    </row>
    <row r="27" spans="2:15" ht="15" customHeight="1">
      <c r="B27" s="13" t="s">
        <v>1</v>
      </c>
      <c r="C27" s="13" t="s">
        <v>11</v>
      </c>
      <c r="D27" s="29" t="s">
        <v>95</v>
      </c>
      <c r="E27" s="14" t="s">
        <v>100</v>
      </c>
      <c r="F27" s="14">
        <v>2</v>
      </c>
      <c r="H27" s="165" t="e" cm="1">
        <f t="array" ref="H27">IF(INDEX($K:$Z,ROW(C27),MATCH(IF(VLOOKUP(_xlfn.CONCAT(B27,C27),'Detalhe Entregas e Status'!$D$9:$J$81,7,0)=DATE(2025,5,5),DATE(2025,5,12),VLOOKUP(_xlfn.CONCAT(B27,C27),'Detalhe Entregas e Status'!$D$9:$J$81,7,0)),$L$8:$Z$8,0))="","",INDEX($K:$Z,ROW(C27),MATCH(IF(VLOOKUP(_xlfn.CONCAT(B27,C27),'Detalhe Entregas e Status'!$D$9:$J$81,7,0)=DATE(2025,5,5),DATE(2025,5,12),VLOOKUP(_xlfn.CONCAT(B27,C27),'Detalhe Entregas e Status'!$D$9:$J$81,7,0)),$L$8:$Z$8,0)))</f>
        <v>#N/A</v>
      </c>
      <c r="I27" s="17"/>
      <c r="J27" s="197" t="s">
        <v>291</v>
      </c>
      <c r="K27" s="245" t="s">
        <v>397</v>
      </c>
      <c r="L27" s="245"/>
      <c r="M27" s="245" t="s">
        <v>396</v>
      </c>
      <c r="N27" s="245"/>
      <c r="O27" s="245" t="s">
        <v>396</v>
      </c>
    </row>
    <row r="28" spans="2:15" ht="15" hidden="1" customHeight="1">
      <c r="B28" s="13" t="s">
        <v>1</v>
      </c>
      <c r="C28" s="13" t="s">
        <v>12</v>
      </c>
      <c r="D28" s="29" t="s">
        <v>93</v>
      </c>
      <c r="E28" s="14" t="s">
        <v>99</v>
      </c>
      <c r="F28" s="14">
        <v>4</v>
      </c>
      <c r="H28" s="165" t="e" cm="1">
        <f t="array" ref="H28">IF(INDEX($K:$Z,ROW(C28),MATCH(IF(VLOOKUP(_xlfn.CONCAT(B28,C28),'Detalhe Entregas e Status'!$D$9:$J$81,7,0)=DATE(2025,5,5),DATE(2025,5,12),VLOOKUP(_xlfn.CONCAT(B28,C28),'Detalhe Entregas e Status'!$D$9:$J$81,7,0)),$L$8:$Z$8,0))="","",INDEX($K:$Z,ROW(C28),MATCH(IF(VLOOKUP(_xlfn.CONCAT(B28,C28),'Detalhe Entregas e Status'!$D$9:$J$81,7,0)=DATE(2025,5,5),DATE(2025,5,12),VLOOKUP(_xlfn.CONCAT(B28,C28),'Detalhe Entregas e Status'!$D$9:$J$81,7,0)),$L$8:$Z$8,0)))</f>
        <v>#N/A</v>
      </c>
      <c r="I28" s="17" t="s">
        <v>281</v>
      </c>
      <c r="J28" s="197" t="s">
        <v>291</v>
      </c>
      <c r="K28" s="245" t="s">
        <v>397</v>
      </c>
      <c r="L28" s="245"/>
      <c r="M28" s="245"/>
      <c r="N28" s="245"/>
      <c r="O28" s="245" t="s">
        <v>397</v>
      </c>
    </row>
    <row r="29" spans="2:15" ht="15" hidden="1" customHeight="1">
      <c r="B29" s="13" t="s">
        <v>1</v>
      </c>
      <c r="C29" s="13" t="s">
        <v>12</v>
      </c>
      <c r="D29" s="29" t="s">
        <v>94</v>
      </c>
      <c r="E29" s="14" t="s">
        <v>100</v>
      </c>
      <c r="F29" s="14">
        <v>1</v>
      </c>
      <c r="H29" s="165" t="e" cm="1">
        <f t="array" ref="H29">IF(INDEX($K:$Z,ROW(C29),MATCH(IF(VLOOKUP(_xlfn.CONCAT(B29,C29),'Detalhe Entregas e Status'!$D$9:$J$81,7,0)=DATE(2025,5,5),DATE(2025,5,12),VLOOKUP(_xlfn.CONCAT(B29,C29),'Detalhe Entregas e Status'!$D$9:$J$81,7,0)),$L$8:$Z$8,0))="","",INDEX($K:$Z,ROW(C29),MATCH(IF(VLOOKUP(_xlfn.CONCAT(B29,C29),'Detalhe Entregas e Status'!$D$9:$J$81,7,0)=DATE(2025,5,5),DATE(2025,5,12),VLOOKUP(_xlfn.CONCAT(B29,C29),'Detalhe Entregas e Status'!$D$9:$J$81,7,0)),$L$8:$Z$8,0)))</f>
        <v>#N/A</v>
      </c>
      <c r="I29" s="17"/>
      <c r="J29" s="197" t="s">
        <v>291</v>
      </c>
      <c r="K29" s="245" t="s">
        <v>397</v>
      </c>
      <c r="L29" s="245"/>
      <c r="M29" s="245"/>
      <c r="N29" s="245"/>
      <c r="O29" s="245"/>
    </row>
    <row r="30" spans="2:15" ht="15" hidden="1" customHeight="1">
      <c r="B30" s="13" t="s">
        <v>1</v>
      </c>
      <c r="C30" s="13" t="s">
        <v>13</v>
      </c>
      <c r="D30" s="29" t="s">
        <v>93</v>
      </c>
      <c r="E30" s="14" t="s">
        <v>100</v>
      </c>
      <c r="F30" s="14">
        <v>2</v>
      </c>
      <c r="H30" s="165" t="e" cm="1">
        <f t="array" ref="H30">IF(INDEX($K:$Z,ROW(C30),MATCH(IF(VLOOKUP(_xlfn.CONCAT(B30,C30),'Detalhe Entregas e Status'!$D$9:$J$81,7,0)=DATE(2025,5,5),DATE(2025,5,12),VLOOKUP(_xlfn.CONCAT(B30,C30),'Detalhe Entregas e Status'!$D$9:$J$81,7,0)),$L$8:$Z$8,0))="","",INDEX($K:$Z,ROW(C30),MATCH(IF(VLOOKUP(_xlfn.CONCAT(B30,C30),'Detalhe Entregas e Status'!$D$9:$J$81,7,0)=DATE(2025,5,5),DATE(2025,5,12),VLOOKUP(_xlfn.CONCAT(B30,C30),'Detalhe Entregas e Status'!$D$9:$J$81,7,0)),$L$8:$Z$8,0)))</f>
        <v>#N/A</v>
      </c>
      <c r="I30" s="17" t="s">
        <v>281</v>
      </c>
      <c r="J30" s="197" t="s">
        <v>291</v>
      </c>
      <c r="K30" s="245" t="s">
        <v>397</v>
      </c>
      <c r="L30" s="245"/>
      <c r="M30" s="245"/>
      <c r="N30" s="245"/>
      <c r="O30" s="245"/>
    </row>
    <row r="31" spans="2:15" ht="15" hidden="1" customHeight="1">
      <c r="B31" s="13" t="s">
        <v>1</v>
      </c>
      <c r="C31" s="13" t="s">
        <v>13</v>
      </c>
      <c r="D31" s="29" t="s">
        <v>94</v>
      </c>
      <c r="E31" s="14" t="s">
        <v>100</v>
      </c>
      <c r="F31" s="14">
        <v>1</v>
      </c>
      <c r="H31" s="165" t="e" cm="1">
        <f t="array" ref="H31">IF(INDEX($K:$Z,ROW(C31),MATCH(IF(VLOOKUP(_xlfn.CONCAT(B31,C31),'Detalhe Entregas e Status'!$D$9:$J$81,7,0)=DATE(2025,5,5),DATE(2025,5,12),VLOOKUP(_xlfn.CONCAT(B31,C31),'Detalhe Entregas e Status'!$D$9:$J$81,7,0)),$L$8:$Z$8,0))="","",INDEX($K:$Z,ROW(C31),MATCH(IF(VLOOKUP(_xlfn.CONCAT(B31,C31),'Detalhe Entregas e Status'!$D$9:$J$81,7,0)=DATE(2025,5,5),DATE(2025,5,12),VLOOKUP(_xlfn.CONCAT(B31,C31),'Detalhe Entregas e Status'!$D$9:$J$81,7,0)),$L$8:$Z$8,0)))</f>
        <v>#N/A</v>
      </c>
      <c r="I31" s="17"/>
      <c r="J31" s="197" t="s">
        <v>291</v>
      </c>
      <c r="K31" s="245" t="s">
        <v>397</v>
      </c>
      <c r="L31" s="245"/>
      <c r="M31" s="245"/>
      <c r="N31" s="245"/>
      <c r="O31" s="245"/>
    </row>
    <row r="32" spans="2:15" ht="15" hidden="1" customHeight="1">
      <c r="B32" s="13" t="s">
        <v>1</v>
      </c>
      <c r="C32" s="13" t="s">
        <v>14</v>
      </c>
      <c r="D32" s="29" t="s">
        <v>93</v>
      </c>
      <c r="E32" s="14" t="s">
        <v>100</v>
      </c>
      <c r="F32" s="14">
        <v>2</v>
      </c>
      <c r="H32" s="165" t="e" cm="1">
        <f t="array" ref="H32">IF(INDEX($K:$Z,ROW(C32),MATCH(IF(VLOOKUP(_xlfn.CONCAT(B32,C32),'Detalhe Entregas e Status'!$D$9:$J$81,7,0)=DATE(2025,5,5),DATE(2025,5,12),VLOOKUP(_xlfn.CONCAT(B32,C32),'Detalhe Entregas e Status'!$D$9:$J$81,7,0)),$L$8:$Z$8,0))="","",INDEX($K:$Z,ROW(C32),MATCH(IF(VLOOKUP(_xlfn.CONCAT(B32,C32),'Detalhe Entregas e Status'!$D$9:$J$81,7,0)=DATE(2025,5,5),DATE(2025,5,12),VLOOKUP(_xlfn.CONCAT(B32,C32),'Detalhe Entregas e Status'!$D$9:$J$81,7,0)),$L$8:$Z$8,0)))</f>
        <v>#N/A</v>
      </c>
      <c r="I32" s="17" t="s">
        <v>361</v>
      </c>
      <c r="J32" s="197" t="s">
        <v>291</v>
      </c>
      <c r="K32" s="245" t="s">
        <v>397</v>
      </c>
      <c r="L32" s="245"/>
      <c r="M32" s="245"/>
      <c r="N32" s="245"/>
      <c r="O32" s="245"/>
    </row>
    <row r="33" spans="2:15" ht="15" hidden="1" customHeight="1">
      <c r="B33" s="13" t="s">
        <v>1</v>
      </c>
      <c r="C33" s="13" t="s">
        <v>14</v>
      </c>
      <c r="D33" s="29" t="s">
        <v>94</v>
      </c>
      <c r="E33" s="14" t="s">
        <v>100</v>
      </c>
      <c r="F33" s="14">
        <v>1</v>
      </c>
      <c r="H33" s="165" t="e" cm="1">
        <f t="array" ref="H33">IF(INDEX($K:$Z,ROW(C33),MATCH(IF(VLOOKUP(_xlfn.CONCAT(B33,C33),'Detalhe Entregas e Status'!$D$9:$J$81,7,0)=DATE(2025,5,5),DATE(2025,5,12),VLOOKUP(_xlfn.CONCAT(B33,C33),'Detalhe Entregas e Status'!$D$9:$J$81,7,0)),$L$8:$Z$8,0))="","",INDEX($K:$Z,ROW(C33),MATCH(IF(VLOOKUP(_xlfn.CONCAT(B33,C33),'Detalhe Entregas e Status'!$D$9:$J$81,7,0)=DATE(2025,5,5),DATE(2025,5,12),VLOOKUP(_xlfn.CONCAT(B33,C33),'Detalhe Entregas e Status'!$D$9:$J$81,7,0)),$L$8:$Z$8,0)))</f>
        <v>#N/A</v>
      </c>
      <c r="I33" s="17"/>
      <c r="J33" s="197" t="s">
        <v>291</v>
      </c>
      <c r="K33" s="245" t="s">
        <v>397</v>
      </c>
      <c r="L33" s="245"/>
      <c r="M33" s="245"/>
      <c r="N33" s="245"/>
      <c r="O33" s="245"/>
    </row>
    <row r="34" spans="2:15" ht="15" hidden="1" customHeight="1">
      <c r="B34" s="13" t="s">
        <v>1</v>
      </c>
      <c r="C34" s="13" t="s">
        <v>15</v>
      </c>
      <c r="D34" s="29" t="s">
        <v>93</v>
      </c>
      <c r="E34" s="14" t="s">
        <v>100</v>
      </c>
      <c r="F34" s="14">
        <v>2</v>
      </c>
      <c r="H34" s="165" t="e" cm="1">
        <f t="array" ref="H34">IF(INDEX($K:$Z,ROW(C34),MATCH(IF(VLOOKUP(_xlfn.CONCAT(B34,C34),'Detalhe Entregas e Status'!$D$9:$J$81,7,0)=DATE(2025,5,5),DATE(2025,5,12),VLOOKUP(_xlfn.CONCAT(B34,C34),'Detalhe Entregas e Status'!$D$9:$J$81,7,0)),$L$8:$Z$8,0))="","",INDEX($K:$Z,ROW(C34),MATCH(IF(VLOOKUP(_xlfn.CONCAT(B34,C34),'Detalhe Entregas e Status'!$D$9:$J$81,7,0)=DATE(2025,5,5),DATE(2025,5,12),VLOOKUP(_xlfn.CONCAT(B34,C34),'Detalhe Entregas e Status'!$D$9:$J$81,7,0)),$L$8:$Z$8,0)))</f>
        <v>#N/A</v>
      </c>
      <c r="I34" s="17" t="s">
        <v>362</v>
      </c>
      <c r="J34" s="197" t="s">
        <v>291</v>
      </c>
      <c r="K34" s="245" t="s">
        <v>396</v>
      </c>
      <c r="L34" s="245"/>
      <c r="M34" s="245"/>
      <c r="N34" s="245"/>
      <c r="O34" s="245"/>
    </row>
    <row r="35" spans="2:15" ht="15" hidden="1" customHeight="1">
      <c r="B35" s="13" t="s">
        <v>1</v>
      </c>
      <c r="C35" s="13" t="s">
        <v>15</v>
      </c>
      <c r="D35" s="29" t="s">
        <v>94</v>
      </c>
      <c r="E35" s="14" t="s">
        <v>100</v>
      </c>
      <c r="F35" s="14">
        <v>1</v>
      </c>
      <c r="H35" s="165" t="e" cm="1">
        <f t="array" ref="H35">IF(INDEX($K:$Z,ROW(C35),MATCH(IF(VLOOKUP(_xlfn.CONCAT(B35,C35),'Detalhe Entregas e Status'!$D$9:$J$81,7,0)=DATE(2025,5,5),DATE(2025,5,12),VLOOKUP(_xlfn.CONCAT(B35,C35),'Detalhe Entregas e Status'!$D$9:$J$81,7,0)),$L$8:$Z$8,0))="","",INDEX($K:$Z,ROW(C35),MATCH(IF(VLOOKUP(_xlfn.CONCAT(B35,C35),'Detalhe Entregas e Status'!$D$9:$J$81,7,0)=DATE(2025,5,5),DATE(2025,5,12),VLOOKUP(_xlfn.CONCAT(B35,C35),'Detalhe Entregas e Status'!$D$9:$J$81,7,0)),$L$8:$Z$8,0)))</f>
        <v>#N/A</v>
      </c>
      <c r="I35" s="17"/>
      <c r="J35" s="197" t="s">
        <v>291</v>
      </c>
      <c r="K35" s="245" t="s">
        <v>396</v>
      </c>
      <c r="L35" s="245"/>
      <c r="M35" s="245"/>
      <c r="N35" s="245"/>
      <c r="O35" s="245"/>
    </row>
    <row r="36" spans="2:15" ht="15" hidden="1" customHeight="1">
      <c r="B36" s="13" t="s">
        <v>1</v>
      </c>
      <c r="C36" s="13" t="s">
        <v>16</v>
      </c>
      <c r="D36" s="29" t="s">
        <v>93</v>
      </c>
      <c r="E36" s="14" t="s">
        <v>100</v>
      </c>
      <c r="F36" s="14">
        <v>2</v>
      </c>
      <c r="H36" s="165" t="e" cm="1">
        <f t="array" ref="H36">IF(INDEX($K:$Z,ROW(C36),MATCH(IF(VLOOKUP(_xlfn.CONCAT(B36,C36),'Detalhe Entregas e Status'!$D$9:$J$81,7,0)=DATE(2025,5,5),DATE(2025,5,12),VLOOKUP(_xlfn.CONCAT(B36,C36),'Detalhe Entregas e Status'!$D$9:$J$81,7,0)),$L$8:$Z$8,0))="","",INDEX($K:$Z,ROW(C36),MATCH(IF(VLOOKUP(_xlfn.CONCAT(B36,C36),'Detalhe Entregas e Status'!$D$9:$J$81,7,0)=DATE(2025,5,5),DATE(2025,5,12),VLOOKUP(_xlfn.CONCAT(B36,C36),'Detalhe Entregas e Status'!$D$9:$J$81,7,0)),$L$8:$Z$8,0)))</f>
        <v>#N/A</v>
      </c>
      <c r="I36" s="17" t="s">
        <v>362</v>
      </c>
      <c r="J36" s="197" t="s">
        <v>291</v>
      </c>
      <c r="K36" s="245" t="s">
        <v>396</v>
      </c>
      <c r="L36" s="245"/>
      <c r="M36" s="245"/>
      <c r="N36" s="245"/>
      <c r="O36" s="245"/>
    </row>
    <row r="37" spans="2:15" ht="15" hidden="1" customHeight="1">
      <c r="B37" s="13" t="s">
        <v>1</v>
      </c>
      <c r="C37" s="13" t="s">
        <v>16</v>
      </c>
      <c r="D37" s="29" t="s">
        <v>94</v>
      </c>
      <c r="E37" s="14" t="s">
        <v>100</v>
      </c>
      <c r="F37" s="14">
        <v>1</v>
      </c>
      <c r="H37" s="165" t="e" cm="1">
        <f t="array" ref="H37">IF(INDEX($K:$Z,ROW(C37),MATCH(IF(VLOOKUP(_xlfn.CONCAT(B37,C37),'Detalhe Entregas e Status'!$D$9:$J$81,7,0)=DATE(2025,5,5),DATE(2025,5,12),VLOOKUP(_xlfn.CONCAT(B37,C37),'Detalhe Entregas e Status'!$D$9:$J$81,7,0)),$L$8:$Z$8,0))="","",INDEX($K:$Z,ROW(C37),MATCH(IF(VLOOKUP(_xlfn.CONCAT(B37,C37),'Detalhe Entregas e Status'!$D$9:$J$81,7,0)=DATE(2025,5,5),DATE(2025,5,12),VLOOKUP(_xlfn.CONCAT(B37,C37),'Detalhe Entregas e Status'!$D$9:$J$81,7,0)),$L$8:$Z$8,0)))</f>
        <v>#N/A</v>
      </c>
      <c r="I37" s="17"/>
      <c r="J37" s="197" t="s">
        <v>291</v>
      </c>
      <c r="K37" s="245" t="s">
        <v>396</v>
      </c>
      <c r="L37" s="245"/>
      <c r="M37" s="245"/>
      <c r="N37" s="245"/>
      <c r="O37" s="245"/>
    </row>
    <row r="38" spans="2:15" ht="15" hidden="1" customHeight="1">
      <c r="B38" s="13" t="s">
        <v>1</v>
      </c>
      <c r="C38" s="13" t="s">
        <v>17</v>
      </c>
      <c r="D38" s="29" t="s">
        <v>93</v>
      </c>
      <c r="E38" s="14" t="s">
        <v>100</v>
      </c>
      <c r="F38" s="14">
        <v>2</v>
      </c>
      <c r="H38" s="165" t="e" cm="1">
        <f t="array" ref="H38">IF(INDEX($K:$Z,ROW(C38),MATCH(IF(VLOOKUP(_xlfn.CONCAT(B38,C38),'Detalhe Entregas e Status'!$D$9:$J$81,7,0)=DATE(2025,5,5),DATE(2025,5,12),VLOOKUP(_xlfn.CONCAT(B38,C38),'Detalhe Entregas e Status'!$D$9:$J$81,7,0)),$L$8:$Z$8,0))="","",INDEX($K:$Z,ROW(C38),MATCH(IF(VLOOKUP(_xlfn.CONCAT(B38,C38),'Detalhe Entregas e Status'!$D$9:$J$81,7,0)=DATE(2025,5,5),DATE(2025,5,12),VLOOKUP(_xlfn.CONCAT(B38,C38),'Detalhe Entregas e Status'!$D$9:$J$81,7,0)),$L$8:$Z$8,0)))</f>
        <v>#N/A</v>
      </c>
      <c r="I38" s="17" t="s">
        <v>362</v>
      </c>
      <c r="J38" s="197" t="s">
        <v>291</v>
      </c>
      <c r="K38" s="245" t="s">
        <v>396</v>
      </c>
      <c r="L38" s="245"/>
      <c r="M38" s="245"/>
      <c r="N38" s="245"/>
      <c r="O38" s="245"/>
    </row>
    <row r="39" spans="2:15" ht="15" hidden="1" customHeight="1">
      <c r="B39" s="13" t="s">
        <v>1</v>
      </c>
      <c r="C39" s="13" t="s">
        <v>17</v>
      </c>
      <c r="D39" s="29" t="s">
        <v>94</v>
      </c>
      <c r="E39" s="14" t="s">
        <v>100</v>
      </c>
      <c r="F39" s="14">
        <v>1</v>
      </c>
      <c r="H39" s="165" t="e" cm="1">
        <f t="array" ref="H39">IF(INDEX($K:$Z,ROW(C39),MATCH(IF(VLOOKUP(_xlfn.CONCAT(B39,C39),'Detalhe Entregas e Status'!$D$9:$J$81,7,0)=DATE(2025,5,5),DATE(2025,5,12),VLOOKUP(_xlfn.CONCAT(B39,C39),'Detalhe Entregas e Status'!$D$9:$J$81,7,0)),$L$8:$Z$8,0))="","",INDEX($K:$Z,ROW(C39),MATCH(IF(VLOOKUP(_xlfn.CONCAT(B39,C39),'Detalhe Entregas e Status'!$D$9:$J$81,7,0)=DATE(2025,5,5),DATE(2025,5,12),VLOOKUP(_xlfn.CONCAT(B39,C39),'Detalhe Entregas e Status'!$D$9:$J$81,7,0)),$L$8:$Z$8,0)))</f>
        <v>#N/A</v>
      </c>
      <c r="I39" s="17"/>
      <c r="J39" s="197" t="s">
        <v>291</v>
      </c>
      <c r="K39" s="245" t="s">
        <v>396</v>
      </c>
      <c r="L39" s="245"/>
      <c r="M39" s="245"/>
      <c r="N39" s="245"/>
      <c r="O39" s="245"/>
    </row>
    <row r="40" spans="2:15" ht="15" hidden="1" customHeight="1">
      <c r="B40" s="13" t="s">
        <v>1</v>
      </c>
      <c r="C40" s="13" t="s">
        <v>18</v>
      </c>
      <c r="D40" s="29" t="s">
        <v>93</v>
      </c>
      <c r="E40" s="14" t="s">
        <v>99</v>
      </c>
      <c r="F40" s="14">
        <v>4</v>
      </c>
      <c r="H40" s="165" t="e" cm="1">
        <f t="array" ref="H40">IF(INDEX($K:$Z,ROW(C40),MATCH(IF(VLOOKUP(_xlfn.CONCAT(B40,C40),'Detalhe Entregas e Status'!$D$9:$J$81,7,0)=DATE(2025,5,5),DATE(2025,5,12),VLOOKUP(_xlfn.CONCAT(B40,C40),'Detalhe Entregas e Status'!$D$9:$J$81,7,0)),$L$8:$Z$8,0))="","",INDEX($K:$Z,ROW(C40),MATCH(IF(VLOOKUP(_xlfn.CONCAT(B40,C40),'Detalhe Entregas e Status'!$D$9:$J$81,7,0)=DATE(2025,5,5),DATE(2025,5,12),VLOOKUP(_xlfn.CONCAT(B40,C40),'Detalhe Entregas e Status'!$D$9:$J$81,7,0)),$L$8:$Z$8,0)))</f>
        <v>#N/A</v>
      </c>
      <c r="I40" s="17" t="s">
        <v>358</v>
      </c>
      <c r="J40" s="197" t="s">
        <v>291</v>
      </c>
      <c r="K40" s="245" t="s">
        <v>397</v>
      </c>
      <c r="L40" s="245" t="s">
        <v>397</v>
      </c>
      <c r="M40" s="245"/>
      <c r="N40" s="245"/>
      <c r="O40" s="245" t="s">
        <v>397</v>
      </c>
    </row>
    <row r="41" spans="2:15" ht="15" hidden="1" customHeight="1">
      <c r="B41" s="13" t="s">
        <v>1</v>
      </c>
      <c r="C41" s="13" t="s">
        <v>18</v>
      </c>
      <c r="D41" s="29" t="s">
        <v>94</v>
      </c>
      <c r="E41" s="14" t="s">
        <v>100</v>
      </c>
      <c r="F41" s="14">
        <v>1</v>
      </c>
      <c r="H41" s="165" t="e" cm="1">
        <f t="array" ref="H41">IF(INDEX($K:$Z,ROW(C41),MATCH(IF(VLOOKUP(_xlfn.CONCAT(B41,C41),'Detalhe Entregas e Status'!$D$9:$J$81,7,0)=DATE(2025,5,5),DATE(2025,5,12),VLOOKUP(_xlfn.CONCAT(B41,C41),'Detalhe Entregas e Status'!$D$9:$J$81,7,0)),$L$8:$Z$8,0))="","",INDEX($K:$Z,ROW(C41),MATCH(IF(VLOOKUP(_xlfn.CONCAT(B41,C41),'Detalhe Entregas e Status'!$D$9:$J$81,7,0)=DATE(2025,5,5),DATE(2025,5,12),VLOOKUP(_xlfn.CONCAT(B41,C41),'Detalhe Entregas e Status'!$D$9:$J$81,7,0)),$L$8:$Z$8,0)))</f>
        <v>#N/A</v>
      </c>
      <c r="I41" s="17"/>
      <c r="J41" s="197" t="s">
        <v>291</v>
      </c>
      <c r="K41" s="245" t="s">
        <v>397</v>
      </c>
      <c r="L41" s="245" t="s">
        <v>397</v>
      </c>
      <c r="M41" s="245"/>
      <c r="N41" s="245"/>
      <c r="O41" s="245"/>
    </row>
    <row r="42" spans="2:15" ht="15" hidden="1" customHeight="1">
      <c r="B42" s="13" t="s">
        <v>1</v>
      </c>
      <c r="C42" s="13" t="s">
        <v>19</v>
      </c>
      <c r="D42" s="29" t="s">
        <v>93</v>
      </c>
      <c r="E42" s="14" t="s">
        <v>100</v>
      </c>
      <c r="F42" s="14">
        <v>2</v>
      </c>
      <c r="H42" s="165" t="e" cm="1">
        <f t="array" ref="H42">IF(INDEX($K:$Z,ROW(C42),MATCH(IF(VLOOKUP(_xlfn.CONCAT(B42,C42),'Detalhe Entregas e Status'!$D$9:$J$81,7,0)=DATE(2025,5,5),DATE(2025,5,12),VLOOKUP(_xlfn.CONCAT(B42,C42),'Detalhe Entregas e Status'!$D$9:$J$81,7,0)),$L$8:$Z$8,0))="","",INDEX($K:$Z,ROW(C42),MATCH(IF(VLOOKUP(_xlfn.CONCAT(B42,C42),'Detalhe Entregas e Status'!$D$9:$J$81,7,0)=DATE(2025,5,5),DATE(2025,5,12),VLOOKUP(_xlfn.CONCAT(B42,C42),'Detalhe Entregas e Status'!$D$9:$J$81,7,0)),$L$8:$Z$8,0)))</f>
        <v>#N/A</v>
      </c>
      <c r="I42" s="17" t="s">
        <v>281</v>
      </c>
      <c r="J42" s="197" t="s">
        <v>291</v>
      </c>
      <c r="K42" s="245" t="s">
        <v>396</v>
      </c>
      <c r="L42" s="245"/>
      <c r="M42" s="245"/>
      <c r="N42" s="245"/>
      <c r="O42" s="245"/>
    </row>
    <row r="43" spans="2:15" ht="15" hidden="1" customHeight="1">
      <c r="B43" s="13" t="s">
        <v>1</v>
      </c>
      <c r="C43" s="13" t="s">
        <v>19</v>
      </c>
      <c r="D43" s="29" t="s">
        <v>94</v>
      </c>
      <c r="E43" s="14" t="s">
        <v>100</v>
      </c>
      <c r="F43" s="14">
        <v>1</v>
      </c>
      <c r="H43" s="165" t="e" cm="1">
        <f t="array" ref="H43">IF(INDEX($K:$Z,ROW(C43),MATCH(IF(VLOOKUP(_xlfn.CONCAT(B43,C43),'Detalhe Entregas e Status'!$D$9:$J$81,7,0)=DATE(2025,5,5),DATE(2025,5,12),VLOOKUP(_xlfn.CONCAT(B43,C43),'Detalhe Entregas e Status'!$D$9:$J$81,7,0)),$L$8:$Z$8,0))="","",INDEX($K:$Z,ROW(C43),MATCH(IF(VLOOKUP(_xlfn.CONCAT(B43,C43),'Detalhe Entregas e Status'!$D$9:$J$81,7,0)=DATE(2025,5,5),DATE(2025,5,12),VLOOKUP(_xlfn.CONCAT(B43,C43),'Detalhe Entregas e Status'!$D$9:$J$81,7,0)),$L$8:$Z$8,0)))</f>
        <v>#N/A</v>
      </c>
      <c r="I43" s="17"/>
      <c r="J43" s="197" t="s">
        <v>291</v>
      </c>
      <c r="K43" s="245" t="s">
        <v>396</v>
      </c>
      <c r="L43" s="245"/>
      <c r="M43" s="245"/>
      <c r="N43" s="245"/>
      <c r="O43" s="245"/>
    </row>
    <row r="44" spans="2:15" ht="15" hidden="1" customHeight="1">
      <c r="B44" s="13" t="s">
        <v>1</v>
      </c>
      <c r="C44" s="13" t="s">
        <v>20</v>
      </c>
      <c r="D44" s="29" t="s">
        <v>93</v>
      </c>
      <c r="E44" s="14" t="s">
        <v>99</v>
      </c>
      <c r="F44" s="14">
        <v>4</v>
      </c>
      <c r="H44" s="165" t="e" cm="1">
        <f t="array" ref="H44">IF(INDEX($K:$Z,ROW(C44),MATCH(IF(VLOOKUP(_xlfn.CONCAT(B44,C44),'Detalhe Entregas e Status'!$D$9:$J$81,7,0)=DATE(2025,5,5),DATE(2025,5,12),VLOOKUP(_xlfn.CONCAT(B44,C44),'Detalhe Entregas e Status'!$D$9:$J$81,7,0)),$L$8:$Z$8,0))="","",INDEX($K:$Z,ROW(C44),MATCH(IF(VLOOKUP(_xlfn.CONCAT(B44,C44),'Detalhe Entregas e Status'!$D$9:$J$81,7,0)=DATE(2025,5,5),DATE(2025,5,12),VLOOKUP(_xlfn.CONCAT(B44,C44),'Detalhe Entregas e Status'!$D$9:$J$81,7,0)),$L$8:$Z$8,0)))</f>
        <v>#N/A</v>
      </c>
      <c r="I44" s="17" t="s">
        <v>281</v>
      </c>
      <c r="J44" s="197" t="s">
        <v>291</v>
      </c>
      <c r="K44" s="245" t="s">
        <v>397</v>
      </c>
      <c r="L44" s="245"/>
      <c r="M44" s="245"/>
      <c r="N44" s="245"/>
      <c r="O44" s="245"/>
    </row>
    <row r="45" spans="2:15" ht="15" hidden="1" customHeight="1">
      <c r="B45" s="13" t="s">
        <v>1</v>
      </c>
      <c r="C45" s="13" t="s">
        <v>20</v>
      </c>
      <c r="D45" s="29" t="s">
        <v>94</v>
      </c>
      <c r="E45" s="14" t="s">
        <v>100</v>
      </c>
      <c r="F45" s="14">
        <v>1</v>
      </c>
      <c r="H45" s="165" t="e" cm="1">
        <f t="array" ref="H45">IF(INDEX($K:$Z,ROW(C45),MATCH(IF(VLOOKUP(_xlfn.CONCAT(B45,C45),'Detalhe Entregas e Status'!$D$9:$J$81,7,0)=DATE(2025,5,5),DATE(2025,5,12),VLOOKUP(_xlfn.CONCAT(B45,C45),'Detalhe Entregas e Status'!$D$9:$J$81,7,0)),$L$8:$Z$8,0))="","",INDEX($K:$Z,ROW(C45),MATCH(IF(VLOOKUP(_xlfn.CONCAT(B45,C45),'Detalhe Entregas e Status'!$D$9:$J$81,7,0)=DATE(2025,5,5),DATE(2025,5,12),VLOOKUP(_xlfn.CONCAT(B45,C45),'Detalhe Entregas e Status'!$D$9:$J$81,7,0)),$L$8:$Z$8,0)))</f>
        <v>#N/A</v>
      </c>
      <c r="I45" s="17"/>
      <c r="J45" s="197" t="s">
        <v>291</v>
      </c>
      <c r="K45" s="245" t="s">
        <v>397</v>
      </c>
      <c r="L45" s="245"/>
      <c r="M45" s="245"/>
      <c r="N45" s="245"/>
      <c r="O45" s="245"/>
    </row>
    <row r="46" spans="2:15" ht="15" hidden="1" customHeight="1">
      <c r="B46" s="13" t="s">
        <v>1</v>
      </c>
      <c r="C46" s="13" t="s">
        <v>21</v>
      </c>
      <c r="D46" s="29" t="s">
        <v>93</v>
      </c>
      <c r="E46" s="14" t="s">
        <v>99</v>
      </c>
      <c r="F46" s="14">
        <v>4</v>
      </c>
      <c r="H46" s="165" t="e" cm="1">
        <f t="array" ref="H46">IF(INDEX($K:$Z,ROW(C46),MATCH(IF(VLOOKUP(_xlfn.CONCAT(B46,C46),'Detalhe Entregas e Status'!$D$9:$J$81,7,0)=DATE(2025,5,5),DATE(2025,5,12),VLOOKUP(_xlfn.CONCAT(B46,C46),'Detalhe Entregas e Status'!$D$9:$J$81,7,0)),$L$8:$Z$8,0))="","",INDEX($K:$Z,ROW(C46),MATCH(IF(VLOOKUP(_xlfn.CONCAT(B46,C46),'Detalhe Entregas e Status'!$D$9:$J$81,7,0)=DATE(2025,5,5),DATE(2025,5,12),VLOOKUP(_xlfn.CONCAT(B46,C46),'Detalhe Entregas e Status'!$D$9:$J$81,7,0)),$L$8:$Z$8,0)))</f>
        <v>#N/A</v>
      </c>
      <c r="I46" s="17" t="s">
        <v>281</v>
      </c>
      <c r="J46" s="197" t="s">
        <v>291</v>
      </c>
      <c r="K46" s="245" t="s">
        <v>397</v>
      </c>
      <c r="L46" s="245"/>
      <c r="M46" s="245"/>
      <c r="N46" s="245"/>
      <c r="O46" s="245" t="s">
        <v>397</v>
      </c>
    </row>
    <row r="47" spans="2:15" ht="15" hidden="1" customHeight="1">
      <c r="B47" s="13" t="s">
        <v>1</v>
      </c>
      <c r="C47" s="13" t="s">
        <v>21</v>
      </c>
      <c r="D47" s="29" t="s">
        <v>94</v>
      </c>
      <c r="E47" s="14" t="s">
        <v>100</v>
      </c>
      <c r="F47" s="14">
        <v>1</v>
      </c>
      <c r="H47" s="165" t="e" cm="1">
        <f t="array" ref="H47">IF(INDEX($K:$Z,ROW(C47),MATCH(IF(VLOOKUP(_xlfn.CONCAT(B47,C47),'Detalhe Entregas e Status'!$D$9:$J$81,7,0)=DATE(2025,5,5),DATE(2025,5,12),VLOOKUP(_xlfn.CONCAT(B47,C47),'Detalhe Entregas e Status'!$D$9:$J$81,7,0)),$L$8:$Z$8,0))="","",INDEX($K:$Z,ROW(C47),MATCH(IF(VLOOKUP(_xlfn.CONCAT(B47,C47),'Detalhe Entregas e Status'!$D$9:$J$81,7,0)=DATE(2025,5,5),DATE(2025,5,12),VLOOKUP(_xlfn.CONCAT(B47,C47),'Detalhe Entregas e Status'!$D$9:$J$81,7,0)),$L$8:$Z$8,0)))</f>
        <v>#N/A</v>
      </c>
      <c r="I47" s="17"/>
      <c r="J47" s="197" t="s">
        <v>291</v>
      </c>
      <c r="K47" s="245" t="s">
        <v>397</v>
      </c>
      <c r="L47" s="245"/>
      <c r="M47" s="245"/>
      <c r="N47" s="245"/>
      <c r="O47" s="245"/>
    </row>
    <row r="48" spans="2:15" ht="15" hidden="1" customHeight="1">
      <c r="B48" s="13" t="s">
        <v>1</v>
      </c>
      <c r="C48" s="13" t="s">
        <v>22</v>
      </c>
      <c r="D48" s="29" t="s">
        <v>93</v>
      </c>
      <c r="E48" s="14" t="s">
        <v>100</v>
      </c>
      <c r="F48" s="14">
        <v>2</v>
      </c>
      <c r="H48" s="165" t="e" cm="1">
        <f t="array" ref="H48">IF(INDEX($K:$Z,ROW(C48),MATCH(IF(VLOOKUP(_xlfn.CONCAT(B48,C48),'Detalhe Entregas e Status'!$D$9:$J$81,7,0)=DATE(2025,5,5),DATE(2025,5,12),VLOOKUP(_xlfn.CONCAT(B48,C48),'Detalhe Entregas e Status'!$D$9:$J$81,7,0)),$L$8:$Z$8,0))="","",INDEX($K:$Z,ROW(C48),MATCH(IF(VLOOKUP(_xlfn.CONCAT(B48,C48),'Detalhe Entregas e Status'!$D$9:$J$81,7,0)=DATE(2025,5,5),DATE(2025,5,12),VLOOKUP(_xlfn.CONCAT(B48,C48),'Detalhe Entregas e Status'!$D$9:$J$81,7,0)),$L$8:$Z$8,0)))</f>
        <v>#N/A</v>
      </c>
      <c r="I48" s="17" t="s">
        <v>380</v>
      </c>
      <c r="J48" s="197" t="s">
        <v>291</v>
      </c>
      <c r="K48" s="245" t="s">
        <v>397</v>
      </c>
      <c r="L48" s="245"/>
      <c r="M48" s="245" t="s">
        <v>396</v>
      </c>
      <c r="N48" s="245"/>
      <c r="O48" s="245"/>
    </row>
    <row r="49" spans="2:15" ht="15" hidden="1" customHeight="1">
      <c r="B49" s="13" t="s">
        <v>1</v>
      </c>
      <c r="C49" s="13" t="s">
        <v>22</v>
      </c>
      <c r="D49" s="29" t="s">
        <v>94</v>
      </c>
      <c r="E49" s="14" t="s">
        <v>100</v>
      </c>
      <c r="F49" s="14">
        <v>1</v>
      </c>
      <c r="H49" s="165" t="e" cm="1">
        <f t="array" ref="H49">IF(INDEX($K:$Z,ROW(C49),MATCH(IF(VLOOKUP(_xlfn.CONCAT(B49,C49),'Detalhe Entregas e Status'!$D$9:$J$81,7,0)=DATE(2025,5,5),DATE(2025,5,12),VLOOKUP(_xlfn.CONCAT(B49,C49),'Detalhe Entregas e Status'!$D$9:$J$81,7,0)),$L$8:$Z$8,0))="","",INDEX($K:$Z,ROW(C49),MATCH(IF(VLOOKUP(_xlfn.CONCAT(B49,C49),'Detalhe Entregas e Status'!$D$9:$J$81,7,0)=DATE(2025,5,5),DATE(2025,5,12),VLOOKUP(_xlfn.CONCAT(B49,C49),'Detalhe Entregas e Status'!$D$9:$J$81,7,0)),$L$8:$Z$8,0)))</f>
        <v>#N/A</v>
      </c>
      <c r="I49" s="17"/>
      <c r="J49" s="197" t="s">
        <v>291</v>
      </c>
      <c r="K49" s="245" t="s">
        <v>397</v>
      </c>
      <c r="L49" s="245"/>
      <c r="M49" s="245" t="s">
        <v>396</v>
      </c>
      <c r="N49" s="245"/>
      <c r="O49" s="245"/>
    </row>
    <row r="50" spans="2:15" ht="15" hidden="1" customHeight="1">
      <c r="B50" s="13" t="s">
        <v>1</v>
      </c>
      <c r="C50" s="13" t="s">
        <v>23</v>
      </c>
      <c r="D50" s="29" t="s">
        <v>93</v>
      </c>
      <c r="E50" s="14" t="s">
        <v>99</v>
      </c>
      <c r="F50" s="14">
        <v>4</v>
      </c>
      <c r="H50" s="165" t="e" cm="1">
        <f t="array" ref="H50">IF(INDEX($K:$Z,ROW(C50),MATCH(IF(VLOOKUP(_xlfn.CONCAT(B50,C50),'Detalhe Entregas e Status'!$D$9:$J$81,7,0)=DATE(2025,5,5),DATE(2025,5,12),VLOOKUP(_xlfn.CONCAT(B50,C50),'Detalhe Entregas e Status'!$D$9:$J$81,7,0)),$L$8:$Z$8,0))="","",INDEX($K:$Z,ROW(C50),MATCH(IF(VLOOKUP(_xlfn.CONCAT(B50,C50),'Detalhe Entregas e Status'!$D$9:$J$81,7,0)=DATE(2025,5,5),DATE(2025,5,12),VLOOKUP(_xlfn.CONCAT(B50,C50),'Detalhe Entregas e Status'!$D$9:$J$81,7,0)),$L$8:$Z$8,0)))</f>
        <v>#N/A</v>
      </c>
      <c r="I50" s="17" t="s">
        <v>281</v>
      </c>
      <c r="J50" s="197" t="s">
        <v>291</v>
      </c>
      <c r="K50" s="245" t="s">
        <v>397</v>
      </c>
      <c r="L50" s="245"/>
      <c r="M50" s="245"/>
      <c r="N50" s="245"/>
      <c r="O50" s="245"/>
    </row>
    <row r="51" spans="2:15" ht="15" hidden="1" customHeight="1">
      <c r="B51" s="13" t="s">
        <v>1</v>
      </c>
      <c r="C51" s="13" t="s">
        <v>23</v>
      </c>
      <c r="D51" s="29" t="s">
        <v>94</v>
      </c>
      <c r="E51" s="14" t="s">
        <v>100</v>
      </c>
      <c r="F51" s="14">
        <v>1</v>
      </c>
      <c r="H51" s="165" t="e" cm="1">
        <f t="array" ref="H51">IF(INDEX($K:$Z,ROW(C51),MATCH(IF(VLOOKUP(_xlfn.CONCAT(B51,C51),'Detalhe Entregas e Status'!$D$9:$J$81,7,0)=DATE(2025,5,5),DATE(2025,5,12),VLOOKUP(_xlfn.CONCAT(B51,C51),'Detalhe Entregas e Status'!$D$9:$J$81,7,0)),$L$8:$Z$8,0))="","",INDEX($K:$Z,ROW(C51),MATCH(IF(VLOOKUP(_xlfn.CONCAT(B51,C51),'Detalhe Entregas e Status'!$D$9:$J$81,7,0)=DATE(2025,5,5),DATE(2025,5,12),VLOOKUP(_xlfn.CONCAT(B51,C51),'Detalhe Entregas e Status'!$D$9:$J$81,7,0)),$L$8:$Z$8,0)))</f>
        <v>#N/A</v>
      </c>
      <c r="I51" s="17"/>
      <c r="J51" s="197" t="s">
        <v>291</v>
      </c>
      <c r="K51" s="245" t="s">
        <v>397</v>
      </c>
      <c r="L51" s="245"/>
      <c r="M51" s="245"/>
      <c r="N51" s="245"/>
      <c r="O51" s="245"/>
    </row>
    <row r="52" spans="2:15" ht="15" hidden="1" customHeight="1">
      <c r="B52" s="13" t="s">
        <v>1</v>
      </c>
      <c r="C52" s="13" t="s">
        <v>24</v>
      </c>
      <c r="D52" s="29" t="s">
        <v>93</v>
      </c>
      <c r="E52" s="14" t="s">
        <v>99</v>
      </c>
      <c r="F52" s="14">
        <v>4</v>
      </c>
      <c r="H52" s="165" t="e" cm="1">
        <f t="array" ref="H52">IF(INDEX($K:$Z,ROW(C52),MATCH(IF(VLOOKUP(_xlfn.CONCAT(B52,C52),'Detalhe Entregas e Status'!$D$9:$J$81,7,0)=DATE(2025,5,5),DATE(2025,5,12),VLOOKUP(_xlfn.CONCAT(B52,C52),'Detalhe Entregas e Status'!$D$9:$J$81,7,0)),$L$8:$Z$8,0))="","",INDEX($K:$Z,ROW(C52),MATCH(IF(VLOOKUP(_xlfn.CONCAT(B52,C52),'Detalhe Entregas e Status'!$D$9:$J$81,7,0)=DATE(2025,5,5),DATE(2025,5,12),VLOOKUP(_xlfn.CONCAT(B52,C52),'Detalhe Entregas e Status'!$D$9:$J$81,7,0)),$L$8:$Z$8,0)))</f>
        <v>#N/A</v>
      </c>
      <c r="I52" s="17" t="s">
        <v>281</v>
      </c>
      <c r="J52" s="197" t="s">
        <v>291</v>
      </c>
      <c r="K52" s="245" t="s">
        <v>397</v>
      </c>
      <c r="L52" s="245"/>
      <c r="M52" s="245"/>
      <c r="N52" s="245"/>
      <c r="O52" s="245" t="s">
        <v>397</v>
      </c>
    </row>
    <row r="53" spans="2:15" ht="15" hidden="1" customHeight="1">
      <c r="B53" s="13" t="s">
        <v>1</v>
      </c>
      <c r="C53" s="13" t="s">
        <v>24</v>
      </c>
      <c r="D53" s="29" t="s">
        <v>94</v>
      </c>
      <c r="E53" s="14" t="s">
        <v>100</v>
      </c>
      <c r="F53" s="14">
        <v>1</v>
      </c>
      <c r="H53" s="165" t="e" cm="1">
        <f t="array" ref="H53">IF(INDEX($K:$Z,ROW(C53),MATCH(IF(VLOOKUP(_xlfn.CONCAT(B53,C53),'Detalhe Entregas e Status'!$D$9:$J$81,7,0)=DATE(2025,5,5),DATE(2025,5,12),VLOOKUP(_xlfn.CONCAT(B53,C53),'Detalhe Entregas e Status'!$D$9:$J$81,7,0)),$L$8:$Z$8,0))="","",INDEX($K:$Z,ROW(C53),MATCH(IF(VLOOKUP(_xlfn.CONCAT(B53,C53),'Detalhe Entregas e Status'!$D$9:$J$81,7,0)=DATE(2025,5,5),DATE(2025,5,12),VLOOKUP(_xlfn.CONCAT(B53,C53),'Detalhe Entregas e Status'!$D$9:$J$81,7,0)),$L$8:$Z$8,0)))</f>
        <v>#N/A</v>
      </c>
      <c r="I53" s="17"/>
      <c r="J53" s="197" t="s">
        <v>291</v>
      </c>
      <c r="K53" s="245" t="s">
        <v>397</v>
      </c>
      <c r="L53" s="245"/>
      <c r="M53" s="245"/>
      <c r="N53" s="245"/>
      <c r="O53" s="245"/>
    </row>
    <row r="54" spans="2:15" ht="15" hidden="1" customHeight="1">
      <c r="B54" s="13" t="s">
        <v>1</v>
      </c>
      <c r="C54" s="13" t="s">
        <v>25</v>
      </c>
      <c r="D54" s="29" t="s">
        <v>93</v>
      </c>
      <c r="E54" s="14" t="s">
        <v>100</v>
      </c>
      <c r="F54" s="14">
        <v>2</v>
      </c>
      <c r="H54" s="165" t="e" cm="1">
        <f t="array" ref="H54">IF(INDEX($K:$Z,ROW(C54),MATCH(IF(VLOOKUP(_xlfn.CONCAT(B54,C54),'Detalhe Entregas e Status'!$D$9:$J$81,7,0)=DATE(2025,5,5),DATE(2025,5,12),VLOOKUP(_xlfn.CONCAT(B54,C54),'Detalhe Entregas e Status'!$D$9:$J$81,7,0)),$L$8:$Z$8,0))="","",INDEX($K:$Z,ROW(C54),MATCH(IF(VLOOKUP(_xlfn.CONCAT(B54,C54),'Detalhe Entregas e Status'!$D$9:$J$81,7,0)=DATE(2025,5,5),DATE(2025,5,12),VLOOKUP(_xlfn.CONCAT(B54,C54),'Detalhe Entregas e Status'!$D$9:$J$81,7,0)),$L$8:$Z$8,0)))</f>
        <v>#N/A</v>
      </c>
      <c r="I54" s="17" t="s">
        <v>362</v>
      </c>
      <c r="J54" s="197" t="s">
        <v>291</v>
      </c>
      <c r="K54" s="245" t="s">
        <v>396</v>
      </c>
      <c r="L54" s="245"/>
      <c r="M54" s="245"/>
      <c r="N54" s="245"/>
      <c r="O54" s="245" t="s">
        <v>396</v>
      </c>
    </row>
    <row r="55" spans="2:15" ht="15" hidden="1" customHeight="1">
      <c r="B55" s="13" t="s">
        <v>1</v>
      </c>
      <c r="C55" s="13" t="s">
        <v>25</v>
      </c>
      <c r="D55" s="29" t="s">
        <v>94</v>
      </c>
      <c r="E55" s="14" t="s">
        <v>100</v>
      </c>
      <c r="F55" s="14">
        <v>1</v>
      </c>
      <c r="H55" s="165" t="e" cm="1">
        <f t="array" ref="H55">IF(INDEX($K:$Z,ROW(C55),MATCH(IF(VLOOKUP(_xlfn.CONCAT(B55,C55),'Detalhe Entregas e Status'!$D$9:$J$81,7,0)=DATE(2025,5,5),DATE(2025,5,12),VLOOKUP(_xlfn.CONCAT(B55,C55),'Detalhe Entregas e Status'!$D$9:$J$81,7,0)),$L$8:$Z$8,0))="","",INDEX($K:$Z,ROW(C55),MATCH(IF(VLOOKUP(_xlfn.CONCAT(B55,C55),'Detalhe Entregas e Status'!$D$9:$J$81,7,0)=DATE(2025,5,5),DATE(2025,5,12),VLOOKUP(_xlfn.CONCAT(B55,C55),'Detalhe Entregas e Status'!$D$9:$J$81,7,0)),$L$8:$Z$8,0)))</f>
        <v>#N/A</v>
      </c>
      <c r="I55" s="17"/>
      <c r="J55" s="197" t="s">
        <v>291</v>
      </c>
      <c r="K55" s="245" t="s">
        <v>396</v>
      </c>
      <c r="L55" s="245"/>
      <c r="M55" s="245"/>
      <c r="N55" s="245"/>
      <c r="O55" s="245"/>
    </row>
    <row r="56" spans="2:15" ht="15" hidden="1" customHeight="1">
      <c r="B56" s="13" t="s">
        <v>1</v>
      </c>
      <c r="C56" s="13" t="s">
        <v>26</v>
      </c>
      <c r="D56" s="29" t="s">
        <v>93</v>
      </c>
      <c r="E56" s="14" t="s">
        <v>100</v>
      </c>
      <c r="F56" s="14">
        <v>2</v>
      </c>
      <c r="H56" s="165" t="e" cm="1">
        <f t="array" ref="H56">IF(INDEX($K:$Z,ROW(C56),MATCH(IF(VLOOKUP(_xlfn.CONCAT(B56,C56),'Detalhe Entregas e Status'!$D$9:$J$81,7,0)=DATE(2025,5,5),DATE(2025,5,12),VLOOKUP(_xlfn.CONCAT(B56,C56),'Detalhe Entregas e Status'!$D$9:$J$81,7,0)),$L$8:$Z$8,0))="","",INDEX($K:$Z,ROW(C56),MATCH(IF(VLOOKUP(_xlfn.CONCAT(B56,C56),'Detalhe Entregas e Status'!$D$9:$J$81,7,0)=DATE(2025,5,5),DATE(2025,5,12),VLOOKUP(_xlfn.CONCAT(B56,C56),'Detalhe Entregas e Status'!$D$9:$J$81,7,0)),$L$8:$Z$8,0)))</f>
        <v>#N/A</v>
      </c>
      <c r="I56" s="17" t="s">
        <v>362</v>
      </c>
      <c r="J56" s="197" t="s">
        <v>291</v>
      </c>
      <c r="K56" s="245" t="s">
        <v>396</v>
      </c>
      <c r="L56" s="245"/>
      <c r="M56" s="245"/>
      <c r="N56" s="245"/>
      <c r="O56" s="245"/>
    </row>
    <row r="57" spans="2:15" ht="15" hidden="1" customHeight="1">
      <c r="B57" s="13" t="s">
        <v>1</v>
      </c>
      <c r="C57" s="13" t="s">
        <v>26</v>
      </c>
      <c r="D57" s="29" t="s">
        <v>94</v>
      </c>
      <c r="E57" s="14" t="s">
        <v>100</v>
      </c>
      <c r="F57" s="14">
        <v>1</v>
      </c>
      <c r="H57" s="165" t="e" cm="1">
        <f t="array" ref="H57">IF(INDEX($K:$Z,ROW(C57),MATCH(IF(VLOOKUP(_xlfn.CONCAT(B57,C57),'Detalhe Entregas e Status'!$D$9:$J$81,7,0)=DATE(2025,5,5),DATE(2025,5,12),VLOOKUP(_xlfn.CONCAT(B57,C57),'Detalhe Entregas e Status'!$D$9:$J$81,7,0)),$L$8:$Z$8,0))="","",INDEX($K:$Z,ROW(C57),MATCH(IF(VLOOKUP(_xlfn.CONCAT(B57,C57),'Detalhe Entregas e Status'!$D$9:$J$81,7,0)=DATE(2025,5,5),DATE(2025,5,12),VLOOKUP(_xlfn.CONCAT(B57,C57),'Detalhe Entregas e Status'!$D$9:$J$81,7,0)),$L$8:$Z$8,0)))</f>
        <v>#N/A</v>
      </c>
      <c r="I57" s="17"/>
      <c r="J57" s="197" t="s">
        <v>291</v>
      </c>
      <c r="K57" s="245" t="s">
        <v>396</v>
      </c>
      <c r="L57" s="245"/>
      <c r="M57" s="245"/>
      <c r="N57" s="245"/>
      <c r="O57" s="245"/>
    </row>
    <row r="58" spans="2:15" ht="15" hidden="1" customHeight="1">
      <c r="B58" s="13" t="s">
        <v>1</v>
      </c>
      <c r="C58" s="13" t="s">
        <v>27</v>
      </c>
      <c r="D58" s="29" t="s">
        <v>93</v>
      </c>
      <c r="E58" s="14" t="s">
        <v>100</v>
      </c>
      <c r="F58" s="14">
        <v>2</v>
      </c>
      <c r="H58" s="165" t="e" cm="1">
        <f t="array" ref="H58">IF(INDEX($K:$Z,ROW(C58),MATCH(IF(VLOOKUP(_xlfn.CONCAT(B58,C58),'Detalhe Entregas e Status'!$D$9:$J$81,7,0)=DATE(2025,5,5),DATE(2025,5,12),VLOOKUP(_xlfn.CONCAT(B58,C58),'Detalhe Entregas e Status'!$D$9:$J$81,7,0)),$L$8:$Z$8,0))="","",INDEX($K:$Z,ROW(C58),MATCH(IF(VLOOKUP(_xlfn.CONCAT(B58,C58),'Detalhe Entregas e Status'!$D$9:$J$81,7,0)=DATE(2025,5,5),DATE(2025,5,12),VLOOKUP(_xlfn.CONCAT(B58,C58),'Detalhe Entregas e Status'!$D$9:$J$81,7,0)),$L$8:$Z$8,0)))</f>
        <v>#N/A</v>
      </c>
      <c r="I58" s="17" t="s">
        <v>362</v>
      </c>
      <c r="J58" s="197" t="s">
        <v>291</v>
      </c>
      <c r="K58" s="245" t="s">
        <v>396</v>
      </c>
      <c r="L58" s="245"/>
      <c r="M58" s="245"/>
      <c r="N58" s="245"/>
      <c r="O58" s="245"/>
    </row>
    <row r="59" spans="2:15" ht="15" hidden="1" customHeight="1">
      <c r="B59" s="13" t="s">
        <v>1</v>
      </c>
      <c r="C59" s="13" t="s">
        <v>27</v>
      </c>
      <c r="D59" s="29" t="s">
        <v>94</v>
      </c>
      <c r="E59" s="14" t="s">
        <v>100</v>
      </c>
      <c r="F59" s="14">
        <v>1</v>
      </c>
      <c r="H59" s="165" t="e" cm="1">
        <f t="array" ref="H59">IF(INDEX($K:$Z,ROW(C59),MATCH(IF(VLOOKUP(_xlfn.CONCAT(B59,C59),'Detalhe Entregas e Status'!$D$9:$J$81,7,0)=DATE(2025,5,5),DATE(2025,5,12),VLOOKUP(_xlfn.CONCAT(B59,C59),'Detalhe Entregas e Status'!$D$9:$J$81,7,0)),$L$8:$Z$8,0))="","",INDEX($K:$Z,ROW(C59),MATCH(IF(VLOOKUP(_xlfn.CONCAT(B59,C59),'Detalhe Entregas e Status'!$D$9:$J$81,7,0)=DATE(2025,5,5),DATE(2025,5,12),VLOOKUP(_xlfn.CONCAT(B59,C59),'Detalhe Entregas e Status'!$D$9:$J$81,7,0)),$L$8:$Z$8,0)))</f>
        <v>#N/A</v>
      </c>
      <c r="I59" s="17"/>
      <c r="J59" s="197" t="s">
        <v>291</v>
      </c>
      <c r="K59" s="245" t="s">
        <v>396</v>
      </c>
      <c r="L59" s="245"/>
      <c r="M59" s="245"/>
      <c r="N59" s="245"/>
      <c r="O59" s="245"/>
    </row>
    <row r="60" spans="2:15" ht="15" hidden="1" customHeight="1">
      <c r="B60" s="13" t="s">
        <v>1</v>
      </c>
      <c r="C60" s="13" t="s">
        <v>28</v>
      </c>
      <c r="D60" s="29" t="s">
        <v>93</v>
      </c>
      <c r="E60" s="14" t="s">
        <v>100</v>
      </c>
      <c r="F60" s="14">
        <v>2</v>
      </c>
      <c r="H60" s="165" t="e" cm="1">
        <f t="array" ref="H60">IF(INDEX($K:$Z,ROW(C60),MATCH(IF(VLOOKUP(_xlfn.CONCAT(B60,C60),'Detalhe Entregas e Status'!$D$9:$J$81,7,0)=DATE(2025,5,5),DATE(2025,5,12),VLOOKUP(_xlfn.CONCAT(B60,C60),'Detalhe Entregas e Status'!$D$9:$J$81,7,0)),$L$8:$Z$8,0))="","",INDEX($K:$Z,ROW(C60),MATCH(IF(VLOOKUP(_xlfn.CONCAT(B60,C60),'Detalhe Entregas e Status'!$D$9:$J$81,7,0)=DATE(2025,5,5),DATE(2025,5,12),VLOOKUP(_xlfn.CONCAT(B60,C60),'Detalhe Entregas e Status'!$D$9:$J$81,7,0)),$L$8:$Z$8,0)))</f>
        <v>#N/A</v>
      </c>
      <c r="I60" s="17" t="s">
        <v>362</v>
      </c>
      <c r="J60" s="197" t="s">
        <v>291</v>
      </c>
      <c r="K60" s="245" t="s">
        <v>396</v>
      </c>
      <c r="L60" s="245"/>
      <c r="M60" s="245"/>
      <c r="N60" s="245"/>
      <c r="O60" s="245"/>
    </row>
    <row r="61" spans="2:15" ht="15" hidden="1" customHeight="1">
      <c r="B61" s="13" t="s">
        <v>1</v>
      </c>
      <c r="C61" s="13" t="s">
        <v>28</v>
      </c>
      <c r="D61" s="29" t="s">
        <v>94</v>
      </c>
      <c r="E61" s="14" t="s">
        <v>100</v>
      </c>
      <c r="F61" s="14">
        <v>1</v>
      </c>
      <c r="H61" s="165" t="e" cm="1">
        <f t="array" ref="H61">IF(INDEX($K:$Z,ROW(C61),MATCH(IF(VLOOKUP(_xlfn.CONCAT(B61,C61),'Detalhe Entregas e Status'!$D$9:$J$81,7,0)=DATE(2025,5,5),DATE(2025,5,12),VLOOKUP(_xlfn.CONCAT(B61,C61),'Detalhe Entregas e Status'!$D$9:$J$81,7,0)),$L$8:$Z$8,0))="","",INDEX($K:$Z,ROW(C61),MATCH(IF(VLOOKUP(_xlfn.CONCAT(B61,C61),'Detalhe Entregas e Status'!$D$9:$J$81,7,0)=DATE(2025,5,5),DATE(2025,5,12),VLOOKUP(_xlfn.CONCAT(B61,C61),'Detalhe Entregas e Status'!$D$9:$J$81,7,0)),$L$8:$Z$8,0)))</f>
        <v>#N/A</v>
      </c>
      <c r="I61" s="17"/>
      <c r="J61" s="197" t="s">
        <v>291</v>
      </c>
      <c r="K61" s="245" t="s">
        <v>396</v>
      </c>
      <c r="L61" s="245"/>
      <c r="M61" s="245"/>
      <c r="N61" s="245"/>
      <c r="O61" s="245"/>
    </row>
    <row r="62" spans="2:15" ht="15" hidden="1" customHeight="1">
      <c r="B62" s="13" t="s">
        <v>1</v>
      </c>
      <c r="C62" s="13" t="s">
        <v>29</v>
      </c>
      <c r="D62" s="29" t="s">
        <v>93</v>
      </c>
      <c r="E62" s="14" t="s">
        <v>100</v>
      </c>
      <c r="F62" s="14">
        <v>2</v>
      </c>
      <c r="H62" s="165" t="e" cm="1">
        <f t="array" ref="H62">IF(INDEX($K:$Z,ROW(C62),MATCH(IF(VLOOKUP(_xlfn.CONCAT(B62,C62),'Detalhe Entregas e Status'!$D$9:$J$81,7,0)=DATE(2025,5,5),DATE(2025,5,12),VLOOKUP(_xlfn.CONCAT(B62,C62),'Detalhe Entregas e Status'!$D$9:$J$81,7,0)),$L$8:$Z$8,0))="","",INDEX($K:$Z,ROW(C62),MATCH(IF(VLOOKUP(_xlfn.CONCAT(B62,C62),'Detalhe Entregas e Status'!$D$9:$J$81,7,0)=DATE(2025,5,5),DATE(2025,5,12),VLOOKUP(_xlfn.CONCAT(B62,C62),'Detalhe Entregas e Status'!$D$9:$J$81,7,0)),$L$8:$Z$8,0)))</f>
        <v>#N/A</v>
      </c>
      <c r="I62" s="17" t="s">
        <v>362</v>
      </c>
      <c r="J62" s="197" t="s">
        <v>291</v>
      </c>
      <c r="K62" s="245" t="s">
        <v>396</v>
      </c>
      <c r="L62" s="245"/>
      <c r="M62" s="245"/>
      <c r="N62" s="245"/>
      <c r="O62" s="245"/>
    </row>
    <row r="63" spans="2:15" ht="15" hidden="1" customHeight="1">
      <c r="B63" s="13" t="s">
        <v>1</v>
      </c>
      <c r="C63" s="13" t="s">
        <v>29</v>
      </c>
      <c r="D63" s="29" t="s">
        <v>94</v>
      </c>
      <c r="E63" s="14" t="s">
        <v>100</v>
      </c>
      <c r="F63" s="14">
        <v>1</v>
      </c>
      <c r="H63" s="165" t="e" cm="1">
        <f t="array" ref="H63">IF(INDEX($K:$Z,ROW(C63),MATCH(IF(VLOOKUP(_xlfn.CONCAT(B63,C63),'Detalhe Entregas e Status'!$D$9:$J$81,7,0)=DATE(2025,5,5),DATE(2025,5,12),VLOOKUP(_xlfn.CONCAT(B63,C63),'Detalhe Entregas e Status'!$D$9:$J$81,7,0)),$L$8:$Z$8,0))="","",INDEX($K:$Z,ROW(C63),MATCH(IF(VLOOKUP(_xlfn.CONCAT(B63,C63),'Detalhe Entregas e Status'!$D$9:$J$81,7,0)=DATE(2025,5,5),DATE(2025,5,12),VLOOKUP(_xlfn.CONCAT(B63,C63),'Detalhe Entregas e Status'!$D$9:$J$81,7,0)),$L$8:$Z$8,0)))</f>
        <v>#N/A</v>
      </c>
      <c r="I63" s="17"/>
      <c r="J63" s="197" t="s">
        <v>291</v>
      </c>
      <c r="K63" s="245" t="s">
        <v>396</v>
      </c>
      <c r="L63" s="245"/>
      <c r="M63" s="245"/>
      <c r="N63" s="245"/>
      <c r="O63" s="245"/>
    </row>
    <row r="64" spans="2:15" ht="15" hidden="1" customHeight="1">
      <c r="B64" s="13" t="s">
        <v>1</v>
      </c>
      <c r="C64" s="13" t="s">
        <v>30</v>
      </c>
      <c r="D64" s="29" t="s">
        <v>93</v>
      </c>
      <c r="E64" s="14" t="s">
        <v>100</v>
      </c>
      <c r="F64" s="14">
        <v>2</v>
      </c>
      <c r="H64" s="165" t="e" cm="1">
        <f t="array" ref="H64">IF(INDEX($K:$Z,ROW(C64),MATCH(IF(VLOOKUP(_xlfn.CONCAT(B64,C64),'Detalhe Entregas e Status'!$D$9:$J$81,7,0)=DATE(2025,5,5),DATE(2025,5,12),VLOOKUP(_xlfn.CONCAT(B64,C64),'Detalhe Entregas e Status'!$D$9:$J$81,7,0)),$L$8:$Z$8,0))="","",INDEX($K:$Z,ROW(C64),MATCH(IF(VLOOKUP(_xlfn.CONCAT(B64,C64),'Detalhe Entregas e Status'!$D$9:$J$81,7,0)=DATE(2025,5,5),DATE(2025,5,12),VLOOKUP(_xlfn.CONCAT(B64,C64),'Detalhe Entregas e Status'!$D$9:$J$81,7,0)),$L$8:$Z$8,0)))</f>
        <v>#N/A</v>
      </c>
      <c r="I64" s="17" t="s">
        <v>362</v>
      </c>
      <c r="J64" s="197" t="s">
        <v>291</v>
      </c>
      <c r="K64" s="245" t="s">
        <v>396</v>
      </c>
      <c r="L64" s="245"/>
      <c r="M64" s="245"/>
      <c r="N64" s="245"/>
      <c r="O64" s="245"/>
    </row>
    <row r="65" spans="2:15" ht="15" hidden="1" customHeight="1">
      <c r="B65" s="13" t="s">
        <v>1</v>
      </c>
      <c r="C65" s="13" t="s">
        <v>30</v>
      </c>
      <c r="D65" s="29" t="s">
        <v>94</v>
      </c>
      <c r="E65" s="14" t="s">
        <v>100</v>
      </c>
      <c r="F65" s="14">
        <v>1</v>
      </c>
      <c r="H65" s="165" t="e" cm="1">
        <f t="array" ref="H65">IF(INDEX($K:$Z,ROW(C65),MATCH(IF(VLOOKUP(_xlfn.CONCAT(B65,C65),'Detalhe Entregas e Status'!$D$9:$J$81,7,0)=DATE(2025,5,5),DATE(2025,5,12),VLOOKUP(_xlfn.CONCAT(B65,C65),'Detalhe Entregas e Status'!$D$9:$J$81,7,0)),$L$8:$Z$8,0))="","",INDEX($K:$Z,ROW(C65),MATCH(IF(VLOOKUP(_xlfn.CONCAT(B65,C65),'Detalhe Entregas e Status'!$D$9:$J$81,7,0)=DATE(2025,5,5),DATE(2025,5,12),VLOOKUP(_xlfn.CONCAT(B65,C65),'Detalhe Entregas e Status'!$D$9:$J$81,7,0)),$L$8:$Z$8,0)))</f>
        <v>#N/A</v>
      </c>
      <c r="I65" s="17"/>
      <c r="J65" s="197" t="s">
        <v>291</v>
      </c>
      <c r="K65" s="245" t="s">
        <v>396</v>
      </c>
      <c r="L65" s="245"/>
      <c r="M65" s="245"/>
      <c r="N65" s="245"/>
      <c r="O65" s="245"/>
    </row>
    <row r="66" spans="2:15" ht="15" hidden="1" customHeight="1">
      <c r="B66" s="13" t="s">
        <v>1</v>
      </c>
      <c r="C66" s="13" t="s">
        <v>31</v>
      </c>
      <c r="D66" s="29" t="s">
        <v>93</v>
      </c>
      <c r="E66" s="14" t="s">
        <v>100</v>
      </c>
      <c r="F66" s="14">
        <v>2</v>
      </c>
      <c r="H66" s="165" t="e" cm="1">
        <f t="array" ref="H66">IF(INDEX($K:$Z,ROW(C66),MATCH(IF(VLOOKUP(_xlfn.CONCAT(B66,C66),'Detalhe Entregas e Status'!$D$9:$J$81,7,0)=DATE(2025,5,5),DATE(2025,5,12),VLOOKUP(_xlfn.CONCAT(B66,C66),'Detalhe Entregas e Status'!$D$9:$J$81,7,0)),$L$8:$Z$8,0))="","",INDEX($K:$Z,ROW(C66),MATCH(IF(VLOOKUP(_xlfn.CONCAT(B66,C66),'Detalhe Entregas e Status'!$D$9:$J$81,7,0)=DATE(2025,5,5),DATE(2025,5,12),VLOOKUP(_xlfn.CONCAT(B66,C66),'Detalhe Entregas e Status'!$D$9:$J$81,7,0)),$L$8:$Z$8,0)))</f>
        <v>#N/A</v>
      </c>
      <c r="I66" s="17" t="s">
        <v>362</v>
      </c>
      <c r="J66" s="197" t="s">
        <v>291</v>
      </c>
      <c r="K66" s="245" t="s">
        <v>396</v>
      </c>
      <c r="L66" s="245"/>
      <c r="M66" s="245"/>
      <c r="N66" s="245"/>
      <c r="O66" s="245"/>
    </row>
    <row r="67" spans="2:15" ht="15" hidden="1" customHeight="1">
      <c r="B67" s="13" t="s">
        <v>1</v>
      </c>
      <c r="C67" s="13" t="s">
        <v>31</v>
      </c>
      <c r="D67" s="29" t="s">
        <v>94</v>
      </c>
      <c r="E67" s="14" t="s">
        <v>100</v>
      </c>
      <c r="F67" s="14">
        <v>1</v>
      </c>
      <c r="H67" s="165" t="e" cm="1">
        <f t="array" ref="H67">IF(INDEX($K:$Z,ROW(C67),MATCH(IF(VLOOKUP(_xlfn.CONCAT(B67,C67),'Detalhe Entregas e Status'!$D$9:$J$81,7,0)=DATE(2025,5,5),DATE(2025,5,12),VLOOKUP(_xlfn.CONCAT(B67,C67),'Detalhe Entregas e Status'!$D$9:$J$81,7,0)),$L$8:$Z$8,0))="","",INDEX($K:$Z,ROW(C67),MATCH(IF(VLOOKUP(_xlfn.CONCAT(B67,C67),'Detalhe Entregas e Status'!$D$9:$J$81,7,0)=DATE(2025,5,5),DATE(2025,5,12),VLOOKUP(_xlfn.CONCAT(B67,C67),'Detalhe Entregas e Status'!$D$9:$J$81,7,0)),$L$8:$Z$8,0)))</f>
        <v>#N/A</v>
      </c>
      <c r="I67" s="17"/>
      <c r="J67" s="197" t="s">
        <v>291</v>
      </c>
      <c r="K67" s="245" t="s">
        <v>396</v>
      </c>
      <c r="L67" s="245"/>
      <c r="M67" s="245"/>
      <c r="N67" s="245"/>
      <c r="O67" s="245"/>
    </row>
    <row r="68" spans="2:15" ht="15" hidden="1" customHeight="1">
      <c r="B68" s="13" t="s">
        <v>1</v>
      </c>
      <c r="C68" s="13" t="s">
        <v>32</v>
      </c>
      <c r="D68" s="29" t="s">
        <v>93</v>
      </c>
      <c r="E68" s="14" t="s">
        <v>100</v>
      </c>
      <c r="F68" s="14">
        <v>2</v>
      </c>
      <c r="H68" s="165" t="e" cm="1">
        <f t="array" ref="H68">IF(INDEX($K:$Z,ROW(C68),MATCH(IF(VLOOKUP(_xlfn.CONCAT(B68,C68),'Detalhe Entregas e Status'!$D$9:$J$81,7,0)=DATE(2025,5,5),DATE(2025,5,12),VLOOKUP(_xlfn.CONCAT(B68,C68),'Detalhe Entregas e Status'!$D$9:$J$81,7,0)),$L$8:$Z$8,0))="","",INDEX($K:$Z,ROW(C68),MATCH(IF(VLOOKUP(_xlfn.CONCAT(B68,C68),'Detalhe Entregas e Status'!$D$9:$J$81,7,0)=DATE(2025,5,5),DATE(2025,5,12),VLOOKUP(_xlfn.CONCAT(B68,C68),'Detalhe Entregas e Status'!$D$9:$J$81,7,0)),$L$8:$Z$8,0)))</f>
        <v>#N/A</v>
      </c>
      <c r="I68" s="17" t="s">
        <v>362</v>
      </c>
      <c r="J68" s="197" t="s">
        <v>291</v>
      </c>
      <c r="K68" s="245" t="s">
        <v>396</v>
      </c>
      <c r="L68" s="245"/>
      <c r="M68" s="245"/>
      <c r="N68" s="245"/>
      <c r="O68" s="245"/>
    </row>
    <row r="69" spans="2:15" ht="15" hidden="1" customHeight="1">
      <c r="B69" s="13" t="s">
        <v>1</v>
      </c>
      <c r="C69" s="13" t="s">
        <v>32</v>
      </c>
      <c r="D69" s="29" t="s">
        <v>94</v>
      </c>
      <c r="E69" s="14" t="s">
        <v>100</v>
      </c>
      <c r="F69" s="14">
        <v>1</v>
      </c>
      <c r="H69" s="165" t="e" cm="1">
        <f t="array" ref="H69">IF(INDEX($K:$Z,ROW(C69),MATCH(IF(VLOOKUP(_xlfn.CONCAT(B69,C69),'Detalhe Entregas e Status'!$D$9:$J$81,7,0)=DATE(2025,5,5),DATE(2025,5,12),VLOOKUP(_xlfn.CONCAT(B69,C69),'Detalhe Entregas e Status'!$D$9:$J$81,7,0)),$L$8:$Z$8,0))="","",INDEX($K:$Z,ROW(C69),MATCH(IF(VLOOKUP(_xlfn.CONCAT(B69,C69),'Detalhe Entregas e Status'!$D$9:$J$81,7,0)=DATE(2025,5,5),DATE(2025,5,12),VLOOKUP(_xlfn.CONCAT(B69,C69),'Detalhe Entregas e Status'!$D$9:$J$81,7,0)),$L$8:$Z$8,0)))</f>
        <v>#N/A</v>
      </c>
      <c r="I69" s="17"/>
      <c r="J69" s="197" t="s">
        <v>291</v>
      </c>
      <c r="K69" s="245" t="s">
        <v>396</v>
      </c>
      <c r="L69" s="245"/>
      <c r="M69" s="245"/>
      <c r="N69" s="245"/>
      <c r="O69" s="245"/>
    </row>
    <row r="70" spans="2:15" ht="15" hidden="1" customHeight="1">
      <c r="B70" s="13" t="s">
        <v>1</v>
      </c>
      <c r="C70" s="13" t="s">
        <v>52</v>
      </c>
      <c r="D70" s="29" t="s">
        <v>93</v>
      </c>
      <c r="E70" s="14" t="s">
        <v>98</v>
      </c>
      <c r="F70" s="14">
        <v>8</v>
      </c>
      <c r="H70" s="165" t="e" cm="1">
        <f t="array" ref="H70">IF(INDEX($K:$Z,ROW(C70),MATCH(IF(VLOOKUP(_xlfn.CONCAT(B70,C70),'Detalhe Entregas e Status'!$D$9:$J$81,7,0)=DATE(2025,5,5),DATE(2025,5,12),VLOOKUP(_xlfn.CONCAT(B70,C70),'Detalhe Entregas e Status'!$D$9:$J$81,7,0)),$L$8:$Z$8,0))="","",INDEX($K:$Z,ROW(C70),MATCH(IF(VLOOKUP(_xlfn.CONCAT(B70,C70),'Detalhe Entregas e Status'!$D$9:$J$81,7,0)=DATE(2025,5,5),DATE(2025,5,12),VLOOKUP(_xlfn.CONCAT(B70,C70),'Detalhe Entregas e Status'!$D$9:$J$81,7,0)),$L$8:$Z$8,0)))</f>
        <v>#N/A</v>
      </c>
      <c r="I70" s="17" t="s">
        <v>363</v>
      </c>
      <c r="J70" s="197" t="s">
        <v>291</v>
      </c>
      <c r="K70" s="245" t="s">
        <v>397</v>
      </c>
      <c r="L70" s="245"/>
      <c r="M70" s="245"/>
      <c r="N70" s="245"/>
      <c r="O70" s="245"/>
    </row>
    <row r="71" spans="2:15" ht="15" hidden="1" customHeight="1">
      <c r="B71" s="13" t="s">
        <v>1</v>
      </c>
      <c r="C71" s="13" t="s">
        <v>52</v>
      </c>
      <c r="D71" s="29" t="s">
        <v>94</v>
      </c>
      <c r="E71" s="14" t="s">
        <v>100</v>
      </c>
      <c r="F71" s="14">
        <v>1</v>
      </c>
      <c r="H71" s="165" t="e" cm="1">
        <f t="array" ref="H71">IF(INDEX($K:$Z,ROW(C71),MATCH(IF(VLOOKUP(_xlfn.CONCAT(B71,C71),'Detalhe Entregas e Status'!$D$9:$J$81,7,0)=DATE(2025,5,5),DATE(2025,5,12),VLOOKUP(_xlfn.CONCAT(B71,C71),'Detalhe Entregas e Status'!$D$9:$J$81,7,0)),$L$8:$Z$8,0))="","",INDEX($K:$Z,ROW(C71),MATCH(IF(VLOOKUP(_xlfn.CONCAT(B71,C71),'Detalhe Entregas e Status'!$D$9:$J$81,7,0)=DATE(2025,5,5),DATE(2025,5,12),VLOOKUP(_xlfn.CONCAT(B71,C71),'Detalhe Entregas e Status'!$D$9:$J$81,7,0)),$L$8:$Z$8,0)))</f>
        <v>#N/A</v>
      </c>
      <c r="I71" s="17"/>
      <c r="J71" s="197" t="s">
        <v>291</v>
      </c>
      <c r="K71" s="245" t="s">
        <v>397</v>
      </c>
      <c r="L71" s="245"/>
      <c r="M71" s="245"/>
      <c r="N71" s="245"/>
      <c r="O71" s="245"/>
    </row>
    <row r="72" spans="2:15" ht="15" hidden="1" customHeight="1">
      <c r="B72" s="13" t="s">
        <v>1</v>
      </c>
      <c r="C72" s="13" t="s">
        <v>52</v>
      </c>
      <c r="D72" s="29" t="s">
        <v>96</v>
      </c>
      <c r="E72" s="14" t="s">
        <v>98</v>
      </c>
      <c r="F72" s="14">
        <v>2</v>
      </c>
      <c r="H72" s="165" t="e" cm="1">
        <f t="array" ref="H72">IF(INDEX($K:$Z,ROW(C72),MATCH(IF(VLOOKUP(_xlfn.CONCAT(B72,C72),'Detalhe Entregas e Status'!$D$9:$J$81,7,0)=DATE(2025,5,5),DATE(2025,5,12),VLOOKUP(_xlfn.CONCAT(B72,C72),'Detalhe Entregas e Status'!$D$9:$J$81,7,0)),$L$8:$Z$8,0))="","",INDEX($K:$Z,ROW(C72),MATCH(IF(VLOOKUP(_xlfn.CONCAT(B72,C72),'Detalhe Entregas e Status'!$D$9:$J$81,7,0)=DATE(2025,5,5),DATE(2025,5,12),VLOOKUP(_xlfn.CONCAT(B72,C72),'Detalhe Entregas e Status'!$D$9:$J$81,7,0)),$L$8:$Z$8,0)))</f>
        <v>#N/A</v>
      </c>
      <c r="I72" s="17"/>
      <c r="J72" s="197" t="s">
        <v>291</v>
      </c>
      <c r="K72" s="245" t="s">
        <v>397</v>
      </c>
      <c r="L72" s="245"/>
      <c r="M72" s="245"/>
      <c r="N72" s="245"/>
      <c r="O72" s="245"/>
    </row>
    <row r="73" spans="2:15" ht="15" hidden="1" customHeight="1">
      <c r="B73" s="13" t="s">
        <v>1</v>
      </c>
      <c r="C73" s="13" t="s">
        <v>53</v>
      </c>
      <c r="D73" s="29" t="s">
        <v>93</v>
      </c>
      <c r="E73" s="14" t="s">
        <v>98</v>
      </c>
      <c r="F73" s="14">
        <v>8</v>
      </c>
      <c r="H73" s="165" t="e" cm="1">
        <f t="array" ref="H73">IF(INDEX($K:$Z,ROW(C73),MATCH(IF(VLOOKUP(_xlfn.CONCAT(B73,C73),'Detalhe Entregas e Status'!$D$9:$J$81,7,0)=DATE(2025,5,5),DATE(2025,5,12),VLOOKUP(_xlfn.CONCAT(B73,C73),'Detalhe Entregas e Status'!$D$9:$J$81,7,0)),$L$8:$Z$8,0))="","",INDEX($K:$Z,ROW(C73),MATCH(IF(VLOOKUP(_xlfn.CONCAT(B73,C73),'Detalhe Entregas e Status'!$D$9:$J$81,7,0)=DATE(2025,5,5),DATE(2025,5,12),VLOOKUP(_xlfn.CONCAT(B73,C73),'Detalhe Entregas e Status'!$D$9:$J$81,7,0)),$L$8:$Z$8,0)))</f>
        <v>#N/A</v>
      </c>
      <c r="I73" s="17" t="s">
        <v>282</v>
      </c>
      <c r="J73" s="197" t="s">
        <v>291</v>
      </c>
      <c r="K73" s="245" t="s">
        <v>397</v>
      </c>
      <c r="L73" s="245" t="s">
        <v>396</v>
      </c>
      <c r="M73" s="245"/>
      <c r="N73" s="245"/>
      <c r="O73" s="245"/>
    </row>
    <row r="74" spans="2:15" ht="15" hidden="1" customHeight="1">
      <c r="B74" s="13" t="s">
        <v>1</v>
      </c>
      <c r="C74" s="13" t="s">
        <v>53</v>
      </c>
      <c r="D74" s="29" t="s">
        <v>95</v>
      </c>
      <c r="E74" s="14" t="s">
        <v>100</v>
      </c>
      <c r="F74" s="14">
        <v>2</v>
      </c>
      <c r="H74" s="165" t="e" cm="1">
        <f t="array" ref="H74">IF(INDEX($K:$Z,ROW(C74),MATCH(IF(VLOOKUP(_xlfn.CONCAT(B74,C74),'Detalhe Entregas e Status'!$D$9:$J$81,7,0)=DATE(2025,5,5),DATE(2025,5,12),VLOOKUP(_xlfn.CONCAT(B74,C74),'Detalhe Entregas e Status'!$D$9:$J$81,7,0)),$L$8:$Z$8,0))="","",INDEX($K:$Z,ROW(C74),MATCH(IF(VLOOKUP(_xlfn.CONCAT(B74,C74),'Detalhe Entregas e Status'!$D$9:$J$81,7,0)=DATE(2025,5,5),DATE(2025,5,12),VLOOKUP(_xlfn.CONCAT(B74,C74),'Detalhe Entregas e Status'!$D$9:$J$81,7,0)),$L$8:$Z$8,0)))</f>
        <v>#N/A</v>
      </c>
      <c r="I74" s="17"/>
      <c r="J74" s="197" t="s">
        <v>291</v>
      </c>
      <c r="K74" s="245" t="s">
        <v>397</v>
      </c>
      <c r="L74" s="245" t="s">
        <v>396</v>
      </c>
      <c r="M74" s="245"/>
      <c r="N74" s="245"/>
      <c r="O74" s="245"/>
    </row>
    <row r="75" spans="2:15" ht="15" hidden="1" customHeight="1">
      <c r="B75" s="13" t="s">
        <v>1</v>
      </c>
      <c r="C75" s="13" t="s">
        <v>53</v>
      </c>
      <c r="D75" s="29" t="s">
        <v>94</v>
      </c>
      <c r="E75" s="14" t="s">
        <v>100</v>
      </c>
      <c r="F75" s="14">
        <v>1</v>
      </c>
      <c r="H75" s="165" t="e" cm="1">
        <f t="array" ref="H75">IF(INDEX($K:$Z,ROW(C75),MATCH(IF(VLOOKUP(_xlfn.CONCAT(B75,C75),'Detalhe Entregas e Status'!$D$9:$J$81,7,0)=DATE(2025,5,5),DATE(2025,5,12),VLOOKUP(_xlfn.CONCAT(B75,C75),'Detalhe Entregas e Status'!$D$9:$J$81,7,0)),$L$8:$Z$8,0))="","",INDEX($K:$Z,ROW(C75),MATCH(IF(VLOOKUP(_xlfn.CONCAT(B75,C75),'Detalhe Entregas e Status'!$D$9:$J$81,7,0)=DATE(2025,5,5),DATE(2025,5,12),VLOOKUP(_xlfn.CONCAT(B75,C75),'Detalhe Entregas e Status'!$D$9:$J$81,7,0)),$L$8:$Z$8,0)))</f>
        <v>#N/A</v>
      </c>
      <c r="I75" s="17"/>
      <c r="J75" s="197" t="s">
        <v>291</v>
      </c>
      <c r="K75" s="245" t="s">
        <v>397</v>
      </c>
      <c r="L75" s="245" t="s">
        <v>396</v>
      </c>
      <c r="M75" s="245"/>
      <c r="N75" s="245"/>
      <c r="O75" s="245"/>
    </row>
    <row r="76" spans="2:15" ht="15" hidden="1" customHeight="1">
      <c r="B76" s="13" t="s">
        <v>1</v>
      </c>
      <c r="C76" s="13" t="s">
        <v>33</v>
      </c>
      <c r="D76" s="29" t="s">
        <v>96</v>
      </c>
      <c r="E76" s="14" t="s">
        <v>100</v>
      </c>
      <c r="F76" s="14">
        <v>2</v>
      </c>
      <c r="H76" s="165" t="e" cm="1">
        <f t="array" ref="H76">IF(INDEX($K:$Z,ROW(C76),MATCH(IF(VLOOKUP(_xlfn.CONCAT(B76,C76),'Detalhe Entregas e Status'!$D$9:$J$81,7,0)=DATE(2025,5,5),DATE(2025,5,12),VLOOKUP(_xlfn.CONCAT(B76,C76),'Detalhe Entregas e Status'!$D$9:$J$81,7,0)),$L$8:$Z$8,0))="","",INDEX($K:$Z,ROW(C76),MATCH(IF(VLOOKUP(_xlfn.CONCAT(B76,C76),'Detalhe Entregas e Status'!$D$9:$J$81,7,0)=DATE(2025,5,5),DATE(2025,5,12),VLOOKUP(_xlfn.CONCAT(B76,C76),'Detalhe Entregas e Status'!$D$9:$J$81,7,0)),$L$8:$Z$8,0)))</f>
        <v>#N/A</v>
      </c>
      <c r="I76" s="17" t="s">
        <v>359</v>
      </c>
      <c r="J76" s="197" t="s">
        <v>291</v>
      </c>
      <c r="K76" s="245" t="s">
        <v>397</v>
      </c>
      <c r="L76" s="245" t="s">
        <v>396</v>
      </c>
      <c r="M76" s="245"/>
      <c r="N76" s="245"/>
      <c r="O76" s="245"/>
    </row>
    <row r="77" spans="2:15" ht="15" hidden="1" customHeight="1">
      <c r="B77" s="13" t="s">
        <v>1</v>
      </c>
      <c r="C77" s="13" t="s">
        <v>33</v>
      </c>
      <c r="D77" s="29" t="s">
        <v>94</v>
      </c>
      <c r="E77" s="14" t="s">
        <v>100</v>
      </c>
      <c r="F77" s="14">
        <v>1</v>
      </c>
      <c r="H77" s="165" t="e" cm="1">
        <f t="array" ref="H77">IF(INDEX($K:$Z,ROW(C77),MATCH(IF(VLOOKUP(_xlfn.CONCAT(B77,C77),'Detalhe Entregas e Status'!$D$9:$J$81,7,0)=DATE(2025,5,5),DATE(2025,5,12),VLOOKUP(_xlfn.CONCAT(B77,C77),'Detalhe Entregas e Status'!$D$9:$J$81,7,0)),$L$8:$Z$8,0))="","",INDEX($K:$Z,ROW(C77),MATCH(IF(VLOOKUP(_xlfn.CONCAT(B77,C77),'Detalhe Entregas e Status'!$D$9:$J$81,7,0)=DATE(2025,5,5),DATE(2025,5,12),VLOOKUP(_xlfn.CONCAT(B77,C77),'Detalhe Entregas e Status'!$D$9:$J$81,7,0)),$L$8:$Z$8,0)))</f>
        <v>#N/A</v>
      </c>
      <c r="I77" s="17"/>
      <c r="J77" s="197" t="s">
        <v>291</v>
      </c>
      <c r="K77" s="245" t="s">
        <v>397</v>
      </c>
      <c r="L77" s="245" t="s">
        <v>396</v>
      </c>
      <c r="M77" s="245"/>
      <c r="N77" s="245"/>
      <c r="O77" s="245"/>
    </row>
    <row r="78" spans="2:15" ht="15" hidden="1" customHeight="1">
      <c r="B78" s="13" t="s">
        <v>1</v>
      </c>
      <c r="C78" s="13" t="s">
        <v>34</v>
      </c>
      <c r="D78" s="29" t="s">
        <v>96</v>
      </c>
      <c r="E78" s="14" t="s">
        <v>100</v>
      </c>
      <c r="F78" s="14">
        <v>2</v>
      </c>
      <c r="H78" s="165" t="e" cm="1">
        <f t="array" ref="H78">IF(INDEX($K:$Z,ROW(C78),MATCH(IF(VLOOKUP(_xlfn.CONCAT(B78,C78),'Detalhe Entregas e Status'!$D$9:$J$81,7,0)=DATE(2025,5,5),DATE(2025,5,12),VLOOKUP(_xlfn.CONCAT(B78,C78),'Detalhe Entregas e Status'!$D$9:$J$81,7,0)),$L$8:$Z$8,0))="","",INDEX($K:$Z,ROW(C78),MATCH(IF(VLOOKUP(_xlfn.CONCAT(B78,C78),'Detalhe Entregas e Status'!$D$9:$J$81,7,0)=DATE(2025,5,5),DATE(2025,5,12),VLOOKUP(_xlfn.CONCAT(B78,C78),'Detalhe Entregas e Status'!$D$9:$J$81,7,0)),$L$8:$Z$8,0)))</f>
        <v>#N/A</v>
      </c>
      <c r="I78" s="17" t="s">
        <v>359</v>
      </c>
      <c r="J78" s="197" t="s">
        <v>291</v>
      </c>
      <c r="K78" s="245" t="s">
        <v>397</v>
      </c>
      <c r="L78" s="245" t="s">
        <v>397</v>
      </c>
      <c r="M78" s="245"/>
      <c r="N78" s="245"/>
      <c r="O78" s="245"/>
    </row>
    <row r="79" spans="2:15" ht="15" hidden="1" customHeight="1">
      <c r="B79" s="13" t="s">
        <v>1</v>
      </c>
      <c r="C79" s="13" t="s">
        <v>34</v>
      </c>
      <c r="D79" s="29" t="s">
        <v>94</v>
      </c>
      <c r="E79" s="14" t="s">
        <v>100</v>
      </c>
      <c r="F79" s="14">
        <v>1</v>
      </c>
      <c r="H79" s="165" t="e" cm="1">
        <f t="array" ref="H79">IF(INDEX($K:$Z,ROW(C79),MATCH(IF(VLOOKUP(_xlfn.CONCAT(B79,C79),'Detalhe Entregas e Status'!$D$9:$J$81,7,0)=DATE(2025,5,5),DATE(2025,5,12),VLOOKUP(_xlfn.CONCAT(B79,C79),'Detalhe Entregas e Status'!$D$9:$J$81,7,0)),$L$8:$Z$8,0))="","",INDEX($K:$Z,ROW(C79),MATCH(IF(VLOOKUP(_xlfn.CONCAT(B79,C79),'Detalhe Entregas e Status'!$D$9:$J$81,7,0)=DATE(2025,5,5),DATE(2025,5,12),VLOOKUP(_xlfn.CONCAT(B79,C79),'Detalhe Entregas e Status'!$D$9:$J$81,7,0)),$L$8:$Z$8,0)))</f>
        <v>#N/A</v>
      </c>
      <c r="I79" s="17"/>
      <c r="J79" s="197" t="s">
        <v>291</v>
      </c>
      <c r="K79" s="245" t="s">
        <v>397</v>
      </c>
      <c r="L79" s="245" t="s">
        <v>397</v>
      </c>
      <c r="M79" s="245"/>
      <c r="N79" s="245"/>
      <c r="O79" s="245"/>
    </row>
    <row r="80" spans="2:15" ht="15" hidden="1" customHeight="1">
      <c r="B80" s="13" t="s">
        <v>1</v>
      </c>
      <c r="C80" s="13" t="s">
        <v>35</v>
      </c>
      <c r="D80" s="29" t="s">
        <v>96</v>
      </c>
      <c r="E80" s="14" t="s">
        <v>100</v>
      </c>
      <c r="F80" s="14">
        <v>2</v>
      </c>
      <c r="H80" s="165" t="e" cm="1">
        <f t="array" ref="H80">IF(INDEX($K:$Z,ROW(C80),MATCH(IF(VLOOKUP(_xlfn.CONCAT(B80,C80),'Detalhe Entregas e Status'!$D$9:$J$81,7,0)=DATE(2025,5,5),DATE(2025,5,12),VLOOKUP(_xlfn.CONCAT(B80,C80),'Detalhe Entregas e Status'!$D$9:$J$81,7,0)),$L$8:$Z$8,0))="","",INDEX($K:$Z,ROW(C80),MATCH(IF(VLOOKUP(_xlfn.CONCAT(B80,C80),'Detalhe Entregas e Status'!$D$9:$J$81,7,0)=DATE(2025,5,5),DATE(2025,5,12),VLOOKUP(_xlfn.CONCAT(B80,C80),'Detalhe Entregas e Status'!$D$9:$J$81,7,0)),$L$8:$Z$8,0)))</f>
        <v>#N/A</v>
      </c>
      <c r="I80" s="17" t="s">
        <v>359</v>
      </c>
      <c r="J80" s="197" t="s">
        <v>291</v>
      </c>
      <c r="K80" s="245" t="s">
        <v>397</v>
      </c>
      <c r="L80" s="245"/>
      <c r="M80" s="245"/>
      <c r="N80" s="245" t="s">
        <v>397</v>
      </c>
      <c r="O80" s="245"/>
    </row>
    <row r="81" spans="2:15" ht="15" hidden="1" customHeight="1">
      <c r="B81" s="13" t="s">
        <v>1</v>
      </c>
      <c r="C81" s="13" t="s">
        <v>35</v>
      </c>
      <c r="D81" s="29" t="s">
        <v>94</v>
      </c>
      <c r="E81" s="14" t="s">
        <v>100</v>
      </c>
      <c r="F81" s="14">
        <v>1</v>
      </c>
      <c r="H81" s="165" t="e" cm="1">
        <f t="array" ref="H81">IF(INDEX($K:$Z,ROW(C81),MATCH(IF(VLOOKUP(_xlfn.CONCAT(B81,C81),'Detalhe Entregas e Status'!$D$9:$J$81,7,0)=DATE(2025,5,5),DATE(2025,5,12),VLOOKUP(_xlfn.CONCAT(B81,C81),'Detalhe Entregas e Status'!$D$9:$J$81,7,0)),$L$8:$Z$8,0))="","",INDEX($K:$Z,ROW(C81),MATCH(IF(VLOOKUP(_xlfn.CONCAT(B81,C81),'Detalhe Entregas e Status'!$D$9:$J$81,7,0)=DATE(2025,5,5),DATE(2025,5,12),VLOOKUP(_xlfn.CONCAT(B81,C81),'Detalhe Entregas e Status'!$D$9:$J$81,7,0)),$L$8:$Z$8,0)))</f>
        <v>#N/A</v>
      </c>
      <c r="I81" s="17"/>
      <c r="J81" s="197" t="s">
        <v>291</v>
      </c>
      <c r="K81" s="245" t="s">
        <v>397</v>
      </c>
      <c r="L81" s="245"/>
      <c r="M81" s="245"/>
      <c r="N81" s="245" t="s">
        <v>396</v>
      </c>
      <c r="O81" s="245"/>
    </row>
    <row r="82" spans="2:15" ht="15" hidden="1" customHeight="1">
      <c r="B82" s="13" t="s">
        <v>1</v>
      </c>
      <c r="C82" s="13" t="s">
        <v>36</v>
      </c>
      <c r="D82" s="29" t="s">
        <v>96</v>
      </c>
      <c r="E82" s="14" t="s">
        <v>100</v>
      </c>
      <c r="F82" s="14">
        <v>2</v>
      </c>
      <c r="H82" s="165" t="e" cm="1">
        <f t="array" ref="H82">IF(INDEX($K:$Z,ROW(C82),MATCH(IF(VLOOKUP(_xlfn.CONCAT(B82,C82),'Detalhe Entregas e Status'!$D$9:$J$81,7,0)=DATE(2025,5,5),DATE(2025,5,12),VLOOKUP(_xlfn.CONCAT(B82,C82),'Detalhe Entregas e Status'!$D$9:$J$81,7,0)),$L$8:$Z$8,0))="","",INDEX($K:$Z,ROW(C82),MATCH(IF(VLOOKUP(_xlfn.CONCAT(B82,C82),'Detalhe Entregas e Status'!$D$9:$J$81,7,0)=DATE(2025,5,5),DATE(2025,5,12),VLOOKUP(_xlfn.CONCAT(B82,C82),'Detalhe Entregas e Status'!$D$9:$J$81,7,0)),$L$8:$Z$8,0)))</f>
        <v>#N/A</v>
      </c>
      <c r="I82" s="17" t="s">
        <v>359</v>
      </c>
      <c r="J82" s="197" t="s">
        <v>291</v>
      </c>
      <c r="K82" s="245" t="s">
        <v>396</v>
      </c>
      <c r="L82" s="245"/>
      <c r="M82" s="245"/>
      <c r="N82" s="245"/>
      <c r="O82" s="245"/>
    </row>
    <row r="83" spans="2:15" ht="15" hidden="1" customHeight="1">
      <c r="B83" s="13" t="s">
        <v>1</v>
      </c>
      <c r="C83" s="13" t="s">
        <v>36</v>
      </c>
      <c r="D83" s="29" t="s">
        <v>94</v>
      </c>
      <c r="E83" s="14" t="s">
        <v>100</v>
      </c>
      <c r="F83" s="14">
        <v>1</v>
      </c>
      <c r="H83" s="165" t="e" cm="1">
        <f t="array" ref="H83">IF(INDEX($K:$Z,ROW(C83),MATCH(IF(VLOOKUP(_xlfn.CONCAT(B83,C83),'Detalhe Entregas e Status'!$D$9:$J$81,7,0)=DATE(2025,5,5),DATE(2025,5,12),VLOOKUP(_xlfn.CONCAT(B83,C83),'Detalhe Entregas e Status'!$D$9:$J$81,7,0)),$L$8:$Z$8,0))="","",INDEX($K:$Z,ROW(C83),MATCH(IF(VLOOKUP(_xlfn.CONCAT(B83,C83),'Detalhe Entregas e Status'!$D$9:$J$81,7,0)=DATE(2025,5,5),DATE(2025,5,12),VLOOKUP(_xlfn.CONCAT(B83,C83),'Detalhe Entregas e Status'!$D$9:$J$81,7,0)),$L$8:$Z$8,0)))</f>
        <v>#N/A</v>
      </c>
      <c r="I83" s="17"/>
      <c r="J83" s="197" t="s">
        <v>291</v>
      </c>
      <c r="K83" s="245" t="s">
        <v>396</v>
      </c>
      <c r="L83" s="245"/>
      <c r="M83" s="245"/>
      <c r="N83" s="245"/>
      <c r="O83" s="245"/>
    </row>
    <row r="84" spans="2:15" ht="15" hidden="1" customHeight="1">
      <c r="B84" s="13" t="s">
        <v>1</v>
      </c>
      <c r="C84" s="13" t="s">
        <v>37</v>
      </c>
      <c r="D84" s="29" t="s">
        <v>96</v>
      </c>
      <c r="E84" s="14" t="s">
        <v>100</v>
      </c>
      <c r="F84" s="14">
        <v>2</v>
      </c>
      <c r="H84" s="165" t="e" cm="1">
        <f t="array" ref="H84">IF(INDEX($K:$Z,ROW(C84),MATCH(IF(VLOOKUP(_xlfn.CONCAT(B84,C84),'Detalhe Entregas e Status'!$D$9:$J$81,7,0)=DATE(2025,5,5),DATE(2025,5,12),VLOOKUP(_xlfn.CONCAT(B84,C84),'Detalhe Entregas e Status'!$D$9:$J$81,7,0)),$L$8:$Z$8,0))="","",INDEX($K:$Z,ROW(C84),MATCH(IF(VLOOKUP(_xlfn.CONCAT(B84,C84),'Detalhe Entregas e Status'!$D$9:$J$81,7,0)=DATE(2025,5,5),DATE(2025,5,12),VLOOKUP(_xlfn.CONCAT(B84,C84),'Detalhe Entregas e Status'!$D$9:$J$81,7,0)),$L$8:$Z$8,0)))</f>
        <v>#N/A</v>
      </c>
      <c r="I84" s="17" t="s">
        <v>359</v>
      </c>
      <c r="J84" s="197" t="s">
        <v>291</v>
      </c>
      <c r="K84" s="245" t="s">
        <v>397</v>
      </c>
      <c r="L84" s="245"/>
      <c r="M84" s="245"/>
      <c r="N84" s="245"/>
      <c r="O84" s="245"/>
    </row>
    <row r="85" spans="2:15" ht="15" hidden="1" customHeight="1">
      <c r="B85" s="13" t="s">
        <v>1</v>
      </c>
      <c r="C85" s="13" t="s">
        <v>37</v>
      </c>
      <c r="D85" s="29" t="s">
        <v>94</v>
      </c>
      <c r="E85" s="14" t="s">
        <v>100</v>
      </c>
      <c r="F85" s="14">
        <v>1</v>
      </c>
      <c r="H85" s="165" t="e" cm="1">
        <f t="array" ref="H85">IF(INDEX($K:$Z,ROW(C85),MATCH(IF(VLOOKUP(_xlfn.CONCAT(B85,C85),'Detalhe Entregas e Status'!$D$9:$J$81,7,0)=DATE(2025,5,5),DATE(2025,5,12),VLOOKUP(_xlfn.CONCAT(B85,C85),'Detalhe Entregas e Status'!$D$9:$J$81,7,0)),$L$8:$Z$8,0))="","",INDEX($K:$Z,ROW(C85),MATCH(IF(VLOOKUP(_xlfn.CONCAT(B85,C85),'Detalhe Entregas e Status'!$D$9:$J$81,7,0)=DATE(2025,5,5),DATE(2025,5,12),VLOOKUP(_xlfn.CONCAT(B85,C85),'Detalhe Entregas e Status'!$D$9:$J$81,7,0)),$L$8:$Z$8,0)))</f>
        <v>#N/A</v>
      </c>
      <c r="I85" s="17"/>
      <c r="J85" s="197" t="s">
        <v>291</v>
      </c>
      <c r="K85" s="245" t="s">
        <v>397</v>
      </c>
      <c r="L85" s="245"/>
      <c r="M85" s="245"/>
      <c r="N85" s="245"/>
      <c r="O85" s="245"/>
    </row>
    <row r="86" spans="2:15" ht="15" hidden="1" customHeight="1">
      <c r="B86" s="13" t="s">
        <v>1</v>
      </c>
      <c r="C86" s="13" t="s">
        <v>38</v>
      </c>
      <c r="D86" s="29" t="s">
        <v>96</v>
      </c>
      <c r="E86" s="14" t="s">
        <v>100</v>
      </c>
      <c r="F86" s="14">
        <v>2</v>
      </c>
      <c r="H86" s="165" t="e" cm="1">
        <f t="array" ref="H86">IF(INDEX($K:$Z,ROW(C86),MATCH(IF(VLOOKUP(_xlfn.CONCAT(B86,C86),'Detalhe Entregas e Status'!$D$9:$J$81,7,0)=DATE(2025,5,5),DATE(2025,5,12),VLOOKUP(_xlfn.CONCAT(B86,C86),'Detalhe Entregas e Status'!$D$9:$J$81,7,0)),$L$8:$Z$8,0))="","",INDEX($K:$Z,ROW(C86),MATCH(IF(VLOOKUP(_xlfn.CONCAT(B86,C86),'Detalhe Entregas e Status'!$D$9:$J$81,7,0)=DATE(2025,5,5),DATE(2025,5,12),VLOOKUP(_xlfn.CONCAT(B86,C86),'Detalhe Entregas e Status'!$D$9:$J$81,7,0)),$L$8:$Z$8,0)))</f>
        <v>#N/A</v>
      </c>
      <c r="I86" s="17" t="s">
        <v>362</v>
      </c>
      <c r="J86" s="197" t="s">
        <v>291</v>
      </c>
      <c r="K86" s="245" t="s">
        <v>396</v>
      </c>
      <c r="L86" s="245"/>
      <c r="M86" s="245"/>
      <c r="N86" s="245"/>
      <c r="O86" s="245"/>
    </row>
    <row r="87" spans="2:15" ht="15" hidden="1" customHeight="1">
      <c r="B87" s="13" t="s">
        <v>1</v>
      </c>
      <c r="C87" s="13" t="s">
        <v>38</v>
      </c>
      <c r="D87" s="29" t="s">
        <v>94</v>
      </c>
      <c r="E87" s="14" t="s">
        <v>100</v>
      </c>
      <c r="F87" s="14">
        <v>1</v>
      </c>
      <c r="H87" s="165" t="e" cm="1">
        <f t="array" ref="H87">IF(INDEX($K:$Z,ROW(C87),MATCH(IF(VLOOKUP(_xlfn.CONCAT(B87,C87),'Detalhe Entregas e Status'!$D$9:$J$81,7,0)=DATE(2025,5,5),DATE(2025,5,12),VLOOKUP(_xlfn.CONCAT(B87,C87),'Detalhe Entregas e Status'!$D$9:$J$81,7,0)),$L$8:$Z$8,0))="","",INDEX($K:$Z,ROW(C87),MATCH(IF(VLOOKUP(_xlfn.CONCAT(B87,C87),'Detalhe Entregas e Status'!$D$9:$J$81,7,0)=DATE(2025,5,5),DATE(2025,5,12),VLOOKUP(_xlfn.CONCAT(B87,C87),'Detalhe Entregas e Status'!$D$9:$J$81,7,0)),$L$8:$Z$8,0)))</f>
        <v>#N/A</v>
      </c>
      <c r="I87" s="17"/>
      <c r="J87" s="197" t="s">
        <v>291</v>
      </c>
      <c r="K87" s="245" t="s">
        <v>396</v>
      </c>
      <c r="L87" s="245"/>
      <c r="M87" s="245"/>
      <c r="N87" s="245"/>
      <c r="O87" s="245"/>
    </row>
    <row r="88" spans="2:15" ht="15" hidden="1" customHeight="1">
      <c r="B88" s="13" t="s">
        <v>1</v>
      </c>
      <c r="C88" s="13" t="s">
        <v>39</v>
      </c>
      <c r="D88" s="29" t="s">
        <v>96</v>
      </c>
      <c r="E88" s="14" t="s">
        <v>100</v>
      </c>
      <c r="F88" s="14">
        <v>2</v>
      </c>
      <c r="H88" s="165" t="e" cm="1">
        <f t="array" ref="H88">IF(INDEX($K:$Z,ROW(C88),MATCH(IF(VLOOKUP(_xlfn.CONCAT(B88,C88),'Detalhe Entregas e Status'!$D$9:$J$81,7,0)=DATE(2025,5,5),DATE(2025,5,12),VLOOKUP(_xlfn.CONCAT(B88,C88),'Detalhe Entregas e Status'!$D$9:$J$81,7,0)),$L$8:$Z$8,0))="","",INDEX($K:$Z,ROW(C88),MATCH(IF(VLOOKUP(_xlfn.CONCAT(B88,C88),'Detalhe Entregas e Status'!$D$9:$J$81,7,0)=DATE(2025,5,5),DATE(2025,5,12),VLOOKUP(_xlfn.CONCAT(B88,C88),'Detalhe Entregas e Status'!$D$9:$J$81,7,0)),$L$8:$Z$8,0)))</f>
        <v>#N/A</v>
      </c>
      <c r="I88" s="17" t="s">
        <v>359</v>
      </c>
      <c r="J88" s="197" t="s">
        <v>291</v>
      </c>
      <c r="K88" s="245" t="s">
        <v>397</v>
      </c>
      <c r="L88" s="245"/>
      <c r="M88" s="245"/>
      <c r="N88" s="245"/>
      <c r="O88" s="245"/>
    </row>
    <row r="89" spans="2:15" ht="15" hidden="1" customHeight="1">
      <c r="B89" s="13" t="s">
        <v>1</v>
      </c>
      <c r="C89" s="13" t="s">
        <v>39</v>
      </c>
      <c r="D89" s="29" t="s">
        <v>94</v>
      </c>
      <c r="E89" s="14" t="s">
        <v>100</v>
      </c>
      <c r="F89" s="14">
        <v>1</v>
      </c>
      <c r="H89" s="165" t="e" cm="1">
        <f t="array" ref="H89">IF(INDEX($K:$Z,ROW(C89),MATCH(IF(VLOOKUP(_xlfn.CONCAT(B89,C89),'Detalhe Entregas e Status'!$D$9:$J$81,7,0)=DATE(2025,5,5),DATE(2025,5,12),VLOOKUP(_xlfn.CONCAT(B89,C89),'Detalhe Entregas e Status'!$D$9:$J$81,7,0)),$L$8:$Z$8,0))="","",INDEX($K:$Z,ROW(C89),MATCH(IF(VLOOKUP(_xlfn.CONCAT(B89,C89),'Detalhe Entregas e Status'!$D$9:$J$81,7,0)=DATE(2025,5,5),DATE(2025,5,12),VLOOKUP(_xlfn.CONCAT(B89,C89),'Detalhe Entregas e Status'!$D$9:$J$81,7,0)),$L$8:$Z$8,0)))</f>
        <v>#N/A</v>
      </c>
      <c r="I89" s="17"/>
      <c r="J89" s="197" t="s">
        <v>291</v>
      </c>
      <c r="K89" s="245" t="s">
        <v>397</v>
      </c>
      <c r="L89" s="245"/>
      <c r="M89" s="245"/>
      <c r="N89" s="245"/>
      <c r="O89" s="245"/>
    </row>
    <row r="90" spans="2:15" ht="15" hidden="1" customHeight="1">
      <c r="B90" s="13" t="s">
        <v>1</v>
      </c>
      <c r="C90" s="13" t="s">
        <v>39</v>
      </c>
      <c r="D90" s="29" t="s">
        <v>95</v>
      </c>
      <c r="E90" s="14" t="s">
        <v>100</v>
      </c>
      <c r="F90" s="14">
        <v>2</v>
      </c>
      <c r="H90" s="165" t="e" cm="1">
        <f t="array" ref="H90">IF(INDEX($K:$Z,ROW(C90),MATCH(IF(VLOOKUP(_xlfn.CONCAT(B90,C90),'Detalhe Entregas e Status'!$D$9:$J$81,7,0)=DATE(2025,5,5),DATE(2025,5,12),VLOOKUP(_xlfn.CONCAT(B90,C90),'Detalhe Entregas e Status'!$D$9:$J$81,7,0)),$L$8:$Z$8,0))="","",INDEX($K:$Z,ROW(C90),MATCH(IF(VLOOKUP(_xlfn.CONCAT(B90,C90),'Detalhe Entregas e Status'!$D$9:$J$81,7,0)=DATE(2025,5,5),DATE(2025,5,12),VLOOKUP(_xlfn.CONCAT(B90,C90),'Detalhe Entregas e Status'!$D$9:$J$81,7,0)),$L$8:$Z$8,0)))</f>
        <v>#N/A</v>
      </c>
      <c r="I90" s="17"/>
      <c r="J90" s="197" t="s">
        <v>291</v>
      </c>
      <c r="K90" s="245" t="s">
        <v>397</v>
      </c>
      <c r="L90" s="245"/>
      <c r="M90" s="245"/>
      <c r="N90" s="245"/>
      <c r="O90" s="245"/>
    </row>
    <row r="91" spans="2:15" ht="15" hidden="1" customHeight="1">
      <c r="B91" s="13" t="s">
        <v>1</v>
      </c>
      <c r="C91" s="13" t="s">
        <v>40</v>
      </c>
      <c r="D91" s="29" t="s">
        <v>96</v>
      </c>
      <c r="E91" s="14" t="s">
        <v>100</v>
      </c>
      <c r="F91" s="14">
        <v>2</v>
      </c>
      <c r="H91" s="165" t="e" cm="1">
        <f t="array" ref="H91">IF(INDEX($K:$Z,ROW(C91),MATCH(IF(VLOOKUP(_xlfn.CONCAT(B91,C91),'Detalhe Entregas e Status'!$D$9:$J$81,7,0)=DATE(2025,5,5),DATE(2025,5,12),VLOOKUP(_xlfn.CONCAT(B91,C91),'Detalhe Entregas e Status'!$D$9:$J$81,7,0)),$L$8:$Z$8,0))="","",INDEX($K:$Z,ROW(C91),MATCH(IF(VLOOKUP(_xlfn.CONCAT(B91,C91),'Detalhe Entregas e Status'!$D$9:$J$81,7,0)=DATE(2025,5,5),DATE(2025,5,12),VLOOKUP(_xlfn.CONCAT(B91,C91),'Detalhe Entregas e Status'!$D$9:$J$81,7,0)),$L$8:$Z$8,0)))</f>
        <v>#N/A</v>
      </c>
      <c r="I91" s="17" t="s">
        <v>359</v>
      </c>
      <c r="J91" s="197" t="s">
        <v>291</v>
      </c>
      <c r="K91" s="245" t="s">
        <v>397</v>
      </c>
      <c r="L91" s="245" t="s">
        <v>396</v>
      </c>
      <c r="M91" s="245"/>
      <c r="N91" s="245"/>
      <c r="O91" s="245"/>
    </row>
    <row r="92" spans="2:15" ht="15" hidden="1" customHeight="1">
      <c r="B92" s="13" t="s">
        <v>1</v>
      </c>
      <c r="C92" s="13" t="s">
        <v>40</v>
      </c>
      <c r="D92" s="29" t="s">
        <v>94</v>
      </c>
      <c r="E92" s="14" t="s">
        <v>100</v>
      </c>
      <c r="F92" s="14">
        <v>1</v>
      </c>
      <c r="H92" s="165" t="e" cm="1">
        <f t="array" ref="H92">IF(INDEX($K:$Z,ROW(C92),MATCH(IF(VLOOKUP(_xlfn.CONCAT(B92,C92),'Detalhe Entregas e Status'!$D$9:$J$81,7,0)=DATE(2025,5,5),DATE(2025,5,12),VLOOKUP(_xlfn.CONCAT(B92,C92),'Detalhe Entregas e Status'!$D$9:$J$81,7,0)),$L$8:$Z$8,0))="","",INDEX($K:$Z,ROW(C92),MATCH(IF(VLOOKUP(_xlfn.CONCAT(B92,C92),'Detalhe Entregas e Status'!$D$9:$J$81,7,0)=DATE(2025,5,5),DATE(2025,5,12),VLOOKUP(_xlfn.CONCAT(B92,C92),'Detalhe Entregas e Status'!$D$9:$J$81,7,0)),$L$8:$Z$8,0)))</f>
        <v>#N/A</v>
      </c>
      <c r="I92" s="17"/>
      <c r="J92" s="197" t="s">
        <v>291</v>
      </c>
      <c r="K92" s="245" t="s">
        <v>397</v>
      </c>
      <c r="L92" s="245" t="s">
        <v>396</v>
      </c>
      <c r="M92" s="245"/>
      <c r="N92" s="245"/>
      <c r="O92" s="245"/>
    </row>
    <row r="93" spans="2:15" ht="15" hidden="1" customHeight="1">
      <c r="B93" s="13" t="s">
        <v>1</v>
      </c>
      <c r="C93" s="13" t="s">
        <v>40</v>
      </c>
      <c r="D93" s="29" t="s">
        <v>95</v>
      </c>
      <c r="E93" s="14" t="s">
        <v>100</v>
      </c>
      <c r="F93" s="14">
        <v>2</v>
      </c>
      <c r="H93" s="165" t="e" cm="1">
        <f t="array" ref="H93">IF(INDEX($K:$Z,ROW(C93),MATCH(IF(VLOOKUP(_xlfn.CONCAT(B93,C93),'Detalhe Entregas e Status'!$D$9:$J$81,7,0)=DATE(2025,5,5),DATE(2025,5,12),VLOOKUP(_xlfn.CONCAT(B93,C93),'Detalhe Entregas e Status'!$D$9:$J$81,7,0)),$L$8:$Z$8,0))="","",INDEX($K:$Z,ROW(C93),MATCH(IF(VLOOKUP(_xlfn.CONCAT(B93,C93),'Detalhe Entregas e Status'!$D$9:$J$81,7,0)=DATE(2025,5,5),DATE(2025,5,12),VLOOKUP(_xlfn.CONCAT(B93,C93),'Detalhe Entregas e Status'!$D$9:$J$81,7,0)),$L$8:$Z$8,0)))</f>
        <v>#N/A</v>
      </c>
      <c r="I93" s="17"/>
      <c r="J93" s="197" t="s">
        <v>291</v>
      </c>
      <c r="K93" s="245" t="s">
        <v>397</v>
      </c>
      <c r="L93" s="245" t="s">
        <v>396</v>
      </c>
      <c r="M93" s="245"/>
      <c r="N93" s="245"/>
      <c r="O93" s="245"/>
    </row>
    <row r="94" spans="2:15" ht="15" hidden="1" customHeight="1">
      <c r="B94" s="13" t="s">
        <v>1</v>
      </c>
      <c r="C94" s="13" t="s">
        <v>41</v>
      </c>
      <c r="D94" s="29" t="s">
        <v>96</v>
      </c>
      <c r="E94" s="14" t="s">
        <v>100</v>
      </c>
      <c r="F94" s="14">
        <v>2</v>
      </c>
      <c r="H94" s="165" t="e" cm="1">
        <f t="array" ref="H94">IF(INDEX($K:$Z,ROW(C94),MATCH(IF(VLOOKUP(_xlfn.CONCAT(B94,C94),'Detalhe Entregas e Status'!$D$9:$J$81,7,0)=DATE(2025,5,5),DATE(2025,5,12),VLOOKUP(_xlfn.CONCAT(B94,C94),'Detalhe Entregas e Status'!$D$9:$J$81,7,0)),$L$8:$Z$8,0))="","",INDEX($K:$Z,ROW(C94),MATCH(IF(VLOOKUP(_xlfn.CONCAT(B94,C94),'Detalhe Entregas e Status'!$D$9:$J$81,7,0)=DATE(2025,5,5),DATE(2025,5,12),VLOOKUP(_xlfn.CONCAT(B94,C94),'Detalhe Entregas e Status'!$D$9:$J$81,7,0)),$L$8:$Z$8,0)))</f>
        <v>#N/A</v>
      </c>
      <c r="I94" s="17" t="s">
        <v>359</v>
      </c>
      <c r="J94" s="197" t="s">
        <v>291</v>
      </c>
      <c r="K94" s="245" t="s">
        <v>397</v>
      </c>
      <c r="L94" s="245" t="s">
        <v>396</v>
      </c>
      <c r="M94" s="245"/>
      <c r="N94" s="245"/>
      <c r="O94" s="245"/>
    </row>
    <row r="95" spans="2:15" ht="15" hidden="1" customHeight="1">
      <c r="B95" s="13" t="s">
        <v>1</v>
      </c>
      <c r="C95" s="13" t="s">
        <v>41</v>
      </c>
      <c r="D95" s="29" t="s">
        <v>94</v>
      </c>
      <c r="E95" s="14" t="s">
        <v>100</v>
      </c>
      <c r="F95" s="14">
        <v>1</v>
      </c>
      <c r="H95" s="165" t="e" cm="1">
        <f t="array" ref="H95">IF(INDEX($K:$Z,ROW(C95),MATCH(IF(VLOOKUP(_xlfn.CONCAT(B95,C95),'Detalhe Entregas e Status'!$D$9:$J$81,7,0)=DATE(2025,5,5),DATE(2025,5,12),VLOOKUP(_xlfn.CONCAT(B95,C95),'Detalhe Entregas e Status'!$D$9:$J$81,7,0)),$L$8:$Z$8,0))="","",INDEX($K:$Z,ROW(C95),MATCH(IF(VLOOKUP(_xlfn.CONCAT(B95,C95),'Detalhe Entregas e Status'!$D$9:$J$81,7,0)=DATE(2025,5,5),DATE(2025,5,12),VLOOKUP(_xlfn.CONCAT(B95,C95),'Detalhe Entregas e Status'!$D$9:$J$81,7,0)),$L$8:$Z$8,0)))</f>
        <v>#N/A</v>
      </c>
      <c r="I95" s="17"/>
      <c r="J95" s="197" t="s">
        <v>291</v>
      </c>
      <c r="K95" s="245" t="s">
        <v>397</v>
      </c>
      <c r="L95" s="245" t="s">
        <v>396</v>
      </c>
      <c r="M95" s="245"/>
      <c r="N95" s="245"/>
      <c r="O95" s="245"/>
    </row>
    <row r="96" spans="2:15" ht="15" hidden="1" customHeight="1">
      <c r="B96" s="13" t="s">
        <v>1</v>
      </c>
      <c r="C96" s="13" t="s">
        <v>41</v>
      </c>
      <c r="D96" s="29" t="s">
        <v>95</v>
      </c>
      <c r="E96" s="14" t="s">
        <v>100</v>
      </c>
      <c r="F96" s="14">
        <v>2</v>
      </c>
      <c r="H96" s="165" t="e" cm="1">
        <f t="array" ref="H96">IF(INDEX($K:$Z,ROW(C96),MATCH(IF(VLOOKUP(_xlfn.CONCAT(B96,C96),'Detalhe Entregas e Status'!$D$9:$J$81,7,0)=DATE(2025,5,5),DATE(2025,5,12),VLOOKUP(_xlfn.CONCAT(B96,C96),'Detalhe Entregas e Status'!$D$9:$J$81,7,0)),$L$8:$Z$8,0))="","",INDEX($K:$Z,ROW(C96),MATCH(IF(VLOOKUP(_xlfn.CONCAT(B96,C96),'Detalhe Entregas e Status'!$D$9:$J$81,7,0)=DATE(2025,5,5),DATE(2025,5,12),VLOOKUP(_xlfn.CONCAT(B96,C96),'Detalhe Entregas e Status'!$D$9:$J$81,7,0)),$L$8:$Z$8,0)))</f>
        <v>#N/A</v>
      </c>
      <c r="I96" s="17"/>
      <c r="J96" s="197" t="s">
        <v>291</v>
      </c>
      <c r="K96" s="245" t="s">
        <v>397</v>
      </c>
      <c r="L96" s="245" t="s">
        <v>396</v>
      </c>
      <c r="M96" s="245"/>
      <c r="N96" s="245"/>
      <c r="O96" s="245"/>
    </row>
    <row r="97" spans="2:15" ht="15" hidden="1" customHeight="1">
      <c r="B97" s="13" t="s">
        <v>1</v>
      </c>
      <c r="C97" s="13" t="s">
        <v>42</v>
      </c>
      <c r="D97" s="29" t="s">
        <v>96</v>
      </c>
      <c r="E97" s="14" t="s">
        <v>100</v>
      </c>
      <c r="F97" s="14">
        <v>2</v>
      </c>
      <c r="H97" s="165" t="e" cm="1">
        <f t="array" ref="H97">IF(INDEX($K:$Z,ROW(C97),MATCH(IF(VLOOKUP(_xlfn.CONCAT(B97,C97),'Detalhe Entregas e Status'!$D$9:$J$81,7,0)=DATE(2025,5,5),DATE(2025,5,12),VLOOKUP(_xlfn.CONCAT(B97,C97),'Detalhe Entregas e Status'!$D$9:$J$81,7,0)),$L$8:$Z$8,0))="","",INDEX($K:$Z,ROW(C97),MATCH(IF(VLOOKUP(_xlfn.CONCAT(B97,C97),'Detalhe Entregas e Status'!$D$9:$J$81,7,0)=DATE(2025,5,5),DATE(2025,5,12),VLOOKUP(_xlfn.CONCAT(B97,C97),'Detalhe Entregas e Status'!$D$9:$J$81,7,0)),$L$8:$Z$8,0)))</f>
        <v>#N/A</v>
      </c>
      <c r="I97" s="17" t="s">
        <v>359</v>
      </c>
      <c r="J97" s="197" t="s">
        <v>291</v>
      </c>
      <c r="K97" s="245" t="s">
        <v>397</v>
      </c>
      <c r="L97" s="245"/>
      <c r="M97" s="245"/>
      <c r="N97" s="245"/>
      <c r="O97" s="245"/>
    </row>
    <row r="98" spans="2:15" ht="15" hidden="1" customHeight="1">
      <c r="B98" s="13" t="s">
        <v>1</v>
      </c>
      <c r="C98" s="13" t="s">
        <v>42</v>
      </c>
      <c r="D98" s="29" t="s">
        <v>94</v>
      </c>
      <c r="E98" s="14" t="s">
        <v>100</v>
      </c>
      <c r="F98" s="14">
        <v>1</v>
      </c>
      <c r="H98" s="165" t="e" cm="1">
        <f t="array" ref="H98">IF(INDEX($K:$Z,ROW(C98),MATCH(IF(VLOOKUP(_xlfn.CONCAT(B98,C98),'Detalhe Entregas e Status'!$D$9:$J$81,7,0)=DATE(2025,5,5),DATE(2025,5,12),VLOOKUP(_xlfn.CONCAT(B98,C98),'Detalhe Entregas e Status'!$D$9:$J$81,7,0)),$L$8:$Z$8,0))="","",INDEX($K:$Z,ROW(C98),MATCH(IF(VLOOKUP(_xlfn.CONCAT(B98,C98),'Detalhe Entregas e Status'!$D$9:$J$81,7,0)=DATE(2025,5,5),DATE(2025,5,12),VLOOKUP(_xlfn.CONCAT(B98,C98),'Detalhe Entregas e Status'!$D$9:$J$81,7,0)),$L$8:$Z$8,0)))</f>
        <v>#N/A</v>
      </c>
      <c r="I98" s="17"/>
      <c r="J98" s="197" t="s">
        <v>291</v>
      </c>
      <c r="K98" s="245" t="s">
        <v>397</v>
      </c>
      <c r="L98" s="245"/>
      <c r="M98" s="245"/>
      <c r="N98" s="245"/>
      <c r="O98" s="245"/>
    </row>
    <row r="99" spans="2:15" ht="15" hidden="1" customHeight="1">
      <c r="B99" s="13" t="s">
        <v>1</v>
      </c>
      <c r="C99" s="13" t="s">
        <v>42</v>
      </c>
      <c r="D99" s="29" t="s">
        <v>95</v>
      </c>
      <c r="E99" s="14" t="s">
        <v>100</v>
      </c>
      <c r="F99" s="14">
        <v>2</v>
      </c>
      <c r="H99" s="165" t="e" cm="1">
        <f t="array" ref="H99">IF(INDEX($K:$Z,ROW(C99),MATCH(IF(VLOOKUP(_xlfn.CONCAT(B99,C99),'Detalhe Entregas e Status'!$D$9:$J$81,7,0)=DATE(2025,5,5),DATE(2025,5,12),VLOOKUP(_xlfn.CONCAT(B99,C99),'Detalhe Entregas e Status'!$D$9:$J$81,7,0)),$L$8:$Z$8,0))="","",INDEX($K:$Z,ROW(C99),MATCH(IF(VLOOKUP(_xlfn.CONCAT(B99,C99),'Detalhe Entregas e Status'!$D$9:$J$81,7,0)=DATE(2025,5,5),DATE(2025,5,12),VLOOKUP(_xlfn.CONCAT(B99,C99),'Detalhe Entregas e Status'!$D$9:$J$81,7,0)),$L$8:$Z$8,0)))</f>
        <v>#N/A</v>
      </c>
      <c r="I99" s="17"/>
      <c r="J99" s="197" t="s">
        <v>291</v>
      </c>
      <c r="K99" s="245" t="s">
        <v>397</v>
      </c>
      <c r="L99" s="245"/>
      <c r="M99" s="245"/>
      <c r="N99" s="245"/>
      <c r="O99" s="245"/>
    </row>
    <row r="100" spans="2:15" ht="15" hidden="1" customHeight="1">
      <c r="B100" s="13" t="s">
        <v>1</v>
      </c>
      <c r="C100" s="13" t="s">
        <v>43</v>
      </c>
      <c r="D100" s="29" t="s">
        <v>96</v>
      </c>
      <c r="E100" s="14" t="s">
        <v>100</v>
      </c>
      <c r="F100" s="14">
        <v>2</v>
      </c>
      <c r="H100" s="165" t="e" cm="1">
        <f t="array" ref="H100">IF(INDEX($K:$Z,ROW(C100),MATCH(IF(VLOOKUP(_xlfn.CONCAT(B100,C100),'Detalhe Entregas e Status'!$D$9:$J$81,7,0)=DATE(2025,5,5),DATE(2025,5,12),VLOOKUP(_xlfn.CONCAT(B100,C100),'Detalhe Entregas e Status'!$D$9:$J$81,7,0)),$L$8:$Z$8,0))="","",INDEX($K:$Z,ROW(C100),MATCH(IF(VLOOKUP(_xlfn.CONCAT(B100,C100),'Detalhe Entregas e Status'!$D$9:$J$81,7,0)=DATE(2025,5,5),DATE(2025,5,12),VLOOKUP(_xlfn.CONCAT(B100,C100),'Detalhe Entregas e Status'!$D$9:$J$81,7,0)),$L$8:$Z$8,0)))</f>
        <v>#N/A</v>
      </c>
      <c r="I100" s="17" t="s">
        <v>359</v>
      </c>
      <c r="J100" s="197" t="s">
        <v>291</v>
      </c>
      <c r="K100" s="245" t="s">
        <v>397</v>
      </c>
      <c r="L100" s="245" t="s">
        <v>397</v>
      </c>
      <c r="M100" s="245"/>
      <c r="N100" s="245"/>
      <c r="O100" s="245"/>
    </row>
    <row r="101" spans="2:15" ht="15" hidden="1" customHeight="1">
      <c r="B101" s="13" t="s">
        <v>1</v>
      </c>
      <c r="C101" s="13" t="s">
        <v>43</v>
      </c>
      <c r="D101" s="29" t="s">
        <v>94</v>
      </c>
      <c r="E101" s="14" t="s">
        <v>100</v>
      </c>
      <c r="F101" s="14">
        <v>1</v>
      </c>
      <c r="H101" s="165" t="e" cm="1">
        <f t="array" ref="H101">IF(INDEX($K:$Z,ROW(C101),MATCH(IF(VLOOKUP(_xlfn.CONCAT(B101,C101),'Detalhe Entregas e Status'!$D$9:$J$81,7,0)=DATE(2025,5,5),DATE(2025,5,12),VLOOKUP(_xlfn.CONCAT(B101,C101),'Detalhe Entregas e Status'!$D$9:$J$81,7,0)),$L$8:$Z$8,0))="","",INDEX($K:$Z,ROW(C101),MATCH(IF(VLOOKUP(_xlfn.CONCAT(B101,C101),'Detalhe Entregas e Status'!$D$9:$J$81,7,0)=DATE(2025,5,5),DATE(2025,5,12),VLOOKUP(_xlfn.CONCAT(B101,C101),'Detalhe Entregas e Status'!$D$9:$J$81,7,0)),$L$8:$Z$8,0)))</f>
        <v>#N/A</v>
      </c>
      <c r="I101" s="17"/>
      <c r="J101" s="197" t="s">
        <v>291</v>
      </c>
      <c r="K101" s="245" t="s">
        <v>397</v>
      </c>
      <c r="L101" s="245" t="s">
        <v>397</v>
      </c>
      <c r="M101" s="245"/>
      <c r="N101" s="245"/>
      <c r="O101" s="245"/>
    </row>
    <row r="102" spans="2:15" ht="15" hidden="1" customHeight="1">
      <c r="B102" s="13" t="s">
        <v>1</v>
      </c>
      <c r="C102" s="13" t="s">
        <v>44</v>
      </c>
      <c r="D102" s="29" t="s">
        <v>96</v>
      </c>
      <c r="E102" s="14" t="s">
        <v>100</v>
      </c>
      <c r="F102" s="14">
        <v>2</v>
      </c>
      <c r="H102" s="165" t="e" cm="1">
        <f t="array" ref="H102">IF(INDEX($K:$Z,ROW(C102),MATCH(IF(VLOOKUP(_xlfn.CONCAT(B102,C102),'Detalhe Entregas e Status'!$D$9:$J$81,7,0)=DATE(2025,5,5),DATE(2025,5,12),VLOOKUP(_xlfn.CONCAT(B102,C102),'Detalhe Entregas e Status'!$D$9:$J$81,7,0)),$L$8:$Z$8,0))="","",INDEX($K:$Z,ROW(C102),MATCH(IF(VLOOKUP(_xlfn.CONCAT(B102,C102),'Detalhe Entregas e Status'!$D$9:$J$81,7,0)=DATE(2025,5,5),DATE(2025,5,12),VLOOKUP(_xlfn.CONCAT(B102,C102),'Detalhe Entregas e Status'!$D$9:$J$81,7,0)),$L$8:$Z$8,0)))</f>
        <v>#N/A</v>
      </c>
      <c r="I102" s="17" t="s">
        <v>359</v>
      </c>
      <c r="J102" s="197" t="s">
        <v>291</v>
      </c>
      <c r="K102" s="245" t="s">
        <v>397</v>
      </c>
      <c r="L102" s="245" t="s">
        <v>396</v>
      </c>
      <c r="M102" s="245"/>
      <c r="N102" s="245"/>
      <c r="O102" s="245"/>
    </row>
    <row r="103" spans="2:15" ht="15" hidden="1" customHeight="1">
      <c r="B103" s="13" t="s">
        <v>1</v>
      </c>
      <c r="C103" s="13" t="s">
        <v>44</v>
      </c>
      <c r="D103" s="29" t="s">
        <v>94</v>
      </c>
      <c r="E103" s="14" t="s">
        <v>100</v>
      </c>
      <c r="F103" s="14">
        <v>1</v>
      </c>
      <c r="H103" s="165" t="e" cm="1">
        <f t="array" ref="H103">IF(INDEX($K:$Z,ROW(C103),MATCH(IF(VLOOKUP(_xlfn.CONCAT(B103,C103),'Detalhe Entregas e Status'!$D$9:$J$81,7,0)=DATE(2025,5,5),DATE(2025,5,12),VLOOKUP(_xlfn.CONCAT(B103,C103),'Detalhe Entregas e Status'!$D$9:$J$81,7,0)),$L$8:$Z$8,0))="","",INDEX($K:$Z,ROW(C103),MATCH(IF(VLOOKUP(_xlfn.CONCAT(B103,C103),'Detalhe Entregas e Status'!$D$9:$J$81,7,0)=DATE(2025,5,5),DATE(2025,5,12),VLOOKUP(_xlfn.CONCAT(B103,C103),'Detalhe Entregas e Status'!$D$9:$J$81,7,0)),$L$8:$Z$8,0)))</f>
        <v>#N/A</v>
      </c>
      <c r="I103" s="17"/>
      <c r="J103" s="197" t="s">
        <v>291</v>
      </c>
      <c r="K103" s="245" t="s">
        <v>397</v>
      </c>
      <c r="L103" s="245" t="s">
        <v>396</v>
      </c>
      <c r="M103" s="245"/>
      <c r="N103" s="245"/>
      <c r="O103" s="245"/>
    </row>
    <row r="104" spans="2:15" ht="15" hidden="1" customHeight="1">
      <c r="B104" s="13" t="s">
        <v>1</v>
      </c>
      <c r="C104" s="13" t="s">
        <v>45</v>
      </c>
      <c r="D104" s="29" t="s">
        <v>96</v>
      </c>
      <c r="E104" s="14" t="s">
        <v>100</v>
      </c>
      <c r="F104" s="14">
        <v>2</v>
      </c>
      <c r="H104" s="165" t="e" cm="1">
        <f t="array" ref="H104">IF(INDEX($K:$Z,ROW(C104),MATCH(IF(VLOOKUP(_xlfn.CONCAT(B104,C104),'Detalhe Entregas e Status'!$D$9:$J$81,7,0)=DATE(2025,5,5),DATE(2025,5,12),VLOOKUP(_xlfn.CONCAT(B104,C104),'Detalhe Entregas e Status'!$D$9:$J$81,7,0)),$L$8:$Z$8,0))="","",INDEX($K:$Z,ROW(C104),MATCH(IF(VLOOKUP(_xlfn.CONCAT(B104,C104),'Detalhe Entregas e Status'!$D$9:$J$81,7,0)=DATE(2025,5,5),DATE(2025,5,12),VLOOKUP(_xlfn.CONCAT(B104,C104),'Detalhe Entregas e Status'!$D$9:$J$81,7,0)),$L$8:$Z$8,0)))</f>
        <v>#N/A</v>
      </c>
      <c r="I104" s="17" t="s">
        <v>359</v>
      </c>
      <c r="J104" s="197" t="s">
        <v>291</v>
      </c>
      <c r="K104" s="245" t="s">
        <v>397</v>
      </c>
      <c r="L104" s="245"/>
      <c r="M104" s="245"/>
      <c r="N104" s="245"/>
      <c r="O104" s="245"/>
    </row>
    <row r="105" spans="2:15" ht="15" hidden="1" customHeight="1">
      <c r="B105" s="13" t="s">
        <v>1</v>
      </c>
      <c r="C105" s="13" t="s">
        <v>45</v>
      </c>
      <c r="D105" s="29" t="s">
        <v>94</v>
      </c>
      <c r="E105" s="14" t="s">
        <v>100</v>
      </c>
      <c r="F105" s="14">
        <v>1</v>
      </c>
      <c r="H105" s="165" t="e" cm="1">
        <f t="array" ref="H105">IF(INDEX($K:$Z,ROW(C105),MATCH(IF(VLOOKUP(_xlfn.CONCAT(B105,C105),'Detalhe Entregas e Status'!$D$9:$J$81,7,0)=DATE(2025,5,5),DATE(2025,5,12),VLOOKUP(_xlfn.CONCAT(B105,C105),'Detalhe Entregas e Status'!$D$9:$J$81,7,0)),$L$8:$Z$8,0))="","",INDEX($K:$Z,ROW(C105),MATCH(IF(VLOOKUP(_xlfn.CONCAT(B105,C105),'Detalhe Entregas e Status'!$D$9:$J$81,7,0)=DATE(2025,5,5),DATE(2025,5,12),VLOOKUP(_xlfn.CONCAT(B105,C105),'Detalhe Entregas e Status'!$D$9:$J$81,7,0)),$L$8:$Z$8,0)))</f>
        <v>#N/A</v>
      </c>
      <c r="I105" s="17"/>
      <c r="J105" s="197" t="s">
        <v>291</v>
      </c>
      <c r="K105" s="245" t="s">
        <v>397</v>
      </c>
      <c r="L105" s="245"/>
      <c r="M105" s="245"/>
      <c r="N105" s="245"/>
      <c r="O105" s="245"/>
    </row>
    <row r="106" spans="2:15" ht="15" hidden="1" customHeight="1">
      <c r="B106" s="13" t="s">
        <v>1</v>
      </c>
      <c r="C106" s="13" t="s">
        <v>45</v>
      </c>
      <c r="D106" s="29" t="s">
        <v>95</v>
      </c>
      <c r="E106" s="14" t="s">
        <v>100</v>
      </c>
      <c r="F106" s="14">
        <v>2</v>
      </c>
      <c r="H106" s="165" t="e" cm="1">
        <f t="array" ref="H106">IF(INDEX($K:$Z,ROW(C106),MATCH(IF(VLOOKUP(_xlfn.CONCAT(B106,C106),'Detalhe Entregas e Status'!$D$9:$J$81,7,0)=DATE(2025,5,5),DATE(2025,5,12),VLOOKUP(_xlfn.CONCAT(B106,C106),'Detalhe Entregas e Status'!$D$9:$J$81,7,0)),$L$8:$Z$8,0))="","",INDEX($K:$Z,ROW(C106),MATCH(IF(VLOOKUP(_xlfn.CONCAT(B106,C106),'Detalhe Entregas e Status'!$D$9:$J$81,7,0)=DATE(2025,5,5),DATE(2025,5,12),VLOOKUP(_xlfn.CONCAT(B106,C106),'Detalhe Entregas e Status'!$D$9:$J$81,7,0)),$L$8:$Z$8,0)))</f>
        <v>#N/A</v>
      </c>
      <c r="I106" s="17"/>
      <c r="J106" s="197" t="s">
        <v>291</v>
      </c>
      <c r="K106" s="245" t="s">
        <v>397</v>
      </c>
      <c r="L106" s="245"/>
      <c r="M106" s="245"/>
      <c r="N106" s="245"/>
      <c r="O106" s="245"/>
    </row>
    <row r="107" spans="2:15" ht="15" hidden="1" customHeight="1">
      <c r="B107" s="13" t="s">
        <v>1</v>
      </c>
      <c r="C107" s="13" t="s">
        <v>46</v>
      </c>
      <c r="D107" s="29" t="s">
        <v>96</v>
      </c>
      <c r="E107" s="14" t="s">
        <v>100</v>
      </c>
      <c r="F107" s="14">
        <v>2</v>
      </c>
      <c r="H107" s="165" t="e" cm="1">
        <f t="array" ref="H107">IF(INDEX($K:$Z,ROW(C107),MATCH(IF(VLOOKUP(_xlfn.CONCAT(B107,C107),'Detalhe Entregas e Status'!$D$9:$J$81,7,0)=DATE(2025,5,5),DATE(2025,5,12),VLOOKUP(_xlfn.CONCAT(B107,C107),'Detalhe Entregas e Status'!$D$9:$J$81,7,0)),$L$8:$Z$8,0))="","",INDEX($K:$Z,ROW(C107),MATCH(IF(VLOOKUP(_xlfn.CONCAT(B107,C107),'Detalhe Entregas e Status'!$D$9:$J$81,7,0)=DATE(2025,5,5),DATE(2025,5,12),VLOOKUP(_xlfn.CONCAT(B107,C107),'Detalhe Entregas e Status'!$D$9:$J$81,7,0)),$L$8:$Z$8,0)))</f>
        <v>#N/A</v>
      </c>
      <c r="I107" s="17" t="s">
        <v>359</v>
      </c>
      <c r="J107" s="197" t="s">
        <v>291</v>
      </c>
      <c r="K107" s="245" t="s">
        <v>397</v>
      </c>
      <c r="L107" s="245" t="s">
        <v>397</v>
      </c>
      <c r="M107" s="245"/>
      <c r="N107" s="245"/>
      <c r="O107" s="245"/>
    </row>
    <row r="108" spans="2:15" ht="15" hidden="1" customHeight="1">
      <c r="B108" s="13" t="s">
        <v>1</v>
      </c>
      <c r="C108" s="13" t="s">
        <v>46</v>
      </c>
      <c r="D108" s="29" t="s">
        <v>94</v>
      </c>
      <c r="E108" s="14" t="s">
        <v>100</v>
      </c>
      <c r="F108" s="14">
        <v>1</v>
      </c>
      <c r="H108" s="165" t="e" cm="1">
        <f t="array" ref="H108">IF(INDEX($K:$Z,ROW(C108),MATCH(IF(VLOOKUP(_xlfn.CONCAT(B108,C108),'Detalhe Entregas e Status'!$D$9:$J$81,7,0)=DATE(2025,5,5),DATE(2025,5,12),VLOOKUP(_xlfn.CONCAT(B108,C108),'Detalhe Entregas e Status'!$D$9:$J$81,7,0)),$L$8:$Z$8,0))="","",INDEX($K:$Z,ROW(C108),MATCH(IF(VLOOKUP(_xlfn.CONCAT(B108,C108),'Detalhe Entregas e Status'!$D$9:$J$81,7,0)=DATE(2025,5,5),DATE(2025,5,12),VLOOKUP(_xlfn.CONCAT(B108,C108),'Detalhe Entregas e Status'!$D$9:$J$81,7,0)),$L$8:$Z$8,0)))</f>
        <v>#N/A</v>
      </c>
      <c r="I108" s="17"/>
      <c r="J108" s="197" t="s">
        <v>291</v>
      </c>
      <c r="K108" s="245" t="s">
        <v>397</v>
      </c>
      <c r="L108" s="245" t="s">
        <v>397</v>
      </c>
      <c r="M108" s="245"/>
      <c r="N108" s="245"/>
      <c r="O108" s="245"/>
    </row>
    <row r="109" spans="2:15" ht="15" hidden="1" customHeight="1">
      <c r="B109" s="13" t="s">
        <v>1</v>
      </c>
      <c r="C109" s="13" t="s">
        <v>47</v>
      </c>
      <c r="D109" s="29" t="s">
        <v>96</v>
      </c>
      <c r="E109" s="14" t="s">
        <v>100</v>
      </c>
      <c r="F109" s="14">
        <v>2</v>
      </c>
      <c r="H109" s="165" t="e" cm="1">
        <f t="array" ref="H109">IF(INDEX($K:$Z,ROW(C109),MATCH(IF(VLOOKUP(_xlfn.CONCAT(B109,C109),'Detalhe Entregas e Status'!$D$9:$J$81,7,0)=DATE(2025,5,5),DATE(2025,5,12),VLOOKUP(_xlfn.CONCAT(B109,C109),'Detalhe Entregas e Status'!$D$9:$J$81,7,0)),$L$8:$Z$8,0))="","",INDEX($K:$Z,ROW(C109),MATCH(IF(VLOOKUP(_xlfn.CONCAT(B109,C109),'Detalhe Entregas e Status'!$D$9:$J$81,7,0)=DATE(2025,5,5),DATE(2025,5,12),VLOOKUP(_xlfn.CONCAT(B109,C109),'Detalhe Entregas e Status'!$D$9:$J$81,7,0)),$L$8:$Z$8,0)))</f>
        <v>#N/A</v>
      </c>
      <c r="I109" s="17" t="s">
        <v>359</v>
      </c>
      <c r="J109" s="197" t="s">
        <v>291</v>
      </c>
      <c r="K109" s="245" t="s">
        <v>397</v>
      </c>
      <c r="L109" s="245" t="s">
        <v>397</v>
      </c>
      <c r="M109" s="245"/>
      <c r="N109" s="245"/>
      <c r="O109" s="245"/>
    </row>
    <row r="110" spans="2:15" ht="15" hidden="1" customHeight="1">
      <c r="B110" s="13" t="s">
        <v>1</v>
      </c>
      <c r="C110" s="13" t="s">
        <v>47</v>
      </c>
      <c r="D110" s="29" t="s">
        <v>94</v>
      </c>
      <c r="E110" s="14" t="s">
        <v>100</v>
      </c>
      <c r="F110" s="14">
        <v>1</v>
      </c>
      <c r="H110" s="165" t="e" cm="1">
        <f t="array" ref="H110">IF(INDEX($K:$Z,ROW(C110),MATCH(IF(VLOOKUP(_xlfn.CONCAT(B110,C110),'Detalhe Entregas e Status'!$D$9:$J$81,7,0)=DATE(2025,5,5),DATE(2025,5,12),VLOOKUP(_xlfn.CONCAT(B110,C110),'Detalhe Entregas e Status'!$D$9:$J$81,7,0)),$L$8:$Z$8,0))="","",INDEX($K:$Z,ROW(C110),MATCH(IF(VLOOKUP(_xlfn.CONCAT(B110,C110),'Detalhe Entregas e Status'!$D$9:$J$81,7,0)=DATE(2025,5,5),DATE(2025,5,12),VLOOKUP(_xlfn.CONCAT(B110,C110),'Detalhe Entregas e Status'!$D$9:$J$81,7,0)),$L$8:$Z$8,0)))</f>
        <v>#N/A</v>
      </c>
      <c r="I110" s="17"/>
      <c r="J110" s="197" t="s">
        <v>291</v>
      </c>
      <c r="K110" s="245" t="s">
        <v>397</v>
      </c>
      <c r="L110" s="245" t="s">
        <v>397</v>
      </c>
      <c r="M110" s="245"/>
      <c r="N110" s="245"/>
      <c r="O110" s="245"/>
    </row>
    <row r="111" spans="2:15" ht="15" hidden="1" customHeight="1">
      <c r="B111" s="13" t="s">
        <v>1</v>
      </c>
      <c r="C111" s="13" t="s">
        <v>48</v>
      </c>
      <c r="D111" s="29" t="s">
        <v>96</v>
      </c>
      <c r="E111" s="14" t="s">
        <v>100</v>
      </c>
      <c r="F111" s="14">
        <v>2</v>
      </c>
      <c r="H111" s="165" t="e" cm="1">
        <f t="array" ref="H111">IF(INDEX($K:$Z,ROW(C111),MATCH(IF(VLOOKUP(_xlfn.CONCAT(B111,C111),'Detalhe Entregas e Status'!$D$9:$J$81,7,0)=DATE(2025,5,5),DATE(2025,5,12),VLOOKUP(_xlfn.CONCAT(B111,C111),'Detalhe Entregas e Status'!$D$9:$J$81,7,0)),$L$8:$Z$8,0))="","",INDEX($K:$Z,ROW(C111),MATCH(IF(VLOOKUP(_xlfn.CONCAT(B111,C111),'Detalhe Entregas e Status'!$D$9:$J$81,7,0)=DATE(2025,5,5),DATE(2025,5,12),VLOOKUP(_xlfn.CONCAT(B111,C111),'Detalhe Entregas e Status'!$D$9:$J$81,7,0)),$L$8:$Z$8,0)))</f>
        <v>#N/A</v>
      </c>
      <c r="I111" s="17" t="s">
        <v>359</v>
      </c>
      <c r="J111" s="197" t="s">
        <v>291</v>
      </c>
      <c r="K111" s="245" t="s">
        <v>397</v>
      </c>
      <c r="L111" s="245" t="s">
        <v>397</v>
      </c>
      <c r="M111" s="245"/>
      <c r="N111" s="245"/>
      <c r="O111" s="245"/>
    </row>
    <row r="112" spans="2:15" ht="15" hidden="1" customHeight="1">
      <c r="B112" s="13" t="s">
        <v>1</v>
      </c>
      <c r="C112" s="13" t="s">
        <v>48</v>
      </c>
      <c r="D112" s="29" t="s">
        <v>94</v>
      </c>
      <c r="E112" s="14" t="s">
        <v>100</v>
      </c>
      <c r="F112" s="14">
        <v>1</v>
      </c>
      <c r="H112" s="165" t="e" cm="1">
        <f t="array" ref="H112">IF(INDEX($K:$Z,ROW(C112),MATCH(IF(VLOOKUP(_xlfn.CONCAT(B112,C112),'Detalhe Entregas e Status'!$D$9:$J$81,7,0)=DATE(2025,5,5),DATE(2025,5,12),VLOOKUP(_xlfn.CONCAT(B112,C112),'Detalhe Entregas e Status'!$D$9:$J$81,7,0)),$L$8:$Z$8,0))="","",INDEX($K:$Z,ROW(C112),MATCH(IF(VLOOKUP(_xlfn.CONCAT(B112,C112),'Detalhe Entregas e Status'!$D$9:$J$81,7,0)=DATE(2025,5,5),DATE(2025,5,12),VLOOKUP(_xlfn.CONCAT(B112,C112),'Detalhe Entregas e Status'!$D$9:$J$81,7,0)),$L$8:$Z$8,0)))</f>
        <v>#N/A</v>
      </c>
      <c r="I112" s="17"/>
      <c r="J112" s="197" t="s">
        <v>291</v>
      </c>
      <c r="K112" s="245" t="s">
        <v>397</v>
      </c>
      <c r="L112" s="245" t="s">
        <v>397</v>
      </c>
      <c r="M112" s="245"/>
      <c r="N112" s="245"/>
      <c r="O112" s="245"/>
    </row>
    <row r="113" spans="2:15" ht="15" hidden="1" customHeight="1">
      <c r="B113" s="13" t="s">
        <v>1</v>
      </c>
      <c r="C113" s="13" t="s">
        <v>49</v>
      </c>
      <c r="D113" s="29" t="s">
        <v>96</v>
      </c>
      <c r="E113" s="14" t="s">
        <v>100</v>
      </c>
      <c r="F113" s="14">
        <v>2</v>
      </c>
      <c r="H113" s="165" t="e" cm="1">
        <f t="array" ref="H113">IF(INDEX($K:$Z,ROW(C113),MATCH(IF(VLOOKUP(_xlfn.CONCAT(B113,C113),'Detalhe Entregas e Status'!$D$9:$J$81,7,0)=DATE(2025,5,5),DATE(2025,5,12),VLOOKUP(_xlfn.CONCAT(B113,C113),'Detalhe Entregas e Status'!$D$9:$J$81,7,0)),$L$8:$Z$8,0))="","",INDEX($K:$Z,ROW(C113),MATCH(IF(VLOOKUP(_xlfn.CONCAT(B113,C113),'Detalhe Entregas e Status'!$D$9:$J$81,7,0)=DATE(2025,5,5),DATE(2025,5,12),VLOOKUP(_xlfn.CONCAT(B113,C113),'Detalhe Entregas e Status'!$D$9:$J$81,7,0)),$L$8:$Z$8,0)))</f>
        <v>#N/A</v>
      </c>
      <c r="I113" s="17" t="s">
        <v>359</v>
      </c>
      <c r="J113" s="197" t="s">
        <v>291</v>
      </c>
      <c r="K113" s="245" t="s">
        <v>397</v>
      </c>
      <c r="L113" s="245" t="s">
        <v>397</v>
      </c>
      <c r="M113" s="245"/>
      <c r="N113" s="245"/>
      <c r="O113" s="245"/>
    </row>
    <row r="114" spans="2:15" ht="15" hidden="1" customHeight="1">
      <c r="B114" s="13" t="s">
        <v>1</v>
      </c>
      <c r="C114" s="13" t="s">
        <v>49</v>
      </c>
      <c r="D114" s="29" t="s">
        <v>94</v>
      </c>
      <c r="E114" s="14" t="s">
        <v>100</v>
      </c>
      <c r="F114" s="14">
        <v>1</v>
      </c>
      <c r="H114" s="165" t="e" cm="1">
        <f t="array" ref="H114">IF(INDEX($K:$Z,ROW(C114),MATCH(IF(VLOOKUP(_xlfn.CONCAT(B114,C114),'Detalhe Entregas e Status'!$D$9:$J$81,7,0)=DATE(2025,5,5),DATE(2025,5,12),VLOOKUP(_xlfn.CONCAT(B114,C114),'Detalhe Entregas e Status'!$D$9:$J$81,7,0)),$L$8:$Z$8,0))="","",INDEX($K:$Z,ROW(C114),MATCH(IF(VLOOKUP(_xlfn.CONCAT(B114,C114),'Detalhe Entregas e Status'!$D$9:$J$81,7,0)=DATE(2025,5,5),DATE(2025,5,12),VLOOKUP(_xlfn.CONCAT(B114,C114),'Detalhe Entregas e Status'!$D$9:$J$81,7,0)),$L$8:$Z$8,0)))</f>
        <v>#N/A</v>
      </c>
      <c r="I114" s="17"/>
      <c r="J114" s="197" t="s">
        <v>291</v>
      </c>
      <c r="K114" s="245" t="s">
        <v>397</v>
      </c>
      <c r="L114" s="245" t="s">
        <v>397</v>
      </c>
      <c r="M114" s="245"/>
      <c r="N114" s="245"/>
      <c r="O114" s="245"/>
    </row>
    <row r="115" spans="2:15" ht="15" hidden="1" customHeight="1">
      <c r="B115" s="13" t="s">
        <v>1</v>
      </c>
      <c r="C115" s="13" t="s">
        <v>50</v>
      </c>
      <c r="D115" s="29" t="s">
        <v>96</v>
      </c>
      <c r="E115" s="14" t="s">
        <v>100</v>
      </c>
      <c r="F115" s="14">
        <v>2</v>
      </c>
      <c r="H115" s="165" t="e" cm="1">
        <f t="array" ref="H115">IF(INDEX($K:$Z,ROW(C115),MATCH(IF(VLOOKUP(_xlfn.CONCAT(B115,C115),'Detalhe Entregas e Status'!$D$9:$J$81,7,0)=DATE(2025,5,5),DATE(2025,5,12),VLOOKUP(_xlfn.CONCAT(B115,C115),'Detalhe Entregas e Status'!$D$9:$J$81,7,0)),$L$8:$Z$8,0))="","",INDEX($K:$Z,ROW(C115),MATCH(IF(VLOOKUP(_xlfn.CONCAT(B115,C115),'Detalhe Entregas e Status'!$D$9:$J$81,7,0)=DATE(2025,5,5),DATE(2025,5,12),VLOOKUP(_xlfn.CONCAT(B115,C115),'Detalhe Entregas e Status'!$D$9:$J$81,7,0)),$L$8:$Z$8,0)))</f>
        <v>#N/A</v>
      </c>
      <c r="I115" s="17" t="s">
        <v>359</v>
      </c>
      <c r="J115" s="197" t="s">
        <v>291</v>
      </c>
      <c r="K115" s="245" t="s">
        <v>397</v>
      </c>
      <c r="L115" s="245"/>
      <c r="M115" s="245"/>
      <c r="N115" s="245"/>
      <c r="O115" s="245"/>
    </row>
    <row r="116" spans="2:15" ht="15" hidden="1" customHeight="1">
      <c r="B116" s="13" t="s">
        <v>1</v>
      </c>
      <c r="C116" s="13" t="s">
        <v>50</v>
      </c>
      <c r="D116" s="29" t="s">
        <v>94</v>
      </c>
      <c r="E116" s="14" t="s">
        <v>100</v>
      </c>
      <c r="F116" s="14">
        <v>1</v>
      </c>
      <c r="H116" s="165" t="e" cm="1">
        <f t="array" ref="H116">IF(INDEX($K:$Z,ROW(C116),MATCH(IF(VLOOKUP(_xlfn.CONCAT(B116,C116),'Detalhe Entregas e Status'!$D$9:$J$81,7,0)=DATE(2025,5,5),DATE(2025,5,12),VLOOKUP(_xlfn.CONCAT(B116,C116),'Detalhe Entregas e Status'!$D$9:$J$81,7,0)),$L$8:$Z$8,0))="","",INDEX($K:$Z,ROW(C116),MATCH(IF(VLOOKUP(_xlfn.CONCAT(B116,C116),'Detalhe Entregas e Status'!$D$9:$J$81,7,0)=DATE(2025,5,5),DATE(2025,5,12),VLOOKUP(_xlfn.CONCAT(B116,C116),'Detalhe Entregas e Status'!$D$9:$J$81,7,0)),$L$8:$Z$8,0)))</f>
        <v>#N/A</v>
      </c>
      <c r="I116" s="17"/>
      <c r="J116" s="197" t="s">
        <v>291</v>
      </c>
      <c r="K116" s="245" t="s">
        <v>397</v>
      </c>
      <c r="L116" s="245"/>
      <c r="M116" s="245"/>
      <c r="N116" s="245"/>
      <c r="O116" s="245"/>
    </row>
    <row r="117" spans="2:15" ht="15" hidden="1" customHeight="1">
      <c r="B117" s="13" t="s">
        <v>1</v>
      </c>
      <c r="C117" s="13" t="s">
        <v>51</v>
      </c>
      <c r="D117" s="29" t="s">
        <v>96</v>
      </c>
      <c r="E117" s="14" t="s">
        <v>100</v>
      </c>
      <c r="F117" s="14">
        <v>2</v>
      </c>
      <c r="H117" s="165" t="e" cm="1">
        <f t="array" ref="H117">IF(INDEX($K:$Z,ROW(C117),MATCH(IF(VLOOKUP(_xlfn.CONCAT(B117,C117),'Detalhe Entregas e Status'!$D$9:$J$81,7,0)=DATE(2025,5,5),DATE(2025,5,12),VLOOKUP(_xlfn.CONCAT(B117,C117),'Detalhe Entregas e Status'!$D$9:$J$81,7,0)),$L$8:$Z$8,0))="","",INDEX($K:$Z,ROW(C117),MATCH(IF(VLOOKUP(_xlfn.CONCAT(B117,C117),'Detalhe Entregas e Status'!$D$9:$J$81,7,0)=DATE(2025,5,5),DATE(2025,5,12),VLOOKUP(_xlfn.CONCAT(B117,C117),'Detalhe Entregas e Status'!$D$9:$J$81,7,0)),$L$8:$Z$8,0)))</f>
        <v>#N/A</v>
      </c>
      <c r="I117" s="17" t="s">
        <v>364</v>
      </c>
      <c r="J117" s="197" t="s">
        <v>291</v>
      </c>
      <c r="K117" s="245" t="s">
        <v>397</v>
      </c>
      <c r="L117" s="245"/>
      <c r="M117" s="245"/>
      <c r="N117" s="245"/>
      <c r="O117" s="245"/>
    </row>
    <row r="118" spans="2:15" ht="15" hidden="1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1</v>
      </c>
      <c r="H118" s="165" t="e" cm="1">
        <f t="array" ref="H118">IF(INDEX($K:$Z,ROW(C118),MATCH(IF(VLOOKUP(_xlfn.CONCAT(B118,C118),'Detalhe Entregas e Status'!$D$9:$J$81,7,0)=DATE(2025,5,5),DATE(2025,5,12),VLOOKUP(_xlfn.CONCAT(B118,C118),'Detalhe Entregas e Status'!$D$9:$J$81,7,0)),$L$8:$Z$8,0))="","",INDEX($K:$Z,ROW(C118),MATCH(IF(VLOOKUP(_xlfn.CONCAT(B118,C118),'Detalhe Entregas e Status'!$D$9:$J$81,7,0)=DATE(2025,5,5),DATE(2025,5,12),VLOOKUP(_xlfn.CONCAT(B118,C118),'Detalhe Entregas e Status'!$D$9:$J$81,7,0)),$L$8:$Z$8,0)))</f>
        <v>#N/A</v>
      </c>
      <c r="I118" s="17"/>
      <c r="J118" s="197" t="s">
        <v>291</v>
      </c>
      <c r="K118" s="245" t="s">
        <v>396</v>
      </c>
      <c r="L118" s="245"/>
      <c r="M118" s="245"/>
      <c r="N118" s="245"/>
      <c r="O118" s="245"/>
    </row>
    <row r="119" spans="2:15" ht="15" hidden="1" customHeight="1">
      <c r="B119" s="13" t="s">
        <v>1</v>
      </c>
      <c r="C119" s="13" t="s">
        <v>51</v>
      </c>
      <c r="D119" s="29" t="s">
        <v>93</v>
      </c>
      <c r="E119" s="14" t="s">
        <v>99</v>
      </c>
      <c r="F119" s="14">
        <v>4</v>
      </c>
      <c r="H119" s="165" t="e" cm="1">
        <f t="array" ref="H119">IF(INDEX($K:$Z,ROW(C119),MATCH(IF(VLOOKUP(_xlfn.CONCAT(B119,C119),'Detalhe Entregas e Status'!$D$9:$J$81,7,0)=DATE(2025,5,5),DATE(2025,5,12),VLOOKUP(_xlfn.CONCAT(B119,C119),'Detalhe Entregas e Status'!$D$9:$J$81,7,0)),$L$8:$Z$8,0))="","",INDEX($K:$Z,ROW(C119),MATCH(IF(VLOOKUP(_xlfn.CONCAT(B119,C119),'Detalhe Entregas e Status'!$D$9:$J$81,7,0)=DATE(2025,5,5),DATE(2025,5,12),VLOOKUP(_xlfn.CONCAT(B119,C119),'Detalhe Entregas e Status'!$D$9:$J$81,7,0)),$L$8:$Z$8,0)))</f>
        <v>#N/A</v>
      </c>
      <c r="I119" s="17"/>
      <c r="J119" s="197" t="s">
        <v>291</v>
      </c>
      <c r="K119" s="245" t="s">
        <v>397</v>
      </c>
      <c r="L119" s="245"/>
      <c r="M119" s="245"/>
      <c r="N119" s="245"/>
      <c r="O119" s="245"/>
    </row>
    <row r="120" spans="2:15" ht="15" hidden="1" customHeight="1">
      <c r="B120" s="13" t="s">
        <v>1</v>
      </c>
      <c r="C120" s="13" t="s">
        <v>54</v>
      </c>
      <c r="D120" s="29" t="s">
        <v>96</v>
      </c>
      <c r="E120" s="14" t="s">
        <v>100</v>
      </c>
      <c r="F120" s="14">
        <v>2</v>
      </c>
      <c r="H120" s="165" t="e" cm="1">
        <f t="array" ref="H120">IF(INDEX($K:$Z,ROW(C120),MATCH(IF(VLOOKUP(_xlfn.CONCAT(B120,C120),'Detalhe Entregas e Status'!$D$9:$J$81,7,0)=DATE(2025,5,5),DATE(2025,5,12),VLOOKUP(_xlfn.CONCAT(B120,C120),'Detalhe Entregas e Status'!$D$9:$J$81,7,0)),$L$8:$Z$8,0))="","",INDEX($K:$Z,ROW(C120),MATCH(IF(VLOOKUP(_xlfn.CONCAT(B120,C120),'Detalhe Entregas e Status'!$D$9:$J$81,7,0)=DATE(2025,5,5),DATE(2025,5,12),VLOOKUP(_xlfn.CONCAT(B120,C120),'Detalhe Entregas e Status'!$D$9:$J$81,7,0)),$L$8:$Z$8,0)))</f>
        <v>#N/A</v>
      </c>
      <c r="I120" s="17" t="s">
        <v>364</v>
      </c>
      <c r="J120" s="197" t="s">
        <v>291</v>
      </c>
      <c r="K120" s="245" t="s">
        <v>397</v>
      </c>
      <c r="L120" s="245"/>
      <c r="M120" s="245"/>
      <c r="N120" s="245"/>
      <c r="O120" s="245"/>
    </row>
    <row r="121" spans="2:15" ht="15" hidden="1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1</v>
      </c>
      <c r="H121" s="165" t="e" cm="1">
        <f t="array" ref="H121">IF(INDEX($K:$Z,ROW(C121),MATCH(IF(VLOOKUP(_xlfn.CONCAT(B121,C121),'Detalhe Entregas e Status'!$D$9:$J$81,7,0)=DATE(2025,5,5),DATE(2025,5,12),VLOOKUP(_xlfn.CONCAT(B121,C121),'Detalhe Entregas e Status'!$D$9:$J$81,7,0)),$L$8:$Z$8,0))="","",INDEX($K:$Z,ROW(C121),MATCH(IF(VLOOKUP(_xlfn.CONCAT(B121,C121),'Detalhe Entregas e Status'!$D$9:$J$81,7,0)=DATE(2025,5,5),DATE(2025,5,12),VLOOKUP(_xlfn.CONCAT(B121,C121),'Detalhe Entregas e Status'!$D$9:$J$81,7,0)),$L$8:$Z$8,0)))</f>
        <v>#N/A</v>
      </c>
      <c r="I121" s="17"/>
      <c r="J121" s="197" t="s">
        <v>291</v>
      </c>
      <c r="K121" s="245" t="s">
        <v>396</v>
      </c>
      <c r="L121" s="245"/>
      <c r="M121" s="245"/>
      <c r="N121" s="245"/>
      <c r="O121" s="245"/>
    </row>
    <row r="122" spans="2:15" ht="15" hidden="1" customHeight="1">
      <c r="B122" s="13" t="s">
        <v>1</v>
      </c>
      <c r="C122" s="13" t="s">
        <v>54</v>
      </c>
      <c r="D122" s="29" t="s">
        <v>93</v>
      </c>
      <c r="E122" s="14" t="s">
        <v>99</v>
      </c>
      <c r="F122" s="14">
        <v>4</v>
      </c>
      <c r="H122" s="165" t="e" cm="1">
        <f t="array" ref="H122">IF(INDEX($K:$Z,ROW(C122),MATCH(IF(VLOOKUP(_xlfn.CONCAT(B122,C122),'Detalhe Entregas e Status'!$D$9:$J$81,7,0)=DATE(2025,5,5),DATE(2025,5,12),VLOOKUP(_xlfn.CONCAT(B122,C122),'Detalhe Entregas e Status'!$D$9:$J$81,7,0)),$L$8:$Z$8,0))="","",INDEX($K:$Z,ROW(C122),MATCH(IF(VLOOKUP(_xlfn.CONCAT(B122,C122),'Detalhe Entregas e Status'!$D$9:$J$81,7,0)=DATE(2025,5,5),DATE(2025,5,12),VLOOKUP(_xlfn.CONCAT(B122,C122),'Detalhe Entregas e Status'!$D$9:$J$81,7,0)),$L$8:$Z$8,0)))</f>
        <v>#N/A</v>
      </c>
      <c r="I122" s="17"/>
      <c r="J122" s="197" t="s">
        <v>291</v>
      </c>
      <c r="K122" s="245" t="s">
        <v>397</v>
      </c>
      <c r="L122" s="245"/>
      <c r="M122" s="245"/>
      <c r="N122" s="245"/>
      <c r="O122" s="245"/>
    </row>
    <row r="123" spans="2:15" ht="15" hidden="1" customHeight="1">
      <c r="B123" s="13" t="s">
        <v>55</v>
      </c>
      <c r="C123" s="13" t="s">
        <v>89</v>
      </c>
      <c r="D123" s="29" t="s">
        <v>92</v>
      </c>
      <c r="E123" s="14" t="s">
        <v>99</v>
      </c>
      <c r="F123" s="14">
        <v>6</v>
      </c>
      <c r="H123" s="165" t="e" cm="1">
        <f t="array" ref="H123">IF(INDEX($K:$Z,ROW(C123),MATCH(IF(VLOOKUP(_xlfn.CONCAT(B123,C123),'Detalhe Entregas e Status'!$D$9:$J$81,7,0)=DATE(2025,5,5),DATE(2025,5,12),VLOOKUP(_xlfn.CONCAT(B123,C123),'Detalhe Entregas e Status'!$D$9:$J$81,7,0)),$L$8:$Z$8,0))="","",INDEX($K:$Z,ROW(C123),MATCH(IF(VLOOKUP(_xlfn.CONCAT(B123,C123),'Detalhe Entregas e Status'!$D$9:$J$81,7,0)=DATE(2025,5,5),DATE(2025,5,12),VLOOKUP(_xlfn.CONCAT(B123,C123),'Detalhe Entregas e Status'!$D$9:$J$81,7,0)),$L$8:$Z$8,0)))</f>
        <v>#N/A</v>
      </c>
      <c r="I123" s="17"/>
      <c r="J123" s="197" t="s">
        <v>291</v>
      </c>
      <c r="K123" s="245" t="s">
        <v>396</v>
      </c>
      <c r="L123" s="245"/>
      <c r="M123" s="245"/>
      <c r="N123" s="245" t="s">
        <v>396</v>
      </c>
      <c r="O123" s="245"/>
    </row>
    <row r="124" spans="2:15" ht="15" hidden="1" customHeight="1">
      <c r="B124" s="13" t="s">
        <v>55</v>
      </c>
      <c r="C124" s="13" t="s">
        <v>36</v>
      </c>
      <c r="D124" s="29" t="s">
        <v>96</v>
      </c>
      <c r="E124" s="14" t="s">
        <v>100</v>
      </c>
      <c r="F124" s="14">
        <v>2</v>
      </c>
      <c r="H124" s="165" t="e" cm="1">
        <f t="array" ref="H124">IF(INDEX($K:$Z,ROW(C124),MATCH(IF(VLOOKUP(_xlfn.CONCAT(B124,C124),'Detalhe Entregas e Status'!$D$9:$J$81,7,0)=DATE(2025,5,5),DATE(2025,5,12),VLOOKUP(_xlfn.CONCAT(B124,C124),'Detalhe Entregas e Status'!$D$9:$J$81,7,0)),$L$8:$Z$8,0))="","",INDEX($K:$Z,ROW(C124),MATCH(IF(VLOOKUP(_xlfn.CONCAT(B124,C124),'Detalhe Entregas e Status'!$D$9:$J$81,7,0)=DATE(2025,5,5),DATE(2025,5,12),VLOOKUP(_xlfn.CONCAT(B124,C124),'Detalhe Entregas e Status'!$D$9:$J$81,7,0)),$L$8:$Z$8,0)))</f>
        <v>#N/A</v>
      </c>
      <c r="I124" s="17" t="s">
        <v>290</v>
      </c>
      <c r="J124" s="197" t="s">
        <v>291</v>
      </c>
      <c r="K124" s="245" t="s">
        <v>396</v>
      </c>
      <c r="L124" s="245"/>
      <c r="M124" s="245"/>
      <c r="N124" s="245" t="s">
        <v>396</v>
      </c>
      <c r="O124" s="245"/>
    </row>
    <row r="125" spans="2:15" ht="15" hidden="1" customHeight="1">
      <c r="B125" s="13" t="s">
        <v>55</v>
      </c>
      <c r="C125" s="13" t="s">
        <v>36</v>
      </c>
      <c r="D125" s="29" t="s">
        <v>94</v>
      </c>
      <c r="E125" s="14" t="s">
        <v>100</v>
      </c>
      <c r="F125" s="14">
        <v>1</v>
      </c>
      <c r="H125" s="165" t="e" cm="1">
        <f t="array" ref="H125">IF(INDEX($K:$Z,ROW(C125),MATCH(IF(VLOOKUP(_xlfn.CONCAT(B125,C125),'Detalhe Entregas e Status'!$D$9:$J$81,7,0)=DATE(2025,5,5),DATE(2025,5,12),VLOOKUP(_xlfn.CONCAT(B125,C125),'Detalhe Entregas e Status'!$D$9:$J$81,7,0)),$L$8:$Z$8,0))="","",INDEX($K:$Z,ROW(C125),MATCH(IF(VLOOKUP(_xlfn.CONCAT(B125,C125),'Detalhe Entregas e Status'!$D$9:$J$81,7,0)=DATE(2025,5,5),DATE(2025,5,12),VLOOKUP(_xlfn.CONCAT(B125,C125),'Detalhe Entregas e Status'!$D$9:$J$81,7,0)),$L$8:$Z$8,0)))</f>
        <v>#N/A</v>
      </c>
      <c r="I125" s="17"/>
      <c r="J125" s="197" t="s">
        <v>291</v>
      </c>
      <c r="K125" s="245" t="s">
        <v>396</v>
      </c>
      <c r="L125" s="245"/>
      <c r="M125" s="245"/>
      <c r="N125" s="245" t="s">
        <v>396</v>
      </c>
      <c r="O125" s="245"/>
    </row>
    <row r="126" spans="2:15" ht="15" hidden="1" customHeight="1">
      <c r="B126" s="13" t="s">
        <v>55</v>
      </c>
      <c r="C126" s="13" t="s">
        <v>38</v>
      </c>
      <c r="D126" s="29" t="s">
        <v>96</v>
      </c>
      <c r="E126" s="14" t="s">
        <v>100</v>
      </c>
      <c r="F126" s="14">
        <v>2</v>
      </c>
      <c r="H126" s="165" t="e" cm="1">
        <f t="array" ref="H126">IF(INDEX($K:$Z,ROW(C126),MATCH(IF(VLOOKUP(_xlfn.CONCAT(B126,C126),'Detalhe Entregas e Status'!$D$9:$J$81,7,0)=DATE(2025,5,5),DATE(2025,5,12),VLOOKUP(_xlfn.CONCAT(B126,C126),'Detalhe Entregas e Status'!$D$9:$J$81,7,0)),$L$8:$Z$8,0))="","",INDEX($K:$Z,ROW(C126),MATCH(IF(VLOOKUP(_xlfn.CONCAT(B126,C126),'Detalhe Entregas e Status'!$D$9:$J$81,7,0)=DATE(2025,5,5),DATE(2025,5,12),VLOOKUP(_xlfn.CONCAT(B126,C126),'Detalhe Entregas e Status'!$D$9:$J$81,7,0)),$L$8:$Z$8,0)))</f>
        <v>#N/A</v>
      </c>
      <c r="I126" s="17" t="s">
        <v>290</v>
      </c>
      <c r="J126" s="197" t="s">
        <v>291</v>
      </c>
      <c r="K126" s="245" t="s">
        <v>396</v>
      </c>
      <c r="L126" s="245"/>
      <c r="M126" s="245"/>
      <c r="N126" s="245" t="s">
        <v>396</v>
      </c>
      <c r="O126" s="245"/>
    </row>
    <row r="127" spans="2:15" ht="15" hidden="1" customHeight="1">
      <c r="B127" s="13" t="s">
        <v>55</v>
      </c>
      <c r="C127" s="13" t="s">
        <v>38</v>
      </c>
      <c r="D127" s="29" t="s">
        <v>94</v>
      </c>
      <c r="E127" s="14" t="s">
        <v>100</v>
      </c>
      <c r="F127" s="14">
        <v>1</v>
      </c>
      <c r="H127" s="165" t="e" cm="1">
        <f t="array" ref="H127">IF(INDEX($K:$Z,ROW(C127),MATCH(IF(VLOOKUP(_xlfn.CONCAT(B127,C127),'Detalhe Entregas e Status'!$D$9:$J$81,7,0)=DATE(2025,5,5),DATE(2025,5,12),VLOOKUP(_xlfn.CONCAT(B127,C127),'Detalhe Entregas e Status'!$D$9:$J$81,7,0)),$L$8:$Z$8,0))="","",INDEX($K:$Z,ROW(C127),MATCH(IF(VLOOKUP(_xlfn.CONCAT(B127,C127),'Detalhe Entregas e Status'!$D$9:$J$81,7,0)=DATE(2025,5,5),DATE(2025,5,12),VLOOKUP(_xlfn.CONCAT(B127,C127),'Detalhe Entregas e Status'!$D$9:$J$81,7,0)),$L$8:$Z$8,0)))</f>
        <v>#N/A</v>
      </c>
      <c r="I127" s="17"/>
      <c r="J127" s="197" t="s">
        <v>291</v>
      </c>
      <c r="K127" s="245" t="s">
        <v>396</v>
      </c>
      <c r="L127" s="245"/>
      <c r="M127" s="245"/>
      <c r="N127" s="245" t="s">
        <v>396</v>
      </c>
      <c r="O127" s="245"/>
    </row>
    <row r="128" spans="2:15" ht="15" hidden="1" customHeight="1">
      <c r="B128" s="13" t="s">
        <v>55</v>
      </c>
      <c r="C128" s="13" t="s">
        <v>56</v>
      </c>
      <c r="D128" s="29" t="s">
        <v>96</v>
      </c>
      <c r="E128" s="14" t="s">
        <v>100</v>
      </c>
      <c r="F128" s="14">
        <v>2</v>
      </c>
      <c r="H128" s="165" t="e" cm="1">
        <f t="array" ref="H128">IF(INDEX($K:$Z,ROW(C128),MATCH(IF(VLOOKUP(_xlfn.CONCAT(B128,C128),'Detalhe Entregas e Status'!$D$9:$J$81,7,0)=DATE(2025,5,5),DATE(2025,5,12),VLOOKUP(_xlfn.CONCAT(B128,C128),'Detalhe Entregas e Status'!$D$9:$J$81,7,0)),$L$8:$Z$8,0))="","",INDEX($K:$Z,ROW(C128),MATCH(IF(VLOOKUP(_xlfn.CONCAT(B128,C128),'Detalhe Entregas e Status'!$D$9:$J$81,7,0)=DATE(2025,5,5),DATE(2025,5,12),VLOOKUP(_xlfn.CONCAT(B128,C128),'Detalhe Entregas e Status'!$D$9:$J$81,7,0)),$L$8:$Z$8,0)))</f>
        <v>#N/A</v>
      </c>
      <c r="I128" s="17" t="s">
        <v>290</v>
      </c>
      <c r="J128" s="197" t="s">
        <v>291</v>
      </c>
      <c r="K128" s="245" t="s">
        <v>396</v>
      </c>
      <c r="L128" s="245"/>
      <c r="M128" s="245"/>
      <c r="N128" s="245" t="s">
        <v>396</v>
      </c>
      <c r="O128" s="245"/>
    </row>
    <row r="129" spans="2:16" ht="15" hidden="1" customHeight="1">
      <c r="B129" s="13" t="s">
        <v>55</v>
      </c>
      <c r="C129" s="13" t="s">
        <v>56</v>
      </c>
      <c r="D129" s="29" t="s">
        <v>94</v>
      </c>
      <c r="E129" s="14" t="s">
        <v>100</v>
      </c>
      <c r="F129" s="14">
        <v>1</v>
      </c>
      <c r="H129" s="165" t="e" cm="1">
        <f t="array" ref="H129">IF(INDEX($K:$Z,ROW(C129),MATCH(IF(VLOOKUP(_xlfn.CONCAT(B129,C129),'Detalhe Entregas e Status'!$D$9:$J$81,7,0)=DATE(2025,5,5),DATE(2025,5,12),VLOOKUP(_xlfn.CONCAT(B129,C129),'Detalhe Entregas e Status'!$D$9:$J$81,7,0)),$L$8:$Z$8,0))="","",INDEX($K:$Z,ROW(C129),MATCH(IF(VLOOKUP(_xlfn.CONCAT(B129,C129),'Detalhe Entregas e Status'!$D$9:$J$81,7,0)=DATE(2025,5,5),DATE(2025,5,12),VLOOKUP(_xlfn.CONCAT(B129,C129),'Detalhe Entregas e Status'!$D$9:$J$81,7,0)),$L$8:$Z$8,0)))</f>
        <v>#N/A</v>
      </c>
      <c r="I129" s="17"/>
      <c r="J129" s="197" t="s">
        <v>291</v>
      </c>
      <c r="K129" s="245" t="s">
        <v>396</v>
      </c>
      <c r="L129" s="245"/>
      <c r="M129" s="245"/>
      <c r="N129" s="245" t="s">
        <v>396</v>
      </c>
      <c r="O129" s="245"/>
    </row>
    <row r="130" spans="2:16" ht="15" hidden="1" customHeight="1">
      <c r="B130" s="13" t="s">
        <v>55</v>
      </c>
      <c r="C130" s="13" t="s">
        <v>57</v>
      </c>
      <c r="D130" s="29" t="s">
        <v>96</v>
      </c>
      <c r="E130" s="14" t="s">
        <v>100</v>
      </c>
      <c r="F130" s="14">
        <v>2</v>
      </c>
      <c r="H130" s="165" t="e" cm="1">
        <f t="array" ref="H130">IF(INDEX($K:$Z,ROW(C130),MATCH(IF(VLOOKUP(_xlfn.CONCAT(B130,C130),'Detalhe Entregas e Status'!$D$9:$J$81,7,0)=DATE(2025,5,5),DATE(2025,5,12),VLOOKUP(_xlfn.CONCAT(B130,C130),'Detalhe Entregas e Status'!$D$9:$J$81,7,0)),$L$8:$Z$8,0))="","",INDEX($K:$Z,ROW(C130),MATCH(IF(VLOOKUP(_xlfn.CONCAT(B130,C130),'Detalhe Entregas e Status'!$D$9:$J$81,7,0)=DATE(2025,5,5),DATE(2025,5,12),VLOOKUP(_xlfn.CONCAT(B130,C130),'Detalhe Entregas e Status'!$D$9:$J$81,7,0)),$L$8:$Z$8,0)))</f>
        <v>#N/A</v>
      </c>
      <c r="I130" s="17" t="s">
        <v>290</v>
      </c>
      <c r="J130" s="197" t="s">
        <v>291</v>
      </c>
      <c r="K130" s="245" t="s">
        <v>396</v>
      </c>
      <c r="L130" s="245"/>
      <c r="M130" s="245"/>
      <c r="N130" s="245" t="s">
        <v>396</v>
      </c>
      <c r="O130" s="245"/>
    </row>
    <row r="131" spans="2:16" ht="15" hidden="1" customHeight="1">
      <c r="B131" s="13" t="s">
        <v>55</v>
      </c>
      <c r="C131" s="13" t="s">
        <v>57</v>
      </c>
      <c r="D131" s="29" t="s">
        <v>94</v>
      </c>
      <c r="E131" s="14" t="s">
        <v>100</v>
      </c>
      <c r="F131" s="14">
        <v>1</v>
      </c>
      <c r="H131" s="165" t="e" cm="1">
        <f t="array" ref="H131">IF(INDEX($K:$Z,ROW(C131),MATCH(IF(VLOOKUP(_xlfn.CONCAT(B131,C131),'Detalhe Entregas e Status'!$D$9:$J$81,7,0)=DATE(2025,5,5),DATE(2025,5,12),VLOOKUP(_xlfn.CONCAT(B131,C131),'Detalhe Entregas e Status'!$D$9:$J$81,7,0)),$L$8:$Z$8,0))="","",INDEX($K:$Z,ROW(C131),MATCH(IF(VLOOKUP(_xlfn.CONCAT(B131,C131),'Detalhe Entregas e Status'!$D$9:$J$81,7,0)=DATE(2025,5,5),DATE(2025,5,12),VLOOKUP(_xlfn.CONCAT(B131,C131),'Detalhe Entregas e Status'!$D$9:$J$81,7,0)),$L$8:$Z$8,0)))</f>
        <v>#N/A</v>
      </c>
      <c r="I131" s="17"/>
      <c r="J131" s="197" t="s">
        <v>291</v>
      </c>
      <c r="K131" s="245" t="s">
        <v>396</v>
      </c>
      <c r="L131" s="245"/>
      <c r="M131" s="245"/>
      <c r="N131" s="245" t="s">
        <v>396</v>
      </c>
      <c r="O131" s="245"/>
    </row>
    <row r="132" spans="2:16" ht="15" hidden="1" customHeight="1">
      <c r="B132" s="13" t="s">
        <v>55</v>
      </c>
      <c r="C132" s="13" t="s">
        <v>57</v>
      </c>
      <c r="D132" s="29" t="s">
        <v>95</v>
      </c>
      <c r="E132" s="14" t="s">
        <v>100</v>
      </c>
      <c r="F132" s="14">
        <v>2</v>
      </c>
      <c r="H132" s="165" t="e" cm="1">
        <f t="array" ref="H132">IF(INDEX($K:$Z,ROW(C132),MATCH(IF(VLOOKUP(_xlfn.CONCAT(B132,C132),'Detalhe Entregas e Status'!$D$9:$J$81,7,0)=DATE(2025,5,5),DATE(2025,5,12),VLOOKUP(_xlfn.CONCAT(B132,C132),'Detalhe Entregas e Status'!$D$9:$J$81,7,0)),$L$8:$Z$8,0))="","",INDEX($K:$Z,ROW(C132),MATCH(IF(VLOOKUP(_xlfn.CONCAT(B132,C132),'Detalhe Entregas e Status'!$D$9:$J$81,7,0)=DATE(2025,5,5),DATE(2025,5,12),VLOOKUP(_xlfn.CONCAT(B132,C132),'Detalhe Entregas e Status'!$D$9:$J$81,7,0)),$L$8:$Z$8,0)))</f>
        <v>#N/A</v>
      </c>
      <c r="I132" s="17"/>
      <c r="J132" s="197" t="s">
        <v>291</v>
      </c>
      <c r="K132" s="245" t="s">
        <v>396</v>
      </c>
      <c r="L132" s="245"/>
      <c r="M132" s="245"/>
      <c r="N132" s="245" t="s">
        <v>396</v>
      </c>
      <c r="O132" s="245"/>
    </row>
    <row r="133" spans="2:16" ht="15" hidden="1" customHeight="1">
      <c r="B133" s="13" t="s">
        <v>55</v>
      </c>
      <c r="C133" s="13" t="s">
        <v>58</v>
      </c>
      <c r="D133" s="29" t="s">
        <v>96</v>
      </c>
      <c r="E133" s="14" t="s">
        <v>100</v>
      </c>
      <c r="F133" s="14">
        <v>2</v>
      </c>
      <c r="H133" s="165" t="e" cm="1">
        <f t="array" ref="H133">IF(INDEX($K:$Z,ROW(C133),MATCH(IF(VLOOKUP(_xlfn.CONCAT(B133,C133),'Detalhe Entregas e Status'!$D$9:$J$81,7,0)=DATE(2025,5,5),DATE(2025,5,12),VLOOKUP(_xlfn.CONCAT(B133,C133),'Detalhe Entregas e Status'!$D$9:$J$81,7,0)),$L$8:$Z$8,0))="","",INDEX($K:$Z,ROW(C133),MATCH(IF(VLOOKUP(_xlfn.CONCAT(B133,C133),'Detalhe Entregas e Status'!$D$9:$J$81,7,0)=DATE(2025,5,5),DATE(2025,5,12),VLOOKUP(_xlfn.CONCAT(B133,C133),'Detalhe Entregas e Status'!$D$9:$J$81,7,0)),$L$8:$Z$8,0)))</f>
        <v>#N/A</v>
      </c>
      <c r="I133" s="17" t="s">
        <v>290</v>
      </c>
      <c r="J133" s="197" t="s">
        <v>291</v>
      </c>
      <c r="K133" s="245" t="s">
        <v>397</v>
      </c>
      <c r="L133" s="245"/>
      <c r="M133" s="245"/>
      <c r="N133" s="245" t="s">
        <v>397</v>
      </c>
      <c r="O133" s="245"/>
      <c r="P133" s="199" t="s">
        <v>408</v>
      </c>
    </row>
    <row r="134" spans="2:16" ht="15" hidden="1" customHeight="1">
      <c r="B134" s="13" t="s">
        <v>55</v>
      </c>
      <c r="C134" s="13" t="s">
        <v>58</v>
      </c>
      <c r="D134" s="29" t="s">
        <v>94</v>
      </c>
      <c r="E134" s="14" t="s">
        <v>100</v>
      </c>
      <c r="F134" s="14">
        <v>1</v>
      </c>
      <c r="H134" s="165" t="e" cm="1">
        <f t="array" ref="H134">IF(INDEX($K:$Z,ROW(C134),MATCH(IF(VLOOKUP(_xlfn.CONCAT(B134,C134),'Detalhe Entregas e Status'!$D$9:$J$81,7,0)=DATE(2025,5,5),DATE(2025,5,12),VLOOKUP(_xlfn.CONCAT(B134,C134),'Detalhe Entregas e Status'!$D$9:$J$81,7,0)),$L$8:$Z$8,0))="","",INDEX($K:$Z,ROW(C134),MATCH(IF(VLOOKUP(_xlfn.CONCAT(B134,C134),'Detalhe Entregas e Status'!$D$9:$J$81,7,0)=DATE(2025,5,5),DATE(2025,5,12),VLOOKUP(_xlfn.CONCAT(B134,C134),'Detalhe Entregas e Status'!$D$9:$J$81,7,0)),$L$8:$Z$8,0)))</f>
        <v>#N/A</v>
      </c>
      <c r="I134" s="17"/>
      <c r="J134" s="197" t="s">
        <v>291</v>
      </c>
      <c r="K134" s="245" t="s">
        <v>397</v>
      </c>
      <c r="L134" s="245"/>
      <c r="M134" s="245"/>
      <c r="N134" s="245" t="s">
        <v>396</v>
      </c>
      <c r="O134" s="245"/>
    </row>
    <row r="135" spans="2:16" ht="15" hidden="1" customHeight="1">
      <c r="B135" s="13" t="s">
        <v>55</v>
      </c>
      <c r="C135" s="13" t="s">
        <v>59</v>
      </c>
      <c r="D135" s="29" t="s">
        <v>96</v>
      </c>
      <c r="E135" s="14" t="s">
        <v>99</v>
      </c>
      <c r="F135" s="14">
        <v>2</v>
      </c>
      <c r="H135" s="165" t="e" cm="1">
        <f t="array" ref="H135">IF(INDEX($K:$Z,ROW(C135),MATCH(IF(VLOOKUP(_xlfn.CONCAT(B135,C135),'Detalhe Entregas e Status'!$D$9:$J$81,7,0)=DATE(2025,5,5),DATE(2025,5,12),VLOOKUP(_xlfn.CONCAT(B135,C135),'Detalhe Entregas e Status'!$D$9:$J$81,7,0)),$L$8:$Z$8,0))="","",INDEX($K:$Z,ROW(C135),MATCH(IF(VLOOKUP(_xlfn.CONCAT(B135,C135),'Detalhe Entregas e Status'!$D$9:$J$81,7,0)=DATE(2025,5,5),DATE(2025,5,12),VLOOKUP(_xlfn.CONCAT(B135,C135),'Detalhe Entregas e Status'!$D$9:$J$81,7,0)),$L$8:$Z$8,0)))</f>
        <v>#N/A</v>
      </c>
      <c r="I135" s="17" t="s">
        <v>290</v>
      </c>
      <c r="J135" s="197" t="s">
        <v>291</v>
      </c>
      <c r="K135" s="245" t="s">
        <v>396</v>
      </c>
      <c r="L135" s="245"/>
      <c r="M135" s="245"/>
      <c r="N135" s="245" t="s">
        <v>396</v>
      </c>
      <c r="O135" s="245"/>
    </row>
    <row r="136" spans="2:16" ht="15" hidden="1" customHeight="1">
      <c r="B136" s="13" t="s">
        <v>55</v>
      </c>
      <c r="C136" s="13" t="s">
        <v>59</v>
      </c>
      <c r="D136" s="29" t="s">
        <v>94</v>
      </c>
      <c r="E136" s="14" t="s">
        <v>100</v>
      </c>
      <c r="F136" s="14">
        <v>1</v>
      </c>
      <c r="H136" s="165" t="e" cm="1">
        <f t="array" ref="H136">IF(INDEX($K:$Z,ROW(C136),MATCH(IF(VLOOKUP(_xlfn.CONCAT(B136,C136),'Detalhe Entregas e Status'!$D$9:$J$81,7,0)=DATE(2025,5,5),DATE(2025,5,12),VLOOKUP(_xlfn.CONCAT(B136,C136),'Detalhe Entregas e Status'!$D$9:$J$81,7,0)),$L$8:$Z$8,0))="","",INDEX($K:$Z,ROW(C136),MATCH(IF(VLOOKUP(_xlfn.CONCAT(B136,C136),'Detalhe Entregas e Status'!$D$9:$J$81,7,0)=DATE(2025,5,5),DATE(2025,5,12),VLOOKUP(_xlfn.CONCAT(B136,C136),'Detalhe Entregas e Status'!$D$9:$J$81,7,0)),$L$8:$Z$8,0)))</f>
        <v>#N/A</v>
      </c>
      <c r="I136" s="17"/>
      <c r="J136" s="197" t="s">
        <v>291</v>
      </c>
      <c r="K136" s="245" t="s">
        <v>396</v>
      </c>
      <c r="L136" s="245"/>
      <c r="M136" s="245"/>
      <c r="N136" s="245" t="s">
        <v>396</v>
      </c>
      <c r="O136" s="245"/>
    </row>
    <row r="137" spans="2:16" ht="15" hidden="1" customHeight="1">
      <c r="B137" s="13" t="s">
        <v>55</v>
      </c>
      <c r="C137" s="13" t="s">
        <v>59</v>
      </c>
      <c r="D137" s="29" t="s">
        <v>95</v>
      </c>
      <c r="E137" s="14" t="s">
        <v>100</v>
      </c>
      <c r="F137" s="14">
        <v>2</v>
      </c>
      <c r="H137" s="165" t="e" cm="1">
        <f t="array" ref="H137">IF(INDEX($K:$Z,ROW(C137),MATCH(IF(VLOOKUP(_xlfn.CONCAT(B137,C137),'Detalhe Entregas e Status'!$D$9:$J$81,7,0)=DATE(2025,5,5),DATE(2025,5,12),VLOOKUP(_xlfn.CONCAT(B137,C137),'Detalhe Entregas e Status'!$D$9:$J$81,7,0)),$L$8:$Z$8,0))="","",INDEX($K:$Z,ROW(C137),MATCH(IF(VLOOKUP(_xlfn.CONCAT(B137,C137),'Detalhe Entregas e Status'!$D$9:$J$81,7,0)=DATE(2025,5,5),DATE(2025,5,12),VLOOKUP(_xlfn.CONCAT(B137,C137),'Detalhe Entregas e Status'!$D$9:$J$81,7,0)),$L$8:$Z$8,0)))</f>
        <v>#N/A</v>
      </c>
      <c r="I137" s="17"/>
      <c r="J137" s="197" t="s">
        <v>291</v>
      </c>
      <c r="K137" s="245" t="s">
        <v>396</v>
      </c>
      <c r="L137" s="245"/>
      <c r="M137" s="245"/>
      <c r="N137" s="245" t="s">
        <v>396</v>
      </c>
      <c r="O137" s="245"/>
    </row>
    <row r="138" spans="2:16" ht="15" hidden="1" customHeight="1">
      <c r="B138" s="13" t="s">
        <v>55</v>
      </c>
      <c r="C138" s="13" t="s">
        <v>59</v>
      </c>
      <c r="D138" s="29" t="s">
        <v>93</v>
      </c>
      <c r="E138" s="14" t="s">
        <v>99</v>
      </c>
      <c r="F138" s="14">
        <v>4</v>
      </c>
      <c r="H138" s="165" t="e" cm="1">
        <f t="array" ref="H138">IF(INDEX($K:$Z,ROW(C138),MATCH(IF(VLOOKUP(_xlfn.CONCAT(B138,C138),'Detalhe Entregas e Status'!$D$9:$J$81,7,0)=DATE(2025,5,5),DATE(2025,5,12),VLOOKUP(_xlfn.CONCAT(B138,C138),'Detalhe Entregas e Status'!$D$9:$J$81,7,0)),$L$8:$Z$8,0))="","",INDEX($K:$Z,ROW(C138),MATCH(IF(VLOOKUP(_xlfn.CONCAT(B138,C138),'Detalhe Entregas e Status'!$D$9:$J$81,7,0)=DATE(2025,5,5),DATE(2025,5,12),VLOOKUP(_xlfn.CONCAT(B138,C138),'Detalhe Entregas e Status'!$D$9:$J$81,7,0)),$L$8:$Z$8,0)))</f>
        <v>#N/A</v>
      </c>
      <c r="I138" s="17"/>
      <c r="J138" s="197" t="s">
        <v>291</v>
      </c>
      <c r="K138" s="245" t="s">
        <v>396</v>
      </c>
      <c r="L138" s="245"/>
      <c r="M138" s="245"/>
      <c r="N138" s="245" t="s">
        <v>396</v>
      </c>
      <c r="O138" s="245"/>
    </row>
    <row r="139" spans="2:16" ht="15" hidden="1" customHeight="1">
      <c r="B139" s="13" t="s">
        <v>55</v>
      </c>
      <c r="C139" s="13" t="s">
        <v>60</v>
      </c>
      <c r="D139" s="29" t="s">
        <v>94</v>
      </c>
      <c r="E139" s="14" t="s">
        <v>100</v>
      </c>
      <c r="F139" s="14">
        <v>1</v>
      </c>
      <c r="H139" s="165" t="e" cm="1">
        <f t="array" ref="H139">IF(INDEX($K:$Z,ROW(C139),MATCH(IF(VLOOKUP(_xlfn.CONCAT(B139,C139),'Detalhe Entregas e Status'!$D$9:$J$81,7,0)=DATE(2025,5,5),DATE(2025,5,12),VLOOKUP(_xlfn.CONCAT(B139,C139),'Detalhe Entregas e Status'!$D$9:$J$81,7,0)),$L$8:$Z$8,0))="","",INDEX($K:$Z,ROW(C139),MATCH(IF(VLOOKUP(_xlfn.CONCAT(B139,C139),'Detalhe Entregas e Status'!$D$9:$J$81,7,0)=DATE(2025,5,5),DATE(2025,5,12),VLOOKUP(_xlfn.CONCAT(B139,C139),'Detalhe Entregas e Status'!$D$9:$J$81,7,0)),$L$8:$Z$8,0)))</f>
        <v>#N/A</v>
      </c>
      <c r="I139" s="17"/>
      <c r="J139" s="197" t="s">
        <v>291</v>
      </c>
      <c r="K139" s="245" t="s">
        <v>397</v>
      </c>
      <c r="L139" s="245"/>
      <c r="M139" s="245"/>
      <c r="N139" s="245" t="s">
        <v>396</v>
      </c>
      <c r="O139" s="245"/>
    </row>
    <row r="140" spans="2:16" ht="15" hidden="1" customHeight="1">
      <c r="B140" s="13" t="s">
        <v>55</v>
      </c>
      <c r="C140" s="13" t="s">
        <v>60</v>
      </c>
      <c r="D140" s="29" t="s">
        <v>95</v>
      </c>
      <c r="E140" s="14" t="s">
        <v>100</v>
      </c>
      <c r="F140" s="14">
        <v>2</v>
      </c>
      <c r="H140" s="165" t="e" cm="1">
        <f t="array" ref="H140">IF(INDEX($K:$Z,ROW(C140),MATCH(IF(VLOOKUP(_xlfn.CONCAT(B140,C140),'Detalhe Entregas e Status'!$D$9:$J$81,7,0)=DATE(2025,5,5),DATE(2025,5,12),VLOOKUP(_xlfn.CONCAT(B140,C140),'Detalhe Entregas e Status'!$D$9:$J$81,7,0)),$L$8:$Z$8,0))="","",INDEX($K:$Z,ROW(C140),MATCH(IF(VLOOKUP(_xlfn.CONCAT(B140,C140),'Detalhe Entregas e Status'!$D$9:$J$81,7,0)=DATE(2025,5,5),DATE(2025,5,12),VLOOKUP(_xlfn.CONCAT(B140,C140),'Detalhe Entregas e Status'!$D$9:$J$81,7,0)),$L$8:$Z$8,0)))</f>
        <v>#N/A</v>
      </c>
      <c r="I140" s="17"/>
      <c r="J140" s="197" t="s">
        <v>291</v>
      </c>
      <c r="K140" s="245" t="s">
        <v>397</v>
      </c>
      <c r="L140" s="245"/>
      <c r="M140" s="245"/>
      <c r="N140" s="245" t="s">
        <v>396</v>
      </c>
      <c r="O140" s="245"/>
    </row>
    <row r="141" spans="2:16" ht="15" hidden="1" customHeight="1">
      <c r="B141" s="13" t="s">
        <v>55</v>
      </c>
      <c r="C141" s="13" t="s">
        <v>60</v>
      </c>
      <c r="D141" s="29" t="s">
        <v>93</v>
      </c>
      <c r="E141" s="14" t="s">
        <v>99</v>
      </c>
      <c r="F141" s="14">
        <v>4</v>
      </c>
      <c r="H141" s="165" t="e" cm="1">
        <f t="array" ref="H141">IF(INDEX($K:$Z,ROW(C141),MATCH(IF(VLOOKUP(_xlfn.CONCAT(B141,C141),'Detalhe Entregas e Status'!$D$9:$J$81,7,0)=DATE(2025,5,5),DATE(2025,5,12),VLOOKUP(_xlfn.CONCAT(B141,C141),'Detalhe Entregas e Status'!$D$9:$J$81,7,0)),$L$8:$Z$8,0))="","",INDEX($K:$Z,ROW(C141),MATCH(IF(VLOOKUP(_xlfn.CONCAT(B141,C141),'Detalhe Entregas e Status'!$D$9:$J$81,7,0)=DATE(2025,5,5),DATE(2025,5,12),VLOOKUP(_xlfn.CONCAT(B141,C141),'Detalhe Entregas e Status'!$D$9:$J$81,7,0)),$L$8:$Z$8,0)))</f>
        <v>#N/A</v>
      </c>
      <c r="I141" s="17"/>
      <c r="J141" s="197" t="s">
        <v>291</v>
      </c>
      <c r="K141" s="245" t="s">
        <v>397</v>
      </c>
      <c r="L141" s="245"/>
      <c r="M141" s="245"/>
      <c r="N141" s="245" t="s">
        <v>396</v>
      </c>
      <c r="O141" s="245"/>
    </row>
    <row r="142" spans="2:16" ht="15" hidden="1" customHeight="1">
      <c r="B142" s="13" t="s">
        <v>61</v>
      </c>
      <c r="C142" s="13" t="s">
        <v>89</v>
      </c>
      <c r="D142" s="29" t="s">
        <v>92</v>
      </c>
      <c r="E142" s="14" t="s">
        <v>99</v>
      </c>
      <c r="F142" s="14">
        <v>6</v>
      </c>
      <c r="H142" s="165" t="e" cm="1">
        <f t="array" ref="H142">IF(INDEX($K:$Z,ROW(C142),MATCH(IF(VLOOKUP(_xlfn.CONCAT(B142,C142),'Detalhe Entregas e Status'!$D$9:$J$81,7,0)=DATE(2025,5,5),DATE(2025,5,12),VLOOKUP(_xlfn.CONCAT(B142,C142),'Detalhe Entregas e Status'!$D$9:$J$81,7,0)),$L$8:$Z$8,0))="","",INDEX($K:$Z,ROW(C142),MATCH(IF(VLOOKUP(_xlfn.CONCAT(B142,C142),'Detalhe Entregas e Status'!$D$9:$J$81,7,0)=DATE(2025,5,5),DATE(2025,5,12),VLOOKUP(_xlfn.CONCAT(B142,C142),'Detalhe Entregas e Status'!$D$9:$J$81,7,0)),$L$8:$Z$8,0)))</f>
        <v>#N/A</v>
      </c>
      <c r="I142" s="17"/>
      <c r="J142" s="197" t="s">
        <v>291</v>
      </c>
      <c r="K142" s="245" t="s">
        <v>396</v>
      </c>
      <c r="L142" s="245"/>
      <c r="M142" s="245"/>
      <c r="N142" s="245"/>
      <c r="O142" s="245"/>
    </row>
    <row r="143" spans="2:16" ht="15" hidden="1" customHeight="1">
      <c r="B143" s="13" t="s">
        <v>61</v>
      </c>
      <c r="C143" s="13" t="s">
        <v>36</v>
      </c>
      <c r="D143" s="29" t="s">
        <v>93</v>
      </c>
      <c r="E143" s="14" t="s">
        <v>100</v>
      </c>
      <c r="F143" s="14">
        <v>2</v>
      </c>
      <c r="H143" s="165" t="e" cm="1">
        <f t="array" ref="H143">IF(INDEX($K:$Z,ROW(C143),MATCH(IF(VLOOKUP(_xlfn.CONCAT(B143,C143),'Detalhe Entregas e Status'!$D$9:$J$81,7,0)=DATE(2025,5,5),DATE(2025,5,12),VLOOKUP(_xlfn.CONCAT(B143,C143),'Detalhe Entregas e Status'!$D$9:$J$81,7,0)),$L$8:$Z$8,0))="","",INDEX($K:$Z,ROW(C143),MATCH(IF(VLOOKUP(_xlfn.CONCAT(B143,C143),'Detalhe Entregas e Status'!$D$9:$J$81,7,0)=DATE(2025,5,5),DATE(2025,5,12),VLOOKUP(_xlfn.CONCAT(B143,C143),'Detalhe Entregas e Status'!$D$9:$J$81,7,0)),$L$8:$Z$8,0)))</f>
        <v>#N/A</v>
      </c>
      <c r="I143" s="17" t="s">
        <v>298</v>
      </c>
      <c r="J143" s="197" t="s">
        <v>291</v>
      </c>
      <c r="K143" s="245" t="s">
        <v>396</v>
      </c>
      <c r="L143" s="245"/>
      <c r="M143" s="245"/>
      <c r="N143" s="245"/>
      <c r="O143" s="245"/>
    </row>
    <row r="144" spans="2:16" ht="15" hidden="1" customHeight="1">
      <c r="B144" s="13" t="s">
        <v>61</v>
      </c>
      <c r="C144" s="13" t="s">
        <v>36</v>
      </c>
      <c r="D144" s="29" t="s">
        <v>94</v>
      </c>
      <c r="E144" s="14" t="s">
        <v>100</v>
      </c>
      <c r="F144" s="14">
        <v>1</v>
      </c>
      <c r="H144" s="165" t="e" cm="1">
        <f t="array" ref="H144">IF(INDEX($K:$Z,ROW(C144),MATCH(IF(VLOOKUP(_xlfn.CONCAT(B144,C144),'Detalhe Entregas e Status'!$D$9:$J$81,7,0)=DATE(2025,5,5),DATE(2025,5,12),VLOOKUP(_xlfn.CONCAT(B144,C144),'Detalhe Entregas e Status'!$D$9:$J$81,7,0)),$L$8:$Z$8,0))="","",INDEX($K:$Z,ROW(C144),MATCH(IF(VLOOKUP(_xlfn.CONCAT(B144,C144),'Detalhe Entregas e Status'!$D$9:$J$81,7,0)=DATE(2025,5,5),DATE(2025,5,12),VLOOKUP(_xlfn.CONCAT(B144,C144),'Detalhe Entregas e Status'!$D$9:$J$81,7,0)),$L$8:$Z$8,0)))</f>
        <v>#N/A</v>
      </c>
      <c r="I144" s="17"/>
      <c r="J144" s="197" t="s">
        <v>291</v>
      </c>
      <c r="K144" s="245" t="s">
        <v>396</v>
      </c>
      <c r="L144" s="245"/>
      <c r="M144" s="245"/>
      <c r="N144" s="245"/>
      <c r="O144" s="245"/>
    </row>
    <row r="145" spans="2:15" ht="15" hidden="1" customHeight="1">
      <c r="B145" s="13" t="s">
        <v>61</v>
      </c>
      <c r="C145" s="13" t="s">
        <v>38</v>
      </c>
      <c r="D145" s="29" t="s">
        <v>93</v>
      </c>
      <c r="E145" s="14" t="s">
        <v>100</v>
      </c>
      <c r="F145" s="14">
        <v>2</v>
      </c>
      <c r="H145" s="165" t="e" cm="1">
        <f t="array" ref="H145">IF(INDEX($K:$Z,ROW(C145),MATCH(IF(VLOOKUP(_xlfn.CONCAT(B145,C145),'Detalhe Entregas e Status'!$D$9:$J$81,7,0)=DATE(2025,5,5),DATE(2025,5,12),VLOOKUP(_xlfn.CONCAT(B145,C145),'Detalhe Entregas e Status'!$D$9:$J$81,7,0)),$L$8:$Z$8,0))="","",INDEX($K:$Z,ROW(C145),MATCH(IF(VLOOKUP(_xlfn.CONCAT(B145,C145),'Detalhe Entregas e Status'!$D$9:$J$81,7,0)=DATE(2025,5,5),DATE(2025,5,12),VLOOKUP(_xlfn.CONCAT(B145,C145),'Detalhe Entregas e Status'!$D$9:$J$81,7,0)),$L$8:$Z$8,0)))</f>
        <v>#N/A</v>
      </c>
      <c r="I145" s="17" t="s">
        <v>298</v>
      </c>
      <c r="J145" s="197" t="s">
        <v>291</v>
      </c>
      <c r="K145" s="245" t="s">
        <v>396</v>
      </c>
      <c r="L145" s="245"/>
      <c r="M145" s="245"/>
      <c r="N145" s="245"/>
      <c r="O145" s="245"/>
    </row>
    <row r="146" spans="2:15" ht="15" hidden="1" customHeight="1">
      <c r="B146" s="13" t="s">
        <v>61</v>
      </c>
      <c r="C146" s="13" t="s">
        <v>38</v>
      </c>
      <c r="D146" s="29" t="s">
        <v>94</v>
      </c>
      <c r="E146" s="14" t="s">
        <v>100</v>
      </c>
      <c r="F146" s="14">
        <v>1</v>
      </c>
      <c r="H146" s="165" t="e" cm="1">
        <f t="array" ref="H146">IF(INDEX($K:$Z,ROW(C146),MATCH(IF(VLOOKUP(_xlfn.CONCAT(B146,C146),'Detalhe Entregas e Status'!$D$9:$J$81,7,0)=DATE(2025,5,5),DATE(2025,5,12),VLOOKUP(_xlfn.CONCAT(B146,C146),'Detalhe Entregas e Status'!$D$9:$J$81,7,0)),$L$8:$Z$8,0))="","",INDEX($K:$Z,ROW(C146),MATCH(IF(VLOOKUP(_xlfn.CONCAT(B146,C146),'Detalhe Entregas e Status'!$D$9:$J$81,7,0)=DATE(2025,5,5),DATE(2025,5,12),VLOOKUP(_xlfn.CONCAT(B146,C146),'Detalhe Entregas e Status'!$D$9:$J$81,7,0)),$L$8:$Z$8,0)))</f>
        <v>#N/A</v>
      </c>
      <c r="I146" s="17"/>
      <c r="J146" s="197" t="s">
        <v>291</v>
      </c>
      <c r="K146" s="245" t="s">
        <v>396</v>
      </c>
      <c r="L146" s="245"/>
      <c r="M146" s="245"/>
      <c r="N146" s="245"/>
      <c r="O146" s="245"/>
    </row>
    <row r="147" spans="2:15" ht="15" hidden="1" customHeight="1">
      <c r="B147" s="13" t="s">
        <v>61</v>
      </c>
      <c r="C147" s="13" t="s">
        <v>54</v>
      </c>
      <c r="D147" s="29" t="s">
        <v>93</v>
      </c>
      <c r="E147" s="14" t="s">
        <v>100</v>
      </c>
      <c r="F147" s="14">
        <v>2</v>
      </c>
      <c r="H147" s="165" t="e" cm="1">
        <f t="array" ref="H147">IF(INDEX($K:$Z,ROW(C147),MATCH(IF(VLOOKUP(_xlfn.CONCAT(B147,C147),'Detalhe Entregas e Status'!$D$9:$J$81,7,0)=DATE(2025,5,5),DATE(2025,5,12),VLOOKUP(_xlfn.CONCAT(B147,C147),'Detalhe Entregas e Status'!$D$9:$J$81,7,0)),$L$8:$Z$8,0))="","",INDEX($K:$Z,ROW(C147),MATCH(IF(VLOOKUP(_xlfn.CONCAT(B147,C147),'Detalhe Entregas e Status'!$D$9:$J$81,7,0)=DATE(2025,5,5),DATE(2025,5,12),VLOOKUP(_xlfn.CONCAT(B147,C147),'Detalhe Entregas e Status'!$D$9:$J$81,7,0)),$L$8:$Z$8,0)))</f>
        <v>#N/A</v>
      </c>
      <c r="I147" s="17" t="s">
        <v>298</v>
      </c>
      <c r="J147" s="197" t="s">
        <v>291</v>
      </c>
      <c r="K147" s="245" t="s">
        <v>396</v>
      </c>
      <c r="L147" s="245"/>
      <c r="M147" s="245"/>
      <c r="N147" s="245"/>
      <c r="O147" s="245"/>
    </row>
    <row r="148" spans="2:15" ht="15" hidden="1" customHeight="1">
      <c r="B148" s="13" t="s">
        <v>61</v>
      </c>
      <c r="C148" s="13" t="s">
        <v>54</v>
      </c>
      <c r="D148" s="29" t="s">
        <v>94</v>
      </c>
      <c r="E148" s="14" t="s">
        <v>100</v>
      </c>
      <c r="F148" s="14">
        <v>1</v>
      </c>
      <c r="H148" s="165" t="e" cm="1">
        <f t="array" ref="H148">IF(INDEX($K:$Z,ROW(C148),MATCH(IF(VLOOKUP(_xlfn.CONCAT(B148,C148),'Detalhe Entregas e Status'!$D$9:$J$81,7,0)=DATE(2025,5,5),DATE(2025,5,12),VLOOKUP(_xlfn.CONCAT(B148,C148),'Detalhe Entregas e Status'!$D$9:$J$81,7,0)),$L$8:$Z$8,0))="","",INDEX($K:$Z,ROW(C148),MATCH(IF(VLOOKUP(_xlfn.CONCAT(B148,C148),'Detalhe Entregas e Status'!$D$9:$J$81,7,0)=DATE(2025,5,5),DATE(2025,5,12),VLOOKUP(_xlfn.CONCAT(B148,C148),'Detalhe Entregas e Status'!$D$9:$J$81,7,0)),$L$8:$Z$8,0)))</f>
        <v>#N/A</v>
      </c>
      <c r="I148" s="17"/>
      <c r="J148" s="197" t="s">
        <v>291</v>
      </c>
      <c r="K148" s="245" t="s">
        <v>396</v>
      </c>
      <c r="L148" s="245"/>
      <c r="M148" s="245"/>
      <c r="N148" s="245"/>
      <c r="O148" s="245"/>
    </row>
    <row r="149" spans="2:15" ht="15" hidden="1" customHeight="1">
      <c r="B149" s="13" t="s">
        <v>61</v>
      </c>
      <c r="C149" s="13" t="s">
        <v>56</v>
      </c>
      <c r="D149" s="29" t="s">
        <v>93</v>
      </c>
      <c r="E149" s="14" t="s">
        <v>100</v>
      </c>
      <c r="F149" s="14">
        <v>2</v>
      </c>
      <c r="H149" s="165" t="e" cm="1">
        <f t="array" ref="H149">IF(INDEX($K:$Z,ROW(C149),MATCH(IF(VLOOKUP(_xlfn.CONCAT(B149,C149),'Detalhe Entregas e Status'!$D$9:$J$81,7,0)=DATE(2025,5,5),DATE(2025,5,12),VLOOKUP(_xlfn.CONCAT(B149,C149),'Detalhe Entregas e Status'!$D$9:$J$81,7,0)),$L$8:$Z$8,0))="","",INDEX($K:$Z,ROW(C149),MATCH(IF(VLOOKUP(_xlfn.CONCAT(B149,C149),'Detalhe Entregas e Status'!$D$9:$J$81,7,0)=DATE(2025,5,5),DATE(2025,5,12),VLOOKUP(_xlfn.CONCAT(B149,C149),'Detalhe Entregas e Status'!$D$9:$J$81,7,0)),$L$8:$Z$8,0)))</f>
        <v>#N/A</v>
      </c>
      <c r="I149" s="17" t="s">
        <v>298</v>
      </c>
      <c r="J149" s="197" t="s">
        <v>291</v>
      </c>
      <c r="K149" s="245" t="s">
        <v>396</v>
      </c>
      <c r="L149" s="245"/>
      <c r="M149" s="245"/>
      <c r="N149" s="245"/>
      <c r="O149" s="245"/>
    </row>
    <row r="150" spans="2:15" ht="15" hidden="1" customHeight="1">
      <c r="B150" s="13" t="s">
        <v>61</v>
      </c>
      <c r="C150" s="13" t="s">
        <v>56</v>
      </c>
      <c r="D150" s="29" t="s">
        <v>94</v>
      </c>
      <c r="E150" s="14" t="s">
        <v>100</v>
      </c>
      <c r="F150" s="14">
        <v>1</v>
      </c>
      <c r="H150" s="165" t="e" cm="1">
        <f t="array" ref="H150">IF(INDEX($K:$Z,ROW(C150),MATCH(IF(VLOOKUP(_xlfn.CONCAT(B150,C150),'Detalhe Entregas e Status'!$D$9:$J$81,7,0)=DATE(2025,5,5),DATE(2025,5,12),VLOOKUP(_xlfn.CONCAT(B150,C150),'Detalhe Entregas e Status'!$D$9:$J$81,7,0)),$L$8:$Z$8,0))="","",INDEX($K:$Z,ROW(C150),MATCH(IF(VLOOKUP(_xlfn.CONCAT(B150,C150),'Detalhe Entregas e Status'!$D$9:$J$81,7,0)=DATE(2025,5,5),DATE(2025,5,12),VLOOKUP(_xlfn.CONCAT(B150,C150),'Detalhe Entregas e Status'!$D$9:$J$81,7,0)),$L$8:$Z$8,0)))</f>
        <v>#N/A</v>
      </c>
      <c r="I150" s="17"/>
      <c r="J150" s="197" t="s">
        <v>291</v>
      </c>
      <c r="K150" s="245" t="s">
        <v>396</v>
      </c>
      <c r="L150" s="245"/>
      <c r="M150" s="245"/>
      <c r="N150" s="245"/>
      <c r="O150" s="245"/>
    </row>
    <row r="151" spans="2:15" ht="15" hidden="1" customHeight="1">
      <c r="B151" s="13" t="s">
        <v>61</v>
      </c>
      <c r="C151" s="13" t="s">
        <v>62</v>
      </c>
      <c r="D151" s="29" t="s">
        <v>96</v>
      </c>
      <c r="E151" s="14" t="s">
        <v>99</v>
      </c>
      <c r="F151" s="14">
        <v>2</v>
      </c>
      <c r="H151" s="165" t="e" cm="1">
        <f t="array" ref="H151">IF(INDEX($K:$Z,ROW(C151),MATCH(IF(VLOOKUP(_xlfn.CONCAT(B151,C151),'Detalhe Entregas e Status'!$D$9:$J$81,7,0)=DATE(2025,5,5),DATE(2025,5,12),VLOOKUP(_xlfn.CONCAT(B151,C151),'Detalhe Entregas e Status'!$D$9:$J$81,7,0)),$L$8:$Z$8,0))="","",INDEX($K:$Z,ROW(C151),MATCH(IF(VLOOKUP(_xlfn.CONCAT(B151,C151),'Detalhe Entregas e Status'!$D$9:$J$81,7,0)=DATE(2025,5,5),DATE(2025,5,12),VLOOKUP(_xlfn.CONCAT(B151,C151),'Detalhe Entregas e Status'!$D$9:$J$81,7,0)),$L$8:$Z$8,0)))</f>
        <v>#N/A</v>
      </c>
      <c r="I151" s="17"/>
      <c r="J151" s="197" t="s">
        <v>291</v>
      </c>
      <c r="K151" s="245" t="s">
        <v>396</v>
      </c>
      <c r="L151" s="245" t="s">
        <v>396</v>
      </c>
      <c r="M151" s="245"/>
      <c r="N151" s="245"/>
      <c r="O151" s="245"/>
    </row>
    <row r="152" spans="2:15" ht="15" hidden="1" customHeight="1">
      <c r="B152" s="13" t="s">
        <v>61</v>
      </c>
      <c r="C152" s="13" t="s">
        <v>62</v>
      </c>
      <c r="D152" s="29" t="s">
        <v>94</v>
      </c>
      <c r="E152" s="14" t="s">
        <v>100</v>
      </c>
      <c r="F152" s="14">
        <v>1</v>
      </c>
      <c r="H152" s="165" t="e" cm="1">
        <f t="array" ref="H152">IF(INDEX($K:$Z,ROW(C152),MATCH(IF(VLOOKUP(_xlfn.CONCAT(B152,C152),'Detalhe Entregas e Status'!$D$9:$J$81,7,0)=DATE(2025,5,5),DATE(2025,5,12),VLOOKUP(_xlfn.CONCAT(B152,C152),'Detalhe Entregas e Status'!$D$9:$J$81,7,0)),$L$8:$Z$8,0))="","",INDEX($K:$Z,ROW(C152),MATCH(IF(VLOOKUP(_xlfn.CONCAT(B152,C152),'Detalhe Entregas e Status'!$D$9:$J$81,7,0)=DATE(2025,5,5),DATE(2025,5,12),VLOOKUP(_xlfn.CONCAT(B152,C152),'Detalhe Entregas e Status'!$D$9:$J$81,7,0)),$L$8:$Z$8,0)))</f>
        <v>#N/A</v>
      </c>
      <c r="I152" s="17"/>
      <c r="J152" s="197" t="s">
        <v>291</v>
      </c>
      <c r="K152" s="245" t="s">
        <v>396</v>
      </c>
      <c r="L152" s="245" t="s">
        <v>396</v>
      </c>
      <c r="M152" s="245"/>
      <c r="N152" s="245"/>
      <c r="O152" s="245"/>
    </row>
    <row r="153" spans="2:15" ht="15" hidden="1" customHeight="1">
      <c r="B153" s="13" t="s">
        <v>61</v>
      </c>
      <c r="C153" s="13" t="s">
        <v>62</v>
      </c>
      <c r="D153" s="29" t="s">
        <v>95</v>
      </c>
      <c r="E153" s="14" t="s">
        <v>100</v>
      </c>
      <c r="F153" s="14">
        <v>2</v>
      </c>
      <c r="H153" s="165" t="e" cm="1">
        <f t="array" ref="H153">IF(INDEX($K:$Z,ROW(C153),MATCH(IF(VLOOKUP(_xlfn.CONCAT(B153,C153),'Detalhe Entregas e Status'!$D$9:$J$81,7,0)=DATE(2025,5,5),DATE(2025,5,12),VLOOKUP(_xlfn.CONCAT(B153,C153),'Detalhe Entregas e Status'!$D$9:$J$81,7,0)),$L$8:$Z$8,0))="","",INDEX($K:$Z,ROW(C153),MATCH(IF(VLOOKUP(_xlfn.CONCAT(B153,C153),'Detalhe Entregas e Status'!$D$9:$J$81,7,0)=DATE(2025,5,5),DATE(2025,5,12),VLOOKUP(_xlfn.CONCAT(B153,C153),'Detalhe Entregas e Status'!$D$9:$J$81,7,0)),$L$8:$Z$8,0)))</f>
        <v>#N/A</v>
      </c>
      <c r="I153" s="17"/>
      <c r="J153" s="197" t="s">
        <v>291</v>
      </c>
      <c r="K153" s="245" t="s">
        <v>396</v>
      </c>
      <c r="L153" s="245" t="s">
        <v>396</v>
      </c>
      <c r="M153" s="245"/>
      <c r="N153" s="245"/>
      <c r="O153" s="245"/>
    </row>
    <row r="154" spans="2:15" ht="15" hidden="1" customHeight="1">
      <c r="B154" s="13" t="s">
        <v>61</v>
      </c>
      <c r="C154" s="13" t="s">
        <v>62</v>
      </c>
      <c r="D154" s="29" t="s">
        <v>93</v>
      </c>
      <c r="E154" s="14" t="s">
        <v>99</v>
      </c>
      <c r="F154" s="14">
        <v>4</v>
      </c>
      <c r="H154" s="165" t="e" cm="1">
        <f t="array" ref="H154">IF(INDEX($K:$Z,ROW(C154),MATCH(IF(VLOOKUP(_xlfn.CONCAT(B154,C154),'Detalhe Entregas e Status'!$D$9:$J$81,7,0)=DATE(2025,5,5),DATE(2025,5,12),VLOOKUP(_xlfn.CONCAT(B154,C154),'Detalhe Entregas e Status'!$D$9:$J$81,7,0)),$L$8:$Z$8,0))="","",INDEX($K:$Z,ROW(C154),MATCH(IF(VLOOKUP(_xlfn.CONCAT(B154,C154),'Detalhe Entregas e Status'!$D$9:$J$81,7,0)=DATE(2025,5,5),DATE(2025,5,12),VLOOKUP(_xlfn.CONCAT(B154,C154),'Detalhe Entregas e Status'!$D$9:$J$81,7,0)),$L$8:$Z$8,0)))</f>
        <v>#N/A</v>
      </c>
      <c r="I154" s="17"/>
      <c r="J154" s="197" t="s">
        <v>291</v>
      </c>
      <c r="K154" s="245" t="s">
        <v>397</v>
      </c>
      <c r="L154" s="245" t="s">
        <v>397</v>
      </c>
      <c r="M154" s="245"/>
      <c r="N154" s="245"/>
      <c r="O154" s="245"/>
    </row>
    <row r="155" spans="2:15" ht="15" hidden="1" customHeight="1">
      <c r="B155" s="13" t="s">
        <v>63</v>
      </c>
      <c r="C155" s="13" t="s">
        <v>89</v>
      </c>
      <c r="D155" s="29" t="s">
        <v>92</v>
      </c>
      <c r="E155" s="14" t="s">
        <v>98</v>
      </c>
      <c r="F155" s="14">
        <v>16</v>
      </c>
      <c r="H155" s="165" t="e" cm="1">
        <f t="array" ref="H155">IF(INDEX($K:$Z,ROW(C155),MATCH(IF(VLOOKUP(_xlfn.CONCAT(B155,C155),'Detalhe Entregas e Status'!$D$9:$J$81,7,0)=DATE(2025,5,5),DATE(2025,5,12),VLOOKUP(_xlfn.CONCAT(B155,C155),'Detalhe Entregas e Status'!$D$9:$J$81,7,0)),$L$8:$Z$8,0))="","",INDEX($K:$Z,ROW(C155),MATCH(IF(VLOOKUP(_xlfn.CONCAT(B155,C155),'Detalhe Entregas e Status'!$D$9:$J$81,7,0)=DATE(2025,5,5),DATE(2025,5,12),VLOOKUP(_xlfn.CONCAT(B155,C155),'Detalhe Entregas e Status'!$D$9:$J$81,7,0)),$L$8:$Z$8,0)))</f>
        <v>#N/A</v>
      </c>
      <c r="I155" s="17"/>
      <c r="J155" s="197" t="s">
        <v>291</v>
      </c>
      <c r="K155" s="245" t="s">
        <v>397</v>
      </c>
      <c r="L155" s="245"/>
      <c r="M155" s="245"/>
      <c r="N155" s="245"/>
      <c r="O155" s="245"/>
    </row>
    <row r="156" spans="2:15" ht="15" hidden="1" customHeight="1">
      <c r="B156" s="13" t="s">
        <v>63</v>
      </c>
      <c r="C156" s="13" t="s">
        <v>36</v>
      </c>
      <c r="D156" s="29" t="s">
        <v>96</v>
      </c>
      <c r="E156" s="14" t="s">
        <v>100</v>
      </c>
      <c r="F156" s="14">
        <v>2</v>
      </c>
      <c r="H156" s="165" t="e" cm="1">
        <f t="array" ref="H156">IF(INDEX($K:$Z,ROW(C156),MATCH(IF(VLOOKUP(_xlfn.CONCAT(B156,C156),'Detalhe Entregas e Status'!$D$9:$J$81,7,0)=DATE(2025,5,5),DATE(2025,5,12),VLOOKUP(_xlfn.CONCAT(B156,C156),'Detalhe Entregas e Status'!$D$9:$J$81,7,0)),$L$8:$Z$8,0))="","",INDEX($K:$Z,ROW(C156),MATCH(IF(VLOOKUP(_xlfn.CONCAT(B156,C156),'Detalhe Entregas e Status'!$D$9:$J$81,7,0)=DATE(2025,5,5),DATE(2025,5,12),VLOOKUP(_xlfn.CONCAT(B156,C156),'Detalhe Entregas e Status'!$D$9:$J$81,7,0)),$L$8:$Z$8,0)))</f>
        <v>#N/A</v>
      </c>
      <c r="I156" s="17"/>
      <c r="J156" s="197" t="s">
        <v>291</v>
      </c>
      <c r="K156" s="245" t="s">
        <v>396</v>
      </c>
      <c r="L156" s="245"/>
      <c r="M156" s="245"/>
      <c r="N156" s="245"/>
      <c r="O156" s="245"/>
    </row>
    <row r="157" spans="2:15" ht="15" hidden="1" customHeight="1">
      <c r="B157" s="13" t="s">
        <v>63</v>
      </c>
      <c r="C157" s="13" t="s">
        <v>36</v>
      </c>
      <c r="D157" s="29" t="s">
        <v>94</v>
      </c>
      <c r="E157" s="14" t="s">
        <v>100</v>
      </c>
      <c r="F157" s="14">
        <v>1</v>
      </c>
      <c r="H157" s="165" t="e" cm="1">
        <f t="array" ref="H157">IF(INDEX($K:$Z,ROW(C157),MATCH(IF(VLOOKUP(_xlfn.CONCAT(B157,C157),'Detalhe Entregas e Status'!$D$9:$J$81,7,0)=DATE(2025,5,5),DATE(2025,5,12),VLOOKUP(_xlfn.CONCAT(B157,C157),'Detalhe Entregas e Status'!$D$9:$J$81,7,0)),$L$8:$Z$8,0))="","",INDEX($K:$Z,ROW(C157),MATCH(IF(VLOOKUP(_xlfn.CONCAT(B157,C157),'Detalhe Entregas e Status'!$D$9:$J$81,7,0)=DATE(2025,5,5),DATE(2025,5,12),VLOOKUP(_xlfn.CONCAT(B157,C157),'Detalhe Entregas e Status'!$D$9:$J$81,7,0)),$L$8:$Z$8,0)))</f>
        <v>#N/A</v>
      </c>
      <c r="I157" s="17"/>
      <c r="J157" s="197" t="s">
        <v>291</v>
      </c>
      <c r="K157" s="245" t="s">
        <v>396</v>
      </c>
      <c r="L157" s="245"/>
      <c r="M157" s="245"/>
      <c r="N157" s="245"/>
      <c r="O157" s="245"/>
    </row>
    <row r="158" spans="2:15" ht="15" hidden="1" customHeight="1">
      <c r="B158" s="13" t="s">
        <v>63</v>
      </c>
      <c r="C158" s="13" t="s">
        <v>38</v>
      </c>
      <c r="D158" s="29" t="s">
        <v>96</v>
      </c>
      <c r="E158" s="14" t="s">
        <v>100</v>
      </c>
      <c r="F158" s="14">
        <v>2</v>
      </c>
      <c r="H158" s="165" t="e" cm="1">
        <f t="array" ref="H158">IF(INDEX($K:$Z,ROW(C158),MATCH(IF(VLOOKUP(_xlfn.CONCAT(B158,C158),'Detalhe Entregas e Status'!$D$9:$J$81,7,0)=DATE(2025,5,5),DATE(2025,5,12),VLOOKUP(_xlfn.CONCAT(B158,C158),'Detalhe Entregas e Status'!$D$9:$J$81,7,0)),$L$8:$Z$8,0))="","",INDEX($K:$Z,ROW(C158),MATCH(IF(VLOOKUP(_xlfn.CONCAT(B158,C158),'Detalhe Entregas e Status'!$D$9:$J$81,7,0)=DATE(2025,5,5),DATE(2025,5,12),VLOOKUP(_xlfn.CONCAT(B158,C158),'Detalhe Entregas e Status'!$D$9:$J$81,7,0)),$L$8:$Z$8,0)))</f>
        <v>#N/A</v>
      </c>
      <c r="I158" s="17"/>
      <c r="J158" s="197" t="s">
        <v>291</v>
      </c>
      <c r="K158" s="245" t="s">
        <v>396</v>
      </c>
      <c r="L158" s="245"/>
      <c r="M158" s="245"/>
      <c r="N158" s="245"/>
      <c r="O158" s="245"/>
    </row>
    <row r="159" spans="2:15" ht="15" hidden="1" customHeight="1">
      <c r="B159" s="13" t="s">
        <v>63</v>
      </c>
      <c r="C159" s="13" t="s">
        <v>38</v>
      </c>
      <c r="D159" s="29" t="s">
        <v>94</v>
      </c>
      <c r="E159" s="14" t="s">
        <v>100</v>
      </c>
      <c r="F159" s="14">
        <v>1</v>
      </c>
      <c r="H159" s="165" t="e" cm="1">
        <f t="array" ref="H159">IF(INDEX($K:$Z,ROW(C159),MATCH(IF(VLOOKUP(_xlfn.CONCAT(B159,C159),'Detalhe Entregas e Status'!$D$9:$J$81,7,0)=DATE(2025,5,5),DATE(2025,5,12),VLOOKUP(_xlfn.CONCAT(B159,C159),'Detalhe Entregas e Status'!$D$9:$J$81,7,0)),$L$8:$Z$8,0))="","",INDEX($K:$Z,ROW(C159),MATCH(IF(VLOOKUP(_xlfn.CONCAT(B159,C159),'Detalhe Entregas e Status'!$D$9:$J$81,7,0)=DATE(2025,5,5),DATE(2025,5,12),VLOOKUP(_xlfn.CONCAT(B159,C159),'Detalhe Entregas e Status'!$D$9:$J$81,7,0)),$L$8:$Z$8,0)))</f>
        <v>#N/A</v>
      </c>
      <c r="I159" s="17"/>
      <c r="J159" s="197" t="s">
        <v>291</v>
      </c>
      <c r="K159" s="245" t="s">
        <v>396</v>
      </c>
      <c r="L159" s="245"/>
      <c r="M159" s="245"/>
      <c r="N159" s="245"/>
      <c r="O159" s="245"/>
    </row>
    <row r="160" spans="2:15" ht="15" hidden="1" customHeight="1">
      <c r="B160" s="13" t="s">
        <v>63</v>
      </c>
      <c r="C160" s="13" t="s">
        <v>54</v>
      </c>
      <c r="D160" s="29" t="s">
        <v>96</v>
      </c>
      <c r="E160" s="14" t="s">
        <v>100</v>
      </c>
      <c r="F160" s="14">
        <v>2</v>
      </c>
      <c r="H160" s="165" t="e" cm="1">
        <f t="array" ref="H160">IF(INDEX($K:$Z,ROW(C160),MATCH(IF(VLOOKUP(_xlfn.CONCAT(B160,C160),'Detalhe Entregas e Status'!$D$9:$J$81,7,0)=DATE(2025,5,5),DATE(2025,5,12),VLOOKUP(_xlfn.CONCAT(B160,C160),'Detalhe Entregas e Status'!$D$9:$J$81,7,0)),$L$8:$Z$8,0))="","",INDEX($K:$Z,ROW(C160),MATCH(IF(VLOOKUP(_xlfn.CONCAT(B160,C160),'Detalhe Entregas e Status'!$D$9:$J$81,7,0)=DATE(2025,5,5),DATE(2025,5,12),VLOOKUP(_xlfn.CONCAT(B160,C160),'Detalhe Entregas e Status'!$D$9:$J$81,7,0)),$L$8:$Z$8,0)))</f>
        <v>#N/A</v>
      </c>
      <c r="I160" s="17"/>
      <c r="J160" s="197" t="s">
        <v>291</v>
      </c>
      <c r="K160" s="245" t="s">
        <v>397</v>
      </c>
      <c r="L160" s="245"/>
      <c r="M160" s="245"/>
      <c r="N160" s="245"/>
      <c r="O160" s="245"/>
    </row>
    <row r="161" spans="2:15" ht="15" hidden="1" customHeight="1">
      <c r="B161" s="13" t="s">
        <v>63</v>
      </c>
      <c r="C161" s="13" t="s">
        <v>54</v>
      </c>
      <c r="D161" s="29" t="s">
        <v>94</v>
      </c>
      <c r="E161" s="14" t="s">
        <v>100</v>
      </c>
      <c r="F161" s="14">
        <v>1</v>
      </c>
      <c r="H161" s="165" t="e" cm="1">
        <f t="array" ref="H161">IF(INDEX($K:$Z,ROW(C161),MATCH(IF(VLOOKUP(_xlfn.CONCAT(B161,C161),'Detalhe Entregas e Status'!$D$9:$J$81,7,0)=DATE(2025,5,5),DATE(2025,5,12),VLOOKUP(_xlfn.CONCAT(B161,C161),'Detalhe Entregas e Status'!$D$9:$J$81,7,0)),$L$8:$Z$8,0))="","",INDEX($K:$Z,ROW(C161),MATCH(IF(VLOOKUP(_xlfn.CONCAT(B161,C161),'Detalhe Entregas e Status'!$D$9:$J$81,7,0)=DATE(2025,5,5),DATE(2025,5,12),VLOOKUP(_xlfn.CONCAT(B161,C161),'Detalhe Entregas e Status'!$D$9:$J$81,7,0)),$L$8:$Z$8,0)))</f>
        <v>#N/A</v>
      </c>
      <c r="I161" s="17"/>
      <c r="J161" s="197" t="s">
        <v>291</v>
      </c>
      <c r="K161" s="245" t="s">
        <v>396</v>
      </c>
      <c r="L161" s="245"/>
      <c r="M161" s="245"/>
      <c r="N161" s="245"/>
      <c r="O161" s="245"/>
    </row>
    <row r="162" spans="2:15" ht="15" hidden="1" customHeight="1">
      <c r="B162" s="13" t="s">
        <v>63</v>
      </c>
      <c r="C162" s="13" t="s">
        <v>66</v>
      </c>
      <c r="D162" s="29" t="s">
        <v>93</v>
      </c>
      <c r="E162" s="14" t="s">
        <v>99</v>
      </c>
      <c r="F162" s="14">
        <v>4</v>
      </c>
      <c r="H162" s="165" t="e" cm="1">
        <f t="array" ref="H162">IF(INDEX($K:$Z,ROW(C162),MATCH(IF(VLOOKUP(_xlfn.CONCAT(B162,C162),'Detalhe Entregas e Status'!$D$9:$J$81,7,0)=DATE(2025,5,5),DATE(2025,5,12),VLOOKUP(_xlfn.CONCAT(B162,C162),'Detalhe Entregas e Status'!$D$9:$J$81,7,0)),$L$8:$Z$8,0))="","",INDEX($K:$Z,ROW(C162),MATCH(IF(VLOOKUP(_xlfn.CONCAT(B162,C162),'Detalhe Entregas e Status'!$D$9:$J$81,7,0)=DATE(2025,5,5),DATE(2025,5,12),VLOOKUP(_xlfn.CONCAT(B162,C162),'Detalhe Entregas e Status'!$D$9:$J$81,7,0)),$L$8:$Z$8,0)))</f>
        <v>#N/A</v>
      </c>
      <c r="I162" s="17"/>
      <c r="J162" s="197" t="s">
        <v>291</v>
      </c>
      <c r="K162" s="245" t="s">
        <v>397</v>
      </c>
      <c r="L162" s="245"/>
      <c r="M162" s="245"/>
      <c r="N162" s="245"/>
      <c r="O162" s="245"/>
    </row>
    <row r="163" spans="2:15" ht="15" hidden="1" customHeight="1">
      <c r="B163" s="13" t="s">
        <v>63</v>
      </c>
      <c r="C163" s="13" t="s">
        <v>66</v>
      </c>
      <c r="D163" s="29" t="s">
        <v>95</v>
      </c>
      <c r="E163" s="14" t="s">
        <v>100</v>
      </c>
      <c r="F163" s="14">
        <v>2</v>
      </c>
      <c r="H163" s="165" t="e" cm="1">
        <f t="array" ref="H163">IF(INDEX($K:$Z,ROW(C163),MATCH(IF(VLOOKUP(_xlfn.CONCAT(B163,C163),'Detalhe Entregas e Status'!$D$9:$J$81,7,0)=DATE(2025,5,5),DATE(2025,5,12),VLOOKUP(_xlfn.CONCAT(B163,C163),'Detalhe Entregas e Status'!$D$9:$J$81,7,0)),$L$8:$Z$8,0))="","",INDEX($K:$Z,ROW(C163),MATCH(IF(VLOOKUP(_xlfn.CONCAT(B163,C163),'Detalhe Entregas e Status'!$D$9:$J$81,7,0)=DATE(2025,5,5),DATE(2025,5,12),VLOOKUP(_xlfn.CONCAT(B163,C163),'Detalhe Entregas e Status'!$D$9:$J$81,7,0)),$L$8:$Z$8,0)))</f>
        <v>#N/A</v>
      </c>
      <c r="I163" s="17"/>
      <c r="J163" s="197" t="s">
        <v>291</v>
      </c>
      <c r="K163" s="245" t="s">
        <v>397</v>
      </c>
      <c r="L163" s="245"/>
      <c r="M163" s="245"/>
      <c r="N163" s="245"/>
      <c r="O163" s="245"/>
    </row>
    <row r="164" spans="2:15" ht="15" hidden="1" customHeight="1">
      <c r="B164" s="13" t="s">
        <v>63</v>
      </c>
      <c r="C164" s="13" t="s">
        <v>66</v>
      </c>
      <c r="D164" s="29" t="s">
        <v>96</v>
      </c>
      <c r="E164" s="14" t="s">
        <v>99</v>
      </c>
      <c r="F164" s="14">
        <v>2</v>
      </c>
      <c r="H164" s="165" t="e" cm="1">
        <f t="array" ref="H164">IF(INDEX($K:$Z,ROW(C164),MATCH(IF(VLOOKUP(_xlfn.CONCAT(B164,C164),'Detalhe Entregas e Status'!$D$9:$J$81,7,0)=DATE(2025,5,5),DATE(2025,5,12),VLOOKUP(_xlfn.CONCAT(B164,C164),'Detalhe Entregas e Status'!$D$9:$J$81,7,0)),$L$8:$Z$8,0))="","",INDEX($K:$Z,ROW(C164),MATCH(IF(VLOOKUP(_xlfn.CONCAT(B164,C164),'Detalhe Entregas e Status'!$D$9:$J$81,7,0)=DATE(2025,5,5),DATE(2025,5,12),VLOOKUP(_xlfn.CONCAT(B164,C164),'Detalhe Entregas e Status'!$D$9:$J$81,7,0)),$L$8:$Z$8,0)))</f>
        <v>#N/A</v>
      </c>
      <c r="I164" s="17"/>
      <c r="J164" s="197" t="s">
        <v>291</v>
      </c>
      <c r="K164" s="245" t="s">
        <v>397</v>
      </c>
      <c r="L164" s="245"/>
      <c r="M164" s="245"/>
      <c r="N164" s="245"/>
      <c r="O164" s="245"/>
    </row>
    <row r="165" spans="2:15" ht="15" hidden="1" customHeight="1">
      <c r="B165" s="13" t="s">
        <v>63</v>
      </c>
      <c r="C165" s="13" t="s">
        <v>66</v>
      </c>
      <c r="D165" s="29" t="s">
        <v>94</v>
      </c>
      <c r="E165" s="14" t="s">
        <v>100</v>
      </c>
      <c r="F165" s="14">
        <v>1</v>
      </c>
      <c r="H165" s="165" t="e" cm="1">
        <f t="array" ref="H165">IF(INDEX($K:$Z,ROW(C165),MATCH(IF(VLOOKUP(_xlfn.CONCAT(B165,C165),'Detalhe Entregas e Status'!$D$9:$J$81,7,0)=DATE(2025,5,5),DATE(2025,5,12),VLOOKUP(_xlfn.CONCAT(B165,C165),'Detalhe Entregas e Status'!$D$9:$J$81,7,0)),$L$8:$Z$8,0))="","",INDEX($K:$Z,ROW(C165),MATCH(IF(VLOOKUP(_xlfn.CONCAT(B165,C165),'Detalhe Entregas e Status'!$D$9:$J$81,7,0)=DATE(2025,5,5),DATE(2025,5,12),VLOOKUP(_xlfn.CONCAT(B165,C165),'Detalhe Entregas e Status'!$D$9:$J$81,7,0)),$L$8:$Z$8,0)))</f>
        <v>#N/A</v>
      </c>
      <c r="I165" s="17"/>
      <c r="J165" s="197" t="s">
        <v>291</v>
      </c>
      <c r="K165" s="245" t="s">
        <v>397</v>
      </c>
      <c r="L165" s="245"/>
      <c r="M165" s="245"/>
      <c r="N165" s="245"/>
      <c r="O165" s="245"/>
    </row>
    <row r="166" spans="2:15" ht="15" hidden="1" customHeight="1">
      <c r="B166" s="13" t="s">
        <v>63</v>
      </c>
      <c r="C166" s="13" t="s">
        <v>65</v>
      </c>
      <c r="D166" s="29" t="s">
        <v>93</v>
      </c>
      <c r="E166" s="14" t="s">
        <v>98</v>
      </c>
      <c r="F166" s="14">
        <v>8</v>
      </c>
      <c r="H166" s="165" t="e" cm="1">
        <f t="array" ref="H166">IF(INDEX($K:$Z,ROW(C166),MATCH(IF(VLOOKUP(_xlfn.CONCAT(B166,C166),'Detalhe Entregas e Status'!$D$9:$J$81,7,0)=DATE(2025,5,5),DATE(2025,5,12),VLOOKUP(_xlfn.CONCAT(B166,C166),'Detalhe Entregas e Status'!$D$9:$J$81,7,0)),$L$8:$Z$8,0))="","",INDEX($K:$Z,ROW(C166),MATCH(IF(VLOOKUP(_xlfn.CONCAT(B166,C166),'Detalhe Entregas e Status'!$D$9:$J$81,7,0)=DATE(2025,5,5),DATE(2025,5,12),VLOOKUP(_xlfn.CONCAT(B166,C166),'Detalhe Entregas e Status'!$D$9:$J$81,7,0)),$L$8:$Z$8,0)))</f>
        <v>#N/A</v>
      </c>
      <c r="I166" s="17"/>
      <c r="J166" s="197" t="s">
        <v>291</v>
      </c>
      <c r="K166" s="245" t="s">
        <v>397</v>
      </c>
      <c r="L166" s="245"/>
      <c r="M166" s="245"/>
      <c r="N166" s="245"/>
      <c r="O166" s="245"/>
    </row>
    <row r="167" spans="2:15" ht="15" hidden="1" customHeight="1">
      <c r="B167" s="13" t="s">
        <v>63</v>
      </c>
      <c r="C167" s="13" t="s">
        <v>65</v>
      </c>
      <c r="D167" s="29" t="s">
        <v>95</v>
      </c>
      <c r="E167" s="14" t="s">
        <v>100</v>
      </c>
      <c r="F167" s="14">
        <v>2</v>
      </c>
      <c r="H167" s="165" t="e" cm="1">
        <f t="array" ref="H167">IF(INDEX($K:$Z,ROW(C167),MATCH(IF(VLOOKUP(_xlfn.CONCAT(B167,C167),'Detalhe Entregas e Status'!$D$9:$J$81,7,0)=DATE(2025,5,5),DATE(2025,5,12),VLOOKUP(_xlfn.CONCAT(B167,C167),'Detalhe Entregas e Status'!$D$9:$J$81,7,0)),$L$8:$Z$8,0))="","",INDEX($K:$Z,ROW(C167),MATCH(IF(VLOOKUP(_xlfn.CONCAT(B167,C167),'Detalhe Entregas e Status'!$D$9:$J$81,7,0)=DATE(2025,5,5),DATE(2025,5,12),VLOOKUP(_xlfn.CONCAT(B167,C167),'Detalhe Entregas e Status'!$D$9:$J$81,7,0)),$L$8:$Z$8,0)))</f>
        <v>#N/A</v>
      </c>
      <c r="I167" s="17"/>
      <c r="J167" s="197" t="s">
        <v>291</v>
      </c>
      <c r="K167" s="245" t="s">
        <v>397</v>
      </c>
      <c r="L167" s="245"/>
      <c r="M167" s="245"/>
      <c r="N167" s="245"/>
      <c r="O167" s="245"/>
    </row>
    <row r="168" spans="2:15" ht="15" hidden="1" customHeight="1">
      <c r="B168" s="13" t="s">
        <v>63</v>
      </c>
      <c r="C168" s="13" t="s">
        <v>65</v>
      </c>
      <c r="D168" s="29" t="s">
        <v>96</v>
      </c>
      <c r="E168" s="14" t="s">
        <v>98</v>
      </c>
      <c r="F168" s="14">
        <v>2</v>
      </c>
      <c r="H168" s="165" t="e" cm="1">
        <f t="array" ref="H168">IF(INDEX($K:$Z,ROW(C168),MATCH(IF(VLOOKUP(_xlfn.CONCAT(B168,C168),'Detalhe Entregas e Status'!$D$9:$J$81,7,0)=DATE(2025,5,5),DATE(2025,5,12),VLOOKUP(_xlfn.CONCAT(B168,C168),'Detalhe Entregas e Status'!$D$9:$J$81,7,0)),$L$8:$Z$8,0))="","",INDEX($K:$Z,ROW(C168),MATCH(IF(VLOOKUP(_xlfn.CONCAT(B168,C168),'Detalhe Entregas e Status'!$D$9:$J$81,7,0)=DATE(2025,5,5),DATE(2025,5,12),VLOOKUP(_xlfn.CONCAT(B168,C168),'Detalhe Entregas e Status'!$D$9:$J$81,7,0)),$L$8:$Z$8,0)))</f>
        <v>#N/A</v>
      </c>
      <c r="I168" s="17"/>
      <c r="J168" s="197" t="s">
        <v>291</v>
      </c>
      <c r="K168" s="245" t="s">
        <v>397</v>
      </c>
      <c r="L168" s="245"/>
      <c r="M168" s="245"/>
      <c r="N168" s="245"/>
      <c r="O168" s="245"/>
    </row>
    <row r="169" spans="2:15" ht="15" hidden="1" customHeight="1">
      <c r="B169" s="13" t="s">
        <v>63</v>
      </c>
      <c r="C169" s="13" t="s">
        <v>65</v>
      </c>
      <c r="D169" s="29" t="s">
        <v>94</v>
      </c>
      <c r="E169" s="14" t="s">
        <v>100</v>
      </c>
      <c r="F169" s="14">
        <v>1</v>
      </c>
      <c r="H169" s="165" t="e" cm="1">
        <f t="array" ref="H169">IF(INDEX($K:$Z,ROW(C169),MATCH(IF(VLOOKUP(_xlfn.CONCAT(B169,C169),'Detalhe Entregas e Status'!$D$9:$J$81,7,0)=DATE(2025,5,5),DATE(2025,5,12),VLOOKUP(_xlfn.CONCAT(B169,C169),'Detalhe Entregas e Status'!$D$9:$J$81,7,0)),$L$8:$Z$8,0))="","",INDEX($K:$Z,ROW(C169),MATCH(IF(VLOOKUP(_xlfn.CONCAT(B169,C169),'Detalhe Entregas e Status'!$D$9:$J$81,7,0)=DATE(2025,5,5),DATE(2025,5,12),VLOOKUP(_xlfn.CONCAT(B169,C169),'Detalhe Entregas e Status'!$D$9:$J$81,7,0)),$L$8:$Z$8,0)))</f>
        <v>#N/A</v>
      </c>
      <c r="I169" s="17"/>
      <c r="J169" s="197" t="s">
        <v>291</v>
      </c>
      <c r="K169" s="245" t="s">
        <v>397</v>
      </c>
      <c r="L169" s="245"/>
      <c r="M169" s="245"/>
      <c r="N169" s="245"/>
      <c r="O169" s="245"/>
    </row>
    <row r="170" spans="2:15" ht="15" hidden="1" customHeight="1">
      <c r="B170" s="13" t="s">
        <v>63</v>
      </c>
      <c r="C170" s="13" t="s">
        <v>64</v>
      </c>
      <c r="D170" s="29" t="s">
        <v>93</v>
      </c>
      <c r="E170" s="14" t="s">
        <v>98</v>
      </c>
      <c r="F170" s="14">
        <v>8</v>
      </c>
      <c r="H170" s="165" t="e" cm="1">
        <f t="array" ref="H170">IF(INDEX($K:$Z,ROW(C170),MATCH(IF(VLOOKUP(_xlfn.CONCAT(B170,C170),'Detalhe Entregas e Status'!$D$9:$J$81,7,0)=DATE(2025,5,5),DATE(2025,5,12),VLOOKUP(_xlfn.CONCAT(B170,C170),'Detalhe Entregas e Status'!$D$9:$J$81,7,0)),$L$8:$Z$8,0))="","",INDEX($K:$Z,ROW(C170),MATCH(IF(VLOOKUP(_xlfn.CONCAT(B170,C170),'Detalhe Entregas e Status'!$D$9:$J$81,7,0)=DATE(2025,5,5),DATE(2025,5,12),VLOOKUP(_xlfn.CONCAT(B170,C170),'Detalhe Entregas e Status'!$D$9:$J$81,7,0)),$L$8:$Z$8,0)))</f>
        <v>#N/A</v>
      </c>
      <c r="I170" s="17"/>
      <c r="J170" s="197" t="s">
        <v>291</v>
      </c>
      <c r="K170" s="245" t="s">
        <v>397</v>
      </c>
      <c r="L170" s="245"/>
      <c r="M170" s="245"/>
      <c r="N170" s="245"/>
      <c r="O170" s="245"/>
    </row>
    <row r="171" spans="2:15" ht="15" hidden="1" customHeight="1">
      <c r="B171" s="13" t="s">
        <v>63</v>
      </c>
      <c r="C171" s="13" t="s">
        <v>64</v>
      </c>
      <c r="D171" s="29" t="s">
        <v>96</v>
      </c>
      <c r="E171" s="14" t="s">
        <v>98</v>
      </c>
      <c r="F171" s="14">
        <v>2</v>
      </c>
      <c r="H171" s="165" t="e" cm="1">
        <f t="array" ref="H171">IF(INDEX($K:$Z,ROW(C171),MATCH(IF(VLOOKUP(_xlfn.CONCAT(B171,C171),'Detalhe Entregas e Status'!$D$9:$J$81,7,0)=DATE(2025,5,5),DATE(2025,5,12),VLOOKUP(_xlfn.CONCAT(B171,C171),'Detalhe Entregas e Status'!$D$9:$J$81,7,0)),$L$8:$Z$8,0))="","",INDEX($K:$Z,ROW(C171),MATCH(IF(VLOOKUP(_xlfn.CONCAT(B171,C171),'Detalhe Entregas e Status'!$D$9:$J$81,7,0)=DATE(2025,5,5),DATE(2025,5,12),VLOOKUP(_xlfn.CONCAT(B171,C171),'Detalhe Entregas e Status'!$D$9:$J$81,7,0)),$L$8:$Z$8,0)))</f>
        <v>#N/A</v>
      </c>
      <c r="I171" s="17"/>
      <c r="J171" s="197" t="s">
        <v>291</v>
      </c>
      <c r="K171" s="245" t="s">
        <v>397</v>
      </c>
      <c r="L171" s="245"/>
      <c r="M171" s="245"/>
      <c r="N171" s="245"/>
      <c r="O171" s="245"/>
    </row>
    <row r="172" spans="2:15" ht="15" hidden="1" customHeight="1">
      <c r="B172" s="13" t="s">
        <v>63</v>
      </c>
      <c r="C172" s="13" t="s">
        <v>64</v>
      </c>
      <c r="D172" s="29" t="s">
        <v>94</v>
      </c>
      <c r="E172" s="14" t="s">
        <v>100</v>
      </c>
      <c r="F172" s="14">
        <v>1</v>
      </c>
      <c r="H172" s="165" t="e" cm="1">
        <f t="array" ref="H172">IF(INDEX($K:$Z,ROW(C172),MATCH(IF(VLOOKUP(_xlfn.CONCAT(B172,C172),'Detalhe Entregas e Status'!$D$9:$J$81,7,0)=DATE(2025,5,5),DATE(2025,5,12),VLOOKUP(_xlfn.CONCAT(B172,C172),'Detalhe Entregas e Status'!$D$9:$J$81,7,0)),$L$8:$Z$8,0))="","",INDEX($K:$Z,ROW(C172),MATCH(IF(VLOOKUP(_xlfn.CONCAT(B172,C172),'Detalhe Entregas e Status'!$D$9:$J$81,7,0)=DATE(2025,5,5),DATE(2025,5,12),VLOOKUP(_xlfn.CONCAT(B172,C172),'Detalhe Entregas e Status'!$D$9:$J$81,7,0)),$L$8:$Z$8,0)))</f>
        <v>#N/A</v>
      </c>
      <c r="I172" s="17"/>
      <c r="J172" s="197" t="s">
        <v>291</v>
      </c>
      <c r="K172" s="245" t="s">
        <v>397</v>
      </c>
      <c r="L172" s="245"/>
      <c r="M172" s="245"/>
      <c r="N172" s="245"/>
      <c r="O172" s="245"/>
    </row>
    <row r="176" spans="2:15">
      <c r="E176" s="193"/>
    </row>
  </sheetData>
  <autoFilter ref="B8:N172" xr:uid="{1E18BA37-0576-4DA3-B105-E9A64F054832}">
    <filterColumn colId="1">
      <filters>
        <filter val="MNGMNT_PRDCT"/>
      </filters>
    </filterColumn>
  </autoFilter>
  <mergeCells count="1">
    <mergeCell ref="K7:N7"/>
  </mergeCells>
  <conditionalFormatting sqref="K9:O172">
    <cfRule type="containsText" dxfId="1" priority="1" operator="containsText" text="NOK">
      <formula>NOT(ISERROR(SEARCH("NOK",K9)))</formula>
    </cfRule>
    <cfRule type="containsText" dxfId="0" priority="2" operator="containsText" text="OK">
      <formula>NOT(ISERROR(SEARCH("OK",K9)))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8"/>
  <sheetViews>
    <sheetView showGridLines="0" topLeftCell="A10" zoomScaleNormal="100" workbookViewId="0">
      <selection activeCell="B28" sqref="B28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125</v>
      </c>
      <c r="C17" s="34"/>
      <c r="D17" s="34"/>
    </row>
    <row r="18" spans="2:4" ht="6.9" customHeight="1"/>
    <row r="19" spans="2:4" ht="15" customHeight="1">
      <c r="B19" s="46" t="s">
        <v>112</v>
      </c>
      <c r="C19" s="12" t="s">
        <v>103</v>
      </c>
    </row>
    <row r="20" spans="2:4" ht="15" customHeight="1">
      <c r="B20" s="41" t="s">
        <v>113</v>
      </c>
      <c r="C20" s="27" t="s">
        <v>117</v>
      </c>
    </row>
    <row r="21" spans="2:4" ht="15" customHeight="1">
      <c r="B21" s="42" t="s">
        <v>116</v>
      </c>
      <c r="C21" s="27" t="s">
        <v>118</v>
      </c>
    </row>
    <row r="22" spans="2:4" ht="15" customHeight="1">
      <c r="B22" s="43" t="s">
        <v>114</v>
      </c>
      <c r="C22" s="27" t="s">
        <v>119</v>
      </c>
    </row>
    <row r="23" spans="2:4" ht="15" customHeight="1">
      <c r="B23" s="44" t="s">
        <v>115</v>
      </c>
      <c r="C23" s="27" t="s">
        <v>120</v>
      </c>
    </row>
    <row r="24" spans="2:4" ht="15" customHeight="1">
      <c r="B24" s="45" t="s">
        <v>121</v>
      </c>
      <c r="C24" s="27" t="s">
        <v>122</v>
      </c>
    </row>
    <row r="25" spans="2:4" ht="15" customHeight="1">
      <c r="B25" s="161" t="s">
        <v>123</v>
      </c>
      <c r="C25" s="27" t="s">
        <v>124</v>
      </c>
    </row>
    <row r="26" spans="2:4">
      <c r="B26" s="247" t="s">
        <v>276</v>
      </c>
      <c r="C26" s="160" t="s">
        <v>277</v>
      </c>
    </row>
    <row r="27" spans="2:4">
      <c r="B27" s="248" t="s">
        <v>403</v>
      </c>
      <c r="C27" s="160" t="s">
        <v>428</v>
      </c>
    </row>
    <row r="28" spans="2:4">
      <c r="B28" s="254" t="s">
        <v>426</v>
      </c>
      <c r="C28" s="160" t="s">
        <v>427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055F-3E45-40D2-9CEF-9CF37B600DEB}">
  <dimension ref="B2:D19"/>
  <sheetViews>
    <sheetView showGridLines="0" workbookViewId="0">
      <selection activeCell="H16" sqref="H16"/>
    </sheetView>
  </sheetViews>
  <sheetFormatPr defaultRowHeight="14.4"/>
  <cols>
    <col min="1" max="1" width="3.77734375" customWidth="1"/>
    <col min="2" max="2" width="11.44140625" customWidth="1"/>
    <col min="4" max="4" width="29.6640625" customWidth="1"/>
  </cols>
  <sheetData>
    <row r="2" spans="2:4">
      <c r="B2" s="252" t="s">
        <v>412</v>
      </c>
      <c r="C2" s="253"/>
      <c r="D2" s="253"/>
    </row>
    <row r="4" spans="2:4">
      <c r="B4" s="251" t="s">
        <v>81</v>
      </c>
      <c r="C4" s="251" t="s">
        <v>410</v>
      </c>
      <c r="D4" s="251" t="s">
        <v>411</v>
      </c>
    </row>
    <row r="5" spans="2:4">
      <c r="B5" s="219"/>
      <c r="C5" s="219"/>
      <c r="D5" s="219"/>
    </row>
    <row r="6" spans="2:4">
      <c r="B6" s="219"/>
      <c r="C6" s="219"/>
      <c r="D6" s="219"/>
    </row>
    <row r="7" spans="2:4">
      <c r="B7" s="219"/>
      <c r="C7" s="219"/>
      <c r="D7" s="219"/>
    </row>
    <row r="8" spans="2:4">
      <c r="B8" s="219"/>
      <c r="C8" s="219"/>
      <c r="D8" s="219"/>
    </row>
    <row r="9" spans="2:4">
      <c r="B9" s="219"/>
      <c r="C9" s="219"/>
      <c r="D9" s="219"/>
    </row>
    <row r="10" spans="2:4">
      <c r="B10" s="219"/>
      <c r="C10" s="219"/>
      <c r="D10" s="219"/>
    </row>
    <row r="11" spans="2:4">
      <c r="B11" s="219"/>
      <c r="C11" s="219"/>
      <c r="D11" s="219"/>
    </row>
    <row r="12" spans="2:4">
      <c r="B12" s="219"/>
      <c r="C12" s="219"/>
      <c r="D12" s="219"/>
    </row>
    <row r="13" spans="2:4">
      <c r="B13" s="219"/>
      <c r="C13" s="219"/>
      <c r="D13" s="219"/>
    </row>
    <row r="14" spans="2:4">
      <c r="B14" s="219"/>
      <c r="C14" s="219"/>
      <c r="D14" s="219"/>
    </row>
    <row r="15" spans="2:4">
      <c r="B15" s="219"/>
      <c r="C15" s="219"/>
      <c r="D15" s="219"/>
    </row>
    <row r="16" spans="2:4">
      <c r="B16" s="219"/>
      <c r="C16" s="219"/>
      <c r="D16" s="219"/>
    </row>
    <row r="17" spans="2:4">
      <c r="B17" s="219"/>
      <c r="C17" s="219"/>
      <c r="D17" s="219"/>
    </row>
    <row r="18" spans="2:4">
      <c r="B18" s="219"/>
      <c r="C18" s="219"/>
      <c r="D18" s="219"/>
    </row>
    <row r="19" spans="2:4">
      <c r="B19" s="219"/>
      <c r="C19" s="219"/>
      <c r="D19" s="21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199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305" t="s">
        <v>333</v>
      </c>
      <c r="E3" s="305"/>
      <c r="F3" s="305"/>
    </row>
    <row r="4" spans="2:10">
      <c r="B4" s="22" t="s">
        <v>80</v>
      </c>
      <c r="C4" s="23" t="s">
        <v>81</v>
      </c>
      <c r="D4" s="206" t="s">
        <v>82</v>
      </c>
      <c r="E4" s="206" t="s">
        <v>86</v>
      </c>
      <c r="F4" s="206" t="s">
        <v>0</v>
      </c>
      <c r="G4" s="207" t="s">
        <v>292</v>
      </c>
      <c r="H4" s="207" t="s">
        <v>317</v>
      </c>
      <c r="I4" s="207" t="s">
        <v>293</v>
      </c>
      <c r="J4" s="207" t="s">
        <v>318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0" t="s">
        <v>90</v>
      </c>
      <c r="G5" s="202" t="s">
        <v>90</v>
      </c>
      <c r="H5" s="202" t="s">
        <v>90</v>
      </c>
      <c r="I5" s="205" t="s">
        <v>90</v>
      </c>
      <c r="J5" s="202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1" t="s">
        <v>3</v>
      </c>
      <c r="G6" s="202" t="s">
        <v>280</v>
      </c>
      <c r="H6" s="204" t="s">
        <v>294</v>
      </c>
      <c r="I6" s="203" t="s">
        <v>295</v>
      </c>
      <c r="J6" s="202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0" t="s">
        <v>4</v>
      </c>
      <c r="G7" s="202" t="s">
        <v>280</v>
      </c>
      <c r="H7" s="204" t="s">
        <v>294</v>
      </c>
      <c r="I7" s="203" t="s">
        <v>295</v>
      </c>
      <c r="J7" s="202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0" t="s">
        <v>4</v>
      </c>
      <c r="G8" s="202" t="s">
        <v>280</v>
      </c>
      <c r="H8" s="204" t="s">
        <v>294</v>
      </c>
      <c r="I8" s="203" t="s">
        <v>295</v>
      </c>
      <c r="J8" s="202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0" t="s">
        <v>4</v>
      </c>
      <c r="G9" s="202" t="s">
        <v>280</v>
      </c>
      <c r="H9" s="204" t="s">
        <v>294</v>
      </c>
      <c r="I9" s="203" t="s">
        <v>295</v>
      </c>
      <c r="J9" s="202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0" t="s">
        <v>3</v>
      </c>
      <c r="G10" s="202" t="s">
        <v>280</v>
      </c>
      <c r="H10" s="204" t="s">
        <v>294</v>
      </c>
      <c r="I10" s="203" t="s">
        <v>295</v>
      </c>
      <c r="J10" s="202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0" t="s">
        <v>3</v>
      </c>
      <c r="G11" s="202" t="s">
        <v>280</v>
      </c>
      <c r="H11" s="204" t="s">
        <v>294</v>
      </c>
      <c r="I11" s="203" t="s">
        <v>295</v>
      </c>
      <c r="J11" s="202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0" t="s">
        <v>3</v>
      </c>
      <c r="G12" s="202" t="s">
        <v>280</v>
      </c>
      <c r="H12" s="204" t="s">
        <v>294</v>
      </c>
      <c r="I12" s="203" t="s">
        <v>295</v>
      </c>
      <c r="J12" s="202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0" t="s">
        <v>3</v>
      </c>
      <c r="G13" s="202" t="s">
        <v>280</v>
      </c>
      <c r="H13" s="204" t="s">
        <v>294</v>
      </c>
      <c r="I13" s="203" t="s">
        <v>295</v>
      </c>
      <c r="J13" s="202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0" t="s">
        <v>3</v>
      </c>
      <c r="G14" s="202" t="s">
        <v>280</v>
      </c>
      <c r="H14" s="204" t="s">
        <v>294</v>
      </c>
      <c r="I14" s="203" t="s">
        <v>295</v>
      </c>
      <c r="J14" s="202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0" t="s">
        <v>3</v>
      </c>
      <c r="G15" s="202" t="s">
        <v>280</v>
      </c>
      <c r="H15" s="204" t="s">
        <v>294</v>
      </c>
      <c r="I15" s="203" t="s">
        <v>295</v>
      </c>
      <c r="J15" s="202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0" t="s">
        <v>3</v>
      </c>
      <c r="G16" s="202" t="s">
        <v>296</v>
      </c>
      <c r="H16" s="204" t="s">
        <v>90</v>
      </c>
      <c r="I16" s="203" t="s">
        <v>297</v>
      </c>
      <c r="J16" s="202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0" t="s">
        <v>3</v>
      </c>
      <c r="G17" s="202" t="s">
        <v>296</v>
      </c>
      <c r="H17" s="204" t="s">
        <v>90</v>
      </c>
      <c r="I17" s="203" t="s">
        <v>297</v>
      </c>
      <c r="J17" s="202" t="s">
        <v>310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0" t="s">
        <v>3</v>
      </c>
      <c r="G18" s="202" t="s">
        <v>296</v>
      </c>
      <c r="H18" s="204" t="s">
        <v>90</v>
      </c>
      <c r="I18" s="203" t="s">
        <v>297</v>
      </c>
      <c r="J18" s="202" t="s">
        <v>319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0" t="s">
        <v>3</v>
      </c>
      <c r="G19" s="202" t="s">
        <v>296</v>
      </c>
      <c r="H19" s="204" t="s">
        <v>90</v>
      </c>
      <c r="I19" s="203" t="s">
        <v>297</v>
      </c>
      <c r="J19" s="202" t="s">
        <v>310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0" t="s">
        <v>3</v>
      </c>
      <c r="G20" s="202" t="s">
        <v>280</v>
      </c>
      <c r="H20" s="204" t="s">
        <v>294</v>
      </c>
      <c r="I20" s="203" t="s">
        <v>295</v>
      </c>
      <c r="J20" s="202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0" t="s">
        <v>3</v>
      </c>
      <c r="G21" s="202" t="s">
        <v>296</v>
      </c>
      <c r="H21" s="204" t="s">
        <v>90</v>
      </c>
      <c r="I21" s="203" t="s">
        <v>297</v>
      </c>
      <c r="J21" s="202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0" t="s">
        <v>4</v>
      </c>
      <c r="G22" s="202" t="s">
        <v>280</v>
      </c>
      <c r="H22" s="204" t="s">
        <v>294</v>
      </c>
      <c r="I22" s="203" t="s">
        <v>295</v>
      </c>
      <c r="J22" s="202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0" t="s">
        <v>3</v>
      </c>
      <c r="G23" s="202" t="s">
        <v>280</v>
      </c>
      <c r="H23" s="204" t="s">
        <v>294</v>
      </c>
      <c r="I23" s="203" t="s">
        <v>295</v>
      </c>
      <c r="J23" s="202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0" t="s">
        <v>3</v>
      </c>
      <c r="G24" s="202" t="s">
        <v>296</v>
      </c>
      <c r="H24" s="204" t="s">
        <v>90</v>
      </c>
      <c r="I24" s="203" t="s">
        <v>297</v>
      </c>
      <c r="J24" s="202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0" t="s">
        <v>3</v>
      </c>
      <c r="G25" s="202" t="s">
        <v>280</v>
      </c>
      <c r="H25" s="204" t="s">
        <v>294</v>
      </c>
      <c r="I25" s="203" t="s">
        <v>295</v>
      </c>
      <c r="J25" s="202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0" t="s">
        <v>3</v>
      </c>
      <c r="G26" s="202" t="s">
        <v>280</v>
      </c>
      <c r="H26" s="204" t="s">
        <v>294</v>
      </c>
      <c r="I26" s="203" t="s">
        <v>295</v>
      </c>
      <c r="J26" s="202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0" t="s">
        <v>3</v>
      </c>
      <c r="G27" s="202" t="s">
        <v>296</v>
      </c>
      <c r="H27" s="204" t="s">
        <v>90</v>
      </c>
      <c r="I27" s="203" t="s">
        <v>297</v>
      </c>
      <c r="J27" s="202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0" t="s">
        <v>3</v>
      </c>
      <c r="G28" s="202" t="s">
        <v>296</v>
      </c>
      <c r="H28" s="204" t="s">
        <v>90</v>
      </c>
      <c r="I28" s="203" t="s">
        <v>297</v>
      </c>
      <c r="J28" s="202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0" t="s">
        <v>3</v>
      </c>
      <c r="G29" s="202" t="s">
        <v>296</v>
      </c>
      <c r="H29" s="204" t="s">
        <v>90</v>
      </c>
      <c r="I29" s="203" t="s">
        <v>297</v>
      </c>
      <c r="J29" s="202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0" t="s">
        <v>3</v>
      </c>
      <c r="G30" s="202" t="s">
        <v>296</v>
      </c>
      <c r="H30" s="204" t="s">
        <v>90</v>
      </c>
      <c r="I30" s="203" t="s">
        <v>297</v>
      </c>
      <c r="J30" s="202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0" t="s">
        <v>3</v>
      </c>
      <c r="G31" s="202" t="s">
        <v>296</v>
      </c>
      <c r="H31" s="204" t="s">
        <v>90</v>
      </c>
      <c r="I31" s="203" t="s">
        <v>297</v>
      </c>
      <c r="J31" s="202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0" t="s">
        <v>3</v>
      </c>
      <c r="G32" s="202" t="s">
        <v>296</v>
      </c>
      <c r="H32" s="204" t="s">
        <v>90</v>
      </c>
      <c r="I32" s="203" t="s">
        <v>297</v>
      </c>
      <c r="J32" s="202" t="s">
        <v>310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0" t="s">
        <v>3</v>
      </c>
      <c r="G33" s="202" t="s">
        <v>296</v>
      </c>
      <c r="H33" s="204" t="s">
        <v>90</v>
      </c>
      <c r="I33" s="203" t="s">
        <v>297</v>
      </c>
      <c r="J33" s="202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0" t="s">
        <v>3</v>
      </c>
      <c r="G34" s="202" t="s">
        <v>296</v>
      </c>
      <c r="H34" s="204" t="s">
        <v>90</v>
      </c>
      <c r="I34" s="203" t="s">
        <v>297</v>
      </c>
      <c r="J34" s="202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0" t="s">
        <v>3</v>
      </c>
      <c r="G35" s="202" t="s">
        <v>296</v>
      </c>
      <c r="H35" s="204" t="s">
        <v>90</v>
      </c>
      <c r="I35" s="209" t="s">
        <v>313</v>
      </c>
      <c r="J35" s="202" t="s">
        <v>320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0" t="s">
        <v>3</v>
      </c>
      <c r="G36" s="202" t="s">
        <v>296</v>
      </c>
      <c r="H36" s="204" t="s">
        <v>90</v>
      </c>
      <c r="I36" s="209" t="s">
        <v>313</v>
      </c>
      <c r="J36" s="202" t="s">
        <v>320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0" t="s">
        <v>4</v>
      </c>
      <c r="G37" s="202" t="s">
        <v>280</v>
      </c>
      <c r="H37" s="204" t="s">
        <v>315</v>
      </c>
      <c r="I37" s="209" t="s">
        <v>316</v>
      </c>
      <c r="J37" s="203" t="s">
        <v>321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0" t="s">
        <v>4</v>
      </c>
      <c r="G38" s="202" t="s">
        <v>296</v>
      </c>
      <c r="H38" s="204" t="s">
        <v>90</v>
      </c>
      <c r="I38" s="203" t="s">
        <v>335</v>
      </c>
      <c r="J38" s="210" t="s">
        <v>334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0" t="s">
        <v>4</v>
      </c>
      <c r="G39" s="202" t="s">
        <v>280</v>
      </c>
      <c r="H39" s="204" t="s">
        <v>315</v>
      </c>
      <c r="I39" s="209" t="s">
        <v>316</v>
      </c>
      <c r="J39" s="203" t="s">
        <v>322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0" t="s">
        <v>4</v>
      </c>
      <c r="G40" s="202" t="s">
        <v>296</v>
      </c>
      <c r="H40" s="204" t="s">
        <v>90</v>
      </c>
      <c r="I40" s="209" t="s">
        <v>314</v>
      </c>
      <c r="J40" s="202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0" t="s">
        <v>4</v>
      </c>
      <c r="G41" s="202" t="s">
        <v>280</v>
      </c>
      <c r="H41" s="204" t="s">
        <v>315</v>
      </c>
      <c r="I41" s="209" t="s">
        <v>316</v>
      </c>
      <c r="J41" s="203" t="s">
        <v>323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0" t="s">
        <v>4</v>
      </c>
      <c r="G42" s="202" t="s">
        <v>296</v>
      </c>
      <c r="H42" s="204" t="s">
        <v>90</v>
      </c>
      <c r="I42" s="209" t="s">
        <v>313</v>
      </c>
      <c r="J42" s="202" t="s">
        <v>320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0" t="s">
        <v>4</v>
      </c>
      <c r="G43" s="202" t="s">
        <v>296</v>
      </c>
      <c r="H43" s="204" t="s">
        <v>90</v>
      </c>
      <c r="I43" s="209" t="s">
        <v>313</v>
      </c>
      <c r="J43" s="202" t="s">
        <v>320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0" t="s">
        <v>4</v>
      </c>
      <c r="G44" s="202" t="s">
        <v>280</v>
      </c>
      <c r="H44" s="204" t="s">
        <v>315</v>
      </c>
      <c r="I44" s="209" t="s">
        <v>316</v>
      </c>
      <c r="J44" s="203" t="s">
        <v>324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0" t="s">
        <v>4</v>
      </c>
      <c r="G45" s="202" t="s">
        <v>296</v>
      </c>
      <c r="H45" s="204" t="s">
        <v>90</v>
      </c>
      <c r="I45" s="209" t="s">
        <v>312</v>
      </c>
      <c r="J45" s="202" t="s">
        <v>336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0" t="s">
        <v>4</v>
      </c>
      <c r="G46" s="202" t="s">
        <v>296</v>
      </c>
      <c r="H46" s="204" t="s">
        <v>90</v>
      </c>
      <c r="I46" s="209" t="s">
        <v>312</v>
      </c>
      <c r="J46" s="202" t="s">
        <v>336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0" t="s">
        <v>4</v>
      </c>
      <c r="G47" s="202" t="s">
        <v>280</v>
      </c>
      <c r="H47" s="204" t="s">
        <v>315</v>
      </c>
      <c r="I47" s="209" t="s">
        <v>316</v>
      </c>
      <c r="J47" s="203" t="s">
        <v>325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0" t="s">
        <v>3</v>
      </c>
      <c r="G48" s="202" t="s">
        <v>296</v>
      </c>
      <c r="H48" s="204" t="s">
        <v>90</v>
      </c>
      <c r="I48" s="209" t="s">
        <v>312</v>
      </c>
      <c r="J48" s="202" t="s">
        <v>336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0" t="s">
        <v>3</v>
      </c>
      <c r="G49" s="202" t="s">
        <v>296</v>
      </c>
      <c r="H49" s="204" t="s">
        <v>90</v>
      </c>
      <c r="I49" s="209" t="s">
        <v>312</v>
      </c>
      <c r="J49" s="202" t="s">
        <v>336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0" t="s">
        <v>4</v>
      </c>
      <c r="G50" s="202" t="s">
        <v>296</v>
      </c>
      <c r="H50" s="204" t="s">
        <v>90</v>
      </c>
      <c r="I50" s="209" t="s">
        <v>312</v>
      </c>
      <c r="J50" s="202" t="s">
        <v>336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0" t="s">
        <v>4</v>
      </c>
      <c r="G51" s="202" t="s">
        <v>296</v>
      </c>
      <c r="H51" s="204" t="s">
        <v>90</v>
      </c>
      <c r="I51" s="209" t="s">
        <v>312</v>
      </c>
      <c r="J51" s="202" t="s">
        <v>336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0" t="s">
        <v>3</v>
      </c>
      <c r="G52" s="202" t="s">
        <v>280</v>
      </c>
      <c r="H52" s="204" t="s">
        <v>315</v>
      </c>
      <c r="I52" s="209" t="s">
        <v>316</v>
      </c>
      <c r="J52" s="203" t="s">
        <v>326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0" t="s">
        <v>4</v>
      </c>
      <c r="G53" s="202" t="s">
        <v>280</v>
      </c>
      <c r="H53" s="204" t="s">
        <v>294</v>
      </c>
      <c r="I53" s="204" t="s">
        <v>295</v>
      </c>
      <c r="J53" s="204" t="s">
        <v>328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0" t="s">
        <v>4</v>
      </c>
      <c r="G54" s="202" t="s">
        <v>280</v>
      </c>
      <c r="H54" s="204" t="s">
        <v>315</v>
      </c>
      <c r="I54" s="203" t="s">
        <v>316</v>
      </c>
      <c r="J54" s="204" t="s">
        <v>327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0" t="s">
        <v>4</v>
      </c>
      <c r="G55" s="202" t="s">
        <v>280</v>
      </c>
      <c r="H55" s="204" t="s">
        <v>294</v>
      </c>
      <c r="I55" s="204" t="s">
        <v>295</v>
      </c>
      <c r="J55" s="202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0" t="s">
        <v>4</v>
      </c>
      <c r="G56" s="202" t="s">
        <v>280</v>
      </c>
      <c r="H56" s="204" t="s">
        <v>294</v>
      </c>
      <c r="I56" s="204" t="s">
        <v>295</v>
      </c>
      <c r="J56" s="202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0" t="s">
        <v>90</v>
      </c>
      <c r="G57" s="202" t="s">
        <v>90</v>
      </c>
      <c r="H57" s="202" t="s">
        <v>90</v>
      </c>
      <c r="I57" s="202" t="s">
        <v>90</v>
      </c>
      <c r="J57" s="202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0" t="s">
        <v>4</v>
      </c>
      <c r="G58" s="202" t="s">
        <v>280</v>
      </c>
      <c r="H58" s="204" t="s">
        <v>329</v>
      </c>
      <c r="I58" s="209" t="s">
        <v>330</v>
      </c>
      <c r="J58" s="202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0" t="s">
        <v>4</v>
      </c>
      <c r="G59" s="202" t="s">
        <v>280</v>
      </c>
      <c r="H59" s="204" t="s">
        <v>329</v>
      </c>
      <c r="I59" s="209" t="s">
        <v>330</v>
      </c>
      <c r="J59" s="202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0" t="s">
        <v>4</v>
      </c>
      <c r="G60" s="202" t="s">
        <v>280</v>
      </c>
      <c r="H60" s="204" t="s">
        <v>329</v>
      </c>
      <c r="I60" s="209" t="s">
        <v>330</v>
      </c>
      <c r="J60" s="202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0" t="s">
        <v>4</v>
      </c>
      <c r="G61" s="202" t="s">
        <v>280</v>
      </c>
      <c r="H61" s="204" t="s">
        <v>329</v>
      </c>
      <c r="I61" s="209" t="s">
        <v>330</v>
      </c>
      <c r="J61" s="202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0" t="s">
        <v>4</v>
      </c>
      <c r="G62" s="202" t="s">
        <v>280</v>
      </c>
      <c r="H62" s="204" t="s">
        <v>329</v>
      </c>
      <c r="I62" s="209" t="s">
        <v>330</v>
      </c>
      <c r="J62" s="202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0" t="s">
        <v>4</v>
      </c>
      <c r="G63" s="202" t="s">
        <v>280</v>
      </c>
      <c r="H63" s="204" t="s">
        <v>329</v>
      </c>
      <c r="I63" s="209" t="s">
        <v>330</v>
      </c>
      <c r="J63" s="202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0" t="s">
        <v>3</v>
      </c>
      <c r="G64" s="202" t="s">
        <v>280</v>
      </c>
      <c r="H64" s="204" t="s">
        <v>329</v>
      </c>
      <c r="I64" s="209" t="s">
        <v>331</v>
      </c>
      <c r="J64" s="202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0" t="s">
        <v>90</v>
      </c>
      <c r="G65" s="202" t="s">
        <v>90</v>
      </c>
      <c r="H65" s="204" t="s">
        <v>90</v>
      </c>
      <c r="I65" s="208" t="s">
        <v>90</v>
      </c>
      <c r="J65" s="202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0" t="s">
        <v>4</v>
      </c>
      <c r="G66" s="202" t="s">
        <v>296</v>
      </c>
      <c r="H66" s="204" t="s">
        <v>90</v>
      </c>
      <c r="I66" s="208" t="s">
        <v>332</v>
      </c>
      <c r="J66" s="202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0" t="s">
        <v>4</v>
      </c>
      <c r="G67" s="202" t="s">
        <v>296</v>
      </c>
      <c r="H67" s="204" t="s">
        <v>90</v>
      </c>
      <c r="I67" s="208" t="s">
        <v>332</v>
      </c>
      <c r="J67" s="202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0" t="s">
        <v>4</v>
      </c>
      <c r="G68" s="202" t="s">
        <v>296</v>
      </c>
      <c r="H68" s="204" t="s">
        <v>90</v>
      </c>
      <c r="I68" s="208" t="s">
        <v>332</v>
      </c>
      <c r="J68" s="202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0" t="s">
        <v>4</v>
      </c>
      <c r="G69" s="202" t="s">
        <v>296</v>
      </c>
      <c r="H69" s="204" t="s">
        <v>90</v>
      </c>
      <c r="I69" s="208" t="s">
        <v>332</v>
      </c>
      <c r="J69" s="202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0" t="s">
        <v>4</v>
      </c>
      <c r="G70" s="202" t="s">
        <v>296</v>
      </c>
      <c r="H70" s="204" t="s">
        <v>90</v>
      </c>
      <c r="I70" s="208" t="s">
        <v>332</v>
      </c>
      <c r="J70" s="202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0" t="s">
        <v>90</v>
      </c>
      <c r="G71" s="202" t="s">
        <v>90</v>
      </c>
      <c r="H71" s="204" t="s">
        <v>90</v>
      </c>
      <c r="I71" s="208" t="s">
        <v>90</v>
      </c>
      <c r="J71" s="202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0" t="s">
        <v>4</v>
      </c>
      <c r="G72" s="202" t="s">
        <v>296</v>
      </c>
      <c r="H72" s="204" t="s">
        <v>90</v>
      </c>
      <c r="I72" s="208" t="s">
        <v>332</v>
      </c>
      <c r="J72" s="202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0" t="s">
        <v>4</v>
      </c>
      <c r="G73" s="202" t="s">
        <v>296</v>
      </c>
      <c r="H73" s="204" t="s">
        <v>90</v>
      </c>
      <c r="I73" s="208" t="s">
        <v>332</v>
      </c>
      <c r="J73" s="202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0" t="s">
        <v>4</v>
      </c>
      <c r="G74" s="202" t="s">
        <v>296</v>
      </c>
      <c r="H74" s="204" t="s">
        <v>90</v>
      </c>
      <c r="I74" s="208" t="s">
        <v>332</v>
      </c>
      <c r="J74" s="202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0" t="s">
        <v>4</v>
      </c>
      <c r="G75" s="202" t="s">
        <v>296</v>
      </c>
      <c r="H75" s="204" t="s">
        <v>90</v>
      </c>
      <c r="I75" s="208" t="s">
        <v>332</v>
      </c>
      <c r="J75" s="202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0" t="s">
        <v>4</v>
      </c>
      <c r="G76" s="202" t="s">
        <v>296</v>
      </c>
      <c r="H76" s="204" t="s">
        <v>90</v>
      </c>
      <c r="I76" s="208" t="s">
        <v>332</v>
      </c>
      <c r="J76" s="202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0" t="s">
        <v>4</v>
      </c>
      <c r="G77" s="202" t="s">
        <v>296</v>
      </c>
      <c r="H77" s="204" t="s">
        <v>90</v>
      </c>
      <c r="I77" s="208" t="s">
        <v>332</v>
      </c>
      <c r="J77" s="202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17" t="s">
        <v>81</v>
      </c>
      <c r="C2" s="211" t="s">
        <v>111</v>
      </c>
      <c r="D2" s="211" t="s">
        <v>347</v>
      </c>
      <c r="E2" s="211" t="s">
        <v>346</v>
      </c>
      <c r="G2" s="220" t="s">
        <v>343</v>
      </c>
      <c r="H2" t="s">
        <v>344</v>
      </c>
    </row>
    <row r="3" spans="2:8">
      <c r="B3" s="218" t="s">
        <v>33</v>
      </c>
      <c r="C3" s="208" t="s">
        <v>340</v>
      </c>
      <c r="D3" s="219" t="s">
        <v>348</v>
      </c>
      <c r="E3" s="219" t="s">
        <v>345</v>
      </c>
      <c r="G3" s="220" t="s">
        <v>349</v>
      </c>
      <c r="H3" t="s">
        <v>350</v>
      </c>
    </row>
    <row r="4" spans="2:8">
      <c r="B4" s="218" t="s">
        <v>34</v>
      </c>
      <c r="C4" s="208" t="s">
        <v>341</v>
      </c>
      <c r="D4" s="219" t="s">
        <v>348</v>
      </c>
      <c r="E4" s="219" t="s">
        <v>345</v>
      </c>
      <c r="G4" s="220" t="s">
        <v>355</v>
      </c>
      <c r="H4" t="s">
        <v>357</v>
      </c>
    </row>
    <row r="5" spans="2:8">
      <c r="B5" s="232" t="s">
        <v>35</v>
      </c>
      <c r="C5" s="233" t="s">
        <v>341</v>
      </c>
      <c r="D5" s="234" t="s">
        <v>352</v>
      </c>
      <c r="E5" s="234" t="s">
        <v>345</v>
      </c>
      <c r="G5" s="220" t="s">
        <v>353</v>
      </c>
      <c r="H5" t="s">
        <v>354</v>
      </c>
    </row>
    <row r="6" spans="2:8">
      <c r="B6" s="218" t="s">
        <v>36</v>
      </c>
      <c r="C6" s="208" t="s">
        <v>340</v>
      </c>
      <c r="D6" s="219" t="s">
        <v>351</v>
      </c>
      <c r="E6" s="219" t="s">
        <v>345</v>
      </c>
    </row>
    <row r="7" spans="2:8">
      <c r="B7" s="232" t="s">
        <v>37</v>
      </c>
      <c r="C7" s="233" t="s">
        <v>340</v>
      </c>
      <c r="D7" s="234" t="s">
        <v>352</v>
      </c>
      <c r="E7" s="234" t="s">
        <v>345</v>
      </c>
    </row>
    <row r="8" spans="2:8">
      <c r="B8" s="232" t="s">
        <v>39</v>
      </c>
      <c r="C8" s="233" t="s">
        <v>340</v>
      </c>
      <c r="D8" s="234" t="s">
        <v>352</v>
      </c>
      <c r="E8" s="234" t="s">
        <v>345</v>
      </c>
    </row>
    <row r="9" spans="2:8">
      <c r="B9" s="218" t="s">
        <v>40</v>
      </c>
      <c r="C9" s="208" t="s">
        <v>340</v>
      </c>
      <c r="D9" s="219" t="s">
        <v>348</v>
      </c>
      <c r="E9" s="219" t="s">
        <v>345</v>
      </c>
    </row>
    <row r="10" spans="2:8">
      <c r="B10" s="218" t="s">
        <v>41</v>
      </c>
      <c r="C10" s="208" t="s">
        <v>340</v>
      </c>
      <c r="D10" s="219" t="s">
        <v>348</v>
      </c>
      <c r="E10" s="219" t="s">
        <v>345</v>
      </c>
    </row>
    <row r="11" spans="2:8">
      <c r="B11" s="232" t="s">
        <v>42</v>
      </c>
      <c r="C11" s="233" t="s">
        <v>340</v>
      </c>
      <c r="D11" s="234" t="s">
        <v>352</v>
      </c>
      <c r="E11" s="234" t="s">
        <v>345</v>
      </c>
    </row>
    <row r="12" spans="2:8">
      <c r="B12" s="218" t="s">
        <v>43</v>
      </c>
      <c r="C12" s="208" t="s">
        <v>340</v>
      </c>
      <c r="D12" s="219" t="s">
        <v>342</v>
      </c>
      <c r="E12" s="219" t="s">
        <v>345</v>
      </c>
    </row>
    <row r="13" spans="2:8">
      <c r="B13" s="218" t="s">
        <v>44</v>
      </c>
      <c r="C13" s="208" t="s">
        <v>341</v>
      </c>
      <c r="D13" s="219" t="s">
        <v>342</v>
      </c>
      <c r="E13" s="219" t="s">
        <v>345</v>
      </c>
    </row>
    <row r="14" spans="2:8">
      <c r="B14" s="232" t="s">
        <v>45</v>
      </c>
      <c r="C14" s="233" t="s">
        <v>341</v>
      </c>
      <c r="D14" s="234" t="s">
        <v>352</v>
      </c>
      <c r="E14" s="234" t="s">
        <v>345</v>
      </c>
    </row>
    <row r="15" spans="2:8">
      <c r="B15" s="218" t="s">
        <v>46</v>
      </c>
      <c r="C15" s="208" t="s">
        <v>341</v>
      </c>
      <c r="D15" s="219" t="s">
        <v>342</v>
      </c>
      <c r="E15" s="219" t="s">
        <v>345</v>
      </c>
    </row>
    <row r="16" spans="2:8">
      <c r="B16" s="218" t="s">
        <v>47</v>
      </c>
      <c r="C16" s="208" t="s">
        <v>340</v>
      </c>
      <c r="D16" s="219" t="s">
        <v>342</v>
      </c>
      <c r="E16" s="219" t="s">
        <v>345</v>
      </c>
    </row>
    <row r="17" spans="2:5">
      <c r="B17" s="218" t="s">
        <v>48</v>
      </c>
      <c r="C17" s="208" t="s">
        <v>341</v>
      </c>
      <c r="D17" s="219" t="s">
        <v>342</v>
      </c>
      <c r="E17" s="219" t="s">
        <v>345</v>
      </c>
    </row>
    <row r="18" spans="2:5">
      <c r="B18" s="218" t="s">
        <v>49</v>
      </c>
      <c r="C18" s="208" t="s">
        <v>341</v>
      </c>
      <c r="D18" s="219" t="s">
        <v>342</v>
      </c>
      <c r="E18" s="219" t="s">
        <v>345</v>
      </c>
    </row>
    <row r="19" spans="2:5">
      <c r="B19" s="232" t="s">
        <v>50</v>
      </c>
      <c r="C19" s="233" t="s">
        <v>340</v>
      </c>
      <c r="D19" s="234" t="s">
        <v>352</v>
      </c>
      <c r="E19" s="234" t="s">
        <v>345</v>
      </c>
    </row>
    <row r="20" spans="2:5">
      <c r="B20" s="235" t="s">
        <v>52</v>
      </c>
      <c r="C20" s="236" t="s">
        <v>341</v>
      </c>
      <c r="D20" s="237" t="s">
        <v>356</v>
      </c>
      <c r="E20" s="237" t="s">
        <v>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BA05B0-548A-4627-B6EF-AAA72E85C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Incidências Junho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2025-07-30T12:30:27Z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