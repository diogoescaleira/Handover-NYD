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xl/comments15.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7.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2.xml" ContentType="application/vnd.openxmlformats-officedocument.spreadsheetml.comments+xml"/>
  <Override PartName="/xl/comments10.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G:\Coord_Financeira_Arquivo\9999_12_RESOLUCAO\Resolution Pack\BANCO DE PORTUGAL\FR 2023\TEMPLATES\LDR\3. SGPS CONSOLIDADA\"/>
    </mc:Choice>
  </mc:AlternateContent>
  <bookViews>
    <workbookView xWindow="0" yWindow="0" windowWidth="19200" windowHeight="9450" activeTab="2"/>
  </bookViews>
  <sheets>
    <sheet name="TOC" sheetId="1" r:id="rId1"/>
    <sheet name="T 01.00.a" sheetId="7" r:id="rId2"/>
    <sheet name="T 01.00.b" sheetId="16" r:id="rId3"/>
    <sheet name="T 02.00.b" sheetId="2" r:id="rId4"/>
    <sheet name="T 02.00.a" sheetId="13" r:id="rId5"/>
    <sheet name="T 03.01" sheetId="6" r:id="rId6"/>
    <sheet name="T 03.02" sheetId="11" r:id="rId7"/>
    <sheet name="T 03.03" sheetId="8" r:id="rId8"/>
    <sheet name="T 04.00" sheetId="5" r:id="rId9"/>
    <sheet name="T 05.01" sheetId="15" r:id="rId10"/>
    <sheet name="T 06.01" sheetId="3" r:id="rId11"/>
    <sheet name="T 07.00" sheetId="14" r:id="rId12"/>
    <sheet name="T 08.00" sheetId="4" r:id="rId13"/>
    <sheet name="T 09.00" sheetId="9" r:id="rId14"/>
    <sheet name="T 12.00" sheetId="10" r:id="rId15"/>
    <sheet name="T 99.00" sheetId="12" r:id="rId16"/>
  </sheets>
  <externalReferences>
    <externalReference r:id="rId17"/>
    <externalReference r:id="rId18"/>
  </externalReferences>
  <definedNames>
    <definedName name="_xlnm._FilterDatabase" localSheetId="5" hidden="1">'T 03.01'!$A$7:$AF$85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7" l="1"/>
  <c r="P2" i="7" l="1"/>
  <c r="O3" i="7"/>
  <c r="N3" i="7"/>
  <c r="M3" i="7"/>
  <c r="L3" i="7"/>
  <c r="K3" i="7"/>
  <c r="J3" i="7"/>
  <c r="I3" i="7"/>
  <c r="H3" i="7"/>
  <c r="G3" i="7"/>
  <c r="F3" i="7"/>
  <c r="E3" i="7"/>
  <c r="O2" i="7"/>
  <c r="N2" i="7"/>
  <c r="M2" i="7"/>
  <c r="L2" i="7"/>
  <c r="K2" i="7"/>
  <c r="J2" i="7"/>
  <c r="I2" i="7"/>
  <c r="H2" i="7"/>
  <c r="G2" i="7"/>
  <c r="F2" i="7"/>
  <c r="E2" i="7"/>
  <c r="D3" i="7"/>
  <c r="D2" i="7"/>
  <c r="G11" i="7" l="1"/>
  <c r="G11" i="16" s="1"/>
  <c r="J11" i="7"/>
  <c r="J11" i="16" s="1"/>
  <c r="D79" i="16" l="1"/>
  <c r="M76" i="7"/>
  <c r="M80" i="7"/>
  <c r="E15" i="7" l="1"/>
  <c r="E15" i="16"/>
  <c r="K11" i="7" l="1"/>
  <c r="O75" i="16" l="1"/>
  <c r="N75" i="16"/>
  <c r="M75" i="16"/>
  <c r="L75" i="16"/>
  <c r="K75" i="16"/>
  <c r="J75" i="16"/>
  <c r="I75" i="16"/>
  <c r="H75" i="16"/>
  <c r="G75" i="16"/>
  <c r="F75" i="16"/>
  <c r="E75" i="16"/>
  <c r="D75" i="16"/>
  <c r="O74" i="16"/>
  <c r="N74" i="16"/>
  <c r="M74" i="16"/>
  <c r="L74" i="16"/>
  <c r="K74" i="16"/>
  <c r="J74" i="16"/>
  <c r="I74" i="16"/>
  <c r="H74" i="16"/>
  <c r="G74" i="16"/>
  <c r="F74" i="16"/>
  <c r="E74" i="16"/>
  <c r="D74" i="16"/>
  <c r="O73" i="16"/>
  <c r="N73" i="16"/>
  <c r="M73" i="16"/>
  <c r="L73" i="16"/>
  <c r="K73" i="16"/>
  <c r="J73" i="16"/>
  <c r="I73" i="16"/>
  <c r="H73" i="16"/>
  <c r="G73" i="16"/>
  <c r="F73" i="16"/>
  <c r="E73" i="16"/>
  <c r="D73" i="16"/>
  <c r="O72" i="16"/>
  <c r="N72" i="16"/>
  <c r="M72" i="16"/>
  <c r="L72" i="16"/>
  <c r="K72" i="16"/>
  <c r="J72" i="16"/>
  <c r="I72" i="16"/>
  <c r="H72" i="16"/>
  <c r="G72" i="16"/>
  <c r="F72" i="16"/>
  <c r="E72" i="16"/>
  <c r="D72" i="16"/>
  <c r="O71" i="16"/>
  <c r="N71" i="16"/>
  <c r="M71" i="16"/>
  <c r="L71" i="16"/>
  <c r="K71" i="16"/>
  <c r="J71" i="16"/>
  <c r="I71" i="16"/>
  <c r="H71" i="16"/>
  <c r="G71" i="16"/>
  <c r="F71" i="16"/>
  <c r="E71" i="16"/>
  <c r="D71" i="16"/>
  <c r="E70" i="16"/>
  <c r="F70" i="16"/>
  <c r="G70" i="16"/>
  <c r="H70" i="16"/>
  <c r="I70" i="16"/>
  <c r="J70" i="16"/>
  <c r="K70" i="16"/>
  <c r="L70" i="16"/>
  <c r="M70" i="16"/>
  <c r="M73" i="7" l="1"/>
  <c r="M71" i="7"/>
  <c r="M68" i="7"/>
  <c r="M67" i="7" l="1"/>
  <c r="M77" i="16"/>
  <c r="M76" i="16"/>
  <c r="O70" i="16"/>
  <c r="N70" i="16"/>
  <c r="D70" i="16"/>
  <c r="O68" i="16"/>
  <c r="N68" i="16"/>
  <c r="M68" i="16"/>
  <c r="L68" i="16"/>
  <c r="K68" i="16"/>
  <c r="J68" i="16"/>
  <c r="I68" i="16"/>
  <c r="H68" i="16"/>
  <c r="G68" i="16"/>
  <c r="F68" i="16"/>
  <c r="E68" i="16"/>
  <c r="D68" i="16"/>
  <c r="O66" i="16"/>
  <c r="N66" i="16"/>
  <c r="M66" i="16"/>
  <c r="L66" i="16"/>
  <c r="K66" i="16"/>
  <c r="J66" i="16"/>
  <c r="I66" i="16"/>
  <c r="H66" i="16"/>
  <c r="G66" i="16"/>
  <c r="F66" i="16"/>
  <c r="E66" i="16"/>
  <c r="D66" i="16"/>
  <c r="O65" i="16"/>
  <c r="N65" i="16"/>
  <c r="M65" i="16"/>
  <c r="L65" i="16"/>
  <c r="K65" i="16"/>
  <c r="J65" i="16"/>
  <c r="I65" i="16"/>
  <c r="H65" i="16"/>
  <c r="G65" i="16"/>
  <c r="F65" i="16"/>
  <c r="E65" i="16"/>
  <c r="D65" i="16"/>
  <c r="O62" i="16"/>
  <c r="N62" i="16"/>
  <c r="M62" i="16"/>
  <c r="L62" i="16"/>
  <c r="K62" i="16"/>
  <c r="J62" i="16"/>
  <c r="I62" i="16"/>
  <c r="H62" i="16"/>
  <c r="G62" i="16"/>
  <c r="F62" i="16"/>
  <c r="E62" i="16"/>
  <c r="D62" i="16"/>
  <c r="O61" i="16"/>
  <c r="N61" i="16"/>
  <c r="M61" i="16"/>
  <c r="L61" i="16"/>
  <c r="K61" i="16"/>
  <c r="J61" i="16"/>
  <c r="I61" i="16"/>
  <c r="H61" i="16"/>
  <c r="G61" i="16"/>
  <c r="F61" i="16"/>
  <c r="E61" i="16"/>
  <c r="D61" i="16"/>
  <c r="O60" i="16"/>
  <c r="N60" i="16"/>
  <c r="M60" i="16"/>
  <c r="L60" i="16"/>
  <c r="K60" i="16"/>
  <c r="J60" i="16"/>
  <c r="I60" i="16"/>
  <c r="H60" i="16"/>
  <c r="G60" i="16"/>
  <c r="F60" i="16"/>
  <c r="E60" i="16"/>
  <c r="D60" i="16"/>
  <c r="O59" i="16"/>
  <c r="N59" i="16"/>
  <c r="M59" i="16"/>
  <c r="L59" i="16"/>
  <c r="K59" i="16"/>
  <c r="J59" i="16"/>
  <c r="I59" i="16"/>
  <c r="H59" i="16"/>
  <c r="G59" i="16"/>
  <c r="F59" i="16"/>
  <c r="E59" i="16"/>
  <c r="D59" i="16"/>
  <c r="O58" i="16"/>
  <c r="N58" i="16"/>
  <c r="M58" i="16"/>
  <c r="L58" i="16"/>
  <c r="K58" i="16"/>
  <c r="J58" i="16"/>
  <c r="I58" i="16"/>
  <c r="H58" i="16"/>
  <c r="G58" i="16"/>
  <c r="F58" i="16"/>
  <c r="E58" i="16"/>
  <c r="D58" i="16"/>
  <c r="O57" i="16"/>
  <c r="N57" i="16"/>
  <c r="M57" i="16"/>
  <c r="L57" i="16"/>
  <c r="K57" i="16"/>
  <c r="J57" i="16"/>
  <c r="I57" i="16"/>
  <c r="H57" i="16"/>
  <c r="G57" i="16"/>
  <c r="F57" i="16"/>
  <c r="E57" i="16"/>
  <c r="D57" i="16"/>
  <c r="O56" i="16"/>
  <c r="N56" i="16"/>
  <c r="M56" i="16"/>
  <c r="L56" i="16"/>
  <c r="K56" i="16"/>
  <c r="J56" i="16"/>
  <c r="I56" i="16"/>
  <c r="H56" i="16"/>
  <c r="G56" i="16"/>
  <c r="F56" i="16"/>
  <c r="E56" i="16"/>
  <c r="D56" i="16"/>
  <c r="O55" i="16"/>
  <c r="N55" i="16"/>
  <c r="M55" i="16"/>
  <c r="L55" i="16"/>
  <c r="K55" i="16"/>
  <c r="J55" i="16"/>
  <c r="I55" i="16"/>
  <c r="H55" i="16"/>
  <c r="G55" i="16"/>
  <c r="F55" i="16"/>
  <c r="E55" i="16"/>
  <c r="D55" i="16"/>
  <c r="O54" i="16"/>
  <c r="N54" i="16"/>
  <c r="M54" i="16"/>
  <c r="L54" i="16"/>
  <c r="K54" i="16"/>
  <c r="J54" i="16"/>
  <c r="I54" i="16"/>
  <c r="H54" i="16"/>
  <c r="G54" i="16"/>
  <c r="F54" i="16"/>
  <c r="E54" i="16"/>
  <c r="D54" i="16"/>
  <c r="O53" i="16"/>
  <c r="N53" i="16"/>
  <c r="M53" i="16"/>
  <c r="L53" i="16"/>
  <c r="K53" i="16"/>
  <c r="J53" i="16"/>
  <c r="I53" i="16"/>
  <c r="H53" i="16"/>
  <c r="G53" i="16"/>
  <c r="F53" i="16"/>
  <c r="E53" i="16"/>
  <c r="D53" i="16"/>
  <c r="O52" i="16"/>
  <c r="N52" i="16"/>
  <c r="M52" i="16"/>
  <c r="L52" i="16"/>
  <c r="K52" i="16"/>
  <c r="J52" i="16"/>
  <c r="I52" i="16"/>
  <c r="H52" i="16"/>
  <c r="G52" i="16"/>
  <c r="F52" i="16"/>
  <c r="E52" i="16"/>
  <c r="D52" i="16"/>
  <c r="O51" i="16"/>
  <c r="N51" i="16"/>
  <c r="M51" i="16"/>
  <c r="L51" i="16"/>
  <c r="K51" i="16"/>
  <c r="J51" i="16"/>
  <c r="I51" i="16"/>
  <c r="H51" i="16"/>
  <c r="G51" i="16"/>
  <c r="F51" i="16"/>
  <c r="E51" i="16"/>
  <c r="D51" i="16"/>
  <c r="O50" i="16"/>
  <c r="N50" i="16"/>
  <c r="M50" i="16"/>
  <c r="L50" i="16"/>
  <c r="K50" i="16"/>
  <c r="J50" i="16"/>
  <c r="I50" i="16"/>
  <c r="H50" i="16"/>
  <c r="G50" i="16"/>
  <c r="F50" i="16"/>
  <c r="E50" i="16"/>
  <c r="D50" i="16"/>
  <c r="O49" i="16"/>
  <c r="N49" i="16"/>
  <c r="M49" i="16"/>
  <c r="L49" i="16"/>
  <c r="K49" i="16"/>
  <c r="J49" i="16"/>
  <c r="I49" i="16"/>
  <c r="H49" i="16"/>
  <c r="G49" i="16"/>
  <c r="F49" i="16"/>
  <c r="E49" i="16"/>
  <c r="D49" i="16"/>
  <c r="O48" i="16"/>
  <c r="N48" i="16"/>
  <c r="M48" i="16"/>
  <c r="L48" i="16"/>
  <c r="K48" i="16"/>
  <c r="J48" i="16"/>
  <c r="I48" i="16"/>
  <c r="H48" i="16"/>
  <c r="G48" i="16"/>
  <c r="F48" i="16"/>
  <c r="E48" i="16"/>
  <c r="D48" i="16"/>
  <c r="O47" i="16"/>
  <c r="N47" i="16"/>
  <c r="M47" i="16"/>
  <c r="L47" i="16"/>
  <c r="K47" i="16"/>
  <c r="J47" i="16"/>
  <c r="I47" i="16"/>
  <c r="H47" i="16"/>
  <c r="G47" i="16"/>
  <c r="F47" i="16"/>
  <c r="E47" i="16"/>
  <c r="D47" i="16"/>
  <c r="O46" i="16"/>
  <c r="N46" i="16"/>
  <c r="M46" i="16"/>
  <c r="L46" i="16"/>
  <c r="K46" i="16"/>
  <c r="J46" i="16"/>
  <c r="I46" i="16"/>
  <c r="H46" i="16"/>
  <c r="G46" i="16"/>
  <c r="F46" i="16"/>
  <c r="E46" i="16"/>
  <c r="D46" i="16"/>
  <c r="O45" i="16"/>
  <c r="N45" i="16"/>
  <c r="M45" i="16"/>
  <c r="L45" i="16"/>
  <c r="K45" i="16"/>
  <c r="J45" i="16"/>
  <c r="I45" i="16"/>
  <c r="H45" i="16"/>
  <c r="G45" i="16"/>
  <c r="F45" i="16"/>
  <c r="E45" i="16"/>
  <c r="D45" i="16"/>
  <c r="O44" i="16"/>
  <c r="N44" i="16"/>
  <c r="M44" i="16"/>
  <c r="L44" i="16"/>
  <c r="K44" i="16"/>
  <c r="J44" i="16"/>
  <c r="I44" i="16"/>
  <c r="H44" i="16"/>
  <c r="G44" i="16"/>
  <c r="F44" i="16"/>
  <c r="E44" i="16"/>
  <c r="D44" i="16"/>
  <c r="O43" i="16"/>
  <c r="N43" i="16"/>
  <c r="M43" i="16"/>
  <c r="L43" i="16"/>
  <c r="K43" i="16"/>
  <c r="J43" i="16"/>
  <c r="I43" i="16"/>
  <c r="H43" i="16"/>
  <c r="G43" i="16"/>
  <c r="F43" i="16"/>
  <c r="E43" i="16"/>
  <c r="D43" i="16"/>
  <c r="O42" i="16"/>
  <c r="N42" i="16"/>
  <c r="M42" i="16"/>
  <c r="L42" i="16"/>
  <c r="K42" i="16"/>
  <c r="J42" i="16"/>
  <c r="I42" i="16"/>
  <c r="H42" i="16"/>
  <c r="G42" i="16"/>
  <c r="F42" i="16"/>
  <c r="E42" i="16"/>
  <c r="D42" i="16"/>
  <c r="O41" i="16"/>
  <c r="N41" i="16"/>
  <c r="M41" i="16"/>
  <c r="L41" i="16"/>
  <c r="K41" i="16"/>
  <c r="J41" i="16"/>
  <c r="I41" i="16"/>
  <c r="H41" i="16"/>
  <c r="G41" i="16"/>
  <c r="F41" i="16"/>
  <c r="E41" i="16"/>
  <c r="D41" i="16"/>
  <c r="O40" i="16"/>
  <c r="N40" i="16"/>
  <c r="M40" i="16"/>
  <c r="L40" i="16"/>
  <c r="K40" i="16"/>
  <c r="J40" i="16"/>
  <c r="I40" i="16"/>
  <c r="H40" i="16"/>
  <c r="G40" i="16"/>
  <c r="F40" i="16"/>
  <c r="E40" i="16"/>
  <c r="D40" i="16"/>
  <c r="O39" i="16"/>
  <c r="N39" i="16"/>
  <c r="M39" i="16"/>
  <c r="L39" i="16"/>
  <c r="K39" i="16"/>
  <c r="J39" i="16"/>
  <c r="I39" i="16"/>
  <c r="H39" i="16"/>
  <c r="G39" i="16"/>
  <c r="F39" i="16"/>
  <c r="E39" i="16"/>
  <c r="D39" i="16"/>
  <c r="O38" i="16"/>
  <c r="N38" i="16"/>
  <c r="M38" i="16"/>
  <c r="L38" i="16"/>
  <c r="K38" i="16"/>
  <c r="J38" i="16"/>
  <c r="I38" i="16"/>
  <c r="H38" i="16"/>
  <c r="G38" i="16"/>
  <c r="F38" i="16"/>
  <c r="E38" i="16"/>
  <c r="D38" i="16"/>
  <c r="O37" i="16"/>
  <c r="N37" i="16"/>
  <c r="M37" i="16"/>
  <c r="L37" i="16"/>
  <c r="K37" i="16"/>
  <c r="J37" i="16"/>
  <c r="I37" i="16"/>
  <c r="H37" i="16"/>
  <c r="G37" i="16"/>
  <c r="F37" i="16"/>
  <c r="E37" i="16"/>
  <c r="D37" i="16"/>
  <c r="O36" i="16"/>
  <c r="N36" i="16"/>
  <c r="M36" i="16"/>
  <c r="L36" i="16"/>
  <c r="K36" i="16"/>
  <c r="J36" i="16"/>
  <c r="I36" i="16"/>
  <c r="H36" i="16"/>
  <c r="G36" i="16"/>
  <c r="F36" i="16"/>
  <c r="E36" i="16"/>
  <c r="D36" i="16"/>
  <c r="O35" i="16"/>
  <c r="N35" i="16"/>
  <c r="M35" i="16"/>
  <c r="L35" i="16"/>
  <c r="K35" i="16"/>
  <c r="J35" i="16"/>
  <c r="I35" i="16"/>
  <c r="H35" i="16"/>
  <c r="G35" i="16"/>
  <c r="F35" i="16"/>
  <c r="E35" i="16"/>
  <c r="D35" i="16"/>
  <c r="O34" i="16"/>
  <c r="N34" i="16"/>
  <c r="M34" i="16"/>
  <c r="L34" i="16"/>
  <c r="K34" i="16"/>
  <c r="J34" i="16"/>
  <c r="I34" i="16"/>
  <c r="H34" i="16"/>
  <c r="G34" i="16"/>
  <c r="F34" i="16"/>
  <c r="E34" i="16"/>
  <c r="D34" i="16"/>
  <c r="O33" i="16"/>
  <c r="N33" i="16"/>
  <c r="M33" i="16"/>
  <c r="L33" i="16"/>
  <c r="K33" i="16"/>
  <c r="J33" i="16"/>
  <c r="I33" i="16"/>
  <c r="H33" i="16"/>
  <c r="G33" i="16"/>
  <c r="F33" i="16"/>
  <c r="E33" i="16"/>
  <c r="D33" i="16"/>
  <c r="O32" i="16"/>
  <c r="N32" i="16"/>
  <c r="M32" i="16"/>
  <c r="L32" i="16"/>
  <c r="K32" i="16"/>
  <c r="J32" i="16"/>
  <c r="I32" i="16"/>
  <c r="H32" i="16"/>
  <c r="G32" i="16"/>
  <c r="F32" i="16"/>
  <c r="E32" i="16"/>
  <c r="D32" i="16"/>
  <c r="O31" i="16"/>
  <c r="N31" i="16"/>
  <c r="M31" i="16"/>
  <c r="L31" i="16"/>
  <c r="K31" i="16"/>
  <c r="J31" i="16"/>
  <c r="I31" i="16"/>
  <c r="H31" i="16"/>
  <c r="G31" i="16"/>
  <c r="F31" i="16"/>
  <c r="E31" i="16"/>
  <c r="D31" i="16"/>
  <c r="O30" i="16"/>
  <c r="N30" i="16"/>
  <c r="M30" i="16"/>
  <c r="L30" i="16"/>
  <c r="K30" i="16"/>
  <c r="J30" i="16"/>
  <c r="I30" i="16"/>
  <c r="H30" i="16"/>
  <c r="G30" i="16"/>
  <c r="F30" i="16"/>
  <c r="E30" i="16"/>
  <c r="D30" i="16"/>
  <c r="O29" i="16"/>
  <c r="N29" i="16"/>
  <c r="M29" i="16"/>
  <c r="L29" i="16"/>
  <c r="K29" i="16"/>
  <c r="J29" i="16"/>
  <c r="I29" i="16"/>
  <c r="H29" i="16"/>
  <c r="G29" i="16"/>
  <c r="F29" i="16"/>
  <c r="E29" i="16"/>
  <c r="D29" i="16"/>
  <c r="O28" i="16"/>
  <c r="N28" i="16"/>
  <c r="M28" i="16"/>
  <c r="L28" i="16"/>
  <c r="K28" i="16"/>
  <c r="J28" i="16"/>
  <c r="I28" i="16"/>
  <c r="H28" i="16"/>
  <c r="G28" i="16"/>
  <c r="F28" i="16"/>
  <c r="E28" i="16"/>
  <c r="D28" i="16"/>
  <c r="O27" i="16"/>
  <c r="N27" i="16"/>
  <c r="M27" i="16"/>
  <c r="L27" i="16"/>
  <c r="K27" i="16"/>
  <c r="J27" i="16"/>
  <c r="I27" i="16"/>
  <c r="H27" i="16"/>
  <c r="G27" i="16"/>
  <c r="F27" i="16"/>
  <c r="E27" i="16"/>
  <c r="D27" i="16"/>
  <c r="O26" i="16"/>
  <c r="N26" i="16"/>
  <c r="M26" i="16"/>
  <c r="L26" i="16"/>
  <c r="K26" i="16"/>
  <c r="J26" i="16"/>
  <c r="I26" i="16"/>
  <c r="H26" i="16"/>
  <c r="G26" i="16"/>
  <c r="F26" i="16"/>
  <c r="E26" i="16"/>
  <c r="D26" i="16"/>
  <c r="O25" i="16"/>
  <c r="N25" i="16"/>
  <c r="M25" i="16"/>
  <c r="L25" i="16"/>
  <c r="K25" i="16"/>
  <c r="J25" i="16"/>
  <c r="I25" i="16"/>
  <c r="H25" i="16"/>
  <c r="G25" i="16"/>
  <c r="F25" i="16"/>
  <c r="E25" i="16"/>
  <c r="D25" i="16"/>
  <c r="O24" i="16"/>
  <c r="N24" i="16"/>
  <c r="M24" i="16"/>
  <c r="L24" i="16"/>
  <c r="K24" i="16"/>
  <c r="J24" i="16"/>
  <c r="I24" i="16"/>
  <c r="H24" i="16"/>
  <c r="G24" i="16"/>
  <c r="F24" i="16"/>
  <c r="E24" i="16"/>
  <c r="D24" i="16"/>
  <c r="O23" i="16"/>
  <c r="N23" i="16"/>
  <c r="M23" i="16"/>
  <c r="L23" i="16"/>
  <c r="K23" i="16"/>
  <c r="J23" i="16"/>
  <c r="I23" i="16"/>
  <c r="H23" i="16"/>
  <c r="G23" i="16"/>
  <c r="F23" i="16"/>
  <c r="E23" i="16"/>
  <c r="D23" i="16"/>
  <c r="O22" i="16"/>
  <c r="N22" i="16"/>
  <c r="M22" i="16"/>
  <c r="L22" i="16"/>
  <c r="K22" i="16"/>
  <c r="J22" i="16"/>
  <c r="I22" i="16"/>
  <c r="H22" i="16"/>
  <c r="G22" i="16"/>
  <c r="F22" i="16"/>
  <c r="E22" i="16"/>
  <c r="D22" i="16"/>
  <c r="O21" i="16"/>
  <c r="N21" i="16"/>
  <c r="M21" i="16"/>
  <c r="L21" i="16"/>
  <c r="K21" i="16"/>
  <c r="J21" i="16"/>
  <c r="I21" i="16"/>
  <c r="H21" i="16"/>
  <c r="G21" i="16"/>
  <c r="F21" i="16"/>
  <c r="E21" i="16"/>
  <c r="D21" i="16"/>
  <c r="N20" i="16"/>
  <c r="M20" i="16"/>
  <c r="I20" i="16"/>
  <c r="H20" i="16"/>
  <c r="G20" i="16"/>
  <c r="O19" i="16"/>
  <c r="N19" i="16"/>
  <c r="M19" i="16"/>
  <c r="J19" i="16"/>
  <c r="I19" i="16"/>
  <c r="H19" i="16"/>
  <c r="G19" i="16"/>
  <c r="F19" i="16"/>
  <c r="E19" i="16"/>
  <c r="M18" i="16"/>
  <c r="J18" i="16"/>
  <c r="O17" i="16"/>
  <c r="N17" i="16"/>
  <c r="M17" i="16"/>
  <c r="L17" i="16"/>
  <c r="K17" i="16"/>
  <c r="J17" i="16"/>
  <c r="I17" i="16"/>
  <c r="H17" i="16"/>
  <c r="G17" i="16"/>
  <c r="F17" i="16"/>
  <c r="E17" i="16"/>
  <c r="D17" i="16"/>
  <c r="O16" i="16"/>
  <c r="M16" i="16"/>
  <c r="D16" i="16"/>
  <c r="O15" i="16"/>
  <c r="N15" i="16"/>
  <c r="M15" i="16"/>
  <c r="L15" i="16"/>
  <c r="K15" i="16"/>
  <c r="J15" i="16"/>
  <c r="I15" i="16"/>
  <c r="H15" i="16"/>
  <c r="G15" i="16"/>
  <c r="F15" i="16"/>
  <c r="O14" i="16"/>
  <c r="M14" i="16"/>
  <c r="I14" i="16"/>
  <c r="H14" i="16"/>
  <c r="G14" i="16"/>
  <c r="O13" i="16"/>
  <c r="N13" i="16"/>
  <c r="M13" i="16"/>
  <c r="L13" i="16"/>
  <c r="K13" i="16"/>
  <c r="J13" i="16"/>
  <c r="I13" i="16"/>
  <c r="H13" i="16"/>
  <c r="G13" i="16"/>
  <c r="F13" i="16"/>
  <c r="E13" i="16"/>
  <c r="D13" i="16"/>
  <c r="O12" i="16"/>
  <c r="N12" i="16"/>
  <c r="M12" i="16"/>
  <c r="L12" i="16"/>
  <c r="K12" i="16"/>
  <c r="J12" i="16"/>
  <c r="I12" i="16"/>
  <c r="H12" i="16"/>
  <c r="G12" i="16"/>
  <c r="F12" i="16"/>
  <c r="E12" i="16"/>
  <c r="D12" i="16"/>
  <c r="O11" i="16"/>
  <c r="N11" i="16"/>
  <c r="M11" i="16"/>
  <c r="L11" i="16"/>
  <c r="I11" i="16"/>
  <c r="H11" i="16"/>
  <c r="F11" i="16"/>
  <c r="E11" i="16"/>
  <c r="D11" i="16"/>
  <c r="O10" i="16"/>
  <c r="N10" i="16"/>
  <c r="M10" i="16"/>
  <c r="L10" i="16"/>
  <c r="J10" i="16"/>
  <c r="I10" i="16"/>
  <c r="H10" i="16"/>
  <c r="F10" i="16"/>
  <c r="E10" i="16"/>
  <c r="D10" i="16"/>
  <c r="D36" i="7"/>
  <c r="E36" i="7"/>
  <c r="F36" i="7"/>
  <c r="G36" i="7"/>
  <c r="H36" i="7"/>
  <c r="I36" i="7"/>
  <c r="J36" i="7"/>
  <c r="K36" i="7"/>
  <c r="L36" i="7"/>
  <c r="N36" i="7"/>
  <c r="O9" i="16"/>
  <c r="N9" i="16"/>
  <c r="M9" i="16"/>
  <c r="L9" i="16"/>
  <c r="K9" i="16"/>
  <c r="I9" i="16"/>
  <c r="H9" i="16"/>
  <c r="F9" i="16"/>
  <c r="E9" i="16"/>
  <c r="D9" i="16"/>
  <c r="O74" i="7"/>
  <c r="N74" i="7"/>
  <c r="M74" i="7"/>
  <c r="L74" i="7"/>
  <c r="K74" i="7"/>
  <c r="J74" i="7"/>
  <c r="I74" i="7"/>
  <c r="H74" i="7"/>
  <c r="G74" i="7"/>
  <c r="F74" i="7"/>
  <c r="E74" i="7"/>
  <c r="D74" i="7"/>
  <c r="O72" i="7"/>
  <c r="N72" i="7"/>
  <c r="M72" i="7"/>
  <c r="L72" i="7"/>
  <c r="K72" i="7"/>
  <c r="J72" i="7"/>
  <c r="I72" i="7"/>
  <c r="H72" i="7"/>
  <c r="G72" i="7"/>
  <c r="F72" i="7"/>
  <c r="E72" i="7"/>
  <c r="D72" i="7"/>
  <c r="O70" i="7"/>
  <c r="N70" i="7"/>
  <c r="M70" i="7"/>
  <c r="L70" i="7"/>
  <c r="K70" i="7"/>
  <c r="J70" i="7"/>
  <c r="I70" i="7"/>
  <c r="H70" i="7"/>
  <c r="G70" i="7"/>
  <c r="F70" i="7"/>
  <c r="E70" i="7"/>
  <c r="D70" i="7"/>
  <c r="O69" i="7"/>
  <c r="N69" i="7"/>
  <c r="M69" i="7"/>
  <c r="L69" i="7"/>
  <c r="K69" i="7"/>
  <c r="J69" i="7"/>
  <c r="I69" i="7"/>
  <c r="H69" i="7"/>
  <c r="G69" i="7"/>
  <c r="F69" i="7"/>
  <c r="E69" i="7"/>
  <c r="D69" i="7"/>
  <c r="O66" i="7"/>
  <c r="N66" i="7"/>
  <c r="M66" i="7"/>
  <c r="L66" i="7"/>
  <c r="K66" i="7"/>
  <c r="J66" i="7"/>
  <c r="I66" i="7"/>
  <c r="H66" i="7"/>
  <c r="G66" i="7"/>
  <c r="F66" i="7"/>
  <c r="E66" i="7"/>
  <c r="D66" i="7"/>
  <c r="O65" i="7"/>
  <c r="N65" i="7"/>
  <c r="M65" i="7"/>
  <c r="L65" i="7"/>
  <c r="K65" i="7"/>
  <c r="J65" i="7"/>
  <c r="I65" i="7"/>
  <c r="H65" i="7"/>
  <c r="G65" i="7"/>
  <c r="F65" i="7"/>
  <c r="E65" i="7"/>
  <c r="D65" i="7"/>
  <c r="O64" i="7"/>
  <c r="N64" i="7"/>
  <c r="M64" i="7"/>
  <c r="L64" i="7"/>
  <c r="K64" i="7"/>
  <c r="J64" i="7"/>
  <c r="I64" i="7"/>
  <c r="H64" i="7"/>
  <c r="G64" i="7"/>
  <c r="F64" i="7"/>
  <c r="E64" i="7"/>
  <c r="D64" i="7"/>
  <c r="O63" i="7"/>
  <c r="N63" i="7"/>
  <c r="M63" i="7"/>
  <c r="L63" i="7"/>
  <c r="K63" i="7"/>
  <c r="J63" i="7"/>
  <c r="I63" i="7"/>
  <c r="H63" i="7"/>
  <c r="G63" i="7"/>
  <c r="F63" i="7"/>
  <c r="E63" i="7"/>
  <c r="D63" i="7"/>
  <c r="O62" i="7"/>
  <c r="N62" i="7"/>
  <c r="M62" i="7"/>
  <c r="L62" i="7"/>
  <c r="K62" i="7"/>
  <c r="J62" i="7"/>
  <c r="I62" i="7"/>
  <c r="H62" i="7"/>
  <c r="G62" i="7"/>
  <c r="F62" i="7"/>
  <c r="E62" i="7"/>
  <c r="D62" i="7"/>
  <c r="O61" i="7"/>
  <c r="N61" i="7"/>
  <c r="M61" i="7"/>
  <c r="L61" i="7"/>
  <c r="K61" i="7"/>
  <c r="J61" i="7"/>
  <c r="I61" i="7"/>
  <c r="H61" i="7"/>
  <c r="G61" i="7"/>
  <c r="F61" i="7"/>
  <c r="E61" i="7"/>
  <c r="D61" i="7"/>
  <c r="O60" i="7"/>
  <c r="N60" i="7"/>
  <c r="M60" i="7"/>
  <c r="L60" i="7"/>
  <c r="K60" i="7"/>
  <c r="J60" i="7"/>
  <c r="I60" i="7"/>
  <c r="H60" i="7"/>
  <c r="G60" i="7"/>
  <c r="F60" i="7"/>
  <c r="E60" i="7"/>
  <c r="D60" i="7"/>
  <c r="O59" i="7"/>
  <c r="N59" i="7"/>
  <c r="M59" i="7"/>
  <c r="L59" i="7"/>
  <c r="K59" i="7"/>
  <c r="J59" i="7"/>
  <c r="I59" i="7"/>
  <c r="H59" i="7"/>
  <c r="G59" i="7"/>
  <c r="F59" i="7"/>
  <c r="E59" i="7"/>
  <c r="D59" i="7"/>
  <c r="O58" i="7"/>
  <c r="N58" i="7"/>
  <c r="M58" i="7"/>
  <c r="L58" i="7"/>
  <c r="K58" i="7"/>
  <c r="J58" i="7"/>
  <c r="I58" i="7"/>
  <c r="H58" i="7"/>
  <c r="G58" i="7"/>
  <c r="F58" i="7"/>
  <c r="E58" i="7"/>
  <c r="D58" i="7"/>
  <c r="O57" i="7"/>
  <c r="N57" i="7"/>
  <c r="M57" i="7"/>
  <c r="L57" i="7"/>
  <c r="K57" i="7"/>
  <c r="J57" i="7"/>
  <c r="I57" i="7"/>
  <c r="H57" i="7"/>
  <c r="G57" i="7"/>
  <c r="F57" i="7"/>
  <c r="E57" i="7"/>
  <c r="D57" i="7"/>
  <c r="O56" i="7"/>
  <c r="N56" i="7"/>
  <c r="M56" i="7"/>
  <c r="L56" i="7"/>
  <c r="K56" i="7"/>
  <c r="J56" i="7"/>
  <c r="I56" i="7"/>
  <c r="H56" i="7"/>
  <c r="G56" i="7"/>
  <c r="F56" i="7"/>
  <c r="E56" i="7"/>
  <c r="D56" i="7"/>
  <c r="O55" i="7"/>
  <c r="N55" i="7"/>
  <c r="M55" i="7"/>
  <c r="L55" i="7"/>
  <c r="K55" i="7"/>
  <c r="J55" i="7"/>
  <c r="I55" i="7"/>
  <c r="H55" i="7"/>
  <c r="G55" i="7"/>
  <c r="F55" i="7"/>
  <c r="E55" i="7"/>
  <c r="D55" i="7"/>
  <c r="O54" i="7"/>
  <c r="N54" i="7"/>
  <c r="M54" i="7"/>
  <c r="L54" i="7"/>
  <c r="K54" i="7"/>
  <c r="J54" i="7"/>
  <c r="I54" i="7"/>
  <c r="H54" i="7"/>
  <c r="G54" i="7"/>
  <c r="F54" i="7"/>
  <c r="E54" i="7"/>
  <c r="D54" i="7"/>
  <c r="O53" i="7"/>
  <c r="N53" i="7"/>
  <c r="M53" i="7"/>
  <c r="L53" i="7"/>
  <c r="K53" i="7"/>
  <c r="J53" i="7"/>
  <c r="I53" i="7"/>
  <c r="H53" i="7"/>
  <c r="G53" i="7"/>
  <c r="F53" i="7"/>
  <c r="E53" i="7"/>
  <c r="D53" i="7"/>
  <c r="O52" i="7"/>
  <c r="N52" i="7"/>
  <c r="M52" i="7"/>
  <c r="L52" i="7"/>
  <c r="K52" i="7"/>
  <c r="J52" i="7"/>
  <c r="I52" i="7"/>
  <c r="H52" i="7"/>
  <c r="G52" i="7"/>
  <c r="F52" i="7"/>
  <c r="E52" i="7"/>
  <c r="D52" i="7"/>
  <c r="O51" i="7"/>
  <c r="N51" i="7"/>
  <c r="M51" i="7"/>
  <c r="L51" i="7"/>
  <c r="K51" i="7"/>
  <c r="J51" i="7"/>
  <c r="I51" i="7"/>
  <c r="H51" i="7"/>
  <c r="G51" i="7"/>
  <c r="F51" i="7"/>
  <c r="E51" i="7"/>
  <c r="D51" i="7"/>
  <c r="O50" i="7"/>
  <c r="N50" i="7"/>
  <c r="M50" i="7"/>
  <c r="L50" i="7"/>
  <c r="K50" i="7"/>
  <c r="J50" i="7"/>
  <c r="I50" i="7"/>
  <c r="H50" i="7"/>
  <c r="G50" i="7"/>
  <c r="F50" i="7"/>
  <c r="E50" i="7"/>
  <c r="D50" i="7"/>
  <c r="O49" i="7"/>
  <c r="N49" i="7"/>
  <c r="M49" i="7"/>
  <c r="L49" i="7"/>
  <c r="K49" i="7"/>
  <c r="J49" i="7"/>
  <c r="I49" i="7"/>
  <c r="H49" i="7"/>
  <c r="G49" i="7"/>
  <c r="F49" i="7"/>
  <c r="E49" i="7"/>
  <c r="D49" i="7"/>
  <c r="O48" i="7"/>
  <c r="N48" i="7"/>
  <c r="M48" i="7"/>
  <c r="L48" i="7"/>
  <c r="K48" i="7"/>
  <c r="J48" i="7"/>
  <c r="I48" i="7"/>
  <c r="H48" i="7"/>
  <c r="G48" i="7"/>
  <c r="F48" i="7"/>
  <c r="E48" i="7"/>
  <c r="D48" i="7"/>
  <c r="O47" i="7"/>
  <c r="N47" i="7"/>
  <c r="M47" i="7"/>
  <c r="L47" i="7"/>
  <c r="K47" i="7"/>
  <c r="J47" i="7"/>
  <c r="I47" i="7"/>
  <c r="H47" i="7"/>
  <c r="G47" i="7"/>
  <c r="F47" i="7"/>
  <c r="E47" i="7"/>
  <c r="D47" i="7"/>
  <c r="O46" i="7"/>
  <c r="N46" i="7"/>
  <c r="M46" i="7"/>
  <c r="L46" i="7"/>
  <c r="K46" i="7"/>
  <c r="J46" i="7"/>
  <c r="I46" i="7"/>
  <c r="H46" i="7"/>
  <c r="G46" i="7"/>
  <c r="F46" i="7"/>
  <c r="E46" i="7"/>
  <c r="D46" i="7"/>
  <c r="O45" i="7"/>
  <c r="N45" i="7"/>
  <c r="M45" i="7"/>
  <c r="L45" i="7"/>
  <c r="K45" i="7"/>
  <c r="J45" i="7"/>
  <c r="I45" i="7"/>
  <c r="H45" i="7"/>
  <c r="G45" i="7"/>
  <c r="F45" i="7"/>
  <c r="E45" i="7"/>
  <c r="D45" i="7"/>
  <c r="O44" i="7"/>
  <c r="N44" i="7"/>
  <c r="M44" i="7"/>
  <c r="L44" i="7"/>
  <c r="K44" i="7"/>
  <c r="J44" i="7"/>
  <c r="I44" i="7"/>
  <c r="H44" i="7"/>
  <c r="G44" i="7"/>
  <c r="F44" i="7"/>
  <c r="E44" i="7"/>
  <c r="D44" i="7"/>
  <c r="O43" i="7"/>
  <c r="N43" i="7"/>
  <c r="M43" i="7"/>
  <c r="L43" i="7"/>
  <c r="K43" i="7"/>
  <c r="J43" i="7"/>
  <c r="I43" i="7"/>
  <c r="H43" i="7"/>
  <c r="G43" i="7"/>
  <c r="F43" i="7"/>
  <c r="E43" i="7"/>
  <c r="D43" i="7"/>
  <c r="O42" i="7"/>
  <c r="N42" i="7"/>
  <c r="M42" i="7"/>
  <c r="L42" i="7"/>
  <c r="K42" i="7"/>
  <c r="J42" i="7"/>
  <c r="I42" i="7"/>
  <c r="H42" i="7"/>
  <c r="G42" i="7"/>
  <c r="F42" i="7"/>
  <c r="E42" i="7"/>
  <c r="D42" i="7"/>
  <c r="O41" i="7"/>
  <c r="N41" i="7"/>
  <c r="M41" i="7"/>
  <c r="L41" i="7"/>
  <c r="K41" i="7"/>
  <c r="J41" i="7"/>
  <c r="I41" i="7"/>
  <c r="H41" i="7"/>
  <c r="G41" i="7"/>
  <c r="F41" i="7"/>
  <c r="E41" i="7"/>
  <c r="D41" i="7"/>
  <c r="O40" i="7"/>
  <c r="N40" i="7"/>
  <c r="M40" i="7"/>
  <c r="L40" i="7"/>
  <c r="K40" i="7"/>
  <c r="J40" i="7"/>
  <c r="I40" i="7"/>
  <c r="H40" i="7"/>
  <c r="G40" i="7"/>
  <c r="F40" i="7"/>
  <c r="E40" i="7"/>
  <c r="D40" i="7"/>
  <c r="O39" i="7"/>
  <c r="N39" i="7"/>
  <c r="M39" i="7"/>
  <c r="L39" i="7"/>
  <c r="K39" i="7"/>
  <c r="J39" i="7"/>
  <c r="I39" i="7"/>
  <c r="H39" i="7"/>
  <c r="G39" i="7"/>
  <c r="F39" i="7"/>
  <c r="E39" i="7"/>
  <c r="D39" i="7"/>
  <c r="O38" i="7"/>
  <c r="N38" i="7"/>
  <c r="M38" i="7"/>
  <c r="L38" i="7"/>
  <c r="K38" i="7"/>
  <c r="J38" i="7"/>
  <c r="I38" i="7"/>
  <c r="H38" i="7"/>
  <c r="G38" i="7"/>
  <c r="F38" i="7"/>
  <c r="E38" i="7"/>
  <c r="D38" i="7"/>
  <c r="O37" i="7"/>
  <c r="N37" i="7"/>
  <c r="M37" i="7"/>
  <c r="L37" i="7"/>
  <c r="K37" i="7"/>
  <c r="J37" i="7"/>
  <c r="I37" i="7"/>
  <c r="H37" i="7"/>
  <c r="G37" i="7"/>
  <c r="F37" i="7"/>
  <c r="E37" i="7"/>
  <c r="D37" i="7"/>
  <c r="O36" i="7"/>
  <c r="O35" i="7"/>
  <c r="N35" i="7"/>
  <c r="L35" i="7"/>
  <c r="K35" i="7"/>
  <c r="J35" i="7"/>
  <c r="I35" i="7"/>
  <c r="H35" i="7"/>
  <c r="G35" i="7"/>
  <c r="F35" i="7"/>
  <c r="E35" i="7"/>
  <c r="D35" i="7"/>
  <c r="O34" i="7"/>
  <c r="N34" i="7"/>
  <c r="L34" i="7"/>
  <c r="K34" i="7"/>
  <c r="J34" i="7"/>
  <c r="I34" i="7"/>
  <c r="H34" i="7"/>
  <c r="G34" i="7"/>
  <c r="F34" i="7"/>
  <c r="E34" i="7"/>
  <c r="D34" i="7"/>
  <c r="O33" i="7"/>
  <c r="N33" i="7"/>
  <c r="L33" i="7"/>
  <c r="K33" i="7"/>
  <c r="J33" i="7"/>
  <c r="I33" i="7"/>
  <c r="H33" i="7"/>
  <c r="G33" i="7"/>
  <c r="F33" i="7"/>
  <c r="E33" i="7"/>
  <c r="D33" i="7"/>
  <c r="O31" i="7"/>
  <c r="N31" i="7"/>
  <c r="M31" i="7"/>
  <c r="L31" i="7"/>
  <c r="K31" i="7"/>
  <c r="J31" i="7"/>
  <c r="I31" i="7"/>
  <c r="H31" i="7"/>
  <c r="G31" i="7"/>
  <c r="F31" i="7"/>
  <c r="E31" i="7"/>
  <c r="D31" i="7"/>
  <c r="O30" i="7"/>
  <c r="N30" i="7"/>
  <c r="M30" i="7"/>
  <c r="L30" i="7"/>
  <c r="K30" i="7"/>
  <c r="J30" i="7"/>
  <c r="I30" i="7"/>
  <c r="H30" i="7"/>
  <c r="G30" i="7"/>
  <c r="F30" i="7"/>
  <c r="E30" i="7"/>
  <c r="D30" i="7"/>
  <c r="O29" i="7"/>
  <c r="N29" i="7"/>
  <c r="M29" i="7"/>
  <c r="L29" i="7"/>
  <c r="K29" i="7"/>
  <c r="J29" i="7"/>
  <c r="I29" i="7"/>
  <c r="H29" i="7"/>
  <c r="G29" i="7"/>
  <c r="F29" i="7"/>
  <c r="E29" i="7"/>
  <c r="D29" i="7"/>
  <c r="O28" i="7"/>
  <c r="N28" i="7"/>
  <c r="M28" i="7"/>
  <c r="L28" i="7"/>
  <c r="K28" i="7"/>
  <c r="J28" i="7"/>
  <c r="I28" i="7"/>
  <c r="H28" i="7"/>
  <c r="G28" i="7"/>
  <c r="F28" i="7"/>
  <c r="E28" i="7"/>
  <c r="D28" i="7"/>
  <c r="O27" i="7"/>
  <c r="N27" i="7"/>
  <c r="M27" i="7"/>
  <c r="L27" i="7"/>
  <c r="K27" i="7"/>
  <c r="J27" i="7"/>
  <c r="I27" i="7"/>
  <c r="H27" i="7"/>
  <c r="G27" i="7"/>
  <c r="F27" i="7"/>
  <c r="E27" i="7"/>
  <c r="D27" i="7"/>
  <c r="O26" i="7"/>
  <c r="N26" i="7"/>
  <c r="M26" i="7"/>
  <c r="L26" i="7"/>
  <c r="K26" i="7"/>
  <c r="J26" i="7"/>
  <c r="I26" i="7"/>
  <c r="H26" i="7"/>
  <c r="G26" i="7"/>
  <c r="F26" i="7"/>
  <c r="E26" i="7"/>
  <c r="D26" i="7"/>
  <c r="O25" i="7"/>
  <c r="N25" i="7"/>
  <c r="M25" i="7"/>
  <c r="L25" i="7"/>
  <c r="K25" i="7"/>
  <c r="J25" i="7"/>
  <c r="I25" i="7"/>
  <c r="H25" i="7"/>
  <c r="G25" i="7"/>
  <c r="F25" i="7"/>
  <c r="E25" i="7"/>
  <c r="D25" i="7"/>
  <c r="O24" i="7"/>
  <c r="N24" i="7"/>
  <c r="M24" i="7"/>
  <c r="L24" i="7"/>
  <c r="K24" i="7"/>
  <c r="J24" i="7"/>
  <c r="I24" i="7"/>
  <c r="H24" i="7"/>
  <c r="G24" i="7"/>
  <c r="F24" i="7"/>
  <c r="E24" i="7"/>
  <c r="D24" i="7"/>
  <c r="O23" i="7"/>
  <c r="N23" i="7"/>
  <c r="M23" i="7"/>
  <c r="L23" i="7"/>
  <c r="K23" i="7"/>
  <c r="J23" i="7"/>
  <c r="I23" i="7"/>
  <c r="H23" i="7"/>
  <c r="G23" i="7"/>
  <c r="F23" i="7"/>
  <c r="E23" i="7"/>
  <c r="D23" i="7"/>
  <c r="O22" i="7"/>
  <c r="N22" i="7"/>
  <c r="M22" i="7"/>
  <c r="L22" i="7"/>
  <c r="K22" i="7"/>
  <c r="J22" i="7"/>
  <c r="I22" i="7"/>
  <c r="H22" i="7"/>
  <c r="G22" i="7"/>
  <c r="F22" i="7"/>
  <c r="E22" i="7"/>
  <c r="D22" i="7"/>
  <c r="O21" i="7"/>
  <c r="L21" i="7"/>
  <c r="K21" i="7"/>
  <c r="J21" i="7"/>
  <c r="I21" i="7"/>
  <c r="E21" i="7"/>
  <c r="D21" i="7"/>
  <c r="N20" i="7"/>
  <c r="M20" i="7"/>
  <c r="I20" i="7"/>
  <c r="H20" i="7"/>
  <c r="G20" i="7"/>
  <c r="O19" i="7"/>
  <c r="N19" i="7"/>
  <c r="M19" i="7"/>
  <c r="J19" i="7"/>
  <c r="I19" i="7"/>
  <c r="H19" i="7"/>
  <c r="G19" i="7"/>
  <c r="F19" i="7"/>
  <c r="E19" i="7"/>
  <c r="M18" i="7"/>
  <c r="J18" i="7"/>
  <c r="J9" i="7" s="1"/>
  <c r="J9" i="16" s="1"/>
  <c r="O17" i="7"/>
  <c r="N17" i="7"/>
  <c r="M17" i="7"/>
  <c r="L17" i="7"/>
  <c r="K17" i="7"/>
  <c r="J17" i="7"/>
  <c r="I17" i="7"/>
  <c r="H17" i="7"/>
  <c r="G17" i="7"/>
  <c r="F17" i="7"/>
  <c r="E17" i="7"/>
  <c r="D17" i="7"/>
  <c r="O16" i="7"/>
  <c r="M16" i="7"/>
  <c r="D16" i="7"/>
  <c r="O15" i="7"/>
  <c r="N15" i="7"/>
  <c r="M15" i="7"/>
  <c r="L15" i="7"/>
  <c r="K15" i="7"/>
  <c r="J15" i="7"/>
  <c r="I15" i="7"/>
  <c r="H15" i="7"/>
  <c r="G15" i="7"/>
  <c r="F15" i="7"/>
  <c r="O14" i="7"/>
  <c r="M14" i="7"/>
  <c r="I14" i="7"/>
  <c r="H14" i="7"/>
  <c r="G14" i="7"/>
  <c r="G9" i="7" s="1"/>
  <c r="G9" i="16" s="1"/>
  <c r="O13" i="7"/>
  <c r="N13" i="7"/>
  <c r="M13" i="7"/>
  <c r="L13" i="7"/>
  <c r="K13" i="7"/>
  <c r="J13" i="7"/>
  <c r="I13" i="7"/>
  <c r="H13" i="7"/>
  <c r="G13" i="7"/>
  <c r="F13" i="7"/>
  <c r="E13" i="7"/>
  <c r="D13" i="7"/>
  <c r="O12" i="7"/>
  <c r="N12" i="7"/>
  <c r="M12" i="7"/>
  <c r="L12" i="7"/>
  <c r="K12" i="7"/>
  <c r="J12" i="7"/>
  <c r="I12" i="7"/>
  <c r="H12" i="7"/>
  <c r="G12" i="7"/>
  <c r="F12" i="7"/>
  <c r="E12" i="7"/>
  <c r="D12" i="7"/>
  <c r="O11" i="7"/>
  <c r="N11" i="7"/>
  <c r="M11" i="7"/>
  <c r="L11" i="7"/>
  <c r="I11" i="7"/>
  <c r="H11" i="7"/>
  <c r="F11" i="7"/>
  <c r="E11" i="7"/>
  <c r="D11" i="7"/>
  <c r="O10" i="7"/>
  <c r="N10" i="7"/>
  <c r="M10" i="7"/>
  <c r="L10" i="7"/>
  <c r="J10" i="7"/>
  <c r="I10" i="7"/>
  <c r="H10" i="7"/>
  <c r="F10" i="7"/>
  <c r="E10" i="7"/>
  <c r="D10" i="7"/>
  <c r="O9" i="7"/>
  <c r="M9" i="7"/>
  <c r="N9" i="7"/>
  <c r="L9" i="7"/>
  <c r="K9" i="7"/>
  <c r="I9" i="7"/>
  <c r="H9" i="7"/>
  <c r="F9" i="7"/>
  <c r="E9" i="7"/>
  <c r="D9" i="7"/>
  <c r="M36" i="7" l="1"/>
  <c r="M35" i="7"/>
  <c r="M34" i="7"/>
  <c r="M33" i="7"/>
  <c r="N21" i="7" l="1"/>
  <c r="G21" i="7"/>
  <c r="H21" i="7"/>
  <c r="F21" i="7"/>
  <c r="M21" i="7" l="1"/>
  <c r="M75" i="7" s="1"/>
</calcChain>
</file>

<file path=xl/comments1.xml><?xml version="1.0" encoding="utf-8"?>
<comments xmlns="http://schemas.openxmlformats.org/spreadsheetml/2006/main">
  <authors>
    <author>Haizhen Li</author>
  </authors>
  <commentList>
    <comment ref="D8" authorId="0" shapeId="0">
      <text>
        <r>
          <rPr>
            <sz val="9"/>
            <color indexed="81"/>
            <rFont val="Tahoma"/>
            <family val="2"/>
          </rPr>
          <t>Counterparty sector  =  Households</t>
        </r>
      </text>
    </comment>
    <comment ref="E8" authorId="0" shapeId="0">
      <text>
        <r>
          <rPr>
            <sz val="9"/>
            <color indexed="81"/>
            <rFont val="Tahoma"/>
            <family val="2"/>
          </rPr>
          <t>Counterparty sector  =  Non-financial corporations_x000D_
Size of the counterparty  =  SME</t>
        </r>
      </text>
    </comment>
    <comment ref="F8" authorId="0" shapeId="0">
      <text>
        <r>
          <rPr>
            <sz val="9"/>
            <color indexed="81"/>
            <rFont val="Tahoma"/>
            <family val="2"/>
          </rPr>
          <t>Counterparty sector  =  Non-financial corporations_x000D_
Size of the counterparty  =  Counterparties other than SME</t>
        </r>
      </text>
    </comment>
    <comment ref="G8" authorId="0" shapeId="0">
      <text>
        <r>
          <rPr>
            <sz val="9"/>
            <color indexed="81"/>
            <rFont val="Tahoma"/>
            <family val="2"/>
          </rPr>
          <t>Counterparty sector  =  Credit institutions</t>
        </r>
      </text>
    </comment>
    <comment ref="H8" authorId="0" shapeId="0">
      <text>
        <r>
          <rPr>
            <sz val="9"/>
            <color indexed="81"/>
            <rFont val="Tahoma"/>
            <family val="2"/>
          </rPr>
          <t>Counterparty sector  =  Financial corporations other than credit institutions</t>
        </r>
      </text>
    </comment>
    <comment ref="I8" authorId="0" shapeId="0">
      <text>
        <r>
          <rPr>
            <sz val="9"/>
            <color indexed="81"/>
            <rFont val="Tahoma"/>
            <family val="2"/>
          </rPr>
          <t>Counterparty sector  =  Financial corporations other than credit institutions_x000D_
Counterparty nature 2  =  Insurance companies, pension funds</t>
        </r>
      </text>
    </comment>
    <comment ref="J8" authorId="0" shapeId="0">
      <text>
        <r>
          <rPr>
            <sz val="9"/>
            <color indexed="81"/>
            <rFont val="Tahoma"/>
            <family val="2"/>
          </rPr>
          <t>Counterparty sector  =  Central banks, general governments</t>
        </r>
      </text>
    </comment>
    <comment ref="K8" authorId="0" shapeId="0">
      <text>
        <r>
          <rPr>
            <sz val="9"/>
            <color indexed="81"/>
            <rFont val="Tahoma"/>
            <family val="2"/>
          </rPr>
          <t>Counterparty sector  =  Unknown counterparty_x000D_
Instrument is listed on exchange  =  True</t>
        </r>
      </text>
    </comment>
    <comment ref="L8" authorId="0" shapeId="0">
      <text>
        <r>
          <rPr>
            <sz val="9"/>
            <color indexed="81"/>
            <rFont val="Tahoma"/>
            <family val="2"/>
          </rPr>
          <t>Counterparty sector  =  Unknown counterparty_x000D_
Instrument is listed on exchange  =  False</t>
        </r>
      </text>
    </comment>
    <comment ref="N8" authorId="0" shapeId="0">
      <text>
        <r>
          <rPr>
            <sz val="9"/>
            <color indexed="81"/>
            <rFont val="Tahoma"/>
            <family val="2"/>
          </rPr>
          <t>Related parties/Relationships  =  Intra-group</t>
        </r>
      </text>
    </comment>
    <comment ref="O8" authorId="0" shapeId="0">
      <text>
        <r>
          <rPr>
            <sz val="9"/>
            <color indexed="81"/>
            <rFont val="Tahoma"/>
            <family val="2"/>
          </rPr>
          <t>Related parties/Relationships  =  Non intra-group_x000D_
Governed by law of an EU Member State  =  False</t>
        </r>
      </text>
    </comment>
    <comment ref="C9" authorId="0" shapeId="0">
      <text>
        <r>
          <rPr>
            <sz val="9"/>
            <color indexed="81"/>
            <rFont val="Tahoma"/>
            <family val="2"/>
          </rPr>
          <t>Metric  =  Outstanding amount [mi]_x000D_
Base  =  Liabilities_x000D_
Main category  =  All liabilities_x000D_
Exclusion from Bail-in  =  Excluded from bail-in_x000D_
Eligibility for MREL  =  Non-eligible</t>
        </r>
      </text>
    </comment>
    <comment ref="D9" authorId="0" shapeId="0">
      <text>
        <r>
          <rPr>
            <sz val="9"/>
            <color indexed="81"/>
            <rFont val="Tahoma"/>
            <family val="2"/>
          </rPr>
          <t>{T 01.00.a, r0100, c 0012}=={Z 02.00, r0100, c 0010}_x000D_
DataPointVID 417580_x000D_
DataPointID 417580_x000D_
Metric  =  Outstanding amount [mi]_x000D_
Base  =  Liabilities_x000D_
Counterparty sector  =  Households_x000D_
Exclusion from Bail-in  =  Excluded from bail-in_x000D_
Main category  =  All liabilities_x000D_
Eligibility for MREL  =  Non-eligible</t>
        </r>
      </text>
    </comment>
    <comment ref="E9" authorId="0" shapeId="0">
      <text>
        <r>
          <rPr>
            <sz val="9"/>
            <color indexed="81"/>
            <rFont val="Tahoma"/>
            <family val="2"/>
          </rPr>
          <t>{T 01.00.a, r0100, c 0022}=={Z 02.00, r0100, c 0020}_x000D_
DataPointVID 417607_x000D_
DataPointID 417607_x000D_
Metric  =  Outstanding amount [mi]_x000D_
Base  =  Liabilities_x000D_
Counterparty sector  =  Non-financial corporations_x000D_
Size of the counterparty  =  SME_x000D_
Exclusion from Bail-in  =  Excluded from bail-in_x000D_
Main category  =  All liabilities_x000D_
Eligibility for MREL  =  Non-eligible</t>
        </r>
      </text>
    </comment>
    <comment ref="F9" authorId="0" shapeId="0">
      <text>
        <r>
          <rPr>
            <sz val="9"/>
            <color indexed="81"/>
            <rFont val="Tahoma"/>
            <family val="2"/>
          </rPr>
          <t>{T 01.00.a, r0100, c 0032}=={Z 02.00, r0100, c 0030}_x000D_
DataPointVID 428262_x000D_
DataPointID 417628_x000D_
Metric  =  Outstanding amount [mi]_x000D_
Base  =  Liabilities_x000D_
Counterparty sector  =  Non-financial corporations_x000D_
Size of the counterparty  =  Counterparties other than SME_x000D_
Exclusion from Bail-in  =  Excluded from bail-in_x000D_
Main category  =  All liabilities_x000D_
Eligibility for MREL  =  Non-eligible</t>
        </r>
      </text>
    </comment>
    <comment ref="G9" authorId="0" shapeId="0">
      <text>
        <r>
          <rPr>
            <sz val="9"/>
            <color indexed="81"/>
            <rFont val="Tahoma"/>
            <family val="2"/>
          </rPr>
          <t>{T 01.00.a, r0100, c 0042}=={Z 02.00, r0100, c 0040}_x000D_
DataPointVID 417555_x000D_
DataPointID 417555_x000D_
Metric  =  Outstanding amount [mi]_x000D_
Base  =  Liabilities_x000D_
Counterparty sector  =  Credit institutions_x000D_
Exclusion from Bail-in  =  Excluded from bail-in_x000D_
Main category  =  All liabilities_x000D_
Eligibility for MREL  =  Non-eligible</t>
        </r>
      </text>
    </comment>
    <comment ref="H9" authorId="0" shapeId="0">
      <text>
        <r>
          <rPr>
            <sz val="9"/>
            <color indexed="81"/>
            <rFont val="Tahoma"/>
            <family val="2"/>
          </rPr>
          <t>{T 01.00.a, r0100, c 0052}=={Z 02.00, r0100, c 0050}_x000D_
DataPointVID 417678_x000D_
DataPointID 417678_x000D_
Metric  =  Outstanding amount [mi]_x000D_
Base  =  Liabilities_x000D_
Counterparty sector  =  Financial corporations other than credit institutions_x000D_
Exclusion from Bail-in  =  Excluded from bail-in_x000D_
Main category  =  All liabilities_x000D_
Eligibility for MREL  =  Non-eligible</t>
        </r>
      </text>
    </comment>
    <comment ref="I9" authorId="0" shapeId="0">
      <text>
        <r>
          <rPr>
            <sz val="9"/>
            <color indexed="81"/>
            <rFont val="Tahoma"/>
            <family val="2"/>
          </rPr>
          <t>DataPointVID 417653_x000D_
DataPointID 417653_x000D_
Metric  =  Outstanding amount [mi]_x000D_
Base  =  Liabilities_x000D_
Counterparty sector  =  Financial corporations other than credit institutions_x000D_
Counterparty nature 2  =  Insurance companies, pension funds_x000D_
Exclusion from Bail-in  =  Excluded from bail-in_x000D_
Main category  =  All liabilities_x000D_
Eligibility for MREL  =  Non-eligible</t>
        </r>
      </text>
    </comment>
    <comment ref="J9" authorId="0" shapeId="0">
      <text>
        <r>
          <rPr>
            <sz val="9"/>
            <color indexed="81"/>
            <rFont val="Tahoma"/>
            <family val="2"/>
          </rPr>
          <t>{T 01.00.a, r0100, c 0082}=={Z 02.00, r0100, c 0060}_x000D_
DataPointVID 417702_x000D_
DataPointID 417702_x000D_
Metric  =  Outstanding amount [mi]_x000D_
Base  =  Liabilities_x000D_
Counterparty sector  =  Central banks, general governments_x000D_
Exclusion from Bail-in  =  Excluded from bail-in_x000D_
Main category  =  All liabilities_x000D_
Eligibility for MREL  =  Non-eligible</t>
        </r>
      </text>
    </comment>
    <comment ref="K9" authorId="0" shapeId="0">
      <text>
        <r>
          <rPr>
            <sz val="9"/>
            <color indexed="81"/>
            <rFont val="Tahoma"/>
            <family val="2"/>
          </rPr>
          <t>{T 01.00.a, r0100, c 0092}=={Z 02.00, r0100, c 0070}_x000D_
DataPointVID 417238_x000D_
DataPointID 417238_x000D_
Metric  =  Outstanding amount [mi]_x000D_
Base  =  Liabilities_x000D_
Instrument is listed on exchange  =  True_x000D_
Counterparty sector  =  Unknown counterparty_x000D_
Exclusion from Bail-in  =  Excluded from bail-in_x000D_
Main category  =  All liabilities_x000D_
Eligibility for MREL  =  Non-eligible</t>
        </r>
      </text>
    </comment>
    <comment ref="L9" authorId="0" shapeId="0">
      <text>
        <r>
          <rPr>
            <sz val="9"/>
            <color indexed="81"/>
            <rFont val="Tahoma"/>
            <family val="2"/>
          </rPr>
          <t>{T 01.00.a, r0100, c 0102}=={Z 02.00, r0100, c 0080}_x000D_
DataPointVID 417185_x000D_
DataPointID 417185_x000D_
Metric  =  Outstanding amount [mi]_x000D_
Base  =  Liabilities_x000D_
Instrument is listed on exchange  =  False_x000D_
Counterparty sector  =  Unknown counterparty_x000D_
Exclusion from Bail-in  =  Excluded from bail-in_x000D_
Main category  =  All liabilities_x000D_
Eligibility for MREL  =  Non-eligible</t>
        </r>
      </text>
    </comment>
    <comment ref="M9" authorId="0" shapeId="0">
      <text>
        <r>
          <rPr>
            <sz val="9"/>
            <color indexed="81"/>
            <rFont val="Tahoma"/>
            <family val="2"/>
          </rPr>
          <t>{T 01.00.a, r0100, c 0122}=={Z 02.00, r0100, c 0090}_x000D_
DataPointVID 417753_x000D_
DataPointID 417753_x000D_
Metric  =  Outstanding amount [mi]_x000D_
Base  =  Liabilities_x000D_
Exclusion from Bail-in  =  Excluded from bail-in_x000D_
Main category  =  All liabilities_x000D_
Eligibility for MREL  =  Non-eligible</t>
        </r>
      </text>
    </comment>
    <comment ref="N9" authorId="0" shapeId="0">
      <text>
        <r>
          <rPr>
            <sz val="9"/>
            <color indexed="81"/>
            <rFont val="Tahoma"/>
            <family val="2"/>
          </rPr>
          <t>{T 01.00.a, r0100, c 0132}=={Z 02.00, r0100, c 0100}_x000D_
DataPointVID 417754_x000D_
DataPointID 417754_x000D_
Metric  =  Outstanding amount [mi]_x000D_
Base  =  Liabilities_x000D_
Exclusion from Bail-in  =  Excluded from bail-in_x000D_
Main category  =  All liabilities_x000D_
Eligibility for MREL  =  Non-eligible_x000D_
Related parties/Relationships  =  Intra-group</t>
        </r>
      </text>
    </comment>
    <comment ref="O9" authorId="0" shapeId="0">
      <text>
        <r>
          <rPr>
            <sz val="9"/>
            <color indexed="81"/>
            <rFont val="Tahoma"/>
            <family val="2"/>
          </rPr>
          <t>{T 01.00.a, r0100, c 0142}=={Z 02.00, r0100, c 0110}_x000D_
DataPointVID 417755_x000D_
DataPointID 417755_x000D_
Metric  =  Outstanding amount [mi]_x000D_
Base  =  Liabilities_x000D_
Exclusion from Bail-in  =  Excluded from bail-in_x000D_
Main category  =  All liabilities_x000D_
Eligibility for MREL  =  Non-eligible_x000D_
Related parties/Relationships  =  Non intra-group_x000D_
Governed by law of an EU Member State  =  False</t>
        </r>
      </text>
    </comment>
    <comment ref="C10" authorId="0" shapeId="0">
      <text>
        <r>
          <rPr>
            <sz val="9"/>
            <color indexed="81"/>
            <rFont val="Tahoma"/>
            <family val="2"/>
          </rPr>
          <t>Metric  =  Outstanding amount [mi]_x000D_
Base  =  Liabilities_x000D_
Main category  =  Deposits_x000D_
Country of incorporation of guarantor  =  European Economic Area (EEA)_x000D_
Guarantor  =  Deposit Guarantee Scheme or assimilated_x000D_
Type of coverage of deposits by a DGS  =  Legal coverage (excluding deposits guaranteed by a DGS on contractual basis)_x000D_
Exclusion from Bail-in  =  Excluded from bail-in_x000D_
Eligibility for MREL  =  Non-eligible</t>
        </r>
      </text>
    </comment>
    <comment ref="D10" authorId="0" shapeId="0">
      <text>
        <r>
          <rPr>
            <sz val="9"/>
            <color indexed="81"/>
            <rFont val="Tahoma"/>
            <family val="2"/>
          </rPr>
          <t>{T 01.00.a, r0110, c 0012}=={Z 02.00, r0110, c 0010}_x000D_
DataPointVID 417253_x000D_
DataPointID 417253_x000D_
Metric  =  Outstanding amount [mi]_x000D_
Base  =  Liabilities_x000D_
Country of incorporation of guarantor  =  European Economic Area (EEA)_x000D_
Counterparty sector  =  Households_x000D_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E10" authorId="0" shapeId="0">
      <text>
        <r>
          <rPr>
            <sz val="9"/>
            <color indexed="81"/>
            <rFont val="Tahoma"/>
            <family val="2"/>
          </rPr>
          <t>{T 01.00.a, r0110, c 0022}=={Z 02.00, r0110, c 0020}_x000D_
DataPointVID 417254_x000D_
DataPointID 417254_x000D_
Metric  =  Outstanding amount [mi]_x000D_
Base  =  Liabilities_x000D_
Country of incorporation of guarantor  =  European Economic Area (EEA)_x000D_
Counterparty sector  =  Non-financial corporations_x000D_
Size of the counterparty  =  SME_x000D_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F10" authorId="0" shapeId="0">
      <text>
        <r>
          <rPr>
            <sz val="9"/>
            <color indexed="81"/>
            <rFont val="Tahoma"/>
            <family val="2"/>
          </rPr>
          <t>{T 01.00.a, r0110, c 0032}=={Z 02.00, r0110, c 0030}_x000D_
DataPointVID 428223_x000D_
DataPointID 417255_x000D_
Metric  =  Outstanding amount [mi]_x000D_
Base  =  Liabilities_x000D_
Country of incorporation of guarantor  =  European Economic Area (EEA)_x000D_
Counterparty sector  =  Non-financial corporations_x000D_
Size of the counterparty  =  Counterparties other than SME_x000D_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H10" authorId="0" shapeId="0">
      <text>
        <r>
          <rPr>
            <sz val="9"/>
            <color indexed="81"/>
            <rFont val="Tahoma"/>
            <family val="2"/>
          </rPr>
          <t>{T 01.00.a, r0110, c 0052}=={Z 02.00, r0110, c 0050}_x000D_
DataPointVID 417257_x000D_
DataPointID 417257_x000D_
Metric  =  Outstanding amount [mi]_x000D_
Base  =  Liabilities_x000D_
Country of incorporation of guarantor  =  European Economic Area (EEA)_x000D_
Counterparty sector  =  Financial corporations other than credit institutions_x000D_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I10" authorId="0" shapeId="0">
      <text>
        <r>
          <rPr>
            <sz val="9"/>
            <color indexed="81"/>
            <rFont val="Tahoma"/>
            <family val="2"/>
          </rPr>
          <t>DataPointVID 417256_x000D_
DataPointID 417256_x000D_
Metric  =  Outstanding amount [mi]_x000D_
Base  =  Liabilities_x000D_
Country of incorporation of guarantor  =  European Economic Area (EEA)_x000D_
Counterparty sector  =  Financial corporations other than credit institutions_x000D_
Counterparty nature 2  =  Insurance companies, pension funds_x000D_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J10" authorId="0" shapeId="0">
      <text>
        <r>
          <rPr>
            <sz val="9"/>
            <color indexed="81"/>
            <rFont val="Tahoma"/>
            <family val="2"/>
          </rPr>
          <t>{T 01.00.a, r0110, c 0082}=={Z 02.00, r0110, c 0060}_x000D_
DataPointVID 417258_x000D_
DataPointID 417258_x000D_
Metric  =  Outstanding amount [mi]_x000D_
Base  =  Liabilities_x000D_
Country of incorporation of guarantor  =  European Economic Area (EEA)_x000D_
Counterparty sector  =  Central banks, general governments_x000D_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L10" authorId="0" shapeId="0">
      <text>
        <r>
          <rPr>
            <sz val="9"/>
            <color indexed="81"/>
            <rFont val="Tahoma"/>
            <family val="2"/>
          </rPr>
          <t>{T 01.00.a, r0110, c 0102}=={Z 02.00, r0110, c 0080}_x000D_
DataPointVID 417147_x000D_
DataPointID 417147_x000D_
Metric  =  Outstanding amount [mi]_x000D_
Base  =  Liabilities_x000D_
Instrument is listed on exchange  =  False_x000D_
Country of incorporation of guarantor  =  European Economic Area (EEA)_x000D_
Counterparty sector  =  Unknown counterparty_x000D_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M10" authorId="0" shapeId="0">
      <text>
        <r>
          <rPr>
            <sz val="9"/>
            <color indexed="81"/>
            <rFont val="Tahoma"/>
            <family val="2"/>
          </rPr>
          <t>{T 01.00.a, r0110, c 0122}=={Z 02.00, r0110, c 0090}_x000D_
DataPointVID 417261_x000D_
DataPointID 417261_x000D_
Metric  =  Outstanding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N10" authorId="0" shapeId="0">
      <text>
        <r>
          <rPr>
            <sz val="9"/>
            <color indexed="81"/>
            <rFont val="Tahoma"/>
            <family val="2"/>
          </rPr>
          <t>{T 01.00.a, r0110, c 0132}=={Z 02.00, r0110, c 0100}_x000D_
DataPointVID 417259_x000D_
DataPointID 417259_x000D_
Metric  =  Outstanding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Related parties/Relationships  =  Intra-group_x000D_
Type of coverage of deposits by a DGS  =  Legal coverage (excluding deposits guaranteed by a DGS on contractual basis)</t>
        </r>
      </text>
    </comment>
    <comment ref="O10" authorId="0" shapeId="0">
      <text>
        <r>
          <rPr>
            <sz val="9"/>
            <color indexed="81"/>
            <rFont val="Tahoma"/>
            <family val="2"/>
          </rPr>
          <t>{T 01.00.a, r0110, c 0142}=={Z 02.00, r0110, c 0110}_x000D_
DataPointVID 417260_x000D_
DataPointID 417260_x000D_
Metric  =  Outstanding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Related parties/Relationships  =  Non intra-group_x000D_
Governed by law of an EU Member State  =  False_x000D_
Type of coverage of deposits by a DGS  =  Legal coverage (excluding deposits guaranteed by a DGS on contractual basis)</t>
        </r>
      </text>
    </comment>
    <comment ref="C11" authorId="0" shapeId="0">
      <text>
        <r>
          <rPr>
            <sz val="9"/>
            <color indexed="81"/>
            <rFont val="Tahoma"/>
            <family val="2"/>
          </rPr>
          <t>Metric  =  Outstanding amount [mi]_x000D_
Base  =  Liabilities_x000D_
Main category  =  Deposits, Debt securities issued_x000D_
Collateral status  =  Collateralised_x000D_
Exclusion from Bail-in  =  Excluded from bail-in_x000D_
Eligibility for MREL  =  Non-eligible_x000D_
Collateralisation level  =  Collateralized amount</t>
        </r>
      </text>
    </comment>
    <comment ref="D11" authorId="0" shapeId="0">
      <text>
        <r>
          <rPr>
            <sz val="9"/>
            <color indexed="81"/>
            <rFont val="Tahoma"/>
            <family val="2"/>
          </rPr>
          <t>{T 01.00.a, r0120, c 0012}=={Z 02.00, r0120, c 0010}_x000D_
DataPointVID 417490_x000D_
DataPointID 417490_x000D_
Metric  =  Outstanding amount [mi]_x000D_
Base  =  Liabilities_x000D_
Collateral status  =  Collateralised_x000D_
Counterparty sector  =  Households_x000D_
Collateralisation level  =  Collateralized amount_x000D_
Exclusion from Bail-in  =  Excluded from bail-in_x000D_
Main category  =  Deposits, Debt securities issued_x000D_
Eligibility for MREL  =  Non-eligible</t>
        </r>
      </text>
    </comment>
    <comment ref="E11" authorId="0" shapeId="0">
      <text>
        <r>
          <rPr>
            <sz val="9"/>
            <color indexed="81"/>
            <rFont val="Tahoma"/>
            <family val="2"/>
          </rPr>
          <t>{T 01.00.a, r0120, c 0022}=={Z 02.00, r0120, c 0020}_x000D_
DataPointVID 417496_x000D_
DataPointID 417496_x000D_
Metric  =  Outstanding amount [mi]_x000D_
Base  =  Liabilities_x000D_
Collateral status  =  Collateralised_x000D_
Counterparty sector  =  Non-financial corporations_x000D_
Size of the counterparty  =  SME_x000D_
Collateralisation level  =  Collateralized amount_x000D_
Exclusion from Bail-in  =  Excluded from bail-in_x000D_
Main category  =  Deposits, Debt securities issued_x000D_
Eligibility for MREL  =  Non-eligible</t>
        </r>
      </text>
    </comment>
    <comment ref="F11" authorId="0" shapeId="0">
      <text>
        <r>
          <rPr>
            <sz val="9"/>
            <color indexed="81"/>
            <rFont val="Tahoma"/>
            <family val="2"/>
          </rPr>
          <t>{T 01.00.a, r0120, c 0032}=={Z 02.00, r0120, c 0030}_x000D_
DataPointVID 428246_x000D_
DataPointID 417502_x000D_
Metric  =  Outstanding amount [mi]_x000D_
Base  =  Liabilities_x000D_
Collateral status  =  Collateralised_x000D_
Counterparty sector  =  Non-financial corporations_x000D_
Size of the counterparty  =  Counterparties other than SME_x000D_
Collateralisation level  =  Collateralized amount_x000D_
Exclusion from Bail-in  =  Excluded from bail-in_x000D_
Main category  =  Deposits, Debt securities issued_x000D_
Eligibility for MREL  =  Non-eligible</t>
        </r>
      </text>
    </comment>
    <comment ref="G11" authorId="0" shapeId="0">
      <text>
        <r>
          <rPr>
            <sz val="9"/>
            <color indexed="81"/>
            <rFont val="Tahoma"/>
            <family val="2"/>
          </rPr>
          <t>{T 01.00.a, r0120, c 0042}=={Z 02.00, r0120, c 0040}_x000D_
DataPointVID 417484_x000D_
DataPointID 417484_x000D_
Metric  =  Outstanding amount [mi]_x000D_
Base  =  Liabilities_x000D_
Collateral status  =  Collateralised_x000D_
Counterparty sector  =  Credit institutions_x000D_
Collateralisation level  =  Collateralized amount_x000D_
Exclusion from Bail-in  =  Excluded from bail-in_x000D_
Main category  =  Deposits, Debt securities issued_x000D_
Eligibility for MREL  =  Non-eligible</t>
        </r>
      </text>
    </comment>
    <comment ref="H11" authorId="0" shapeId="0">
      <text>
        <r>
          <rPr>
            <sz val="9"/>
            <color indexed="81"/>
            <rFont val="Tahoma"/>
            <family val="2"/>
          </rPr>
          <t>{T 01.00.a, r0120, c 0052}=={Z 02.00, r0120, c 0050}_x000D_
DataPointVID 417514_x000D_
DataPointID 417514_x000D_
Metric  =  Outstanding amount [mi]_x000D_
Base  =  Liabilities_x000D_
Collateral status  =  Collateralised_x000D_
Counterparty sector  =  Financial corporations other than credit institutions_x000D_
Collateralisation level  =  Collateralized amount_x000D_
Exclusion from Bail-in  =  Excluded from bail-in_x000D_
Main category  =  Deposits, Debt securities issued_x000D_
Eligibility for MREL  =  Non-eligible</t>
        </r>
      </text>
    </comment>
    <comment ref="I11" authorId="0" shapeId="0">
      <text>
        <r>
          <rPr>
            <sz val="9"/>
            <color indexed="81"/>
            <rFont val="Tahoma"/>
            <family val="2"/>
          </rPr>
          <t>DataPointVID 417508_x000D_
DataPointID 417508_x000D_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Collateralized amount_x000D_
Exclusion from Bail-in  =  Excluded from bail-in_x000D_
Main category  =  Deposits, Debt securities issued_x000D_
Eligibility for MREL  =  Non-eligible</t>
        </r>
      </text>
    </comment>
    <comment ref="J11" authorId="0" shapeId="0">
      <text>
        <r>
          <rPr>
            <sz val="9"/>
            <color indexed="81"/>
            <rFont val="Tahoma"/>
            <family val="2"/>
          </rPr>
          <t>{T 01.00.a, r0120, c 0082}=={Z 02.00, r0120, c 0060}_x000D_
DataPointVID 417520_x000D_
DataPointID 417520_x000D_
Metric  =  Outstanding amount [mi]_x000D_
Base  =  Liabilities_x000D_
Collateral status  =  Collateralised_x000D_
Counterparty sector  =  Central banks, general governments_x000D_
Collateralisation level  =  Collateralized amount_x000D_
Exclusion from Bail-in  =  Excluded from bail-in_x000D_
Main category  =  Deposits, Debt securities issued_x000D_
Eligibility for MREL  =  Non-eligible</t>
        </r>
      </text>
    </comment>
    <comment ref="K11" authorId="0" shapeId="0">
      <text>
        <r>
          <rPr>
            <sz val="9"/>
            <color indexed="81"/>
            <rFont val="Tahoma"/>
            <family val="2"/>
          </rPr>
          <t>{T 01.00.a, r0120, c 0092}=={Z 02.00, r0120, c 0070}_x000D_
DataPointVID 417223_x000D_
DataPointID 417223_x000D_
Metric  =  Outstanding amount [mi]_x000D_
Base  =  Liabilities_x000D_
Instrument is listed on exchange  =  True_x000D_
Collateral status  =  Collateralised_x000D_
Counterparty sector  =  Unknown counterparty_x000D_
Collateralisation level  =  Collateralized amount_x000D_
Exclusion from Bail-in  =  Excluded from bail-in_x000D_
Main category  =  Deposits, Debt securities issued_x000D_
Eligibility for MREL  =  Non-eligible</t>
        </r>
      </text>
    </comment>
    <comment ref="L11" authorId="0" shapeId="0">
      <text>
        <r>
          <rPr>
            <sz val="9"/>
            <color indexed="81"/>
            <rFont val="Tahoma"/>
            <family val="2"/>
          </rPr>
          <t>{T 01.00.a, r0120, c 0102}=={Z 02.00, r0120, c 0080}_x000D_
DataPointVID 417170_x000D_
DataPointID 417170_x000D_
Metric  =  Outstanding amount [mi]_x000D_
Base  =  Liabilities_x000D_
Instrument is listed on exchange  =  False_x000D_
Collateral status  =  Collateralised_x000D_
Counterparty sector  =  Unknown counterparty_x000D_
Collateralisation level  =  Collateralized amount_x000D_
Exclusion from Bail-in  =  Excluded from bail-in_x000D_
Main category  =  Deposits, Debt securities issued_x000D_
Eligibility for MREL  =  Non-eligible</t>
        </r>
      </text>
    </comment>
    <comment ref="M11" authorId="0" shapeId="0">
      <text>
        <r>
          <rPr>
            <sz val="9"/>
            <color indexed="81"/>
            <rFont val="Tahoma"/>
            <family val="2"/>
          </rPr>
          <t>{T 01.00.a, r0120, c 0122}=={Z 02.00, r0120, c 0090}_x000D_
DataPointVID 417526_x000D_
DataPointID 417526_x000D_
Metric  =  Outstanding amount [mi]_x000D_
Base  =  Liabilities_x000D_
Collateral status  =  Collateralised_x000D_
Collateralisation level  =  Collateralized amount_x000D_
Exclusion from Bail-in  =  Excluded from bail-in_x000D_
Main category  =  Deposits, Debt securities issued_x000D_
Eligibility for MREL  =  Non-eligible</t>
        </r>
      </text>
    </comment>
    <comment ref="N11" authorId="0" shapeId="0">
      <text>
        <r>
          <rPr>
            <sz val="9"/>
            <color indexed="81"/>
            <rFont val="Tahoma"/>
            <family val="2"/>
          </rPr>
          <t>{T 01.00.a, r0120, c 0132}=={Z 02.00, r0120, c 0100}_x000D_
DataPointVID 417527_x000D_
DataPointID 417527_x000D_
Metric  =  Outstanding amount [mi]_x000D_
Base  =  Liabilities_x000D_
Collateral status  =  Collateralised_x000D_
Collateralisation level  =  Collateralized amount_x000D_
Exclusion from Bail-in  =  Excluded from bail-in_x000D_
Main category  =  Deposits, Debt securities issued_x000D_
Eligibility for MREL  =  Non-eligible_x000D_
Related parties/Relationships  =  Intra-group</t>
        </r>
      </text>
    </comment>
    <comment ref="O11" authorId="0" shapeId="0">
      <text>
        <r>
          <rPr>
            <sz val="9"/>
            <color indexed="81"/>
            <rFont val="Tahoma"/>
            <family val="2"/>
          </rPr>
          <t>{T 01.00.a, r0120, c 0142}=={Z 02.00, r0120, c 0110}_x000D_
DataPointVID 417528_x000D_
DataPointID 417528_x000D_
Metric  =  Outstanding amount [mi]_x000D_
Base  =  Liabilities_x000D_
Collateral status  =  Collateralised_x000D_
Collateralisation level  =  Collateralized amount_x000D_
Exclusion from Bail-in  =  Excluded from bail-in_x000D_
Main category  =  Deposits, Debt securities issued_x000D_
Eligibility for MREL  =  Non-eligible_x000D_
Related parties/Relationships  =  Non intra-group_x000D_
Governed by law of an EU Member State  =  False</t>
        </r>
      </text>
    </comment>
    <comment ref="C12" authorId="0" shapeId="0">
      <text>
        <r>
          <rPr>
            <sz val="9"/>
            <color indexed="81"/>
            <rFont val="Tahoma"/>
            <family val="2"/>
          </rPr>
          <t>Metric  =  Outstanding amount [mi]_x000D_
Base  =  Liabilities_x000D_
Main category  =  Deposits, Other financial liabilities_x000D_
Counterparty nature  =  Client_x000D_
Creditor / Insolvency ranking  =  Protected (insolvency law)_x000D_
Exclusion from Bail-in  =  Excluded from bail-in_x000D_
Eligibility for MREL  =  Non-eligible</t>
        </r>
      </text>
    </comment>
    <comment ref="D12" authorId="0" shapeId="0">
      <text>
        <r>
          <rPr>
            <sz val="9"/>
            <color indexed="81"/>
            <rFont val="Tahoma"/>
            <family val="2"/>
          </rPr>
          <t>{T 01.00.a, r0130, c 0012}=={Z 02.00, r0130, c 0010}_x000D_
DataPointVID 417264_x000D_
DataPointID 417264_x000D_
Metric  =  Outstanding amount [mi]_x000D_
Base  =  Liabilities_x000D_
Creditor / Insolvency ranking  =  Protected (insolvency law)_x000D_
Counterparty sector  =  Households_x000D_
Counterparty nature  =  Client_x000D_
Exclusion from Bail-in  =  Excluded from bail-in_x000D_
Main category  =  Deposits, Other financial liabilities_x000D_
Eligibility for MREL  =  Non-eligible</t>
        </r>
      </text>
    </comment>
    <comment ref="E12" authorId="0" shapeId="0">
      <text>
        <r>
          <rPr>
            <sz val="9"/>
            <color indexed="81"/>
            <rFont val="Tahoma"/>
            <family val="2"/>
          </rPr>
          <t>{T 01.00.a, r0130, c 0022}=={Z 02.00, r0130, c 0020}_x000D_
DataPointVID 417266_x000D_
DataPointID 417266_x000D_
Metric  =  Outstanding amount [mi]_x000D_
Base  =  Liabilities_x000D_
Creditor / Insolvency ranking  =  Protected (insolvency law)_x000D_
Counterparty sector  =  Non-financial corporations_x000D_
Counterparty nature  =  Client_x000D_
Size of the counterparty  =  SME_x000D_
Exclusion from Bail-in  =  Excluded from bail-in_x000D_
Main category  =  Deposits, Other financial liabilities_x000D_
Eligibility for MREL  =  Non-eligible</t>
        </r>
      </text>
    </comment>
    <comment ref="F12" authorId="0" shapeId="0">
      <text>
        <r>
          <rPr>
            <sz val="9"/>
            <color indexed="81"/>
            <rFont val="Tahoma"/>
            <family val="2"/>
          </rPr>
          <t>{T 01.00.a, r0130, c 0032}=={Z 02.00, r0130, c 0030}_x000D_
DataPointVID 428224_x000D_
DataPointID 417267_x000D_
Metric  =  Outstanding amount [mi]_x000D_
Base  =  Liabilities_x000D_
Creditor / Insolvency ranking  =  Protected (insolvency law)_x000D_
Counterparty sector  =  Non-financial corporations_x000D_
Counterparty nature  =  Client_x000D_
Size of the counterparty  =  Counterparties other than SME_x000D_
Exclusion from Bail-in  =  Excluded from bail-in_x000D_
Main category  =  Deposits, Other financial liabilities_x000D_
Eligibility for MREL  =  Non-eligible</t>
        </r>
      </text>
    </comment>
    <comment ref="G12" authorId="0" shapeId="0">
      <text>
        <r>
          <rPr>
            <sz val="9"/>
            <color indexed="81"/>
            <rFont val="Tahoma"/>
            <family val="2"/>
          </rPr>
          <t>{T 01.00.a, r0130, c 0042}=={Z 02.00, r0130, c 0040}_x000D_
DataPointVID 417262_x000D_
DataPointID 417262_x000D_
Metric  =  Outstanding amount [mi]_x000D_
Base  =  Liabilities_x000D_
Creditor / Insolvency ranking  =  Protected (insolvency law)_x000D_
Counterparty sector  =  Credit institutions_x000D_
Counterparty nature  =  Client_x000D_
Exclusion from Bail-in  =  Excluded from bail-in_x000D_
Main category  =  Deposits, Other financial liabilities_x000D_
Eligibility for MREL  =  Non-eligible</t>
        </r>
      </text>
    </comment>
    <comment ref="H12" authorId="0" shapeId="0">
      <text>
        <r>
          <rPr>
            <sz val="9"/>
            <color indexed="81"/>
            <rFont val="Tahoma"/>
            <family val="2"/>
          </rPr>
          <t>{T 01.00.a, r0130, c 0052}=={Z 02.00, r0130, c 0050}_x000D_
DataPointVID 417272_x000D_
DataPointID 417272_x000D_
Metric  =  Outstanding amount [mi]_x000D_
Base  =  Liabilities_x000D_
Creditor / Insolvency ranking  =  Protected (insolvency law)_x000D_
Counterparty sector  =  Financial corporations other than credit institutions_x000D_
Counterparty nature  =  Client_x000D_
Exclusion from Bail-in  =  Excluded from bail-in_x000D_
Main category  =  Deposits, Other financial liabilities_x000D_
Eligibility for MREL  =  Non-eligible</t>
        </r>
      </text>
    </comment>
    <comment ref="I12" authorId="0" shapeId="0">
      <text>
        <r>
          <rPr>
            <sz val="9"/>
            <color indexed="81"/>
            <rFont val="Tahoma"/>
            <family val="2"/>
          </rPr>
          <t>DataPointVID 417270_x000D_
DataPointID 417270_x000D_
Metric  =  Outstanding amount [mi]_x000D_
Base  =  Liabilities_x000D_
Creditor / Insolvency ranking  =  Protected (insolvency law)_x000D_
Counterparty sector  =  Financial corporations other than credit institutions_x000D_
Counterparty nature 2  =  Insurance companies, pension funds_x000D_
Counterparty nature  =  Client_x000D_
Exclusion from Bail-in  =  Excluded from bail-in_x000D_
Main category  =  Deposits, Other financial liabilities_x000D_
Eligibility for MREL  =  Non-eligible</t>
        </r>
      </text>
    </comment>
    <comment ref="J12" authorId="0" shapeId="0">
      <text>
        <r>
          <rPr>
            <sz val="9"/>
            <color indexed="81"/>
            <rFont val="Tahoma"/>
            <family val="2"/>
          </rPr>
          <t>{T 01.00.a, r0130, c 0082}=={Z 02.00, r0130, c 0060}_x000D_
DataPointVID 417274_x000D_
DataPointID 417274_x000D_
Metric  =  Outstanding amount [mi]_x000D_
Base  =  Liabilities_x000D_
Creditor / Insolvency ranking  =  Protected (insolvency law)_x000D_
Counterparty sector  =  Central banks, general governments_x000D_
Counterparty nature  =  Client_x000D_
Exclusion from Bail-in  =  Excluded from bail-in_x000D_
Main category  =  Deposits, Other financial liabilities_x000D_
Eligibility for MREL  =  Non-eligible</t>
        </r>
      </text>
    </comment>
    <comment ref="K12" authorId="0" shapeId="0">
      <text>
        <r>
          <rPr>
            <sz val="9"/>
            <color indexed="81"/>
            <rFont val="Tahoma"/>
            <family val="2"/>
          </rPr>
          <t>{T 01.00.a, r0130, c 0092}=={Z 02.00, r0130, c 0070}_x000D_
DataPointVID 417201_x000D_
DataPointID 417201_x000D_
Metric  =  Outstanding amount [mi]_x000D_
Base  =  Liabilities_x000D_
Instrument is listed on exchange  =  True_x000D_
Creditor / Insolvency ranking  =  Protected (insolvency law)_x000D_
Counterparty sector  =  Unknown counterparty_x000D_
Counterparty nature  =  Client_x000D_
Exclusion from Bail-in  =  Excluded from bail-in_x000D_
Main category  =  Deposits, Other financial liabilities_x000D_
Eligibility for MREL  =  Non-eligible</t>
        </r>
      </text>
    </comment>
    <comment ref="L12" authorId="0" shapeId="0">
      <text>
        <r>
          <rPr>
            <sz val="9"/>
            <color indexed="81"/>
            <rFont val="Tahoma"/>
            <family val="2"/>
          </rPr>
          <t>{T 01.00.a, r0130, c 0102}=={Z 02.00, r0130, c 0080}_x000D_
DataPointVID 417148_x000D_
DataPointID 417148_x000D_
Metric  =  Outstanding amount [mi]_x000D_
Base  =  Liabilities_x000D_
Instrument is listed on exchange  =  False_x000D_
Creditor / Insolvency ranking  =  Protected (insolvency law)_x000D_
Counterparty sector  =  Unknown counterparty_x000D_
Counterparty nature  =  Client_x000D_
Exclusion from Bail-in  =  Excluded from bail-in_x000D_
Main category  =  Deposits, Other financial liabilities_x000D_
Eligibility for MREL  =  Non-eligible</t>
        </r>
      </text>
    </comment>
    <comment ref="M12" authorId="0" shapeId="0">
      <text>
        <r>
          <rPr>
            <sz val="9"/>
            <color indexed="81"/>
            <rFont val="Tahoma"/>
            <family val="2"/>
          </rPr>
          <t>{T 01.00.a, r0130, c 0122}=={Z 02.00, r0130, c 0090}_x000D_
DataPointVID 417276_x000D_
DataPointID 417276_x000D_
Metric  =  Outstanding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t>
        </r>
      </text>
    </comment>
    <comment ref="N12" authorId="0" shapeId="0">
      <text>
        <r>
          <rPr>
            <sz val="9"/>
            <color indexed="81"/>
            <rFont val="Tahoma"/>
            <family val="2"/>
          </rPr>
          <t>{T 01.00.a, r0130, c 0132}=={Z 02.00, r0130, c 0100}_x000D_
DataPointVID 417277_x000D_
DataPointID 417277_x000D_
Metric  =  Outstanding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Non-eligible_x000D_
Related parties/Relationships  =  Intra-group</t>
        </r>
      </text>
    </comment>
    <comment ref="O12" authorId="0" shapeId="0">
      <text>
        <r>
          <rPr>
            <sz val="9"/>
            <color indexed="81"/>
            <rFont val="Tahoma"/>
            <family val="2"/>
          </rPr>
          <t>{T 01.00.a, r0130, c 0142}=={Z 02.00, r0130, c 0110}_x000D_
DataPointVID 417278_x000D_
DataPointID 417278_x000D_
Metric  =  Outstanding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Non-eligible_x000D_
Related parties/Relationships  =  Non intra-group_x000D_
Governed by law of an EU Member State  =  False</t>
        </r>
      </text>
    </comment>
    <comment ref="C13" authorId="0" shapeId="0">
      <text>
        <r>
          <rPr>
            <sz val="9"/>
            <color indexed="81"/>
            <rFont val="Tahoma"/>
            <family val="2"/>
          </rPr>
          <t>Metric  =  Outstanding amount [mi]_x000D_
Base  =  Liabilities_x000D_
Main category  =  Deposits, Other financial liabilities_x000D_
Creditor / Insolvency ranking  =  Protected (insolvency law)_x000D_
Instrument  =  Fiduciary liabilities_x000D_
Exclusion from Bail-in  =  Excluded from bail-in_x000D_
Eligibility for MREL  =  Non-eligible</t>
        </r>
      </text>
    </comment>
    <comment ref="D13" authorId="0" shapeId="0">
      <text>
        <r>
          <rPr>
            <sz val="9"/>
            <color indexed="81"/>
            <rFont val="Tahoma"/>
            <family val="2"/>
          </rPr>
          <t>{T 01.00.a, r0140, c 0012}=={Z 02.00, r0140, c 0010}_x000D_
DataPointVID 417265_x000D_
DataPointID 417265_x000D_
Metric  =  Outstanding amount [mi]_x000D_
Base  =  Liabilities_x000D_
Creditor / Insolvency ranking  =  Protected (insolvency law)_x000D_
Counterparty sector  =  Households_x000D_
Instrument  =  Fiduciary liabilities_x000D_
Exclusion from Bail-in  =  Excluded from bail-in_x000D_
Main category  =  Deposits, Other financial liabilities_x000D_
Eligibility for MREL  =  Non-eligible</t>
        </r>
      </text>
    </comment>
    <comment ref="E13" authorId="0" shapeId="0">
      <text>
        <r>
          <rPr>
            <sz val="9"/>
            <color indexed="81"/>
            <rFont val="Tahoma"/>
            <family val="2"/>
          </rPr>
          <t>{T 01.00.a, r0140, c 0022}=={Z 02.00, r0140, c 0020}_x000D_
DataPointVID 417268_x000D_
DataPointID 417268_x000D_
Metric  =  Outstanding amount [mi]_x000D_
Base  =  Liabilities_x000D_
Creditor / Insolvency ranking  =  Protected (insolvency law)_x000D_
Counterparty sector  =  Non-financial corporations_x000D_
Size of the counterparty  =  SME_x000D_
Instrument  =  Fiduciary liabilities_x000D_
Exclusion from Bail-in  =  Excluded from bail-in_x000D_
Main category  =  Deposits, Other financial liabilities_x000D_
Eligibility for MREL  =  Non-eligible</t>
        </r>
      </text>
    </comment>
    <comment ref="F13" authorId="0" shapeId="0">
      <text>
        <r>
          <rPr>
            <sz val="9"/>
            <color indexed="81"/>
            <rFont val="Tahoma"/>
            <family val="2"/>
          </rPr>
          <t>{T 01.00.a, r0140, c 0032}=={Z 02.00, r0140, c 0030}_x000D_
DataPointVID 428225_x000D_
DataPointID 417269_x000D_
Metric  =  Outstanding amount [mi]_x000D_
Base  =  Liabilities_x000D_
Creditor / Insolvency ranking  =  Protected (insolvency law)_x000D_
Counterparty sector  =  Non-financial corporations_x000D_
Size of the counterparty  =  Counterparties other than SME_x000D_
Instrument  =  Fiduciary liabilities_x000D_
Exclusion from Bail-in  =  Excluded from bail-in_x000D_
Main category  =  Deposits, Other financial liabilities_x000D_
Eligibility for MREL  =  Non-eligible</t>
        </r>
      </text>
    </comment>
    <comment ref="G13" authorId="0" shapeId="0">
      <text>
        <r>
          <rPr>
            <sz val="9"/>
            <color indexed="81"/>
            <rFont val="Tahoma"/>
            <family val="2"/>
          </rPr>
          <t>{T 01.00.a, r0140, c 0042}=={Z 02.00, r0140, c 0040}_x000D_
DataPointVID 417263_x000D_
DataPointID 417263_x000D_
Metric  =  Outstanding amount [mi]_x000D_
Base  =  Liabilities_x000D_
Creditor / Insolvency ranking  =  Protected (insolvency law)_x000D_
Counterparty sector  =  Credit institutions_x000D_
Instrument  =  Fiduciary liabilities_x000D_
Exclusion from Bail-in  =  Excluded from bail-in_x000D_
Main category  =  Deposits, Other financial liabilities_x000D_
Eligibility for MREL  =  Non-eligible</t>
        </r>
      </text>
    </comment>
    <comment ref="H13" authorId="0" shapeId="0">
      <text>
        <r>
          <rPr>
            <sz val="9"/>
            <color indexed="81"/>
            <rFont val="Tahoma"/>
            <family val="2"/>
          </rPr>
          <t>{T 01.00.a, r0140, c 0052}=={Z 02.00, r0140, c 0050}_x000D_
DataPointVID 417273_x000D_
DataPointID 417273_x000D_
Metric  =  Outstanding amount [mi]_x000D_
Base  =  Liabilities_x000D_
Creditor / Insolvency ranking  =  Protected (insolvency law)_x000D_
Counterparty sector  =  Financial corporations other than credit institutions_x000D_
Instrument  =  Fiduciary liabilities_x000D_
Exclusion from Bail-in  =  Excluded from bail-in_x000D_
Main category  =  Deposits, Other financial liabilities_x000D_
Eligibility for MREL  =  Non-eligible</t>
        </r>
      </text>
    </comment>
    <comment ref="I13" authorId="0" shapeId="0">
      <text>
        <r>
          <rPr>
            <sz val="9"/>
            <color indexed="81"/>
            <rFont val="Tahoma"/>
            <family val="2"/>
          </rPr>
          <t>DataPointVID 417271_x000D_
DataPointID 417271_x000D_
Metric  =  Outstanding amount [mi]_x000D_
Base  =  Liabilities_x000D_
Creditor / Insolvency ranking  =  Protected (insolvency law)_x000D_
Counterparty sector  =  Financial corporations other than credit institutions_x000D_
Counterparty nature 2  =  Insurance companies, pension funds_x000D_
Instrument  =  Fiduciary liabilities_x000D_
Exclusion from Bail-in  =  Excluded from bail-in_x000D_
Main category  =  Deposits, Other financial liabilities_x000D_
Eligibility for MREL  =  Non-eligible</t>
        </r>
      </text>
    </comment>
    <comment ref="J13" authorId="0" shapeId="0">
      <text>
        <r>
          <rPr>
            <sz val="9"/>
            <color indexed="81"/>
            <rFont val="Tahoma"/>
            <family val="2"/>
          </rPr>
          <t>{T 01.00.a, r0140, c 0082}=={Z 02.00, r0140, c 0060}_x000D_
DataPointVID 417275_x000D_
DataPointID 417275_x000D_
Metric  =  Outstanding amount [mi]_x000D_
Base  =  Liabilities_x000D_
Creditor / Insolvency ranking  =  Protected (insolvency law)_x000D_
Counterparty sector  =  Central banks, general governments_x000D_
Instrument  =  Fiduciary liabilities_x000D_
Exclusion from Bail-in  =  Excluded from bail-in_x000D_
Main category  =  Deposits, Other financial liabilities_x000D_
Eligibility for MREL  =  Non-eligible</t>
        </r>
      </text>
    </comment>
    <comment ref="K13" authorId="0" shapeId="0">
      <text>
        <r>
          <rPr>
            <sz val="9"/>
            <color indexed="81"/>
            <rFont val="Tahoma"/>
            <family val="2"/>
          </rPr>
          <t>{T 01.00.a, r0140, c 0092}=={Z 02.00, r0140, c 0070}_x000D_
DataPointVID 417202_x000D_
DataPointID 417202_x000D_
Metric  =  Outstanding amount [mi]_x000D_
Base  =  Liabilities_x000D_
Instrument is listed on exchange  =  True_x000D_
Creditor / Insolvency ranking  =  Protected (insolvency law)_x000D_
Counterparty sector  =  Unknown counterparty_x000D_
Instrument  =  Fiduciary liabilities_x000D_
Exclusion from Bail-in  =  Excluded from bail-in_x000D_
Main category  =  Deposits, Other financial liabilities_x000D_
Eligibility for MREL  =  Non-eligible</t>
        </r>
      </text>
    </comment>
    <comment ref="L13" authorId="0" shapeId="0">
      <text>
        <r>
          <rPr>
            <sz val="9"/>
            <color indexed="81"/>
            <rFont val="Tahoma"/>
            <family val="2"/>
          </rPr>
          <t>{T 01.00.a, r0140, c 0102}=={Z 02.00, r0140, c 0080}_x000D_
DataPointVID 417149_x000D_
DataPointID 417149_x000D_
Metric  =  Outstanding amount [mi]_x000D_
Base  =  Liabilities_x000D_
Instrument is listed on exchange  =  False_x000D_
Creditor / Insolvency ranking  =  Protected (insolvency law)_x000D_
Counterparty sector  =  Unknown counterparty_x000D_
Instrument  =  Fiduciary liabilities_x000D_
Exclusion from Bail-in  =  Excluded from bail-in_x000D_
Main category  =  Deposits, Other financial liabilities_x000D_
Eligibility for MREL  =  Non-eligible</t>
        </r>
      </text>
    </comment>
    <comment ref="M13" authorId="0" shapeId="0">
      <text>
        <r>
          <rPr>
            <sz val="9"/>
            <color indexed="81"/>
            <rFont val="Tahoma"/>
            <family val="2"/>
          </rPr>
          <t>{T 01.00.a, r0140, c 0122}=={Z 02.00, r0140, c 0090}_x000D_
DataPointVID 417279_x000D_
DataPointID 417279_x000D_
Metric  =  Outstanding amount [mi]_x000D_
Base  =  Liabilities_x000D_
Creditor / Insolvency ranking  =  Protected (insolvency law)_x000D_
Instrument  =  Fiduciary liabilities_x000D_
Exclusion from Bail-in  =  Excluded from bail-in_x000D_
Main category  =  Deposits, Other financial liabilities_x000D_
Eligibility for MREL  =  Non-eligible</t>
        </r>
      </text>
    </comment>
    <comment ref="N13" authorId="0" shapeId="0">
      <text>
        <r>
          <rPr>
            <sz val="9"/>
            <color indexed="81"/>
            <rFont val="Tahoma"/>
            <family val="2"/>
          </rPr>
          <t>{T 01.00.a, r0140, c 0132}=={Z 02.00, r0140, c 0100}_x000D_
DataPointVID 417280_x000D_
DataPointID 417280_x000D_
Metric  =  Outstanding amount [mi]_x000D_
Base  =  Liabilities_x000D_
Creditor / Insolvency ranking  =  Protected (insolvency law)_x000D_
Instrument  =  Fiduciary liabilities_x000D_
Exclusion from Bail-in  =  Excluded from bail-in_x000D_
Main category  =  Deposits, Other financial liabilities_x000D_
Eligibility for MREL  =  Non-eligible_x000D_
Related parties/Relationships  =  Intra-group</t>
        </r>
      </text>
    </comment>
    <comment ref="O13" authorId="0" shapeId="0">
      <text>
        <r>
          <rPr>
            <sz val="9"/>
            <color indexed="81"/>
            <rFont val="Tahoma"/>
            <family val="2"/>
          </rPr>
          <t>{T 01.00.a, r0140, c 0142}=={Z 02.00, r0140, c 0110}_x000D_
DataPointVID 417281_x000D_
DataPointID 417281_x000D_
Metric  =  Outstanding amount [mi]_x000D_
Base  =  Liabilities_x000D_
Creditor / Insolvency ranking  =  Protected (insolvency law)_x000D_
Instrument  =  Fiduciary liabilities_x000D_
Exclusion from Bail-in  =  Excluded from bail-in_x000D_
Main category  =  Deposits, Other financial liabilities_x000D_
Eligibility for MREL  =  Non-eligible_x000D_
Related parties/Relationships  =  Non intra-group_x000D_
Governed by law of an EU Member State  =  False</t>
        </r>
      </text>
    </comment>
    <comment ref="C14" authorId="0" shapeId="0">
      <text>
        <r>
          <rPr>
            <sz val="9"/>
            <color indexed="81"/>
            <rFont val="Tahoma"/>
            <family val="2"/>
          </rPr>
          <t>Metric  =  Outstanding amount [mi]_x000D_
Base  =  Liabilities_x000D_
Main category  =  Deposits, Debt securities issued, Other financial liabilities_x000D_
Counterparty nature  =  Institutions.BRRD definition_x000D_
Original maturity  =  &lt; 7 days_x000D_
Exclusion from Bail-in  =  Excluded from bail-in_x000D_
Eligibility for MREL  =  Non-eligible</t>
        </r>
      </text>
    </comment>
    <comment ref="G14" authorId="0" shapeId="0">
      <text>
        <r>
          <rPr>
            <sz val="9"/>
            <color indexed="81"/>
            <rFont val="Tahoma"/>
            <family val="2"/>
          </rPr>
          <t>{T 01.00.a, r0150, c 0042}=={Z 02.00, r0150, c 0040}_x000D_
DataPointVID 417548_x000D_
DataPointID 417548_x000D_
Metric  =  Outstanding amount [mi]_x000D_
Base  =  Liabilities_x000D_
Counterparty sector  =  Credit institutions_x000D_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H14" authorId="0" shapeId="0">
      <text>
        <r>
          <rPr>
            <sz val="9"/>
            <color indexed="81"/>
            <rFont val="Tahoma"/>
            <family val="2"/>
          </rPr>
          <t>{T 01.00.a, r0150, c 0052}=={Z 02.00, r0150, c 0050}_x000D_
DataPointVID 417671_x000D_
DataPointID 417671_x000D_
Metric  =  Outstanding amount [mi]_x000D_
Base  =  Liabilities_x000D_
Counterparty sector  =  Financial corporations other than credit institutions_x000D_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I14" authorId="0" shapeId="0">
      <text>
        <r>
          <rPr>
            <sz val="9"/>
            <color indexed="81"/>
            <rFont val="Tahoma"/>
            <family val="2"/>
          </rPr>
          <t>DataPointVID 417646_x000D_
DataPointID 417646_x000D_
Metric  =  Outstanding amount [mi]_x000D_
Base  =  Liabilities_x000D_
Counterparty sector  =  Financial corporations other than credit institutions_x000D_
Counterparty nature 2  =  Insurance companies, pension funds_x000D_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M14" authorId="0" shapeId="0">
      <text>
        <r>
          <rPr>
            <sz val="9"/>
            <color indexed="81"/>
            <rFont val="Tahoma"/>
            <family val="2"/>
          </rPr>
          <t>{T 01.00.a, r0150, c 0122}=={Z 02.00, r0150, c 0090}_x000D_
DataPointVID 417728_x000D_
DataPointID 417728_x000D_
Metric  =  Outstanding amount [mi]_x000D_
Base  =  Liabilities_x000D_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O14" authorId="0" shapeId="0">
      <text>
        <r>
          <rPr>
            <sz val="9"/>
            <color indexed="81"/>
            <rFont val="Tahoma"/>
            <family val="2"/>
          </rPr>
          <t>{T 01.00.a, r0150, c 0142}=={Z 02.00, r0150, c 0110}_x000D_
DataPointVID 417729_x000D_
DataPointID 417729_x000D_
Metric  =  Outstanding amount [mi]_x000D_
Base  =  Liabilities_x000D_
Counterparty nature  =  Institutions.BRRD definition_x000D_
Exclusion from Bail-in  =  Excluded from bail-in_x000D_
Main category  =  Deposits, Debt securities issued, Other financial liabilities_x000D_
Eligibility for MREL  =  Non-eligible_x000D_
Original maturity  =  &lt; 7 days_x000D_
Related parties/Relationships  =  Non intra-group_x000D_
Governed by law of an EU Member State  =  False</t>
        </r>
      </text>
    </comment>
    <comment ref="C15" authorId="0" shapeId="0">
      <text>
        <r>
          <rPr>
            <sz val="9"/>
            <color indexed="81"/>
            <rFont val="Tahoma"/>
            <family val="2"/>
          </rPr>
          <t>Metric  =  Outstanding amount [mi]_x000D_
Base  =  Liabilities_x000D_
Main category  =  Deposits, Other financial liabilities_x000D_
Counterparty nature  =  Payment and Securities Systems, their operators or participants; CCPs_x000D_
Original maturity  =  &lt; 7 days_x000D_
Exclusion from Bail-in  =  Excluded from bail-in_x000D_
Eligibility for MREL  =  Non-eligible</t>
        </r>
      </text>
    </comment>
    <comment ref="C16" authorId="0" shapeId="0">
      <text>
        <r>
          <rPr>
            <sz val="9"/>
            <color indexed="81"/>
            <rFont val="Tahoma"/>
            <family val="2"/>
          </rPr>
          <t>Metric  =  Outstanding amount [mi]_x000D_
Base  =  Liabilities_x000D_
Main category  =  Provisions and Liabilities other than Derivatives, Short positions, Deposits, Debt securities issued, Other financial liabilities, Fair value changes of hedged items in portfolio hedge of interest rate risk, Provisions, Tax liabilities, Share capital repa_x000D_
Counterparty nature  =  Employee_x000D_
Exclusion from Bail-in  =  Excluded from bail-in_x000D_
Eligibility for MREL  =  Non-eligible</t>
        </r>
      </text>
    </comment>
    <comment ref="D16" authorId="0" shapeId="0">
      <text>
        <r>
          <rPr>
            <sz val="9"/>
            <color indexed="81"/>
            <rFont val="Tahoma"/>
            <family val="2"/>
          </rPr>
          <t>{T 01.00.a, r0170, c 0012}=={Z 02.00, r0170, c 0010}_x000D_
DataPointVID 417572_x000D_
DataPointID 417572_x000D_
Metric  =  Outstanding amount [mi]_x000D_
Base  =  Liabilities_x000D_
Counterparty sector  =  Households_x000D_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t>
        </r>
      </text>
    </comment>
    <comment ref="M16" authorId="0" shapeId="0">
      <text>
        <r>
          <rPr>
            <sz val="9"/>
            <color indexed="81"/>
            <rFont val="Tahoma"/>
            <family val="2"/>
          </rPr>
          <t>{T 01.00.a, r0170, c 0122}=={Z 02.00, r0170, c 0090}_x000D_
DataPointVID 417723_x000D_
DataPointID 417723_x000D_
Metric  =  Outstanding amount [mi]_x000D_
Base  =  Liabilities_x000D_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t>
        </r>
      </text>
    </comment>
    <comment ref="O16" authorId="0" shapeId="0">
      <text>
        <r>
          <rPr>
            <sz val="9"/>
            <color indexed="81"/>
            <rFont val="Tahoma"/>
            <family val="2"/>
          </rPr>
          <t>{T 01.00.a, r0170, c 0142}=={Z 02.00, r0170, c 0110}_x000D_
DataPointVID 417724_x000D_
DataPointID 417724_x000D_
Metric  =  Outstanding amount [mi]_x000D_
Base  =  Liabilities_x000D_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Non-eligible_x000D_
Related parties/Relationships  =  Non intra-group_x000D_
Governed by law of an EU Member State  =  False</t>
        </r>
      </text>
    </comment>
    <comment ref="C17" authorId="0" shapeId="0">
      <text>
        <r>
          <rPr>
            <sz val="9"/>
            <color indexed="81"/>
            <rFont val="Tahoma"/>
            <family val="2"/>
          </rPr>
          <t>Metric  =  Outstanding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Instrument  =  Liabilities associated with daily operational functioning_x000D_
Exclusion from Bail-in  =  Excluded from bail-in_x000D_
Eligibility for MREL  =  Non-eligible</t>
        </r>
      </text>
    </comment>
    <comment ref="D17" authorId="0" shapeId="0">
      <text>
        <r>
          <rPr>
            <sz val="9"/>
            <color indexed="81"/>
            <rFont val="Tahoma"/>
            <family val="2"/>
          </rPr>
          <t>{T 01.00.a, r0180, c 0012}=={Z 02.00, r0180, c 0010}_x000D_
DataPointVID 417579_x000D_
DataPointID 417579_x000D_
Metric  =  Outstanding amount [mi]_x000D_
Base  =  Liabilities_x000D_
Counterparty sector  =  Households_x000D_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E17" authorId="0" shapeId="0">
      <text>
        <r>
          <rPr>
            <sz val="9"/>
            <color indexed="81"/>
            <rFont val="Tahoma"/>
            <family val="2"/>
          </rPr>
          <t>{T 01.00.a, r0180, c 0022}=={Z 02.00, r0180, c 0020}_x000D_
DataPointVID 417606_x000D_
DataPointID 417606_x000D_
Metric  =  Outstanding amount [mi]_x000D_
Base  =  Liabilities_x000D_
Counterparty sector  =  Non-financial corporations_x000D_
Size of the counterparty  =  SME_x000D_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F17" authorId="0" shapeId="0">
      <text>
        <r>
          <rPr>
            <sz val="9"/>
            <color indexed="81"/>
            <rFont val="Tahoma"/>
            <family val="2"/>
          </rPr>
          <t>{T 01.00.a, r0180, c 0032}=={Z 02.00, r0180, c 0030}_x000D_
DataPointVID 428261_x000D_
DataPointID 417627_x000D_
Metric  =  Outstanding amount [mi]_x000D_
Base  =  Liabilities_x000D_
Counterparty sector  =  Non-financial corporations_x000D_
Size of the counterparty  =  Counterparties other than SME_x000D_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G17" authorId="0" shapeId="0">
      <text>
        <r>
          <rPr>
            <sz val="9"/>
            <color indexed="81"/>
            <rFont val="Tahoma"/>
            <family val="2"/>
          </rPr>
          <t>{T 01.00.a, r0180, c 0042}=={Z 02.00, r0180, c 0040}_x000D_
DataPointVID 417554_x000D_
DataPointID 417554_x000D_
Metric  =  Outstanding amount [mi]_x000D_
Base  =  Liabilities_x000D_
Counterparty sector  =  Credit institutions_x000D_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H17" authorId="0" shapeId="0">
      <text>
        <r>
          <rPr>
            <sz val="9"/>
            <color indexed="81"/>
            <rFont val="Tahoma"/>
            <family val="2"/>
          </rPr>
          <t>{T 01.00.a, r0180, c 0052}=={Z 02.00, r0180, c 0050}_x000D_
DataPointVID 417677_x000D_
DataPointID 417677_x000D_
Metric  =  Outstanding amount [mi]_x000D_
Base  =  Liabilities_x000D_
Counterparty sector  =  Financial corporations other than credit institutions_x000D_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I17" authorId="0" shapeId="0">
      <text>
        <r>
          <rPr>
            <sz val="9"/>
            <color indexed="81"/>
            <rFont val="Tahoma"/>
            <family val="2"/>
          </rPr>
          <t>DataPointVID 417652_x000D_
DataPointID 417652_x000D_
Metric  =  Outstanding amount [mi]_x000D_
Base  =  Liabilities_x000D_
Counterparty sector  =  Financial corporations other than credit institutions_x000D_
Counterparty nature 2  =  Insurance companies, pension funds_x000D_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J17" authorId="0" shapeId="0">
      <text>
        <r>
          <rPr>
            <sz val="9"/>
            <color indexed="81"/>
            <rFont val="Tahoma"/>
            <family val="2"/>
          </rPr>
          <t>{T 01.00.a, r0180, c 0082}=={Z 02.00, r0180, c 0060}_x000D_
DataPointVID 417701_x000D_
DataPointID 417701_x000D_
Metric  =  Outstanding amount [mi]_x000D_
Base  =  Liabilities_x000D_
Counterparty sector  =  Central banks, general governments_x000D_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K17" authorId="0" shapeId="0">
      <text>
        <r>
          <rPr>
            <sz val="9"/>
            <color indexed="81"/>
            <rFont val="Tahoma"/>
            <family val="2"/>
          </rPr>
          <t>{T 01.00.a, r0180, c 0092}=={Z 02.00, r0180, c 0070}_x000D_
DataPointVID 417237_x000D_
DataPointID 417237_x000D_
Metric  =  Outstanding amount [mi]_x000D_
Base  =  Liabilities_x000D_
Instrument is listed on exchange  =  True_x000D_
Counterparty sector  =  Unknown counterparty_x000D_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L17" authorId="0" shapeId="0">
      <text>
        <r>
          <rPr>
            <sz val="9"/>
            <color indexed="81"/>
            <rFont val="Tahoma"/>
            <family val="2"/>
          </rPr>
          <t>{T 01.00.a, r0180, c 0102}=={Z 02.00, r0180, c 0080}_x000D_
DataPointVID 417184_x000D_
DataPointID 417184_x000D_
Metric  =  Outstanding amount [mi]_x000D_
Base  =  Liabilities_x000D_
Instrument is listed on exchange  =  False_x000D_
Counterparty sector  =  Unknown counterparty_x000D_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M17" authorId="0" shapeId="0">
      <text>
        <r>
          <rPr>
            <sz val="9"/>
            <color indexed="81"/>
            <rFont val="Tahoma"/>
            <family val="2"/>
          </rPr>
          <t>{T 01.00.a, r0180, c 0122}=={Z 02.00, r0180, c 0090}_x000D_
DataPointVID 417750_x000D_
DataPointID 417750_x000D_
Metric  =  Outstanding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N17" authorId="0" shapeId="0">
      <text>
        <r>
          <rPr>
            <sz val="9"/>
            <color indexed="81"/>
            <rFont val="Tahoma"/>
            <family val="2"/>
          </rPr>
          <t>{T 01.00.a, r0180, c 0132}=={Z 02.00, r0180, c 0100}_x000D_
DataPointVID 417751_x000D_
DataPointID 417751_x000D_
Metric  =  Outstanding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Non-eligible_x000D_
Related parties/Relationships  =  Intra-group</t>
        </r>
      </text>
    </comment>
    <comment ref="O17" authorId="0" shapeId="0">
      <text>
        <r>
          <rPr>
            <sz val="9"/>
            <color indexed="81"/>
            <rFont val="Tahoma"/>
            <family val="2"/>
          </rPr>
          <t>{T 01.00.a, r0180, c 0142}=={Z 02.00, r0180, c 0110}_x000D_
DataPointVID 417752_x000D_
DataPointID 417752_x000D_
Metric  =  Outstanding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Non-eligible_x000D_
Related parties/Relationships  =  Non intra-group_x000D_
Governed by law of an EU Member State  =  False</t>
        </r>
      </text>
    </comment>
    <comment ref="C18" authorId="0" shapeId="0">
      <text>
        <r>
          <rPr>
            <sz val="9"/>
            <color indexed="81"/>
            <rFont val="Tahoma"/>
            <family val="2"/>
          </rPr>
          <t>Metric  =  Outstanding amount [mi]_x000D_
Base  =  Liabilities_x000D_
Main category  =  Tax liabilities and Liabilities other than Derivatives, Short positions, Deposits, Debt securities issued, Other financial liabilities, Fair value changes of hedged items in portfolio hedge of interest rate risk, Provisions, Tax liabilities, Share capital_x000D_
Counterparty nature  =  Tax authorities, social security authorities_x000D_
Creditor / Insolvency ranking  =  Preferential (BRRD)_x000D_
Exclusion from Bail-in  =  Excluded from bail-in_x000D_
Eligibility for MREL  =  Non-eligible</t>
        </r>
      </text>
    </comment>
    <comment ref="J18" authorId="0" shapeId="0">
      <text>
        <r>
          <rPr>
            <sz val="9"/>
            <color indexed="81"/>
            <rFont val="Tahoma"/>
            <family val="2"/>
          </rPr>
          <t>{T 01.00.a, r0190, c 0082}=={Z 02.00, r0190, c 0060}_x000D_
DataPointVID 417312_x000D_
DataPointID 417312_x000D_
Metric  =  Outstanding amount [mi]_x000D_
Base  =  Liabilities_x000D_
Creditor / Insolvency ranking  =  Preferential (BRRD)_x000D_
Counterparty sector  =  Central banks, general governments_x000D_
Counterparty nature  =  Tax authorities, social security authorities_x000D_
Exclusion from Bail-in  =  Excluded from bail-in_x000D_
Main category  =  Tax liabilities and Liabilities other than Derivatives, Short positions, Deposits, Debt securities issued, Other financial liabilities, Fair value changes of hedged items in portfolio hedge of interest rate risk, Provisions, Tax liabilities, Share capital_x000D_
Eligibility for MREL  =  Non-eligible</t>
        </r>
      </text>
    </comment>
    <comment ref="M18" authorId="0" shapeId="0">
      <text>
        <r>
          <rPr>
            <sz val="9"/>
            <color indexed="81"/>
            <rFont val="Tahoma"/>
            <family val="2"/>
          </rPr>
          <t>{T 01.00.a, r0190, c 0122}=={Z 02.00, r0190, c 0090}_x000D_
DataPointVID 417318_x000D_
DataPointID 417318_x000D_
Metric  =  Outstanding amount [mi]_x000D_
Base  =  Liabilities_x000D_
Creditor / Insolvency ranking  =  Preferential (BRRD)_x000D_
Counterparty nature  =  Tax authorities, social security authorities_x000D_
Exclusion from Bail-in  =  Excluded from bail-in_x000D_
Main category  =  Tax liabilities and Liabilities other than Derivatives, Short positions, Deposits, Debt securities issued, Other financial liabilities, Fair value changes of hedged items in portfolio hedge of interest rate risk, Provisions, Tax liabilities, Share capital_x000D_
Eligibility for MREL  =  Non-eligible</t>
        </r>
      </text>
    </comment>
    <comment ref="C19" authorId="0" shapeId="0">
      <text>
        <r>
          <rPr>
            <sz val="9"/>
            <color indexed="81"/>
            <rFont val="Tahoma"/>
            <family val="2"/>
          </rPr>
          <t>Metric  =  Outstanding amount [mi]_x000D_
Base  =  Liabilities_x000D_
Main category  =  Deposits, Debt securities issued, Other financial liabilities_x000D_
Counterparty nature  =  Deposit Guarantee Scheme or assimilated_x000D_
Exclusion from Bail-in  =  Excluded from bail-in_x000D_
Eligibility for MREL  =  Non-eligible</t>
        </r>
      </text>
    </comment>
    <comment ref="E19" authorId="0" shapeId="0">
      <text>
        <r>
          <rPr>
            <sz val="9"/>
            <color indexed="81"/>
            <rFont val="Tahoma"/>
            <family val="2"/>
          </rPr>
          <t>{T 01.00.a, r0200, c 0022}=={Z 02.00, r0200, c 0020}_x000D_
DataPointVID 417595_x000D_
DataPointID 417595_x000D_
Metric  =  Outstanding amount [mi]_x000D_
Base  =  Liabilities_x000D_
Counterparty sector  =  Non-financial corporations_x000D_
Counterparty nature  =  Deposit Guarantee Scheme or assimilated_x000D_
Size of the counterparty  =  SME_x000D_
Exclusion from Bail-in  =  Excluded from bail-in_x000D_
Main category  =  Deposits, Debt securities issued, Other financial liabilities_x000D_
Eligibility for MREL  =  Non-eligible</t>
        </r>
      </text>
    </comment>
    <comment ref="F19" authorId="0" shapeId="0">
      <text>
        <r>
          <rPr>
            <sz val="9"/>
            <color indexed="81"/>
            <rFont val="Tahoma"/>
            <family val="2"/>
          </rPr>
          <t>{T 01.00.a, r0200, c 0032}=={Z 02.00, r0200, c 0030}_x000D_
DataPointVID 428253_x000D_
DataPointID 417596_x000D_
Metric  =  Outstanding amount [mi]_x000D_
Base  =  Liabilities_x000D_
Counterparty sector  =  Non-financial corporations_x000D_
Counterparty nature  =  Deposit Guarantee Scheme or assimilated_x000D_
Size of the counterparty  =  Counterparties other than SME_x000D_
Exclusion from Bail-in  =  Excluded from bail-in_x000D_
Main category  =  Deposits, Debt securities issued, Other financial liabilities_x000D_
Eligibility for MREL  =  Non-eligible</t>
        </r>
      </text>
    </comment>
    <comment ref="G19" authorId="0" shapeId="0">
      <text>
        <r>
          <rPr>
            <sz val="9"/>
            <color indexed="81"/>
            <rFont val="Tahoma"/>
            <family val="2"/>
          </rPr>
          <t>{T 01.00.a, r0200, c 0042}=={Z 02.00, r0200, c 0040}_x000D_
DataPointVID 417545_x000D_
DataPointID 417545_x000D_
Metric  =  Outstanding amount [mi]_x000D_
Base  =  Liabilities_x000D_
Counterparty sector  =  Credit institutions_x000D_
Counterparty nature  =  Deposit Guarantee Scheme or assimilated_x000D_
Exclusion from Bail-in  =  Excluded from bail-in_x000D_
Main category  =  Deposits, Debt securities issued, Other financial liabilities_x000D_
Eligibility for MREL  =  Non-eligible</t>
        </r>
      </text>
    </comment>
    <comment ref="H19" authorId="0" shapeId="0">
      <text>
        <r>
          <rPr>
            <sz val="9"/>
            <color indexed="81"/>
            <rFont val="Tahoma"/>
            <family val="2"/>
          </rPr>
          <t>{T 01.00.a, r0200, c 0052}=={Z 02.00, r0200, c 0050}_x000D_
DataPointVID 417668_x000D_
DataPointID 417668_x000D_
Metric  =  Outstanding amount [mi]_x000D_
Base  =  Liabilities_x000D_
Counterparty sector  =  Financial corporations other than credit institutions_x000D_
Counterparty nature  =  Deposit Guarantee Scheme or assimilated_x000D_
Exclusion from Bail-in  =  Excluded from bail-in_x000D_
Main category  =  Deposits, Debt securities issued, Other financial liabilities_x000D_
Eligibility for MREL  =  Non-eligible</t>
        </r>
      </text>
    </comment>
    <comment ref="I19" authorId="0" shapeId="0">
      <text>
        <r>
          <rPr>
            <sz val="9"/>
            <color indexed="81"/>
            <rFont val="Tahoma"/>
            <family val="2"/>
          </rPr>
          <t>DataPointVID 417643_x000D_
DataPointID 417643_x000D_
Metric  =  Outstanding amount [mi]_x000D_
Base  =  Liabilities_x000D_
Counterparty sector  =  Financial corporations other than credit institutions_x000D_
Counterparty nature 2  =  Insurance companies, pension funds_x000D_
Counterparty nature  =  Deposit Guarantee Scheme or assimilated_x000D_
Exclusion from Bail-in  =  Excluded from bail-in_x000D_
Main category  =  Deposits, Debt securities issued, Other financial liabilities_x000D_
Eligibility for MREL  =  Non-eligible</t>
        </r>
      </text>
    </comment>
    <comment ref="J19" authorId="0" shapeId="0">
      <text>
        <r>
          <rPr>
            <sz val="9"/>
            <color indexed="81"/>
            <rFont val="Tahoma"/>
            <family val="2"/>
          </rPr>
          <t>{T 01.00.a, r0200, c 0082}=={Z 02.00, r0200, c 0060}_x000D_
DataPointVID 417693_x000D_
DataPointID 417693_x000D_
Metric  =  Outstanding amount [mi]_x000D_
Base  =  Liabilities_x000D_
Counterparty sector  =  Central banks, general governments_x000D_
Counterparty nature  =  Deposit Guarantee Scheme or assimilated_x000D_
Exclusion from Bail-in  =  Excluded from bail-in_x000D_
Main category  =  Deposits, Debt securities issued, Other financial liabilities_x000D_
Eligibility for MREL  =  Non-eligible</t>
        </r>
      </text>
    </comment>
    <comment ref="M19" authorId="0" shapeId="0">
      <text>
        <r>
          <rPr>
            <sz val="9"/>
            <color indexed="81"/>
            <rFont val="Tahoma"/>
            <family val="2"/>
          </rPr>
          <t>{T 01.00.a, r0200, c 0122}=={Z 02.00, r0200, c 0090}_x000D_
DataPointVID 417717_x000D_
DataPointID 417717_x000D_
Metric  =  Outstanding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t>
        </r>
      </text>
    </comment>
    <comment ref="N19" authorId="0" shapeId="0">
      <text>
        <r>
          <rPr>
            <sz val="9"/>
            <color indexed="81"/>
            <rFont val="Tahoma"/>
            <family val="2"/>
          </rPr>
          <t>{T 01.00.a, r0200, c 0132}=={Z 02.00, r0200, c 0100}_x000D_
DataPointVID 417718_x000D_
DataPointID 417718_x000D_
Metric  =  Outstanding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Non-eligible_x000D_
Related parties/Relationships  =  Intra-group</t>
        </r>
      </text>
    </comment>
    <comment ref="O19" authorId="0" shapeId="0">
      <text>
        <r>
          <rPr>
            <sz val="9"/>
            <color indexed="81"/>
            <rFont val="Tahoma"/>
            <family val="2"/>
          </rPr>
          <t>{T 01.00.a, r0200, c 0142}=={Z 02.00, r0200, c 0110}_x000D_
DataPointVID 417719_x000D_
DataPointID 417719_x000D_
Metric  =  Outstanding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Non-eligible_x000D_
Related parties/Relationships  =  Non intra-group_x000D_
Governed by law of an EU Member State  =  False</t>
        </r>
      </text>
    </comment>
    <comment ref="C20" authorId="0" shapeId="0">
      <text>
        <r>
          <rPr>
            <sz val="9"/>
            <color indexed="81"/>
            <rFont val="Tahoma"/>
            <family val="2"/>
          </rPr>
          <t>Metric  =  Outstanding amount [mi]_x000D_
Base  =  Liabilities_x000D_
Main category  =  Derivatives, Deposits, Debt securities issued, Other financial liabilities_x000D_
Counterparty nature  =  Entities other than the resolution entity_x000D_
Subordinated  =  Non subordinated_x000D_
Exclusion from Bail-in  =  Excluded from bail-in_x000D_
Factors considered in the valuation of derivatives  =  Prudential netting rules_x000D_
Eligibility for MREL  =  Non-eligible</t>
        </r>
      </text>
    </comment>
    <comment ref="C21" authorId="0" shapeId="0">
      <text>
        <r>
          <rPr>
            <sz val="9"/>
            <color indexed="81"/>
            <rFont val="Tahoma"/>
            <family val="2"/>
          </rPr>
          <t>Metric  =  Outstanding amount [mi]_x000D_
Base  =  Liabilities_x000D_
Main category  =  Deposits, Debt securities issued, Other financial liabilities_x000D_
Exclusion from Bail-in  =  Not excluded from bail-in</t>
        </r>
      </text>
    </comment>
    <comment ref="D21" authorId="0" shapeId="0">
      <text>
        <r>
          <rPr>
            <sz val="9"/>
            <color indexed="81"/>
            <rFont val="Tahoma"/>
            <family val="2"/>
          </rPr>
          <t>{T 01.00.a, r0300, c 0012}=={Z 02.00, r0300, c 0010}_x000D_
DataPointVID 417586_x000D_
DataPointID 417586_x000D_
Metric  =  Outstanding amount [mi]_x000D_
Base  =  Liabilities_x000D_
Counterparty sector  =  Households_x000D_
Exclusion from Bail-in  =  Not excluded from bail-in_x000D_
Main category  =  Deposits, Debt securities issued, Other financial liabilities</t>
        </r>
      </text>
    </comment>
    <comment ref="E21" authorId="0" shapeId="0">
      <text>
        <r>
          <rPr>
            <sz val="9"/>
            <color indexed="81"/>
            <rFont val="Tahoma"/>
            <family val="2"/>
          </rPr>
          <t>{T 01.00.a, r0300, c 0022}=={Z 02.00, r0300, c 0020}_x000D_
DataPointVID 417613_x000D_
DataPointID 417613_x000D_
Metric  =  Outstanding amount [mi]_x000D_
Base  =  Liabilities_x000D_
Counterparty sector  =  Non-financial corporations_x000D_
Size of the counterparty  =  SME_x000D_
Exclusion from Bail-in  =  Not excluded from bail-in_x000D_
Main category  =  Deposits, Debt securities issued, Other financial liabilities</t>
        </r>
      </text>
    </comment>
    <comment ref="F21" authorId="0" shapeId="0">
      <text>
        <r>
          <rPr>
            <sz val="9"/>
            <color indexed="81"/>
            <rFont val="Tahoma"/>
            <family val="2"/>
          </rPr>
          <t>{T 01.00.a, r0300, c 0032}=={Z 02.00, r0300, c 0030}_x000D_
DataPointVID 428268_x000D_
DataPointID 417634_x000D_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 Other financial liabilities</t>
        </r>
      </text>
    </comment>
    <comment ref="G21" authorId="0" shapeId="0">
      <text>
        <r>
          <rPr>
            <sz val="9"/>
            <color indexed="81"/>
            <rFont val="Tahoma"/>
            <family val="2"/>
          </rPr>
          <t>{T 01.00.a, r0300, c 0042}=={Z 02.00, r0300, c 0040}_x000D_
DataPointVID 417561_x000D_
DataPointID 417561_x000D_
Metric  =  Outstanding amount [mi]_x000D_
Base  =  Liabilities_x000D_
Counterparty sector  =  Credit institutions_x000D_
Exclusion from Bail-in  =  Not excluded from bail-in_x000D_
Main category  =  Deposits, Debt securities issued, Other financial liabilities</t>
        </r>
      </text>
    </comment>
    <comment ref="H21" authorId="0" shapeId="0">
      <text>
        <r>
          <rPr>
            <sz val="9"/>
            <color indexed="81"/>
            <rFont val="Tahoma"/>
            <family val="2"/>
          </rPr>
          <t>{T 01.00.a, r0300, c 0052}=={Z 02.00, r0300, c 0050}_x000D_
DataPointVID 417684_x000D_
DataPointID 417684_x000D_
Metric  =  Outstanding amount [mi]_x000D_
Base  =  Liabilities_x000D_
Counterparty sector  =  Financial corporations other than credit institutions_x000D_
Exclusion from Bail-in  =  Not excluded from bail-in_x000D_
Main category  =  Deposits, Debt securities issued, Other financial liabilities</t>
        </r>
      </text>
    </comment>
    <comment ref="I21" authorId="0" shapeId="0">
      <text>
        <r>
          <rPr>
            <sz val="9"/>
            <color indexed="81"/>
            <rFont val="Tahoma"/>
            <family val="2"/>
          </rPr>
          <t>DataPointVID 417659_x000D_
DataPointID 417659_x000D_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t>
        </r>
      </text>
    </comment>
    <comment ref="J21" authorId="0" shapeId="0">
      <text>
        <r>
          <rPr>
            <sz val="9"/>
            <color indexed="81"/>
            <rFont val="Tahoma"/>
            <family val="2"/>
          </rPr>
          <t>{T 01.00.a, r0300, c 0082}=={Z 02.00, r0300, c 0060}_x000D_
DataPointVID 417708_x000D_
DataPointID 417708_x000D_
Metric  =  Outstanding amount [mi]_x000D_
Base  =  Liabilities_x000D_
Counterparty sector  =  Central banks, general governments_x000D_
Exclusion from Bail-in  =  Not excluded from bail-in_x000D_
Main category  =  Deposits, Debt securities issued, Other financial liabilities</t>
        </r>
      </text>
    </comment>
    <comment ref="K21" authorId="0" shapeId="0">
      <text>
        <r>
          <rPr>
            <sz val="9"/>
            <color indexed="81"/>
            <rFont val="Tahoma"/>
            <family val="2"/>
          </rPr>
          <t>{T 01.00.a, r0300, c 0092}=={Z 02.00, r0300, c 0070}_x000D_
DataPointVID 417244_x000D_
DataPointID 417244_x000D_
Metric  =  Outstanding amount [mi]_x000D_
Base  =  Liabilities_x000D_
Instrument is listed on exchange  =  True_x000D_
Counterparty sector  =  Unknown counterparty_x000D_
Exclusion from Bail-in  =  Not excluded from bail-in_x000D_
Main category  =  Deposits, Debt securities issued, Other financial liabilities</t>
        </r>
      </text>
    </comment>
    <comment ref="L21" authorId="0" shapeId="0">
      <text>
        <r>
          <rPr>
            <sz val="9"/>
            <color indexed="81"/>
            <rFont val="Tahoma"/>
            <family val="2"/>
          </rPr>
          <t>{T 01.00.a, r0300, c 0102}=={Z 02.00, r0300, c 0080}_x000D_
DataPointVID 417191_x000D_
DataPointID 417191_x000D_
Metric  =  Outstanding amount [mi]_x000D_
Base  =  Liabilities_x000D_
Instrument is listed on exchange  =  False_x000D_
Counterparty sector  =  Unknown counterparty_x000D_
Exclusion from Bail-in  =  Not excluded from bail-in_x000D_
Main category  =  Deposits, Debt securities issued, Other financial liabilities</t>
        </r>
      </text>
    </comment>
    <comment ref="M21" authorId="0" shapeId="0">
      <text>
        <r>
          <rPr>
            <sz val="9"/>
            <color indexed="81"/>
            <rFont val="Tahoma"/>
            <family val="2"/>
          </rPr>
          <t>{T 01.00.a, r0300, c 0122}=={Z 02.00, r0300, c 0090}_x000D_
DataPointVID 417771_x000D_
DataPointID 417771_x000D_
Metric  =  Outstanding amount [mi]_x000D_
Base  =  Liabilities_x000D_
Exclusion from Bail-in  =  Not excluded from bail-in_x000D_
Main category  =  Deposits, Debt securities issued, Other financial liabilities</t>
        </r>
      </text>
    </comment>
    <comment ref="N21" authorId="0" shapeId="0">
      <text>
        <r>
          <rPr>
            <sz val="9"/>
            <color indexed="81"/>
            <rFont val="Tahoma"/>
            <family val="2"/>
          </rPr>
          <t>{T 01.00.a, r0300, c 0132}=={Z 02.00, r0300, c 0100}_x000D_
DataPointVID 417772_x000D_
DataPointID 417772_x000D_
Metric  =  Outstanding amount [mi]_x000D_
Base  =  Liabilities_x000D_
Exclusion from Bail-in  =  Not excluded from bail-in_x000D_
Main category  =  Deposits, Debt securities issued, Other financial liabilities_x000D_
Related parties/Relationships  =  Intra-group</t>
        </r>
      </text>
    </comment>
    <comment ref="O21" authorId="0" shapeId="0">
      <text>
        <r>
          <rPr>
            <sz val="9"/>
            <color indexed="81"/>
            <rFont val="Tahoma"/>
            <family val="2"/>
          </rPr>
          <t>{T 01.00.a, r0300, c 0142}=={Z 02.00, r0300, c 0110}_x000D_
DataPointVID 417773_x000D_
DataPointID 417773_x000D_
Metric  =  Outstanding amount [mi]_x000D_
Base  =  Liabilities_x000D_
Exclusion from Bail-in  =  Not excluded from bail-in_x000D_
Main category  =  Deposits, Debt securities issued, Other financial liabilities_x000D_
Related parties/Relationships  =  Non intra-group_x000D_
Governed by law of an EU Member State  =  False</t>
        </r>
      </text>
    </comment>
    <comment ref="C22" authorId="0" shapeId="0">
      <text>
        <r>
          <rPr>
            <sz val="9"/>
            <color indexed="81"/>
            <rFont val="Tahoma"/>
            <family val="2"/>
          </rPr>
          <t>Metric  =  Outstanding amount [mi]_x000D_
Base  =  Liabilities_x000D_
Main category  =  Deposits_x000D_
Creditor / Insolvency ranking  =  Preferential (BRRD)_x000D_
Instrument  =  Deposits other than covered deposits_x000D_
Exclusion from Bail-in  =  Not excluded from bail-in_x000D_
Eligibility for MREL  =  Non-eligible</t>
        </r>
      </text>
    </comment>
    <comment ref="D22" authorId="0" shapeId="0">
      <text>
        <r>
          <rPr>
            <sz val="9"/>
            <color indexed="81"/>
            <rFont val="Tahoma"/>
            <family val="2"/>
          </rPr>
          <t>{T 01.00.a, r0310, c 0012}=={Z 02.00, r0310, c 0010}_x000D_
DataPointVID 417287_x000D_
DataPointID 417287_x000D_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t>
        </r>
      </text>
    </comment>
    <comment ref="E22" authorId="0" shapeId="0">
      <text>
        <r>
          <rPr>
            <sz val="9"/>
            <color indexed="81"/>
            <rFont val="Tahoma"/>
            <family val="2"/>
          </rPr>
          <t>{T 01.00.a, r0310, c 0022}=={Z 02.00, r0310, c 0020}_x000D_
DataPointVID 417292_x000D_
DataPointID 417292_x000D_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t>
        </r>
      </text>
    </comment>
    <comment ref="F22" authorId="0" shapeId="0">
      <text>
        <r>
          <rPr>
            <sz val="9"/>
            <color indexed="81"/>
            <rFont val="Tahoma"/>
            <family val="2"/>
          </rPr>
          <t>{T 01.00.a, r0310, c 0032}=={Z 02.00, r0310, c 0030}_x000D_
DataPointVID 428226_x000D_
DataPointID 417297_x000D_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t>
        </r>
      </text>
    </comment>
    <comment ref="G22" authorId="0" shapeId="0">
      <text>
        <r>
          <rPr>
            <sz val="9"/>
            <color indexed="81"/>
            <rFont val="Tahoma"/>
            <family val="2"/>
          </rPr>
          <t>{T 01.00.a, r0310, c 0042}=={Z 02.00, r0310, c 0040}_x000D_
DataPointVID 417282_x000D_
DataPointID 417282_x000D_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t>
        </r>
      </text>
    </comment>
    <comment ref="H22" authorId="0" shapeId="0">
      <text>
        <r>
          <rPr>
            <sz val="9"/>
            <color indexed="81"/>
            <rFont val="Tahoma"/>
            <family val="2"/>
          </rPr>
          <t>{T 01.00.a, r0310, c 0052}=={Z 02.00, r0310, c 0050}_x000D_
DataPointVID 417307_x000D_
DataPointID 417307_x000D_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t>
        </r>
      </text>
    </comment>
    <comment ref="I22" authorId="0" shapeId="0">
      <text>
        <r>
          <rPr>
            <sz val="9"/>
            <color indexed="81"/>
            <rFont val="Tahoma"/>
            <family val="2"/>
          </rPr>
          <t>DataPointVID 417302_x000D_
DataPointID 417302_x000D_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t>
        </r>
      </text>
    </comment>
    <comment ref="J22" authorId="0" shapeId="0">
      <text>
        <r>
          <rPr>
            <sz val="9"/>
            <color indexed="81"/>
            <rFont val="Tahoma"/>
            <family val="2"/>
          </rPr>
          <t>{T 01.00.a, r0310, c 0082}=={Z 02.00, r0310, c 0060}_x000D_
DataPointVID 417313_x000D_
DataPointID 417313_x000D_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t>
        </r>
      </text>
    </comment>
    <comment ref="K22" authorId="0" shapeId="0">
      <text>
        <r>
          <rPr>
            <sz val="9"/>
            <color indexed="81"/>
            <rFont val="Tahoma"/>
            <family val="2"/>
          </rPr>
          <t>{T 01.00.a, r0310, c 0092}=={Z 02.00, r0310, c 0070}_x000D_
DataPointVID 417203_x000D_
DataPointID 417203_x000D_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t>
        </r>
      </text>
    </comment>
    <comment ref="L22" authorId="0" shapeId="0">
      <text>
        <r>
          <rPr>
            <sz val="9"/>
            <color indexed="81"/>
            <rFont val="Tahoma"/>
            <family val="2"/>
          </rPr>
          <t>{T 01.00.a, r0310, c 0102}=={Z 02.00, r0310, c 0080}_x000D_
DataPointVID 417150_x000D_
DataPointID 417150_x000D_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t>
        </r>
      </text>
    </comment>
    <comment ref="M22" authorId="0" shapeId="0">
      <text>
        <r>
          <rPr>
            <sz val="9"/>
            <color indexed="81"/>
            <rFont val="Tahoma"/>
            <family val="2"/>
          </rPr>
          <t>{T 01.00.a, r0310, c 0122}=={Z 02.00, r0310, c 0090}_x000D_
DataPointVID 417319_x000D_
DataPointID 417319_x000D_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t>
        </r>
      </text>
    </comment>
    <comment ref="N22" authorId="0" shapeId="0">
      <text>
        <r>
          <rPr>
            <sz val="9"/>
            <color indexed="81"/>
            <rFont val="Tahoma"/>
            <family val="2"/>
          </rPr>
          <t>{T 01.00.a, r0310, c 0132}=={Z 02.00, r0310, c 0100}_x000D_
DataPointVID 417332_x000D_
DataPointID 417332_x000D_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Related parties/Relationships  =  Intra-group</t>
        </r>
      </text>
    </comment>
    <comment ref="O22" authorId="0" shapeId="0">
      <text>
        <r>
          <rPr>
            <sz val="9"/>
            <color indexed="81"/>
            <rFont val="Tahoma"/>
            <family val="2"/>
          </rPr>
          <t>{T 01.00.a, r0310, c 0142}=={Z 02.00, r0310, c 0110}_x000D_
DataPointVID 417333_x000D_
DataPointID 417333_x000D_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Related parties/Relationships  =  Non intra-group_x000D_
Governed by law of an EU Member State  =  False</t>
        </r>
      </text>
    </comment>
    <comment ref="C23" authorId="0" shapeId="0">
      <text>
        <r>
          <rPr>
            <sz val="9"/>
            <color indexed="81"/>
            <rFont val="Tahoma"/>
            <family val="2"/>
          </rPr>
          <t>Metric  =  Outstanding amount [mi]_x000D_
Base  =  Liabilities_x000D_
Main category  =  Deposits_x000D_
Residual maturity  =  &lt;= 1 month_x000D_
Creditor / Insolvency ranking  =  Preferential (BRRD)_x000D_
Instrument  =  Deposits other than covered deposits_x000D_
Exclusion from Bail-in  =  Not excluded from bail-in_x000D_
Eligibility for MREL  =  Non-eligible</t>
        </r>
      </text>
    </comment>
    <comment ref="D23" authorId="0" shapeId="0">
      <text>
        <r>
          <rPr>
            <sz val="9"/>
            <color indexed="81"/>
            <rFont val="Tahoma"/>
            <family val="2"/>
          </rPr>
          <t>{T 01.00.a, r0311, c 0012}=={Z 02.00, r0311, c 0010}_x000D_
DataPointVID 417288_x000D_
DataPointID 417288_x000D_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&lt;= 1 month</t>
        </r>
      </text>
    </comment>
    <comment ref="E23" authorId="0" shapeId="0">
      <text>
        <r>
          <rPr>
            <sz val="9"/>
            <color indexed="81"/>
            <rFont val="Tahoma"/>
            <family val="2"/>
          </rPr>
          <t>{T 01.00.a, r0311, c 0022}=={Z 02.00, r0311, c 0020}_x000D_
DataPointVID 417293_x000D_
DataPointID 417293_x000D_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&lt;= 1 month</t>
        </r>
      </text>
    </comment>
    <comment ref="F23" authorId="0" shapeId="0">
      <text>
        <r>
          <rPr>
            <sz val="9"/>
            <color indexed="81"/>
            <rFont val="Tahoma"/>
            <family val="2"/>
          </rPr>
          <t>{T 01.00.a, r0311, c 0032}=={Z 02.00, r0311, c 0030}_x000D_
DataPointVID 428227_x000D_
DataPointID 417298_x000D_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&lt;= 1 month</t>
        </r>
      </text>
    </comment>
    <comment ref="G23" authorId="0" shapeId="0">
      <text>
        <r>
          <rPr>
            <sz val="9"/>
            <color indexed="81"/>
            <rFont val="Tahoma"/>
            <family val="2"/>
          </rPr>
          <t>{T 01.00.a, r0311, c 0042}=={Z 02.00, r0311, c 0040}_x000D_
DataPointVID 417283_x000D_
DataPointID 417283_x000D_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&lt;= 1 month</t>
        </r>
      </text>
    </comment>
    <comment ref="H23" authorId="0" shapeId="0">
      <text>
        <r>
          <rPr>
            <sz val="9"/>
            <color indexed="81"/>
            <rFont val="Tahoma"/>
            <family val="2"/>
          </rPr>
          <t>{T 01.00.a, r0311, c 0052}=={Z 02.00, r0311, c 0050}_x000D_
DataPointVID 417308_x000D_
DataPointID 417308_x000D_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&lt;= 1 month</t>
        </r>
      </text>
    </comment>
    <comment ref="I23" authorId="0" shapeId="0">
      <text>
        <r>
          <rPr>
            <sz val="9"/>
            <color indexed="81"/>
            <rFont val="Tahoma"/>
            <family val="2"/>
          </rPr>
          <t>DataPointVID 417303_x000D_
DataPointID 417303_x000D_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&lt;= 1 month</t>
        </r>
      </text>
    </comment>
    <comment ref="J23" authorId="0" shapeId="0">
      <text>
        <r>
          <rPr>
            <sz val="9"/>
            <color indexed="81"/>
            <rFont val="Tahoma"/>
            <family val="2"/>
          </rPr>
          <t>{T 01.00.a, r0311, c 0082}=={Z 02.00, r0311, c 0060}_x000D_
DataPointVID 417314_x000D_
DataPointID 417314_x000D_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&lt;= 1 month</t>
        </r>
      </text>
    </comment>
    <comment ref="K23" authorId="0" shapeId="0">
      <text>
        <r>
          <rPr>
            <sz val="9"/>
            <color indexed="81"/>
            <rFont val="Tahoma"/>
            <family val="2"/>
          </rPr>
          <t>{T 01.00.a, r0311, c 0092}=={Z 02.00, r0311, c 0070}_x000D_
DataPointVID 417204_x000D_
DataPointID 417204_x000D_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L23" authorId="0" shapeId="0">
      <text>
        <r>
          <rPr>
            <sz val="9"/>
            <color indexed="81"/>
            <rFont val="Tahoma"/>
            <family val="2"/>
          </rPr>
          <t>{T 01.00.a, r0311, c 0102}=={Z 02.00, r0311, c 0080}_x000D_
DataPointVID 417151_x000D_
DataPointID 417151_x000D_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M23" authorId="0" shapeId="0">
      <text>
        <r>
          <rPr>
            <sz val="9"/>
            <color indexed="81"/>
            <rFont val="Tahoma"/>
            <family val="2"/>
          </rPr>
          <t>{T 01.00.a, r0311, c 0122}=={Z 02.00, r0311, c 0090}_x000D_
DataPointVID 417320_x000D_
DataPointID 417320_x000D_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t>
        </r>
      </text>
    </comment>
    <comment ref="N23" authorId="0" shapeId="0">
      <text>
        <r>
          <rPr>
            <sz val="9"/>
            <color indexed="81"/>
            <rFont val="Tahoma"/>
            <family val="2"/>
          </rPr>
          <t>{T 01.00.a, r0311, c 0132}=={Z 02.00, r0311, c 0100}_x000D_
DataPointVID 417321_x000D_
DataPointID 417321_x000D_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month_x000D_
Related parties/Relationships  =  Intra-group</t>
        </r>
      </text>
    </comment>
    <comment ref="O23" authorId="0" shapeId="0">
      <text>
        <r>
          <rPr>
            <sz val="9"/>
            <color indexed="81"/>
            <rFont val="Tahoma"/>
            <family val="2"/>
          </rPr>
          <t>{T 01.00.a, r0311, c 0142}=={Z 02.00, r0311, c 0110}_x000D_
DataPointVID 417322_x000D_
DataPointID 417322_x000D_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month_x000D_
Related parties/Relationships  =  Non intra-group_x000D_
Governed by law of an EU Member State  =  False</t>
        </r>
      </text>
    </comment>
    <comment ref="C24" authorId="0" shapeId="0">
      <text>
        <r>
          <rPr>
            <sz val="9"/>
            <color indexed="81"/>
            <rFont val="Tahoma"/>
            <family val="2"/>
          </rPr>
          <t>Metric  =  Outstanding amount [mi]_x000D_
Base  =  Liabilities_x000D_
Main category  =  Deposits_x000D_
Residual maturity  =  &gt; 1 month &lt; 1 year_x000D_
Creditor / Insolvency ranking  =  Preferential (BRRD)_x000D_
Instrument  =  Deposits other than covered deposits_x000D_
Exclusion from Bail-in  =  Not excluded from bail-in_x000D_
Eligibility for MREL  =  Non-eligible</t>
        </r>
      </text>
    </comment>
    <comment ref="D24" authorId="0" shapeId="0">
      <text>
        <r>
          <rPr>
            <sz val="9"/>
            <color indexed="81"/>
            <rFont val="Tahoma"/>
            <family val="2"/>
          </rPr>
          <t>{T 01.00.a, r0312, c 0012}=={Z 02.00, r0312, c 0010}_x000D_
DataPointVID 417290_x000D_
DataPointID 417290_x000D_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1 month &lt; 1 year</t>
        </r>
      </text>
    </comment>
    <comment ref="E24" authorId="0" shapeId="0">
      <text>
        <r>
          <rPr>
            <sz val="9"/>
            <color indexed="81"/>
            <rFont val="Tahoma"/>
            <family val="2"/>
          </rPr>
          <t>{T 01.00.a, r0312, c 0022}=={Z 02.00, r0312, c 0020}_x000D_
DataPointVID 417295_x000D_
DataPointID 417295_x000D_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month &lt; 1 year</t>
        </r>
      </text>
    </comment>
    <comment ref="F24" authorId="0" shapeId="0">
      <text>
        <r>
          <rPr>
            <sz val="9"/>
            <color indexed="81"/>
            <rFont val="Tahoma"/>
            <family val="2"/>
          </rPr>
          <t>{T 01.00.a, r0312, c 0032}=={Z 02.00, r0312, c 0030}_x000D_
DataPointVID 428229_x000D_
DataPointID 417300_x000D_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month &lt; 1 year</t>
        </r>
      </text>
    </comment>
    <comment ref="G24" authorId="0" shapeId="0">
      <text>
        <r>
          <rPr>
            <sz val="9"/>
            <color indexed="81"/>
            <rFont val="Tahoma"/>
            <family val="2"/>
          </rPr>
          <t>{T 01.00.a, r0312, c 0042}=={Z 02.00, r0312, c 0040}_x000D_
DataPointVID 417285_x000D_
DataPointID 417285_x000D_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month &lt; 1 year</t>
        </r>
      </text>
    </comment>
    <comment ref="H24" authorId="0" shapeId="0">
      <text>
        <r>
          <rPr>
            <sz val="9"/>
            <color indexed="81"/>
            <rFont val="Tahoma"/>
            <family val="2"/>
          </rPr>
          <t>{T 01.00.a, r0312, c 0052}=={Z 02.00, r0312, c 0050}_x000D_
DataPointVID 417310_x000D_
DataPointID 417310_x000D_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month &lt; 1 year</t>
        </r>
      </text>
    </comment>
    <comment ref="I24" authorId="0" shapeId="0">
      <text>
        <r>
          <rPr>
            <sz val="9"/>
            <color indexed="81"/>
            <rFont val="Tahoma"/>
            <family val="2"/>
          </rPr>
          <t>DataPointVID 417305_x000D_
DataPointID 417305_x000D_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month &lt; 1 year</t>
        </r>
      </text>
    </comment>
    <comment ref="J24" authorId="0" shapeId="0">
      <text>
        <r>
          <rPr>
            <sz val="9"/>
            <color indexed="81"/>
            <rFont val="Tahoma"/>
            <family val="2"/>
          </rPr>
          <t>{T 01.00.a, r0312, c 0082}=={Z 02.00, r0312, c 0060}_x000D_
DataPointVID 417316_x000D_
DataPointID 417316_x000D_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month &lt; 1 year</t>
        </r>
      </text>
    </comment>
    <comment ref="K24" authorId="0" shapeId="0">
      <text>
        <r>
          <rPr>
            <sz val="9"/>
            <color indexed="81"/>
            <rFont val="Tahoma"/>
            <family val="2"/>
          </rPr>
          <t>{T 01.00.a, r0312, c 0092}=={Z 02.00, r0312, c 0070}_x000D_
DataPointVID 417206_x000D_
DataPointID 417206_x000D_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L24" authorId="0" shapeId="0">
      <text>
        <r>
          <rPr>
            <sz val="9"/>
            <color indexed="81"/>
            <rFont val="Tahoma"/>
            <family val="2"/>
          </rPr>
          <t>{T 01.00.a, r0312, c 0102}=={Z 02.00, r0312, c 0080}_x000D_
DataPointVID 417153_x000D_
DataPointID 417153_x000D_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M24" authorId="0" shapeId="0">
      <text>
        <r>
          <rPr>
            <sz val="9"/>
            <color indexed="81"/>
            <rFont val="Tahoma"/>
            <family val="2"/>
          </rPr>
          <t>{T 01.00.a, r0312, c 0122}=={Z 02.00, r0312, c 0090}_x000D_
DataPointVID 417326_x000D_
DataPointID 417326_x000D_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t>
        </r>
      </text>
    </comment>
    <comment ref="N24" authorId="0" shapeId="0">
      <text>
        <r>
          <rPr>
            <sz val="9"/>
            <color indexed="81"/>
            <rFont val="Tahoma"/>
            <family val="2"/>
          </rPr>
          <t>{T 01.00.a, r0312, c 0132}=={Z 02.00, r0312, c 0100}_x000D_
DataPointVID 417327_x000D_
DataPointID 417327_x000D_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Intra-group</t>
        </r>
      </text>
    </comment>
    <comment ref="O24" authorId="0" shapeId="0">
      <text>
        <r>
          <rPr>
            <sz val="9"/>
            <color indexed="81"/>
            <rFont val="Tahoma"/>
            <family val="2"/>
          </rPr>
          <t>{T 01.00.a, r0312, c 0142}=={Z 02.00, r0312, c 0110}_x000D_
DataPointVID 417328_x000D_
DataPointID 417328_x000D_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Non intra-group_x000D_
Governed by law of an EU Member State  =  False</t>
        </r>
      </text>
    </comment>
    <comment ref="C25" authorId="0" shapeId="0">
      <text>
        <r>
          <rPr>
            <sz val="9"/>
            <color indexed="81"/>
            <rFont val="Tahoma"/>
            <family val="2"/>
          </rPr>
          <t>Metric  =  Outstanding amount [mi]_x000D_
Base  =  Liabilities_x000D_
Main category  =  Deposits_x000D_
Residual maturity  =  &gt;= 1 year &lt; 2 years_x000D_
Creditor / Insolvency ranking  =  Preferential (BRRD)_x000D_
Instrument  =  Deposits other than covered deposits_x000D_
Exclusion from Bail-in  =  Not excluded from bail-in_x000D_
Eligibility for MREL  =  Non-eligible</t>
        </r>
      </text>
    </comment>
    <comment ref="D25" authorId="0" shapeId="0">
      <text>
        <r>
          <rPr>
            <sz val="9"/>
            <color indexed="81"/>
            <rFont val="Tahoma"/>
            <family val="2"/>
          </rPr>
          <t>{T 01.00.a, r0313, c 0012}=={Z 02.00, r0313, c 0010}_x000D_
DataPointVID 417289_x000D_
DataPointID 417289_x000D_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1 year &lt; 2 years</t>
        </r>
      </text>
    </comment>
    <comment ref="E25" authorId="0" shapeId="0">
      <text>
        <r>
          <rPr>
            <sz val="9"/>
            <color indexed="81"/>
            <rFont val="Tahoma"/>
            <family val="2"/>
          </rPr>
          <t>{T 01.00.a, r0313, c 0022}=={Z 02.00, r0313, c 0020}_x000D_
DataPointVID 417294_x000D_
DataPointID 417294_x000D_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year &lt; 2 years</t>
        </r>
      </text>
    </comment>
    <comment ref="F25" authorId="0" shapeId="0">
      <text>
        <r>
          <rPr>
            <sz val="9"/>
            <color indexed="81"/>
            <rFont val="Tahoma"/>
            <family val="2"/>
          </rPr>
          <t>{T 01.00.a, r0313, c 0032}=={Z 02.00, r0313, c 0030}_x000D_
DataPointVID 428228_x000D_
DataPointID 417299_x000D_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year &lt; 2 years</t>
        </r>
      </text>
    </comment>
    <comment ref="G25" authorId="0" shapeId="0">
      <text>
        <r>
          <rPr>
            <sz val="9"/>
            <color indexed="81"/>
            <rFont val="Tahoma"/>
            <family val="2"/>
          </rPr>
          <t>{T 01.00.a, r0313, c 0042}=={Z 02.00, r0313, c 0040}_x000D_
DataPointVID 417284_x000D_
DataPointID 417284_x000D_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year &lt; 2 years</t>
        </r>
      </text>
    </comment>
    <comment ref="H25" authorId="0" shapeId="0">
      <text>
        <r>
          <rPr>
            <sz val="9"/>
            <color indexed="81"/>
            <rFont val="Tahoma"/>
            <family val="2"/>
          </rPr>
          <t>{T 01.00.a, r0313, c 0052}=={Z 02.00, r0313, c 0050}_x000D_
DataPointVID 417309_x000D_
DataPointID 417309_x000D_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year &lt; 2 years</t>
        </r>
      </text>
    </comment>
    <comment ref="I25" authorId="0" shapeId="0">
      <text>
        <r>
          <rPr>
            <sz val="9"/>
            <color indexed="81"/>
            <rFont val="Tahoma"/>
            <family val="2"/>
          </rPr>
          <t>DataPointVID 417304_x000D_
DataPointID 417304_x000D_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year &lt; 2 years</t>
        </r>
      </text>
    </comment>
    <comment ref="J25" authorId="0" shapeId="0">
      <text>
        <r>
          <rPr>
            <sz val="9"/>
            <color indexed="81"/>
            <rFont val="Tahoma"/>
            <family val="2"/>
          </rPr>
          <t>{T 01.00.a, r0313, c 0082}=={Z 02.00, r0313, c 0060}_x000D_
DataPointVID 417315_x000D_
DataPointID 417315_x000D_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year &lt; 2 years</t>
        </r>
      </text>
    </comment>
    <comment ref="K25" authorId="0" shapeId="0">
      <text>
        <r>
          <rPr>
            <sz val="9"/>
            <color indexed="81"/>
            <rFont val="Tahoma"/>
            <family val="2"/>
          </rPr>
          <t>{T 01.00.a, r0313, c 0092}=={Z 02.00, r0313, c 0070}_x000D_
DataPointVID 417205_x000D_
DataPointID 417205_x000D_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year &lt; 2 years</t>
        </r>
      </text>
    </comment>
    <comment ref="L25" authorId="0" shapeId="0">
      <text>
        <r>
          <rPr>
            <sz val="9"/>
            <color indexed="81"/>
            <rFont val="Tahoma"/>
            <family val="2"/>
          </rPr>
          <t>{T 01.00.a, r0313, c 0102}=={Z 02.00, r0313, c 0080}_x000D_
DataPointVID 417152_x000D_
DataPointID 417152_x000D_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year &lt; 2 years</t>
        </r>
      </text>
    </comment>
    <comment ref="M25" authorId="0" shapeId="0">
      <text>
        <r>
          <rPr>
            <sz val="9"/>
            <color indexed="81"/>
            <rFont val="Tahoma"/>
            <family val="2"/>
          </rPr>
          <t>{T 01.00.a, r0313, c 0122}=={Z 02.00, r0313, c 0090}_x000D_
DataPointVID 417323_x000D_
DataPointID 417323_x000D_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t>
        </r>
      </text>
    </comment>
    <comment ref="N25" authorId="0" shapeId="0">
      <text>
        <r>
          <rPr>
            <sz val="9"/>
            <color indexed="81"/>
            <rFont val="Tahoma"/>
            <family val="2"/>
          </rPr>
          <t>{T 01.00.a, r0313, c 0132}=={Z 02.00, r0313, c 0100}_x000D_
DataPointVID 417324_x000D_
DataPointID 417324_x000D_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years_x000D_
Related parties/Relationships  =  Intra-group</t>
        </r>
      </text>
    </comment>
    <comment ref="O25" authorId="0" shapeId="0">
      <text>
        <r>
          <rPr>
            <sz val="9"/>
            <color indexed="81"/>
            <rFont val="Tahoma"/>
            <family val="2"/>
          </rPr>
          <t>{T 01.00.a, r0313, c 0142}=={Z 02.00, r0313, c 0110}_x000D_
DataPointVID 417325_x000D_
DataPointID 417325_x000D_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years_x000D_
Related parties/Relationships  =  Non intra-group_x000D_
Governed by law of an EU Member State  =  False</t>
        </r>
      </text>
    </comment>
    <comment ref="C26" authorId="0" shapeId="0">
      <text>
        <r>
          <rPr>
            <sz val="9"/>
            <color indexed="81"/>
            <rFont val="Tahoma"/>
            <family val="2"/>
          </rPr>
          <t>Metric  =  Outstanding amount [mi]_x000D_
Base  =  Liabilities_x000D_
Main category  =  Deposits_x000D_
Residual maturity  =  &gt;= 2 years_x000D_
Creditor / Insolvency ranking  =  Preferential (BRRD)_x000D_
Instrument  =  Deposits other than covered deposits_x000D_
Exclusion from Bail-in  =  Not excluded from bail-in_x000D_
Eligibility for MREL  =  Non-eligible</t>
        </r>
      </text>
    </comment>
    <comment ref="D26" authorId="0" shapeId="0">
      <text>
        <r>
          <rPr>
            <sz val="9"/>
            <color indexed="81"/>
            <rFont val="Tahoma"/>
            <family val="2"/>
          </rPr>
          <t>{T 01.00.a, r0314, c 0012}=={Z 02.00, r0314, c 0010}_x000D_
DataPointVID 417291_x000D_
DataPointID 417291_x000D_
Metric  =  Outstanding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2 years</t>
        </r>
      </text>
    </comment>
    <comment ref="E26" authorId="0" shapeId="0">
      <text>
        <r>
          <rPr>
            <sz val="9"/>
            <color indexed="81"/>
            <rFont val="Tahoma"/>
            <family val="2"/>
          </rPr>
          <t>{T 01.00.a, r0314, c 0022}=={Z 02.00, r0314, c 0020}_x000D_
DataPointVID 417296_x000D_
DataPointID 417296_x000D_
Metric  =  Outstanding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2 years</t>
        </r>
      </text>
    </comment>
    <comment ref="F26" authorId="0" shapeId="0">
      <text>
        <r>
          <rPr>
            <sz val="9"/>
            <color indexed="81"/>
            <rFont val="Tahoma"/>
            <family val="2"/>
          </rPr>
          <t>{T 01.00.a, r0314, c 0032}=={Z 02.00, r0314, c 0030}_x000D_
DataPointVID 428230_x000D_
DataPointID 417301_x000D_
Metric  =  Outstanding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2 years</t>
        </r>
      </text>
    </comment>
    <comment ref="G26" authorId="0" shapeId="0">
      <text>
        <r>
          <rPr>
            <sz val="9"/>
            <color indexed="81"/>
            <rFont val="Tahoma"/>
            <family val="2"/>
          </rPr>
          <t>{T 01.00.a, r0314, c 0042}=={Z 02.00, r0314, c 0040}_x000D_
DataPointVID 417286_x000D_
DataPointID 417286_x000D_
Metric  =  Outstanding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2 years</t>
        </r>
      </text>
    </comment>
    <comment ref="H26" authorId="0" shapeId="0">
      <text>
        <r>
          <rPr>
            <sz val="9"/>
            <color indexed="81"/>
            <rFont val="Tahoma"/>
            <family val="2"/>
          </rPr>
          <t>{T 01.00.a, r0314, c 0052}=={Z 02.00, r0314, c 0050}_x000D_
DataPointVID 417311_x000D_
DataPointID 417311_x000D_
Metric  =  Outstanding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2 years</t>
        </r>
      </text>
    </comment>
    <comment ref="I26" authorId="0" shapeId="0">
      <text>
        <r>
          <rPr>
            <sz val="9"/>
            <color indexed="81"/>
            <rFont val="Tahoma"/>
            <family val="2"/>
          </rPr>
          <t>DataPointVID 417306_x000D_
DataPointID 417306_x000D_
Metric  =  Outstanding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2 years</t>
        </r>
      </text>
    </comment>
    <comment ref="J26" authorId="0" shapeId="0">
      <text>
        <r>
          <rPr>
            <sz val="9"/>
            <color indexed="81"/>
            <rFont val="Tahoma"/>
            <family val="2"/>
          </rPr>
          <t>{T 01.00.a, r0314, c 0082}=={Z 02.00, r0314, c 0060}_x000D_
DataPointVID 417317_x000D_
DataPointID 417317_x000D_
Metric  =  Outstanding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2 years</t>
        </r>
      </text>
    </comment>
    <comment ref="K26" authorId="0" shapeId="0">
      <text>
        <r>
          <rPr>
            <sz val="9"/>
            <color indexed="81"/>
            <rFont val="Tahoma"/>
            <family val="2"/>
          </rPr>
          <t>{T 01.00.a, r0314, c 0092}=={Z 02.00, r0314, c 0070}_x000D_
DataPointVID 417207_x000D_
DataPointID 417207_x000D_
Metric  =  Outstanding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2 years</t>
        </r>
      </text>
    </comment>
    <comment ref="L26" authorId="0" shapeId="0">
      <text>
        <r>
          <rPr>
            <sz val="9"/>
            <color indexed="81"/>
            <rFont val="Tahoma"/>
            <family val="2"/>
          </rPr>
          <t>{T 01.00.a, r0314, c 0102}=={Z 02.00, r0314, c 0080}_x000D_
DataPointVID 417154_x000D_
DataPointID 417154_x000D_
Metric  =  Outstanding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2 years</t>
        </r>
      </text>
    </comment>
    <comment ref="M26" authorId="0" shapeId="0">
      <text>
        <r>
          <rPr>
            <sz val="9"/>
            <color indexed="81"/>
            <rFont val="Tahoma"/>
            <family val="2"/>
          </rPr>
          <t>{T 01.00.a, r0314, c 0122}=={Z 02.00, r0314, c 0090}_x000D_
DataPointVID 417329_x000D_
DataPointID 417329_x000D_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t>
        </r>
      </text>
    </comment>
    <comment ref="N26" authorId="0" shapeId="0">
      <text>
        <r>
          <rPr>
            <sz val="9"/>
            <color indexed="81"/>
            <rFont val="Tahoma"/>
            <family val="2"/>
          </rPr>
          <t>{T 01.00.a, r0314, c 0132}=={Z 02.00, r0314, c 0100}_x000D_
DataPointVID 417330_x000D_
DataPointID 417330_x000D_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years_x000D_
Related parties/Relationships  =  Intra-group</t>
        </r>
      </text>
    </comment>
    <comment ref="O26" authorId="0" shapeId="0">
      <text>
        <r>
          <rPr>
            <sz val="9"/>
            <color indexed="81"/>
            <rFont val="Tahoma"/>
            <family val="2"/>
          </rPr>
          <t>{T 01.00.a, r0314, c 0142}=={Z 02.00, r0314, c 0110}_x000D_
DataPointVID 417331_x000D_
DataPointID 417331_x000D_
Metric  =  Outstanding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years_x000D_
Related parties/Relationships  =  Non intra-group_x000D_
Governed by law of an EU Member State  =  False</t>
        </r>
      </text>
    </comment>
    <comment ref="C27" authorId="0" shapeId="0">
      <text>
        <r>
          <rPr>
            <sz val="9"/>
            <color indexed="81"/>
            <rFont val="Tahoma"/>
            <family val="2"/>
          </rPr>
          <t>Metric  =  Outstanding amount [mi]_x000D_
Base  =  Liabilities_x000D_
Main category  =  Deposits_x000D_
Creditor / Insolvency ranking  =  Not preferential (BRRD)_x000D_
Instrument  =  Deposits other than covered deposits_x000D_
Exclusion from Bail-in  =  Not excluded from bail-in</t>
        </r>
      </text>
    </comment>
    <comment ref="D27" authorId="0" shapeId="0">
      <text>
        <r>
          <rPr>
            <sz val="9"/>
            <color indexed="81"/>
            <rFont val="Tahoma"/>
            <family val="2"/>
          </rPr>
          <t>{T 01.00.a, r0320, c 0012}=={Z 02.00, r0320, c 0010}_x000D_
DataPointVID 417339_x000D_
DataPointID 417339_x000D_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t>
        </r>
      </text>
    </comment>
    <comment ref="E27" authorId="0" shapeId="0">
      <text>
        <r>
          <rPr>
            <sz val="9"/>
            <color indexed="81"/>
            <rFont val="Tahoma"/>
            <family val="2"/>
          </rPr>
          <t>{T 01.00.a, r0320, c 0022}=={Z 02.00, r0320, c 0020}_x000D_
DataPointVID 417344_x000D_
DataPointID 417344_x000D_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t>
        </r>
      </text>
    </comment>
    <comment ref="F27" authorId="0" shapeId="0">
      <text>
        <r>
          <rPr>
            <sz val="9"/>
            <color indexed="81"/>
            <rFont val="Tahoma"/>
            <family val="2"/>
          </rPr>
          <t>{T 01.00.a, r0320, c 0032}=={Z 02.00, r0320, c 0030}_x000D_
DataPointVID 428231_x000D_
DataPointID 417349_x000D_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t>
        </r>
      </text>
    </comment>
    <comment ref="G27" authorId="0" shapeId="0">
      <text>
        <r>
          <rPr>
            <sz val="9"/>
            <color indexed="81"/>
            <rFont val="Tahoma"/>
            <family val="2"/>
          </rPr>
          <t>{T 01.00.a, r0320, c 0042}=={Z 02.00, r0320, c 0040}_x000D_
DataPointVID 417334_x000D_
DataPointID 417334_x000D_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t>
        </r>
      </text>
    </comment>
    <comment ref="H27" authorId="0" shapeId="0">
      <text>
        <r>
          <rPr>
            <sz val="9"/>
            <color indexed="81"/>
            <rFont val="Tahoma"/>
            <family val="2"/>
          </rPr>
          <t>{T 01.00.a, r0320, c 0052}=={Z 02.00, r0320, c 0050}_x000D_
DataPointVID 417359_x000D_
DataPointID 417359_x000D_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t>
        </r>
      </text>
    </comment>
    <comment ref="I27" authorId="0" shapeId="0">
      <text>
        <r>
          <rPr>
            <sz val="9"/>
            <color indexed="81"/>
            <rFont val="Tahoma"/>
            <family val="2"/>
          </rPr>
          <t>DataPointVID 417354_x000D_
DataPointID 417354_x000D_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t>
        </r>
      </text>
    </comment>
    <comment ref="J27" authorId="0" shapeId="0">
      <text>
        <r>
          <rPr>
            <sz val="9"/>
            <color indexed="81"/>
            <rFont val="Tahoma"/>
            <family val="2"/>
          </rPr>
          <t>{T 01.00.a, r0320, c 0082}=={Z 02.00, r0320, c 0060}_x000D_
DataPointVID 417364_x000D_
DataPointID 417364_x000D_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t>
        </r>
      </text>
    </comment>
    <comment ref="K27" authorId="0" shapeId="0">
      <text>
        <r>
          <rPr>
            <sz val="9"/>
            <color indexed="81"/>
            <rFont val="Tahoma"/>
            <family val="2"/>
          </rPr>
          <t>{T 01.00.a, r0320, c 0092}=={Z 02.00, r0320, c 0070}_x000D_
DataPointVID 417208_x000D_
DataPointID 417208_x000D_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t>
        </r>
      </text>
    </comment>
    <comment ref="L27" authorId="0" shapeId="0">
      <text>
        <r>
          <rPr>
            <sz val="9"/>
            <color indexed="81"/>
            <rFont val="Tahoma"/>
            <family val="2"/>
          </rPr>
          <t>{T 01.00.a, r0320, c 0102}=={Z 02.00, r0320, c 0080}_x000D_
DataPointVID 417155_x000D_
DataPointID 417155_x000D_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t>
        </r>
      </text>
    </comment>
    <comment ref="M27" authorId="0" shapeId="0">
      <text>
        <r>
          <rPr>
            <sz val="9"/>
            <color indexed="81"/>
            <rFont val="Tahoma"/>
            <family val="2"/>
          </rPr>
          <t>{T 01.00.a, r0320, c 0122}=={Z 02.00, r0320, c 0090}_x000D_
DataPointVID 417369_x000D_
DataPointID 417369_x000D_
Metric  =  Outstanding amount [mi]_x000D_
Base  =  Liabilities_x000D_
Creditor / Insolvency ranking  =  Not preferential (BRRD)_x000D_
Instrument  =  Deposits other than covered deposits_x000D_
Exclusion from Bail-in  =  Not excluded from bail-in_x000D_
Main category  =  Deposits</t>
        </r>
      </text>
    </comment>
    <comment ref="N27" authorId="0" shapeId="0">
      <text>
        <r>
          <rPr>
            <sz val="9"/>
            <color indexed="81"/>
            <rFont val="Tahoma"/>
            <family val="2"/>
          </rPr>
          <t>{T 01.00.a, r0320, c 0132}=={Z 02.00, r0320, c 0100}_x000D_
DataPointVID 417382_x000D_
DataPointID 417382_x000D_
Metric  =  Outstanding amount [mi]_x000D_
Base  =  Liabilities_x000D_
Creditor / Insolvency ranking  =  Not preferential (BRRD)_x000D_
Instrument  =  Deposits other than covered deposits_x000D_
Exclusion from Bail-in  =  Not excluded from bail-in_x000D_
Main category  =  Deposits_x000D_
Related parties/Relationships  =  Intra-group</t>
        </r>
      </text>
    </comment>
    <comment ref="O27" authorId="0" shapeId="0">
      <text>
        <r>
          <rPr>
            <sz val="9"/>
            <color indexed="81"/>
            <rFont val="Tahoma"/>
            <family val="2"/>
          </rPr>
          <t>{T 01.00.a, r0320, c 0142}=={Z 02.00, r0320, c 0110}_x000D_
DataPointVID 417383_x000D_
DataPointID 417383_x000D_
Metric  =  Outstanding amount [mi]_x000D_
Base  =  Liabilities_x000D_
Creditor / Insolvency ranking  =  Not preferential (BRRD)_x000D_
Instrument  =  Deposits other than covered deposits_x000D_
Exclusion from Bail-in  =  Not excluded from bail-in_x000D_
Main category  =  Deposits_x000D_
Related parties/Relationships  =  Non intra-group_x000D_
Governed by law of an EU Member State  =  False</t>
        </r>
      </text>
    </comment>
    <comment ref="C28" authorId="0" shapeId="0">
      <text>
        <r>
          <rPr>
            <sz val="9"/>
            <color indexed="81"/>
            <rFont val="Tahoma"/>
            <family val="2"/>
          </rPr>
          <t>Metric  =  Outstanding amount [mi]_x000D_
Base  =  Liabilities_x000D_
Main category  =  Deposits_x000D_
Residual maturity  =  &lt;= 1 month_x000D_
Creditor / Insolvency ranking  =  Not preferential (BRRD)_x000D_
Instrument  =  Deposits other than covered deposits_x000D_
Exclusion from Bail-in  =  Not excluded from bail-in_x000D_
Eligibility for MREL  =  Non-eligible</t>
        </r>
      </text>
    </comment>
    <comment ref="D28" authorId="0" shapeId="0">
      <text>
        <r>
          <rPr>
            <sz val="9"/>
            <color indexed="81"/>
            <rFont val="Tahoma"/>
            <family val="2"/>
          </rPr>
          <t>{T 01.00.a, r0321, c 0012}=={Z 02.00, r0321, c 0010}_x000D_
DataPointVID 417340_x000D_
DataPointID 417340_x000D_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Eligibility for MREL  =  Non-eligible_x000D_
Residual maturity  =  &lt;= 1 month</t>
        </r>
      </text>
    </comment>
    <comment ref="E28" authorId="0" shapeId="0">
      <text>
        <r>
          <rPr>
            <sz val="9"/>
            <color indexed="81"/>
            <rFont val="Tahoma"/>
            <family val="2"/>
          </rPr>
          <t>{T 01.00.a, r0321, c 0022}=={Z 02.00, r0321, c 0020}_x000D_
DataPointVID 417345_x000D_
DataPointID 417345_x000D_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&lt;= 1 month</t>
        </r>
      </text>
    </comment>
    <comment ref="F28" authorId="0" shapeId="0">
      <text>
        <r>
          <rPr>
            <sz val="9"/>
            <color indexed="81"/>
            <rFont val="Tahoma"/>
            <family val="2"/>
          </rPr>
          <t>{T 01.00.a, r0321, c 0032}=={Z 02.00, r0321, c 0030}_x000D_
DataPointVID 428232_x000D_
DataPointID 417350_x000D_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&lt;= 1 month</t>
        </r>
      </text>
    </comment>
    <comment ref="G28" authorId="0" shapeId="0">
      <text>
        <r>
          <rPr>
            <sz val="9"/>
            <color indexed="81"/>
            <rFont val="Tahoma"/>
            <family val="2"/>
          </rPr>
          <t>{T 01.00.a, r0321, c 0042}=={Z 02.00, r0321, c 0040}_x000D_
DataPointVID 417335_x000D_
DataPointID 417335_x000D_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Eligibility for MREL  =  Non-eligible_x000D_
Residual maturity  =  &lt;= 1 month</t>
        </r>
      </text>
    </comment>
    <comment ref="H28" authorId="0" shapeId="0">
      <text>
        <r>
          <rPr>
            <sz val="9"/>
            <color indexed="81"/>
            <rFont val="Tahoma"/>
            <family val="2"/>
          </rPr>
          <t>{T 01.00.a, r0321, c 0052}=={Z 02.00, r0321, c 0050}_x000D_
DataPointVID 417360_x000D_
DataPointID 417360_x000D_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&lt;= 1 month</t>
        </r>
      </text>
    </comment>
    <comment ref="I28" authorId="0" shapeId="0">
      <text>
        <r>
          <rPr>
            <sz val="9"/>
            <color indexed="81"/>
            <rFont val="Tahoma"/>
            <family val="2"/>
          </rPr>
          <t>DataPointVID 417355_x000D_
DataPointID 417355_x000D_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&lt;= 1 month</t>
        </r>
      </text>
    </comment>
    <comment ref="J28" authorId="0" shapeId="0">
      <text>
        <r>
          <rPr>
            <sz val="9"/>
            <color indexed="81"/>
            <rFont val="Tahoma"/>
            <family val="2"/>
          </rPr>
          <t>{T 01.00.a, r0321, c 0082}=={Z 02.00, r0321, c 0060}_x000D_
DataPointVID 417365_x000D_
DataPointID 417365_x000D_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&lt;= 1 month</t>
        </r>
      </text>
    </comment>
    <comment ref="K28" authorId="0" shapeId="0">
      <text>
        <r>
          <rPr>
            <sz val="9"/>
            <color indexed="81"/>
            <rFont val="Tahoma"/>
            <family val="2"/>
          </rPr>
          <t>{T 01.00.a, r0321, c 0092}=={Z 02.00, r0321, c 0070}_x000D_
DataPointVID 417209_x000D_
DataPointID 417209_x000D_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L28" authorId="0" shapeId="0">
      <text>
        <r>
          <rPr>
            <sz val="9"/>
            <color indexed="81"/>
            <rFont val="Tahoma"/>
            <family val="2"/>
          </rPr>
          <t>{T 01.00.a, r0321, c 0102}=={Z 02.00, r0321, c 0080}_x000D_
DataPointVID 417156_x000D_
DataPointID 417156_x000D_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M28" authorId="0" shapeId="0">
      <text>
        <r>
          <rPr>
            <sz val="9"/>
            <color indexed="81"/>
            <rFont val="Tahoma"/>
            <family val="2"/>
          </rPr>
          <t>{T 01.00.a, r0321, c 0122}=={Z 02.00, r0321, c 0090}_x000D_
DataPointVID 417370_x000D_
DataPointID 417370_x000D_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t>
        </r>
      </text>
    </comment>
    <comment ref="N28" authorId="0" shapeId="0">
      <text>
        <r>
          <rPr>
            <sz val="9"/>
            <color indexed="81"/>
            <rFont val="Tahoma"/>
            <family val="2"/>
          </rPr>
          <t>{T 01.00.a, r0321, c 0132}=={Z 02.00, r0321, c 0100}_x000D_
DataPointVID 417371_x000D_
DataPointID 417371_x000D_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month_x000D_
Related parties/Relationships  =  Intra-group</t>
        </r>
      </text>
    </comment>
    <comment ref="O28" authorId="0" shapeId="0">
      <text>
        <r>
          <rPr>
            <sz val="9"/>
            <color indexed="81"/>
            <rFont val="Tahoma"/>
            <family val="2"/>
          </rPr>
          <t>{T 01.00.a, r0321, c 0142}=={Z 02.00, r0321, c 0110}_x000D_
DataPointVID 417372_x000D_
DataPointID 417372_x000D_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month_x000D_
Related parties/Relationships  =  Non intra-group_x000D_
Governed by law of an EU Member State  =  False</t>
        </r>
      </text>
    </comment>
    <comment ref="C29" authorId="0" shapeId="0">
      <text>
        <r>
          <rPr>
            <sz val="9"/>
            <color indexed="81"/>
            <rFont val="Tahoma"/>
            <family val="2"/>
          </rPr>
          <t>Metric  =  Outstanding amount [mi]_x000D_
Base  =  Liabilities_x000D_
Main category  =  Deposits_x000D_
Residual maturity  =  &gt; 1 month &lt; 1 year_x000D_
Creditor / Insolvency ranking  =  Not preferential (BRRD)_x000D_
Instrument  =  Deposits other than covered deposits_x000D_
Exclusion from Bail-in  =  Not excluded from bail-in_x000D_
Eligibility for MREL  =  Non-eligible</t>
        </r>
      </text>
    </comment>
    <comment ref="D29" authorId="0" shapeId="0">
      <text>
        <r>
          <rPr>
            <sz val="9"/>
            <color indexed="81"/>
            <rFont val="Tahoma"/>
            <family val="2"/>
          </rPr>
          <t>{T 01.00.a, r0322, c 0012}=={Z 02.00, r0322, c 0010}_x000D_
DataPointVID 417341_x000D_
DataPointID 417341_x000D_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Eligibility for MREL  =  Non-eligible_x000D_
Residual maturity  =  &gt; 1 month &lt; 1 year</t>
        </r>
      </text>
    </comment>
    <comment ref="E29" authorId="0" shapeId="0">
      <text>
        <r>
          <rPr>
            <sz val="9"/>
            <color indexed="81"/>
            <rFont val="Tahoma"/>
            <family val="2"/>
          </rPr>
          <t>{T 01.00.a, r0322, c 0022}=={Z 02.00, r0322, c 0020}_x000D_
DataPointVID 417346_x000D_
DataPointID 417346_x000D_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month &lt; 1 year</t>
        </r>
      </text>
    </comment>
    <comment ref="F29" authorId="0" shapeId="0">
      <text>
        <r>
          <rPr>
            <sz val="9"/>
            <color indexed="81"/>
            <rFont val="Tahoma"/>
            <family val="2"/>
          </rPr>
          <t>{T 01.00.a, r0322, c 0032}=={Z 02.00, r0322, c 0030}_x000D_
DataPointVID 428233_x000D_
DataPointID 417351_x000D_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month &lt; 1 year</t>
        </r>
      </text>
    </comment>
    <comment ref="G29" authorId="0" shapeId="0">
      <text>
        <r>
          <rPr>
            <sz val="9"/>
            <color indexed="81"/>
            <rFont val="Tahoma"/>
            <family val="2"/>
          </rPr>
          <t>{T 01.00.a, r0322, c 0042}=={Z 02.00, r0322, c 0040}_x000D_
DataPointVID 417336_x000D_
DataPointID 417336_x000D_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month &lt; 1 year</t>
        </r>
      </text>
    </comment>
    <comment ref="H29" authorId="0" shapeId="0">
      <text>
        <r>
          <rPr>
            <sz val="9"/>
            <color indexed="81"/>
            <rFont val="Tahoma"/>
            <family val="2"/>
          </rPr>
          <t>{T 01.00.a, r0322, c 0052}=={Z 02.00, r0322, c 0050}_x000D_
DataPointVID 417361_x000D_
DataPointID 417361_x000D_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month &lt; 1 year</t>
        </r>
      </text>
    </comment>
    <comment ref="I29" authorId="0" shapeId="0">
      <text>
        <r>
          <rPr>
            <sz val="9"/>
            <color indexed="81"/>
            <rFont val="Tahoma"/>
            <family val="2"/>
          </rPr>
          <t>DataPointVID 417356_x000D_
DataPointID 417356_x000D_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month &lt; 1 year</t>
        </r>
      </text>
    </comment>
    <comment ref="J29" authorId="0" shapeId="0">
      <text>
        <r>
          <rPr>
            <sz val="9"/>
            <color indexed="81"/>
            <rFont val="Tahoma"/>
            <family val="2"/>
          </rPr>
          <t>{T 01.00.a, r0322, c 0082}=={Z 02.00, r0322, c 0060}_x000D_
DataPointVID 417366_x000D_
DataPointID 417366_x000D_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month &lt; 1 year</t>
        </r>
      </text>
    </comment>
    <comment ref="K29" authorId="0" shapeId="0">
      <text>
        <r>
          <rPr>
            <sz val="9"/>
            <color indexed="81"/>
            <rFont val="Tahoma"/>
            <family val="2"/>
          </rPr>
          <t>{T 01.00.a, r0322, c 0092}=={Z 02.00, r0322, c 0070}_x000D_
DataPointVID 417210_x000D_
DataPointID 417210_x000D_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L29" authorId="0" shapeId="0">
      <text>
        <r>
          <rPr>
            <sz val="9"/>
            <color indexed="81"/>
            <rFont val="Tahoma"/>
            <family val="2"/>
          </rPr>
          <t>{T 01.00.a, r0322, c 0102}=={Z 02.00, r0322, c 0080}_x000D_
DataPointVID 417157_x000D_
DataPointID 417157_x000D_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M29" authorId="0" shapeId="0">
      <text>
        <r>
          <rPr>
            <sz val="9"/>
            <color indexed="81"/>
            <rFont val="Tahoma"/>
            <family val="2"/>
          </rPr>
          <t>{T 01.00.a, r0322, c 0122}=={Z 02.00, r0322, c 0090}_x000D_
DataPointVID 417373_x000D_
DataPointID 417373_x000D_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t>
        </r>
      </text>
    </comment>
    <comment ref="N29" authorId="0" shapeId="0">
      <text>
        <r>
          <rPr>
            <sz val="9"/>
            <color indexed="81"/>
            <rFont val="Tahoma"/>
            <family val="2"/>
          </rPr>
          <t>{T 01.00.a, r0322, c 0132}=={Z 02.00, r0322, c 0100}_x000D_
DataPointVID 417374_x000D_
DataPointID 417374_x000D_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Intra-group</t>
        </r>
      </text>
    </comment>
    <comment ref="O29" authorId="0" shapeId="0">
      <text>
        <r>
          <rPr>
            <sz val="9"/>
            <color indexed="81"/>
            <rFont val="Tahoma"/>
            <family val="2"/>
          </rPr>
          <t>{T 01.00.a, r0322, c 0142}=={Z 02.00, r0322, c 0110}_x000D_
DataPointVID 417375_x000D_
DataPointID 417375_x000D_
Metric  =  Outstanding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Non intra-group_x000D_
Governed by law of an EU Member State  =  False</t>
        </r>
      </text>
    </comment>
    <comment ref="C30" authorId="0" shapeId="0">
      <text>
        <r>
          <rPr>
            <sz val="9"/>
            <color indexed="81"/>
            <rFont val="Tahoma"/>
            <family val="2"/>
          </rPr>
          <t>Metric  =  Outstanding amount [mi]_x000D_
Base  =  Liabilities_x000D_
Main category  =  Deposits_x000D_
Residual maturity  =  &gt;= 1 year &lt; 2 years_x000D_
Creditor / Insolvency ranking  =  Not preferential (BRRD)_x000D_
Instrument  =  Deposits other than covered deposits_x000D_
Exclusion from Bail-in  =  Not excluded from bail-in</t>
        </r>
      </text>
    </comment>
    <comment ref="D30" authorId="0" shapeId="0">
      <text>
        <r>
          <rPr>
            <sz val="9"/>
            <color indexed="81"/>
            <rFont val="Tahoma"/>
            <family val="2"/>
          </rPr>
          <t>{T 01.00.a, r0323, c 0012}=={Z 02.00, r0323, c 0010}_x000D_
DataPointVID 417342_x000D_
DataPointID 417342_x000D_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Residual maturity  =  &gt;= 1 year &lt; 2 years</t>
        </r>
      </text>
    </comment>
    <comment ref="E30" authorId="0" shapeId="0">
      <text>
        <r>
          <rPr>
            <sz val="9"/>
            <color indexed="81"/>
            <rFont val="Tahoma"/>
            <family val="2"/>
          </rPr>
          <t>{T 01.00.a, r0323, c 0022}=={Z 02.00, r0323, c 0020}_x000D_
DataPointVID 417347_x000D_
DataPointID 417347_x000D_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Residual maturity  =  &gt;= 1 year &lt; 2 years</t>
        </r>
      </text>
    </comment>
    <comment ref="F30" authorId="0" shapeId="0">
      <text>
        <r>
          <rPr>
            <sz val="9"/>
            <color indexed="81"/>
            <rFont val="Tahoma"/>
            <family val="2"/>
          </rPr>
          <t>{T 01.00.a, r0323, c 0032}=={Z 02.00, r0323, c 0030}_x000D_
DataPointVID 428234_x000D_
DataPointID 417352_x000D_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Residual maturity  =  &gt;= 1 year &lt; 2 years</t>
        </r>
      </text>
    </comment>
    <comment ref="G30" authorId="0" shapeId="0">
      <text>
        <r>
          <rPr>
            <sz val="9"/>
            <color indexed="81"/>
            <rFont val="Tahoma"/>
            <family val="2"/>
          </rPr>
          <t>{T 01.00.a, r0323, c 0042}=={Z 02.00, r0323, c 0040}_x000D_
DataPointVID 417337_x000D_
DataPointID 417337_x000D_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Residual maturity  =  &gt;= 1 year &lt; 2 years</t>
        </r>
      </text>
    </comment>
    <comment ref="H30" authorId="0" shapeId="0">
      <text>
        <r>
          <rPr>
            <sz val="9"/>
            <color indexed="81"/>
            <rFont val="Tahoma"/>
            <family val="2"/>
          </rPr>
          <t>{T 01.00.a, r0323, c 0052}=={Z 02.00, r0323, c 0050}_x000D_
DataPointVID 417362_x000D_
DataPointID 417362_x000D_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Residual maturity  =  &gt;= 1 year &lt; 2 years</t>
        </r>
      </text>
    </comment>
    <comment ref="I30" authorId="0" shapeId="0">
      <text>
        <r>
          <rPr>
            <sz val="9"/>
            <color indexed="81"/>
            <rFont val="Tahoma"/>
            <family val="2"/>
          </rPr>
          <t>DataPointVID 417357_x000D_
DataPointID 417357_x000D_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Residual maturity  =  &gt;= 1 year &lt; 2 years</t>
        </r>
      </text>
    </comment>
    <comment ref="J30" authorId="0" shapeId="0">
      <text>
        <r>
          <rPr>
            <sz val="9"/>
            <color indexed="81"/>
            <rFont val="Tahoma"/>
            <family val="2"/>
          </rPr>
          <t>{T 01.00.a, r0323, c 0082}=={Z 02.00, r0323, c 0060}_x000D_
DataPointVID 417367_x000D_
DataPointID 417367_x000D_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Residual maturity  =  &gt;= 1 year &lt; 2 years</t>
        </r>
      </text>
    </comment>
    <comment ref="K30" authorId="0" shapeId="0">
      <text>
        <r>
          <rPr>
            <sz val="9"/>
            <color indexed="81"/>
            <rFont val="Tahoma"/>
            <family val="2"/>
          </rPr>
          <t>{T 01.00.a, r0323, c 0092}=={Z 02.00, r0323, c 0070}_x000D_
DataPointVID 417211_x000D_
DataPointID 417211_x000D_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1 year &lt; 2 years</t>
        </r>
      </text>
    </comment>
    <comment ref="L30" authorId="0" shapeId="0">
      <text>
        <r>
          <rPr>
            <sz val="9"/>
            <color indexed="81"/>
            <rFont val="Tahoma"/>
            <family val="2"/>
          </rPr>
          <t>{T 01.00.a, r0323, c 0102}=={Z 02.00, r0323, c 0080}_x000D_
DataPointVID 417158_x000D_
DataPointID 417158_x000D_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1 year &lt; 2 years</t>
        </r>
      </text>
    </comment>
    <comment ref="M30" authorId="0" shapeId="0">
      <text>
        <r>
          <rPr>
            <sz val="9"/>
            <color indexed="81"/>
            <rFont val="Tahoma"/>
            <family val="2"/>
          </rPr>
          <t>{T 01.00.a, r0323, c 0122}=={Z 02.00, r0323, c 0090}_x000D_
DataPointVID 417376_x000D_
DataPointID 417376_x000D_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t>
        </r>
      </text>
    </comment>
    <comment ref="N30" authorId="0" shapeId="0">
      <text>
        <r>
          <rPr>
            <sz val="9"/>
            <color indexed="81"/>
            <rFont val="Tahoma"/>
            <family val="2"/>
          </rPr>
          <t>{T 01.00.a, r0323, c 0132}=={Z 02.00, r0323, c 0100}_x000D_
DataPointVID 417377_x000D_
DataPointID 417377_x000D_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years_x000D_
Related parties/Relationships  =  Intra-group</t>
        </r>
      </text>
    </comment>
    <comment ref="O30" authorId="0" shapeId="0">
      <text>
        <r>
          <rPr>
            <sz val="9"/>
            <color indexed="81"/>
            <rFont val="Tahoma"/>
            <family val="2"/>
          </rPr>
          <t>{T 01.00.a, r0323, c 0142}=={Z 02.00, r0323, c 0110}_x000D_
DataPointVID 417378_x000D_
DataPointID 417378_x000D_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years_x000D_
Related parties/Relationships  =  Non intra-group_x000D_
Governed by law of an EU Member State  =  False</t>
        </r>
      </text>
    </comment>
    <comment ref="C31" authorId="0" shapeId="0">
      <text>
        <r>
          <rPr>
            <sz val="9"/>
            <color indexed="81"/>
            <rFont val="Tahoma"/>
            <family val="2"/>
          </rPr>
          <t>Metric  =  Outstanding amount [mi]_x000D_
Base  =  Liabilities_x000D_
Main category  =  Deposits_x000D_
Residual maturity  =  &gt;= 2 years_x000D_
Creditor / Insolvency ranking  =  Not preferential (BRRD)_x000D_
Instrument  =  Deposits other than covered deposits_x000D_
Exclusion from Bail-in  =  Not excluded from bail-in</t>
        </r>
      </text>
    </comment>
    <comment ref="D31" authorId="0" shapeId="0">
      <text>
        <r>
          <rPr>
            <sz val="9"/>
            <color indexed="81"/>
            <rFont val="Tahoma"/>
            <family val="2"/>
          </rPr>
          <t>{T 01.00.a, r0324, c 0012}=={Z 02.00, r0324, c 0010}_x000D_
DataPointVID 417343_x000D_
DataPointID 417343_x000D_
Metric  =  Outstanding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Residual maturity  =  &gt;= 2 years</t>
        </r>
      </text>
    </comment>
    <comment ref="E31" authorId="0" shapeId="0">
      <text>
        <r>
          <rPr>
            <sz val="9"/>
            <color indexed="81"/>
            <rFont val="Tahoma"/>
            <family val="2"/>
          </rPr>
          <t>{T 01.00.a, r0324, c 0022}=={Z 02.00, r0324, c 0020}_x000D_
DataPointVID 417348_x000D_
DataPointID 417348_x000D_
Metric  =  Outstanding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Residual maturity  =  &gt;= 2 years</t>
        </r>
      </text>
    </comment>
    <comment ref="F31" authorId="0" shapeId="0">
      <text>
        <r>
          <rPr>
            <sz val="9"/>
            <color indexed="81"/>
            <rFont val="Tahoma"/>
            <family val="2"/>
          </rPr>
          <t>{T 01.00.a, r0324, c 0032}=={Z 02.00, r0324, c 0030}_x000D_
DataPointVID 428235_x000D_
DataPointID 417353_x000D_
Metric  =  Outstanding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Residual maturity  =  &gt;= 2 years</t>
        </r>
      </text>
    </comment>
    <comment ref="G31" authorId="0" shapeId="0">
      <text>
        <r>
          <rPr>
            <sz val="9"/>
            <color indexed="81"/>
            <rFont val="Tahoma"/>
            <family val="2"/>
          </rPr>
          <t>{T 01.00.a, r0324, c 0042}=={Z 02.00, r0324, c 0040}_x000D_
DataPointVID 417338_x000D_
DataPointID 417338_x000D_
Metric  =  Outstanding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Residual maturity  =  &gt;= 2 years</t>
        </r>
      </text>
    </comment>
    <comment ref="H31" authorId="0" shapeId="0">
      <text>
        <r>
          <rPr>
            <sz val="9"/>
            <color indexed="81"/>
            <rFont val="Tahoma"/>
            <family val="2"/>
          </rPr>
          <t>{T 01.00.a, r0324, c 0052}=={Z 02.00, r0324, c 0050}_x000D_
DataPointVID 417363_x000D_
DataPointID 417363_x000D_
Metric  =  Outstanding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Residual maturity  =  &gt;= 2 years</t>
        </r>
      </text>
    </comment>
    <comment ref="I31" authorId="0" shapeId="0">
      <text>
        <r>
          <rPr>
            <sz val="9"/>
            <color indexed="81"/>
            <rFont val="Tahoma"/>
            <family val="2"/>
          </rPr>
          <t>DataPointVID 417358_x000D_
DataPointID 417358_x000D_
Metric  =  Outstanding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Residual maturity  =  &gt;= 2 years</t>
        </r>
      </text>
    </comment>
    <comment ref="J31" authorId="0" shapeId="0">
      <text>
        <r>
          <rPr>
            <sz val="9"/>
            <color indexed="81"/>
            <rFont val="Tahoma"/>
            <family val="2"/>
          </rPr>
          <t>{T 01.00.a, r0324, c 0082}=={Z 02.00, r0324, c 0060}_x000D_
DataPointVID 417368_x000D_
DataPointID 417368_x000D_
Metric  =  Outstanding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Residual maturity  =  &gt;= 2 years</t>
        </r>
      </text>
    </comment>
    <comment ref="K31" authorId="0" shapeId="0">
      <text>
        <r>
          <rPr>
            <sz val="9"/>
            <color indexed="81"/>
            <rFont val="Tahoma"/>
            <family val="2"/>
          </rPr>
          <t>{T 01.00.a, r0324, c 0092}=={Z 02.00, r0324, c 0070}_x000D_
DataPointVID 417212_x000D_
DataPointID 417212_x000D_
Metric  =  Outstanding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2 years</t>
        </r>
      </text>
    </comment>
    <comment ref="L31" authorId="0" shapeId="0">
      <text>
        <r>
          <rPr>
            <sz val="9"/>
            <color indexed="81"/>
            <rFont val="Tahoma"/>
            <family val="2"/>
          </rPr>
          <t>{T 01.00.a, r0324, c 0102}=={Z 02.00, r0324, c 0080}_x000D_
DataPointVID 417159_x000D_
DataPointID 417159_x000D_
Metric  =  Outstanding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2 years</t>
        </r>
      </text>
    </comment>
    <comment ref="M31" authorId="0" shapeId="0">
      <text>
        <r>
          <rPr>
            <sz val="9"/>
            <color indexed="81"/>
            <rFont val="Tahoma"/>
            <family val="2"/>
          </rPr>
          <t>{T 01.00.a, r0324, c 0122}=={Z 02.00, r0324, c 0090}_x000D_
DataPointVID 417379_x000D_
DataPointID 417379_x000D_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2 years</t>
        </r>
      </text>
    </comment>
    <comment ref="N31" authorId="0" shapeId="0">
      <text>
        <r>
          <rPr>
            <sz val="9"/>
            <color indexed="81"/>
            <rFont val="Tahoma"/>
            <family val="2"/>
          </rPr>
          <t>{T 01.00.a, r0324, c 0132}=={Z 02.00, r0324, c 0100}_x000D_
DataPointVID 417380_x000D_
DataPointID 417380_x000D_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2 years_x000D_
Related parties/Relationships  =  Intra-group</t>
        </r>
      </text>
    </comment>
    <comment ref="O31" authorId="0" shapeId="0">
      <text>
        <r>
          <rPr>
            <sz val="9"/>
            <color indexed="81"/>
            <rFont val="Tahoma"/>
            <family val="2"/>
          </rPr>
          <t>{T 01.00.a, r0324, c 0142}=={Z 02.00, r0324, c 0110}_x000D_
DataPointVID 417381_x000D_
DataPointID 417381_x000D_
Metric  =  Outstanding amount [mi]_x000D_
Base  =  Liabilities_x000D_
Creditor / Insolvency ranking  =  Not preferential (BRRD)_x000D_
Instrument  =  Deposits other than covered deposits_x000D_
Exclusion from Bail-in  =  Not excluded from bail-in_x000D_
Main category  =  Deposits_x000D_
Residual maturity  =  &gt;= 2 years_x000D_
Related parties/Relationships  =  Non intra-group_x000D_
Governed by law of an EU Member State  =  False</t>
        </r>
      </text>
    </comment>
    <comment ref="C33"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adjustments_x000D_
Eligibility for MREL  =  Non-eligible</t>
        </r>
      </text>
    </comment>
    <comment ref="D33" authorId="0" shapeId="0">
      <text>
        <r>
          <rPr>
            <sz val="9"/>
            <color indexed="81"/>
            <rFont val="Tahoma"/>
            <family val="2"/>
          </rPr>
          <t>DataPointVID 417587_x000D_
DataPointID 417587_x000D_
Metric  =  Outstanding amount [mi]_x000D_
Base  =  Liabilities_x000D_
Counterparty sector  =  Households_x000D_
Exclusion from Bail-in  =  Not excluded from bail-in_x000D_
Main category  =  Derivatives_x000D_
Eligibility for MREL  =  Non-eligible_x000D_
Factors considered in the valuation of derivatives  =  Contractual netting agreements, mark-to-market adjustments</t>
        </r>
      </text>
    </comment>
    <comment ref="E33" authorId="0" shapeId="0">
      <text>
        <r>
          <rPr>
            <sz val="9"/>
            <color indexed="81"/>
            <rFont val="Tahoma"/>
            <family val="2"/>
          </rPr>
          <t>DataPointVID 417614_x000D_
DataPointID 417614_x000D_
Metric  =  Outstanding amount [mi]_x000D_
Base  =  Liabilities_x000D_
Counterparty sector  =  Non-financial corporations_x000D_
Size of the counterparty  =  SME_x000D_
Exclusion from Bail-in  =  Not excluded from bail-in_x000D_
Main category  =  Derivatives_x000D_
Eligibility for MREL  =  Non-eligible_x000D_
Factors considered in the valuation of derivatives  =  Contractual netting agreements, mark-to-market adjustments</t>
        </r>
      </text>
    </comment>
    <comment ref="F33" authorId="0" shapeId="0">
      <text>
        <r>
          <rPr>
            <sz val="9"/>
            <color indexed="81"/>
            <rFont val="Tahoma"/>
            <family val="2"/>
          </rPr>
          <t>DataPointVID 428269_x000D_
DataPointID 417635_x000D_
Metric  =  Outstanding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Non-eligible_x000D_
Factors considered in the valuation of derivatives  =  Contractual netting agreements, mark-to-market adjustments</t>
        </r>
      </text>
    </comment>
    <comment ref="G33" authorId="0" shapeId="0">
      <text>
        <r>
          <rPr>
            <sz val="9"/>
            <color indexed="81"/>
            <rFont val="Tahoma"/>
            <family val="2"/>
          </rPr>
          <t>DataPointVID 417562_x000D_
DataPointID 417562_x000D_
Metric  =  Outstanding amount [mi]_x000D_
Base  =  Liabilities_x000D_
Counterparty sector  =  Credit institutions_x000D_
Exclusion from Bail-in  =  Not excluded from bail-in_x000D_
Main category  =  Derivatives_x000D_
Eligibility for MREL  =  Non-eligible_x000D_
Factors considered in the valuation of derivatives  =  Contractual netting agreements, mark-to-market adjustments</t>
        </r>
      </text>
    </comment>
    <comment ref="H33" authorId="0" shapeId="0">
      <text>
        <r>
          <rPr>
            <sz val="9"/>
            <color indexed="81"/>
            <rFont val="Tahoma"/>
            <family val="2"/>
          </rPr>
          <t>DataPointVID 417685_x000D_
DataPointID 417685_x000D_
Metric  =  Outstanding amount [mi]_x000D_
Base  =  Liabilities_x000D_
Counterparty sector  =  Financial corporations other than credit institutions_x000D_
Exclusion from Bail-in  =  Not excluded from bail-in_x000D_
Main category  =  Derivatives_x000D_
Eligibility for MREL  =  Non-eligible_x000D_
Factors considered in the valuation of derivatives  =  Contractual netting agreements, mark-to-market adjustments</t>
        </r>
      </text>
    </comment>
    <comment ref="I33" authorId="0" shapeId="0">
      <text>
        <r>
          <rPr>
            <sz val="9"/>
            <color indexed="81"/>
            <rFont val="Tahoma"/>
            <family val="2"/>
          </rPr>
          <t>DataPointVID 417660_x000D_
DataPointID 417660_x000D_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Non-eligible_x000D_
Factors considered in the valuation of derivatives  =  Contractual netting agreements, mark-to-market adjustments</t>
        </r>
      </text>
    </comment>
    <comment ref="J33" authorId="0" shapeId="0">
      <text>
        <r>
          <rPr>
            <sz val="9"/>
            <color indexed="81"/>
            <rFont val="Tahoma"/>
            <family val="2"/>
          </rPr>
          <t>DataPointVID 417709_x000D_
DataPointID 417709_x000D_
Metric  =  Outstanding amount [mi]_x000D_
Base  =  Liabilities_x000D_
Counterparty sector  =  Central banks, general governments_x000D_
Exclusion from Bail-in  =  Not excluded from bail-in_x000D_
Main category  =  Derivatives_x000D_
Eligibility for MREL  =  Non-eligible_x000D_
Factors considered in the valuation of derivatives  =  Contractual netting agreements, mark-to-market adjustments</t>
        </r>
      </text>
    </comment>
    <comment ref="K33" authorId="0" shapeId="0">
      <text>
        <r>
          <rPr>
            <sz val="9"/>
            <color indexed="81"/>
            <rFont val="Tahoma"/>
            <family val="2"/>
          </rPr>
          <t>DataPointVID 417245_x000D_
DataPointID 417245_x000D_
Metric  =  Outstanding amount [mi]_x000D_
Base  =  Liabilities_x000D_
Instrument is listed on exchange  =  True_x000D_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t>
        </r>
      </text>
    </comment>
    <comment ref="L33" authorId="0" shapeId="0">
      <text>
        <r>
          <rPr>
            <sz val="9"/>
            <color indexed="81"/>
            <rFont val="Tahoma"/>
            <family val="2"/>
          </rPr>
          <t>DataPointVID 417192_x000D_
DataPointID 417192_x000D_
Metric  =  Outstanding amount [mi]_x000D_
Base  =  Liabilities_x000D_
Instrument is listed on exchange  =  False_x000D_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t>
        </r>
      </text>
    </comment>
    <comment ref="M33" authorId="0" shapeId="0">
      <text>
        <r>
          <rPr>
            <sz val="9"/>
            <color indexed="81"/>
            <rFont val="Tahoma"/>
            <family val="2"/>
          </rPr>
          <t>{T 01.00.a, r0331, c 0122}=={Z 02.00, r0331, c 0090}_x000D_
DataPointVID 417782_x000D_
DataPointID 417782_x000D_
Metric  =  Outstanding amount [mi]_x000D_
Base  =  Liabilities_x000D_
Exclusion from Bail-in  =  Not excluded from bail-in_x000D_
Main category  =  Derivatives_x000D_
Eligibility for MREL  =  Non-eligible_x000D_
Factors considered in the valuation of derivatives  =  Contractual netting agreements, mark-to-market adjustments</t>
        </r>
      </text>
    </comment>
    <comment ref="N33" authorId="0" shapeId="0">
      <text>
        <r>
          <rPr>
            <sz val="9"/>
            <color indexed="81"/>
            <rFont val="Tahoma"/>
            <family val="2"/>
          </rPr>
          <t>{T 01.00.a, r0331, c 0132}=={Z 02.00, r0331, c 0100}_x000D_
DataPointVID 417774_x000D_
DataPointID 417774_x000D_
Metric  =  Outstanding amount [mi]_x000D_
Base  =  Liabilities_x000D_
Exclusion from Bail-in  =  Not excluded from bail-in_x000D_
Main category  =  Derivatives_x000D_
Eligibility for MREL  =  Non-eligible_x000D_
Related parties/Relationships  =  Intra-group_x000D_
Factors considered in the valuation of derivatives  =  Contractual netting agreements, mark-to-market adjustments</t>
        </r>
      </text>
    </comment>
    <comment ref="O33" authorId="0" shapeId="0">
      <text>
        <r>
          <rPr>
            <sz val="9"/>
            <color indexed="81"/>
            <rFont val="Tahoma"/>
            <family val="2"/>
          </rPr>
          <t>{T 01.00.a, r0331, c 0142}=={Z 02.00, r0331, c 0110}_x000D_
DataPointVID 417778_x000D_
DataPointID 417778_x000D_
Metric  =  Outstanding amount [mi]_x000D_
Base  =  Liabilities_x000D_
Exclusion from Bail-in  =  Not excluded from bail-in_x000D_
Main category  =  Derivatives_x000D_
Eligibility for MREL  =  Non-eligible_x000D_
Related parties/Relationships  =  Non intra-group_x000D_
Governed by law of an EU Member State  =  False_x000D_
Factors considered in the valuation of derivatives  =  Contractual netting agreements, mark-to-market adjustments</t>
        </r>
      </text>
    </comment>
    <comment ref="C34"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 collateral offset_x000D_
Eligibility for MREL  =  Non-eligible</t>
        </r>
      </text>
    </comment>
    <comment ref="D34" authorId="0" shapeId="0">
      <text>
        <r>
          <rPr>
            <sz val="9"/>
            <color indexed="81"/>
            <rFont val="Tahoma"/>
            <family val="2"/>
          </rPr>
          <t>DataPointVID 417588_x000D_
DataPointID 417588_x000D_
Metric  =  Outstanding amount [mi]_x000D_
Base  =  Liabilities_x000D_
Counterparty sector  =  Households_x000D_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E34" authorId="0" shapeId="0">
      <text>
        <r>
          <rPr>
            <sz val="9"/>
            <color indexed="81"/>
            <rFont val="Tahoma"/>
            <family val="2"/>
          </rPr>
          <t>DataPointVID 417615_x000D_
DataPointID 417615_x000D_
Metric  =  Outstanding amount [mi]_x000D_
Base  =  Liabilities_x000D_
Counterparty sector  =  Non-financial corporations_x000D_
Size of the counterparty  =  SME_x000D_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F34" authorId="0" shapeId="0">
      <text>
        <r>
          <rPr>
            <sz val="9"/>
            <color indexed="81"/>
            <rFont val="Tahoma"/>
            <family val="2"/>
          </rPr>
          <t>DataPointVID 428270_x000D_
DataPointID 417636_x000D_
Metric  =  Outstanding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G34" authorId="0" shapeId="0">
      <text>
        <r>
          <rPr>
            <sz val="9"/>
            <color indexed="81"/>
            <rFont val="Tahoma"/>
            <family val="2"/>
          </rPr>
          <t>DataPointVID 417563_x000D_
DataPointID 417563_x000D_
Metric  =  Outstanding amount [mi]_x000D_
Base  =  Liabilities_x000D_
Counterparty sector  =  Credit institutions_x000D_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H34" authorId="0" shapeId="0">
      <text>
        <r>
          <rPr>
            <sz val="9"/>
            <color indexed="81"/>
            <rFont val="Tahoma"/>
            <family val="2"/>
          </rPr>
          <t>DataPointVID 417686_x000D_
DataPointID 417686_x000D_
Metric  =  Outstanding amount [mi]_x000D_
Base  =  Liabilities_x000D_
Counterparty sector  =  Financial corporations other than credit institutions_x000D_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I34" authorId="0" shapeId="0">
      <text>
        <r>
          <rPr>
            <sz val="9"/>
            <color indexed="81"/>
            <rFont val="Tahoma"/>
            <family val="2"/>
          </rPr>
          <t>DataPointVID 417661_x000D_
DataPointID 417661_x000D_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J34" authorId="0" shapeId="0">
      <text>
        <r>
          <rPr>
            <sz val="9"/>
            <color indexed="81"/>
            <rFont val="Tahoma"/>
            <family val="2"/>
          </rPr>
          <t>DataPointVID 417710_x000D_
DataPointID 417710_x000D_
Metric  =  Outstanding amount [mi]_x000D_
Base  =  Liabilities_x000D_
Counterparty sector  =  Central banks, general governments_x000D_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K34" authorId="0" shapeId="0">
      <text>
        <r>
          <rPr>
            <sz val="9"/>
            <color indexed="81"/>
            <rFont val="Tahoma"/>
            <family val="2"/>
          </rPr>
          <t>DataPointVID 417246_x000D_
DataPointID 417246_x000D_
Metric  =  Outstanding amount [mi]_x000D_
Base  =  Liabilities_x000D_
Instrument is listed on exchange  =  True_x000D_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L34" authorId="0" shapeId="0">
      <text>
        <r>
          <rPr>
            <sz val="9"/>
            <color indexed="81"/>
            <rFont val="Tahoma"/>
            <family val="2"/>
          </rPr>
          <t>DataPointVID 417193_x000D_
DataPointID 417193_x000D_
Metric  =  Outstanding amount [mi]_x000D_
Base  =  Liabilities_x000D_
Instrument is listed on exchange  =  False_x000D_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M34" authorId="0" shapeId="0">
      <text>
        <r>
          <rPr>
            <sz val="9"/>
            <color indexed="81"/>
            <rFont val="Tahoma"/>
            <family val="2"/>
          </rPr>
          <t>{T 01.00.a, r0332, c 0122}=={Z 02.00, r0332, c 0090}_x000D_
DataPointVID 417783_x000D_
DataPointID 417783_x000D_
Metric  =  Outstanding amount [mi]_x000D_
Base  =  Liabilities_x000D_
Exclusion from Bail-in  =  Not excluded from bail-in_x000D_
Main category  =  Derivatives_x000D_
Eligibility for MREL  =  Non-eligible_x000D_
Factors considered in the valuation of derivatives  =  Contractual netting agreements, mark-to-market adjustments, collateral offset</t>
        </r>
      </text>
    </comment>
    <comment ref="N34" authorId="0" shapeId="0">
      <text>
        <r>
          <rPr>
            <sz val="9"/>
            <color indexed="81"/>
            <rFont val="Tahoma"/>
            <family val="2"/>
          </rPr>
          <t>{T 01.00.a, r0332, c 0132}=={Z 02.00, r0332, c 0100}_x000D_
DataPointVID 417775_x000D_
DataPointID 417775_x000D_
Metric  =  Outstanding amount [mi]_x000D_
Base  =  Liabilities_x000D_
Exclusion from Bail-in  =  Not excluded from bail-in_x000D_
Main category  =  Derivatives_x000D_
Eligibility for MREL  =  Non-eligible_x000D_
Related parties/Relationships  =  Intra-group_x000D_
Factors considered in the valuation of derivatives  =  Contractual netting agreements, mark-to-market adjustments, collateral offset</t>
        </r>
      </text>
    </comment>
    <comment ref="O34" authorId="0" shapeId="0">
      <text>
        <r>
          <rPr>
            <sz val="9"/>
            <color indexed="81"/>
            <rFont val="Tahoma"/>
            <family val="2"/>
          </rPr>
          <t>{T 01.00.a, r0332, c 0142}=={Z 02.00, r0332, c 0110}_x000D_
DataPointVID 417779_x000D_
DataPointID 417779_x000D_
Metric  =  Outstanding amount [mi]_x000D_
Base  =  Liabilities_x000D_
Exclusion from Bail-in  =  Not excluded from bail-in_x000D_
Main category  =  Derivatives_x000D_
Eligibility for MREL  =  Non-eligible_x000D_
Related parties/Relationships  =  Non intra-group_x000D_
Governed by law of an EU Member State  =  False_x000D_
Factors considered in the valuation of derivatives  =  Contractual netting agreements, mark-to-market adjustments, collateral offset</t>
        </r>
      </text>
    </comment>
    <comment ref="C35"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 collateral offset, estimated close-out amounts_x000D_
Eligibility for MREL  =  Non-eligible</t>
        </r>
      </text>
    </comment>
    <comment ref="D35" authorId="0" shapeId="0">
      <text>
        <r>
          <rPr>
            <sz val="9"/>
            <color indexed="81"/>
            <rFont val="Tahoma"/>
            <family val="2"/>
          </rPr>
          <t>DataPointVID 417589_x000D_
DataPointID 417589_x000D_
Metric  =  Outstanding amount [mi]_x000D_
Base  =  Liabilities_x000D_
Counterparty sector  =  Households_x000D_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E35" authorId="0" shapeId="0">
      <text>
        <r>
          <rPr>
            <sz val="9"/>
            <color indexed="81"/>
            <rFont val="Tahoma"/>
            <family val="2"/>
          </rPr>
          <t>DataPointVID 417616_x000D_
DataPointID 417616_x000D_
Metric  =  Outstanding amount [mi]_x000D_
Base  =  Liabilities_x000D_
Counterparty sector  =  Non-financial corporations_x000D_
Size of the counterparty  =  SME_x000D_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F35" authorId="0" shapeId="0">
      <text>
        <r>
          <rPr>
            <sz val="9"/>
            <color indexed="81"/>
            <rFont val="Tahoma"/>
            <family val="2"/>
          </rPr>
          <t>DataPointVID 428271_x000D_
DataPointID 417637_x000D_
Metric  =  Outstanding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G35" authorId="0" shapeId="0">
      <text>
        <r>
          <rPr>
            <sz val="9"/>
            <color indexed="81"/>
            <rFont val="Tahoma"/>
            <family val="2"/>
          </rPr>
          <t>DataPointVID 417564_x000D_
DataPointID 417564_x000D_
Metric  =  Outstanding amount [mi]_x000D_
Base  =  Liabilities_x000D_
Counterparty sector  =  Credit institutions_x000D_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H35" authorId="0" shapeId="0">
      <text>
        <r>
          <rPr>
            <sz val="9"/>
            <color indexed="81"/>
            <rFont val="Tahoma"/>
            <family val="2"/>
          </rPr>
          <t>DataPointVID 417687_x000D_
DataPointID 417687_x000D_
Metric  =  Outstanding amount [mi]_x000D_
Base  =  Liabilities_x000D_
Counterparty sector  =  Financial corporations other than credit institutions_x000D_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I35" authorId="0" shapeId="0">
      <text>
        <r>
          <rPr>
            <sz val="9"/>
            <color indexed="81"/>
            <rFont val="Tahoma"/>
            <family val="2"/>
          </rPr>
          <t>DataPointVID 417662_x000D_
DataPointID 417662_x000D_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J35" authorId="0" shapeId="0">
      <text>
        <r>
          <rPr>
            <sz val="9"/>
            <color indexed="81"/>
            <rFont val="Tahoma"/>
            <family val="2"/>
          </rPr>
          <t>DataPointVID 417711_x000D_
DataPointID 417711_x000D_
Metric  =  Outstanding amount [mi]_x000D_
Base  =  Liabilities_x000D_
Counterparty sector  =  Central banks, general governments_x000D_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K35" authorId="0" shapeId="0">
      <text>
        <r>
          <rPr>
            <sz val="9"/>
            <color indexed="81"/>
            <rFont val="Tahoma"/>
            <family val="2"/>
          </rPr>
          <t>DataPointVID 417247_x000D_
DataPointID 417247_x000D_
Metric  =  Outstanding amount [mi]_x000D_
Base  =  Liabilities_x000D_
Instrument is listed on exchange  =  True_x000D_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L35" authorId="0" shapeId="0">
      <text>
        <r>
          <rPr>
            <sz val="9"/>
            <color indexed="81"/>
            <rFont val="Tahoma"/>
            <family val="2"/>
          </rPr>
          <t>DataPointVID 417194_x000D_
DataPointID 417194_x000D_
Metric  =  Outstanding amount [mi]_x000D_
Base  =  Liabilities_x000D_
Instrument is listed on exchange  =  False_x000D_
Counterparty sector  =  Unknown counterparty_x000D_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M35" authorId="0" shapeId="0">
      <text>
        <r>
          <rPr>
            <sz val="9"/>
            <color indexed="81"/>
            <rFont val="Tahoma"/>
            <family val="2"/>
          </rPr>
          <t>{T 01.00.a, r0333, c 0122}=={Z 02.00, r0333, c 0090}_x000D_
DataPointVID 417784_x000D_
DataPointID 417784_x000D_
Metric  =  Outstanding amount [mi]_x000D_
Base  =  Liabilities_x000D_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 ref="N35" authorId="0" shapeId="0">
      <text>
        <r>
          <rPr>
            <sz val="9"/>
            <color indexed="81"/>
            <rFont val="Tahoma"/>
            <family val="2"/>
          </rPr>
          <t>{T 01.00.a, r0333, c 0132}=={Z 02.00, r0333, c 0100}_x000D_
DataPointVID 417776_x000D_
DataPointID 417776_x000D_
Metric  =  Outstanding amount [mi]_x000D_
Base  =  Liabilities_x000D_
Exclusion from Bail-in  =  Not excluded from bail-in_x000D_
Main category  =  Derivatives_x000D_
Eligibility for MREL  =  Non-eligible_x000D_
Related parties/Relationships  =  Intra-group_x000D_
Factors considered in the valuation of derivatives  =  Contractual netting agreements, mark-to-market adjustments, collateral offset, estimated close-out amounts</t>
        </r>
      </text>
    </comment>
    <comment ref="O35" authorId="0" shapeId="0">
      <text>
        <r>
          <rPr>
            <sz val="9"/>
            <color indexed="81"/>
            <rFont val="Tahoma"/>
            <family val="2"/>
          </rPr>
          <t>{T 01.00.a, r0333, c 0142}=={Z 02.00, r0333, c 0110}_x000D_
DataPointVID 417780_x000D_
DataPointID 417780_x000D_
Metric  =  Outstanding amount [mi]_x000D_
Base  =  Liabilities_x000D_
Exclusion from Bail-in  =  Not excluded from bail-in_x000D_
Main category  =  Derivatives_x000D_
Eligibility for MREL  =  Non-eligible_x000D_
Related parties/Relationships  =  Non intra-group_x000D_
Governed by law of an EU Member State  =  False_x000D_
Factors considered in the valuation of derivatives  =  Contractual netting agreements, mark-to-market adjustments, collateral offset, estimated close-out amounts</t>
        </r>
      </text>
    </comment>
    <comment ref="C36"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Prudential netting rules_x000D_
Eligibility for MREL  =  Non-eligible</t>
        </r>
      </text>
    </comment>
    <comment ref="D36" authorId="0" shapeId="0">
      <text>
        <r>
          <rPr>
            <sz val="9"/>
            <color indexed="81"/>
            <rFont val="Tahoma"/>
            <family val="2"/>
          </rPr>
          <t>{T 01.00.a, r0334, c 0012}=={Z 02.00, r0334, c 0010}_x000D_
DataPointVID 417590_x000D_
DataPointID 417590_x000D_
Metric  =  Outstanding amount [mi]_x000D_
Base  =  Liabilities_x000D_
Counterparty sector  =  Households_x000D_
Exclusion from Bail-in  =  Not excluded from bail-in_x000D_
Main category  =  Derivatives_x000D_
Eligibility for MREL  =  Non-eligible_x000D_
Factors considered in the valuation of derivatives  =  Prudential netting rules</t>
        </r>
      </text>
    </comment>
    <comment ref="E36" authorId="0" shapeId="0">
      <text>
        <r>
          <rPr>
            <sz val="9"/>
            <color indexed="81"/>
            <rFont val="Tahoma"/>
            <family val="2"/>
          </rPr>
          <t>{T 01.00.a, r0334, c 0022}=={Z 02.00, r0334, c 0020}_x000D_
DataPointVID 417617_x000D_
DataPointID 417617_x000D_
Metric  =  Outstanding amount [mi]_x000D_
Base  =  Liabilities_x000D_
Counterparty sector  =  Non-financial corporations_x000D_
Size of the counterparty  =  SME_x000D_
Exclusion from Bail-in  =  Not excluded from bail-in_x000D_
Main category  =  Derivatives_x000D_
Eligibility for MREL  =  Non-eligible_x000D_
Factors considered in the valuation of derivatives  =  Prudential netting rules</t>
        </r>
      </text>
    </comment>
    <comment ref="F36" authorId="0" shapeId="0">
      <text>
        <r>
          <rPr>
            <sz val="9"/>
            <color indexed="81"/>
            <rFont val="Tahoma"/>
            <family val="2"/>
          </rPr>
          <t>{T 01.00.a, r0334, c 0032}=={Z 02.00, r0334, c 0030}_x000D_
DataPointVID 428272_x000D_
DataPointID 417638_x000D_
Metric  =  Outstanding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Non-eligible_x000D_
Factors considered in the valuation of derivatives  =  Prudential netting rules</t>
        </r>
      </text>
    </comment>
    <comment ref="G36" authorId="0" shapeId="0">
      <text>
        <r>
          <rPr>
            <sz val="9"/>
            <color indexed="81"/>
            <rFont val="Tahoma"/>
            <family val="2"/>
          </rPr>
          <t>{T 01.00.a, r0334, c 0042}=={Z 02.00, r0334, c 0040}_x000D_
DataPointVID 417565_x000D_
DataPointID 417565_x000D_
Metric  =  Outstanding amount [mi]_x000D_
Base  =  Liabilities_x000D_
Counterparty sector  =  Credit institutions_x000D_
Exclusion from Bail-in  =  Not excluded from bail-in_x000D_
Main category  =  Derivatives_x000D_
Eligibility for MREL  =  Non-eligible_x000D_
Factors considered in the valuation of derivatives  =  Prudential netting rules</t>
        </r>
      </text>
    </comment>
    <comment ref="H36" authorId="0" shapeId="0">
      <text>
        <r>
          <rPr>
            <sz val="9"/>
            <color indexed="81"/>
            <rFont val="Tahoma"/>
            <family val="2"/>
          </rPr>
          <t>{T 01.00.a, r0334, c 0052}=={Z 02.00, r0334, c 0050}_x000D_
DataPointVID 417688_x000D_
DataPointID 417688_x000D_
Metric  =  Outstanding amount [mi]_x000D_
Base  =  Liabilities_x000D_
Counterparty sector  =  Financial corporations other than credit institutions_x000D_
Exclusion from Bail-in  =  Not excluded from bail-in_x000D_
Main category  =  Derivatives_x000D_
Eligibility for MREL  =  Non-eligible_x000D_
Factors considered in the valuation of derivatives  =  Prudential netting rules</t>
        </r>
      </text>
    </comment>
    <comment ref="I36" authorId="0" shapeId="0">
      <text>
        <r>
          <rPr>
            <sz val="9"/>
            <color indexed="81"/>
            <rFont val="Tahoma"/>
            <family val="2"/>
          </rPr>
          <t>DataPointVID 417663_x000D_
DataPointID 417663_x000D_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Non-eligible_x000D_
Factors considered in the valuation of derivatives  =  Prudential netting rules</t>
        </r>
      </text>
    </comment>
    <comment ref="J36" authorId="0" shapeId="0">
      <text>
        <r>
          <rPr>
            <sz val="9"/>
            <color indexed="81"/>
            <rFont val="Tahoma"/>
            <family val="2"/>
          </rPr>
          <t>{T 01.00.a, r0334, c 0082}=={Z 02.00, r0334, c 0060}_x000D_
DataPointVID 417712_x000D_
DataPointID 417712_x000D_
Metric  =  Outstanding amount [mi]_x000D_
Base  =  Liabilities_x000D_
Counterparty sector  =  Central banks, general governments_x000D_
Exclusion from Bail-in  =  Not excluded from bail-in_x000D_
Main category  =  Derivatives_x000D_
Eligibility for MREL  =  Non-eligible_x000D_
Factors considered in the valuation of derivatives  =  Prudential netting rules</t>
        </r>
      </text>
    </comment>
    <comment ref="K36" authorId="0" shapeId="0">
      <text>
        <r>
          <rPr>
            <sz val="9"/>
            <color indexed="81"/>
            <rFont val="Tahoma"/>
            <family val="2"/>
          </rPr>
          <t>{T 01.00.a, r0334, c 0092}=={Z 02.00, r0334, c 0070}_x000D_
DataPointVID 417248_x000D_
DataPointID 417248_x000D_
Metric  =  Outstanding amount [mi]_x000D_
Base  =  Liabilities_x000D_
Instrument is listed on exchange  =  True_x000D_
Counterparty sector  =  Unknown counterparty_x000D_
Exclusion from Bail-in  =  Not excluded from bail-in_x000D_
Main category  =  Derivatives_x000D_
Eligibility for MREL  =  Non-eligible_x000D_
Factors considered in the valuation of derivatives  =  Prudential netting rules</t>
        </r>
      </text>
    </comment>
    <comment ref="L36" authorId="0" shapeId="0">
      <text>
        <r>
          <rPr>
            <sz val="9"/>
            <color indexed="81"/>
            <rFont val="Tahoma"/>
            <family val="2"/>
          </rPr>
          <t>{T 01.00.a, r0334, c 0102}=={Z 02.00, r0334, c 0080}_x000D_
DataPointVID 417195_x000D_
DataPointID 417195_x000D_
Metric  =  Outstanding amount [mi]_x000D_
Base  =  Liabilities_x000D_
Instrument is listed on exchange  =  False_x000D_
Counterparty sector  =  Unknown counterparty_x000D_
Exclusion from Bail-in  =  Not excluded from bail-in_x000D_
Main category  =  Derivatives_x000D_
Eligibility for MREL  =  Non-eligible_x000D_
Factors considered in the valuation of derivatives  =  Prudential netting rules</t>
        </r>
      </text>
    </comment>
    <comment ref="M36" authorId="0" shapeId="0">
      <text>
        <r>
          <rPr>
            <sz val="9"/>
            <color indexed="81"/>
            <rFont val="Tahoma"/>
            <family val="2"/>
          </rPr>
          <t>{T 01.00.a, r0334, c 0122}=={Z 02.00, r0334, c 0090}_x000D_
DataPointVID 417785_x000D_
DataPointID 417785_x000D_
Metric  =  Outstanding amount [mi]_x000D_
Base  =  Liabilities_x000D_
Exclusion from Bail-in  =  Not excluded from bail-in_x000D_
Main category  =  Derivatives_x000D_
Eligibility for MREL  =  Non-eligible_x000D_
Factors considered in the valuation of derivatives  =  Prudential netting rules</t>
        </r>
      </text>
    </comment>
    <comment ref="N36" authorId="0" shapeId="0">
      <text>
        <r>
          <rPr>
            <sz val="9"/>
            <color indexed="81"/>
            <rFont val="Tahoma"/>
            <family val="2"/>
          </rPr>
          <t>{T 01.00.a, r0334, c 0132}=={Z 02.00, r0334, c 0100}_x000D_
DataPointVID 417777_x000D_
DataPointID 417777_x000D_
Metric  =  Outstanding amount [mi]_x000D_
Base  =  Liabilities_x000D_
Exclusion from Bail-in  =  Not excluded from bail-in_x000D_
Main category  =  Derivatives_x000D_
Eligibility for MREL  =  Non-eligible_x000D_
Related parties/Relationships  =  Intra-group_x000D_
Factors considered in the valuation of derivatives  =  Prudential netting rules</t>
        </r>
      </text>
    </comment>
    <comment ref="O36" authorId="0" shapeId="0">
      <text>
        <r>
          <rPr>
            <sz val="9"/>
            <color indexed="81"/>
            <rFont val="Tahoma"/>
            <family val="2"/>
          </rPr>
          <t>{T 01.00.a, r0334, c 0142}=={Z 02.00, r0334, c 0110}_x000D_
DataPointVID 417781_x000D_
DataPointID 417781_x000D_
Metric  =  Outstanding amount [mi]_x000D_
Base  =  Liabilities_x000D_
Exclusion from Bail-in  =  Not excluded from bail-in_x000D_
Main category  =  Derivatives_x000D_
Eligibility for MREL  =  Non-eligible_x000D_
Related parties/Relationships  =  Non intra-group_x000D_
Governed by law of an EU Member State  =  False_x000D_
Factors considered in the valuation of derivatives  =  Prudential netting rules</t>
        </r>
      </text>
    </comment>
    <comment ref="C37" authorId="0" shapeId="0">
      <text>
        <r>
          <rPr>
            <sz val="9"/>
            <color indexed="81"/>
            <rFont val="Tahoma"/>
            <family val="2"/>
          </rPr>
          <t>Metric  =  Outstanding amount [mi]_x000D_
Base  =  Liabilities_x000D_
Main category  =  Deposits, Debt securities issued, Other financial liabilities_x000D_
Collateral status  =  Collateralised_x000D_
Exclusion from Bail-in  =  Not excluded from bail-in_x000D_
Collateralisation level  =  Amount exceeding the collateralised amount</t>
        </r>
      </text>
    </comment>
    <comment ref="D37" authorId="0" shapeId="0">
      <text>
        <r>
          <rPr>
            <sz val="9"/>
            <color indexed="81"/>
            <rFont val="Tahoma"/>
            <family val="2"/>
          </rPr>
          <t>{T 01.00.a, r0340, c 0012}=={Z 02.00, r0340, c 0010}_x000D_
DataPointVID 417491_x000D_
DataPointID 417491_x000D_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t>
        </r>
      </text>
    </comment>
    <comment ref="E37" authorId="0" shapeId="0">
      <text>
        <r>
          <rPr>
            <sz val="9"/>
            <color indexed="81"/>
            <rFont val="Tahoma"/>
            <family val="2"/>
          </rPr>
          <t>{T 01.00.a, r0340, c 0022}=={Z 02.00, r0340, c 0020}_x000D_
DataPointVID 417497_x000D_
DataPointID 417497_x000D_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t>
        </r>
      </text>
    </comment>
    <comment ref="F37" authorId="0" shapeId="0">
      <text>
        <r>
          <rPr>
            <sz val="9"/>
            <color indexed="81"/>
            <rFont val="Tahoma"/>
            <family val="2"/>
          </rPr>
          <t>{T 01.00.a, r0340, c 0032}=={Z 02.00, r0340, c 0030}_x000D_
DataPointVID 428247_x000D_
DataPointID 417503_x000D_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t>
        </r>
      </text>
    </comment>
    <comment ref="G37" authorId="0" shapeId="0">
      <text>
        <r>
          <rPr>
            <sz val="9"/>
            <color indexed="81"/>
            <rFont val="Tahoma"/>
            <family val="2"/>
          </rPr>
          <t>{T 01.00.a, r0340, c 0042}=={Z 02.00, r0340, c 0040}_x000D_
DataPointVID 417485_x000D_
DataPointID 417485_x000D_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t>
        </r>
      </text>
    </comment>
    <comment ref="H37" authorId="0" shapeId="0">
      <text>
        <r>
          <rPr>
            <sz val="9"/>
            <color indexed="81"/>
            <rFont val="Tahoma"/>
            <family val="2"/>
          </rPr>
          <t>{T 01.00.a, r0340, c 0052}=={Z 02.00, r0340, c 0050}_x000D_
DataPointVID 417515_x000D_
DataPointID 417515_x000D_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t>
        </r>
      </text>
    </comment>
    <comment ref="I37" authorId="0" shapeId="0">
      <text>
        <r>
          <rPr>
            <sz val="9"/>
            <color indexed="81"/>
            <rFont val="Tahoma"/>
            <family val="2"/>
          </rPr>
          <t>DataPointVID 417509_x000D_
DataPointID 417509_x000D_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t>
        </r>
      </text>
    </comment>
    <comment ref="J37" authorId="0" shapeId="0">
      <text>
        <r>
          <rPr>
            <sz val="9"/>
            <color indexed="81"/>
            <rFont val="Tahoma"/>
            <family val="2"/>
          </rPr>
          <t>{T 01.00.a, r0340, c 0082}=={Z 02.00, r0340, c 0060}_x000D_
DataPointVID 417521_x000D_
DataPointID 417521_x000D_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t>
        </r>
      </text>
    </comment>
    <comment ref="K37" authorId="0" shapeId="0">
      <text>
        <r>
          <rPr>
            <sz val="9"/>
            <color indexed="81"/>
            <rFont val="Tahoma"/>
            <family val="2"/>
          </rPr>
          <t>{T 01.00.a, r0340, c 0092}=={Z 02.00, r0340, c 0070}_x000D_
DataPointVID 417224_x000D_
DataPointID 417224_x000D_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t>
        </r>
      </text>
    </comment>
    <comment ref="L37" authorId="0" shapeId="0">
      <text>
        <r>
          <rPr>
            <sz val="9"/>
            <color indexed="81"/>
            <rFont val="Tahoma"/>
            <family val="2"/>
          </rPr>
          <t>{T 01.00.a, r0340, c 0102}=={Z 02.00, r0340, c 0080}_x000D_
DataPointVID 417171_x000D_
DataPointID 417171_x000D_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t>
        </r>
      </text>
    </comment>
    <comment ref="M37" authorId="0" shapeId="0">
      <text>
        <r>
          <rPr>
            <sz val="9"/>
            <color indexed="81"/>
            <rFont val="Tahoma"/>
            <family val="2"/>
          </rPr>
          <t>{T 01.00.a, r0340, c 0122}=={Z 02.00, r0340, c 0090}_x000D_
DataPointVID 417529_x000D_
DataPointID 417529_x000D_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t>
        </r>
      </text>
    </comment>
    <comment ref="N37" authorId="0" shapeId="0">
      <text>
        <r>
          <rPr>
            <sz val="9"/>
            <color indexed="81"/>
            <rFont val="Tahoma"/>
            <family val="2"/>
          </rPr>
          <t>{T 01.00.a, r0340, c 0132}=={Z 02.00, r0340, c 0100}_x000D_
DataPointVID 417542_x000D_
DataPointID 417542_x000D_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Related parties/Relationships  =  Intra-group</t>
        </r>
      </text>
    </comment>
    <comment ref="O37" authorId="0" shapeId="0">
      <text>
        <r>
          <rPr>
            <sz val="9"/>
            <color indexed="81"/>
            <rFont val="Tahoma"/>
            <family val="2"/>
          </rPr>
          <t>{T 01.00.a, r0340, c 0142}=={Z 02.00, r0340, c 0110}_x000D_
DataPointVID 417543_x000D_
DataPointID 417543_x000D_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Related parties/Relationships  =  Non intra-group_x000D_
Governed by law of an EU Member State  =  False</t>
        </r>
      </text>
    </comment>
    <comment ref="C38" authorId="0" shapeId="0">
      <text>
        <r>
          <rPr>
            <sz val="9"/>
            <color indexed="81"/>
            <rFont val="Tahoma"/>
            <family val="2"/>
          </rPr>
          <t>Metric  =  Outstanding amount [mi]_x000D_
Base  =  Liabilities_x000D_
Main category  =  Deposits, Debt securities issued, Other financial liabilities_x000D_
Collateral status  =  Collateralised_x000D_
Residual maturity  =  &lt;= 1 month_x000D_
Exclusion from Bail-in  =  Not excluded from bail-in_x000D_
Eligibility for MREL  =  Non-eligible_x000D_
Collateralisation level  =  Amount exceeding the collateralised amount</t>
        </r>
      </text>
    </comment>
    <comment ref="D38" authorId="0" shapeId="0">
      <text>
        <r>
          <rPr>
            <sz val="9"/>
            <color indexed="81"/>
            <rFont val="Tahoma"/>
            <family val="2"/>
          </rPr>
          <t>{T 01.00.a, r0341, c 0012}=={Z 02.00, r0341, c 0010}_x000D_
DataPointVID 417492_x000D_
DataPointID 417492_x000D_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E38" authorId="0" shapeId="0">
      <text>
        <r>
          <rPr>
            <sz val="9"/>
            <color indexed="81"/>
            <rFont val="Tahoma"/>
            <family val="2"/>
          </rPr>
          <t>{T 01.00.a, r0341, c 0022}=={Z 02.00, r0341, c 0020}_x000D_
DataPointVID 417498_x000D_
DataPointID 417498_x000D_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F38" authorId="0" shapeId="0">
      <text>
        <r>
          <rPr>
            <sz val="9"/>
            <color indexed="81"/>
            <rFont val="Tahoma"/>
            <family val="2"/>
          </rPr>
          <t>{T 01.00.a, r0341, c 0032}=={Z 02.00, r0341, c 0030}_x000D_
DataPointVID 428248_x000D_
DataPointID 417504_x000D_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G38" authorId="0" shapeId="0">
      <text>
        <r>
          <rPr>
            <sz val="9"/>
            <color indexed="81"/>
            <rFont val="Tahoma"/>
            <family val="2"/>
          </rPr>
          <t>{T 01.00.a, r0341, c 0042}=={Z 02.00, r0341, c 0040}_x000D_
DataPointVID 417486_x000D_
DataPointID 417486_x000D_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H38" authorId="0" shapeId="0">
      <text>
        <r>
          <rPr>
            <sz val="9"/>
            <color indexed="81"/>
            <rFont val="Tahoma"/>
            <family val="2"/>
          </rPr>
          <t>{T 01.00.a, r0341, c 0052}=={Z 02.00, r0341, c 0050}_x000D_
DataPointVID 417516_x000D_
DataPointID 417516_x000D_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I38" authorId="0" shapeId="0">
      <text>
        <r>
          <rPr>
            <sz val="9"/>
            <color indexed="81"/>
            <rFont val="Tahoma"/>
            <family val="2"/>
          </rPr>
          <t>DataPointVID 417510_x000D_
DataPointID 417510_x000D_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J38" authorId="0" shapeId="0">
      <text>
        <r>
          <rPr>
            <sz val="9"/>
            <color indexed="81"/>
            <rFont val="Tahoma"/>
            <family val="2"/>
          </rPr>
          <t>{T 01.00.a, r0341, c 0082}=={Z 02.00, r0341, c 0060}_x000D_
DataPointVID 417522_x000D_
DataPointID 417522_x000D_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K38" authorId="0" shapeId="0">
      <text>
        <r>
          <rPr>
            <sz val="9"/>
            <color indexed="81"/>
            <rFont val="Tahoma"/>
            <family val="2"/>
          </rPr>
          <t>{T 01.00.a, r0341, c 0092}=={Z 02.00, r0341, c 0070}_x000D_
DataPointVID 417225_x000D_
DataPointID 417225_x000D_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L38" authorId="0" shapeId="0">
      <text>
        <r>
          <rPr>
            <sz val="9"/>
            <color indexed="81"/>
            <rFont val="Tahoma"/>
            <family val="2"/>
          </rPr>
          <t>{T 01.00.a, r0341, c 0102}=={Z 02.00, r0341, c 0080}_x000D_
DataPointVID 417172_x000D_
DataPointID 417172_x000D_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M38" authorId="0" shapeId="0">
      <text>
        <r>
          <rPr>
            <sz val="9"/>
            <color indexed="81"/>
            <rFont val="Tahoma"/>
            <family val="2"/>
          </rPr>
          <t>{T 01.00.a, r0341, c 0122}=={Z 02.00, r0341, c 0090}_x000D_
DataPointVID 417530_x000D_
DataPointID 417530_x000D_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N38" authorId="0" shapeId="0">
      <text>
        <r>
          <rPr>
            <sz val="9"/>
            <color indexed="81"/>
            <rFont val="Tahoma"/>
            <family val="2"/>
          </rPr>
          <t>{T 01.00.a, r0341, c 0132}=={Z 02.00, r0341, c 0100}_x000D_
DataPointVID 417531_x000D_
DataPointID 417531_x000D_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month_x000D_
Related parties/Relationships  =  Intra-group</t>
        </r>
      </text>
    </comment>
    <comment ref="O38" authorId="0" shapeId="0">
      <text>
        <r>
          <rPr>
            <sz val="9"/>
            <color indexed="81"/>
            <rFont val="Tahoma"/>
            <family val="2"/>
          </rPr>
          <t>{T 01.00.a, r0341, c 0142}=={Z 02.00, r0341, c 0110}_x000D_
DataPointVID 417532_x000D_
DataPointID 417532_x000D_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t>
        </r>
      </text>
    </comment>
    <comment ref="C39" authorId="0" shapeId="0">
      <text>
        <r>
          <rPr>
            <sz val="9"/>
            <color indexed="81"/>
            <rFont val="Tahoma"/>
            <family val="2"/>
          </rPr>
          <t>Metric  =  Outstanding amount [mi]_x000D_
Base  =  Liabilities_x000D_
Main category  =  Deposits, Debt securities issued, Other financial liabilities_x000D_
Collateral status  =  Collateralised_x000D_
Residual maturity  =  &gt; 1 month &lt; 1 year_x000D_
Exclusion from Bail-in  =  Not excluded from bail-in_x000D_
Eligibility for MREL  =  Non-eligible_x000D_
Collateralisation level  =  Amount exceeding the collateralised amount</t>
        </r>
      </text>
    </comment>
    <comment ref="D39" authorId="0" shapeId="0">
      <text>
        <r>
          <rPr>
            <sz val="9"/>
            <color indexed="81"/>
            <rFont val="Tahoma"/>
            <family val="2"/>
          </rPr>
          <t>{T 01.00.a, r0342, c 0012}=={Z 02.00, r0342, c 0010}_x000D_
DataPointVID 417493_x000D_
DataPointID 417493_x000D_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E39" authorId="0" shapeId="0">
      <text>
        <r>
          <rPr>
            <sz val="9"/>
            <color indexed="81"/>
            <rFont val="Tahoma"/>
            <family val="2"/>
          </rPr>
          <t>{T 01.00.a, r0342, c 0022}=={Z 02.00, r0342, c 0020}_x000D_
DataPointVID 417499_x000D_
DataPointID 417499_x000D_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F39" authorId="0" shapeId="0">
      <text>
        <r>
          <rPr>
            <sz val="9"/>
            <color indexed="81"/>
            <rFont val="Tahoma"/>
            <family val="2"/>
          </rPr>
          <t>{T 01.00.a, r0342, c 0032}=={Z 02.00, r0342, c 0030}_x000D_
DataPointVID 428249_x000D_
DataPointID 417505_x000D_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G39" authorId="0" shapeId="0">
      <text>
        <r>
          <rPr>
            <sz val="9"/>
            <color indexed="81"/>
            <rFont val="Tahoma"/>
            <family val="2"/>
          </rPr>
          <t>{T 01.00.a, r0342, c 0042}=={Z 02.00, r0342, c 0040}_x000D_
DataPointVID 417487_x000D_
DataPointID 417487_x000D_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H39" authorId="0" shapeId="0">
      <text>
        <r>
          <rPr>
            <sz val="9"/>
            <color indexed="81"/>
            <rFont val="Tahoma"/>
            <family val="2"/>
          </rPr>
          <t>{T 01.00.a, r0342, c 0052}=={Z 02.00, r0342, c 0050}_x000D_
DataPointVID 417517_x000D_
DataPointID 417517_x000D_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I39" authorId="0" shapeId="0">
      <text>
        <r>
          <rPr>
            <sz val="9"/>
            <color indexed="81"/>
            <rFont val="Tahoma"/>
            <family val="2"/>
          </rPr>
          <t>DataPointVID 417511_x000D_
DataPointID 417511_x000D_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J39" authorId="0" shapeId="0">
      <text>
        <r>
          <rPr>
            <sz val="9"/>
            <color indexed="81"/>
            <rFont val="Tahoma"/>
            <family val="2"/>
          </rPr>
          <t>{T 01.00.a, r0342, c 0082}=={Z 02.00, r0342, c 0060}_x000D_
DataPointVID 417523_x000D_
DataPointID 417523_x000D_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K39" authorId="0" shapeId="0">
      <text>
        <r>
          <rPr>
            <sz val="9"/>
            <color indexed="81"/>
            <rFont val="Tahoma"/>
            <family val="2"/>
          </rPr>
          <t>{T 01.00.a, r0342, c 0092}=={Z 02.00, r0342, c 0070}_x000D_
DataPointVID 417226_x000D_
DataPointID 417226_x000D_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L39" authorId="0" shapeId="0">
      <text>
        <r>
          <rPr>
            <sz val="9"/>
            <color indexed="81"/>
            <rFont val="Tahoma"/>
            <family val="2"/>
          </rPr>
          <t>{T 01.00.a, r0342, c 0102}=={Z 02.00, r0342, c 0080}_x000D_
DataPointVID 417173_x000D_
DataPointID 417173_x000D_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M39" authorId="0" shapeId="0">
      <text>
        <r>
          <rPr>
            <sz val="9"/>
            <color indexed="81"/>
            <rFont val="Tahoma"/>
            <family val="2"/>
          </rPr>
          <t>{T 01.00.a, r0342, c 0122}=={Z 02.00, r0342, c 0090}_x000D_
DataPointVID 417533_x000D_
DataPointID 417533_x000D_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N39" authorId="0" shapeId="0">
      <text>
        <r>
          <rPr>
            <sz val="9"/>
            <color indexed="81"/>
            <rFont val="Tahoma"/>
            <family val="2"/>
          </rPr>
          <t>{T 01.00.a, r0342, c 0132}=={Z 02.00, r0342, c 0100}_x000D_
DataPointVID 417534_x000D_
DataPointID 417534_x000D_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year_x000D_
Related parties/Relationships  =  Intra-group</t>
        </r>
      </text>
    </comment>
    <comment ref="O39" authorId="0" shapeId="0">
      <text>
        <r>
          <rPr>
            <sz val="9"/>
            <color indexed="81"/>
            <rFont val="Tahoma"/>
            <family val="2"/>
          </rPr>
          <t>{T 01.00.a, r0342, c 0142}=={Z 02.00, r0342, c 0110}_x000D_
DataPointVID 417535_x000D_
DataPointID 417535_x000D_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t>
        </r>
      </text>
    </comment>
    <comment ref="C40" authorId="0" shapeId="0">
      <text>
        <r>
          <rPr>
            <sz val="9"/>
            <color indexed="81"/>
            <rFont val="Tahoma"/>
            <family val="2"/>
          </rPr>
          <t>Metric  =  Outstanding amount [mi]_x000D_
Base  =  Liabilities_x000D_
Main category  =  Deposits, Debt securities issued, Other financial liabilities_x000D_
Collateral status  =  Collateralised_x000D_
Residual maturity  =  &gt;= 1 year &lt; 2 years_x000D_
Exclusion from Bail-in  =  Not excluded from bail-in_x000D_
Collateralisation level  =  Amount exceeding the collateralised amount</t>
        </r>
      </text>
    </comment>
    <comment ref="D40" authorId="0" shapeId="0">
      <text>
        <r>
          <rPr>
            <sz val="9"/>
            <color indexed="81"/>
            <rFont val="Tahoma"/>
            <family val="2"/>
          </rPr>
          <t>{T 01.00.a, r0343, c 0012}=={Z 02.00, r0343, c 0010}_x000D_
DataPointVID 417494_x000D_
DataPointID 417494_x000D_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E40" authorId="0" shapeId="0">
      <text>
        <r>
          <rPr>
            <sz val="9"/>
            <color indexed="81"/>
            <rFont val="Tahoma"/>
            <family val="2"/>
          </rPr>
          <t>{T 01.00.a, r0343, c 0022}=={Z 02.00, r0343, c 0020}_x000D_
DataPointVID 417500_x000D_
DataPointID 417500_x000D_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F40" authorId="0" shapeId="0">
      <text>
        <r>
          <rPr>
            <sz val="9"/>
            <color indexed="81"/>
            <rFont val="Tahoma"/>
            <family val="2"/>
          </rPr>
          <t>{T 01.00.a, r0343, c 0032}=={Z 02.00, r0343, c 0030}_x000D_
DataPointVID 428250_x000D_
DataPointID 417506_x000D_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G40" authorId="0" shapeId="0">
      <text>
        <r>
          <rPr>
            <sz val="9"/>
            <color indexed="81"/>
            <rFont val="Tahoma"/>
            <family val="2"/>
          </rPr>
          <t>{T 01.00.a, r0343, c 0042}=={Z 02.00, r0343, c 0040}_x000D_
DataPointVID 417488_x000D_
DataPointID 417488_x000D_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H40" authorId="0" shapeId="0">
      <text>
        <r>
          <rPr>
            <sz val="9"/>
            <color indexed="81"/>
            <rFont val="Tahoma"/>
            <family val="2"/>
          </rPr>
          <t>{T 01.00.a, r0343, c 0052}=={Z 02.00, r0343, c 0050}_x000D_
DataPointVID 417518_x000D_
DataPointID 417518_x000D_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I40" authorId="0" shapeId="0">
      <text>
        <r>
          <rPr>
            <sz val="9"/>
            <color indexed="81"/>
            <rFont val="Tahoma"/>
            <family val="2"/>
          </rPr>
          <t>DataPointVID 417512_x000D_
DataPointID 417512_x000D_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J40" authorId="0" shapeId="0">
      <text>
        <r>
          <rPr>
            <sz val="9"/>
            <color indexed="81"/>
            <rFont val="Tahoma"/>
            <family val="2"/>
          </rPr>
          <t>{T 01.00.a, r0343, c 0082}=={Z 02.00, r0343, c 0060}_x000D_
DataPointVID 417524_x000D_
DataPointID 417524_x000D_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K40" authorId="0" shapeId="0">
      <text>
        <r>
          <rPr>
            <sz val="9"/>
            <color indexed="81"/>
            <rFont val="Tahoma"/>
            <family val="2"/>
          </rPr>
          <t>{T 01.00.a, r0343, c 0092}=={Z 02.00, r0343, c 0070}_x000D_
DataPointVID 417227_x000D_
DataPointID 417227_x000D_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L40" authorId="0" shapeId="0">
      <text>
        <r>
          <rPr>
            <sz val="9"/>
            <color indexed="81"/>
            <rFont val="Tahoma"/>
            <family val="2"/>
          </rPr>
          <t>{T 01.00.a, r0343, c 0102}=={Z 02.00, r0343, c 0080}_x000D_
DataPointVID 417174_x000D_
DataPointID 417174_x000D_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M40" authorId="0" shapeId="0">
      <text>
        <r>
          <rPr>
            <sz val="9"/>
            <color indexed="81"/>
            <rFont val="Tahoma"/>
            <family val="2"/>
          </rPr>
          <t>{T 01.00.a, r0343, c 0122}=={Z 02.00, r0343, c 0090}_x000D_
DataPointVID 417536_x000D_
DataPointID 417536_x000D_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N40" authorId="0" shapeId="0">
      <text>
        <r>
          <rPr>
            <sz val="9"/>
            <color indexed="81"/>
            <rFont val="Tahoma"/>
            <family val="2"/>
          </rPr>
          <t>{T 01.00.a, r0343, c 0132}=={Z 02.00, r0343, c 0100}_x000D_
DataPointVID 417537_x000D_
DataPointID 417537_x000D_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years_x000D_
Related parties/Relationships  =  Intra-group</t>
        </r>
      </text>
    </comment>
    <comment ref="O40" authorId="0" shapeId="0">
      <text>
        <r>
          <rPr>
            <sz val="9"/>
            <color indexed="81"/>
            <rFont val="Tahoma"/>
            <family val="2"/>
          </rPr>
          <t>{T 01.00.a, r0343, c 0142}=={Z 02.00, r0343, c 0110}_x000D_
DataPointVID 417538_x000D_
DataPointID 417538_x000D_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t>
        </r>
      </text>
    </comment>
    <comment ref="C41" authorId="0" shapeId="0">
      <text>
        <r>
          <rPr>
            <sz val="9"/>
            <color indexed="81"/>
            <rFont val="Tahoma"/>
            <family val="2"/>
          </rPr>
          <t>Metric  =  Outstanding amount [mi]_x000D_
Base  =  Liabilities_x000D_
Main category  =  Deposits, Debt securities issued, Other financial liabilities_x000D_
Collateral status  =  Collateralised_x000D_
Residual maturity  =  &gt;= 2 years_x000D_
Exclusion from Bail-in  =  Not excluded from bail-in_x000D_
Collateralisation level  =  Amount exceeding the collateralised amount</t>
        </r>
      </text>
    </comment>
    <comment ref="D41" authorId="0" shapeId="0">
      <text>
        <r>
          <rPr>
            <sz val="9"/>
            <color indexed="81"/>
            <rFont val="Tahoma"/>
            <family val="2"/>
          </rPr>
          <t>{T 01.00.a, r0344, c 0012}=={Z 02.00, r0344, c 0010}_x000D_
DataPointVID 417495_x000D_
DataPointID 417495_x000D_
Metric  =  Outstanding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Residual maturity  =  &gt;= 2 years</t>
        </r>
      </text>
    </comment>
    <comment ref="E41" authorId="0" shapeId="0">
      <text>
        <r>
          <rPr>
            <sz val="9"/>
            <color indexed="81"/>
            <rFont val="Tahoma"/>
            <family val="2"/>
          </rPr>
          <t>{T 01.00.a, r0344, c 0022}=={Z 02.00, r0344, c 0020}_x000D_
DataPointVID 417501_x000D_
DataPointID 417501_x000D_
Metric  =  Outstanding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Residual maturity  =  &gt;= 2 years</t>
        </r>
      </text>
    </comment>
    <comment ref="F41" authorId="0" shapeId="0">
      <text>
        <r>
          <rPr>
            <sz val="9"/>
            <color indexed="81"/>
            <rFont val="Tahoma"/>
            <family val="2"/>
          </rPr>
          <t>{T 01.00.a, r0344, c 0032}=={Z 02.00, r0344, c 0030}_x000D_
DataPointVID 428251_x000D_
DataPointID 417507_x000D_
Metric  =  Outstanding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Residual maturity  =  &gt;= 2 years</t>
        </r>
      </text>
    </comment>
    <comment ref="G41" authorId="0" shapeId="0">
      <text>
        <r>
          <rPr>
            <sz val="9"/>
            <color indexed="81"/>
            <rFont val="Tahoma"/>
            <family val="2"/>
          </rPr>
          <t>{T 01.00.a, r0344, c 0042}=={Z 02.00, r0344, c 0040}_x000D_
DataPointVID 417489_x000D_
DataPointID 417489_x000D_
Metric  =  Outstanding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Residual maturity  =  &gt;= 2 years</t>
        </r>
      </text>
    </comment>
    <comment ref="H41" authorId="0" shapeId="0">
      <text>
        <r>
          <rPr>
            <sz val="9"/>
            <color indexed="81"/>
            <rFont val="Tahoma"/>
            <family val="2"/>
          </rPr>
          <t>{T 01.00.a, r0344, c 0052}=={Z 02.00, r0344, c 0050}_x000D_
DataPointVID 417519_x000D_
DataPointID 417519_x000D_
Metric  =  Outstanding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Residual maturity  =  &gt;= 2 years</t>
        </r>
      </text>
    </comment>
    <comment ref="I41" authorId="0" shapeId="0">
      <text>
        <r>
          <rPr>
            <sz val="9"/>
            <color indexed="81"/>
            <rFont val="Tahoma"/>
            <family val="2"/>
          </rPr>
          <t>DataPointVID 417513_x000D_
DataPointID 417513_x000D_
Metric  =  Outstanding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Residual maturity  =  &gt;= 2 years</t>
        </r>
      </text>
    </comment>
    <comment ref="J41" authorId="0" shapeId="0">
      <text>
        <r>
          <rPr>
            <sz val="9"/>
            <color indexed="81"/>
            <rFont val="Tahoma"/>
            <family val="2"/>
          </rPr>
          <t>{T 01.00.a, r0344, c 0082}=={Z 02.00, r0344, c 0060}_x000D_
DataPointVID 417525_x000D_
DataPointID 417525_x000D_
Metric  =  Outstanding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Residual maturity  =  &gt;= 2 years</t>
        </r>
      </text>
    </comment>
    <comment ref="K41" authorId="0" shapeId="0">
      <text>
        <r>
          <rPr>
            <sz val="9"/>
            <color indexed="81"/>
            <rFont val="Tahoma"/>
            <family val="2"/>
          </rPr>
          <t>{T 01.00.a, r0344, c 0092}=={Z 02.00, r0344, c 0070}_x000D_
DataPointVID 417228_x000D_
DataPointID 417228_x000D_
Metric  =  Outstanding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2 years</t>
        </r>
      </text>
    </comment>
    <comment ref="L41" authorId="0" shapeId="0">
      <text>
        <r>
          <rPr>
            <sz val="9"/>
            <color indexed="81"/>
            <rFont val="Tahoma"/>
            <family val="2"/>
          </rPr>
          <t>{T 01.00.a, r0344, c 0102}=={Z 02.00, r0344, c 0080}_x000D_
DataPointVID 417175_x000D_
DataPointID 417175_x000D_
Metric  =  Outstanding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2 years</t>
        </r>
      </text>
    </comment>
    <comment ref="M41" authorId="0" shapeId="0">
      <text>
        <r>
          <rPr>
            <sz val="9"/>
            <color indexed="81"/>
            <rFont val="Tahoma"/>
            <family val="2"/>
          </rPr>
          <t>{T 01.00.a, r0344, c 0122}=={Z 02.00, r0344, c 0090}_x000D_
DataPointVID 417539_x000D_
DataPointID 417539_x000D_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t>
        </r>
      </text>
    </comment>
    <comment ref="N41" authorId="0" shapeId="0">
      <text>
        <r>
          <rPr>
            <sz val="9"/>
            <color indexed="81"/>
            <rFont val="Tahoma"/>
            <family val="2"/>
          </rPr>
          <t>{T 01.00.a, r0344, c 0132}=={Z 02.00, r0344, c 0100}_x000D_
DataPointVID 417540_x000D_
DataPointID 417540_x000D_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years_x000D_
Related parties/Relationships  =  Intra-group</t>
        </r>
      </text>
    </comment>
    <comment ref="O41" authorId="0" shapeId="0">
      <text>
        <r>
          <rPr>
            <sz val="9"/>
            <color indexed="81"/>
            <rFont val="Tahoma"/>
            <family val="2"/>
          </rPr>
          <t>{T 01.00.a, r0344, c 0142}=={Z 02.00, r0344, c 0110}_x000D_
DataPointVID 417541_x000D_
DataPointID 417541_x000D_
Metric  =  Outstanding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years_x000D_
Related parties/Relationships  =  Non intra-group_x000D_
Governed by law of an EU Member State  =  False</t>
        </r>
      </text>
    </comment>
    <comment ref="C42" authorId="0" shapeId="0">
      <text>
        <r>
          <rPr>
            <sz val="9"/>
            <color indexed="81"/>
            <rFont val="Tahoma"/>
            <family val="2"/>
          </rPr>
          <t>Metric  =  Outstanding amount [mi]_x000D_
Base  =  Liabilities_x000D_
Main category  =  Debt securities_x000D_
Instrument  =  Structured notes_x000D_
Exclusion from Bail-in  =  Not excluded from bail-in</t>
        </r>
      </text>
    </comment>
    <comment ref="D42" authorId="0" shapeId="0">
      <text>
        <r>
          <rPr>
            <sz val="9"/>
            <color indexed="81"/>
            <rFont val="Tahoma"/>
            <family val="2"/>
          </rPr>
          <t>{T 01.00.a, r0350, c 0012}=={Z 02.00, r0350, c 0010}_x000D_
DataPointVID 417574_x000D_
DataPointID 417574_x000D_
Metric  =  Outstanding amount [mi]_x000D_
Base  =  Liabilities_x000D_
Counterparty sector  =  Households_x000D_
Instrument  =  Structured notes_x000D_
Exclusion from Bail-in  =  Not excluded from bail-in_x000D_
Main category  =  Debt securities</t>
        </r>
      </text>
    </comment>
    <comment ref="E42" authorId="0" shapeId="0">
      <text>
        <r>
          <rPr>
            <sz val="9"/>
            <color indexed="81"/>
            <rFont val="Tahoma"/>
            <family val="2"/>
          </rPr>
          <t>{T 01.00.a, r0350, c 0022}=={Z 02.00, r0350, c 0020}_x000D_
DataPointVID 417601_x000D_
DataPointID 417601_x000D_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t>
        </r>
      </text>
    </comment>
    <comment ref="F42" authorId="0" shapeId="0">
      <text>
        <r>
          <rPr>
            <sz val="9"/>
            <color indexed="81"/>
            <rFont val="Tahoma"/>
            <family val="2"/>
          </rPr>
          <t>{T 01.00.a, r0350, c 0032}=={Z 02.00, r0350, c 0030}_x000D_
DataPointVID 428256_x000D_
DataPointID 417622_x000D_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t>
        </r>
      </text>
    </comment>
    <comment ref="G42" authorId="0" shapeId="0">
      <text>
        <r>
          <rPr>
            <sz val="9"/>
            <color indexed="81"/>
            <rFont val="Tahoma"/>
            <family val="2"/>
          </rPr>
          <t>{T 01.00.a, r0350, c 0042}=={Z 02.00, r0350, c 0040}_x000D_
DataPointVID 417549_x000D_
DataPointID 417549_x000D_
Metric  =  Outstanding amount [mi]_x000D_
Base  =  Liabilities_x000D_
Counterparty sector  =  Credit institutions_x000D_
Instrument  =  Structured notes_x000D_
Exclusion from Bail-in  =  Not excluded from bail-in_x000D_
Main category  =  Debt securities</t>
        </r>
      </text>
    </comment>
    <comment ref="H42" authorId="0" shapeId="0">
      <text>
        <r>
          <rPr>
            <sz val="9"/>
            <color indexed="81"/>
            <rFont val="Tahoma"/>
            <family val="2"/>
          </rPr>
          <t>{T 01.00.a, r0350, c 0052}=={Z 02.00, r0350, c 0050}_x000D_
DataPointVID 417672_x000D_
DataPointID 417672_x000D_
Metric  =  Outstanding amount [mi]_x000D_
Base  =  Liabilities_x000D_
Counterparty sector  =  Financial corporations other than credit institutions_x000D_
Instrument  =  Structured notes_x000D_
Exclusion from Bail-in  =  Not excluded from bail-in_x000D_
Main category  =  Debt securities</t>
        </r>
      </text>
    </comment>
    <comment ref="I42" authorId="0" shapeId="0">
      <text>
        <r>
          <rPr>
            <sz val="9"/>
            <color indexed="81"/>
            <rFont val="Tahoma"/>
            <family val="2"/>
          </rPr>
          <t>DataPointVID 417647_x000D_
DataPointID 417647_x000D_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t>
        </r>
      </text>
    </comment>
    <comment ref="J42" authorId="0" shapeId="0">
      <text>
        <r>
          <rPr>
            <sz val="9"/>
            <color indexed="81"/>
            <rFont val="Tahoma"/>
            <family val="2"/>
          </rPr>
          <t>{T 01.00.a, r0350, c 0082}=={Z 02.00, r0350, c 0060}_x000D_
DataPointVID 417696_x000D_
DataPointID 417696_x000D_
Metric  =  Outstanding amount [mi]_x000D_
Base  =  Liabilities_x000D_
Counterparty sector  =  Central banks, general governments_x000D_
Instrument  =  Structured notes_x000D_
Exclusion from Bail-in  =  Not excluded from bail-in_x000D_
Main category  =  Debt securities</t>
        </r>
      </text>
    </comment>
    <comment ref="K42" authorId="0" shapeId="0">
      <text>
        <r>
          <rPr>
            <sz val="9"/>
            <color indexed="81"/>
            <rFont val="Tahoma"/>
            <family val="2"/>
          </rPr>
          <t>{T 01.00.a, r0350, c 0092}=={Z 02.00, r0350, c 0070}_x000D_
DataPointVID 417232_x000D_
DataPointID 417232_x000D_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t>
        </r>
      </text>
    </comment>
    <comment ref="L42" authorId="0" shapeId="0">
      <text>
        <r>
          <rPr>
            <sz val="9"/>
            <color indexed="81"/>
            <rFont val="Tahoma"/>
            <family val="2"/>
          </rPr>
          <t>{T 01.00.a, r0350, c 0102}=={Z 02.00, r0350, c 0080}_x000D_
DataPointVID 417179_x000D_
DataPointID 417179_x000D_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t>
        </r>
      </text>
    </comment>
    <comment ref="M42" authorId="0" shapeId="0">
      <text>
        <r>
          <rPr>
            <sz val="9"/>
            <color indexed="81"/>
            <rFont val="Tahoma"/>
            <family val="2"/>
          </rPr>
          <t>{T 01.00.a, r0350, c 0122}=={Z 02.00, r0350, c 0090}_x000D_
DataPointVID 417735_x000D_
DataPointID 417735_x000D_
Metric  =  Outstanding amount [mi]_x000D_
Base  =  Liabilities_x000D_
Instrument  =  Structured notes_x000D_
Exclusion from Bail-in  =  Not excluded from bail-in_x000D_
Main category  =  Debt securities</t>
        </r>
      </text>
    </comment>
    <comment ref="N42" authorId="0" shapeId="0">
      <text>
        <r>
          <rPr>
            <sz val="9"/>
            <color indexed="81"/>
            <rFont val="Tahoma"/>
            <family val="2"/>
          </rPr>
          <t>{T 01.00.a, r0350, c 0132}=={Z 02.00, r0350, c 0100}_x000D_
DataPointVID 417748_x000D_
DataPointID 417748_x000D_
Metric  =  Outstanding amount [mi]_x000D_
Base  =  Liabilities_x000D_
Instrument  =  Structured notes_x000D_
Exclusion from Bail-in  =  Not excluded from bail-in_x000D_
Main category  =  Debt securities_x000D_
Related parties/Relationships  =  Intra-group</t>
        </r>
      </text>
    </comment>
    <comment ref="O42" authorId="0" shapeId="0">
      <text>
        <r>
          <rPr>
            <sz val="9"/>
            <color indexed="81"/>
            <rFont val="Tahoma"/>
            <family val="2"/>
          </rPr>
          <t>{T 01.00.a, r0350, c 0142}=={Z 02.00, r0350, c 0110}_x000D_
DataPointVID 417749_x000D_
DataPointID 417749_x000D_
Metric  =  Outstanding amount [mi]_x000D_
Base  =  Liabilities_x000D_
Instrument  =  Structured notes_x000D_
Exclusion from Bail-in  =  Not excluded from bail-in_x000D_
Main category  =  Debt securities_x000D_
Related parties/Relationships  =  Non intra-group_x000D_
Governed by law of an EU Member State  =  False</t>
        </r>
      </text>
    </comment>
    <comment ref="C43" authorId="0" shapeId="0">
      <text>
        <r>
          <rPr>
            <sz val="9"/>
            <color indexed="81"/>
            <rFont val="Tahoma"/>
            <family val="2"/>
          </rPr>
          <t>Metric  =  Outstanding amount [mi]_x000D_
Base  =  Liabilities_x000D_
Main category  =  Debt securities_x000D_
Residual maturity  =  &lt;= 1 month_x000D_
Instrument  =  Structured notes_x000D_
Exclusion from Bail-in  =  Not excluded from bail-in_x000D_
Eligibility for MREL  =  Non-eligible</t>
        </r>
      </text>
    </comment>
    <comment ref="D43" authorId="0" shapeId="0">
      <text>
        <r>
          <rPr>
            <sz val="9"/>
            <color indexed="81"/>
            <rFont val="Tahoma"/>
            <family val="2"/>
          </rPr>
          <t>{T 01.00.a, r0351, c 0012}=={Z 02.00, r0351, c 0010}_x000D_
DataPointVID 417575_x000D_
DataPointID 417575_x000D_
Metric  =  Outstanding amount [mi]_x000D_
Base  =  Liabilities_x000D_
Counterparty sector  =  Households_x000D_
Instrument  =  Structured notes_x000D_
Exclusion from Bail-in  =  Not excluded from bail-in_x000D_
Main category  =  Debt securities_x000D_
Eligibility for MREL  =  Non-eligible_x000D_
Residual maturity  =  &lt;= 1 month</t>
        </r>
      </text>
    </comment>
    <comment ref="E43" authorId="0" shapeId="0">
      <text>
        <r>
          <rPr>
            <sz val="9"/>
            <color indexed="81"/>
            <rFont val="Tahoma"/>
            <family val="2"/>
          </rPr>
          <t>{T 01.00.a, r0351, c 0022}=={Z 02.00, r0351, c 0020}_x000D_
DataPointVID 417602_x000D_
DataPointID 417602_x000D_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securities_x000D_
Eligibility for MREL  =  Non-eligible_x000D_
Residual maturity  =  &lt;= 1 month</t>
        </r>
      </text>
    </comment>
    <comment ref="F43" authorId="0" shapeId="0">
      <text>
        <r>
          <rPr>
            <sz val="9"/>
            <color indexed="81"/>
            <rFont val="Tahoma"/>
            <family val="2"/>
          </rPr>
          <t>{T 01.00.a, r0351, c 0032}=={Z 02.00, r0351, c 0030}_x000D_
DataPointVID 428257_x000D_
DataPointID 417623_x000D_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Eligibility for MREL  =  Non-eligible_x000D_
Residual maturity  =  &lt;= 1 month</t>
        </r>
      </text>
    </comment>
    <comment ref="G43" authorId="0" shapeId="0">
      <text>
        <r>
          <rPr>
            <sz val="9"/>
            <color indexed="81"/>
            <rFont val="Tahoma"/>
            <family val="2"/>
          </rPr>
          <t>{T 01.00.a, r0351, c 0042}=={Z 02.00, r0351, c 0040}_x000D_
DataPointVID 417550_x000D_
DataPointID 417550_x000D_
Metric  =  Outstanding amount [mi]_x000D_
Base  =  Liabilities_x000D_
Counterparty sector  =  Credit institutions_x000D_
Instrument  =  Structured notes_x000D_
Exclusion from Bail-in  =  Not excluded from bail-in_x000D_
Main category  =  Debt securities_x000D_
Eligibility for MREL  =  Non-eligible_x000D_
Residual maturity  =  &lt;= 1 month</t>
        </r>
      </text>
    </comment>
    <comment ref="H43" authorId="0" shapeId="0">
      <text>
        <r>
          <rPr>
            <sz val="9"/>
            <color indexed="81"/>
            <rFont val="Tahoma"/>
            <family val="2"/>
          </rPr>
          <t>{T 01.00.a, r0351, c 0052}=={Z 02.00, r0351, c 0050}_x000D_
DataPointVID 417673_x000D_
DataPointID 417673_x000D_
Metric  =  Outstanding amount [mi]_x000D_
Base  =  Liabilities_x000D_
Counterparty sector  =  Financial corporations other than credit institutions_x000D_
Instrument  =  Structured notes_x000D_
Exclusion from Bail-in  =  Not excluded from bail-in_x000D_
Main category  =  Debt securities_x000D_
Eligibility for MREL  =  Non-eligible_x000D_
Residual maturity  =  &lt;= 1 month</t>
        </r>
      </text>
    </comment>
    <comment ref="I43" authorId="0" shapeId="0">
      <text>
        <r>
          <rPr>
            <sz val="9"/>
            <color indexed="81"/>
            <rFont val="Tahoma"/>
            <family val="2"/>
          </rPr>
          <t>DataPointVID 417648_x000D_
DataPointID 417648_x000D_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Eligibility for MREL  =  Non-eligible_x000D_
Residual maturity  =  &lt;= 1 month</t>
        </r>
      </text>
    </comment>
    <comment ref="J43" authorId="0" shapeId="0">
      <text>
        <r>
          <rPr>
            <sz val="9"/>
            <color indexed="81"/>
            <rFont val="Tahoma"/>
            <family val="2"/>
          </rPr>
          <t>{T 01.00.a, r0351, c 0082}=={Z 02.00, r0351, c 0060}_x000D_
DataPointVID 417697_x000D_
DataPointID 417697_x000D_
Metric  =  Outstanding amount [mi]_x000D_
Base  =  Liabilities_x000D_
Counterparty sector  =  Central banks, general governments_x000D_
Instrument  =  Structured notes_x000D_
Exclusion from Bail-in  =  Not excluded from bail-in_x000D_
Main category  =  Debt securities_x000D_
Eligibility for MREL  =  Non-eligible_x000D_
Residual maturity  =  &lt;= 1 month</t>
        </r>
      </text>
    </comment>
    <comment ref="K43" authorId="0" shapeId="0">
      <text>
        <r>
          <rPr>
            <sz val="9"/>
            <color indexed="81"/>
            <rFont val="Tahoma"/>
            <family val="2"/>
          </rPr>
          <t>{T 01.00.a, r0351, c 0092}=={Z 02.00, r0351, c 0070}_x000D_
DataPointVID 417233_x000D_
DataPointID 417233_x000D_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securities_x000D_
Eligibility for MREL  =  Non-eligible_x000D_
Residual maturity  =  &lt;= 1 month</t>
        </r>
      </text>
    </comment>
    <comment ref="L43" authorId="0" shapeId="0">
      <text>
        <r>
          <rPr>
            <sz val="9"/>
            <color indexed="81"/>
            <rFont val="Tahoma"/>
            <family val="2"/>
          </rPr>
          <t>{T 01.00.a, r0351, c 0102}=={Z 02.00, r0351, c 0080}_x000D_
DataPointVID 417180_x000D_
DataPointID 417180_x000D_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securities_x000D_
Eligibility for MREL  =  Non-eligible_x000D_
Residual maturity  =  &lt;= 1 month</t>
        </r>
      </text>
    </comment>
    <comment ref="M43" authorId="0" shapeId="0">
      <text>
        <r>
          <rPr>
            <sz val="9"/>
            <color indexed="81"/>
            <rFont val="Tahoma"/>
            <family val="2"/>
          </rPr>
          <t>{T 01.00.a, r0351, c 0122}=={Z 02.00, r0351, c 0090}_x000D_
DataPointVID 417736_x000D_
DataPointID 417736_x000D_
Metric  =  Outstanding amount [mi]_x000D_
Base  =  Liabilities_x000D_
Instrument  =  Structured notes_x000D_
Exclusion from Bail-in  =  Not excluded from bail-in_x000D_
Main category  =  Debt securities_x000D_
Eligibility for MREL  =  Non-eligible_x000D_
Residual maturity  =  &lt;= 1 month</t>
        </r>
      </text>
    </comment>
    <comment ref="N43" authorId="0" shapeId="0">
      <text>
        <r>
          <rPr>
            <sz val="9"/>
            <color indexed="81"/>
            <rFont val="Tahoma"/>
            <family val="2"/>
          </rPr>
          <t>{T 01.00.a, r0351, c 0132}=={Z 02.00, r0351, c 0100}_x000D_
DataPointVID 417737_x000D_
DataPointID 417737_x000D_
Metric  =  Outstanding amount [mi]_x000D_
Base  =  Liabilities_x000D_
Instrument  =  Structured notes_x000D_
Exclusion from Bail-in  =  Not excluded from bail-in_x000D_
Main category  =  Debt securities_x000D_
Eligibility for MREL  =  Non-eligible_x000D_
Residual maturity  =  &lt;= 1 month_x000D_
Related parties/Relationships  =  Intra-group</t>
        </r>
      </text>
    </comment>
    <comment ref="O43" authorId="0" shapeId="0">
      <text>
        <r>
          <rPr>
            <sz val="9"/>
            <color indexed="81"/>
            <rFont val="Tahoma"/>
            <family val="2"/>
          </rPr>
          <t>{T 01.00.a, r0351, c 0142}=={Z 02.00, r0351, c 0110}_x000D_
DataPointVID 417738_x000D_
DataPointID 417738_x000D_
Metric  =  Outstanding amount [mi]_x000D_
Base  =  Liabilities_x000D_
Instrument  =  Structured notes_x000D_
Exclusion from Bail-in  =  Not excluded from bail-in_x000D_
Main category  =  Debt securities_x000D_
Eligibility for MREL  =  Non-eligible_x000D_
Residual maturity  =  &lt;= 1 month_x000D_
Related parties/Relationships  =  Non intra-group_x000D_
Governed by law of an EU Member State  =  False</t>
        </r>
      </text>
    </comment>
    <comment ref="C44" authorId="0" shapeId="0">
      <text>
        <r>
          <rPr>
            <sz val="9"/>
            <color indexed="81"/>
            <rFont val="Tahoma"/>
            <family val="2"/>
          </rPr>
          <t>Metric  =  Outstanding amount [mi]_x000D_
Base  =  Liabilities_x000D_
Main category  =  Debt securities_x000D_
Residual maturity  =  &gt; 1 month &lt; 1 year_x000D_
Instrument  =  Structured notes_x000D_
Exclusion from Bail-in  =  Not excluded from bail-in_x000D_
Eligibility for MREL  =  Non-eligible</t>
        </r>
      </text>
    </comment>
    <comment ref="D44" authorId="0" shapeId="0">
      <text>
        <r>
          <rPr>
            <sz val="9"/>
            <color indexed="81"/>
            <rFont val="Tahoma"/>
            <family val="2"/>
          </rPr>
          <t>{T 01.00.a, r0352, c 0012}=={Z 02.00, r0352, c 0010}_x000D_
DataPointVID 417576_x000D_
DataPointID 417576_x000D_
Metric  =  Outstanding amount [mi]_x000D_
Base  =  Liabilities_x000D_
Counterparty sector  =  Households_x000D_
Instrument  =  Structured notes_x000D_
Exclusion from Bail-in  =  Not excluded from bail-in_x000D_
Main category  =  Debt securities_x000D_
Eligibility for MREL  =  Non-eligible_x000D_
Residual maturity  =  &gt; 1 month &lt; 1 year</t>
        </r>
      </text>
    </comment>
    <comment ref="E44" authorId="0" shapeId="0">
      <text>
        <r>
          <rPr>
            <sz val="9"/>
            <color indexed="81"/>
            <rFont val="Tahoma"/>
            <family val="2"/>
          </rPr>
          <t>{T 01.00.a, r0352, c 0022}=={Z 02.00, r0352, c 0020}_x000D_
DataPointVID 417603_x000D_
DataPointID 417603_x000D_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securities_x000D_
Eligibility for MREL  =  Non-eligible_x000D_
Residual maturity  =  &gt; 1 month &lt; 1 year</t>
        </r>
      </text>
    </comment>
    <comment ref="F44" authorId="0" shapeId="0">
      <text>
        <r>
          <rPr>
            <sz val="9"/>
            <color indexed="81"/>
            <rFont val="Tahoma"/>
            <family val="2"/>
          </rPr>
          <t>{T 01.00.a, r0352, c 0032}=={Z 02.00, r0352, c 0030}_x000D_
DataPointVID 428258_x000D_
DataPointID 417624_x000D_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Eligibility for MREL  =  Non-eligible_x000D_
Residual maturity  =  &gt; 1 month &lt; 1 year</t>
        </r>
      </text>
    </comment>
    <comment ref="G44" authorId="0" shapeId="0">
      <text>
        <r>
          <rPr>
            <sz val="9"/>
            <color indexed="81"/>
            <rFont val="Tahoma"/>
            <family val="2"/>
          </rPr>
          <t>{T 01.00.a, r0352, c 0042}=={Z 02.00, r0352, c 0040}_x000D_
DataPointVID 417551_x000D_
DataPointID 417551_x000D_
Metric  =  Outstanding amount [mi]_x000D_
Base  =  Liabilities_x000D_
Counterparty sector  =  Credit institutions_x000D_
Instrument  =  Structured notes_x000D_
Exclusion from Bail-in  =  Not excluded from bail-in_x000D_
Main category  =  Debt securities_x000D_
Eligibility for MREL  =  Non-eligible_x000D_
Residual maturity  =  &gt; 1 month &lt; 1 year</t>
        </r>
      </text>
    </comment>
    <comment ref="H44" authorId="0" shapeId="0">
      <text>
        <r>
          <rPr>
            <sz val="9"/>
            <color indexed="81"/>
            <rFont val="Tahoma"/>
            <family val="2"/>
          </rPr>
          <t>{T 01.00.a, r0352, c 0052}=={Z 02.00, r0352, c 0050}_x000D_
DataPointVID 417674_x000D_
DataPointID 417674_x000D_
Metric  =  Outstanding amount [mi]_x000D_
Base  =  Liabilities_x000D_
Counterparty sector  =  Financial corporations other than credit institutions_x000D_
Instrument  =  Structured notes_x000D_
Exclusion from Bail-in  =  Not excluded from bail-in_x000D_
Main category  =  Debt securities_x000D_
Eligibility for MREL  =  Non-eligible_x000D_
Residual maturity  =  &gt; 1 month &lt; 1 year</t>
        </r>
      </text>
    </comment>
    <comment ref="I44" authorId="0" shapeId="0">
      <text>
        <r>
          <rPr>
            <sz val="9"/>
            <color indexed="81"/>
            <rFont val="Tahoma"/>
            <family val="2"/>
          </rPr>
          <t>DataPointVID 417649_x000D_
DataPointID 417649_x000D_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Eligibility for MREL  =  Non-eligible_x000D_
Residual maturity  =  &gt; 1 month &lt; 1 year</t>
        </r>
      </text>
    </comment>
    <comment ref="J44" authorId="0" shapeId="0">
      <text>
        <r>
          <rPr>
            <sz val="9"/>
            <color indexed="81"/>
            <rFont val="Tahoma"/>
            <family val="2"/>
          </rPr>
          <t>{T 01.00.a, r0352, c 0082}=={Z 02.00, r0352, c 0060}_x000D_
DataPointVID 417698_x000D_
DataPointID 417698_x000D_
Metric  =  Outstanding amount [mi]_x000D_
Base  =  Liabilities_x000D_
Counterparty sector  =  Central banks, general governments_x000D_
Instrument  =  Structured notes_x000D_
Exclusion from Bail-in  =  Not excluded from bail-in_x000D_
Main category  =  Debt securities_x000D_
Eligibility for MREL  =  Non-eligible_x000D_
Residual maturity  =  &gt; 1 month &lt; 1 year</t>
        </r>
      </text>
    </comment>
    <comment ref="K44" authorId="0" shapeId="0">
      <text>
        <r>
          <rPr>
            <sz val="9"/>
            <color indexed="81"/>
            <rFont val="Tahoma"/>
            <family val="2"/>
          </rPr>
          <t>{T 01.00.a, r0352, c 0092}=={Z 02.00, r0352, c 0070}_x000D_
DataPointVID 417234_x000D_
DataPointID 417234_x000D_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securities_x000D_
Eligibility for MREL  =  Non-eligible_x000D_
Residual maturity  =  &gt; 1 month &lt; 1 year</t>
        </r>
      </text>
    </comment>
    <comment ref="L44" authorId="0" shapeId="0">
      <text>
        <r>
          <rPr>
            <sz val="9"/>
            <color indexed="81"/>
            <rFont val="Tahoma"/>
            <family val="2"/>
          </rPr>
          <t>{T 01.00.a, r0352, c 0102}=={Z 02.00, r0352, c 0080}_x000D_
DataPointVID 417181_x000D_
DataPointID 417181_x000D_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securities_x000D_
Eligibility for MREL  =  Non-eligible_x000D_
Residual maturity  =  &gt; 1 month &lt; 1 year</t>
        </r>
      </text>
    </comment>
    <comment ref="M44" authorId="0" shapeId="0">
      <text>
        <r>
          <rPr>
            <sz val="9"/>
            <color indexed="81"/>
            <rFont val="Tahoma"/>
            <family val="2"/>
          </rPr>
          <t>{T 01.00.a, r0352, c 0122}=={Z 02.00, r0352, c 0090}_x000D_
DataPointVID 417739_x000D_
DataPointID 417739_x000D_
Metric  =  Outstanding amount [mi]_x000D_
Base  =  Liabilities_x000D_
Instrument  =  Structured notes_x000D_
Exclusion from Bail-in  =  Not excluded from bail-in_x000D_
Main category  =  Debt securities_x000D_
Eligibility for MREL  =  Non-eligible_x000D_
Residual maturity  =  &gt; 1 month &lt; 1 year</t>
        </r>
      </text>
    </comment>
    <comment ref="N44" authorId="0" shapeId="0">
      <text>
        <r>
          <rPr>
            <sz val="9"/>
            <color indexed="81"/>
            <rFont val="Tahoma"/>
            <family val="2"/>
          </rPr>
          <t>{T 01.00.a, r0352, c 0132}=={Z 02.00, r0352, c 0100}_x000D_
DataPointVID 417740_x000D_
DataPointID 417740_x000D_
Metric  =  Outstanding amount [mi]_x000D_
Base  =  Liabilities_x000D_
Instrument  =  Structured notes_x000D_
Exclusion from Bail-in  =  Not excluded from bail-in_x000D_
Main category  =  Debt securities_x000D_
Eligibility for MREL  =  Non-eligible_x000D_
Residual maturity  =  &gt; 1 month &lt; 1 year_x000D_
Related parties/Relationships  =  Intra-group</t>
        </r>
      </text>
    </comment>
    <comment ref="O44" authorId="0" shapeId="0">
      <text>
        <r>
          <rPr>
            <sz val="9"/>
            <color indexed="81"/>
            <rFont val="Tahoma"/>
            <family val="2"/>
          </rPr>
          <t>{T 01.00.a, r0352, c 0142}=={Z 02.00, r0352, c 0110}_x000D_
DataPointVID 417741_x000D_
DataPointID 417741_x000D_
Metric  =  Outstanding amount [mi]_x000D_
Base  =  Liabilities_x000D_
Instrument  =  Structured notes_x000D_
Exclusion from Bail-in  =  Not excluded from bail-in_x000D_
Main category  =  Debt securities_x000D_
Eligibility for MREL  =  Non-eligible_x000D_
Residual maturity  =  &gt; 1 month &lt; 1 year_x000D_
Related parties/Relationships  =  Non intra-group_x000D_
Governed by law of an EU Member State  =  False</t>
        </r>
      </text>
    </comment>
    <comment ref="C45" authorId="0" shapeId="0">
      <text>
        <r>
          <rPr>
            <sz val="9"/>
            <color indexed="81"/>
            <rFont val="Tahoma"/>
            <family val="2"/>
          </rPr>
          <t>Metric  =  Outstanding amount [mi]_x000D_
Base  =  Liabilities_x000D_
Main category  =  Debt securities_x000D_
Residual maturity  =  &gt;= 1 year &lt; 2 years_x000D_
Instrument  =  Structured notes_x000D_
Exclusion from Bail-in  =  Not excluded from bail-in</t>
        </r>
      </text>
    </comment>
    <comment ref="D45" authorId="0" shapeId="0">
      <text>
        <r>
          <rPr>
            <sz val="9"/>
            <color indexed="81"/>
            <rFont val="Tahoma"/>
            <family val="2"/>
          </rPr>
          <t>{T 01.00.a, r0353, c 0012}=={Z 02.00, r0353, c 0010}_x000D_
DataPointVID 417577_x000D_
DataPointID 417577_x000D_
Metric  =  Outstanding amount [mi]_x000D_
Base  =  Liabilities_x000D_
Counterparty sector  =  Households_x000D_
Instrument  =  Structured notes_x000D_
Exclusion from Bail-in  =  Not excluded from bail-in_x000D_
Main category  =  Debt securities_x000D_
Residual maturity  =  &gt;= 1 year &lt; 2 years</t>
        </r>
      </text>
    </comment>
    <comment ref="E45" authorId="0" shapeId="0">
      <text>
        <r>
          <rPr>
            <sz val="9"/>
            <color indexed="81"/>
            <rFont val="Tahoma"/>
            <family val="2"/>
          </rPr>
          <t>{T 01.00.a, r0353, c 0022}=={Z 02.00, r0353, c 0020}_x000D_
DataPointVID 417604_x000D_
DataPointID 417604_x000D_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securities_x000D_
Residual maturity  =  &gt;= 1 year &lt; 2 years</t>
        </r>
      </text>
    </comment>
    <comment ref="F45" authorId="0" shapeId="0">
      <text>
        <r>
          <rPr>
            <sz val="9"/>
            <color indexed="81"/>
            <rFont val="Tahoma"/>
            <family val="2"/>
          </rPr>
          <t>{T 01.00.a, r0353, c 0032}=={Z 02.00, r0353, c 0030}_x000D_
DataPointVID 428259_x000D_
DataPointID 417625_x000D_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Residual maturity  =  &gt;= 1 year &lt; 2 years</t>
        </r>
      </text>
    </comment>
    <comment ref="G45" authorId="0" shapeId="0">
      <text>
        <r>
          <rPr>
            <sz val="9"/>
            <color indexed="81"/>
            <rFont val="Tahoma"/>
            <family val="2"/>
          </rPr>
          <t>{T 01.00.a, r0353, c 0042}=={Z 02.00, r0353, c 0040}_x000D_
DataPointVID 417552_x000D_
DataPointID 417552_x000D_
Metric  =  Outstanding amount [mi]_x000D_
Base  =  Liabilities_x000D_
Counterparty sector  =  Credit institutions_x000D_
Instrument  =  Structured notes_x000D_
Exclusion from Bail-in  =  Not excluded from bail-in_x000D_
Main category  =  Debt securities_x000D_
Residual maturity  =  &gt;= 1 year &lt; 2 years</t>
        </r>
      </text>
    </comment>
    <comment ref="H45" authorId="0" shapeId="0">
      <text>
        <r>
          <rPr>
            <sz val="9"/>
            <color indexed="81"/>
            <rFont val="Tahoma"/>
            <family val="2"/>
          </rPr>
          <t>{T 01.00.a, r0353, c 0052}=={Z 02.00, r0353, c 0050}_x000D_
DataPointVID 417675_x000D_
DataPointID 417675_x000D_
Metric  =  Outstanding amount [mi]_x000D_
Base  =  Liabilities_x000D_
Counterparty sector  =  Financial corporations other than credit institutions_x000D_
Instrument  =  Structured notes_x000D_
Exclusion from Bail-in  =  Not excluded from bail-in_x000D_
Main category  =  Debt securities_x000D_
Residual maturity  =  &gt;= 1 year &lt; 2 years</t>
        </r>
      </text>
    </comment>
    <comment ref="I45" authorId="0" shapeId="0">
      <text>
        <r>
          <rPr>
            <sz val="9"/>
            <color indexed="81"/>
            <rFont val="Tahoma"/>
            <family val="2"/>
          </rPr>
          <t>DataPointVID 417650_x000D_
DataPointID 417650_x000D_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Residual maturity  =  &gt;= 1 year &lt; 2 years</t>
        </r>
      </text>
    </comment>
    <comment ref="J45" authorId="0" shapeId="0">
      <text>
        <r>
          <rPr>
            <sz val="9"/>
            <color indexed="81"/>
            <rFont val="Tahoma"/>
            <family val="2"/>
          </rPr>
          <t>{T 01.00.a, r0353, c 0082}=={Z 02.00, r0353, c 0060}_x000D_
DataPointVID 417699_x000D_
DataPointID 417699_x000D_
Metric  =  Outstanding amount [mi]_x000D_
Base  =  Liabilities_x000D_
Counterparty sector  =  Central banks, general governments_x000D_
Instrument  =  Structured notes_x000D_
Exclusion from Bail-in  =  Not excluded from bail-in_x000D_
Main category  =  Debt securities_x000D_
Residual maturity  =  &gt;= 1 year &lt; 2 years</t>
        </r>
      </text>
    </comment>
    <comment ref="K45" authorId="0" shapeId="0">
      <text>
        <r>
          <rPr>
            <sz val="9"/>
            <color indexed="81"/>
            <rFont val="Tahoma"/>
            <family val="2"/>
          </rPr>
          <t>{T 01.00.a, r0353, c 0092}=={Z 02.00, r0353, c 0070}_x000D_
DataPointVID 417235_x000D_
DataPointID 417235_x000D_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securities_x000D_
Residual maturity  =  &gt;= 1 year &lt; 2 years</t>
        </r>
      </text>
    </comment>
    <comment ref="L45" authorId="0" shapeId="0">
      <text>
        <r>
          <rPr>
            <sz val="9"/>
            <color indexed="81"/>
            <rFont val="Tahoma"/>
            <family val="2"/>
          </rPr>
          <t>{T 01.00.a, r0353, c 0102}=={Z 02.00, r0353, c 0080}_x000D_
DataPointVID 417182_x000D_
DataPointID 417182_x000D_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securities_x000D_
Residual maturity  =  &gt;= 1 year &lt; 2 years</t>
        </r>
      </text>
    </comment>
    <comment ref="M45" authorId="0" shapeId="0">
      <text>
        <r>
          <rPr>
            <sz val="9"/>
            <color indexed="81"/>
            <rFont val="Tahoma"/>
            <family val="2"/>
          </rPr>
          <t>{T 01.00.a, r0353, c 0122}=={Z 02.00, r0353, c 0090}_x000D_
DataPointVID 417742_x000D_
DataPointID 417742_x000D_
Metric  =  Outstanding amount [mi]_x000D_
Base  =  Liabilities_x000D_
Instrument  =  Structured notes_x000D_
Exclusion from Bail-in  =  Not excluded from bail-in_x000D_
Main category  =  Debt securities_x000D_
Residual maturity  =  &gt;= 1 year &lt; 2 years</t>
        </r>
      </text>
    </comment>
    <comment ref="N45" authorId="0" shapeId="0">
      <text>
        <r>
          <rPr>
            <sz val="9"/>
            <color indexed="81"/>
            <rFont val="Tahoma"/>
            <family val="2"/>
          </rPr>
          <t>{T 01.00.a, r0353, c 0132}=={Z 02.00, r0353, c 0100}_x000D_
DataPointVID 417743_x000D_
DataPointID 417743_x000D_
Metric  =  Outstanding amount [mi]_x000D_
Base  =  Liabilities_x000D_
Instrument  =  Structured notes_x000D_
Exclusion from Bail-in  =  Not excluded from bail-in_x000D_
Main category  =  Debt securities_x000D_
Residual maturity  =  &gt;= 1 year &lt; 2 years_x000D_
Related parties/Relationships  =  Intra-group</t>
        </r>
      </text>
    </comment>
    <comment ref="O45" authorId="0" shapeId="0">
      <text>
        <r>
          <rPr>
            <sz val="9"/>
            <color indexed="81"/>
            <rFont val="Tahoma"/>
            <family val="2"/>
          </rPr>
          <t>{T 01.00.a, r0353, c 0142}=={Z 02.00, r0353, c 0110}_x000D_
DataPointVID 417744_x000D_
DataPointID 417744_x000D_
Metric  =  Outstanding amount [mi]_x000D_
Base  =  Liabilities_x000D_
Instrument  =  Structured notes_x000D_
Exclusion from Bail-in  =  Not excluded from bail-in_x000D_
Main category  =  Debt securities_x000D_
Residual maturity  =  &gt;= 1 year &lt; 2 years_x000D_
Related parties/Relationships  =  Non intra-group_x000D_
Governed by law of an EU Member State  =  False</t>
        </r>
      </text>
    </comment>
    <comment ref="C46" authorId="0" shapeId="0">
      <text>
        <r>
          <rPr>
            <sz val="9"/>
            <color indexed="81"/>
            <rFont val="Tahoma"/>
            <family val="2"/>
          </rPr>
          <t>Metric  =  Outstanding amount [mi]_x000D_
Base  =  Liabilities_x000D_
Main category  =  Debt securities_x000D_
Residual maturity  =  &gt;= 2 years_x000D_
Instrument  =  Structured notes_x000D_
Exclusion from Bail-in  =  Not excluded from bail-in</t>
        </r>
      </text>
    </comment>
    <comment ref="D46" authorId="0" shapeId="0">
      <text>
        <r>
          <rPr>
            <sz val="9"/>
            <color indexed="81"/>
            <rFont val="Tahoma"/>
            <family val="2"/>
          </rPr>
          <t>{T 01.00.a, r0354, c 0012}=={Z 02.00, r0354, c 0010}_x000D_
DataPointVID 417578_x000D_
DataPointID 417578_x000D_
Metric  =  Outstanding amount [mi]_x000D_
Base  =  Liabilities_x000D_
Counterparty sector  =  Households_x000D_
Instrument  =  Structured notes_x000D_
Exclusion from Bail-in  =  Not excluded from bail-in_x000D_
Main category  =  Debt securities_x000D_
Residual maturity  =  &gt;= 2 years</t>
        </r>
      </text>
    </comment>
    <comment ref="E46" authorId="0" shapeId="0">
      <text>
        <r>
          <rPr>
            <sz val="9"/>
            <color indexed="81"/>
            <rFont val="Tahoma"/>
            <family val="2"/>
          </rPr>
          <t>{T 01.00.a, r0354, c 0022}=={Z 02.00, r0354, c 0020}_x000D_
DataPointVID 417605_x000D_
DataPointID 417605_x000D_
Metric  =  Outstanding amount [mi]_x000D_
Base  =  Liabilities_x000D_
Counterparty sector  =  Non-financial corporations_x000D_
Size of the counterparty  =  SME_x000D_
Instrument  =  Structured notes_x000D_
Exclusion from Bail-in  =  Not excluded from bail-in_x000D_
Main category  =  Debt securities_x000D_
Residual maturity  =  &gt;= 2 years</t>
        </r>
      </text>
    </comment>
    <comment ref="F46" authorId="0" shapeId="0">
      <text>
        <r>
          <rPr>
            <sz val="9"/>
            <color indexed="81"/>
            <rFont val="Tahoma"/>
            <family val="2"/>
          </rPr>
          <t>{T 01.00.a, r0354, c 0032}=={Z 02.00, r0354, c 0030}_x000D_
DataPointVID 428260_x000D_
DataPointID 417626_x000D_
Metric  =  Outstanding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Residual maturity  =  &gt;= 2 years</t>
        </r>
      </text>
    </comment>
    <comment ref="G46" authorId="0" shapeId="0">
      <text>
        <r>
          <rPr>
            <sz val="9"/>
            <color indexed="81"/>
            <rFont val="Tahoma"/>
            <family val="2"/>
          </rPr>
          <t>{T 01.00.a, r0354, c 0042}=={Z 02.00, r0354, c 0040}_x000D_
DataPointVID 417553_x000D_
DataPointID 417553_x000D_
Metric  =  Outstanding amount [mi]_x000D_
Base  =  Liabilities_x000D_
Counterparty sector  =  Credit institutions_x000D_
Instrument  =  Structured notes_x000D_
Exclusion from Bail-in  =  Not excluded from bail-in_x000D_
Main category  =  Debt securities_x000D_
Residual maturity  =  &gt;= 2 years</t>
        </r>
      </text>
    </comment>
    <comment ref="H46" authorId="0" shapeId="0">
      <text>
        <r>
          <rPr>
            <sz val="9"/>
            <color indexed="81"/>
            <rFont val="Tahoma"/>
            <family val="2"/>
          </rPr>
          <t>{T 01.00.a, r0354, c 0052}=={Z 02.00, r0354, c 0050}_x000D_
DataPointVID 417676_x000D_
DataPointID 417676_x000D_
Metric  =  Outstanding amount [mi]_x000D_
Base  =  Liabilities_x000D_
Counterparty sector  =  Financial corporations other than credit institutions_x000D_
Instrument  =  Structured notes_x000D_
Exclusion from Bail-in  =  Not excluded from bail-in_x000D_
Main category  =  Debt securities_x000D_
Residual maturity  =  &gt;= 2 years</t>
        </r>
      </text>
    </comment>
    <comment ref="I46" authorId="0" shapeId="0">
      <text>
        <r>
          <rPr>
            <sz val="9"/>
            <color indexed="81"/>
            <rFont val="Tahoma"/>
            <family val="2"/>
          </rPr>
          <t>DataPointVID 417651_x000D_
DataPointID 417651_x000D_
Metric  =  Outstanding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Residual maturity  =  &gt;= 2 years</t>
        </r>
      </text>
    </comment>
    <comment ref="J46" authorId="0" shapeId="0">
      <text>
        <r>
          <rPr>
            <sz val="9"/>
            <color indexed="81"/>
            <rFont val="Tahoma"/>
            <family val="2"/>
          </rPr>
          <t>{T 01.00.a, r0354, c 0082}=={Z 02.00, r0354, c 0060}_x000D_
DataPointVID 417700_x000D_
DataPointID 417700_x000D_
Metric  =  Outstanding amount [mi]_x000D_
Base  =  Liabilities_x000D_
Counterparty sector  =  Central banks, general governments_x000D_
Instrument  =  Structured notes_x000D_
Exclusion from Bail-in  =  Not excluded from bail-in_x000D_
Main category  =  Debt securities_x000D_
Residual maturity  =  &gt;= 2 years</t>
        </r>
      </text>
    </comment>
    <comment ref="K46" authorId="0" shapeId="0">
      <text>
        <r>
          <rPr>
            <sz val="9"/>
            <color indexed="81"/>
            <rFont val="Tahoma"/>
            <family val="2"/>
          </rPr>
          <t>{T 01.00.a, r0354, c 0092}=={Z 02.00, r0354, c 0070}_x000D_
DataPointVID 417236_x000D_
DataPointID 417236_x000D_
Metric  =  Outstanding amount [mi]_x000D_
Base  =  Liabilities_x000D_
Instrument is listed on exchange  =  True_x000D_
Counterparty sector  =  Unknown counterparty_x000D_
Instrument  =  Structured notes_x000D_
Exclusion from Bail-in  =  Not excluded from bail-in_x000D_
Main category  =  Debt securities_x000D_
Residual maturity  =  &gt;= 2 years</t>
        </r>
      </text>
    </comment>
    <comment ref="L46" authorId="0" shapeId="0">
      <text>
        <r>
          <rPr>
            <sz val="9"/>
            <color indexed="81"/>
            <rFont val="Tahoma"/>
            <family val="2"/>
          </rPr>
          <t>{T 01.00.a, r0354, c 0102}=={Z 02.00, r0354, c 0080}_x000D_
DataPointVID 417183_x000D_
DataPointID 417183_x000D_
Metric  =  Outstanding amount [mi]_x000D_
Base  =  Liabilities_x000D_
Instrument is listed on exchange  =  False_x000D_
Counterparty sector  =  Unknown counterparty_x000D_
Instrument  =  Structured notes_x000D_
Exclusion from Bail-in  =  Not excluded from bail-in_x000D_
Main category  =  Debt securities_x000D_
Residual maturity  =  &gt;= 2 years</t>
        </r>
      </text>
    </comment>
    <comment ref="M46" authorId="0" shapeId="0">
      <text>
        <r>
          <rPr>
            <sz val="9"/>
            <color indexed="81"/>
            <rFont val="Tahoma"/>
            <family val="2"/>
          </rPr>
          <t>{T 01.00.a, r0354, c 0122}=={Z 02.00, r0354, c 0090}_x000D_
DataPointVID 417745_x000D_
DataPointID 417745_x000D_
Metric  =  Outstanding amount [mi]_x000D_
Base  =  Liabilities_x000D_
Instrument  =  Structured notes_x000D_
Exclusion from Bail-in  =  Not excluded from bail-in_x000D_
Main category  =  Debt securities_x000D_
Residual maturity  =  &gt;= 2 years</t>
        </r>
      </text>
    </comment>
    <comment ref="N46" authorId="0" shapeId="0">
      <text>
        <r>
          <rPr>
            <sz val="9"/>
            <color indexed="81"/>
            <rFont val="Tahoma"/>
            <family val="2"/>
          </rPr>
          <t>{T 01.00.a, r0354, c 0132}=={Z 02.00, r0354, c 0100}_x000D_
DataPointVID 417746_x000D_
DataPointID 417746_x000D_
Metric  =  Outstanding amount [mi]_x000D_
Base  =  Liabilities_x000D_
Instrument  =  Structured notes_x000D_
Exclusion from Bail-in  =  Not excluded from bail-in_x000D_
Main category  =  Debt securities_x000D_
Residual maturity  =  &gt;= 2 years_x000D_
Related parties/Relationships  =  Intra-group</t>
        </r>
      </text>
    </comment>
    <comment ref="O46" authorId="0" shapeId="0">
      <text>
        <r>
          <rPr>
            <sz val="9"/>
            <color indexed="81"/>
            <rFont val="Tahoma"/>
            <family val="2"/>
          </rPr>
          <t>{T 01.00.a, r0354, c 0142}=={Z 02.00, r0354, c 0110}_x000D_
DataPointVID 417747_x000D_
DataPointID 417747_x000D_
Metric  =  Outstanding amount [mi]_x000D_
Base  =  Liabilities_x000D_
Instrument  =  Structured notes_x000D_
Exclusion from Bail-in  =  Not excluded from bail-in_x000D_
Main category  =  Debt securities_x000D_
Residual maturity  =  &gt;= 2 years_x000D_
Related parties/Relationships  =  Non intra-group_x000D_
Governed by law of an EU Member State  =  False</t>
        </r>
      </text>
    </comment>
    <comment ref="C47" authorId="0" shapeId="0">
      <text>
        <r>
          <rPr>
            <sz val="9"/>
            <color indexed="81"/>
            <rFont val="Tahoma"/>
            <family val="2"/>
          </rPr>
          <t>Metric  =  Outstanding amount [mi]_x000D_
Base  =  Liabilities_x000D_
Main category  =  Deposits, Debt securities issued, Other financial liabilities_x000D_
Collateral status  =  Non collateralised_x000D_
Subordinated  =  Non subordinated_x000D_
Creditor / Insolvency ranking  =  Senior.Standard (BRRD)_x000D_
Exclusion from Bail-in  =  Not excluded from bail-in</t>
        </r>
      </text>
    </comment>
    <comment ref="D47" authorId="0" shapeId="0">
      <text>
        <r>
          <rPr>
            <sz val="9"/>
            <color indexed="81"/>
            <rFont val="Tahoma"/>
            <family val="2"/>
          </rPr>
          <t>{T 01.00.a, r0360, c 0012}=={Z 02.00, r0360, c 0010}_x000D_
DataPointVID 417393_x000D_
DataPointID 417393_x000D_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Subordinated  =  Non subordinated</t>
        </r>
      </text>
    </comment>
    <comment ref="E47" authorId="0" shapeId="0">
      <text>
        <r>
          <rPr>
            <sz val="9"/>
            <color indexed="81"/>
            <rFont val="Tahoma"/>
            <family val="2"/>
          </rPr>
          <t>{T 01.00.a, r0360, c 0022}=={Z 02.00, r0360, c 0020}_x000D_
DataPointVID 417398_x000D_
DataPointID 417398_x000D_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Subordinated  =  Non subordinated</t>
        </r>
      </text>
    </comment>
    <comment ref="F47" authorId="0" shapeId="0">
      <text>
        <r>
          <rPr>
            <sz val="9"/>
            <color indexed="81"/>
            <rFont val="Tahoma"/>
            <family val="2"/>
          </rPr>
          <t>{T 01.00.a, r0360, c 0032}=={Z 02.00, r0360, c 0030}_x000D_
DataPointVID 428240_x000D_
DataPointID 417403_x000D_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Subordinated  =  Non subordinated</t>
        </r>
      </text>
    </comment>
    <comment ref="G47" authorId="0" shapeId="0">
      <text>
        <r>
          <rPr>
            <sz val="9"/>
            <color indexed="81"/>
            <rFont val="Tahoma"/>
            <family val="2"/>
          </rPr>
          <t>{T 01.00.a, r0360, c 0042}=={Z 02.00, r0360, c 0040}_x000D_
DataPointVID 417388_x000D_
DataPointID 417388_x000D_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Subordinated  =  Non subordinated</t>
        </r>
      </text>
    </comment>
    <comment ref="H47" authorId="0" shapeId="0">
      <text>
        <r>
          <rPr>
            <sz val="9"/>
            <color indexed="81"/>
            <rFont val="Tahoma"/>
            <family val="2"/>
          </rPr>
          <t>{T 01.00.a, r0360, c 0052}=={Z 02.00, r0360, c 0050}_x000D_
DataPointVID 417413_x000D_
DataPointID 417413_x000D_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Subordinated  =  Non subordinated</t>
        </r>
      </text>
    </comment>
    <comment ref="I47" authorId="0" shapeId="0">
      <text>
        <r>
          <rPr>
            <sz val="9"/>
            <color indexed="81"/>
            <rFont val="Tahoma"/>
            <family val="2"/>
          </rPr>
          <t>DataPointVID 417408_x000D_
DataPointID 417408_x000D_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Subordinated  =  Non subordinated</t>
        </r>
      </text>
    </comment>
    <comment ref="J47" authorId="0" shapeId="0">
      <text>
        <r>
          <rPr>
            <sz val="9"/>
            <color indexed="81"/>
            <rFont val="Tahoma"/>
            <family val="2"/>
          </rPr>
          <t>{T 01.00.a, r0360, c 0082}=={Z 02.00, r0360, c 0060}_x000D_
DataPointVID 417418_x000D_
DataPointID 417418_x000D_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Subordinated  =  Non subordinated</t>
        </r>
      </text>
    </comment>
    <comment ref="K47" authorId="0" shapeId="0">
      <text>
        <r>
          <rPr>
            <sz val="9"/>
            <color indexed="81"/>
            <rFont val="Tahoma"/>
            <family val="2"/>
          </rPr>
          <t>{T 01.00.a, r0360, c 0092}=={Z 02.00, r0360, c 0070}_x000D_
DataPointVID 417217_x000D_
DataPointID 417217_x000D_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L47" authorId="0" shapeId="0">
      <text>
        <r>
          <rPr>
            <sz val="9"/>
            <color indexed="81"/>
            <rFont val="Tahoma"/>
            <family val="2"/>
          </rPr>
          <t>{T 01.00.a, r0360, c 0102}=={Z 02.00, r0360, c 0080}_x000D_
DataPointVID 417164_x000D_
DataPointID 417164_x000D_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M47" authorId="0" shapeId="0">
      <text>
        <r>
          <rPr>
            <sz val="9"/>
            <color indexed="81"/>
            <rFont val="Tahoma"/>
            <family val="2"/>
          </rPr>
          <t>{T 01.00.a, r0360, c 0122}=={Z 02.00, r0360, c 0090}_x000D_
DataPointVID 417433_x000D_
DataPointID 417433_x000D_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Subordinated  =  Non subordinated</t>
        </r>
      </text>
    </comment>
    <comment ref="N47" authorId="0" shapeId="0">
      <text>
        <r>
          <rPr>
            <sz val="9"/>
            <color indexed="81"/>
            <rFont val="Tahoma"/>
            <family val="2"/>
          </rPr>
          <t>{T 01.00.a, r0360, c 0132}=={Z 02.00, r0360, c 0100}_x000D_
DataPointVID 417431_x000D_
DataPointID 417431_x000D_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Related parties/Relationships  =  Intra-group_x000D_
Subordinated  =  Non subordinated</t>
        </r>
      </text>
    </comment>
    <comment ref="O47" authorId="0" shapeId="0">
      <text>
        <r>
          <rPr>
            <sz val="9"/>
            <color indexed="81"/>
            <rFont val="Tahoma"/>
            <family val="2"/>
          </rPr>
          <t>{T 01.00.a, r0360, c 0142}=={Z 02.00, r0360, c 0110}_x000D_
DataPointVID 417432_x000D_
DataPointID 417432_x000D_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Related parties/Relationships  =  Non intra-group_x000D_
Governed by law of an EU Member State  =  False_x000D_
Subordinated  =  Non subordinated</t>
        </r>
      </text>
    </comment>
    <comment ref="C48"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&lt;= 1 month_x000D_
Subordinated  =  Non subordinated_x000D_
Creditor / Insolvency ranking  =  Senior.Standard (BRRD)_x000D_
Exclusion from Bail-in  =  Not excluded from bail-in_x000D_
Eligibility for MREL  =  Non-eligible</t>
        </r>
      </text>
    </comment>
    <comment ref="D48" authorId="0" shapeId="0">
      <text>
        <r>
          <rPr>
            <sz val="9"/>
            <color indexed="81"/>
            <rFont val="Tahoma"/>
            <family val="2"/>
          </rPr>
          <t>{T 01.00.a, r0361, c 0012}=={Z 02.00, r0361, c 0010}_x000D_
DataPointVID 417389_x000D_
DataPointID 417389_x000D_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E48" authorId="0" shapeId="0">
      <text>
        <r>
          <rPr>
            <sz val="9"/>
            <color indexed="81"/>
            <rFont val="Tahoma"/>
            <family val="2"/>
          </rPr>
          <t>{T 01.00.a, r0361, c 0022}=={Z 02.00, r0361, c 0020}_x000D_
DataPointVID 417394_x000D_
DataPointID 417394_x000D_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F48" authorId="0" shapeId="0">
      <text>
        <r>
          <rPr>
            <sz val="9"/>
            <color indexed="81"/>
            <rFont val="Tahoma"/>
            <family val="2"/>
          </rPr>
          <t>{T 01.00.a, r0361, c 0032}=={Z 02.00, r0361, c 0030}_x000D_
DataPointVID 428236_x000D_
DataPointID 417399_x000D_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G48" authorId="0" shapeId="0">
      <text>
        <r>
          <rPr>
            <sz val="9"/>
            <color indexed="81"/>
            <rFont val="Tahoma"/>
            <family val="2"/>
          </rPr>
          <t>{T 01.00.a, r0361, c 0042}=={Z 02.00, r0361, c 0040}_x000D_
DataPointVID 417384_x000D_
DataPointID 417384_x000D_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H48" authorId="0" shapeId="0">
      <text>
        <r>
          <rPr>
            <sz val="9"/>
            <color indexed="81"/>
            <rFont val="Tahoma"/>
            <family val="2"/>
          </rPr>
          <t>{T 01.00.a, r0361, c 0052}=={Z 02.00, r0361, c 0050}_x000D_
DataPointVID 417409_x000D_
DataPointID 417409_x000D_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I48" authorId="0" shapeId="0">
      <text>
        <r>
          <rPr>
            <sz val="9"/>
            <color indexed="81"/>
            <rFont val="Tahoma"/>
            <family val="2"/>
          </rPr>
          <t>DataPointVID 417404_x000D_
DataPointID 417404_x000D_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J48" authorId="0" shapeId="0">
      <text>
        <r>
          <rPr>
            <sz val="9"/>
            <color indexed="81"/>
            <rFont val="Tahoma"/>
            <family val="2"/>
          </rPr>
          <t>{T 01.00.a, r0361, c 0082}=={Z 02.00, r0361, c 0060}_x000D_
DataPointVID 417414_x000D_
DataPointID 417414_x000D_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K48" authorId="0" shapeId="0">
      <text>
        <r>
          <rPr>
            <sz val="9"/>
            <color indexed="81"/>
            <rFont val="Tahoma"/>
            <family val="2"/>
          </rPr>
          <t>{T 01.00.a, r0361, c 0092}=={Z 02.00, r0361, c 0070}_x000D_
DataPointVID 417213_x000D_
DataPointID 417213_x000D_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L48" authorId="0" shapeId="0">
      <text>
        <r>
          <rPr>
            <sz val="9"/>
            <color indexed="81"/>
            <rFont val="Tahoma"/>
            <family val="2"/>
          </rPr>
          <t>{T 01.00.a, r0361, c 0102}=={Z 02.00, r0361, c 0080}_x000D_
DataPointVID 417160_x000D_
DataPointID 417160_x000D_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M48" authorId="0" shapeId="0">
      <text>
        <r>
          <rPr>
            <sz val="9"/>
            <color indexed="81"/>
            <rFont val="Tahoma"/>
            <family val="2"/>
          </rPr>
          <t>{T 01.00.a, r0361, c 0122}=={Z 02.00, r0361, c 0090}_x000D_
DataPointVID 417421_x000D_
DataPointID 417421_x000D_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N48" authorId="0" shapeId="0">
      <text>
        <r>
          <rPr>
            <sz val="9"/>
            <color indexed="81"/>
            <rFont val="Tahoma"/>
            <family val="2"/>
          </rPr>
          <t>{T 01.00.a, r0361, c 0132}=={Z 02.00, r0361, c 0100}_x000D_
DataPointVID 417419_x000D_
DataPointID 417419_x000D_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Intra-group_x000D_
Subordinated  =  Non subordinated</t>
        </r>
      </text>
    </comment>
    <comment ref="O48" authorId="0" shapeId="0">
      <text>
        <r>
          <rPr>
            <sz val="9"/>
            <color indexed="81"/>
            <rFont val="Tahoma"/>
            <family val="2"/>
          </rPr>
          <t>{T 01.00.a, r0361, c 0142}=={Z 02.00, r0361, c 0110}_x000D_
DataPointVID 417420_x000D_
DataPointID 417420_x000D_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False_x000D_
Subordinated  =  Non subordinated</t>
        </r>
      </text>
    </comment>
    <comment ref="C49"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1 month &lt; 1 year_x000D_
Subordinated  =  Non subordinated_x000D_
Creditor / Insolvency ranking  =  Senior.Standard (BRRD)_x000D_
Exclusion from Bail-in  =  Not excluded from bail-in_x000D_
Eligibility for MREL  =  Non-eligible</t>
        </r>
      </text>
    </comment>
    <comment ref="D49" authorId="0" shapeId="0">
      <text>
        <r>
          <rPr>
            <sz val="9"/>
            <color indexed="81"/>
            <rFont val="Tahoma"/>
            <family val="2"/>
          </rPr>
          <t>{T 01.00.a, r0362, c 0012}=={Z 02.00, r0362, c 0010}_x000D_
DataPointVID 417390_x000D_
DataPointID 417390_x000D_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E49" authorId="0" shapeId="0">
      <text>
        <r>
          <rPr>
            <sz val="9"/>
            <color indexed="81"/>
            <rFont val="Tahoma"/>
            <family val="2"/>
          </rPr>
          <t>{T 01.00.a, r0362, c 0022}=={Z 02.00, r0362, c 0020}_x000D_
DataPointVID 417395_x000D_
DataPointID 417395_x000D_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F49" authorId="0" shapeId="0">
      <text>
        <r>
          <rPr>
            <sz val="9"/>
            <color indexed="81"/>
            <rFont val="Tahoma"/>
            <family val="2"/>
          </rPr>
          <t>{T 01.00.a, r0362, c 0032}=={Z 02.00, r0362, c 0030}_x000D_
DataPointVID 428237_x000D_
DataPointID 417400_x000D_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G49" authorId="0" shapeId="0">
      <text>
        <r>
          <rPr>
            <sz val="9"/>
            <color indexed="81"/>
            <rFont val="Tahoma"/>
            <family val="2"/>
          </rPr>
          <t>{T 01.00.a, r0362, c 0042}=={Z 02.00, r0362, c 0040}_x000D_
DataPointVID 417385_x000D_
DataPointID 417385_x000D_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H49" authorId="0" shapeId="0">
      <text>
        <r>
          <rPr>
            <sz val="9"/>
            <color indexed="81"/>
            <rFont val="Tahoma"/>
            <family val="2"/>
          </rPr>
          <t>{T 01.00.a, r0362, c 0052}=={Z 02.00, r0362, c 0050}_x000D_
DataPointVID 417410_x000D_
DataPointID 417410_x000D_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I49" authorId="0" shapeId="0">
      <text>
        <r>
          <rPr>
            <sz val="9"/>
            <color indexed="81"/>
            <rFont val="Tahoma"/>
            <family val="2"/>
          </rPr>
          <t>DataPointVID 417405_x000D_
DataPointID 417405_x000D_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J49" authorId="0" shapeId="0">
      <text>
        <r>
          <rPr>
            <sz val="9"/>
            <color indexed="81"/>
            <rFont val="Tahoma"/>
            <family val="2"/>
          </rPr>
          <t>{T 01.00.a, r0362, c 0082}=={Z 02.00, r0362, c 0060}_x000D_
DataPointVID 417415_x000D_
DataPointID 417415_x000D_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K49" authorId="0" shapeId="0">
      <text>
        <r>
          <rPr>
            <sz val="9"/>
            <color indexed="81"/>
            <rFont val="Tahoma"/>
            <family val="2"/>
          </rPr>
          <t>{T 01.00.a, r0362, c 0092}=={Z 02.00, r0362, c 0070}_x000D_
DataPointVID 417214_x000D_
DataPointID 417214_x000D_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L49" authorId="0" shapeId="0">
      <text>
        <r>
          <rPr>
            <sz val="9"/>
            <color indexed="81"/>
            <rFont val="Tahoma"/>
            <family val="2"/>
          </rPr>
          <t>{T 01.00.a, r0362, c 0102}=={Z 02.00, r0362, c 0080}_x000D_
DataPointVID 417161_x000D_
DataPointID 417161_x000D_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M49" authorId="0" shapeId="0">
      <text>
        <r>
          <rPr>
            <sz val="9"/>
            <color indexed="81"/>
            <rFont val="Tahoma"/>
            <family val="2"/>
          </rPr>
          <t>{T 01.00.a, r0362, c 0122}=={Z 02.00, r0362, c 0090}_x000D_
DataPointVID 417424_x000D_
DataPointID 417424_x000D_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N49" authorId="0" shapeId="0">
      <text>
        <r>
          <rPr>
            <sz val="9"/>
            <color indexed="81"/>
            <rFont val="Tahoma"/>
            <family val="2"/>
          </rPr>
          <t>{T 01.00.a, r0362, c 0132}=={Z 02.00, r0362, c 0100}_x000D_
DataPointVID 417422_x000D_
DataPointID 417422_x000D_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Intra-group_x000D_
Subordinated  =  Non subordinated</t>
        </r>
      </text>
    </comment>
    <comment ref="O49" authorId="0" shapeId="0">
      <text>
        <r>
          <rPr>
            <sz val="9"/>
            <color indexed="81"/>
            <rFont val="Tahoma"/>
            <family val="2"/>
          </rPr>
          <t>{T 01.00.a, r0362, c 0142}=={Z 02.00, r0362, c 0110}_x000D_
DataPointVID 417423_x000D_
DataPointID 417423_x000D_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False_x000D_
Subordinated  =  Non subordinated</t>
        </r>
      </text>
    </comment>
    <comment ref="C50"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1 year &lt; 2 years_x000D_
Subordinated  =  Non subordinated_x000D_
Creditor / Insolvency ranking  =  Senior.Standard (BRRD)_x000D_
Exclusion from Bail-in  =  Not excluded from bail-in</t>
        </r>
      </text>
    </comment>
    <comment ref="D50" authorId="0" shapeId="0">
      <text>
        <r>
          <rPr>
            <sz val="9"/>
            <color indexed="81"/>
            <rFont val="Tahoma"/>
            <family val="2"/>
          </rPr>
          <t>{T 01.00.a, r0363, c 0012}=={Z 02.00, r0363, c 0010}_x000D_
DataPointVID 417391_x000D_
DataPointID 417391_x000D_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Residual maturity  =  &gt;= 1 year &lt; 2 years_x000D_
Subordinated  =  Non subordinated</t>
        </r>
      </text>
    </comment>
    <comment ref="E50" authorId="0" shapeId="0">
      <text>
        <r>
          <rPr>
            <sz val="9"/>
            <color indexed="81"/>
            <rFont val="Tahoma"/>
            <family val="2"/>
          </rPr>
          <t>{T 01.00.a, r0363, c 0022}=={Z 02.00, r0363, c 0020}_x000D_
DataPointVID 417396_x000D_
DataPointID 417396_x000D_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1 year &lt; 2 years_x000D_
Subordinated  =  Non subordinated</t>
        </r>
      </text>
    </comment>
    <comment ref="F50" authorId="0" shapeId="0">
      <text>
        <r>
          <rPr>
            <sz val="9"/>
            <color indexed="81"/>
            <rFont val="Tahoma"/>
            <family val="2"/>
          </rPr>
          <t>{T 01.00.a, r0363, c 0032}=={Z 02.00, r0363, c 0030}_x000D_
DataPointVID 428238_x000D_
DataPointID 417401_x000D_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1 year &lt; 2 years_x000D_
Subordinated  =  Non subordinated</t>
        </r>
      </text>
    </comment>
    <comment ref="G50" authorId="0" shapeId="0">
      <text>
        <r>
          <rPr>
            <sz val="9"/>
            <color indexed="81"/>
            <rFont val="Tahoma"/>
            <family val="2"/>
          </rPr>
          <t>{T 01.00.a, r0363, c 0042}=={Z 02.00, r0363, c 0040}_x000D_
DataPointVID 417386_x000D_
DataPointID 417386_x000D_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Residual maturity  =  &gt;= 1 year &lt; 2 years_x000D_
Subordinated  =  Non subordinated</t>
        </r>
      </text>
    </comment>
    <comment ref="H50" authorId="0" shapeId="0">
      <text>
        <r>
          <rPr>
            <sz val="9"/>
            <color indexed="81"/>
            <rFont val="Tahoma"/>
            <family val="2"/>
          </rPr>
          <t>{T 01.00.a, r0363, c 0052}=={Z 02.00, r0363, c 0050}_x000D_
DataPointVID 417411_x000D_
DataPointID 417411_x000D_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1 year &lt; 2 years_x000D_
Subordinated  =  Non subordinated</t>
        </r>
      </text>
    </comment>
    <comment ref="I50" authorId="0" shapeId="0">
      <text>
        <r>
          <rPr>
            <sz val="9"/>
            <color indexed="81"/>
            <rFont val="Tahoma"/>
            <family val="2"/>
          </rPr>
          <t>DataPointVID 417406_x000D_
DataPointID 417406_x000D_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1 year &lt; 2 years_x000D_
Subordinated  =  Non subordinated</t>
        </r>
      </text>
    </comment>
    <comment ref="J50" authorId="0" shapeId="0">
      <text>
        <r>
          <rPr>
            <sz val="9"/>
            <color indexed="81"/>
            <rFont val="Tahoma"/>
            <family val="2"/>
          </rPr>
          <t>{T 01.00.a, r0363, c 0082}=={Z 02.00, r0363, c 0060}_x000D_
DataPointVID 417416_x000D_
DataPointID 417416_x000D_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1 year &lt; 2 years_x000D_
Subordinated  =  Non subordinated</t>
        </r>
      </text>
    </comment>
    <comment ref="K50" authorId="0" shapeId="0">
      <text>
        <r>
          <rPr>
            <sz val="9"/>
            <color indexed="81"/>
            <rFont val="Tahoma"/>
            <family val="2"/>
          </rPr>
          <t>{T 01.00.a, r0363, c 0092}=={Z 02.00, r0363, c 0070}_x000D_
DataPointVID 417215_x000D_
DataPointID 417215_x000D_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L50" authorId="0" shapeId="0">
      <text>
        <r>
          <rPr>
            <sz val="9"/>
            <color indexed="81"/>
            <rFont val="Tahoma"/>
            <family val="2"/>
          </rPr>
          <t>{T 01.00.a, r0363, c 0102}=={Z 02.00, r0363, c 0080}_x000D_
DataPointVID 417162_x000D_
DataPointID 417162_x000D_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M50" authorId="0" shapeId="0">
      <text>
        <r>
          <rPr>
            <sz val="9"/>
            <color indexed="81"/>
            <rFont val="Tahoma"/>
            <family val="2"/>
          </rPr>
          <t>{T 01.00.a, r0363, c 0122}=={Z 02.00, r0363, c 0090}_x000D_
DataPointVID 417427_x000D_
DataPointID 417427_x000D_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Subordinated  =  Non subordinated</t>
        </r>
      </text>
    </comment>
    <comment ref="N50" authorId="0" shapeId="0">
      <text>
        <r>
          <rPr>
            <sz val="9"/>
            <color indexed="81"/>
            <rFont val="Tahoma"/>
            <family val="2"/>
          </rPr>
          <t>{T 01.00.a, r0363, c 0132}=={Z 02.00, r0363, c 0100}_x000D_
DataPointVID 417425_x000D_
DataPointID 417425_x000D_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Related parties/Relationships  =  Intra-group_x000D_
Subordinated  =  Non subordinated</t>
        </r>
      </text>
    </comment>
    <comment ref="O50" authorId="0" shapeId="0">
      <text>
        <r>
          <rPr>
            <sz val="9"/>
            <color indexed="81"/>
            <rFont val="Tahoma"/>
            <family val="2"/>
          </rPr>
          <t>{T 01.00.a, r0363, c 0142}=={Z 02.00, r0363, c 0110}_x000D_
DataPointVID 417426_x000D_
DataPointID 417426_x000D_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False_x000D_
Subordinated  =  Non subordinated</t>
        </r>
      </text>
    </comment>
    <comment ref="C51"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2 years_x000D_
Subordinated  =  Non subordinated_x000D_
Creditor / Insolvency ranking  =  Senior.Standard (BRRD)_x000D_
Exclusion from Bail-in  =  Not excluded from bail-in</t>
        </r>
      </text>
    </comment>
    <comment ref="D51" authorId="0" shapeId="0">
      <text>
        <r>
          <rPr>
            <sz val="9"/>
            <color indexed="81"/>
            <rFont val="Tahoma"/>
            <family val="2"/>
          </rPr>
          <t>{T 01.00.a, r0364, c 0012}=={Z 02.00, r0364, c 0010}_x000D_
DataPointVID 417392_x000D_
DataPointID 417392_x000D_
Metric  =  Outstanding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Residual maturity  =  &gt;= 2 years_x000D_
Subordinated  =  Non subordinated</t>
        </r>
      </text>
    </comment>
    <comment ref="E51" authorId="0" shapeId="0">
      <text>
        <r>
          <rPr>
            <sz val="9"/>
            <color indexed="81"/>
            <rFont val="Tahoma"/>
            <family val="2"/>
          </rPr>
          <t>{T 01.00.a, r0364, c 0022}=={Z 02.00, r0364, c 0020}_x000D_
DataPointVID 417397_x000D_
DataPointID 417397_x000D_
Metric  =  Outstanding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2 years_x000D_
Subordinated  =  Non subordinated</t>
        </r>
      </text>
    </comment>
    <comment ref="F51" authorId="0" shapeId="0">
      <text>
        <r>
          <rPr>
            <sz val="9"/>
            <color indexed="81"/>
            <rFont val="Tahoma"/>
            <family val="2"/>
          </rPr>
          <t>{T 01.00.a, r0364, c 0032}=={Z 02.00, r0364, c 0030}_x000D_
DataPointVID 428239_x000D_
DataPointID 417402_x000D_
Metric  =  Outstanding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2 years_x000D_
Subordinated  =  Non subordinated</t>
        </r>
      </text>
    </comment>
    <comment ref="G51" authorId="0" shapeId="0">
      <text>
        <r>
          <rPr>
            <sz val="9"/>
            <color indexed="81"/>
            <rFont val="Tahoma"/>
            <family val="2"/>
          </rPr>
          <t>{T 01.00.a, r0364, c 0042}=={Z 02.00, r0364, c 0040}_x000D_
DataPointVID 417387_x000D_
DataPointID 417387_x000D_
Metric  =  Outstanding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Residual maturity  =  &gt;= 2 years_x000D_
Subordinated  =  Non subordinated</t>
        </r>
      </text>
    </comment>
    <comment ref="H51" authorId="0" shapeId="0">
      <text>
        <r>
          <rPr>
            <sz val="9"/>
            <color indexed="81"/>
            <rFont val="Tahoma"/>
            <family val="2"/>
          </rPr>
          <t>{T 01.00.a, r0364, c 0052}=={Z 02.00, r0364, c 0050}_x000D_
DataPointVID 417412_x000D_
DataPointID 417412_x000D_
Metric  =  Outstanding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2 years_x000D_
Subordinated  =  Non subordinated</t>
        </r>
      </text>
    </comment>
    <comment ref="I51" authorId="0" shapeId="0">
      <text>
        <r>
          <rPr>
            <sz val="9"/>
            <color indexed="81"/>
            <rFont val="Tahoma"/>
            <family val="2"/>
          </rPr>
          <t>DataPointVID 417407_x000D_
DataPointID 417407_x000D_
Metric  =  Outstanding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2 years_x000D_
Subordinated  =  Non subordinated</t>
        </r>
      </text>
    </comment>
    <comment ref="J51" authorId="0" shapeId="0">
      <text>
        <r>
          <rPr>
            <sz val="9"/>
            <color indexed="81"/>
            <rFont val="Tahoma"/>
            <family val="2"/>
          </rPr>
          <t>{T 01.00.a, r0364, c 0082}=={Z 02.00, r0364, c 0060}_x000D_
DataPointVID 417417_x000D_
DataPointID 417417_x000D_
Metric  =  Outstanding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2 years_x000D_
Subordinated  =  Non subordinated</t>
        </r>
      </text>
    </comment>
    <comment ref="K51" authorId="0" shapeId="0">
      <text>
        <r>
          <rPr>
            <sz val="9"/>
            <color indexed="81"/>
            <rFont val="Tahoma"/>
            <family val="2"/>
          </rPr>
          <t>{T 01.00.a, r0364, c 0092}=={Z 02.00, r0364, c 0070}_x000D_
DataPointVID 417216_x000D_
DataPointID 417216_x000D_
Metric  =  Outstanding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L51" authorId="0" shapeId="0">
      <text>
        <r>
          <rPr>
            <sz val="9"/>
            <color indexed="81"/>
            <rFont val="Tahoma"/>
            <family val="2"/>
          </rPr>
          <t>{T 01.00.a, r0364, c 0102}=={Z 02.00, r0364, c 0080}_x000D_
DataPointVID 417163_x000D_
DataPointID 417163_x000D_
Metric  =  Outstanding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M51" authorId="0" shapeId="0">
      <text>
        <r>
          <rPr>
            <sz val="9"/>
            <color indexed="81"/>
            <rFont val="Tahoma"/>
            <family val="2"/>
          </rPr>
          <t>{T 01.00.a, r0364, c 0122}=={Z 02.00, r0364, c 0090}_x000D_
DataPointVID 417430_x000D_
DataPointID 417430_x000D_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Subordinated  =  Non subordinated</t>
        </r>
      </text>
    </comment>
    <comment ref="N51" authorId="0" shapeId="0">
      <text>
        <r>
          <rPr>
            <sz val="9"/>
            <color indexed="81"/>
            <rFont val="Tahoma"/>
            <family val="2"/>
          </rPr>
          <t>{T 01.00.a, r0364, c 0132}=={Z 02.00, r0364, c 0100}_x000D_
DataPointVID 417428_x000D_
DataPointID 417428_x000D_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Related parties/Relationships  =  Intra-group_x000D_
Subordinated  =  Non subordinated</t>
        </r>
      </text>
    </comment>
    <comment ref="O51" authorId="0" shapeId="0">
      <text>
        <r>
          <rPr>
            <sz val="9"/>
            <color indexed="81"/>
            <rFont val="Tahoma"/>
            <family val="2"/>
          </rPr>
          <t>{T 01.00.a, r0364, c 0142}=={Z 02.00, r0364, c 0110}_x000D_
DataPointVID 417429_x000D_
DataPointID 417429_x000D_
Metric  =  Outstanding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Related parties/Relationships  =  Non intra-group_x000D_
Governed by law of an EU Member State  =  False_x000D_
Subordinated  =  Non subordinated</t>
        </r>
      </text>
    </comment>
    <comment ref="C52" authorId="0" shapeId="0">
      <text>
        <r>
          <rPr>
            <sz val="9"/>
            <color indexed="81"/>
            <rFont val="Tahoma"/>
            <family val="2"/>
          </rPr>
          <t>Metric  =  Outstanding amount [mi]_x000D_
Base  =  Liabilities_x000D_
Main category  =  Deposits, Debt securities issued, Other financial liabilities_x000D_
Collateral status  =  Non collateralised_x000D_
Subordinated  =  Non subordinated_x000D_
Creditor / Insolvency ranking  =  Senior.Non-preferred (BRRD)_x000D_
Exclusion from Bail-in  =  Not excluded from bail-in</t>
        </r>
      </text>
    </comment>
    <comment ref="D52" authorId="0" shapeId="0">
      <text>
        <r>
          <rPr>
            <sz val="9"/>
            <color indexed="81"/>
            <rFont val="Tahoma"/>
            <family val="2"/>
          </rPr>
          <t>{T 01.00.a, r0365, c 0012}=={Z 02.00, r0365, c 0010}_x000D_
DataPointVID 417443_x000D_
DataPointID 417443_x000D_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Subordinated  =  Non subordinated</t>
        </r>
      </text>
    </comment>
    <comment ref="E52" authorId="0" shapeId="0">
      <text>
        <r>
          <rPr>
            <sz val="9"/>
            <color indexed="81"/>
            <rFont val="Tahoma"/>
            <family val="2"/>
          </rPr>
          <t>{T 01.00.a, r0365, c 0022}=={Z 02.00, r0365, c 0020}_x000D_
DataPointVID 417448_x000D_
DataPointID 417448_x000D_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Subordinated  =  Non subordinated</t>
        </r>
      </text>
    </comment>
    <comment ref="F52" authorId="0" shapeId="0">
      <text>
        <r>
          <rPr>
            <sz val="9"/>
            <color indexed="81"/>
            <rFont val="Tahoma"/>
            <family val="2"/>
          </rPr>
          <t>{T 01.00.a, r0365, c 0032}=={Z 02.00, r0365, c 0030}_x000D_
DataPointVID 428245_x000D_
DataPointID 417453_x000D_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Subordinated  =  Non subordinated</t>
        </r>
      </text>
    </comment>
    <comment ref="G52" authorId="0" shapeId="0">
      <text>
        <r>
          <rPr>
            <sz val="9"/>
            <color indexed="81"/>
            <rFont val="Tahoma"/>
            <family val="2"/>
          </rPr>
          <t>{T 01.00.a, r0365, c 0042}=={Z 02.00, r0365, c 0040}_x000D_
DataPointVID 417438_x000D_
DataPointID 417438_x000D_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Subordinated  =  Non subordinated</t>
        </r>
      </text>
    </comment>
    <comment ref="H52" authorId="0" shapeId="0">
      <text>
        <r>
          <rPr>
            <sz val="9"/>
            <color indexed="81"/>
            <rFont val="Tahoma"/>
            <family val="2"/>
          </rPr>
          <t>{T 01.00.a, r0365, c 0052}=={Z 02.00, r0365, c 0050}_x000D_
DataPointVID 417463_x000D_
DataPointID 417463_x000D_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Subordinated  =  Non subordinated</t>
        </r>
      </text>
    </comment>
    <comment ref="I52" authorId="0" shapeId="0">
      <text>
        <r>
          <rPr>
            <sz val="9"/>
            <color indexed="81"/>
            <rFont val="Tahoma"/>
            <family val="2"/>
          </rPr>
          <t>DataPointVID 417458_x000D_
DataPointID 417458_x000D_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Subordinated  =  Non subordinated</t>
        </r>
      </text>
    </comment>
    <comment ref="J52" authorId="0" shapeId="0">
      <text>
        <r>
          <rPr>
            <sz val="9"/>
            <color indexed="81"/>
            <rFont val="Tahoma"/>
            <family val="2"/>
          </rPr>
          <t>{T 01.00.a, r0365, c 0082}=={Z 02.00, r0365, c 0060}_x000D_
DataPointVID 417468_x000D_
DataPointID 417468_x000D_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Subordinated  =  Non subordinated</t>
        </r>
      </text>
    </comment>
    <comment ref="K52" authorId="0" shapeId="0">
      <text>
        <r>
          <rPr>
            <sz val="9"/>
            <color indexed="81"/>
            <rFont val="Tahoma"/>
            <family val="2"/>
          </rPr>
          <t>{T 01.00.a, r0365, c 0092}=={Z 02.00, r0365, c 0070}_x000D_
DataPointVID 417222_x000D_
DataPointID 417222_x000D_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L52" authorId="0" shapeId="0">
      <text>
        <r>
          <rPr>
            <sz val="9"/>
            <color indexed="81"/>
            <rFont val="Tahoma"/>
            <family val="2"/>
          </rPr>
          <t>{T 01.00.a, r0365, c 0102}=={Z 02.00, r0365, c 0080}_x000D_
DataPointVID 417169_x000D_
DataPointID 417169_x000D_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M52" authorId="0" shapeId="0">
      <text>
        <r>
          <rPr>
            <sz val="9"/>
            <color indexed="81"/>
            <rFont val="Tahoma"/>
            <family val="2"/>
          </rPr>
          <t>{T 01.00.a, r0365, c 0122}=={Z 02.00, r0365, c 0090}_x000D_
DataPointVID 417483_x000D_
DataPointID 417483_x000D_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Subordinated  =  Non subordinated</t>
        </r>
      </text>
    </comment>
    <comment ref="N52" authorId="0" shapeId="0">
      <text>
        <r>
          <rPr>
            <sz val="9"/>
            <color indexed="81"/>
            <rFont val="Tahoma"/>
            <family val="2"/>
          </rPr>
          <t>{T 01.00.a, r0365, c 0132}=={Z 02.00, r0365, c 0100}_x000D_
DataPointVID 417481_x000D_
DataPointID 417481_x000D_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Related parties/Relationships  =  Intra-group_x000D_
Subordinated  =  Non subordinated</t>
        </r>
      </text>
    </comment>
    <comment ref="O52" authorId="0" shapeId="0">
      <text>
        <r>
          <rPr>
            <sz val="9"/>
            <color indexed="81"/>
            <rFont val="Tahoma"/>
            <family val="2"/>
          </rPr>
          <t>{T 01.00.a, r0365, c 0142}=={Z 02.00, r0365, c 0110}_x000D_
DataPointVID 417482_x000D_
DataPointID 417482_x000D_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Related parties/Relationships  =  Non intra-group_x000D_
Governed by law of an EU Member State  =  False_x000D_
Subordinated  =  Non subordinated</t>
        </r>
      </text>
    </comment>
    <comment ref="C53"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&lt;= 1 month_x000D_
Subordinated  =  Non subordinated_x000D_
Creditor / Insolvency ranking  =  Senior.Non-preferred (BRRD)_x000D_
Exclusion from Bail-in  =  Not excluded from bail-in_x000D_
Eligibility for MREL  =  Non-eligible</t>
        </r>
      </text>
    </comment>
    <comment ref="D53" authorId="0" shapeId="0">
      <text>
        <r>
          <rPr>
            <sz val="9"/>
            <color indexed="81"/>
            <rFont val="Tahoma"/>
            <family val="2"/>
          </rPr>
          <t>{T 01.00.a, r0366, c 0012}=={Z 02.00, r0366, c 0010}_x000D_
DataPointVID 417439_x000D_
DataPointID 417439_x000D_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E53" authorId="0" shapeId="0">
      <text>
        <r>
          <rPr>
            <sz val="9"/>
            <color indexed="81"/>
            <rFont val="Tahoma"/>
            <family val="2"/>
          </rPr>
          <t>{T 01.00.a, r0366, c 0022}=={Z 02.00, r0366, c 0020}_x000D_
DataPointVID 417444_x000D_
DataPointID 417444_x000D_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F53" authorId="0" shapeId="0">
      <text>
        <r>
          <rPr>
            <sz val="9"/>
            <color indexed="81"/>
            <rFont val="Tahoma"/>
            <family val="2"/>
          </rPr>
          <t>{T 01.00.a, r0366, c 0032}=={Z 02.00, r0366, c 0030}_x000D_
DataPointVID 428241_x000D_
DataPointID 417449_x000D_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G53" authorId="0" shapeId="0">
      <text>
        <r>
          <rPr>
            <sz val="9"/>
            <color indexed="81"/>
            <rFont val="Tahoma"/>
            <family val="2"/>
          </rPr>
          <t>{T 01.00.a, r0366, c 0042}=={Z 02.00, r0366, c 0040}_x000D_
DataPointVID 417434_x000D_
DataPointID 417434_x000D_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H53" authorId="0" shapeId="0">
      <text>
        <r>
          <rPr>
            <sz val="9"/>
            <color indexed="81"/>
            <rFont val="Tahoma"/>
            <family val="2"/>
          </rPr>
          <t>{T 01.00.a, r0366, c 0052}=={Z 02.00, r0366, c 0050}_x000D_
DataPointVID 417459_x000D_
DataPointID 417459_x000D_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I53" authorId="0" shapeId="0">
      <text>
        <r>
          <rPr>
            <sz val="9"/>
            <color indexed="81"/>
            <rFont val="Tahoma"/>
            <family val="2"/>
          </rPr>
          <t>DataPointVID 417454_x000D_
DataPointID 417454_x000D_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J53" authorId="0" shapeId="0">
      <text>
        <r>
          <rPr>
            <sz val="9"/>
            <color indexed="81"/>
            <rFont val="Tahoma"/>
            <family val="2"/>
          </rPr>
          <t>{T 01.00.a, r0366, c 0082}=={Z 02.00, r0366, c 0060}_x000D_
DataPointVID 417464_x000D_
DataPointID 417464_x000D_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K53" authorId="0" shapeId="0">
      <text>
        <r>
          <rPr>
            <sz val="9"/>
            <color indexed="81"/>
            <rFont val="Tahoma"/>
            <family val="2"/>
          </rPr>
          <t>{T 01.00.a, r0366, c 0092}=={Z 02.00, r0366, c 0070}_x000D_
DataPointVID 417218_x000D_
DataPointID 417218_x000D_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L53" authorId="0" shapeId="0">
      <text>
        <r>
          <rPr>
            <sz val="9"/>
            <color indexed="81"/>
            <rFont val="Tahoma"/>
            <family val="2"/>
          </rPr>
          <t>{T 01.00.a, r0366, c 0102}=={Z 02.00, r0366, c 0080}_x000D_
DataPointVID 417165_x000D_
DataPointID 417165_x000D_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M53" authorId="0" shapeId="0">
      <text>
        <r>
          <rPr>
            <sz val="9"/>
            <color indexed="81"/>
            <rFont val="Tahoma"/>
            <family val="2"/>
          </rPr>
          <t>{T 01.00.a, r0366, c 0122}=={Z 02.00, r0366, c 0090}_x000D_
DataPointVID 417471_x000D_
DataPointID 417471_x000D_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N53" authorId="0" shapeId="0">
      <text>
        <r>
          <rPr>
            <sz val="9"/>
            <color indexed="81"/>
            <rFont val="Tahoma"/>
            <family val="2"/>
          </rPr>
          <t>{T 01.00.a, r0366, c 0132}=={Z 02.00, r0366, c 0100}_x000D_
DataPointVID 417469_x000D_
DataPointID 417469_x000D_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Intra-group_x000D_
Subordinated  =  Non subordinated</t>
        </r>
      </text>
    </comment>
    <comment ref="O53" authorId="0" shapeId="0">
      <text>
        <r>
          <rPr>
            <sz val="9"/>
            <color indexed="81"/>
            <rFont val="Tahoma"/>
            <family val="2"/>
          </rPr>
          <t>{T 01.00.a, r0366, c 0142}=={Z 02.00, r0366, c 0110}_x000D_
DataPointVID 417470_x000D_
DataPointID 417470_x000D_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False_x000D_
Subordinated  =  Non subordinated</t>
        </r>
      </text>
    </comment>
    <comment ref="C54"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1 month &lt; 1 year_x000D_
Subordinated  =  Non subordinated_x000D_
Creditor / Insolvency ranking  =  Senior.Non-preferred (BRRD)_x000D_
Exclusion from Bail-in  =  Not excluded from bail-in_x000D_
Eligibility for MREL  =  Non-eligible</t>
        </r>
      </text>
    </comment>
    <comment ref="D54" authorId="0" shapeId="0">
      <text>
        <r>
          <rPr>
            <sz val="9"/>
            <color indexed="81"/>
            <rFont val="Tahoma"/>
            <family val="2"/>
          </rPr>
          <t>{T 01.00.a, r0367, c 0012}=={Z 02.00, r0367, c 0010}_x000D_
DataPointVID 417440_x000D_
DataPointID 417440_x000D_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E54" authorId="0" shapeId="0">
      <text>
        <r>
          <rPr>
            <sz val="9"/>
            <color indexed="81"/>
            <rFont val="Tahoma"/>
            <family val="2"/>
          </rPr>
          <t>{T 01.00.a, r0367, c 0022}=={Z 02.00, r0367, c 0020}_x000D_
DataPointVID 417445_x000D_
DataPointID 417445_x000D_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F54" authorId="0" shapeId="0">
      <text>
        <r>
          <rPr>
            <sz val="9"/>
            <color indexed="81"/>
            <rFont val="Tahoma"/>
            <family val="2"/>
          </rPr>
          <t>{T 01.00.a, r0367, c 0032}=={Z 02.00, r0367, c 0030}_x000D_
DataPointVID 428242_x000D_
DataPointID 417450_x000D_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G54" authorId="0" shapeId="0">
      <text>
        <r>
          <rPr>
            <sz val="9"/>
            <color indexed="81"/>
            <rFont val="Tahoma"/>
            <family val="2"/>
          </rPr>
          <t>{T 01.00.a, r0367, c 0042}=={Z 02.00, r0367, c 0040}_x000D_
DataPointVID 417435_x000D_
DataPointID 417435_x000D_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H54" authorId="0" shapeId="0">
      <text>
        <r>
          <rPr>
            <sz val="9"/>
            <color indexed="81"/>
            <rFont val="Tahoma"/>
            <family val="2"/>
          </rPr>
          <t>{T 01.00.a, r0367, c 0052}=={Z 02.00, r0367, c 0050}_x000D_
DataPointVID 417460_x000D_
DataPointID 417460_x000D_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I54" authorId="0" shapeId="0">
      <text>
        <r>
          <rPr>
            <sz val="9"/>
            <color indexed="81"/>
            <rFont val="Tahoma"/>
            <family val="2"/>
          </rPr>
          <t>DataPointVID 417455_x000D_
DataPointID 417455_x000D_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J54" authorId="0" shapeId="0">
      <text>
        <r>
          <rPr>
            <sz val="9"/>
            <color indexed="81"/>
            <rFont val="Tahoma"/>
            <family val="2"/>
          </rPr>
          <t>{T 01.00.a, r0367, c 0082}=={Z 02.00, r0367, c 0060}_x000D_
DataPointVID 417465_x000D_
DataPointID 417465_x000D_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K54" authorId="0" shapeId="0">
      <text>
        <r>
          <rPr>
            <sz val="9"/>
            <color indexed="81"/>
            <rFont val="Tahoma"/>
            <family val="2"/>
          </rPr>
          <t>{T 01.00.a, r0367, c 0092}=={Z 02.00, r0367, c 0070}_x000D_
DataPointVID 417219_x000D_
DataPointID 417219_x000D_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L54" authorId="0" shapeId="0">
      <text>
        <r>
          <rPr>
            <sz val="9"/>
            <color indexed="81"/>
            <rFont val="Tahoma"/>
            <family val="2"/>
          </rPr>
          <t>{T 01.00.a, r0367, c 0102}=={Z 02.00, r0367, c 0080}_x000D_
DataPointVID 417166_x000D_
DataPointID 417166_x000D_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M54" authorId="0" shapeId="0">
      <text>
        <r>
          <rPr>
            <sz val="9"/>
            <color indexed="81"/>
            <rFont val="Tahoma"/>
            <family val="2"/>
          </rPr>
          <t>{T 01.00.a, r0367, c 0122}=={Z 02.00, r0367, c 0090}_x000D_
DataPointVID 417474_x000D_
DataPointID 417474_x000D_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N54" authorId="0" shapeId="0">
      <text>
        <r>
          <rPr>
            <sz val="9"/>
            <color indexed="81"/>
            <rFont val="Tahoma"/>
            <family val="2"/>
          </rPr>
          <t>{T 01.00.a, r0367, c 0132}=={Z 02.00, r0367, c 0100}_x000D_
DataPointVID 417472_x000D_
DataPointID 417472_x000D_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Intra-group_x000D_
Subordinated  =  Non subordinated</t>
        </r>
      </text>
    </comment>
    <comment ref="O54" authorId="0" shapeId="0">
      <text>
        <r>
          <rPr>
            <sz val="9"/>
            <color indexed="81"/>
            <rFont val="Tahoma"/>
            <family val="2"/>
          </rPr>
          <t>{T 01.00.a, r0367, c 0142}=={Z 02.00, r0367, c 0110}_x000D_
DataPointVID 417473_x000D_
DataPointID 417473_x000D_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False_x000D_
Subordinated  =  Non subordinated</t>
        </r>
      </text>
    </comment>
    <comment ref="C55"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1 year &lt; 2 years_x000D_
Subordinated  =  Non subordinated_x000D_
Creditor / Insolvency ranking  =  Senior.Non-preferred (BRRD)_x000D_
Exclusion from Bail-in  =  Not excluded from bail-in</t>
        </r>
      </text>
    </comment>
    <comment ref="D55" authorId="0" shapeId="0">
      <text>
        <r>
          <rPr>
            <sz val="9"/>
            <color indexed="81"/>
            <rFont val="Tahoma"/>
            <family val="2"/>
          </rPr>
          <t>{T 01.00.a, r0368, c 0012}=={Z 02.00, r0368, c 0010}_x000D_
DataPointVID 417441_x000D_
DataPointID 417441_x000D_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Residual maturity  =  &gt;= 1 year &lt; 2 years_x000D_
Subordinated  =  Non subordinated</t>
        </r>
      </text>
    </comment>
    <comment ref="E55" authorId="0" shapeId="0">
      <text>
        <r>
          <rPr>
            <sz val="9"/>
            <color indexed="81"/>
            <rFont val="Tahoma"/>
            <family val="2"/>
          </rPr>
          <t>{T 01.00.a, r0368, c 0022}=={Z 02.00, r0368, c 0020}_x000D_
DataPointVID 417446_x000D_
DataPointID 417446_x000D_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1 year &lt; 2 years_x000D_
Subordinated  =  Non subordinated</t>
        </r>
      </text>
    </comment>
    <comment ref="F55" authorId="0" shapeId="0">
      <text>
        <r>
          <rPr>
            <sz val="9"/>
            <color indexed="81"/>
            <rFont val="Tahoma"/>
            <family val="2"/>
          </rPr>
          <t>{T 01.00.a, r0368, c 0032}=={Z 02.00, r0368, c 0030}_x000D_
DataPointVID 428243_x000D_
DataPointID 417451_x000D_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1 year &lt; 2 years_x000D_
Subordinated  =  Non subordinated</t>
        </r>
      </text>
    </comment>
    <comment ref="G55" authorId="0" shapeId="0">
      <text>
        <r>
          <rPr>
            <sz val="9"/>
            <color indexed="81"/>
            <rFont val="Tahoma"/>
            <family val="2"/>
          </rPr>
          <t>{T 01.00.a, r0368, c 0042}=={Z 02.00, r0368, c 0040}_x000D_
DataPointVID 417436_x000D_
DataPointID 417436_x000D_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Residual maturity  =  &gt;= 1 year &lt; 2 years_x000D_
Subordinated  =  Non subordinated</t>
        </r>
      </text>
    </comment>
    <comment ref="H55" authorId="0" shapeId="0">
      <text>
        <r>
          <rPr>
            <sz val="9"/>
            <color indexed="81"/>
            <rFont val="Tahoma"/>
            <family val="2"/>
          </rPr>
          <t>{T 01.00.a, r0368, c 0052}=={Z 02.00, r0368, c 0050}_x000D_
DataPointVID 417461_x000D_
DataPointID 417461_x000D_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1 year &lt; 2 years_x000D_
Subordinated  =  Non subordinated</t>
        </r>
      </text>
    </comment>
    <comment ref="I55" authorId="0" shapeId="0">
      <text>
        <r>
          <rPr>
            <sz val="9"/>
            <color indexed="81"/>
            <rFont val="Tahoma"/>
            <family val="2"/>
          </rPr>
          <t>DataPointVID 417456_x000D_
DataPointID 417456_x000D_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1 year &lt; 2 years_x000D_
Subordinated  =  Non subordinated</t>
        </r>
      </text>
    </comment>
    <comment ref="J55" authorId="0" shapeId="0">
      <text>
        <r>
          <rPr>
            <sz val="9"/>
            <color indexed="81"/>
            <rFont val="Tahoma"/>
            <family val="2"/>
          </rPr>
          <t>{T 01.00.a, r0368, c 0082}=={Z 02.00, r0368, c 0060}_x000D_
DataPointVID 417466_x000D_
DataPointID 417466_x000D_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1 year &lt; 2 years_x000D_
Subordinated  =  Non subordinated</t>
        </r>
      </text>
    </comment>
    <comment ref="K55" authorId="0" shapeId="0">
      <text>
        <r>
          <rPr>
            <sz val="9"/>
            <color indexed="81"/>
            <rFont val="Tahoma"/>
            <family val="2"/>
          </rPr>
          <t>{T 01.00.a, r0368, c 0092}=={Z 02.00, r0368, c 0070}_x000D_
DataPointVID 417220_x000D_
DataPointID 417220_x000D_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L55" authorId="0" shapeId="0">
      <text>
        <r>
          <rPr>
            <sz val="9"/>
            <color indexed="81"/>
            <rFont val="Tahoma"/>
            <family val="2"/>
          </rPr>
          <t>{T 01.00.a, r0368, c 0102}=={Z 02.00, r0368, c 0080}_x000D_
DataPointVID 417167_x000D_
DataPointID 417167_x000D_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M55" authorId="0" shapeId="0">
      <text>
        <r>
          <rPr>
            <sz val="9"/>
            <color indexed="81"/>
            <rFont val="Tahoma"/>
            <family val="2"/>
          </rPr>
          <t>{T 01.00.a, r0368, c 0122}=={Z 02.00, r0368, c 0090}_x000D_
DataPointVID 417477_x000D_
DataPointID 417477_x000D_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Subordinated  =  Non subordinated</t>
        </r>
      </text>
    </comment>
    <comment ref="N55" authorId="0" shapeId="0">
      <text>
        <r>
          <rPr>
            <sz val="9"/>
            <color indexed="81"/>
            <rFont val="Tahoma"/>
            <family val="2"/>
          </rPr>
          <t>{T 01.00.a, r0368, c 0132}=={Z 02.00, r0368, c 0100}_x000D_
DataPointVID 417475_x000D_
DataPointID 417475_x000D_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Related parties/Relationships  =  Intra-group_x000D_
Subordinated  =  Non subordinated</t>
        </r>
      </text>
    </comment>
    <comment ref="O55" authorId="0" shapeId="0">
      <text>
        <r>
          <rPr>
            <sz val="9"/>
            <color indexed="81"/>
            <rFont val="Tahoma"/>
            <family val="2"/>
          </rPr>
          <t>{T 01.00.a, r0368, c 0142}=={Z 02.00, r0368, c 0110}_x000D_
DataPointVID 417476_x000D_
DataPointID 417476_x000D_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False_x000D_
Subordinated  =  Non subordinated</t>
        </r>
      </text>
    </comment>
    <comment ref="C56" authorId="0" shapeId="0">
      <text>
        <r>
          <rPr>
            <sz val="9"/>
            <color indexed="81"/>
            <rFont val="Tahoma"/>
            <family val="2"/>
          </rPr>
          <t>Metric  =  Outstanding amount [mi]_x000D_
Base  =  Liabilities_x000D_
Main category  =  Deposits, Debt securities issued, Other financial liabilities_x000D_
Collateral status  =  Non collateralised_x000D_
Residual maturity  =  &gt;= 2 years_x000D_
Subordinated  =  Non subordinated_x000D_
Creditor / Insolvency ranking  =  Senior.Non-preferred (BRRD)_x000D_
Exclusion from Bail-in  =  Not excluded from bail-in</t>
        </r>
      </text>
    </comment>
    <comment ref="D56" authorId="0" shapeId="0">
      <text>
        <r>
          <rPr>
            <sz val="9"/>
            <color indexed="81"/>
            <rFont val="Tahoma"/>
            <family val="2"/>
          </rPr>
          <t>{T 01.00.a, r0369, c 0012}=={Z 02.00, r0369, c 0010}_x000D_
DataPointVID 417442_x000D_
DataPointID 417442_x000D_
Metric  =  Outstanding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Residual maturity  =  &gt;= 2 years_x000D_
Subordinated  =  Non subordinated</t>
        </r>
      </text>
    </comment>
    <comment ref="E56" authorId="0" shapeId="0">
      <text>
        <r>
          <rPr>
            <sz val="9"/>
            <color indexed="81"/>
            <rFont val="Tahoma"/>
            <family val="2"/>
          </rPr>
          <t>{T 01.00.a, r0369, c 0022}=={Z 02.00, r0369, c 0020}_x000D_
DataPointVID 417447_x000D_
DataPointID 417447_x000D_
Metric  =  Outstanding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2 years_x000D_
Subordinated  =  Non subordinated</t>
        </r>
      </text>
    </comment>
    <comment ref="F56" authorId="0" shapeId="0">
      <text>
        <r>
          <rPr>
            <sz val="9"/>
            <color indexed="81"/>
            <rFont val="Tahoma"/>
            <family val="2"/>
          </rPr>
          <t>{T 01.00.a, r0369, c 0032}=={Z 02.00, r0369, c 0030}_x000D_
DataPointVID 428244_x000D_
DataPointID 417452_x000D_
Metric  =  Outstanding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2 years_x000D_
Subordinated  =  Non subordinated</t>
        </r>
      </text>
    </comment>
    <comment ref="G56" authorId="0" shapeId="0">
      <text>
        <r>
          <rPr>
            <sz val="9"/>
            <color indexed="81"/>
            <rFont val="Tahoma"/>
            <family val="2"/>
          </rPr>
          <t>{T 01.00.a, r0369, c 0042}=={Z 02.00, r0369, c 0040}_x000D_
DataPointVID 417437_x000D_
DataPointID 417437_x000D_
Metric  =  Outstanding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Residual maturity  =  &gt;= 2 years_x000D_
Subordinated  =  Non subordinated</t>
        </r>
      </text>
    </comment>
    <comment ref="H56" authorId="0" shapeId="0">
      <text>
        <r>
          <rPr>
            <sz val="9"/>
            <color indexed="81"/>
            <rFont val="Tahoma"/>
            <family val="2"/>
          </rPr>
          <t>{T 01.00.a, r0369, c 0052}=={Z 02.00, r0369, c 0050}_x000D_
DataPointVID 417462_x000D_
DataPointID 417462_x000D_
Metric  =  Outstanding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2 years_x000D_
Subordinated  =  Non subordinated</t>
        </r>
      </text>
    </comment>
    <comment ref="I56" authorId="0" shapeId="0">
      <text>
        <r>
          <rPr>
            <sz val="9"/>
            <color indexed="81"/>
            <rFont val="Tahoma"/>
            <family val="2"/>
          </rPr>
          <t>DataPointVID 417457_x000D_
DataPointID 417457_x000D_
Metric  =  Outstanding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2 years_x000D_
Subordinated  =  Non subordinated</t>
        </r>
      </text>
    </comment>
    <comment ref="J56" authorId="0" shapeId="0">
      <text>
        <r>
          <rPr>
            <sz val="9"/>
            <color indexed="81"/>
            <rFont val="Tahoma"/>
            <family val="2"/>
          </rPr>
          <t>{T 01.00.a, r0369, c 0082}=={Z 02.00, r0369, c 0060}_x000D_
DataPointVID 417467_x000D_
DataPointID 417467_x000D_
Metric  =  Outstanding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2 years_x000D_
Subordinated  =  Non subordinated</t>
        </r>
      </text>
    </comment>
    <comment ref="K56" authorId="0" shapeId="0">
      <text>
        <r>
          <rPr>
            <sz val="9"/>
            <color indexed="81"/>
            <rFont val="Tahoma"/>
            <family val="2"/>
          </rPr>
          <t>{T 01.00.a, r0369, c 0092}=={Z 02.00, r0369, c 0070}_x000D_
DataPointVID 417221_x000D_
DataPointID 417221_x000D_
Metric  =  Outstanding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L56" authorId="0" shapeId="0">
      <text>
        <r>
          <rPr>
            <sz val="9"/>
            <color indexed="81"/>
            <rFont val="Tahoma"/>
            <family val="2"/>
          </rPr>
          <t>{T 01.00.a, r0369, c 0102}=={Z 02.00, r0369, c 0080}_x000D_
DataPointVID 417168_x000D_
DataPointID 417168_x000D_
Metric  =  Outstanding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M56" authorId="0" shapeId="0">
      <text>
        <r>
          <rPr>
            <sz val="9"/>
            <color indexed="81"/>
            <rFont val="Tahoma"/>
            <family val="2"/>
          </rPr>
          <t>{T 01.00.a, r0369, c 0122}=={Z 02.00, r0369, c 0090}_x000D_
DataPointVID 417480_x000D_
DataPointID 417480_x000D_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Subordinated  =  Non subordinated</t>
        </r>
      </text>
    </comment>
    <comment ref="N56" authorId="0" shapeId="0">
      <text>
        <r>
          <rPr>
            <sz val="9"/>
            <color indexed="81"/>
            <rFont val="Tahoma"/>
            <family val="2"/>
          </rPr>
          <t>{T 01.00.a, r0369, c 0132}=={Z 02.00, r0369, c 0100}_x000D_
DataPointVID 417478_x000D_
DataPointID 417478_x000D_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Related parties/Relationships  =  Intra-group_x000D_
Subordinated  =  Non subordinated</t>
        </r>
      </text>
    </comment>
    <comment ref="O56" authorId="0" shapeId="0">
      <text>
        <r>
          <rPr>
            <sz val="9"/>
            <color indexed="81"/>
            <rFont val="Tahoma"/>
            <family val="2"/>
          </rPr>
          <t>{T 01.00.a, r0369, c 0142}=={Z 02.00, r0369, c 0110}_x000D_
DataPointVID 417479_x000D_
DataPointID 417479_x000D_
Metric  =  Outstanding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Related parties/Relationships  =  Non intra-group_x000D_
Governed by law of an EU Member State  =  False_x000D_
Subordinated  =  Non subordinated</t>
        </r>
      </text>
    </comment>
    <comment ref="C57" authorId="0" shapeId="0">
      <text>
        <r>
          <rPr>
            <sz val="9"/>
            <color indexed="81"/>
            <rFont val="Tahoma"/>
            <family val="2"/>
          </rPr>
          <t>Metric  =  Outstanding amount [mi]_x000D_
Base  =  Liabilities_x000D_
Main category  =  Deposits, Debt securities issued_x000D_
Own funds  =  Non-eligible_x000D_
Subordinated  =  Subordinated financial liabilities_x000D_
Exclusion from Bail-in  =  Not excluded from bail-in</t>
        </r>
      </text>
    </comment>
    <comment ref="D57" authorId="0" shapeId="0">
      <text>
        <r>
          <rPr>
            <sz val="9"/>
            <color indexed="81"/>
            <rFont val="Tahoma"/>
            <family val="2"/>
          </rPr>
          <t>{T 01.00.a, r0370, c 0012}=={Z 02.00, r0370, c 0010}_x000D_
DataPointVID 417585_x000D_
DataPointID 417585_x000D_
Metric  =  Outstanding amount [mi]_x000D_
Base  =  Liabilities_x000D_
Counterparty sector  =  Households_x000D_
Exclusion from Bail-in  =  Not excluded from bail-in_x000D_
Main category  =  Deposits, Debt securities issued_x000D_
Own funds  =  Non-eligible_x000D_
Subordinated  =  Subordinated financial liabilities</t>
        </r>
      </text>
    </comment>
    <comment ref="E57" authorId="0" shapeId="0">
      <text>
        <r>
          <rPr>
            <sz val="9"/>
            <color indexed="81"/>
            <rFont val="Tahoma"/>
            <family val="2"/>
          </rPr>
          <t>{T 01.00.a, r0370, c 0022}=={Z 02.00, r0370, c 0020}_x000D_
DataPointVID 417612_x000D_
DataPointID 417612_x000D_
Metric  =  Outstanding amount [mi]_x000D_
Base  =  Liabilities_x000D_
Counterparty sector  =  Non-financial corporations_x000D_
Size of the counterparty  =  SME_x000D_
Exclusion from Bail-in  =  Not excluded from bail-in_x000D_
Main category  =  Deposits, Debt securities issued_x000D_
Own funds  =  Non-eligible_x000D_
Subordinated  =  Subordinated financial liabilities</t>
        </r>
      </text>
    </comment>
    <comment ref="F57" authorId="0" shapeId="0">
      <text>
        <r>
          <rPr>
            <sz val="9"/>
            <color indexed="81"/>
            <rFont val="Tahoma"/>
            <family val="2"/>
          </rPr>
          <t>{T 01.00.a, r0370, c 0032}=={Z 02.00, r0370, c 0030}_x000D_
DataPointVID 428267_x000D_
DataPointID 417633_x000D_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Subordinated  =  Subordinated financial liabilities</t>
        </r>
      </text>
    </comment>
    <comment ref="G57" authorId="0" shapeId="0">
      <text>
        <r>
          <rPr>
            <sz val="9"/>
            <color indexed="81"/>
            <rFont val="Tahoma"/>
            <family val="2"/>
          </rPr>
          <t>{T 01.00.a, r0370, c 0042}=={Z 02.00, r0370, c 0040}_x000D_
DataPointVID 417560_x000D_
DataPointID 417560_x000D_
Metric  =  Outstanding amount [mi]_x000D_
Base  =  Liabilities_x000D_
Counterparty sector  =  Credit institutions_x000D_
Exclusion from Bail-in  =  Not excluded from bail-in_x000D_
Main category  =  Deposits, Debt securities issued_x000D_
Own funds  =  Non-eligible_x000D_
Subordinated  =  Subordinated financial liabilities</t>
        </r>
      </text>
    </comment>
    <comment ref="H57" authorId="0" shapeId="0">
      <text>
        <r>
          <rPr>
            <sz val="9"/>
            <color indexed="81"/>
            <rFont val="Tahoma"/>
            <family val="2"/>
          </rPr>
          <t>{T 01.00.a, r0370, c 0052}=={Z 02.00, r0370, c 0050}_x000D_
DataPointVID 417683_x000D_
DataPointID 417683_x000D_
Metric  =  Outstanding amount [mi]_x000D_
Base  =  Liabilities_x000D_
Counterparty sector  =  Financial corporations other than credit institutions_x000D_
Exclusion from Bail-in  =  Not excluded from bail-in_x000D_
Main category  =  Deposits, Debt securities issued_x000D_
Own funds  =  Non-eligible_x000D_
Subordinated  =  Subordinated financial liabilities</t>
        </r>
      </text>
    </comment>
    <comment ref="I57" authorId="0" shapeId="0">
      <text>
        <r>
          <rPr>
            <sz val="9"/>
            <color indexed="81"/>
            <rFont val="Tahoma"/>
            <family val="2"/>
          </rPr>
          <t>DataPointVID 417658_x000D_
DataPointID 417658_x000D_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Subordinated  =  Subordinated financial liabilities</t>
        </r>
      </text>
    </comment>
    <comment ref="J57" authorId="0" shapeId="0">
      <text>
        <r>
          <rPr>
            <sz val="9"/>
            <color indexed="81"/>
            <rFont val="Tahoma"/>
            <family val="2"/>
          </rPr>
          <t>{T 01.00.a, r0370, c 0082}=={Z 02.00, r0370, c 0060}_x000D_
DataPointVID 417707_x000D_
DataPointID 417707_x000D_
Metric  =  Outstanding amount [mi]_x000D_
Base  =  Liabilities_x000D_
Counterparty sector  =  Central banks, general governments_x000D_
Exclusion from Bail-in  =  Not excluded from bail-in_x000D_
Main category  =  Deposits, Debt securities issued_x000D_
Own funds  =  Non-eligible_x000D_
Subordinated  =  Subordinated financial liabilities</t>
        </r>
      </text>
    </comment>
    <comment ref="K57" authorId="0" shapeId="0">
      <text>
        <r>
          <rPr>
            <sz val="9"/>
            <color indexed="81"/>
            <rFont val="Tahoma"/>
            <family val="2"/>
          </rPr>
          <t>{T 01.00.a, r0370, c 0092}=={Z 02.00, r0370, c 0070}_x000D_
DataPointVID 417243_x000D_
DataPointID 417243_x000D_
Metric  =  Outstanding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Subordinated  =  Subordinated financial liabilities</t>
        </r>
      </text>
    </comment>
    <comment ref="L57" authorId="0" shapeId="0">
      <text>
        <r>
          <rPr>
            <sz val="9"/>
            <color indexed="81"/>
            <rFont val="Tahoma"/>
            <family val="2"/>
          </rPr>
          <t>{T 01.00.a, r0370, c 0102}=={Z 02.00, r0370, c 0080}_x000D_
DataPointVID 417190_x000D_
DataPointID 417190_x000D_
Metric  =  Outstanding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Subordinated  =  Subordinated financial liabilities</t>
        </r>
      </text>
    </comment>
    <comment ref="M57" authorId="0" shapeId="0">
      <text>
        <r>
          <rPr>
            <sz val="9"/>
            <color indexed="81"/>
            <rFont val="Tahoma"/>
            <family val="2"/>
          </rPr>
          <t>{T 01.00.a, r0370, c 0122}=={Z 02.00, r0370, c 0090}_x000D_
DataPointVID 417770_x000D_
DataPointID 417770_x000D_
Metric  =  Outstanding amount [mi]_x000D_
Base  =  Liabilities_x000D_
Exclusion from Bail-in  =  Not excluded from bail-in_x000D_
Main category  =  Deposits, Debt securities issued_x000D_
Own funds  =  Non-eligible_x000D_
Subordinated  =  Subordinated financial liabilities</t>
        </r>
      </text>
    </comment>
    <comment ref="N57" authorId="0" shapeId="0">
      <text>
        <r>
          <rPr>
            <sz val="9"/>
            <color indexed="81"/>
            <rFont val="Tahoma"/>
            <family val="2"/>
          </rPr>
          <t>{T 01.00.a, r0370, c 0132}=={Z 02.00, r0370, c 0100}_x000D_
DataPointVID 417768_x000D_
DataPointID 417768_x000D_
Metric  =  Outstanding amount [mi]_x000D_
Base  =  Liabilities_x000D_
Exclusion from Bail-in  =  Not excluded from bail-in_x000D_
Main category  =  Deposits, Debt securities issued_x000D_
Own funds  =  Non-eligible_x000D_
Related parties/Relationships  =  Intra-group_x000D_
Subordinated  =  Subordinated financial liabilities</t>
        </r>
      </text>
    </comment>
    <comment ref="O57" authorId="0" shapeId="0">
      <text>
        <r>
          <rPr>
            <sz val="9"/>
            <color indexed="81"/>
            <rFont val="Tahoma"/>
            <family val="2"/>
          </rPr>
          <t>{T 01.00.a, r0370, c 0142}=={Z 02.00, r0370, c 0110}_x000D_
DataPointVID 417769_x000D_
DataPointID 417769_x000D_
Metric  =  Outstanding amount [mi]_x000D_
Base  =  Liabilities_x000D_
Exclusion from Bail-in  =  Not excluded from bail-in_x000D_
Main category  =  Deposits, Debt securities issued_x000D_
Own funds  =  Non-eligible_x000D_
Related parties/Relationships  =  Non intra-group_x000D_
Governed by law of an EU Member State  =  False_x000D_
Subordinated  =  Subordinated financial liabilities</t>
        </r>
      </text>
    </comment>
    <comment ref="C58" authorId="0" shapeId="0">
      <text>
        <r>
          <rPr>
            <sz val="9"/>
            <color indexed="81"/>
            <rFont val="Tahoma"/>
            <family val="2"/>
          </rPr>
          <t>Metric  =  Outstanding amount [mi]_x000D_
Base  =  Liabilities_x000D_
Main category  =  Deposits, Debt securities issued_x000D_
Own funds  =  Non-eligible_x000D_
Residual maturity  =  &lt;= 1 month_x000D_
Subordinated  =  Subordinated financial liabilities_x000D_
Exclusion from Bail-in  =  Not excluded from bail-in_x000D_
Eligibility for MREL  =  Non-eligible</t>
        </r>
      </text>
    </comment>
    <comment ref="D58" authorId="0" shapeId="0">
      <text>
        <r>
          <rPr>
            <sz val="9"/>
            <color indexed="81"/>
            <rFont val="Tahoma"/>
            <family val="2"/>
          </rPr>
          <t>{T 01.00.a, r0371, c 0012}=={Z 02.00, r0371, c 0010}_x000D_
DataPointVID 417581_x000D_
DataPointID 417581_x000D_
Metric  =  Outstanding amount [mi]_x000D_
Base  =  Liabilities_x000D_
Counterparty sector  =  Households_x000D_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E58" authorId="0" shapeId="0">
      <text>
        <r>
          <rPr>
            <sz val="9"/>
            <color indexed="81"/>
            <rFont val="Tahoma"/>
            <family val="2"/>
          </rPr>
          <t>{T 01.00.a, r0371, c 0022}=={Z 02.00, r0371, c 0020}_x000D_
DataPointVID 417608_x000D_
DataPointID 417608_x000D_
Metric  =  Outstanding amount [mi]_x000D_
Base  =  Liabilities_x000D_
Counterparty sector  =  Non-financial corporations_x000D_
Size of the counterparty  =  SME_x000D_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F58" authorId="0" shapeId="0">
      <text>
        <r>
          <rPr>
            <sz val="9"/>
            <color indexed="81"/>
            <rFont val="Tahoma"/>
            <family val="2"/>
          </rPr>
          <t>{T 01.00.a, r0371, c 0032}=={Z 02.00, r0371, c 0030}_x000D_
DataPointVID 428263_x000D_
DataPointID 417629_x000D_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G58" authorId="0" shapeId="0">
      <text>
        <r>
          <rPr>
            <sz val="9"/>
            <color indexed="81"/>
            <rFont val="Tahoma"/>
            <family val="2"/>
          </rPr>
          <t>{T 01.00.a, r0371, c 0042}=={Z 02.00, r0371, c 0040}_x000D_
DataPointVID 417556_x000D_
DataPointID 417556_x000D_
Metric  =  Outstanding amount [mi]_x000D_
Base  =  Liabilities_x000D_
Counterparty sector  =  Credit institutions_x000D_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H58" authorId="0" shapeId="0">
      <text>
        <r>
          <rPr>
            <sz val="9"/>
            <color indexed="81"/>
            <rFont val="Tahoma"/>
            <family val="2"/>
          </rPr>
          <t>{T 01.00.a, r0371, c 0052}=={Z 02.00, r0371, c 0050}_x000D_
DataPointVID 417679_x000D_
DataPointID 417679_x000D_
Metric  =  Outstanding amount [mi]_x000D_
Base  =  Liabilities_x000D_
Counterparty sector  =  Financial corporations other than credit institutions_x000D_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I58" authorId="0" shapeId="0">
      <text>
        <r>
          <rPr>
            <sz val="9"/>
            <color indexed="81"/>
            <rFont val="Tahoma"/>
            <family val="2"/>
          </rPr>
          <t>DataPointVID 417654_x000D_
DataPointID 417654_x000D_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J58" authorId="0" shapeId="0">
      <text>
        <r>
          <rPr>
            <sz val="9"/>
            <color indexed="81"/>
            <rFont val="Tahoma"/>
            <family val="2"/>
          </rPr>
          <t>{T 01.00.a, r0371, c 0082}=={Z 02.00, r0371, c 0060}_x000D_
DataPointVID 417703_x000D_
DataPointID 417703_x000D_
Metric  =  Outstanding amount [mi]_x000D_
Base  =  Liabilities_x000D_
Counterparty sector  =  Central banks, general governments_x000D_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K58" authorId="0" shapeId="0">
      <text>
        <r>
          <rPr>
            <sz val="9"/>
            <color indexed="81"/>
            <rFont val="Tahoma"/>
            <family val="2"/>
          </rPr>
          <t>{T 01.00.a, r0371, c 0092}=={Z 02.00, r0371, c 0070}_x000D_
DataPointVID 417239_x000D_
DataPointID 417239_x000D_
Metric  =  Outstanding amount [mi]_x000D_
Base  =  Liabilities_x000D_
Instrument is listed on exchange  =  True_x000D_
Counterparty sector  =  Unknown counterparty_x000D_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L58" authorId="0" shapeId="0">
      <text>
        <r>
          <rPr>
            <sz val="9"/>
            <color indexed="81"/>
            <rFont val="Tahoma"/>
            <family val="2"/>
          </rPr>
          <t>{T 01.00.a, r0371, c 0102}=={Z 02.00, r0371, c 0080}_x000D_
DataPointVID 417186_x000D_
DataPointID 417186_x000D_
Metric  =  Outstanding amount [mi]_x000D_
Base  =  Liabilities_x000D_
Instrument is listed on exchange  =  False_x000D_
Counterparty sector  =  Unknown counterparty_x000D_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M58" authorId="0" shapeId="0">
      <text>
        <r>
          <rPr>
            <sz val="9"/>
            <color indexed="81"/>
            <rFont val="Tahoma"/>
            <family val="2"/>
          </rPr>
          <t>{T 01.00.a, r0371, c 0122}=={Z 02.00, r0371, c 0090}_x000D_
DataPointVID 417758_x000D_
DataPointID 417758_x000D_
Metric  =  Outstanding amount [mi]_x000D_
Base  =  Liabilities_x000D_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N58" authorId="0" shapeId="0">
      <text>
        <r>
          <rPr>
            <sz val="9"/>
            <color indexed="81"/>
            <rFont val="Tahoma"/>
            <family val="2"/>
          </rPr>
          <t>{T 01.00.a, r0371, c 0132}=={Z 02.00, r0371, c 0100}_x000D_
DataPointVID 417756_x000D_
DataPointID 417756_x000D_
Metric  =  Outstanding amount [mi]_x000D_
Base  =  Liabilities_x000D_
Exclusion from Bail-in  =  Not excluded from bail-in_x000D_
Main category  =  Deposits, Debt securities issued_x000D_
Eligibility for MREL  =  Non-eligible_x000D_
Own funds  =  Non-eligible_x000D_
Residual maturity  =  &lt;= 1 month_x000D_
Related parties/Relationships  =  Intra-group_x000D_
Subordinated  =  Subordinated financial liabilities</t>
        </r>
      </text>
    </comment>
    <comment ref="O58" authorId="0" shapeId="0">
      <text>
        <r>
          <rPr>
            <sz val="9"/>
            <color indexed="81"/>
            <rFont val="Tahoma"/>
            <family val="2"/>
          </rPr>
          <t>{T 01.00.a, r0371, c 0142}=={Z 02.00, r0371, c 0110}_x000D_
DataPointVID 417757_x000D_
DataPointID 417757_x000D_
Metric  =  Outstanding amount [mi]_x000D_
Base  =  Liabilities_x000D_
Exclusion from Bail-in  =  Not excluded from bail-in_x000D_
Main category  =  Deposits, Debt securities issued_x000D_
Eligibility for MREL  =  Non-eligible_x000D_
Own funds  =  Non-eligible_x000D_
Residual maturity  =  &lt;= 1 month_x000D_
Related parties/Relationships  =  Non intra-group_x000D_
Governed by law of an EU Member State  =  False_x000D_
Subordinated  =  Subordinated financial liabilities</t>
        </r>
      </text>
    </comment>
    <comment ref="C59" authorId="0" shapeId="0">
      <text>
        <r>
          <rPr>
            <sz val="9"/>
            <color indexed="81"/>
            <rFont val="Tahoma"/>
            <family val="2"/>
          </rPr>
          <t>Metric  =  Outstanding amount [mi]_x000D_
Base  =  Liabilities_x000D_
Main category  =  Deposits, Debt securities issued_x000D_
Own funds  =  Non-eligible_x000D_
Residual maturity  =  &gt; 1 month &lt; 1 year_x000D_
Subordinated  =  Subordinated financial liabilities_x000D_
Exclusion from Bail-in  =  Not excluded from bail-in_x000D_
Eligibility for MREL  =  Non-eligible</t>
        </r>
      </text>
    </comment>
    <comment ref="D59" authorId="0" shapeId="0">
      <text>
        <r>
          <rPr>
            <sz val="9"/>
            <color indexed="81"/>
            <rFont val="Tahoma"/>
            <family val="2"/>
          </rPr>
          <t>{T 01.00.a, r0372, c 0012}=={Z 02.00, r0372, c 0010}_x000D_
DataPointVID 417582_x000D_
DataPointID 417582_x000D_
Metric  =  Outstanding amount [mi]_x000D_
Base  =  Liabilities_x000D_
Counterparty sector  =  Households_x000D_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E59" authorId="0" shapeId="0">
      <text>
        <r>
          <rPr>
            <sz val="9"/>
            <color indexed="81"/>
            <rFont val="Tahoma"/>
            <family val="2"/>
          </rPr>
          <t>{T 01.00.a, r0372, c 0022}=={Z 02.00, r0372, c 0020}_x000D_
DataPointVID 417609_x000D_
DataPointID 417609_x000D_
Metric  =  Outstanding amount [mi]_x000D_
Base  =  Liabilities_x000D_
Counterparty sector  =  Non-financial corporations_x000D_
Size of the counterparty  =  SME_x000D_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F59" authorId="0" shapeId="0">
      <text>
        <r>
          <rPr>
            <sz val="9"/>
            <color indexed="81"/>
            <rFont val="Tahoma"/>
            <family val="2"/>
          </rPr>
          <t>{T 01.00.a, r0372, c 0032}=={Z 02.00, r0372, c 0030}_x000D_
DataPointVID 428264_x000D_
DataPointID 417630_x000D_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G59" authorId="0" shapeId="0">
      <text>
        <r>
          <rPr>
            <sz val="9"/>
            <color indexed="81"/>
            <rFont val="Tahoma"/>
            <family val="2"/>
          </rPr>
          <t>{T 01.00.a, r0372, c 0042}=={Z 02.00, r0372, c 0040}_x000D_
DataPointVID 417557_x000D_
DataPointID 417557_x000D_
Metric  =  Outstanding amount [mi]_x000D_
Base  =  Liabilities_x000D_
Counterparty sector  =  Credit institutions_x000D_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H59" authorId="0" shapeId="0">
      <text>
        <r>
          <rPr>
            <sz val="9"/>
            <color indexed="81"/>
            <rFont val="Tahoma"/>
            <family val="2"/>
          </rPr>
          <t>{T 01.00.a, r0372, c 0052}=={Z 02.00, r0372, c 0050}_x000D_
DataPointVID 417680_x000D_
DataPointID 417680_x000D_
Metric  =  Outstanding amount [mi]_x000D_
Base  =  Liabilities_x000D_
Counterparty sector  =  Financial corporations other than credit institutions_x000D_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I59" authorId="0" shapeId="0">
      <text>
        <r>
          <rPr>
            <sz val="9"/>
            <color indexed="81"/>
            <rFont val="Tahoma"/>
            <family val="2"/>
          </rPr>
          <t>DataPointVID 417655_x000D_
DataPointID 417655_x000D_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J59" authorId="0" shapeId="0">
      <text>
        <r>
          <rPr>
            <sz val="9"/>
            <color indexed="81"/>
            <rFont val="Tahoma"/>
            <family val="2"/>
          </rPr>
          <t>{T 01.00.a, r0372, c 0082}=={Z 02.00, r0372, c 0060}_x000D_
DataPointVID 417704_x000D_
DataPointID 417704_x000D_
Metric  =  Outstanding amount [mi]_x000D_
Base  =  Liabilities_x000D_
Counterparty sector  =  Central banks, general governments_x000D_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K59" authorId="0" shapeId="0">
      <text>
        <r>
          <rPr>
            <sz val="9"/>
            <color indexed="81"/>
            <rFont val="Tahoma"/>
            <family val="2"/>
          </rPr>
          <t>{T 01.00.a, r0372, c 0092}=={Z 02.00, r0372, c 0070}_x000D_
DataPointVID 417240_x000D_
DataPointID 417240_x000D_
Metric  =  Outstanding amount [mi]_x000D_
Base  =  Liabilities_x000D_
Instrument is listed on exchange  =  True_x000D_
Counterparty sector  =  Unknown counterparty_x000D_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L59" authorId="0" shapeId="0">
      <text>
        <r>
          <rPr>
            <sz val="9"/>
            <color indexed="81"/>
            <rFont val="Tahoma"/>
            <family val="2"/>
          </rPr>
          <t>{T 01.00.a, r0372, c 0102}=={Z 02.00, r0372, c 0080}_x000D_
DataPointVID 417187_x000D_
DataPointID 417187_x000D_
Metric  =  Outstanding amount [mi]_x000D_
Base  =  Liabilities_x000D_
Instrument is listed on exchange  =  False_x000D_
Counterparty sector  =  Unknown counterparty_x000D_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M59" authorId="0" shapeId="0">
      <text>
        <r>
          <rPr>
            <sz val="9"/>
            <color indexed="81"/>
            <rFont val="Tahoma"/>
            <family val="2"/>
          </rPr>
          <t>{T 01.00.a, r0372, c 0122}=={Z 02.00, r0372, c 0090}_x000D_
DataPointVID 417761_x000D_
DataPointID 417761_x000D_
Metric  =  Outstanding amount [mi]_x000D_
Base  =  Liabilities_x000D_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N59" authorId="0" shapeId="0">
      <text>
        <r>
          <rPr>
            <sz val="9"/>
            <color indexed="81"/>
            <rFont val="Tahoma"/>
            <family val="2"/>
          </rPr>
          <t>{T 01.00.a, r0372, c 0132}=={Z 02.00, r0372, c 0100}_x000D_
DataPointVID 417759_x000D_
DataPointID 417759_x000D_
Metric  =  Outstanding amount [mi]_x000D_
Base  =  Liabilities_x000D_
Exclusion from Bail-in  =  Not excluded from bail-in_x000D_
Main category  =  Deposits, Debt securities issued_x000D_
Eligibility for MREL  =  Non-eligible_x000D_
Own funds  =  Non-eligible_x000D_
Residual maturity  =  &gt; 1 month &lt; 1 year_x000D_
Related parties/Relationships  =  Intra-group_x000D_
Subordinated  =  Subordinated financial liabilities</t>
        </r>
      </text>
    </comment>
    <comment ref="O59" authorId="0" shapeId="0">
      <text>
        <r>
          <rPr>
            <sz val="9"/>
            <color indexed="81"/>
            <rFont val="Tahoma"/>
            <family val="2"/>
          </rPr>
          <t>{T 01.00.a, r0372, c 0142}=={Z 02.00, r0372, c 0110}_x000D_
DataPointVID 417760_x000D_
DataPointID 417760_x000D_
Metric  =  Outstanding amount [mi]_x000D_
Base  =  Liabilities_x000D_
Exclusion from Bail-in  =  Not excluded from bail-in_x000D_
Main category  =  Deposits, Debt securities issued_x000D_
Eligibility for MREL  =  Non-eligible_x000D_
Own funds  =  Non-eligible_x000D_
Residual maturity  =  &gt; 1 month &lt; 1 year_x000D_
Related parties/Relationships  =  Non intra-group_x000D_
Governed by law of an EU Member State  =  False_x000D_
Subordinated  =  Subordinated financial liabilities</t>
        </r>
      </text>
    </comment>
    <comment ref="C60" authorId="0" shapeId="0">
      <text>
        <r>
          <rPr>
            <sz val="9"/>
            <color indexed="81"/>
            <rFont val="Tahoma"/>
            <family val="2"/>
          </rPr>
          <t>Metric  =  Outstanding amount [mi]_x000D_
Base  =  Liabilities_x000D_
Main category  =  Deposits, Debt securities issued_x000D_
Own funds  =  Non-eligible_x000D_
Residual maturity  =  &gt;= 1 year &lt; 2 years_x000D_
Subordinated  =  Subordinated financial liabilities_x000D_
Exclusion from Bail-in  =  Not excluded from bail-in</t>
        </r>
      </text>
    </comment>
    <comment ref="D60" authorId="0" shapeId="0">
      <text>
        <r>
          <rPr>
            <sz val="9"/>
            <color indexed="81"/>
            <rFont val="Tahoma"/>
            <family val="2"/>
          </rPr>
          <t>{T 01.00.a, r0373, c 0012}=={Z 02.00, r0373, c 0010}_x000D_
DataPointVID 417583_x000D_
DataPointID 417583_x000D_
Metric  =  Outstanding amount [mi]_x000D_
Base  =  Liabilities_x000D_
Counterparty sector  =  Households_x000D_
Exclusion from Bail-in  =  Not excluded from bail-in_x000D_
Main category  =  Deposits, Debt securities issued_x000D_
Own funds  =  Non-eligible_x000D_
Residual maturity  =  &gt;= 1 year &lt; 2 years_x000D_
Subordinated  =  Subordinated financial liabilities</t>
        </r>
      </text>
    </comment>
    <comment ref="E60" authorId="0" shapeId="0">
      <text>
        <r>
          <rPr>
            <sz val="9"/>
            <color indexed="81"/>
            <rFont val="Tahoma"/>
            <family val="2"/>
          </rPr>
          <t>{T 01.00.a, r0373, c 0022}=={Z 02.00, r0373, c 0020}_x000D_
DataPointVID 417610_x000D_
DataPointID 417610_x000D_
Metric  =  Outstanding amount [mi]_x000D_
Base  =  Liabilities_x000D_
Counterparty sector  =  Non-financial corporations_x000D_
Size of the counterparty  =  SME_x000D_
Exclusion from Bail-in  =  Not excluded from bail-in_x000D_
Main category  =  Deposits, Debt securities issued_x000D_
Own funds  =  Non-eligible_x000D_
Residual maturity  =  &gt;= 1 year &lt; 2 years_x000D_
Subordinated  =  Subordinated financial liabilities</t>
        </r>
      </text>
    </comment>
    <comment ref="F60" authorId="0" shapeId="0">
      <text>
        <r>
          <rPr>
            <sz val="9"/>
            <color indexed="81"/>
            <rFont val="Tahoma"/>
            <family val="2"/>
          </rPr>
          <t>{T 01.00.a, r0373, c 0032}=={Z 02.00, r0373, c 0030}_x000D_
DataPointVID 428265_x000D_
DataPointID 417631_x000D_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Residual maturity  =  &gt;= 1 year &lt; 2 years_x000D_
Subordinated  =  Subordinated financial liabilities</t>
        </r>
      </text>
    </comment>
    <comment ref="G60" authorId="0" shapeId="0">
      <text>
        <r>
          <rPr>
            <sz val="9"/>
            <color indexed="81"/>
            <rFont val="Tahoma"/>
            <family val="2"/>
          </rPr>
          <t>{T 01.00.a, r0373, c 0042}=={Z 02.00, r0373, c 0040}_x000D_
DataPointVID 417558_x000D_
DataPointID 417558_x000D_
Metric  =  Outstanding amount [mi]_x000D_
Base  =  Liabilities_x000D_
Counterparty sector  =  Credit institutions_x000D_
Exclusion from Bail-in  =  Not excluded from bail-in_x000D_
Main category  =  Deposits, Debt securities issued_x000D_
Own funds  =  Non-eligible_x000D_
Residual maturity  =  &gt;= 1 year &lt; 2 years_x000D_
Subordinated  =  Subordinated financial liabilities</t>
        </r>
      </text>
    </comment>
    <comment ref="H60" authorId="0" shapeId="0">
      <text>
        <r>
          <rPr>
            <sz val="9"/>
            <color indexed="81"/>
            <rFont val="Tahoma"/>
            <family val="2"/>
          </rPr>
          <t>{T 01.00.a, r0373, c 0052}=={Z 02.00, r0373, c 0050}_x000D_
DataPointVID 417681_x000D_
DataPointID 417681_x000D_
Metric  =  Outstanding amount [mi]_x000D_
Base  =  Liabilities_x000D_
Counterparty sector  =  Financial corporations other than credit institutions_x000D_
Exclusion from Bail-in  =  Not excluded from bail-in_x000D_
Main category  =  Deposits, Debt securities issued_x000D_
Own funds  =  Non-eligible_x000D_
Residual maturity  =  &gt;= 1 year &lt; 2 years_x000D_
Subordinated  =  Subordinated financial liabilities</t>
        </r>
      </text>
    </comment>
    <comment ref="I60" authorId="0" shapeId="0">
      <text>
        <r>
          <rPr>
            <sz val="9"/>
            <color indexed="81"/>
            <rFont val="Tahoma"/>
            <family val="2"/>
          </rPr>
          <t>DataPointVID 417656_x000D_
DataPointID 417656_x000D_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Residual maturity  =  &gt;= 1 year &lt; 2 years_x000D_
Subordinated  =  Subordinated financial liabilities</t>
        </r>
      </text>
    </comment>
    <comment ref="J60" authorId="0" shapeId="0">
      <text>
        <r>
          <rPr>
            <sz val="9"/>
            <color indexed="81"/>
            <rFont val="Tahoma"/>
            <family val="2"/>
          </rPr>
          <t>{T 01.00.a, r0373, c 0082}=={Z 02.00, r0373, c 0060}_x000D_
DataPointVID 417705_x000D_
DataPointID 417705_x000D_
Metric  =  Outstanding amount [mi]_x000D_
Base  =  Liabilities_x000D_
Counterparty sector  =  Central banks, general governments_x000D_
Exclusion from Bail-in  =  Not excluded from bail-in_x000D_
Main category  =  Deposits, Debt securities issued_x000D_
Own funds  =  Non-eligible_x000D_
Residual maturity  =  &gt;= 1 year &lt; 2 years_x000D_
Subordinated  =  Subordinated financial liabilities</t>
        </r>
      </text>
    </comment>
    <comment ref="K60" authorId="0" shapeId="0">
      <text>
        <r>
          <rPr>
            <sz val="9"/>
            <color indexed="81"/>
            <rFont val="Tahoma"/>
            <family val="2"/>
          </rPr>
          <t>{T 01.00.a, r0373, c 0092}=={Z 02.00, r0373, c 0070}_x000D_
DataPointVID 417241_x000D_
DataPointID 417241_x000D_
Metric  =  Outstanding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Residual maturity  =  &gt;= 1 year &lt; 2 years_x000D_
Subordinated  =  Subordinated financial liabilities</t>
        </r>
      </text>
    </comment>
    <comment ref="L60" authorId="0" shapeId="0">
      <text>
        <r>
          <rPr>
            <sz val="9"/>
            <color indexed="81"/>
            <rFont val="Tahoma"/>
            <family val="2"/>
          </rPr>
          <t>{T 01.00.a, r0373, c 0102}=={Z 02.00, r0373, c 0080}_x000D_
DataPointVID 417188_x000D_
DataPointID 417188_x000D_
Metric  =  Outstanding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Residual maturity  =  &gt;= 1 year &lt; 2 years_x000D_
Subordinated  =  Subordinated financial liabilities</t>
        </r>
      </text>
    </comment>
    <comment ref="M60" authorId="0" shapeId="0">
      <text>
        <r>
          <rPr>
            <sz val="9"/>
            <color indexed="81"/>
            <rFont val="Tahoma"/>
            <family val="2"/>
          </rPr>
          <t>{T 01.00.a, r0373, c 0122}=={Z 02.00, r0373, c 0090}_x000D_
DataPointVID 417764_x000D_
DataPointID 417764_x000D_
Metric  =  Outstanding amount [mi]_x000D_
Base  =  Liabilities_x000D_
Exclusion from Bail-in  =  Not excluded from bail-in_x000D_
Main category  =  Deposits, Debt securities issued_x000D_
Own funds  =  Non-eligible_x000D_
Residual maturity  =  &gt;= 1 year &lt; 2 years_x000D_
Subordinated  =  Subordinated financial liabilities</t>
        </r>
      </text>
    </comment>
    <comment ref="N60" authorId="0" shapeId="0">
      <text>
        <r>
          <rPr>
            <sz val="9"/>
            <color indexed="81"/>
            <rFont val="Tahoma"/>
            <family val="2"/>
          </rPr>
          <t>{T 01.00.a, r0373, c 0132}=={Z 02.00, r0373, c 0100}_x000D_
DataPointVID 417762_x000D_
DataPointID 417762_x000D_
Metric  =  Outstanding amount [mi]_x000D_
Base  =  Liabilities_x000D_
Exclusion from Bail-in  =  Not excluded from bail-in_x000D_
Main category  =  Deposits, Debt securities issued_x000D_
Own funds  =  Non-eligible_x000D_
Residual maturity  =  &gt;= 1 year &lt; 2 years_x000D_
Related parties/Relationships  =  Intra-group_x000D_
Subordinated  =  Subordinated financial liabilities</t>
        </r>
      </text>
    </comment>
    <comment ref="O60" authorId="0" shapeId="0">
      <text>
        <r>
          <rPr>
            <sz val="9"/>
            <color indexed="81"/>
            <rFont val="Tahoma"/>
            <family val="2"/>
          </rPr>
          <t>{T 01.00.a, r0373, c 0142}=={Z 02.00, r0373, c 0110}_x000D_
DataPointVID 417763_x000D_
DataPointID 417763_x000D_
Metric  =  Outstanding amount [mi]_x000D_
Base  =  Liabilities_x000D_
Exclusion from Bail-in  =  Not excluded from bail-in_x000D_
Main category  =  Deposits, Debt securities issued_x000D_
Own funds  =  Non-eligible_x000D_
Residual maturity  =  &gt;= 1 year &lt; 2 years_x000D_
Related parties/Relationships  =  Non intra-group_x000D_
Governed by law of an EU Member State  =  False_x000D_
Subordinated  =  Subordinated financial liabilities</t>
        </r>
      </text>
    </comment>
    <comment ref="C61" authorId="0" shapeId="0">
      <text>
        <r>
          <rPr>
            <sz val="9"/>
            <color indexed="81"/>
            <rFont val="Tahoma"/>
            <family val="2"/>
          </rPr>
          <t>Metric  =  Outstanding amount [mi]_x000D_
Base  =  Liabilities_x000D_
Main category  =  Deposits, Debt securities issued_x000D_
Own funds  =  Non-eligible_x000D_
Residual maturity  =  &gt;= 2 years_x000D_
Subordinated  =  Subordinated financial liabilities_x000D_
Exclusion from Bail-in  =  Not excluded from bail-in</t>
        </r>
      </text>
    </comment>
    <comment ref="D61" authorId="0" shapeId="0">
      <text>
        <r>
          <rPr>
            <sz val="9"/>
            <color indexed="81"/>
            <rFont val="Tahoma"/>
            <family val="2"/>
          </rPr>
          <t>{T 01.00.a, r0374, c 0012}=={Z 02.00, r0374, c 0010}_x000D_
DataPointVID 417584_x000D_
DataPointID 417584_x000D_
Metric  =  Outstanding amount [mi]_x000D_
Base  =  Liabilities_x000D_
Counterparty sector  =  Households_x000D_
Exclusion from Bail-in  =  Not excluded from bail-in_x000D_
Main category  =  Deposits, Debt securities issued_x000D_
Own funds  =  Non-eligible_x000D_
Residual maturity  =  &gt;= 2 years_x000D_
Subordinated  =  Subordinated financial liabilities</t>
        </r>
      </text>
    </comment>
    <comment ref="E61" authorId="0" shapeId="0">
      <text>
        <r>
          <rPr>
            <sz val="9"/>
            <color indexed="81"/>
            <rFont val="Tahoma"/>
            <family val="2"/>
          </rPr>
          <t>{T 01.00.a, r0374, c 0022}=={Z 02.00, r0374, c 0020}_x000D_
DataPointVID 417611_x000D_
DataPointID 417611_x000D_
Metric  =  Outstanding amount [mi]_x000D_
Base  =  Liabilities_x000D_
Counterparty sector  =  Non-financial corporations_x000D_
Size of the counterparty  =  SME_x000D_
Exclusion from Bail-in  =  Not excluded from bail-in_x000D_
Main category  =  Deposits, Debt securities issued_x000D_
Own funds  =  Non-eligible_x000D_
Residual maturity  =  &gt;= 2 years_x000D_
Subordinated  =  Subordinated financial liabilities</t>
        </r>
      </text>
    </comment>
    <comment ref="F61" authorId="0" shapeId="0">
      <text>
        <r>
          <rPr>
            <sz val="9"/>
            <color indexed="81"/>
            <rFont val="Tahoma"/>
            <family val="2"/>
          </rPr>
          <t>{T 01.00.a, r0374, c 0032}=={Z 02.00, r0374, c 0030}_x000D_
DataPointVID 428266_x000D_
DataPointID 417632_x000D_
Metric  =  Outstanding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Residual maturity  =  &gt;= 2 years_x000D_
Subordinated  =  Subordinated financial liabilities</t>
        </r>
      </text>
    </comment>
    <comment ref="G61" authorId="0" shapeId="0">
      <text>
        <r>
          <rPr>
            <sz val="9"/>
            <color indexed="81"/>
            <rFont val="Tahoma"/>
            <family val="2"/>
          </rPr>
          <t>{T 01.00.a, r0374, c 0042}=={Z 02.00, r0374, c 0040}_x000D_
DataPointVID 417559_x000D_
DataPointID 417559_x000D_
Metric  =  Outstanding amount [mi]_x000D_
Base  =  Liabilities_x000D_
Counterparty sector  =  Credit institutions_x000D_
Exclusion from Bail-in  =  Not excluded from bail-in_x000D_
Main category  =  Deposits, Debt securities issued_x000D_
Own funds  =  Non-eligible_x000D_
Residual maturity  =  &gt;= 2 years_x000D_
Subordinated  =  Subordinated financial liabilities</t>
        </r>
      </text>
    </comment>
    <comment ref="H61" authorId="0" shapeId="0">
      <text>
        <r>
          <rPr>
            <sz val="9"/>
            <color indexed="81"/>
            <rFont val="Tahoma"/>
            <family val="2"/>
          </rPr>
          <t>{T 01.00.a, r0374, c 0052}=={Z 02.00, r0374, c 0050}_x000D_
DataPointVID 417682_x000D_
DataPointID 417682_x000D_
Metric  =  Outstanding amount [mi]_x000D_
Base  =  Liabilities_x000D_
Counterparty sector  =  Financial corporations other than credit institutions_x000D_
Exclusion from Bail-in  =  Not excluded from bail-in_x000D_
Main category  =  Deposits, Debt securities issued_x000D_
Own funds  =  Non-eligible_x000D_
Residual maturity  =  &gt;= 2 years_x000D_
Subordinated  =  Subordinated financial liabilities</t>
        </r>
      </text>
    </comment>
    <comment ref="I61" authorId="0" shapeId="0">
      <text>
        <r>
          <rPr>
            <sz val="9"/>
            <color indexed="81"/>
            <rFont val="Tahoma"/>
            <family val="2"/>
          </rPr>
          <t>DataPointVID 417657_x000D_
DataPointID 417657_x000D_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Residual maturity  =  &gt;= 2 years_x000D_
Subordinated  =  Subordinated financial liabilities</t>
        </r>
      </text>
    </comment>
    <comment ref="J61" authorId="0" shapeId="0">
      <text>
        <r>
          <rPr>
            <sz val="9"/>
            <color indexed="81"/>
            <rFont val="Tahoma"/>
            <family val="2"/>
          </rPr>
          <t>{T 01.00.a, r0374, c 0082}=={Z 02.00, r0374, c 0060}_x000D_
DataPointVID 417706_x000D_
DataPointID 417706_x000D_
Metric  =  Outstanding amount [mi]_x000D_
Base  =  Liabilities_x000D_
Counterparty sector  =  Central banks, general governments_x000D_
Exclusion from Bail-in  =  Not excluded from bail-in_x000D_
Main category  =  Deposits, Debt securities issued_x000D_
Own funds  =  Non-eligible_x000D_
Residual maturity  =  &gt;= 2 years_x000D_
Subordinated  =  Subordinated financial liabilities</t>
        </r>
      </text>
    </comment>
    <comment ref="K61" authorId="0" shapeId="0">
      <text>
        <r>
          <rPr>
            <sz val="9"/>
            <color indexed="81"/>
            <rFont val="Tahoma"/>
            <family val="2"/>
          </rPr>
          <t>{T 01.00.a, r0374, c 0092}=={Z 02.00, r0374, c 0070}_x000D_
DataPointVID 417242_x000D_
DataPointID 417242_x000D_
Metric  =  Outstanding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Residual maturity  =  &gt;= 2 years_x000D_
Subordinated  =  Subordinated financial liabilities</t>
        </r>
      </text>
    </comment>
    <comment ref="L61" authorId="0" shapeId="0">
      <text>
        <r>
          <rPr>
            <sz val="9"/>
            <color indexed="81"/>
            <rFont val="Tahoma"/>
            <family val="2"/>
          </rPr>
          <t>{T 01.00.a, r0374, c 0102}=={Z 02.00, r0374, c 0080}_x000D_
DataPointVID 417189_x000D_
DataPointID 417189_x000D_
Metric  =  Outstanding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Residual maturity  =  &gt;= 2 years_x000D_
Subordinated  =  Subordinated financial liabilities</t>
        </r>
      </text>
    </comment>
    <comment ref="M61" authorId="0" shapeId="0">
      <text>
        <r>
          <rPr>
            <sz val="9"/>
            <color indexed="81"/>
            <rFont val="Tahoma"/>
            <family val="2"/>
          </rPr>
          <t>{T 01.00.a, r0374, c 0122}=={Z 02.00, r0374, c 0090}_x000D_
DataPointVID 417767_x000D_
DataPointID 417767_x000D_
Metric  =  Outstanding amount [mi]_x000D_
Base  =  Liabilities_x000D_
Exclusion from Bail-in  =  Not excluded from bail-in_x000D_
Main category  =  Deposits, Debt securities issued_x000D_
Own funds  =  Non-eligible_x000D_
Residual maturity  =  &gt;= 2 years_x000D_
Subordinated  =  Subordinated financial liabilities</t>
        </r>
      </text>
    </comment>
    <comment ref="N61" authorId="0" shapeId="0">
      <text>
        <r>
          <rPr>
            <sz val="9"/>
            <color indexed="81"/>
            <rFont val="Tahoma"/>
            <family val="2"/>
          </rPr>
          <t>{T 01.00.a, r0374, c 0132}=={Z 02.00, r0374, c 0100}_x000D_
DataPointVID 417765_x000D_
DataPointID 417765_x000D_
Metric  =  Outstanding amount [mi]_x000D_
Base  =  Liabilities_x000D_
Exclusion from Bail-in  =  Not excluded from bail-in_x000D_
Main category  =  Deposits, Debt securities issued_x000D_
Own funds  =  Non-eligible_x000D_
Residual maturity  =  &gt;= 2 years_x000D_
Related parties/Relationships  =  Intra-group_x000D_
Subordinated  =  Subordinated financial liabilities</t>
        </r>
      </text>
    </comment>
    <comment ref="O61" authorId="0" shapeId="0">
      <text>
        <r>
          <rPr>
            <sz val="9"/>
            <color indexed="81"/>
            <rFont val="Tahoma"/>
            <family val="2"/>
          </rPr>
          <t>{T 01.00.a, r0374, c 0142}=={Z 02.00, r0374, c 0110}_x000D_
DataPointVID 417766_x000D_
DataPointID 417766_x000D_
Metric  =  Outstanding amount [mi]_x000D_
Base  =  Liabilities_x000D_
Exclusion from Bail-in  =  Not excluded from bail-in_x000D_
Main category  =  Deposits, Debt securities issued_x000D_
Own funds  =  Non-eligible_x000D_
Residual maturity  =  &gt;= 2 years_x000D_
Related parties/Relationships  =  Non intra-group_x000D_
Governed by law of an EU Member State  =  False_x000D_
Subordinated  =  Subordinated financial liabilities</t>
        </r>
      </text>
    </comment>
    <comment ref="C62" authorId="0" shapeId="0">
      <text>
        <r>
          <rPr>
            <sz val="9"/>
            <color indexed="81"/>
            <rFont val="Tahoma"/>
            <family val="2"/>
          </rPr>
          <t>Metric  =  Outstanding amount [mi]_x000D_
Base  =  Liabilities_x000D_
Exclusion from Bail-in  =  Not excluded from bail-in_x000D_
Eligibility for MREL  =  Eligible</t>
        </r>
      </text>
    </comment>
    <comment ref="D62" authorId="0" shapeId="0">
      <text>
        <r>
          <rPr>
            <sz val="9"/>
            <color indexed="81"/>
            <rFont val="Tahoma"/>
            <family val="2"/>
          </rPr>
          <t>{T 01.00.a, r0380, c 0012}=={Z 02.00, r0380, c 0010}_x000D_
DataPointVID 417592_x000D_
DataPointID 417592_x000D_
Metric  =  Outstanding amount [mi]_x000D_
Base  =  Liabilities_x000D_
Counterparty sector  =  Households_x000D_
Exclusion from Bail-in  =  Not excluded from bail-in_x000D_
Eligibility for MREL  =  Eligible</t>
        </r>
      </text>
    </comment>
    <comment ref="E62" authorId="0" shapeId="0">
      <text>
        <r>
          <rPr>
            <sz val="9"/>
            <color indexed="81"/>
            <rFont val="Tahoma"/>
            <family val="2"/>
          </rPr>
          <t>{T 01.00.a, r0380, c 0022}=={Z 02.00, r0380, c 0020}_x000D_
DataPointVID 417619_x000D_
DataPointID 417619_x000D_
Metric  =  Outstanding amount [mi]_x000D_
Base  =  Liabilities_x000D_
Counterparty sector  =  Non-financial corporations_x000D_
Size of the counterparty  =  SME_x000D_
Exclusion from Bail-in  =  Not excluded from bail-in_x000D_
Eligibility for MREL  =  Eligible</t>
        </r>
      </text>
    </comment>
    <comment ref="F62" authorId="0" shapeId="0">
      <text>
        <r>
          <rPr>
            <sz val="9"/>
            <color indexed="81"/>
            <rFont val="Tahoma"/>
            <family val="2"/>
          </rPr>
          <t>{T 01.00.a, r0380, c 0032}=={Z 02.00, r0380, c 0030}_x000D_
DataPointVID 428274_x000D_
DataPointID 417640_x000D_
Metric  =  Outstanding amount [mi]_x000D_
Base  =  Liabilities_x000D_
Counterparty sector  =  Non-financial corporations_x000D_
Size of the counterparty  =  Counterparties other than SME_x000D_
Exclusion from Bail-in  =  Not excluded from bail-in_x000D_
Eligibility for MREL  =  Eligible</t>
        </r>
      </text>
    </comment>
    <comment ref="G62" authorId="0" shapeId="0">
      <text>
        <r>
          <rPr>
            <sz val="9"/>
            <color indexed="81"/>
            <rFont val="Tahoma"/>
            <family val="2"/>
          </rPr>
          <t>{T 01.00.a, r0380, c 0042}=={Z 02.00, r0380, c 0040}_x000D_
DataPointVID 417567_x000D_
DataPointID 417567_x000D_
Metric  =  Outstanding amount [mi]_x000D_
Base  =  Liabilities_x000D_
Counterparty sector  =  Credit institutions_x000D_
Exclusion from Bail-in  =  Not excluded from bail-in_x000D_
Eligibility for MREL  =  Eligible</t>
        </r>
      </text>
    </comment>
    <comment ref="H62" authorId="0" shapeId="0">
      <text>
        <r>
          <rPr>
            <sz val="9"/>
            <color indexed="81"/>
            <rFont val="Tahoma"/>
            <family val="2"/>
          </rPr>
          <t>{T 01.00.a, r0380, c 0052}=={Z 02.00, r0380, c 0050}_x000D_
DataPointVID 417690_x000D_
DataPointID 417690_x000D_
Metric  =  Outstanding amount [mi]_x000D_
Base  =  Liabilities_x000D_
Counterparty sector  =  Financial corporations other than credit institutions_x000D_
Exclusion from Bail-in  =  Not excluded from bail-in_x000D_
Eligibility for MREL  =  Eligible</t>
        </r>
      </text>
    </comment>
    <comment ref="I62" authorId="0" shapeId="0">
      <text>
        <r>
          <rPr>
            <sz val="9"/>
            <color indexed="81"/>
            <rFont val="Tahoma"/>
            <family val="2"/>
          </rPr>
          <t>DataPointVID 417665_x000D_
DataPointID 417665_x000D_
Metric  =  Outstanding amount [mi]_x000D_
Base  =  Liabilities_x000D_
Counterparty sector  =  Financial corporations other than credit institutions_x000D_
Counterparty nature 2  =  Insurance companies, pension funds_x000D_
Exclusion from Bail-in  =  Not excluded from bail-in_x000D_
Eligibility for MREL  =  Eligible</t>
        </r>
      </text>
    </comment>
    <comment ref="J62" authorId="0" shapeId="0">
      <text>
        <r>
          <rPr>
            <sz val="9"/>
            <color indexed="81"/>
            <rFont val="Tahoma"/>
            <family val="2"/>
          </rPr>
          <t>{T 01.00.a, r0380, c 0082}=={Z 02.00, r0380, c 0060}_x000D_
DataPointVID 417714_x000D_
DataPointID 417714_x000D_
Metric  =  Outstanding amount [mi]_x000D_
Base  =  Liabilities_x000D_
Counterparty sector  =  Central banks, general governments_x000D_
Exclusion from Bail-in  =  Not excluded from bail-in_x000D_
Eligibility for MREL  =  Eligible</t>
        </r>
      </text>
    </comment>
    <comment ref="K62" authorId="0" shapeId="0">
      <text>
        <r>
          <rPr>
            <sz val="9"/>
            <color indexed="81"/>
            <rFont val="Tahoma"/>
            <family val="2"/>
          </rPr>
          <t>{T 01.00.a, r0380, c 0092}=={Z 02.00, r0380, c 0070}_x000D_
DataPointVID 417250_x000D_
DataPointID 417250_x000D_
Metric  =  Outstanding amount [mi]_x000D_
Base  =  Liabilities_x000D_
Instrument is listed on exchange  =  True_x000D_
Counterparty sector  =  Unknown counterparty_x000D_
Exclusion from Bail-in  =  Not excluded from bail-in_x000D_
Eligibility for MREL  =  Eligible</t>
        </r>
      </text>
    </comment>
    <comment ref="L62" authorId="0" shapeId="0">
      <text>
        <r>
          <rPr>
            <sz val="9"/>
            <color indexed="81"/>
            <rFont val="Tahoma"/>
            <family val="2"/>
          </rPr>
          <t>{T 01.00.a, r0380, c 0102}=={Z 02.00, r0380, c 0080}_x000D_
DataPointVID 417197_x000D_
DataPointID 417197_x000D_
Metric  =  Outstanding amount [mi]_x000D_
Base  =  Liabilities_x000D_
Instrument is listed on exchange  =  False_x000D_
Counterparty sector  =  Unknown counterparty_x000D_
Exclusion from Bail-in  =  Not excluded from bail-in_x000D_
Eligibility for MREL  =  Eligible</t>
        </r>
      </text>
    </comment>
    <comment ref="M62" authorId="0" shapeId="0">
      <text>
        <r>
          <rPr>
            <sz val="9"/>
            <color indexed="81"/>
            <rFont val="Tahoma"/>
            <family val="2"/>
          </rPr>
          <t>{T 01.00.a, r0380, c 0122}=={Z 02.00, r0380, c 0090}_x000D_
DataPointVID 417789_x000D_
DataPointID 417789_x000D_
Metric  =  Outstanding amount [mi]_x000D_
Base  =  Liabilities_x000D_
Exclusion from Bail-in  =  Not excluded from bail-in_x000D_
Eligibility for MREL  =  Eligible</t>
        </r>
      </text>
    </comment>
    <comment ref="N62" authorId="0" shapeId="0">
      <text>
        <r>
          <rPr>
            <sz val="9"/>
            <color indexed="81"/>
            <rFont val="Tahoma"/>
            <family val="2"/>
          </rPr>
          <t>{T 01.00.a, r0380, c 0132}=={Z 02.00, r0380, c 0100}_x000D_
DataPointVID 417796_x000D_
DataPointID 417796_x000D_
Metric  =  Outstanding amount [mi]_x000D_
Base  =  Liabilities_x000D_
Exclusion from Bail-in  =  Not excluded from bail-in_x000D_
Eligibility for MREL  =  Eligible_x000D_
Related parties/Relationships  =  Intra-group</t>
        </r>
      </text>
    </comment>
    <comment ref="O62" authorId="0" shapeId="0">
      <text>
        <r>
          <rPr>
            <sz val="9"/>
            <color indexed="81"/>
            <rFont val="Tahoma"/>
            <family val="2"/>
          </rPr>
          <t>{T 01.00.a, r0380, c 0142}=={Z 02.00, r0380, c 0110}_x000D_
DataPointVID 417797_x000D_
DataPointID 417797_x000D_
Metric  =  Outstanding amount [mi]_x000D_
Base  =  Liabilities_x000D_
Exclusion from Bail-in  =  Not excluded from bail-in_x000D_
Eligibility for MREL  =  Eligible_x000D_
Related parties/Relationships  =  Non intra-group_x000D_
Governed by law of an EU Member State  =  False</t>
        </r>
      </text>
    </comment>
    <comment ref="C63" authorId="0" shapeId="0">
      <text>
        <r>
          <rPr>
            <sz val="9"/>
            <color indexed="81"/>
            <rFont val="Tahoma"/>
            <family val="2"/>
          </rPr>
          <t>Metric  =  Outstanding amount [mi]_x000D_
Base  =  Liabilities_x000D_
Residual maturity  =  &gt;= 1 year &lt; 2 years_x000D_
Exclusion from Bail-in  =  Not excluded from bail-in_x000D_
Eligibility for MREL  =  Eligible</t>
        </r>
      </text>
    </comment>
    <comment ref="D63" authorId="0" shapeId="0">
      <text>
        <r>
          <rPr>
            <sz val="9"/>
            <color indexed="81"/>
            <rFont val="Tahoma"/>
            <family val="2"/>
          </rPr>
          <t>{T 01.00.a, r0381, c 0012}=={Z 02.00, r0381, c 0010}_x000D_
DataPointVID 417593_x000D_
DataPointID 417593_x000D_
Metric  =  Outstanding amount [mi]_x000D_
Base  =  Liabilities_x000D_
Counterparty sector  =  Households_x000D_
Exclusion from Bail-in  =  Not excluded from bail-in_x000D_
Eligibility for MREL  =  Eligible_x000D_
Residual maturity  =  &gt;= 1 year &lt; 2 years</t>
        </r>
      </text>
    </comment>
    <comment ref="E63" authorId="0" shapeId="0">
      <text>
        <r>
          <rPr>
            <sz val="9"/>
            <color indexed="81"/>
            <rFont val="Tahoma"/>
            <family val="2"/>
          </rPr>
          <t>{T 01.00.a, r0381, c 0022}=={Z 02.00, r0381, c 0020}_x000D_
DataPointVID 417620_x000D_
DataPointID 417620_x000D_
Metric  =  Outstanding amount [mi]_x000D_
Base  =  Liabilities_x000D_
Counterparty sector  =  Non-financial corporations_x000D_
Size of the counterparty  =  SME_x000D_
Exclusion from Bail-in  =  Not excluded from bail-in_x000D_
Eligibility for MREL  =  Eligible_x000D_
Residual maturity  =  &gt;= 1 year &lt; 2 years</t>
        </r>
      </text>
    </comment>
    <comment ref="F63" authorId="0" shapeId="0">
      <text>
        <r>
          <rPr>
            <sz val="9"/>
            <color indexed="81"/>
            <rFont val="Tahoma"/>
            <family val="2"/>
          </rPr>
          <t>{T 01.00.a, r0381, c 0032}=={Z 02.00, r0381, c 0030}_x000D_
DataPointVID 428275_x000D_
DataPointID 417641_x000D_
Metric  =  Outstanding amount [mi]_x000D_
Base  =  Liabilities_x000D_
Counterparty sector  =  Non-financial corporations_x000D_
Size of the counterparty  =  Counterparties other than SME_x000D_
Exclusion from Bail-in  =  Not excluded from bail-in_x000D_
Eligibility for MREL  =  Eligible_x000D_
Residual maturity  =  &gt;= 1 year &lt; 2 years</t>
        </r>
      </text>
    </comment>
    <comment ref="G63" authorId="0" shapeId="0">
      <text>
        <r>
          <rPr>
            <sz val="9"/>
            <color indexed="81"/>
            <rFont val="Tahoma"/>
            <family val="2"/>
          </rPr>
          <t>{T 01.00.a, r0381, c 0042}=={Z 02.00, r0381, c 0040}_x000D_
DataPointVID 417568_x000D_
DataPointID 417568_x000D_
Metric  =  Outstanding amount [mi]_x000D_
Base  =  Liabilities_x000D_
Counterparty sector  =  Credit institutions_x000D_
Exclusion from Bail-in  =  Not excluded from bail-in_x000D_
Eligibility for MREL  =  Eligible_x000D_
Residual maturity  =  &gt;= 1 year &lt; 2 years</t>
        </r>
      </text>
    </comment>
    <comment ref="H63" authorId="0" shapeId="0">
      <text>
        <r>
          <rPr>
            <sz val="9"/>
            <color indexed="81"/>
            <rFont val="Tahoma"/>
            <family val="2"/>
          </rPr>
          <t>{T 01.00.a, r0381, c 0052}=={Z 02.00, r0381, c 0050}_x000D_
DataPointVID 417691_x000D_
DataPointID 417691_x000D_
Metric  =  Outstanding amount [mi]_x000D_
Base  =  Liabilities_x000D_
Counterparty sector  =  Financial corporations other than credit institutions_x000D_
Exclusion from Bail-in  =  Not excluded from bail-in_x000D_
Eligibility for MREL  =  Eligible_x000D_
Residual maturity  =  &gt;= 1 year &lt; 2 years</t>
        </r>
      </text>
    </comment>
    <comment ref="I63" authorId="0" shapeId="0">
      <text>
        <r>
          <rPr>
            <sz val="9"/>
            <color indexed="81"/>
            <rFont val="Tahoma"/>
            <family val="2"/>
          </rPr>
          <t>DataPointVID 417666_x000D_
DataPointID 417666_x000D_
Metric  =  Outstanding amount [mi]_x000D_
Base  =  Liabilities_x000D_
Counterparty sector  =  Financial corporations other than credit institutions_x000D_
Counterparty nature 2  =  Insurance companies, pension funds_x000D_
Exclusion from Bail-in  =  Not excluded from bail-in_x000D_
Eligibility for MREL  =  Eligible_x000D_
Residual maturity  =  &gt;= 1 year &lt; 2 years</t>
        </r>
      </text>
    </comment>
    <comment ref="J63" authorId="0" shapeId="0">
      <text>
        <r>
          <rPr>
            <sz val="9"/>
            <color indexed="81"/>
            <rFont val="Tahoma"/>
            <family val="2"/>
          </rPr>
          <t>{T 01.00.a, r0381, c 0082}=={Z 02.00, r0381, c 0060}_x000D_
DataPointVID 417715_x000D_
DataPointID 417715_x000D_
Metric  =  Outstanding amount [mi]_x000D_
Base  =  Liabilities_x000D_
Counterparty sector  =  Central banks, general governments_x000D_
Exclusion from Bail-in  =  Not excluded from bail-in_x000D_
Eligibility for MREL  =  Eligible_x000D_
Residual maturity  =  &gt;= 1 year &lt; 2 years</t>
        </r>
      </text>
    </comment>
    <comment ref="K63" authorId="0" shapeId="0">
      <text>
        <r>
          <rPr>
            <sz val="9"/>
            <color indexed="81"/>
            <rFont val="Tahoma"/>
            <family val="2"/>
          </rPr>
          <t>{T 01.00.a, r0381, c 0092}=={Z 02.00, r0381, c 0070}_x000D_
DataPointVID 417251_x000D_
DataPointID 417251_x000D_
Metric  =  Outstanding amount [mi]_x000D_
Base  =  Liabilities_x000D_
Instrument is listed on exchange  =  True_x000D_
Counterparty sector  =  Unknown counterparty_x000D_
Exclusion from Bail-in  =  Not excluded from bail-in_x000D_
Eligibility for MREL  =  Eligible_x000D_
Residual maturity  =  &gt;= 1 year &lt; 2 years</t>
        </r>
      </text>
    </comment>
    <comment ref="L63" authorId="0" shapeId="0">
      <text>
        <r>
          <rPr>
            <sz val="9"/>
            <color indexed="81"/>
            <rFont val="Tahoma"/>
            <family val="2"/>
          </rPr>
          <t>{T 01.00.a, r0381, c 0102}=={Z 02.00, r0381, c 0080}_x000D_
DataPointVID 417198_x000D_
DataPointID 417198_x000D_
Metric  =  Outstanding amount [mi]_x000D_
Base  =  Liabilities_x000D_
Instrument is listed on exchange  =  False_x000D_
Counterparty sector  =  Unknown counterparty_x000D_
Exclusion from Bail-in  =  Not excluded from bail-in_x000D_
Eligibility for MREL  =  Eligible_x000D_
Residual maturity  =  &gt;= 1 year &lt; 2 years</t>
        </r>
      </text>
    </comment>
    <comment ref="M63" authorId="0" shapeId="0">
      <text>
        <r>
          <rPr>
            <sz val="9"/>
            <color indexed="81"/>
            <rFont val="Tahoma"/>
            <family val="2"/>
          </rPr>
          <t>{T 01.00.a, r0381, c 0122}=={Z 02.00, r0381, c 0090}_x000D_
DataPointVID 417790_x000D_
DataPointID 417790_x000D_
Metric  =  Outstanding amount [mi]_x000D_
Base  =  Liabilities_x000D_
Exclusion from Bail-in  =  Not excluded from bail-in_x000D_
Eligibility for MREL  =  Eligible_x000D_
Residual maturity  =  &gt;= 1 year &lt; 2 years</t>
        </r>
      </text>
    </comment>
    <comment ref="N63" authorId="0" shapeId="0">
      <text>
        <r>
          <rPr>
            <sz val="9"/>
            <color indexed="81"/>
            <rFont val="Tahoma"/>
            <family val="2"/>
          </rPr>
          <t>{T 01.00.a, r0381, c 0132}=={Z 02.00, r0381, c 0100}_x000D_
DataPointVID 417791_x000D_
DataPointID 417791_x000D_
Metric  =  Outstanding amount [mi]_x000D_
Base  =  Liabilities_x000D_
Exclusion from Bail-in  =  Not excluded from bail-in_x000D_
Eligibility for MREL  =  Eligible_x000D_
Residual maturity  =  &gt;= 1 year &lt; 2 years_x000D_
Related parties/Relationships  =  Intra-group</t>
        </r>
      </text>
    </comment>
    <comment ref="O63" authorId="0" shapeId="0">
      <text>
        <r>
          <rPr>
            <sz val="9"/>
            <color indexed="81"/>
            <rFont val="Tahoma"/>
            <family val="2"/>
          </rPr>
          <t>{T 01.00.a, r0381, c 0142}=={Z 02.00, r0381, c 0110}_x000D_
DataPointVID 417792_x000D_
DataPointID 417792_x000D_
Metric  =  Outstanding amount [mi]_x000D_
Base  =  Liabilities_x000D_
Exclusion from Bail-in  =  Not excluded from bail-in_x000D_
Eligibility for MREL  =  Eligible_x000D_
Residual maturity  =  &gt;= 1 year &lt; 2 years_x000D_
Related parties/Relationships  =  Non intra-group_x000D_
Governed by law of an EU Member State  =  False</t>
        </r>
      </text>
    </comment>
    <comment ref="C64" authorId="0" shapeId="0">
      <text>
        <r>
          <rPr>
            <sz val="9"/>
            <color indexed="81"/>
            <rFont val="Tahoma"/>
            <family val="2"/>
          </rPr>
          <t>Metric  =  Outstanding amount [mi]_x000D_
Base  =  Liabilities_x000D_
Residual maturity  =  &gt;= 2 years_x000D_
Exclusion from Bail-in  =  Not excluded from bail-in_x000D_
Eligibility for MREL  =  Eligible</t>
        </r>
      </text>
    </comment>
    <comment ref="D64" authorId="0" shapeId="0">
      <text>
        <r>
          <rPr>
            <sz val="9"/>
            <color indexed="81"/>
            <rFont val="Tahoma"/>
            <family val="2"/>
          </rPr>
          <t>{T 01.00.a, r0382, c 0012}=={Z 02.00, r0382, c 0010}_x000D_
DataPointVID 417594_x000D_
DataPointID 417594_x000D_
Metric  =  Outstanding amount [mi]_x000D_
Base  =  Liabilities_x000D_
Counterparty sector  =  Households_x000D_
Exclusion from Bail-in  =  Not excluded from bail-in_x000D_
Eligibility for MREL  =  Eligible_x000D_
Residual maturity  =  &gt;= 2 years</t>
        </r>
      </text>
    </comment>
    <comment ref="E64" authorId="0" shapeId="0">
      <text>
        <r>
          <rPr>
            <sz val="9"/>
            <color indexed="81"/>
            <rFont val="Tahoma"/>
            <family val="2"/>
          </rPr>
          <t>{T 01.00.a, r0382, c 0022}=={Z 02.00, r0382, c 0020}_x000D_
DataPointVID 417621_x000D_
DataPointID 417621_x000D_
Metric  =  Outstanding amount [mi]_x000D_
Base  =  Liabilities_x000D_
Counterparty sector  =  Non-financial corporations_x000D_
Size of the counterparty  =  SME_x000D_
Exclusion from Bail-in  =  Not excluded from bail-in_x000D_
Eligibility for MREL  =  Eligible_x000D_
Residual maturity  =  &gt;= 2 years</t>
        </r>
      </text>
    </comment>
    <comment ref="F64" authorId="0" shapeId="0">
      <text>
        <r>
          <rPr>
            <sz val="9"/>
            <color indexed="81"/>
            <rFont val="Tahoma"/>
            <family val="2"/>
          </rPr>
          <t>{T 01.00.a, r0382, c 0032}=={Z 02.00, r0382, c 0030}_x000D_
DataPointVID 428276_x000D_
DataPointID 417642_x000D_
Metric  =  Outstanding amount [mi]_x000D_
Base  =  Liabilities_x000D_
Counterparty sector  =  Non-financial corporations_x000D_
Size of the counterparty  =  Counterparties other than SME_x000D_
Exclusion from Bail-in  =  Not excluded from bail-in_x000D_
Eligibility for MREL  =  Eligible_x000D_
Residual maturity  =  &gt;= 2 years</t>
        </r>
      </text>
    </comment>
    <comment ref="G64" authorId="0" shapeId="0">
      <text>
        <r>
          <rPr>
            <sz val="9"/>
            <color indexed="81"/>
            <rFont val="Tahoma"/>
            <family val="2"/>
          </rPr>
          <t>{T 01.00.a, r0382, c 0042}=={Z 02.00, r0382, c 0040}_x000D_
DataPointVID 417569_x000D_
DataPointID 417569_x000D_
Metric  =  Outstanding amount [mi]_x000D_
Base  =  Liabilities_x000D_
Counterparty sector  =  Credit institutions_x000D_
Exclusion from Bail-in  =  Not excluded from bail-in_x000D_
Eligibility for MREL  =  Eligible_x000D_
Residual maturity  =  &gt;= 2 years</t>
        </r>
      </text>
    </comment>
    <comment ref="H64" authorId="0" shapeId="0">
      <text>
        <r>
          <rPr>
            <sz val="9"/>
            <color indexed="81"/>
            <rFont val="Tahoma"/>
            <family val="2"/>
          </rPr>
          <t>{T 01.00.a, r0382, c 0052}=={Z 02.00, r0382, c 0050}_x000D_
DataPointVID 417692_x000D_
DataPointID 417692_x000D_
Metric  =  Outstanding amount [mi]_x000D_
Base  =  Liabilities_x000D_
Counterparty sector  =  Financial corporations other than credit institutions_x000D_
Exclusion from Bail-in  =  Not excluded from bail-in_x000D_
Eligibility for MREL  =  Eligible_x000D_
Residual maturity  =  &gt;= 2 years</t>
        </r>
      </text>
    </comment>
    <comment ref="I64" authorId="0" shapeId="0">
      <text>
        <r>
          <rPr>
            <sz val="9"/>
            <color indexed="81"/>
            <rFont val="Tahoma"/>
            <family val="2"/>
          </rPr>
          <t>DataPointVID 417667_x000D_
DataPointID 417667_x000D_
Metric  =  Outstanding amount [mi]_x000D_
Base  =  Liabilities_x000D_
Counterparty sector  =  Financial corporations other than credit institutions_x000D_
Counterparty nature 2  =  Insurance companies, pension funds_x000D_
Exclusion from Bail-in  =  Not excluded from bail-in_x000D_
Eligibility for MREL  =  Eligible_x000D_
Residual maturity  =  &gt;= 2 years</t>
        </r>
      </text>
    </comment>
    <comment ref="J64" authorId="0" shapeId="0">
      <text>
        <r>
          <rPr>
            <sz val="9"/>
            <color indexed="81"/>
            <rFont val="Tahoma"/>
            <family val="2"/>
          </rPr>
          <t>{T 01.00.a, r0382, c 0082}=={Z 02.00, r0382, c 0060}_x000D_
DataPointVID 417716_x000D_
DataPointID 417716_x000D_
Metric  =  Outstanding amount [mi]_x000D_
Base  =  Liabilities_x000D_
Counterparty sector  =  Central banks, general governments_x000D_
Exclusion from Bail-in  =  Not excluded from bail-in_x000D_
Eligibility for MREL  =  Eligible_x000D_
Residual maturity  =  &gt;= 2 years</t>
        </r>
      </text>
    </comment>
    <comment ref="K64" authorId="0" shapeId="0">
      <text>
        <r>
          <rPr>
            <sz val="9"/>
            <color indexed="81"/>
            <rFont val="Tahoma"/>
            <family val="2"/>
          </rPr>
          <t>{T 01.00.a, r0382, c 0092}=={Z 02.00, r0382, c 0070}_x000D_
DataPointVID 417252_x000D_
DataPointID 417252_x000D_
Metric  =  Outstanding amount [mi]_x000D_
Base  =  Liabilities_x000D_
Instrument is listed on exchange  =  True_x000D_
Counterparty sector  =  Unknown counterparty_x000D_
Exclusion from Bail-in  =  Not excluded from bail-in_x000D_
Eligibility for MREL  =  Eligible_x000D_
Residual maturity  =  &gt;= 2 years</t>
        </r>
      </text>
    </comment>
    <comment ref="L64" authorId="0" shapeId="0">
      <text>
        <r>
          <rPr>
            <sz val="9"/>
            <color indexed="81"/>
            <rFont val="Tahoma"/>
            <family val="2"/>
          </rPr>
          <t>{T 01.00.a, r0382, c 0102}=={Z 02.00, r0382, c 0080}_x000D_
DataPointVID 417199_x000D_
DataPointID 417199_x000D_
Metric  =  Outstanding amount [mi]_x000D_
Base  =  Liabilities_x000D_
Instrument is listed on exchange  =  False_x000D_
Counterparty sector  =  Unknown counterparty_x000D_
Exclusion from Bail-in  =  Not excluded from bail-in_x000D_
Eligibility for MREL  =  Eligible_x000D_
Residual maturity  =  &gt;= 2 years</t>
        </r>
      </text>
    </comment>
    <comment ref="M64" authorId="0" shapeId="0">
      <text>
        <r>
          <rPr>
            <sz val="9"/>
            <color indexed="81"/>
            <rFont val="Tahoma"/>
            <family val="2"/>
          </rPr>
          <t>{T 01.00.a, r0382, c 0122}=={Z 02.00, r0382, c 0090}_x000D_
DataPointVID 417793_x000D_
DataPointID 417793_x000D_
Metric  =  Outstanding amount [mi]_x000D_
Base  =  Liabilities_x000D_
Exclusion from Bail-in  =  Not excluded from bail-in_x000D_
Eligibility for MREL  =  Eligible_x000D_
Residual maturity  =  &gt;= 2 years</t>
        </r>
      </text>
    </comment>
    <comment ref="N64" authorId="0" shapeId="0">
      <text>
        <r>
          <rPr>
            <sz val="9"/>
            <color indexed="81"/>
            <rFont val="Tahoma"/>
            <family val="2"/>
          </rPr>
          <t>{T 01.00.a, r0382, c 0132}=={Z 02.00, r0382, c 0100}_x000D_
DataPointVID 417794_x000D_
DataPointID 417794_x000D_
Metric  =  Outstanding amount [mi]_x000D_
Base  =  Liabilities_x000D_
Exclusion from Bail-in  =  Not excluded from bail-in_x000D_
Eligibility for MREL  =  Eligible_x000D_
Residual maturity  =  &gt;= 2 years_x000D_
Related parties/Relationships  =  Intra-group</t>
        </r>
      </text>
    </comment>
    <comment ref="O64" authorId="0" shapeId="0">
      <text>
        <r>
          <rPr>
            <sz val="9"/>
            <color indexed="81"/>
            <rFont val="Tahoma"/>
            <family val="2"/>
          </rPr>
          <t>{T 01.00.a, r0382, c 0142}=={Z 02.00, r0382, c 0110}_x000D_
DataPointVID 417795_x000D_
DataPointID 417795_x000D_
Metric  =  Outstanding amount [mi]_x000D_
Base  =  Liabilities_x000D_
Exclusion from Bail-in  =  Not excluded from bail-in_x000D_
Eligibility for MREL  =  Eligible_x000D_
Residual maturity  =  &gt;= 2 years_x000D_
Related parties/Relationships  =  Non intra-group_x000D_
Governed by law of an EU Member State  =  False</t>
        </r>
      </text>
    </comment>
    <comment ref="C65" authorId="0" shapeId="0">
      <text>
        <r>
          <rPr>
            <sz val="9"/>
            <color indexed="81"/>
            <rFont val="Tahoma"/>
            <family val="2"/>
          </rPr>
          <t>Metric  =  Outstanding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Counterparty nature  =  All counterparties other than employees_x000D_
Exclusion from Bail-in  =  Excluded from bail-in</t>
        </r>
      </text>
    </comment>
    <comment ref="D65" authorId="0" shapeId="0">
      <text>
        <r>
          <rPr>
            <sz val="9"/>
            <color indexed="81"/>
            <rFont val="Tahoma"/>
            <family val="2"/>
          </rPr>
          <t>{T 01.00.a, r0390, c 0012}=={Z 02.00, r0390, c 0010}_x000D_
DataPointVID 417571_x000D_
DataPointID 417571_x000D_
Metric  =  Outstanding amount [mi]_x000D_
Base  =  Liabilities_x000D_
Counterparty sector  =  Households_x000D_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E65" authorId="0" shapeId="0">
      <text>
        <r>
          <rPr>
            <sz val="9"/>
            <color indexed="81"/>
            <rFont val="Tahoma"/>
            <family val="2"/>
          </rPr>
          <t>{T 01.00.a, r0390, c 0022}=={Z 02.00, r0390, c 0020}_x000D_
DataPointVID 417597_x000D_
DataPointID 417597_x000D_
Metric  =  Outstanding amount [mi]_x000D_
Base  =  Liabilities_x000D_
Counterparty sector  =  Non-financial corporations_x000D_
Counterparty nature  =  All counterparties other than employees_x000D_
Size of the counterparty  =  SME_x000D_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F65" authorId="0" shapeId="0">
      <text>
        <r>
          <rPr>
            <sz val="9"/>
            <color indexed="81"/>
            <rFont val="Tahoma"/>
            <family val="2"/>
          </rPr>
          <t>{T 01.00.a, r0390, c 0032}=={Z 02.00, r0390, c 0030}_x000D_
DataPointVID 428254_x000D_
DataPointID 417598_x000D_
Metric  =  Outstanding amount [mi]_x000D_
Base  =  Liabilities_x000D_
Counterparty sector  =  Non-financial corporations_x000D_
Counterparty nature  =  All counterparties other than employees_x000D_
Size of the counterparty  =  Counterparties other than SME_x000D_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G65" authorId="0" shapeId="0">
      <text>
        <r>
          <rPr>
            <sz val="9"/>
            <color indexed="81"/>
            <rFont val="Tahoma"/>
            <family val="2"/>
          </rPr>
          <t>{T 01.00.a, r0390, c 0042}=={Z 02.00, r0390, c 0040}_x000D_
DataPointVID 417546_x000D_
DataPointID 417546_x000D_
Metric  =  Outstanding amount [mi]_x000D_
Base  =  Liabilities_x000D_
Counterparty sector  =  Credit institutions_x000D_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H65" authorId="0" shapeId="0">
      <text>
        <r>
          <rPr>
            <sz val="9"/>
            <color indexed="81"/>
            <rFont val="Tahoma"/>
            <family val="2"/>
          </rPr>
          <t>{T 01.00.a, r0390, c 0052}=={Z 02.00, r0390, c 0050}_x000D_
DataPointVID 417669_x000D_
DataPointID 417669_x000D_
Metric  =  Outstanding amount [mi]_x000D_
Base  =  Liabilities_x000D_
Counterparty sector  =  Financial corporations other than credit institutions_x000D_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I65" authorId="0" shapeId="0">
      <text>
        <r>
          <rPr>
            <sz val="9"/>
            <color indexed="81"/>
            <rFont val="Tahoma"/>
            <family val="2"/>
          </rPr>
          <t>DataPointVID 417644_x000D_
DataPointID 417644_x000D_
Metric  =  Outstanding amount [mi]_x000D_
Base  =  Liabilities_x000D_
Counterparty sector  =  Financial corporations other than credit institutions_x000D_
Counterparty nature 2  =  Insurance companies, pension funds_x000D_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J65" authorId="0" shapeId="0">
      <text>
        <r>
          <rPr>
            <sz val="9"/>
            <color indexed="81"/>
            <rFont val="Tahoma"/>
            <family val="2"/>
          </rPr>
          <t>{T 01.00.a, r0390, c 0082}=={Z 02.00, r0390, c 0060}_x000D_
DataPointVID 417694_x000D_
DataPointID 417694_x000D_
Metric  =  Outstanding amount [mi]_x000D_
Base  =  Liabilities_x000D_
Counterparty sector  =  Central banks, general governments_x000D_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K65" authorId="0" shapeId="0">
      <text>
        <r>
          <rPr>
            <sz val="9"/>
            <color indexed="81"/>
            <rFont val="Tahoma"/>
            <family val="2"/>
          </rPr>
          <t>{T 01.00.a, r0390, c 0092}=={Z 02.00, r0390, c 0070}_x000D_
DataPointVID 417230_x000D_
DataPointID 417230_x000D_
Metric  =  Outstanding amount [mi]_x000D_
Base  =  Liabilities_x000D_
Instrument is listed on exchange  =  True_x000D_
Counterparty sector  =  Unknown counterparty_x000D_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L65" authorId="0" shapeId="0">
      <text>
        <r>
          <rPr>
            <sz val="9"/>
            <color indexed="81"/>
            <rFont val="Tahoma"/>
            <family val="2"/>
          </rPr>
          <t>{T 01.00.a, r0390, c 0102}=={Z 02.00, r0390, c 0080}_x000D_
DataPointVID 417177_x000D_
DataPointID 417177_x000D_
Metric  =  Outstanding amount [mi]_x000D_
Base  =  Liabilities_x000D_
Instrument is listed on exchange  =  False_x000D_
Counterparty sector  =  Unknown counterparty_x000D_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M65" authorId="0" shapeId="0">
      <text>
        <r>
          <rPr>
            <sz val="9"/>
            <color indexed="81"/>
            <rFont val="Tahoma"/>
            <family val="2"/>
          </rPr>
          <t>{T 01.00.a, r0390, c 0122}=={Z 02.00, r0390, c 0090}_x000D_
DataPointVID 417720_x000D_
DataPointID 417720_x000D_
Metric  =  Outstanding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N65" authorId="0" shapeId="0">
      <text>
        <r>
          <rPr>
            <sz val="9"/>
            <color indexed="81"/>
            <rFont val="Tahoma"/>
            <family val="2"/>
          </rPr>
          <t>{T 01.00.a, r0390, c 0132}=={Z 02.00, r0390, c 0100}_x000D_
DataPointVID 417721_x000D_
DataPointID 417721_x000D_
Metric  =  Outstanding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Related parties/Relationships  =  Intra-group</t>
        </r>
      </text>
    </comment>
    <comment ref="O65" authorId="0" shapeId="0">
      <text>
        <r>
          <rPr>
            <sz val="9"/>
            <color indexed="81"/>
            <rFont val="Tahoma"/>
            <family val="2"/>
          </rPr>
          <t>{T 01.00.a, r0390, c 0142}=={Z 02.00, r0390, c 0110}_x000D_
DataPointVID 417722_x000D_
DataPointID 417722_x000D_
Metric  =  Outstanding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Related parties/Relationships  =  Non intra-group_x000D_
Governed by law of an EU Member State  =  False</t>
        </r>
      </text>
    </comment>
    <comment ref="C66" authorId="0" shapeId="0">
      <text>
        <r>
          <rPr>
            <sz val="9"/>
            <color indexed="81"/>
            <rFont val="Tahoma"/>
            <family val="2"/>
          </rPr>
          <t>Metric  =  Outstanding amount [mi]_x000D_
Base  =  Liabilities_x000D_
Main category  =  Short positions, Debt securities issued, Other financial liabilities, Fair value changes of hedged items in portfolio hedge of interest rate risk, Provisions, Tax liabilities, Share capital repayable on demand_x000D_
Own funds  =  Non-eligible_x000D_
Exclusion from Bail-in  =  Not excluded from bail-in_x000D_
Eligibility for MREL  =  Non-eligible</t>
        </r>
      </text>
    </comment>
    <comment ref="D66" authorId="0" shapeId="0">
      <text>
        <r>
          <rPr>
            <sz val="9"/>
            <color indexed="81"/>
            <rFont val="Tahoma"/>
            <family val="2"/>
          </rPr>
          <t>{T 01.00.a, r0400, c 0012}=={Z 02.00, r0400, c 0010}_x000D_
DataPointVID 417591_x000D_
DataPointID 417591_x000D_
Metric  =  Outstanding amount [mi]_x000D_
Base  =  Liabilities_x000D_
Counterparty sector  =  Households_x000D_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E66" authorId="0" shapeId="0">
      <text>
        <r>
          <rPr>
            <sz val="9"/>
            <color indexed="81"/>
            <rFont val="Tahoma"/>
            <family val="2"/>
          </rPr>
          <t>{T 01.00.a, r0400, c 0022}=={Z 02.00, r0400, c 0020}_x000D_
DataPointVID 417618_x000D_
DataPointID 417618_x000D_
Metric  =  Outstanding amount [mi]_x000D_
Base  =  Liabilities_x000D_
Counterparty sector  =  Non-financial corporations_x000D_
Size of the counterparty  =  SME_x000D_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F66" authorId="0" shapeId="0">
      <text>
        <r>
          <rPr>
            <sz val="9"/>
            <color indexed="81"/>
            <rFont val="Tahoma"/>
            <family val="2"/>
          </rPr>
          <t>{T 01.00.a, r0400, c 0032}=={Z 02.00, r0400, c 0030}_x000D_
DataPointVID 428273_x000D_
DataPointID 417639_x000D_
Metric  =  Outstanding amount [mi]_x000D_
Base  =  Liabilities_x000D_
Counterparty sector  =  Non-financial corporations_x000D_
Size of the counterparty  =  Counterparties other than SME_x000D_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G66" authorId="0" shapeId="0">
      <text>
        <r>
          <rPr>
            <sz val="9"/>
            <color indexed="81"/>
            <rFont val="Tahoma"/>
            <family val="2"/>
          </rPr>
          <t>{T 01.00.a, r0400, c 0042}=={Z 02.00, r0400, c 0040}_x000D_
DataPointVID 417566_x000D_
DataPointID 417566_x000D_
Metric  =  Outstanding amount [mi]_x000D_
Base  =  Liabilities_x000D_
Counterparty sector  =  Credit institutions_x000D_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H66" authorId="0" shapeId="0">
      <text>
        <r>
          <rPr>
            <sz val="9"/>
            <color indexed="81"/>
            <rFont val="Tahoma"/>
            <family val="2"/>
          </rPr>
          <t>{T 01.00.a, r0400, c 0052}=={Z 02.00, r0400, c 0050}_x000D_
DataPointVID 417689_x000D_
DataPointID 417689_x000D_
Metric  =  Outstanding amount [mi]_x000D_
Base  =  Liabilities_x000D_
Counterparty sector  =  Financial corporations other than credit institutions_x000D_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I66" authorId="0" shapeId="0">
      <text>
        <r>
          <rPr>
            <sz val="9"/>
            <color indexed="81"/>
            <rFont val="Tahoma"/>
            <family val="2"/>
          </rPr>
          <t>DataPointVID 417664_x000D_
DataPointID 417664_x000D_
Metric  =  Outstanding amount [mi]_x000D_
Base  =  Liabilities_x000D_
Counterparty sector  =  Financial corporations other than credit institutions_x000D_
Counterparty nature 2  =  Insurance companies, pension funds_x000D_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J66" authorId="0" shapeId="0">
      <text>
        <r>
          <rPr>
            <sz val="9"/>
            <color indexed="81"/>
            <rFont val="Tahoma"/>
            <family val="2"/>
          </rPr>
          <t>{T 01.00.a, r0400, c 0082}=={Z 02.00, r0400, c 0060}_x000D_
DataPointVID 417713_x000D_
DataPointID 417713_x000D_
Metric  =  Outstanding amount [mi]_x000D_
Base  =  Liabilities_x000D_
Counterparty sector  =  Central banks, general governments_x000D_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K66" authorId="0" shapeId="0">
      <text>
        <r>
          <rPr>
            <sz val="9"/>
            <color indexed="81"/>
            <rFont val="Tahoma"/>
            <family val="2"/>
          </rPr>
          <t>{T 01.00.a, r0400, c 0092}=={Z 02.00, r0400, c 0070}_x000D_
DataPointVID 417249_x000D_
DataPointID 417249_x000D_
Metric  =  Outstanding amount [mi]_x000D_
Base  =  Liabilities_x000D_
Instrument is listed on exchange  =  True_x000D_
Counterparty sector  =  Unknown counterparty_x000D_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L66" authorId="0" shapeId="0">
      <text>
        <r>
          <rPr>
            <sz val="9"/>
            <color indexed="81"/>
            <rFont val="Tahoma"/>
            <family val="2"/>
          </rPr>
          <t>{T 01.00.a, r0400, c 0102}=={Z 02.00, r0400, c 0080}_x000D_
DataPointVID 417196_x000D_
DataPointID 417196_x000D_
Metric  =  Outstanding amount [mi]_x000D_
Base  =  Liabilities_x000D_
Instrument is listed on exchange  =  False_x000D_
Counterparty sector  =  Unknown counterparty_x000D_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M66" authorId="0" shapeId="0">
      <text>
        <r>
          <rPr>
            <sz val="9"/>
            <color indexed="81"/>
            <rFont val="Tahoma"/>
            <family val="2"/>
          </rPr>
          <t>{T 01.00.a, r0400, c 0122}=={Z 02.00, r0400, c 0090}_x000D_
DataPointVID 417786_x000D_
DataPointID 417786_x000D_
Metric  =  Outstanding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N66" authorId="0" shapeId="0">
      <text>
        <r>
          <rPr>
            <sz val="9"/>
            <color indexed="81"/>
            <rFont val="Tahoma"/>
            <family val="2"/>
          </rPr>
          <t>{T 01.00.a, r0400, c 0132}=={Z 02.00, r0400, c 0100}_x000D_
DataPointVID 417787_x000D_
DataPointID 417787_x000D_
Metric  =  Outstanding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Non-eligible_x000D_
Related parties/Relationships  =  Intra-group</t>
        </r>
      </text>
    </comment>
    <comment ref="O66" authorId="0" shapeId="0">
      <text>
        <r>
          <rPr>
            <sz val="9"/>
            <color indexed="81"/>
            <rFont val="Tahoma"/>
            <family val="2"/>
          </rPr>
          <t>{T 01.00.a, r0400, c 0142}=={Z 02.00, r0400, c 0110}_x000D_
DataPointVID 417788_x000D_
DataPointID 417788_x000D_
Metric  =  Outstanding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Non-eligible_x000D_
Related parties/Relationships  =  Non intra-group_x000D_
Governed by law of an EU Member State  =  False</t>
        </r>
      </text>
    </comment>
    <comment ref="C67" authorId="0" shapeId="0">
      <text>
        <r>
          <rPr>
            <sz val="9"/>
            <color indexed="81"/>
            <rFont val="Tahoma"/>
            <family val="2"/>
          </rPr>
          <t>Metric  =  Amount including transitional provisions [mi]_x000D_
Base  =  Own funds_x000D_
Main category  =  Regulatory capital items_x000D_
Own funds  =  Total own funds</t>
        </r>
      </text>
    </comment>
    <comment ref="M67" authorId="0" shapeId="0">
      <text>
        <r>
          <rPr>
            <sz val="9"/>
            <color indexed="81"/>
            <rFont val="Tahoma"/>
            <family val="2"/>
          </rPr>
          <t>{T 01.00.a, r0500, c 0122}=={Z 02.00, r0500, c 0090}_x000D_
DataPointVID 33413_x000D_
DataPointID 33413_x000D_
Metric  =  Amount including transitional provisions [mi]_x000D_
Base  =  Own funds_x000D_
Main category  =  Regulatory capital items_x000D_
Own funds  =  Total own funds</t>
        </r>
      </text>
    </comment>
    <comment ref="C68" authorId="0" shapeId="0">
      <text>
        <r>
          <rPr>
            <sz val="9"/>
            <color indexed="81"/>
            <rFont val="Tahoma"/>
            <family val="2"/>
          </rPr>
          <t>Metric  =  Amount including transitional provisions [mi]_x000D_
Base  =  Own funds_x000D_
Main category  =  Regulatory capital items_x000D_
Own funds  =  CET1 Capital</t>
        </r>
      </text>
    </comment>
    <comment ref="M68" authorId="0" shapeId="0">
      <text>
        <r>
          <rPr>
            <sz val="9"/>
            <color indexed="81"/>
            <rFont val="Tahoma"/>
            <family val="2"/>
          </rPr>
          <t>{T 01.00.a, r0510, c 0122}=={Z 02.00, r0510, c 0090}_x000D_
DataPointVID 33411_x000D_
DataPointID 33411_x000D_
Metric  =  Amount including transitional provisions [mi]_x000D_
Base  =  Own funds_x000D_
Main category  =  Regulatory capital items_x000D_
Own funds  =  CET1 Capital</t>
        </r>
      </text>
    </comment>
    <comment ref="C69" authorId="0" shapeId="0">
      <text>
        <r>
          <rPr>
            <sz val="9"/>
            <color indexed="81"/>
            <rFont val="Tahoma"/>
            <family val="2"/>
          </rPr>
          <t>Metric  =  Amount including transitional provisions [mi]_x000D_
Base  =  Equity_x000D_
Main category  =  All equity_x000D_
Own funds  =  CET1 Capital_x000D_
Instrument  =  Capital instruments / share capital_x000D_
Eligibility for MREL  =  Eligible</t>
        </r>
      </text>
    </comment>
    <comment ref="D69" authorId="0" shapeId="0">
      <text>
        <r>
          <rPr>
            <sz val="9"/>
            <color indexed="81"/>
            <rFont val="Tahoma"/>
            <family val="2"/>
          </rPr>
          <t>{T 01.00.a, r0511, c 0012}=={Z 02.00, r0511, c 0010}_x000D_
DataPointVID 410157_x000D_
DataPointID 410157_x000D_
Metric  =  Amount including transitional provisions [mi]_x000D_
Base  =  Equity_x000D_
Counterparty sector  =  Households_x000D_
Instrument  =  Capital instruments / share capital_x000D_
Main category  =  All equity_x000D_
Eligibility for MREL  =  Eligible_x000D_
Own funds  =  CET1 Capital</t>
        </r>
      </text>
    </comment>
    <comment ref="E69" authorId="0" shapeId="0">
      <text>
        <r>
          <rPr>
            <sz val="9"/>
            <color indexed="81"/>
            <rFont val="Tahoma"/>
            <family val="2"/>
          </rPr>
          <t>{T 01.00.a, r0511, c 0022}=={Z 02.00, r0511, c 0020}_x000D_
DataPointVID 410159_x000D_
DataPointID 410159_x000D_
Metric  =  Amount including transitional provisions [mi]_x000D_
Base  =  Equity_x000D_
Counterparty sector  =  Non-financial corporations_x000D_
Size of the counterparty  =  SME_x000D_
Instrument  =  Capital instruments / share capital_x000D_
Main category  =  All equity_x000D_
Eligibility for MREL  =  Eligible_x000D_
Own funds  =  CET1 Capital</t>
        </r>
      </text>
    </comment>
    <comment ref="F69" authorId="0" shapeId="0">
      <text>
        <r>
          <rPr>
            <sz val="9"/>
            <color indexed="81"/>
            <rFont val="Tahoma"/>
            <family val="2"/>
          </rPr>
          <t>{T 01.00.a, r0511, c 0032}=={Z 02.00, r0511, c 0030}_x000D_
DataPointVID 423103_x000D_
DataPointID 410161_x000D_
Metric  =  Amount including transitional provisions [mi]_x000D_
Base  =  Equity_x000D_
Counterparty sector  =  Non-financial corporations_x000D_
Size of the counterparty  =  Counterparties other than SME_x000D_
Instrument  =  Capital instruments / share capital_x000D_
Main category  =  All equity_x000D_
Eligibility for MREL  =  Eligible_x000D_
Own funds  =  CET1 Capital</t>
        </r>
      </text>
    </comment>
    <comment ref="G69" authorId="0" shapeId="0">
      <text>
        <r>
          <rPr>
            <sz val="9"/>
            <color indexed="81"/>
            <rFont val="Tahoma"/>
            <family val="2"/>
          </rPr>
          <t>{T 01.00.a, r0511, c 0042}=={Z 02.00, r0511, c 0040}_x000D_
DataPointVID 410155_x000D_
DataPointID 410155_x000D_
Metric  =  Amount including transitional provisions [mi]_x000D_
Base  =  Equity_x000D_
Counterparty sector  =  Credit institutions_x000D_
Instrument  =  Capital instruments / share capital_x000D_
Main category  =  All equity_x000D_
Eligibility for MREL  =  Eligible_x000D_
Own funds  =  CET1 Capital</t>
        </r>
      </text>
    </comment>
    <comment ref="H69" authorId="0" shapeId="0">
      <text>
        <r>
          <rPr>
            <sz val="9"/>
            <color indexed="81"/>
            <rFont val="Tahoma"/>
            <family val="2"/>
          </rPr>
          <t>{T 01.00.a, r0511, c 0052}=={Z 02.00, r0511, c 0050}_x000D_
DataPointVID 410165_x000D_
DataPointID 410165_x000D_
Metric  =  Amount including transitional provisions [mi]_x000D_
Base  =  Equity_x000D_
Counterparty sector  =  Financial corporations other than credit institutions_x000D_
Instrument  =  Capital instruments / share capital_x000D_
Main category  =  All equity_x000D_
Eligibility for MREL  =  Eligible_x000D_
Own funds  =  CET1 Capital</t>
        </r>
      </text>
    </comment>
    <comment ref="I69" authorId="0" shapeId="0">
      <text>
        <r>
          <rPr>
            <sz val="9"/>
            <color indexed="81"/>
            <rFont val="Tahoma"/>
            <family val="2"/>
          </rPr>
          <t>DataPointVID 410163_x000D_
DataPointID 410163_x000D_
Metric  =  Amount including transitional provisions [mi]_x000D_
Base  =  Equity_x000D_
Counterparty sector  =  Financial corporations other than credit institutions_x000D_
Counterparty nature 2  =  Insurance companies, pension funds_x000D_
Instrument  =  Capital instruments / share capital_x000D_
Main category  =  All equity_x000D_
Eligibility for MREL  =  Eligible_x000D_
Own funds  =  CET1 Capital</t>
        </r>
      </text>
    </comment>
    <comment ref="J69" authorId="0" shapeId="0">
      <text>
        <r>
          <rPr>
            <sz val="9"/>
            <color indexed="81"/>
            <rFont val="Tahoma"/>
            <family val="2"/>
          </rPr>
          <t>{T 01.00.a, r0511, c 0082}=={Z 02.00, r0511, c 0060}_x000D_
DataPointVID 410167_x000D_
DataPointID 410167_x000D_
Metric  =  Amount including transitional provisions [mi]_x000D_
Base  =  Equity_x000D_
Counterparty sector  =  Central banks, general governments_x000D_
Instrument  =  Capital instruments / share capital_x000D_
Main category  =  All equity_x000D_
Eligibility for MREL  =  Eligible_x000D_
Own funds  =  CET1 Capital</t>
        </r>
      </text>
    </comment>
    <comment ref="K69" authorId="0" shapeId="0">
      <text>
        <r>
          <rPr>
            <sz val="9"/>
            <color indexed="81"/>
            <rFont val="Tahoma"/>
            <family val="2"/>
          </rPr>
          <t>{T 01.00.a, r0511, c 0092}=={Z 02.00, r0511, c 0070}_x000D_
DataPointVID 410153_x000D_
DataPointID 410153_x000D_
Metric  =  Amount including transitional provisions [mi]_x000D_
Base  =  Equity_x000D_
Instrument is listed on exchange  =  True_x000D_
Counterparty sector  =  Unknown counterparty_x000D_
Instrument  =  Capital instruments / share capital_x000D_
Main category  =  All equity_x000D_
Eligibility for MREL  =  Eligible_x000D_
Own funds  =  CET1 Capital</t>
        </r>
      </text>
    </comment>
    <comment ref="L69" authorId="0" shapeId="0">
      <text>
        <r>
          <rPr>
            <sz val="9"/>
            <color indexed="81"/>
            <rFont val="Tahoma"/>
            <family val="2"/>
          </rPr>
          <t>{T 01.00.a, r0511, c 0102}=={Z 02.00, r0511, c 0080}_x000D_
DataPointVID 410151_x000D_
DataPointID 410151_x000D_
Metric  =  Amount including transitional provisions [mi]_x000D_
Base  =  Equity_x000D_
Instrument is listed on exchange  =  False_x000D_
Counterparty sector  =  Unknown counterparty_x000D_
Instrument  =  Capital instruments / share capital_x000D_
Main category  =  All equity_x000D_
Eligibility for MREL  =  Eligible_x000D_
Own funds  =  CET1 Capital</t>
        </r>
      </text>
    </comment>
    <comment ref="M69" authorId="0" shapeId="0">
      <text>
        <r>
          <rPr>
            <sz val="9"/>
            <color indexed="81"/>
            <rFont val="Tahoma"/>
            <family val="2"/>
          </rPr>
          <t>{T 01.00.a, r0511, c 0122}=={Z 02.00, r0511, c 0090}_x000D_
DataPointVID 410169_x000D_
DataPointID 410169_x000D_
Metric  =  Amount including transitional provisions [mi]_x000D_
Base  =  Equity_x000D_
Instrument  =  Capital instruments / share capital_x000D_
Main category  =  All equity_x000D_
Eligibility for MREL  =  Eligible_x000D_
Own funds  =  CET1 Capital</t>
        </r>
      </text>
    </comment>
    <comment ref="N69" authorId="0" shapeId="0">
      <text>
        <r>
          <rPr>
            <sz val="9"/>
            <color indexed="81"/>
            <rFont val="Tahoma"/>
            <family val="2"/>
          </rPr>
          <t>{T 01.00.a, r0511, c 0132}=={Z 02.00, r0511, c 0100}_x000D_
DataPointVID 410170_x000D_
DataPointID 410170_x000D_
Metric  =  Amount including transitional provisions [mi]_x000D_
Base  =  Equity_x000D_
Instrument  =  Capital instruments / share capital_x000D_
Main category  =  All equity_x000D_
Eligibility for MREL  =  Eligible_x000D_
Own funds  =  CET1 Capital_x000D_
Related parties/Relationships  =  Intra-group</t>
        </r>
      </text>
    </comment>
    <comment ref="O69" authorId="0" shapeId="0">
      <text>
        <r>
          <rPr>
            <sz val="9"/>
            <color indexed="81"/>
            <rFont val="Tahoma"/>
            <family val="2"/>
          </rPr>
          <t>{T 01.00.a, r0511, c 0142}=={Z 02.00, r0511, c 0110}_x000D_
DataPointVID 410171_x000D_
DataPointID 410171_x000D_
Metric  =  Amount including transitional provisions [mi]_x000D_
Base  =  Equity_x000D_
Instrument  =  Capital instruments / share capital_x000D_
Main category  =  All equity_x000D_
Eligibility for MREL  =  Eligible_x000D_
Own funds  =  CET1 Capital_x000D_
Related parties/Relationships  =  Non intra-group_x000D_
Governed by law of an EU Member State  =  False</t>
        </r>
      </text>
    </comment>
    <comment ref="C70" authorId="0" shapeId="0">
      <text>
        <r>
          <rPr>
            <sz val="9"/>
            <color indexed="81"/>
            <rFont val="Tahoma"/>
            <family val="2"/>
          </rPr>
          <t>Metric  =  Amount including transitional provisions [mi]_x000D_
Base  =  Equity_x000D_
Main category  =  All equity_x000D_
Own funds  =  CET1 Capital_x000D_
Instrument  =  Instruments ranking pari passu with ordinary shares_x000D_
Eligibility for MREL  =  Eligible</t>
        </r>
      </text>
    </comment>
    <comment ref="D70" authorId="0" shapeId="0">
      <text>
        <r>
          <rPr>
            <sz val="9"/>
            <color indexed="81"/>
            <rFont val="Tahoma"/>
            <family val="2"/>
          </rPr>
          <t>{T 01.00.a, r0512, c 0012}=={Z 02.00, r0512, c 0010}_x000D_
DataPointVID 410158_x000D_
DataPointID 410158_x000D_
Metric  =  Amount including transitional provisions [mi]_x000D_
Base  =  Equity_x000D_
Counterparty sector  =  Households_x000D_
Instrument  =  Instruments ranking pari passu with ordinary shares_x000D_
Main category  =  All equity_x000D_
Eligibility for MREL  =  Eligible_x000D_
Own funds  =  CET1 Capital</t>
        </r>
      </text>
    </comment>
    <comment ref="E70" authorId="0" shapeId="0">
      <text>
        <r>
          <rPr>
            <sz val="9"/>
            <color indexed="81"/>
            <rFont val="Tahoma"/>
            <family val="2"/>
          </rPr>
          <t>{T 01.00.a, r0512, c 0022}=={Z 02.00, r0512, c 0020}_x000D_
DataPointVID 410160_x000D_
DataPointID 410160_x000D_
Metric  =  Amount including transitional provisions [mi]_x000D_
Base  =  Equity_x000D_
Counterparty sector  =  Non-financial corporations_x000D_
Size of the counterparty  =  SME_x000D_
Instrument  =  Instruments ranking pari passu with ordinary shares_x000D_
Main category  =  All equity_x000D_
Eligibility for MREL  =  Eligible_x000D_
Own funds  =  CET1 Capital</t>
        </r>
      </text>
    </comment>
    <comment ref="F70" authorId="0" shapeId="0">
      <text>
        <r>
          <rPr>
            <sz val="9"/>
            <color indexed="81"/>
            <rFont val="Tahoma"/>
            <family val="2"/>
          </rPr>
          <t>{T 01.00.a, r0512, c 0032}=={Z 02.00, r0512, c 0030}_x000D_
DataPointVID 423104_x000D_
DataPointID 410162_x000D_
Metric  =  Amount including transitional provisions [mi]_x000D_
Base  =  Equity_x000D_
Counterparty sector  =  Non-financial corporations_x000D_
Size of the counterparty  =  Counterparties other than SME_x000D_
Instrument  =  Instruments ranking pari passu with ordinary shares_x000D_
Main category  =  All equity_x000D_
Eligibility for MREL  =  Eligible_x000D_
Own funds  =  CET1 Capital</t>
        </r>
      </text>
    </comment>
    <comment ref="G70" authorId="0" shapeId="0">
      <text>
        <r>
          <rPr>
            <sz val="9"/>
            <color indexed="81"/>
            <rFont val="Tahoma"/>
            <family val="2"/>
          </rPr>
          <t>{T 01.00.a, r0512, c 0042}=={Z 02.00, r0512, c 0040}_x000D_
DataPointVID 410156_x000D_
DataPointID 410156_x000D_
Metric  =  Amount including transitional provisions [mi]_x000D_
Base  =  Equity_x000D_
Counterparty sector  =  Credit institutions_x000D_
Instrument  =  Instruments ranking pari passu with ordinary shares_x000D_
Main category  =  All equity_x000D_
Eligibility for MREL  =  Eligible_x000D_
Own funds  =  CET1 Capital</t>
        </r>
      </text>
    </comment>
    <comment ref="H70" authorId="0" shapeId="0">
      <text>
        <r>
          <rPr>
            <sz val="9"/>
            <color indexed="81"/>
            <rFont val="Tahoma"/>
            <family val="2"/>
          </rPr>
          <t>{T 01.00.a, r0512, c 0052}=={Z 02.00, r0512, c 0050}_x000D_
DataPointVID 410166_x000D_
DataPointID 410166_x000D_
Metric  =  Amount including transitional provisions [mi]_x000D_
Base  =  Equity_x000D_
Counterparty sector  =  Financial corporations other than credit institutions_x000D_
Instrument  =  Instruments ranking pari passu with ordinary shares_x000D_
Main category  =  All equity_x000D_
Eligibility for MREL  =  Eligible_x000D_
Own funds  =  CET1 Capital</t>
        </r>
      </text>
    </comment>
    <comment ref="I70" authorId="0" shapeId="0">
      <text>
        <r>
          <rPr>
            <sz val="9"/>
            <color indexed="81"/>
            <rFont val="Tahoma"/>
            <family val="2"/>
          </rPr>
          <t>DataPointVID 410164_x000D_
DataPointID 410164_x000D_
Metric  =  Amount including transitional provisions [mi]_x000D_
Base  =  Equity_x000D_
Counterparty sector  =  Financial corporations other than credit institutions_x000D_
Counterparty nature 2  =  Insurance companies, pension funds_x000D_
Instrument  =  Instruments ranking pari passu with ordinary shares_x000D_
Main category  =  All equity_x000D_
Eligibility for MREL  =  Eligible_x000D_
Own funds  =  CET1 Capital</t>
        </r>
      </text>
    </comment>
    <comment ref="J70" authorId="0" shapeId="0">
      <text>
        <r>
          <rPr>
            <sz val="9"/>
            <color indexed="81"/>
            <rFont val="Tahoma"/>
            <family val="2"/>
          </rPr>
          <t>{T 01.00.a, r0512, c 0082}=={Z 02.00, r0512, c 0060}_x000D_
DataPointVID 410168_x000D_
DataPointID 410168_x000D_
Metric  =  Amount including transitional provisions [mi]_x000D_
Base  =  Equity_x000D_
Counterparty sector  =  Central banks, general governments_x000D_
Instrument  =  Instruments ranking pari passu with ordinary shares_x000D_
Main category  =  All equity_x000D_
Eligibility for MREL  =  Eligible_x000D_
Own funds  =  CET1 Capital</t>
        </r>
      </text>
    </comment>
    <comment ref="K70" authorId="0" shapeId="0">
      <text>
        <r>
          <rPr>
            <sz val="9"/>
            <color indexed="81"/>
            <rFont val="Tahoma"/>
            <family val="2"/>
          </rPr>
          <t>{T 01.00.a, r0512, c 0092}=={Z 02.00, r0512, c 0070}_x000D_
DataPointVID 410154_x000D_
DataPointID 410154_x000D_
Metric  =  Amount including transitional provisions [mi]_x000D_
Base  =  Equity_x000D_
Instrument is listed on exchange  =  True_x000D_
Counterparty sector  =  Unknown counterparty_x000D_
Instrument  =  Instruments ranking pari passu with ordinary shares_x000D_
Main category  =  All equity_x000D_
Eligibility for MREL  =  Eligible_x000D_
Own funds  =  CET1 Capital</t>
        </r>
      </text>
    </comment>
    <comment ref="L70" authorId="0" shapeId="0">
      <text>
        <r>
          <rPr>
            <sz val="9"/>
            <color indexed="81"/>
            <rFont val="Tahoma"/>
            <family val="2"/>
          </rPr>
          <t>{T 01.00.a, r0512, c 0102}=={Z 02.00, r0512, c 0080}_x000D_
DataPointVID 410152_x000D_
DataPointID 410152_x000D_
Metric  =  Amount including transitional provisions [mi]_x000D_
Base  =  Equity_x000D_
Instrument is listed on exchange  =  False_x000D_
Counterparty sector  =  Unknown counterparty_x000D_
Instrument  =  Instruments ranking pari passu with ordinary shares_x000D_
Main category  =  All equity_x000D_
Eligibility for MREL  =  Eligible_x000D_
Own funds  =  CET1 Capital</t>
        </r>
      </text>
    </comment>
    <comment ref="M70" authorId="0" shapeId="0">
      <text>
        <r>
          <rPr>
            <sz val="9"/>
            <color indexed="81"/>
            <rFont val="Tahoma"/>
            <family val="2"/>
          </rPr>
          <t>{T 01.00.a, r0512, c 0122}=={Z 02.00, r0512, c 0090}_x000D_
DataPointVID 410172_x000D_
DataPointID 410172_x000D_
Metric  =  Amount including transitional provisions [mi]_x000D_
Base  =  Equity_x000D_
Instrument  =  Instruments ranking pari passu with ordinary shares_x000D_
Main category  =  All equity_x000D_
Eligibility for MREL  =  Eligible_x000D_
Own funds  =  CET1 Capital</t>
        </r>
      </text>
    </comment>
    <comment ref="N70" authorId="0" shapeId="0">
      <text>
        <r>
          <rPr>
            <sz val="9"/>
            <color indexed="81"/>
            <rFont val="Tahoma"/>
            <family val="2"/>
          </rPr>
          <t>{T 01.00.a, r0512, c 0132}=={Z 02.00, r0512, c 0100}_x000D_
DataPointVID 410173_x000D_
DataPointID 410173_x000D_
Metric  =  Amount including transitional provisions [mi]_x000D_
Base  =  Equity_x000D_
Instrument  =  Instruments ranking pari passu with ordinary shares_x000D_
Main category  =  All equity_x000D_
Eligibility for MREL  =  Eligible_x000D_
Own funds  =  CET1 Capital_x000D_
Related parties/Relationships  =  Intra-group</t>
        </r>
      </text>
    </comment>
    <comment ref="O70" authorId="0" shapeId="0">
      <text>
        <r>
          <rPr>
            <sz val="9"/>
            <color indexed="81"/>
            <rFont val="Tahoma"/>
            <family val="2"/>
          </rPr>
          <t>{T 01.00.a, r0512, c 0142}=={Z 02.00, r0512, c 0110}_x000D_
DataPointVID 410174_x000D_
DataPointID 410174_x000D_
Metric  =  Amount including transitional provisions [mi]_x000D_
Base  =  Equity_x000D_
Instrument  =  Instruments ranking pari passu with ordinary shares_x000D_
Main category  =  All equity_x000D_
Eligibility for MREL  =  Eligible_x000D_
Own funds  =  CET1 Capital_x000D_
Related parties/Relationships  =  Non intra-group_x000D_
Governed by law of an EU Member State  =  False</t>
        </r>
      </text>
    </comment>
    <comment ref="C71" authorId="0" shapeId="0">
      <text>
        <r>
          <rPr>
            <sz val="9"/>
            <color indexed="81"/>
            <rFont val="Tahoma"/>
            <family val="2"/>
          </rPr>
          <t>Metric  =  Amount including transitional provisions [mi]_x000D_
Base  =  Own funds_x000D_
Main category  =  Regulatory capital items_x000D_
Own funds  =  AT1 Capital</t>
        </r>
      </text>
    </comment>
    <comment ref="M71" authorId="0" shapeId="0">
      <text>
        <r>
          <rPr>
            <sz val="9"/>
            <color indexed="81"/>
            <rFont val="Tahoma"/>
            <family val="2"/>
          </rPr>
          <t>{T 01.00.a, r0520, c 0122}=={Z 02.00, r0520, c 0090}_x000D_
DataPointVID 33410_x000D_
DataPointID 33410_x000D_
Metric  =  Amount including transitional provisions [mi]_x000D_
Base  =  Own funds_x000D_
Main category  =  Regulatory capital items_x000D_
Own funds  =  AT1 Capital</t>
        </r>
      </text>
    </comment>
    <comment ref="C72" authorId="0" shapeId="0">
      <text>
        <r>
          <rPr>
            <sz val="9"/>
            <color indexed="81"/>
            <rFont val="Tahoma"/>
            <family val="2"/>
          </rPr>
          <t>Metric  =  Amount including transitional provisions [mi]_x000D_
Base  =  Liabilities_x000D_
Main category  =  All liabilities_x000D_
Own funds  =  AT1 Capital_x000D_
Subordinated  =  Subordinated financial liabilities_x000D_
Eligibility for MREL  =  Eligible</t>
        </r>
      </text>
    </comment>
    <comment ref="D72" authorId="0" shapeId="0">
      <text>
        <r>
          <rPr>
            <sz val="9"/>
            <color indexed="81"/>
            <rFont val="Tahoma"/>
            <family val="2"/>
          </rPr>
          <t>{T 01.00.a, r0521, c 0012}=={Z 02.00, r0521, c 0010}_x000D_
DataPointVID 410181_x000D_
DataPointID 410181_x000D_
Metric  =  Amount including transitional provisions [mi]_x000D_
Base  =  Liabilities_x000D_
Counterparty sector  =  Households_x000D_
Main category  =  All liabilities_x000D_
Eligibility for MREL  =  Eligible_x000D_
Own funds  =  AT1 Capital_x000D_
Subordinated  =  Subordinated financial liabilities</t>
        </r>
      </text>
    </comment>
    <comment ref="E72" authorId="0" shapeId="0">
      <text>
        <r>
          <rPr>
            <sz val="9"/>
            <color indexed="81"/>
            <rFont val="Tahoma"/>
            <family val="2"/>
          </rPr>
          <t>{T 01.00.a, r0521, c 0022}=={Z 02.00, r0521, c 0020}_x000D_
DataPointVID 410183_x000D_
DataPointID 410183_x000D_
Metric  =  Amount including transitional provisions [mi]_x000D_
Base  =  Liabilities_x000D_
Counterparty sector  =  Non-financial corporations_x000D_
Size of the counterparty  =  SME_x000D_
Main category  =  All liabilities_x000D_
Eligibility for MREL  =  Eligible_x000D_
Own funds  =  AT1 Capital_x000D_
Subordinated  =  Subordinated financial liabilities</t>
        </r>
      </text>
    </comment>
    <comment ref="F72" authorId="0" shapeId="0">
      <text>
        <r>
          <rPr>
            <sz val="9"/>
            <color indexed="81"/>
            <rFont val="Tahoma"/>
            <family val="2"/>
          </rPr>
          <t>{T 01.00.a, r0521, c 0032}=={Z 02.00, r0521, c 0030}_x000D_
DataPointVID 423105_x000D_
DataPointID 410185_x000D_
Metric  =  Amount including transitional provisions [mi]_x000D_
Base  =  Liabilities_x000D_
Counterparty sector  =  Non-financial corporations_x000D_
Size of the counterparty  =  Counterparties other than SME_x000D_
Main category  =  All liabilities_x000D_
Eligibility for MREL  =  Eligible_x000D_
Own funds  =  AT1 Capital_x000D_
Subordinated  =  Subordinated financial liabilities</t>
        </r>
      </text>
    </comment>
    <comment ref="G72" authorId="0" shapeId="0">
      <text>
        <r>
          <rPr>
            <sz val="9"/>
            <color indexed="81"/>
            <rFont val="Tahoma"/>
            <family val="2"/>
          </rPr>
          <t>{T 01.00.a, r0521, c 0042}=={Z 02.00, r0521, c 0040}_x000D_
DataPointVID 410179_x000D_
DataPointID 410179_x000D_
Metric  =  Amount including transitional provisions [mi]_x000D_
Base  =  Liabilities_x000D_
Counterparty sector  =  Credit institutions_x000D_
Main category  =  All liabilities_x000D_
Eligibility for MREL  =  Eligible_x000D_
Own funds  =  AT1 Capital_x000D_
Subordinated  =  Subordinated financial liabilities</t>
        </r>
      </text>
    </comment>
    <comment ref="H72" authorId="0" shapeId="0">
      <text>
        <r>
          <rPr>
            <sz val="9"/>
            <color indexed="81"/>
            <rFont val="Tahoma"/>
            <family val="2"/>
          </rPr>
          <t>{T 01.00.a, r0521, c 0052}=={Z 02.00, r0521, c 0050}_x000D_
DataPointVID 410189_x000D_
DataPointID 410189_x000D_
Metric  =  Amount including transitional provisions [mi]_x000D_
Base  =  Liabilities_x000D_
Counterparty sector  =  Financial corporations other than credit institutions_x000D_
Main category  =  All liabilities_x000D_
Eligibility for MREL  =  Eligible_x000D_
Own funds  =  AT1 Capital_x000D_
Subordinated  =  Subordinated financial liabilities</t>
        </r>
      </text>
    </comment>
    <comment ref="I72" authorId="0" shapeId="0">
      <text>
        <r>
          <rPr>
            <sz val="9"/>
            <color indexed="81"/>
            <rFont val="Tahoma"/>
            <family val="2"/>
          </rPr>
          <t>DataPointVID 410187_x000D_
DataPointID 410187_x000D_
Metric  =  Amount including transitional provisions [mi]_x000D_
Base  =  Liabilities_x000D_
Counterparty sector  =  Financial corporations other than credit institutions_x000D_
Counterparty nature 2  =  Insurance companies, pension funds_x000D_
Main category  =  All liabilities_x000D_
Eligibility for MREL  =  Eligible_x000D_
Own funds  =  AT1 Capital_x000D_
Subordinated  =  Subordinated financial liabilities</t>
        </r>
      </text>
    </comment>
    <comment ref="J72" authorId="0" shapeId="0">
      <text>
        <r>
          <rPr>
            <sz val="9"/>
            <color indexed="81"/>
            <rFont val="Tahoma"/>
            <family val="2"/>
          </rPr>
          <t>{T 01.00.a, r0521, c 0082}=={Z 02.00, r0521, c 0060}_x000D_
DataPointVID 410191_x000D_
DataPointID 410191_x000D_
Metric  =  Amount including transitional provisions [mi]_x000D_
Base  =  Liabilities_x000D_
Counterparty sector  =  Central banks, general governments_x000D_
Main category  =  All liabilities_x000D_
Eligibility for MREL  =  Eligible_x000D_
Own funds  =  AT1 Capital_x000D_
Subordinated  =  Subordinated financial liabilities</t>
        </r>
      </text>
    </comment>
    <comment ref="K72" authorId="0" shapeId="0">
      <text>
        <r>
          <rPr>
            <sz val="9"/>
            <color indexed="81"/>
            <rFont val="Tahoma"/>
            <family val="2"/>
          </rPr>
          <t>{T 01.00.a, r0521, c 0092}=={Z 02.00, r0521, c 0070}_x000D_
DataPointVID 410177_x000D_
DataPointID 410177_x000D_
Metric  =  Amount including transitional provisions [mi]_x000D_
Base  =  Liabilities_x000D_
Instrument is listed on exchange  =  True_x000D_
Counterparty sector  =  Unknown counterparty_x000D_
Main category  =  All liabilities_x000D_
Eligibility for MREL  =  Eligible_x000D_
Own funds  =  AT1 Capital_x000D_
Subordinated  =  Subordinated financial liabilities</t>
        </r>
      </text>
    </comment>
    <comment ref="L72" authorId="0" shapeId="0">
      <text>
        <r>
          <rPr>
            <sz val="9"/>
            <color indexed="81"/>
            <rFont val="Tahoma"/>
            <family val="2"/>
          </rPr>
          <t>{T 01.00.a, r0521, c 0102}=={Z 02.00, r0521, c 0080}_x000D_
DataPointVID 410175_x000D_
DataPointID 410175_x000D_
Metric  =  Amount including transitional provisions [mi]_x000D_
Base  =  Liabilities_x000D_
Instrument is listed on exchange  =  False_x000D_
Counterparty sector  =  Unknown counterparty_x000D_
Main category  =  All liabilities_x000D_
Eligibility for MREL  =  Eligible_x000D_
Own funds  =  AT1 Capital_x000D_
Subordinated  =  Subordinated financial liabilities</t>
        </r>
      </text>
    </comment>
    <comment ref="M72" authorId="0" shapeId="0">
      <text>
        <r>
          <rPr>
            <sz val="9"/>
            <color indexed="81"/>
            <rFont val="Tahoma"/>
            <family val="2"/>
          </rPr>
          <t>{T 01.00.a, r0521, c 0122}=={Z 02.00, r0521, c 0090}_x000D_
DataPointVID 410195_x000D_
DataPointID 410195_x000D_
Metric  =  Amount including transitional provisions [mi]_x000D_
Base  =  Liabilities_x000D_
Main category  =  All liabilities_x000D_
Eligibility for MREL  =  Eligible_x000D_
Own funds  =  AT1 Capital_x000D_
Subordinated  =  Subordinated financial liabilities</t>
        </r>
      </text>
    </comment>
    <comment ref="N72" authorId="0" shapeId="0">
      <text>
        <r>
          <rPr>
            <sz val="9"/>
            <color indexed="81"/>
            <rFont val="Tahoma"/>
            <family val="2"/>
          </rPr>
          <t>{T 01.00.a, r0521, c 0132}=={Z 02.00, r0521, c 0100}_x000D_
DataPointVID 410193_x000D_
DataPointID 410193_x000D_
Metric  =  Amount including transitional provisions [mi]_x000D_
Base  =  Liabilities_x000D_
Main category  =  All liabilities_x000D_
Eligibility for MREL  =  Eligible_x000D_
Own funds  =  AT1 Capital_x000D_
Related parties/Relationships  =  Intra-group_x000D_
Subordinated  =  Subordinated financial liabilities</t>
        </r>
      </text>
    </comment>
    <comment ref="O72" authorId="0" shapeId="0">
      <text>
        <r>
          <rPr>
            <sz val="9"/>
            <color indexed="81"/>
            <rFont val="Tahoma"/>
            <family val="2"/>
          </rPr>
          <t>{T 01.00.a, r0521, c 0142}=={Z 02.00, r0521, c 0110}_x000D_
DataPointVID 410194_x000D_
DataPointID 410194_x000D_
Metric  =  Amount including transitional provisions [mi]_x000D_
Base  =  Liabilities_x000D_
Main category  =  All liabilities_x000D_
Eligibility for MREL  =  Eligible_x000D_
Own funds  =  AT1 Capital_x000D_
Related parties/Relationships  =  Non intra-group_x000D_
Governed by law of an EU Member State  =  False_x000D_
Subordinated  =  Subordinated financial liabilities</t>
        </r>
      </text>
    </comment>
    <comment ref="C73" authorId="0" shapeId="0">
      <text>
        <r>
          <rPr>
            <sz val="9"/>
            <color indexed="81"/>
            <rFont val="Tahoma"/>
            <family val="2"/>
          </rPr>
          <t>Metric  =  Amount including transitional provisions [mi]_x000D_
Base  =  Own funds_x000D_
Main category  =  Regulatory capital items_x000D_
Own funds  =  T2 Capital</t>
        </r>
      </text>
    </comment>
    <comment ref="M73" authorId="0" shapeId="0">
      <text>
        <r>
          <rPr>
            <sz val="9"/>
            <color indexed="81"/>
            <rFont val="Tahoma"/>
            <family val="2"/>
          </rPr>
          <t>{T 01.00.a, r0530, c 0122}=={Z 02.00, r0530, c 0090}_x000D_
DataPointVID 33412_x000D_
DataPointID 33412_x000D_
Metric  =  Amount including transitional provisions [mi]_x000D_
Base  =  Own funds_x000D_
Main category  =  Regulatory capital items_x000D_
Own funds  =  T2 Capital</t>
        </r>
      </text>
    </comment>
    <comment ref="C74" authorId="0" shapeId="0">
      <text>
        <r>
          <rPr>
            <sz val="9"/>
            <color indexed="81"/>
            <rFont val="Tahoma"/>
            <family val="2"/>
          </rPr>
          <t>Metric  =  Amount including transitional provisions [mi]_x000D_
Base  =  Liabilities_x000D_
Main category  =  All liabilities_x000D_
Own funds  =  T2 Capital_x000D_
Subordinated  =  Subordinated financial liabilities_x000D_
Eligibility for MREL  =  Eligible</t>
        </r>
      </text>
    </comment>
    <comment ref="D74" authorId="0" shapeId="0">
      <text>
        <r>
          <rPr>
            <sz val="9"/>
            <color indexed="81"/>
            <rFont val="Tahoma"/>
            <family val="2"/>
          </rPr>
          <t>{T 01.00.a, r0531, c 0012}=={Z 02.00, r0531, c 0010}_x000D_
DataPointVID 410182_x000D_
DataPointID 410182_x000D_
Metric  =  Amount including transitional provisions [mi]_x000D_
Base  =  Liabilities_x000D_
Counterparty sector  =  Households_x000D_
Main category  =  All liabilities_x000D_
Eligibility for MREL  =  Eligible_x000D_
Own funds  =  T2 Capital_x000D_
Subordinated  =  Subordinated financial liabilities</t>
        </r>
      </text>
    </comment>
    <comment ref="E74" authorId="0" shapeId="0">
      <text>
        <r>
          <rPr>
            <sz val="9"/>
            <color indexed="81"/>
            <rFont val="Tahoma"/>
            <family val="2"/>
          </rPr>
          <t>{T 01.00.a, r0531, c 0022}=={Z 02.00, r0531, c 0020}_x000D_
DataPointVID 410184_x000D_
DataPointID 410184_x000D_
Metric  =  Amount including transitional provisions [mi]_x000D_
Base  =  Liabilities_x000D_
Counterparty sector  =  Non-financial corporations_x000D_
Size of the counterparty  =  SME_x000D_
Main category  =  All liabilities_x000D_
Eligibility for MREL  =  Eligible_x000D_
Own funds  =  T2 Capital_x000D_
Subordinated  =  Subordinated financial liabilities</t>
        </r>
      </text>
    </comment>
    <comment ref="F74" authorId="0" shapeId="0">
      <text>
        <r>
          <rPr>
            <sz val="9"/>
            <color indexed="81"/>
            <rFont val="Tahoma"/>
            <family val="2"/>
          </rPr>
          <t>{T 01.00.a, r0531, c 0032}=={Z 02.00, r0531, c 0030}_x000D_
DataPointVID 423106_x000D_
DataPointID 410186_x000D_
Metric  =  Amount including transitional provisions [mi]_x000D_
Base  =  Liabilities_x000D_
Counterparty sector  =  Non-financial corporations_x000D_
Size of the counterparty  =  Counterparties other than SME_x000D_
Main category  =  All liabilities_x000D_
Eligibility for MREL  =  Eligible_x000D_
Own funds  =  T2 Capital_x000D_
Subordinated  =  Subordinated financial liabilities</t>
        </r>
      </text>
    </comment>
    <comment ref="G74" authorId="0" shapeId="0">
      <text>
        <r>
          <rPr>
            <sz val="9"/>
            <color indexed="81"/>
            <rFont val="Tahoma"/>
            <family val="2"/>
          </rPr>
          <t>{T 01.00.a, r0531, c 0042}=={Z 02.00, r0531, c 0040}_x000D_
DataPointVID 410180_x000D_
DataPointID 410180_x000D_
Metric  =  Amount including transitional provisions [mi]_x000D_
Base  =  Liabilities_x000D_
Counterparty sector  =  Credit institutions_x000D_
Main category  =  All liabilities_x000D_
Eligibility for MREL  =  Eligible_x000D_
Own funds  =  T2 Capital_x000D_
Subordinated  =  Subordinated financial liabilities</t>
        </r>
      </text>
    </comment>
    <comment ref="H74" authorId="0" shapeId="0">
      <text>
        <r>
          <rPr>
            <sz val="9"/>
            <color indexed="81"/>
            <rFont val="Tahoma"/>
            <family val="2"/>
          </rPr>
          <t>{T 01.00.a, r0531, c 0052}=={Z 02.00, r0531, c 0050}_x000D_
DataPointVID 410190_x000D_
DataPointID 410190_x000D_
Metric  =  Amount including transitional provisions [mi]_x000D_
Base  =  Liabilities_x000D_
Counterparty sector  =  Financial corporations other than credit institutions_x000D_
Main category  =  All liabilities_x000D_
Eligibility for MREL  =  Eligible_x000D_
Own funds  =  T2 Capital_x000D_
Subordinated  =  Subordinated financial liabilities</t>
        </r>
      </text>
    </comment>
    <comment ref="I74" authorId="0" shapeId="0">
      <text>
        <r>
          <rPr>
            <sz val="9"/>
            <color indexed="81"/>
            <rFont val="Tahoma"/>
            <family val="2"/>
          </rPr>
          <t>DataPointVID 410188_x000D_
DataPointID 410188_x000D_
Metric  =  Amount including transitional provisions [mi]_x000D_
Base  =  Liabilities_x000D_
Counterparty sector  =  Financial corporations other than credit institutions_x000D_
Counterparty nature 2  =  Insurance companies, pension funds_x000D_
Main category  =  All liabilities_x000D_
Eligibility for MREL  =  Eligible_x000D_
Own funds  =  T2 Capital_x000D_
Subordinated  =  Subordinated financial liabilities</t>
        </r>
      </text>
    </comment>
    <comment ref="J74" authorId="0" shapeId="0">
      <text>
        <r>
          <rPr>
            <sz val="9"/>
            <color indexed="81"/>
            <rFont val="Tahoma"/>
            <family val="2"/>
          </rPr>
          <t>{T 01.00.a, r0531, c 0082}=={Z 02.00, r0531, c 0060}_x000D_
DataPointVID 410192_x000D_
DataPointID 410192_x000D_
Metric  =  Amount including transitional provisions [mi]_x000D_
Base  =  Liabilities_x000D_
Counterparty sector  =  Central banks, general governments_x000D_
Main category  =  All liabilities_x000D_
Eligibility for MREL  =  Eligible_x000D_
Own funds  =  T2 Capital_x000D_
Subordinated  =  Subordinated financial liabilities</t>
        </r>
      </text>
    </comment>
    <comment ref="K74" authorId="0" shapeId="0">
      <text>
        <r>
          <rPr>
            <sz val="9"/>
            <color indexed="81"/>
            <rFont val="Tahoma"/>
            <family val="2"/>
          </rPr>
          <t>{T 01.00.a, r0531, c 0092}=={Z 02.00, r0531, c 0070}_x000D_
DataPointVID 410178_x000D_
DataPointID 410178_x000D_
Metric  =  Amount including transitional provisions [mi]_x000D_
Base  =  Liabilities_x000D_
Instrument is listed on exchange  =  True_x000D_
Counterparty sector  =  Unknown counterparty_x000D_
Main category  =  All liabilities_x000D_
Eligibility for MREL  =  Eligible_x000D_
Own funds  =  T2 Capital_x000D_
Subordinated  =  Subordinated financial liabilities</t>
        </r>
      </text>
    </comment>
    <comment ref="L74" authorId="0" shapeId="0">
      <text>
        <r>
          <rPr>
            <sz val="9"/>
            <color indexed="81"/>
            <rFont val="Tahoma"/>
            <family val="2"/>
          </rPr>
          <t>{T 01.00.a, r0531, c 0102}=={Z 02.00, r0531, c 0080}_x000D_
DataPointVID 410176_x000D_
DataPointID 410176_x000D_
Metric  =  Amount including transitional provisions [mi]_x000D_
Base  =  Liabilities_x000D_
Instrument is listed on exchange  =  False_x000D_
Counterparty sector  =  Unknown counterparty_x000D_
Main category  =  All liabilities_x000D_
Eligibility for MREL  =  Eligible_x000D_
Own funds  =  T2 Capital_x000D_
Subordinated  =  Subordinated financial liabilities</t>
        </r>
      </text>
    </comment>
    <comment ref="M74" authorId="0" shapeId="0">
      <text>
        <r>
          <rPr>
            <sz val="9"/>
            <color indexed="81"/>
            <rFont val="Tahoma"/>
            <family val="2"/>
          </rPr>
          <t>{T 01.00.a, r0531, c 0122}=={Z 02.00, r0531, c 0090}_x000D_
DataPointVID 410198_x000D_
DataPointID 410198_x000D_
Metric  =  Amount including transitional provisions [mi]_x000D_
Base  =  Liabilities_x000D_
Main category  =  All liabilities_x000D_
Eligibility for MREL  =  Eligible_x000D_
Own funds  =  T2 Capital_x000D_
Subordinated  =  Subordinated financial liabilities</t>
        </r>
      </text>
    </comment>
    <comment ref="N74" authorId="0" shapeId="0">
      <text>
        <r>
          <rPr>
            <sz val="9"/>
            <color indexed="81"/>
            <rFont val="Tahoma"/>
            <family val="2"/>
          </rPr>
          <t>{T 01.00.a, r0531, c 0132}=={Z 02.00, r0531, c 0100}_x000D_
DataPointVID 410196_x000D_
DataPointID 410196_x000D_
Metric  =  Amount including transitional provisions [mi]_x000D_
Base  =  Liabilities_x000D_
Main category  =  All liabilities_x000D_
Eligibility for MREL  =  Eligible_x000D_
Own funds  =  T2 Capital_x000D_
Related parties/Relationships  =  Intra-group_x000D_
Subordinated  =  Subordinated financial liabilities</t>
        </r>
      </text>
    </comment>
    <comment ref="O74" authorId="0" shapeId="0">
      <text>
        <r>
          <rPr>
            <sz val="9"/>
            <color indexed="81"/>
            <rFont val="Tahoma"/>
            <family val="2"/>
          </rPr>
          <t>{T 01.00.a, r0531, c 0142}=={Z 02.00, r0531, c 0110}_x000D_
DataPointVID 410197_x000D_
DataPointID 410197_x000D_
Metric  =  Amount including transitional provisions [mi]_x000D_
Base  =  Liabilities_x000D_
Main category  =  All liabilities_x000D_
Eligibility for MREL  =  Eligible_x000D_
Own funds  =  T2 Capital_x000D_
Related parties/Relationships  =  Non intra-group_x000D_
Governed by law of an EU Member State  =  False_x000D_
Subordinated  =  Subordinated financial liabilities</t>
        </r>
      </text>
    </comment>
    <comment ref="C75" authorId="0" shapeId="0">
      <text>
        <r>
          <rPr>
            <sz val="9"/>
            <color indexed="81"/>
            <rFont val="Tahoma"/>
            <family val="2"/>
          </rPr>
          <t>Metric  =  Computable amount [mi]_x000D_
Base  =  All liabilities and own funds</t>
        </r>
      </text>
    </comment>
    <comment ref="M75" authorId="0" shapeId="0">
      <text>
        <r>
          <rPr>
            <sz val="9"/>
            <color indexed="81"/>
            <rFont val="Tahoma"/>
            <family val="2"/>
          </rPr>
          <t>{T 01.00.a, r0600, c 0122}=={Z 02.00, r0600, c 0090}_x000D_
DataPointVID 410150_x000D_
DataPointID 410150_x000D_
Metric  =  Computable amount [mi]_x000D_
Base  =  All liabilities and own funds</t>
        </r>
      </text>
    </comment>
    <comment ref="C76" authorId="0" shapeId="0">
      <text>
        <r>
          <rPr>
            <sz val="9"/>
            <color indexed="81"/>
            <rFont val="Tahoma"/>
            <family val="2"/>
          </rPr>
          <t>Metric  =  Computable amount [mi]_x000D_
Base  =  Exposures_x000D_
Main category  =  Leverage Ratio exposure full phased-in definition of Tier 1</t>
        </r>
      </text>
    </comment>
    <comment ref="M76" authorId="0" shapeId="0">
      <text>
        <r>
          <rPr>
            <sz val="9"/>
            <color indexed="81"/>
            <rFont val="Tahoma"/>
            <family val="2"/>
          </rPr>
          <t>DataPointVID 134660_x000D_
DataPointID 134660_x000D_
Metric  =  Computable amount [mi]_x000D_
Base  =  Exposures_x000D_
Main category  =  Leverage Ratio exposure full phased-in definition of Tier 1</t>
        </r>
      </text>
    </comment>
  </commentList>
</comments>
</file>

<file path=xl/comments2.xml><?xml version="1.0" encoding="utf-8"?>
<comments xmlns="http://schemas.openxmlformats.org/spreadsheetml/2006/main">
  <authors>
    <author>Haizhen Li</author>
  </authors>
  <commentList>
    <comment ref="D8" authorId="0" shapeId="0">
      <text>
        <r>
          <rPr>
            <sz val="9"/>
            <color indexed="81"/>
            <rFont val="Tahoma"/>
            <family val="2"/>
          </rPr>
          <t>Counterparty sector  =  Households</t>
        </r>
      </text>
    </comment>
    <comment ref="E8" authorId="0" shapeId="0">
      <text>
        <r>
          <rPr>
            <sz val="9"/>
            <color indexed="81"/>
            <rFont val="Tahoma"/>
            <family val="2"/>
          </rPr>
          <t>Counterparty sector  =  Non-financial corporations_x000D_
Size of the counterparty  =  SME</t>
        </r>
      </text>
    </comment>
    <comment ref="F8" authorId="0" shapeId="0">
      <text>
        <r>
          <rPr>
            <sz val="9"/>
            <color indexed="81"/>
            <rFont val="Tahoma"/>
            <family val="2"/>
          </rPr>
          <t>Counterparty sector  =  Non-financial corporations_x000D_
Size of the counterparty  =  Counterparties other than SME</t>
        </r>
      </text>
    </comment>
    <comment ref="G8" authorId="0" shapeId="0">
      <text>
        <r>
          <rPr>
            <sz val="9"/>
            <color indexed="81"/>
            <rFont val="Tahoma"/>
            <family val="2"/>
          </rPr>
          <t>Counterparty sector  =  Credit institutions</t>
        </r>
      </text>
    </comment>
    <comment ref="H8" authorId="0" shapeId="0">
      <text>
        <r>
          <rPr>
            <sz val="9"/>
            <color indexed="81"/>
            <rFont val="Tahoma"/>
            <family val="2"/>
          </rPr>
          <t>Counterparty sector  =  Financial corporations other than credit institutions</t>
        </r>
      </text>
    </comment>
    <comment ref="I8" authorId="0" shapeId="0">
      <text>
        <r>
          <rPr>
            <sz val="9"/>
            <color indexed="81"/>
            <rFont val="Tahoma"/>
            <family val="2"/>
          </rPr>
          <t>Counterparty sector  =  Financial corporations other than credit institutions_x000D_
Counterparty nature 2  =  Insurance companies, pension funds</t>
        </r>
      </text>
    </comment>
    <comment ref="J8" authorId="0" shapeId="0">
      <text>
        <r>
          <rPr>
            <sz val="9"/>
            <color indexed="81"/>
            <rFont val="Tahoma"/>
            <family val="2"/>
          </rPr>
          <t>Counterparty sector  =  Central banks, general governments</t>
        </r>
      </text>
    </comment>
    <comment ref="K8" authorId="0" shapeId="0">
      <text>
        <r>
          <rPr>
            <sz val="9"/>
            <color indexed="81"/>
            <rFont val="Tahoma"/>
            <family val="2"/>
          </rPr>
          <t>Counterparty sector  =  Unknown counterparty_x000D_
Instrument is listed on exchange  =  True</t>
        </r>
      </text>
    </comment>
    <comment ref="L8" authorId="0" shapeId="0">
      <text>
        <r>
          <rPr>
            <sz val="9"/>
            <color indexed="81"/>
            <rFont val="Tahoma"/>
            <family val="2"/>
          </rPr>
          <t>Counterparty sector  =  Unknown counterparty_x000D_
Instrument is listed on exchange  =  False</t>
        </r>
      </text>
    </comment>
    <comment ref="N8" authorId="0" shapeId="0">
      <text>
        <r>
          <rPr>
            <sz val="9"/>
            <color indexed="81"/>
            <rFont val="Tahoma"/>
            <family val="2"/>
          </rPr>
          <t>Related parties/Relationships  =  Intra-group</t>
        </r>
      </text>
    </comment>
    <comment ref="O8" authorId="0" shapeId="0">
      <text>
        <r>
          <rPr>
            <sz val="9"/>
            <color indexed="81"/>
            <rFont val="Tahoma"/>
            <family val="2"/>
          </rPr>
          <t>Related parties/Relationships  =  Non intra-group_x000D_
Governed by law of an EU Member State  =  False</t>
        </r>
      </text>
    </comment>
    <comment ref="C9" authorId="0" shapeId="0">
      <text>
        <r>
          <rPr>
            <sz val="9"/>
            <color indexed="81"/>
            <rFont val="Tahoma"/>
            <family val="2"/>
          </rPr>
          <t>Metric  =  Carrying amount [mi]_x000D_
Base  =  Liabilities_x000D_
Main category  =  All liabilities_x000D_
Exclusion from Bail-in  =  Excluded from bail-in_x000D_
Eligibility for MREL  =  Non-eligible</t>
        </r>
      </text>
    </comment>
    <comment ref="D9" authorId="0" shapeId="0">
      <text>
        <r>
          <rPr>
            <sz val="9"/>
            <color indexed="81"/>
            <rFont val="Tahoma"/>
            <family val="2"/>
          </rPr>
          <t>DataPointVID 409917_x000D_
DataPointID 409917_x000D_
Metric  =  Carrying amount [mi]_x000D_
Base  =  Liabilities_x000D_
Counterparty sector  =  Households_x000D_
Exclusion from Bail-in  =  Excluded from bail-in_x000D_
Main category  =  All liabilities_x000D_
Eligibility for MREL  =  Non-eligible</t>
        </r>
      </text>
    </comment>
    <comment ref="E9" authorId="0" shapeId="0">
      <text>
        <r>
          <rPr>
            <sz val="9"/>
            <color indexed="81"/>
            <rFont val="Tahoma"/>
            <family val="2"/>
          </rPr>
          <t>DataPointVID 409944_x000D_
DataPointID 409944_x000D_
Metric  =  Carrying amount [mi]_x000D_
Base  =  Liabilities_x000D_
Counterparty sector  =  Non-financial corporations_x000D_
Size of the counterparty  =  SME_x000D_
Exclusion from Bail-in  =  Excluded from bail-in_x000D_
Main category  =  All liabilities_x000D_
Eligibility for MREL  =  Non-eligible</t>
        </r>
      </text>
    </comment>
    <comment ref="F9" authorId="0" shapeId="0">
      <text>
        <r>
          <rPr>
            <sz val="9"/>
            <color indexed="81"/>
            <rFont val="Tahoma"/>
            <family val="2"/>
          </rPr>
          <t>DataPointVID 423077_x000D_
DataPointID 409965_x000D_
Metric  =  Carrying amount [mi]_x000D_
Base  =  Liabilities_x000D_
Counterparty sector  =  Non-financial corporations_x000D_
Size of the counterparty  =  Counterparties other than SME_x000D_
Exclusion from Bail-in  =  Excluded from bail-in_x000D_
Main category  =  All liabilities_x000D_
Eligibility for MREL  =  Non-eligible</t>
        </r>
      </text>
    </comment>
    <comment ref="G9" authorId="0" shapeId="0">
      <text>
        <r>
          <rPr>
            <sz val="9"/>
            <color indexed="81"/>
            <rFont val="Tahoma"/>
            <family val="2"/>
          </rPr>
          <t>DataPointVID 409892_x000D_
DataPointID 409892_x000D_
Metric  =  Carrying amount [mi]_x000D_
Base  =  Liabilities_x000D_
Counterparty sector  =  Credit institutions_x000D_
Exclusion from Bail-in  =  Excluded from bail-in_x000D_
Main category  =  All liabilities_x000D_
Eligibility for MREL  =  Non-eligible</t>
        </r>
      </text>
    </comment>
    <comment ref="H9" authorId="0" shapeId="0">
      <text>
        <r>
          <rPr>
            <sz val="9"/>
            <color indexed="81"/>
            <rFont val="Tahoma"/>
            <family val="2"/>
          </rPr>
          <t>DataPointVID 410015_x000D_
DataPointID 410015_x000D_
Metric  =  Carrying amount [mi]_x000D_
Base  =  Liabilities_x000D_
Counterparty sector  =  Financial corporations other than credit institutions_x000D_
Exclusion from Bail-in  =  Excluded from bail-in_x000D_
Main category  =  All liabilities_x000D_
Eligibility for MREL  =  Non-eligible</t>
        </r>
      </text>
    </comment>
    <comment ref="I9" authorId="0" shapeId="0">
      <text>
        <r>
          <rPr>
            <sz val="9"/>
            <color indexed="81"/>
            <rFont val="Tahoma"/>
            <family val="2"/>
          </rPr>
          <t>DataPointVID 409990_x000D_
DataPointID 409990_x000D_
Metric  =  Carrying amount [mi]_x000D_
Base  =  Liabilities_x000D_
Counterparty sector  =  Financial corporations other than credit institutions_x000D_
Counterparty nature 2  =  Insurance companies, pension funds_x000D_
Exclusion from Bail-in  =  Excluded from bail-in_x000D_
Main category  =  All liabilities_x000D_
Eligibility for MREL  =  Non-eligible</t>
        </r>
      </text>
    </comment>
    <comment ref="J9" authorId="0" shapeId="0">
      <text>
        <r>
          <rPr>
            <sz val="9"/>
            <color indexed="81"/>
            <rFont val="Tahoma"/>
            <family val="2"/>
          </rPr>
          <t>DataPointVID 410039_x000D_
DataPointID 410039_x000D_
Metric  =  Carrying amount [mi]_x000D_
Base  =  Liabilities_x000D_
Counterparty sector  =  Central banks, general governments_x000D_
Exclusion from Bail-in  =  Excluded from bail-in_x000D_
Main category  =  All liabilities_x000D_
Eligibility for MREL  =  Non-eligible</t>
        </r>
      </text>
    </comment>
    <comment ref="K9" authorId="0" shapeId="0">
      <text>
        <r>
          <rPr>
            <sz val="9"/>
            <color indexed="81"/>
            <rFont val="Tahoma"/>
            <family val="2"/>
          </rPr>
          <t>DataPointVID 409586_x000D_
DataPointID 409586_x000D_
Metric  =  Carrying amount [mi]_x000D_
Base  =  Liabilities_x000D_
Instrument is listed on exchange  =  True_x000D_
Counterparty sector  =  Unknown counterparty_x000D_
Exclusion from Bail-in  =  Excluded from bail-in_x000D_
Main category  =  All liabilities_x000D_
Eligibility for MREL  =  Non-eligible</t>
        </r>
      </text>
    </comment>
    <comment ref="L9" authorId="0" shapeId="0">
      <text>
        <r>
          <rPr>
            <sz val="9"/>
            <color indexed="81"/>
            <rFont val="Tahoma"/>
            <family val="2"/>
          </rPr>
          <t>DataPointVID 409534_x000D_
DataPointID 409534_x000D_
Metric  =  Carrying amount [mi]_x000D_
Base  =  Liabilities_x000D_
Instrument is listed on exchange  =  False_x000D_
Counterparty sector  =  Unknown counterparty_x000D_
Exclusion from Bail-in  =  Excluded from bail-in_x000D_
Main category  =  All liabilities_x000D_
Eligibility for MREL  =  Non-eligible</t>
        </r>
      </text>
    </comment>
    <comment ref="M9" authorId="0" shapeId="0">
      <text>
        <r>
          <rPr>
            <sz val="9"/>
            <color indexed="81"/>
            <rFont val="Tahoma"/>
            <family val="2"/>
          </rPr>
          <t>DataPointVID 410087_x000D_
DataPointID 410087_x000D_
Metric  =  Carrying amount [mi]_x000D_
Base  =  Liabilities_x000D_
Exclusion from Bail-in  =  Excluded from bail-in_x000D_
Main category  =  All liabilities_x000D_
Eligibility for MREL  =  Non-eligible</t>
        </r>
      </text>
    </comment>
    <comment ref="N9" authorId="0" shapeId="0">
      <text>
        <r>
          <rPr>
            <sz val="9"/>
            <color indexed="81"/>
            <rFont val="Tahoma"/>
            <family val="2"/>
          </rPr>
          <t>DataPointVID 410088_x000D_
DataPointID 410088_x000D_
Metric  =  Carrying amount [mi]_x000D_
Base  =  Liabilities_x000D_
Exclusion from Bail-in  =  Excluded from bail-in_x000D_
Main category  =  All liabilities_x000D_
Eligibility for MREL  =  Non-eligible_x000D_
Related parties/Relationships  =  Intra-group</t>
        </r>
      </text>
    </comment>
    <comment ref="O9" authorId="0" shapeId="0">
      <text>
        <r>
          <rPr>
            <sz val="9"/>
            <color indexed="81"/>
            <rFont val="Tahoma"/>
            <family val="2"/>
          </rPr>
          <t>DataPointVID 410089_x000D_
DataPointID 410089_x000D_
Metric  =  Carrying amount [mi]_x000D_
Base  =  Liabilities_x000D_
Exclusion from Bail-in  =  Excluded from bail-in_x000D_
Main category  =  All liabilities_x000D_
Eligibility for MREL  =  Non-eligible_x000D_
Related parties/Relationships  =  Non intra-group_x000D_
Governed by law of an EU Member State  =  False</t>
        </r>
      </text>
    </comment>
    <comment ref="C10" authorId="0" shapeId="0">
      <text>
        <r>
          <rPr>
            <sz val="9"/>
            <color indexed="81"/>
            <rFont val="Tahoma"/>
            <family val="2"/>
          </rPr>
          <t>Metric  =  Carrying amount [mi]_x000D_
Base  =  Liabilities_x000D_
Main category  =  Deposits_x000D_
Country of incorporation of guarantor  =  European Economic Area (EEA)_x000D_
Guarantor  =  Deposit Guarantee Scheme or assimilated_x000D_
Type of coverage of deposits by a DGS  =  Legal coverage (excluding deposits guaranteed by a DGS on contractual basis)_x000D_
Exclusion from Bail-in  =  Excluded from bail-in_x000D_
Eligibility for MREL  =  Non-eligible</t>
        </r>
      </text>
    </comment>
    <comment ref="D10" authorId="0" shapeId="0">
      <text>
        <r>
          <rPr>
            <sz val="9"/>
            <color indexed="81"/>
            <rFont val="Tahoma"/>
            <family val="2"/>
          </rPr>
          <t>DataPointVID 409600_x000D_
DataPointID 409600_x000D_
Metric  =  Carrying amount [mi]_x000D_
Base  =  Liabilities_x000D_
Country of incorporation of guarantor  =  European Economic Area (EEA)_x000D_
Counterparty sector  =  Households_x000D_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E10" authorId="0" shapeId="0">
      <text>
        <r>
          <rPr>
            <sz val="9"/>
            <color indexed="81"/>
            <rFont val="Tahoma"/>
            <family val="2"/>
          </rPr>
          <t>DataPointVID 409601_x000D_
DataPointID 409601_x000D_
Metric  =  Carrying amount [mi]_x000D_
Base  =  Liabilities_x000D_
Country of incorporation of guarantor  =  European Economic Area (EEA)_x000D_
Counterparty sector  =  Non-financial corporations_x000D_
Size of the counterparty  =  SME_x000D_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F10" authorId="0" shapeId="0">
      <text>
        <r>
          <rPr>
            <sz val="9"/>
            <color indexed="81"/>
            <rFont val="Tahoma"/>
            <family val="2"/>
          </rPr>
          <t>DataPointVID 423026_x000D_
DataPointID 409602_x000D_
Metric  =  Carrying amount [mi]_x000D_
Base  =  Liabilities_x000D_
Country of incorporation of guarantor  =  European Economic Area (EEA)_x000D_
Counterparty sector  =  Non-financial corporations_x000D_
Size of the counterparty  =  Counterparties other than SME_x000D_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H10" authorId="0" shapeId="0">
      <text>
        <r>
          <rPr>
            <sz val="9"/>
            <color indexed="81"/>
            <rFont val="Tahoma"/>
            <family val="2"/>
          </rPr>
          <t>DataPointVID 409604_x000D_
DataPointID 409604_x000D_
Metric  =  Carrying amount [mi]_x000D_
Base  =  Liabilities_x000D_
Country of incorporation of guarantor  =  European Economic Area (EEA)_x000D_
Counterparty sector  =  Financial corporations other than credit institutions_x000D_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I10" authorId="0" shapeId="0">
      <text>
        <r>
          <rPr>
            <sz val="9"/>
            <color indexed="81"/>
            <rFont val="Tahoma"/>
            <family val="2"/>
          </rPr>
          <t>DataPointVID 409603_x000D_
DataPointID 409603_x000D_
Metric  =  Carrying amount [mi]_x000D_
Base  =  Liabilities_x000D_
Country of incorporation of guarantor  =  European Economic Area (EEA)_x000D_
Counterparty sector  =  Financial corporations other than credit institutions_x000D_
Counterparty nature 2  =  Insurance companies, pension funds_x000D_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J10" authorId="0" shapeId="0">
      <text>
        <r>
          <rPr>
            <sz val="9"/>
            <color indexed="81"/>
            <rFont val="Tahoma"/>
            <family val="2"/>
          </rPr>
          <t>DataPointVID 409605_x000D_
DataPointID 409605_x000D_
Metric  =  Carrying amount [mi]_x000D_
Base  =  Liabilities_x000D_
Country of incorporation of guarantor  =  European Economic Area (EEA)_x000D_
Counterparty sector  =  Central banks, general governments_x000D_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L10" authorId="0" shapeId="0">
      <text>
        <r>
          <rPr>
            <sz val="9"/>
            <color indexed="81"/>
            <rFont val="Tahoma"/>
            <family val="2"/>
          </rPr>
          <t>DataPointVID 409496_x000D_
DataPointID 409496_x000D_
Metric  =  Carrying amount [mi]_x000D_
Base  =  Liabilities_x000D_
Instrument is listed on exchange  =  False_x000D_
Country of incorporation of guarantor  =  European Economic Area (EEA)_x000D_
Counterparty sector  =  Unknown counterparty_x000D_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M10" authorId="0" shapeId="0">
      <text>
        <r>
          <rPr>
            <sz val="9"/>
            <color indexed="81"/>
            <rFont val="Tahoma"/>
            <family val="2"/>
          </rPr>
          <t>DataPointVID 409608_x000D_
DataPointID 409608_x000D_
Metric  =  Carrying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Type of coverage of deposits by a DGS  =  Legal coverage (excluding deposits guaranteed by a DGS on contractual basis)</t>
        </r>
      </text>
    </comment>
    <comment ref="N10" authorId="0" shapeId="0">
      <text>
        <r>
          <rPr>
            <sz val="9"/>
            <color indexed="81"/>
            <rFont val="Tahoma"/>
            <family val="2"/>
          </rPr>
          <t>DataPointVID 409606_x000D_
DataPointID 409606_x000D_
Metric  =  Carrying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Related parties/Relationships  =  Intra-group_x000D_
Type of coverage of deposits by a DGS  =  Legal coverage (excluding deposits guaranteed by a DGS on contractual basis)</t>
        </r>
      </text>
    </comment>
    <comment ref="O10" authorId="0" shapeId="0">
      <text>
        <r>
          <rPr>
            <sz val="9"/>
            <color indexed="81"/>
            <rFont val="Tahoma"/>
            <family val="2"/>
          </rPr>
          <t>DataPointVID 409607_x000D_
DataPointID 409607_x000D_
Metric  =  Carrying amount [mi]_x000D_
Base  =  Liabilities_x000D_
Country of incorporation of guarantor  =  European Economic Area (EEA)_x000D_
Guarantor  =  Deposit Guarantee Scheme or assimilated_x000D_
Exclusion from Bail-in  =  Excluded from bail-in_x000D_
Main category  =  Deposits_x000D_
Eligibility for MREL  =  Non-eligible_x000D_
Related parties/Relationships  =  Non intra-group_x000D_
Governed by law of an EU Member State  =  False_x000D_
Type of coverage of deposits by a DGS  =  Legal coverage (excluding deposits guaranteed by a DGS on contractual basis)</t>
        </r>
      </text>
    </comment>
    <comment ref="C11" authorId="0" shapeId="0">
      <text>
        <r>
          <rPr>
            <sz val="9"/>
            <color indexed="81"/>
            <rFont val="Tahoma"/>
            <family val="2"/>
          </rPr>
          <t>Metric  =  Carrying amount [mi]_x000D_
Base  =  Liabilities_x000D_
Main category  =  Deposits, Debt securities issued_x000D_
Collateral status  =  Collateralised_x000D_
Exclusion from Bail-in  =  Excluded from bail-in_x000D_
Eligibility for MREL  =  Non-eligible_x000D_
Collateralisation level  =  Collateralized amount</t>
        </r>
      </text>
    </comment>
    <comment ref="D11" authorId="0" shapeId="0">
      <text>
        <r>
          <rPr>
            <sz val="9"/>
            <color indexed="81"/>
            <rFont val="Tahoma"/>
            <family val="2"/>
          </rPr>
          <t>DataPointVID 409827_x000D_
DataPointID 409827_x000D_
Metric  =  Carrying amount [mi]_x000D_
Base  =  Liabilities_x000D_
Collateral status  =  Collateralised_x000D_
Counterparty sector  =  Households_x000D_
Collateralisation level  =  Collateralized amount_x000D_
Exclusion from Bail-in  =  Excluded from bail-in_x000D_
Main category  =  Deposits, Debt securities issued_x000D_
Eligibility for MREL  =  Non-eligible</t>
        </r>
      </text>
    </comment>
    <comment ref="E11" authorId="0" shapeId="0">
      <text>
        <r>
          <rPr>
            <sz val="9"/>
            <color indexed="81"/>
            <rFont val="Tahoma"/>
            <family val="2"/>
          </rPr>
          <t>DataPointVID 409833_x000D_
DataPointID 409833_x000D_
Metric  =  Carrying amount [mi]_x000D_
Base  =  Liabilities_x000D_
Collateral status  =  Collateralised_x000D_
Counterparty sector  =  Non-financial corporations_x000D_
Size of the counterparty  =  SME_x000D_
Collateralisation level  =  Collateralized amount_x000D_
Exclusion from Bail-in  =  Excluded from bail-in_x000D_
Main category  =  Deposits, Debt securities issued_x000D_
Eligibility for MREL  =  Non-eligible</t>
        </r>
      </text>
    </comment>
    <comment ref="F11" authorId="0" shapeId="0">
      <text>
        <r>
          <rPr>
            <sz val="9"/>
            <color indexed="81"/>
            <rFont val="Tahoma"/>
            <family val="2"/>
          </rPr>
          <t>DataPointVID 423048_x000D_
DataPointID 409839_x000D_
Metric  =  Carrying amount [mi]_x000D_
Base  =  Liabilities_x000D_
Collateral status  =  Collateralised_x000D_
Counterparty sector  =  Non-financial corporations_x000D_
Size of the counterparty  =  Counterparties other than SME_x000D_
Collateralisation level  =  Collateralized amount_x000D_
Exclusion from Bail-in  =  Excluded from bail-in_x000D_
Main category  =  Deposits, Debt securities issued_x000D_
Eligibility for MREL  =  Non-eligible</t>
        </r>
      </text>
    </comment>
    <comment ref="G11" authorId="0" shapeId="0">
      <text>
        <r>
          <rPr>
            <sz val="9"/>
            <color indexed="81"/>
            <rFont val="Tahoma"/>
            <family val="2"/>
          </rPr>
          <t>DataPointVID 409821_x000D_
DataPointID 409821_x000D_
Metric  =  Carrying amount [mi]_x000D_
Base  =  Liabilities_x000D_
Collateral status  =  Collateralised_x000D_
Counterparty sector  =  Credit institutions_x000D_
Collateralisation level  =  Collateralized amount_x000D_
Exclusion from Bail-in  =  Excluded from bail-in_x000D_
Main category  =  Deposits, Debt securities issued_x000D_
Eligibility for MREL  =  Non-eligible</t>
        </r>
      </text>
    </comment>
    <comment ref="H11" authorId="0" shapeId="0">
      <text>
        <r>
          <rPr>
            <sz val="9"/>
            <color indexed="81"/>
            <rFont val="Tahoma"/>
            <family val="2"/>
          </rPr>
          <t>DataPointVID 409851_x000D_
DataPointID 409851_x000D_
Metric  =  Carrying amount [mi]_x000D_
Base  =  Liabilities_x000D_
Collateral status  =  Collateralised_x000D_
Counterparty sector  =  Financial corporations other than credit institutions_x000D_
Collateralisation level  =  Collateralized amount_x000D_
Exclusion from Bail-in  =  Excluded from bail-in_x000D_
Main category  =  Deposits, Debt securities issued_x000D_
Eligibility for MREL  =  Non-eligible</t>
        </r>
      </text>
    </comment>
    <comment ref="I11" authorId="0" shapeId="0">
      <text>
        <r>
          <rPr>
            <sz val="9"/>
            <color indexed="81"/>
            <rFont val="Tahoma"/>
            <family val="2"/>
          </rPr>
          <t>DataPointVID 409845_x000D_
DataPointID 409845_x000D_
Metric  =  Carrying amount [mi]_x000D_
Base  =  Liabilities_x000D_
Collateral status  =  Collateralised_x000D_
Counterparty sector  =  Financial corporations other than credit institutions_x000D_
Counterparty nature 2  =  Insurance companies, pension funds_x000D_
Collateralisation level  =  Collateralized amount_x000D_
Exclusion from Bail-in  =  Excluded from bail-in_x000D_
Main category  =  Deposits, Debt securities issued_x000D_
Eligibility for MREL  =  Non-eligible</t>
        </r>
      </text>
    </comment>
    <comment ref="J11" authorId="0" shapeId="0">
      <text>
        <r>
          <rPr>
            <sz val="9"/>
            <color indexed="81"/>
            <rFont val="Tahoma"/>
            <family val="2"/>
          </rPr>
          <t>DataPointVID 409857_x000D_
DataPointID 409857_x000D_
Metric  =  Carrying amount [mi]_x000D_
Base  =  Liabilities_x000D_
Collateral status  =  Collateralised_x000D_
Counterparty sector  =  Central banks, general governments_x000D_
Collateralisation level  =  Collateralized amount_x000D_
Exclusion from Bail-in  =  Excluded from bail-in_x000D_
Main category  =  Deposits, Debt securities issued_x000D_
Eligibility for MREL  =  Non-eligible</t>
        </r>
      </text>
    </comment>
    <comment ref="K11" authorId="0" shapeId="0">
      <text>
        <r>
          <rPr>
            <sz val="9"/>
            <color indexed="81"/>
            <rFont val="Tahoma"/>
            <family val="2"/>
          </rPr>
          <t>DataPointVID 409857_x000D_
DataPointID 409857_x000D_
Metric  =  Carrying amount [mi]_x000D_
Base  =  Liabilities_x000D_
Collateral status  =  Collateralised_x000D_
Counterparty sector  =  Central banks, general governments_x000D_
Collateralisation level  =  Collateralized amount_x000D_
Exclusion from Bail-in  =  Excluded from bail-in_x000D_
Main category  =  Deposits, Debt securities issued_x000D_
Eligibility for MREL  =  Non-eligible</t>
        </r>
      </text>
    </comment>
    <comment ref="L11" authorId="0" shapeId="0">
      <text>
        <r>
          <rPr>
            <sz val="9"/>
            <color indexed="81"/>
            <rFont val="Tahoma"/>
            <family val="2"/>
          </rPr>
          <t>DataPointVID 409518_x000D_
DataPointID 409518_x000D_
Metric  =  Carrying amount [mi]_x000D_
Base  =  Liabilities_x000D_
Instrument is listed on exchange  =  False_x000D_
Collateral status  =  Collateralised_x000D_
Counterparty sector  =  Unknown counterparty_x000D_
Collateralisation level  =  Collateralized amount_x000D_
Exclusion from Bail-in  =  Excluded from bail-in_x000D_
Main category  =  Deposits, Debt securities issued_x000D_
Eligibility for MREL  =  Non-eligible</t>
        </r>
      </text>
    </comment>
    <comment ref="M11" authorId="0" shapeId="0">
      <text>
        <r>
          <rPr>
            <sz val="9"/>
            <color indexed="81"/>
            <rFont val="Tahoma"/>
            <family val="2"/>
          </rPr>
          <t>DataPointVID 409863_x000D_
DataPointID 409863_x000D_
Metric  =  Carrying amount [mi]_x000D_
Base  =  Liabilities_x000D_
Collateral status  =  Collateralised_x000D_
Collateralisation level  =  Collateralized amount_x000D_
Exclusion from Bail-in  =  Excluded from bail-in_x000D_
Main category  =  Deposits, Debt securities issued_x000D_
Eligibility for MREL  =  Non-eligible</t>
        </r>
      </text>
    </comment>
    <comment ref="N11" authorId="0" shapeId="0">
      <text>
        <r>
          <rPr>
            <sz val="9"/>
            <color indexed="81"/>
            <rFont val="Tahoma"/>
            <family val="2"/>
          </rPr>
          <t>DataPointVID 409864_x000D_
DataPointID 409864_x000D_
Metric  =  Carrying amount [mi]_x000D_
Base  =  Liabilities_x000D_
Collateral status  =  Collateralised_x000D_
Collateralisation level  =  Collateralized amount_x000D_
Exclusion from Bail-in  =  Excluded from bail-in_x000D_
Main category  =  Deposits, Debt securities issued_x000D_
Eligibility for MREL  =  Non-eligible_x000D_
Related parties/Relationships  =  Intra-group</t>
        </r>
      </text>
    </comment>
    <comment ref="O11" authorId="0" shapeId="0">
      <text>
        <r>
          <rPr>
            <sz val="9"/>
            <color indexed="81"/>
            <rFont val="Tahoma"/>
            <family val="2"/>
          </rPr>
          <t>DataPointVID 409865_x000D_
DataPointID 409865_x000D_
Metric  =  Carrying amount [mi]_x000D_
Base  =  Liabilities_x000D_
Collateral status  =  Collateralised_x000D_
Collateralisation level  =  Collateralized amount_x000D_
Exclusion from Bail-in  =  Excluded from bail-in_x000D_
Main category  =  Deposits, Debt securities issued_x000D_
Eligibility for MREL  =  Non-eligible_x000D_
Related parties/Relationships  =  Non intra-group_x000D_
Governed by law of an EU Member State  =  False</t>
        </r>
      </text>
    </comment>
    <comment ref="C12" authorId="0" shapeId="0">
      <text>
        <r>
          <rPr>
            <sz val="9"/>
            <color indexed="81"/>
            <rFont val="Tahoma"/>
            <family val="2"/>
          </rPr>
          <t>Metric  =  Carrying amount [mi]_x000D_
Base  =  Liabilities_x000D_
Main category  =  Deposits, Other financial liabilities_x000D_
Counterparty nature  =  Client_x000D_
Creditor / Insolvency ranking  =  Protected (insolvency law)_x000D_
Exclusion from Bail-in  =  Excluded from bail-in_x000D_
Eligibility for MREL  =  Non-eligible</t>
        </r>
      </text>
    </comment>
    <comment ref="D12" authorId="0" shapeId="0">
      <text>
        <r>
          <rPr>
            <sz val="9"/>
            <color indexed="81"/>
            <rFont val="Tahoma"/>
            <family val="2"/>
          </rPr>
          <t>DataPointVID 409610_x000D_
DataPointID 409610_x000D_
Metric  =  Carrying amount [mi]_x000D_
Base  =  Liabilities_x000D_
Creditor / Insolvency ranking  =  Protected (insolvency law)_x000D_
Counterparty sector  =  Households_x000D_
Counterparty nature  =  Client_x000D_
Exclusion from Bail-in  =  Excluded from bail-in_x000D_
Main category  =  Deposits, Other financial liabilities_x000D_
Eligibility for MREL  =  Non-eligible</t>
        </r>
      </text>
    </comment>
    <comment ref="E12" authorId="0" shapeId="0">
      <text>
        <r>
          <rPr>
            <sz val="9"/>
            <color indexed="81"/>
            <rFont val="Tahoma"/>
            <family val="2"/>
          </rPr>
          <t>DataPointVID 409611_x000D_
DataPointID 409611_x000D_
Metric  =  Carrying amount [mi]_x000D_
Base  =  Liabilities_x000D_
Creditor / Insolvency ranking  =  Protected (insolvency law)_x000D_
Counterparty sector  =  Non-financial corporations_x000D_
Counterparty nature  =  Client_x000D_
Size of the counterparty  =  SME_x000D_
Exclusion from Bail-in  =  Excluded from bail-in_x000D_
Main category  =  Deposits, Other financial liabilities_x000D_
Eligibility for MREL  =  Non-eligible</t>
        </r>
      </text>
    </comment>
    <comment ref="F12" authorId="0" shapeId="0">
      <text>
        <r>
          <rPr>
            <sz val="9"/>
            <color indexed="81"/>
            <rFont val="Tahoma"/>
            <family val="2"/>
          </rPr>
          <t>DataPointVID 423027_x000D_
DataPointID 409612_x000D_
Metric  =  Carrying amount [mi]_x000D_
Base  =  Liabilities_x000D_
Creditor / Insolvency ranking  =  Protected (insolvency law)_x000D_
Counterparty sector  =  Non-financial corporations_x000D_
Counterparty nature  =  Client_x000D_
Size of the counterparty  =  Counterparties other than SME_x000D_
Exclusion from Bail-in  =  Excluded from bail-in_x000D_
Main category  =  Deposits, Other financial liabilities_x000D_
Eligibility for MREL  =  Non-eligible</t>
        </r>
      </text>
    </comment>
    <comment ref="G12" authorId="0" shapeId="0">
      <text>
        <r>
          <rPr>
            <sz val="9"/>
            <color indexed="81"/>
            <rFont val="Tahoma"/>
            <family val="2"/>
          </rPr>
          <t>DataPointVID 409609_x000D_
DataPointID 409609_x000D_
Metric  =  Carrying amount [mi]_x000D_
Base  =  Liabilities_x000D_
Creditor / Insolvency ranking  =  Protected (insolvency law)_x000D_
Counterparty sector  =  Credit institutions_x000D_
Counterparty nature  =  Client_x000D_
Exclusion from Bail-in  =  Excluded from bail-in_x000D_
Main category  =  Deposits, Other financial liabilities_x000D_
Eligibility for MREL  =  Non-eligible</t>
        </r>
      </text>
    </comment>
    <comment ref="H12" authorId="0" shapeId="0">
      <text>
        <r>
          <rPr>
            <sz val="9"/>
            <color indexed="81"/>
            <rFont val="Tahoma"/>
            <family val="2"/>
          </rPr>
          <t>DataPointVID 409614_x000D_
DataPointID 409614_x000D_
Metric  =  Carrying amount [mi]_x000D_
Base  =  Liabilities_x000D_
Creditor / Insolvency ranking  =  Protected (insolvency law)_x000D_
Counterparty sector  =  Financial corporations other than credit institutions_x000D_
Counterparty nature  =  Client_x000D_
Exclusion from Bail-in  =  Excluded from bail-in_x000D_
Main category  =  Deposits, Other financial liabilities_x000D_
Eligibility for MREL  =  Non-eligible</t>
        </r>
      </text>
    </comment>
    <comment ref="I12" authorId="0" shapeId="0">
      <text>
        <r>
          <rPr>
            <sz val="9"/>
            <color indexed="81"/>
            <rFont val="Tahoma"/>
            <family val="2"/>
          </rPr>
          <t>DataPointVID 409613_x000D_
DataPointID 409613_x000D_
Metric  =  Carrying amount [mi]_x000D_
Base  =  Liabilities_x000D_
Creditor / Insolvency ranking  =  Protected (insolvency law)_x000D_
Counterparty sector  =  Financial corporations other than credit institutions_x000D_
Counterparty nature 2  =  Insurance companies, pension funds_x000D_
Counterparty nature  =  Client_x000D_
Exclusion from Bail-in  =  Excluded from bail-in_x000D_
Main category  =  Deposits, Other financial liabilities_x000D_
Eligibility for MREL  =  Non-eligible</t>
        </r>
      </text>
    </comment>
    <comment ref="J12" authorId="0" shapeId="0">
      <text>
        <r>
          <rPr>
            <sz val="9"/>
            <color indexed="81"/>
            <rFont val="Tahoma"/>
            <family val="2"/>
          </rPr>
          <t>DataPointVID 409615_x000D_
DataPointID 409615_x000D_
Metric  =  Carrying amount [mi]_x000D_
Base  =  Liabilities_x000D_
Creditor / Insolvency ranking  =  Protected (insolvency law)_x000D_
Counterparty sector  =  Central banks, general governments_x000D_
Counterparty nature  =  Client_x000D_
Exclusion from Bail-in  =  Excluded from bail-in_x000D_
Main category  =  Deposits, Other financial liabilities_x000D_
Eligibility for MREL  =  Non-eligible</t>
        </r>
      </text>
    </comment>
    <comment ref="K12" authorId="0" shapeId="0">
      <text>
        <r>
          <rPr>
            <sz val="9"/>
            <color indexed="81"/>
            <rFont val="Tahoma"/>
            <family val="2"/>
          </rPr>
          <t>DataPointVID 409549_x000D_
DataPointID 409549_x000D_
Metric  =  Carrying amount [mi]_x000D_
Base  =  Liabilities_x000D_
Instrument is listed on exchange  =  True_x000D_
Creditor / Insolvency ranking  =  Protected (insolvency law)_x000D_
Counterparty sector  =  Unknown counterparty_x000D_
Counterparty nature  =  Client_x000D_
Exclusion from Bail-in  =  Excluded from bail-in_x000D_
Main category  =  Deposits, Other financial liabilities_x000D_
Eligibility for MREL  =  Non-eligible</t>
        </r>
      </text>
    </comment>
    <comment ref="L12" authorId="0" shapeId="0">
      <text>
        <r>
          <rPr>
            <sz val="9"/>
            <color indexed="81"/>
            <rFont val="Tahoma"/>
            <family val="2"/>
          </rPr>
          <t>DataPointVID 409497_x000D_
DataPointID 409497_x000D_
Metric  =  Carrying amount [mi]_x000D_
Base  =  Liabilities_x000D_
Instrument is listed on exchange  =  False_x000D_
Creditor / Insolvency ranking  =  Protected (insolvency law)_x000D_
Counterparty sector  =  Unknown counterparty_x000D_
Counterparty nature  =  Client_x000D_
Exclusion from Bail-in  =  Excluded from bail-in_x000D_
Main category  =  Deposits, Other financial liabilities_x000D_
Eligibility for MREL  =  Non-eligible</t>
        </r>
      </text>
    </comment>
    <comment ref="M12" authorId="0" shapeId="0">
      <text>
        <r>
          <rPr>
            <sz val="9"/>
            <color indexed="81"/>
            <rFont val="Tahoma"/>
            <family val="2"/>
          </rPr>
          <t>DataPointVID 409616_x000D_
DataPointID 409616_x000D_
Metric  =  Carrying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t>
        </r>
      </text>
    </comment>
    <comment ref="N12" authorId="0" shapeId="0">
      <text>
        <r>
          <rPr>
            <sz val="9"/>
            <color indexed="81"/>
            <rFont val="Tahoma"/>
            <family val="2"/>
          </rPr>
          <t>DataPointVID 409617_x000D_
DataPointID 409617_x000D_
Metric  =  Carrying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Non-eligible_x000D_
Related parties/Relationships  =  Intra-group</t>
        </r>
      </text>
    </comment>
    <comment ref="O12" authorId="0" shapeId="0">
      <text>
        <r>
          <rPr>
            <sz val="9"/>
            <color indexed="81"/>
            <rFont val="Tahoma"/>
            <family val="2"/>
          </rPr>
          <t>DataPointVID 409618_x000D_
DataPointID 409618_x000D_
Metric  =  Carrying amount [mi]_x000D_
Base  =  Liabilities_x000D_
Creditor / Insolvency ranking  =  Protected (insolvency law)_x000D_
Counterparty nature  =  Client_x000D_
Exclusion from Bail-in  =  Excluded from bail-in_x000D_
Main category  =  Deposits, Other financial liabilities_x000D_
Eligibility for MREL  =  Non-eligible_x000D_
Related parties/Relationships  =  Non intra-group_x000D_
Governed by law of an EU Member State  =  False</t>
        </r>
      </text>
    </comment>
    <comment ref="C13" authorId="0" shapeId="0">
      <text>
        <r>
          <rPr>
            <sz val="9"/>
            <color indexed="81"/>
            <rFont val="Tahoma"/>
            <family val="2"/>
          </rPr>
          <t>Metric  =  Carrying amount [mi]_x000D_
Base  =  Liabilities_x000D_
Main category  =  Deposits, Other financial liabilities_x000D_
Instrument  =  Fiduciary liabilities_x000D_
Exclusion from Bail-in  =  Excluded from bail-in_x000D_
Eligibility for MREL  =  Non-eligible</t>
        </r>
      </text>
    </comment>
    <comment ref="D13" authorId="0" shapeId="0">
      <text>
        <r>
          <rPr>
            <sz val="9"/>
            <color indexed="81"/>
            <rFont val="Tahoma"/>
            <family val="2"/>
          </rPr>
          <t>DataPointVID 409915_x000D_
DataPointID 409915_x000D_
Metric  =  Carrying amount [mi]_x000D_
Base  =  Liabilities_x000D_
Counterparty sector  =  Households_x000D_
Instrument  =  Fiduciary liabilities_x000D_
Exclusion from Bail-in  =  Excluded from bail-in_x000D_
Main category  =  Deposits, Other financial liabilities_x000D_
Eligibility for MREL  =  Non-eligible</t>
        </r>
      </text>
    </comment>
    <comment ref="E13" authorId="0" shapeId="0">
      <text>
        <r>
          <rPr>
            <sz val="9"/>
            <color indexed="81"/>
            <rFont val="Tahoma"/>
            <family val="2"/>
          </rPr>
          <t>DataPointVID 409942_x000D_
DataPointID 409942_x000D_
Metric  =  Carrying amount [mi]_x000D_
Base  =  Liabilities_x000D_
Counterparty sector  =  Non-financial corporations_x000D_
Size of the counterparty  =  SME_x000D_
Instrument  =  Fiduciary liabilities_x000D_
Exclusion from Bail-in  =  Excluded from bail-in_x000D_
Main category  =  Deposits, Other financial liabilities_x000D_
Eligibility for MREL  =  Non-eligible</t>
        </r>
      </text>
    </comment>
    <comment ref="F13" authorId="0" shapeId="0">
      <text>
        <r>
          <rPr>
            <sz val="9"/>
            <color indexed="81"/>
            <rFont val="Tahoma"/>
            <family val="2"/>
          </rPr>
          <t>DataPointVID 423075_x000D_
DataPointID 409963_x000D_
Metric  =  Carrying amount [mi]_x000D_
Base  =  Liabilities_x000D_
Counterparty sector  =  Non-financial corporations_x000D_
Size of the counterparty  =  Counterparties other than SME_x000D_
Instrument  =  Fiduciary liabilities_x000D_
Exclusion from Bail-in  =  Excluded from bail-in_x000D_
Main category  =  Deposits, Other financial liabilities_x000D_
Eligibility for MREL  =  Non-eligible</t>
        </r>
      </text>
    </comment>
    <comment ref="G13" authorId="0" shapeId="0">
      <text>
        <r>
          <rPr>
            <sz val="9"/>
            <color indexed="81"/>
            <rFont val="Tahoma"/>
            <family val="2"/>
          </rPr>
          <t>DataPointVID 409890_x000D_
DataPointID 409890_x000D_
Metric  =  Carrying amount [mi]_x000D_
Base  =  Liabilities_x000D_
Counterparty sector  =  Credit institutions_x000D_
Instrument  =  Fiduciary liabilities_x000D_
Exclusion from Bail-in  =  Excluded from bail-in_x000D_
Main category  =  Deposits, Other financial liabilities_x000D_
Eligibility for MREL  =  Non-eligible</t>
        </r>
      </text>
    </comment>
    <comment ref="H13" authorId="0" shapeId="0">
      <text>
        <r>
          <rPr>
            <sz val="9"/>
            <color indexed="81"/>
            <rFont val="Tahoma"/>
            <family val="2"/>
          </rPr>
          <t>DataPointVID 410013_x000D_
DataPointID 410013_x000D_
Metric  =  Carrying amount [mi]_x000D_
Base  =  Liabilities_x000D_
Counterparty sector  =  Financial corporations other than credit institutions_x000D_
Instrument  =  Fiduciary liabilities_x000D_
Exclusion from Bail-in  =  Excluded from bail-in_x000D_
Main category  =  Deposits, Other financial liabilities_x000D_
Eligibility for MREL  =  Non-eligible</t>
        </r>
      </text>
    </comment>
    <comment ref="I13" authorId="0" shapeId="0">
      <text>
        <r>
          <rPr>
            <sz val="9"/>
            <color indexed="81"/>
            <rFont val="Tahoma"/>
            <family val="2"/>
          </rPr>
          <t>DataPointVID 409988_x000D_
DataPointID 409988_x000D_
Metric  =  Carrying amount [mi]_x000D_
Base  =  Liabilities_x000D_
Counterparty sector  =  Financial corporations other than credit institutions_x000D_
Counterparty nature 2  =  Insurance companies, pension funds_x000D_
Instrument  =  Fiduciary liabilities_x000D_
Exclusion from Bail-in  =  Excluded from bail-in_x000D_
Main category  =  Deposits, Other financial liabilities_x000D_
Eligibility for MREL  =  Non-eligible</t>
        </r>
      </text>
    </comment>
    <comment ref="J13" authorId="0" shapeId="0">
      <text>
        <r>
          <rPr>
            <sz val="9"/>
            <color indexed="81"/>
            <rFont val="Tahoma"/>
            <family val="2"/>
          </rPr>
          <t>DataPointVID 410037_x000D_
DataPointID 410037_x000D_
Metric  =  Carrying amount [mi]_x000D_
Base  =  Liabilities_x000D_
Counterparty sector  =  Central banks, general governments_x000D_
Instrument  =  Fiduciary liabilities_x000D_
Exclusion from Bail-in  =  Excluded from bail-in_x000D_
Main category  =  Deposits, Other financial liabilities_x000D_
Eligibility for MREL  =  Non-eligible</t>
        </r>
      </text>
    </comment>
    <comment ref="K13" authorId="0" shapeId="0">
      <text>
        <r>
          <rPr>
            <sz val="9"/>
            <color indexed="81"/>
            <rFont val="Tahoma"/>
            <family val="2"/>
          </rPr>
          <t>DataPointVID 409584_x000D_
DataPointID 409584_x000D_
Metric  =  Carrying amount [mi]_x000D_
Base  =  Liabilities_x000D_
Instrument is listed on exchange  =  True_x000D_
Counterparty sector  =  Unknown counterparty_x000D_
Instrument  =  Fiduciary liabilities_x000D_
Exclusion from Bail-in  =  Excluded from bail-in_x000D_
Main category  =  Deposits, Other financial liabilities_x000D_
Eligibility for MREL  =  Non-eligible</t>
        </r>
      </text>
    </comment>
    <comment ref="L13" authorId="0" shapeId="0">
      <text>
        <r>
          <rPr>
            <sz val="9"/>
            <color indexed="81"/>
            <rFont val="Tahoma"/>
            <family val="2"/>
          </rPr>
          <t>DataPointVID 409532_x000D_
DataPointID 409532_x000D_
Metric  =  Carrying amount [mi]_x000D_
Base  =  Liabilities_x000D_
Instrument is listed on exchange  =  False_x000D_
Counterparty sector  =  Unknown counterparty_x000D_
Instrument  =  Fiduciary liabilities_x000D_
Exclusion from Bail-in  =  Excluded from bail-in_x000D_
Main category  =  Deposits, Other financial liabilities_x000D_
Eligibility for MREL  =  Non-eligible</t>
        </r>
      </text>
    </comment>
    <comment ref="M13" authorId="0" shapeId="0">
      <text>
        <r>
          <rPr>
            <sz val="9"/>
            <color indexed="81"/>
            <rFont val="Tahoma"/>
            <family val="2"/>
          </rPr>
          <t>DataPointVID 410081_x000D_
DataPointID 410081_x000D_
Metric  =  Carrying amount [mi]_x000D_
Base  =  Liabilities_x000D_
Instrument  =  Fiduciary liabilities_x000D_
Exclusion from Bail-in  =  Excluded from bail-in_x000D_
Main category  =  Deposits, Other financial liabilities_x000D_
Eligibility for MREL  =  Non-eligible</t>
        </r>
      </text>
    </comment>
    <comment ref="N13" authorId="0" shapeId="0">
      <text>
        <r>
          <rPr>
            <sz val="9"/>
            <color indexed="81"/>
            <rFont val="Tahoma"/>
            <family val="2"/>
          </rPr>
          <t>DataPointVID 410082_x000D_
DataPointID 410082_x000D_
Metric  =  Carrying amount [mi]_x000D_
Base  =  Liabilities_x000D_
Instrument  =  Fiduciary liabilities_x000D_
Exclusion from Bail-in  =  Excluded from bail-in_x000D_
Main category  =  Deposits, Other financial liabilities_x000D_
Eligibility for MREL  =  Non-eligible_x000D_
Related parties/Relationships  =  Intra-group</t>
        </r>
      </text>
    </comment>
    <comment ref="O13" authorId="0" shapeId="0">
      <text>
        <r>
          <rPr>
            <sz val="9"/>
            <color indexed="81"/>
            <rFont val="Tahoma"/>
            <family val="2"/>
          </rPr>
          <t>DataPointVID 410083_x000D_
DataPointID 410083_x000D_
Metric  =  Carrying amount [mi]_x000D_
Base  =  Liabilities_x000D_
Instrument  =  Fiduciary liabilities_x000D_
Exclusion from Bail-in  =  Excluded from bail-in_x000D_
Main category  =  Deposits, Other financial liabilities_x000D_
Eligibility for MREL  =  Non-eligible_x000D_
Related parties/Relationships  =  Non intra-group_x000D_
Governed by law of an EU Member State  =  False</t>
        </r>
      </text>
    </comment>
    <comment ref="C14" authorId="0" shapeId="0">
      <text>
        <r>
          <rPr>
            <sz val="9"/>
            <color indexed="81"/>
            <rFont val="Tahoma"/>
            <family val="2"/>
          </rPr>
          <t>Metric  =  Carrying amount [mi]_x000D_
Base  =  Liabilities_x000D_
Main category  =  Deposits, Debt securities issued, Other financial liabilities_x000D_
Counterparty nature  =  Institutions.BRRD definition_x000D_
Original maturity  =  &lt; 7 days_x000D_
Exclusion from Bail-in  =  Excluded from bail-in_x000D_
Eligibility for MREL  =  Non-eligible</t>
        </r>
      </text>
    </comment>
    <comment ref="G14" authorId="0" shapeId="0">
      <text>
        <r>
          <rPr>
            <sz val="9"/>
            <color indexed="81"/>
            <rFont val="Tahoma"/>
            <family val="2"/>
          </rPr>
          <t>DataPointVID 409884_x000D_
DataPointID 409884_x000D_
Metric  =  Carrying amount [mi]_x000D_
Base  =  Liabilities_x000D_
Counterparty sector  =  Credit institutions_x000D_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H14" authorId="0" shapeId="0">
      <text>
        <r>
          <rPr>
            <sz val="9"/>
            <color indexed="81"/>
            <rFont val="Tahoma"/>
            <family val="2"/>
          </rPr>
          <t>DataPointVID 410007_x000D_
DataPointID 410007_x000D_
Metric  =  Carrying amount [mi]_x000D_
Base  =  Liabilities_x000D_
Counterparty sector  =  Financial corporations other than credit institutions_x000D_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I14" authorId="0" shapeId="0">
      <text>
        <r>
          <rPr>
            <sz val="9"/>
            <color indexed="81"/>
            <rFont val="Tahoma"/>
            <family val="2"/>
          </rPr>
          <t>DataPointVID 409982_x000D_
DataPointID 409982_x000D_
Metric  =  Carrying amount [mi]_x000D_
Base  =  Liabilities_x000D_
Counterparty sector  =  Financial corporations other than credit institutions_x000D_
Counterparty nature 2  =  Insurance companies, pension funds_x000D_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M14" authorId="0" shapeId="0">
      <text>
        <r>
          <rPr>
            <sz val="9"/>
            <color indexed="81"/>
            <rFont val="Tahoma"/>
            <family val="2"/>
          </rPr>
          <t>DataPointVID 410064_x000D_
DataPointID 410064_x000D_
Metric  =  Carrying amount [mi]_x000D_
Base  =  Liabilities_x000D_
Counterparty nature  =  Institutions.BRRD definition_x000D_
Exclusion from Bail-in  =  Excluded from bail-in_x000D_
Main category  =  Deposits, Debt securities issued, Other financial liabilities_x000D_
Eligibility for MREL  =  Non-eligible_x000D_
Original maturity  =  &lt; 7 days</t>
        </r>
      </text>
    </comment>
    <comment ref="O14" authorId="0" shapeId="0">
      <text>
        <r>
          <rPr>
            <sz val="9"/>
            <color indexed="81"/>
            <rFont val="Tahoma"/>
            <family val="2"/>
          </rPr>
          <t>DataPointVID 410065_x000D_
DataPointID 410065_x000D_
Metric  =  Carrying amount [mi]_x000D_
Base  =  Liabilities_x000D_
Counterparty nature  =  Institutions.BRRD definition_x000D_
Exclusion from Bail-in  =  Excluded from bail-in_x000D_
Main category  =  Deposits, Debt securities issued, Other financial liabilities_x000D_
Eligibility for MREL  =  Non-eligible_x000D_
Original maturity  =  &lt; 7 days_x000D_
Related parties/Relationships  =  Non intra-group_x000D_
Governed by law of an EU Member State  =  False</t>
        </r>
      </text>
    </comment>
    <comment ref="C15" authorId="0" shapeId="0">
      <text>
        <r>
          <rPr>
            <sz val="9"/>
            <color indexed="81"/>
            <rFont val="Tahoma"/>
            <family val="2"/>
          </rPr>
          <t>Metric  =  Carrying amount [mi]_x000D_
Base  =  Liabilities_x000D_
Main category  =  Deposits, Other financial liabilities_x000D_
Counterparty nature  =  Payment and Securities Systems, their operators or participants; CCPs_x000D_
Original maturity  =  &lt; 7 days_x000D_
Exclusion from Bail-in  =  Excluded from bail-in_x000D_
Eligibility for MREL  =  Non-eligible</t>
        </r>
      </text>
    </comment>
    <comment ref="C16" authorId="0" shapeId="0">
      <text>
        <r>
          <rPr>
            <sz val="9"/>
            <color indexed="81"/>
            <rFont val="Tahoma"/>
            <family val="2"/>
          </rPr>
          <t>Metric  =  Carrying amount [mi]_x000D_
Base  =  Liabilities_x000D_
Main category  =  Provisions and Liabilities other than Derivatives, Short positions, Deposits, Debt securities issued, Other financial liabilities, Fair value changes of hedged items in portfolio hedge of interest rate risk, Provisions, Tax liabilities, Share capital repa_x000D_
Counterparty nature  =  Employee_x000D_
Exclusion from Bail-in  =  Excluded from bail-in_x000D_
Eligibility for MREL  =  Non-eligible</t>
        </r>
      </text>
    </comment>
    <comment ref="D16" authorId="0" shapeId="0">
      <text>
        <r>
          <rPr>
            <sz val="9"/>
            <color indexed="81"/>
            <rFont val="Tahoma"/>
            <family val="2"/>
          </rPr>
          <t>DataPointVID 409908_x000D_
DataPointID 409908_x000D_
Metric  =  Carrying amount [mi]_x000D_
Base  =  Liabilities_x000D_
Counterparty sector  =  Households_x000D_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t>
        </r>
      </text>
    </comment>
    <comment ref="M16" authorId="0" shapeId="0">
      <text>
        <r>
          <rPr>
            <sz val="9"/>
            <color indexed="81"/>
            <rFont val="Tahoma"/>
            <family val="2"/>
          </rPr>
          <t>DataPointVID 410059_x000D_
DataPointID 410059_x000D_
Metric  =  Carrying amount [mi]_x000D_
Base  =  Liabilities_x000D_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t>
        </r>
      </text>
    </comment>
    <comment ref="O16" authorId="0" shapeId="0">
      <text>
        <r>
          <rPr>
            <sz val="9"/>
            <color indexed="81"/>
            <rFont val="Tahoma"/>
            <family val="2"/>
          </rPr>
          <t>DataPointVID 410060_x000D_
DataPointID 410060_x000D_
Metric  =  Carrying amount [mi]_x000D_
Base  =  Liabilities_x000D_
Counterparty nature  =  Employee_x000D_
Exclusion from Bail-in  =  Excluded from bail-in_x000D_
Main category  =  Provisions and Liabilities other than Derivatives, Short positions, Deposits, Debt securities issued, Other financial liabilities, Fair value changes of hedged items in portfolio hedge of interest rate risk, Provisions, Tax liabilities, Share capital repa_x000D_
Eligibility for MREL  =  Non-eligible_x000D_
Related parties/Relationships  =  Non intra-group_x000D_
Governed by law of an EU Member State  =  False</t>
        </r>
      </text>
    </comment>
    <comment ref="C17" authorId="0" shapeId="0">
      <text>
        <r>
          <rPr>
            <sz val="9"/>
            <color indexed="81"/>
            <rFont val="Tahoma"/>
            <family val="2"/>
          </rPr>
          <t>Metric  =  Carrying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Instrument  =  Liabilities associated with daily operational functioning_x000D_
Exclusion from Bail-in  =  Excluded from bail-in_x000D_
Eligibility for MREL  =  Non-eligible</t>
        </r>
      </text>
    </comment>
    <comment ref="D17" authorId="0" shapeId="0">
      <text>
        <r>
          <rPr>
            <sz val="9"/>
            <color indexed="81"/>
            <rFont val="Tahoma"/>
            <family val="2"/>
          </rPr>
          <t>DataPointVID 409916_x000D_
DataPointID 409916_x000D_
Metric  =  Carrying amount [mi]_x000D_
Base  =  Liabilities_x000D_
Counterparty sector  =  Households_x000D_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E17" authorId="0" shapeId="0">
      <text>
        <r>
          <rPr>
            <sz val="9"/>
            <color indexed="81"/>
            <rFont val="Tahoma"/>
            <family val="2"/>
          </rPr>
          <t>DataPointVID 409943_x000D_
DataPointID 409943_x000D_
Metric  =  Carrying amount [mi]_x000D_
Base  =  Liabilities_x000D_
Counterparty sector  =  Non-financial corporations_x000D_
Size of the counterparty  =  SME_x000D_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F17" authorId="0" shapeId="0">
      <text>
        <r>
          <rPr>
            <sz val="9"/>
            <color indexed="81"/>
            <rFont val="Tahoma"/>
            <family val="2"/>
          </rPr>
          <t>DataPointVID 423076_x000D_
DataPointID 409964_x000D_
Metric  =  Carrying amount [mi]_x000D_
Base  =  Liabilities_x000D_
Counterparty sector  =  Non-financial corporations_x000D_
Size of the counterparty  =  Counterparties other than SME_x000D_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G17" authorId="0" shapeId="0">
      <text>
        <r>
          <rPr>
            <sz val="9"/>
            <color indexed="81"/>
            <rFont val="Tahoma"/>
            <family val="2"/>
          </rPr>
          <t>DataPointVID 409891_x000D_
DataPointID 409891_x000D_
Metric  =  Carrying amount [mi]_x000D_
Base  =  Liabilities_x000D_
Counterparty sector  =  Credit institutions_x000D_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H17" authorId="0" shapeId="0">
      <text>
        <r>
          <rPr>
            <sz val="9"/>
            <color indexed="81"/>
            <rFont val="Tahoma"/>
            <family val="2"/>
          </rPr>
          <t>DataPointVID 410014_x000D_
DataPointID 410014_x000D_
Metric  =  Carrying amount [mi]_x000D_
Base  =  Liabilities_x000D_
Counterparty sector  =  Financial corporations other than credit institutions_x000D_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I17" authorId="0" shapeId="0">
      <text>
        <r>
          <rPr>
            <sz val="9"/>
            <color indexed="81"/>
            <rFont val="Tahoma"/>
            <family val="2"/>
          </rPr>
          <t>DataPointVID 409989_x000D_
DataPointID 409989_x000D_
Metric  =  Carrying amount [mi]_x000D_
Base  =  Liabilities_x000D_
Counterparty sector  =  Financial corporations other than credit institutions_x000D_
Counterparty nature 2  =  Insurance companies, pension funds_x000D_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J17" authorId="0" shapeId="0">
      <text>
        <r>
          <rPr>
            <sz val="9"/>
            <color indexed="81"/>
            <rFont val="Tahoma"/>
            <family val="2"/>
          </rPr>
          <t>DataPointVID 410038_x000D_
DataPointID 410038_x000D_
Metric  =  Carrying amount [mi]_x000D_
Base  =  Liabilities_x000D_
Counterparty sector  =  Central banks, general governments_x000D_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K17" authorId="0" shapeId="0">
      <text>
        <r>
          <rPr>
            <sz val="9"/>
            <color indexed="81"/>
            <rFont val="Tahoma"/>
            <family val="2"/>
          </rPr>
          <t>DataPointVID 409585_x000D_
DataPointID 409585_x000D_
Metric  =  Carrying amount [mi]_x000D_
Base  =  Liabilities_x000D_
Instrument is listed on exchange  =  True_x000D_
Counterparty sector  =  Unknown counterparty_x000D_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L17" authorId="0" shapeId="0">
      <text>
        <r>
          <rPr>
            <sz val="9"/>
            <color indexed="81"/>
            <rFont val="Tahoma"/>
            <family val="2"/>
          </rPr>
          <t>DataPointVID 409533_x000D_
DataPointID 409533_x000D_
Metric  =  Carrying amount [mi]_x000D_
Base  =  Liabilities_x000D_
Instrument is listed on exchange  =  False_x000D_
Counterparty sector  =  Unknown counterparty_x000D_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M17" authorId="0" shapeId="0">
      <text>
        <r>
          <rPr>
            <sz val="9"/>
            <color indexed="81"/>
            <rFont val="Tahoma"/>
            <family val="2"/>
          </rPr>
          <t>DataPointVID 410084_x000D_
DataPointID 410084_x000D_
Metric  =  Carrying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t>
        </r>
      </text>
    </comment>
    <comment ref="N17" authorId="0" shapeId="0">
      <text>
        <r>
          <rPr>
            <sz val="9"/>
            <color indexed="81"/>
            <rFont val="Tahoma"/>
            <family val="2"/>
          </rPr>
          <t>DataPointVID 410085_x000D_
DataPointID 410085_x000D_
Metric  =  Carrying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Non-eligible_x000D_
Related parties/Relationships  =  Intra-group</t>
        </r>
      </text>
    </comment>
    <comment ref="O17" authorId="0" shapeId="0">
      <text>
        <r>
          <rPr>
            <sz val="9"/>
            <color indexed="81"/>
            <rFont val="Tahoma"/>
            <family val="2"/>
          </rPr>
          <t>DataPointVID 410086_x000D_
DataPointID 410086_x000D_
Metric  =  Carrying amount [mi]_x000D_
Base  =  Liabilities_x000D_
Instrument  =  Liabilities associated with daily operational functioning_x000D_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Eligibility for MREL  =  Non-eligible_x000D_
Related parties/Relationships  =  Non intra-group_x000D_
Governed by law of an EU Member State  =  False</t>
        </r>
      </text>
    </comment>
    <comment ref="C18" authorId="0" shapeId="0">
      <text>
        <r>
          <rPr>
            <sz val="9"/>
            <color indexed="81"/>
            <rFont val="Tahoma"/>
            <family val="2"/>
          </rPr>
          <t>Metric  =  Carrying amount [mi]_x000D_
Base  =  Liabilities_x000D_
Main category  =  Tax liabilities and Liabilities other than Derivatives, Short positions, Deposits, Debt securities issued, Other financial liabilities, Fair value changes of hedged items in portfolio hedge of interest rate risk, Provisions, Tax liabilities, Share capital_x000D_
Counterparty nature  =  Tax authorities, social security authorities_x000D_
Creditor / Insolvency ranking  =  Preferential (BRRD)_x000D_
Exclusion from Bail-in  =  Excluded from bail-in_x000D_
Eligibility for MREL  =  Non-eligible</t>
        </r>
      </text>
    </comment>
    <comment ref="J18" authorId="0" shapeId="0">
      <text>
        <r>
          <rPr>
            <sz val="9"/>
            <color indexed="81"/>
            <rFont val="Tahoma"/>
            <family val="2"/>
          </rPr>
          <t>DataPointVID 409649_x000D_
DataPointID 409649_x000D_
Metric  =  Carrying amount [mi]_x000D_
Base  =  Liabilities_x000D_
Creditor / Insolvency ranking  =  Preferential (BRRD)_x000D_
Counterparty sector  =  Central banks, general governments_x000D_
Counterparty nature  =  Tax authorities, social security authorities_x000D_
Exclusion from Bail-in  =  Excluded from bail-in_x000D_
Main category  =  Tax liabilities and Liabilities other than Derivatives, Short positions, Deposits, Debt securities issued, Other financial liabilities, Fair value changes of hedged items in portfolio hedge of interest rate risk, Provisions, Tax liabilities, Share capital_x000D_
Eligibility for MREL  =  Non-eligible</t>
        </r>
      </text>
    </comment>
    <comment ref="M18" authorId="0" shapeId="0">
      <text>
        <r>
          <rPr>
            <sz val="9"/>
            <color indexed="81"/>
            <rFont val="Tahoma"/>
            <family val="2"/>
          </rPr>
          <t>DataPointVID 409655_x000D_
DataPointID 409655_x000D_
Metric  =  Carrying amount [mi]_x000D_
Base  =  Liabilities_x000D_
Creditor / Insolvency ranking  =  Preferential (BRRD)_x000D_
Counterparty nature  =  Tax authorities, social security authorities_x000D_
Exclusion from Bail-in  =  Excluded from bail-in_x000D_
Main category  =  Tax liabilities and Liabilities other than Derivatives, Short positions, Deposits, Debt securities issued, Other financial liabilities, Fair value changes of hedged items in portfolio hedge of interest rate risk, Provisions, Tax liabilities, Share capital_x000D_
Eligibility for MREL  =  Non-eligible</t>
        </r>
      </text>
    </comment>
    <comment ref="C19" authorId="0" shapeId="0">
      <text>
        <r>
          <rPr>
            <sz val="9"/>
            <color indexed="81"/>
            <rFont val="Tahoma"/>
            <family val="2"/>
          </rPr>
          <t>Metric  =  Carrying amount [mi]_x000D_
Base  =  Liabilities_x000D_
Main category  =  Deposits, Debt securities issued, Other financial liabilities_x000D_
Counterparty nature  =  Deposit Guarantee Scheme or assimilated_x000D_
Exclusion from Bail-in  =  Excluded from bail-in_x000D_
Eligibility for MREL  =  Non-eligible</t>
        </r>
      </text>
    </comment>
    <comment ref="E19" authorId="0" shapeId="0">
      <text>
        <r>
          <rPr>
            <sz val="9"/>
            <color indexed="81"/>
            <rFont val="Tahoma"/>
            <family val="2"/>
          </rPr>
          <t>DataPointVID 409931_x000D_
DataPointID 409931_x000D_
Metric  =  Carrying amount [mi]_x000D_
Base  =  Liabilities_x000D_
Counterparty sector  =  Non-financial corporations_x000D_
Counterparty nature  =  Deposit Guarantee Scheme or assimilated_x000D_
Size of the counterparty  =  SME_x000D_
Exclusion from Bail-in  =  Excluded from bail-in_x000D_
Main category  =  Deposits, Debt securities issued, Other financial liabilities_x000D_
Eligibility for MREL  =  Non-eligible</t>
        </r>
      </text>
    </comment>
    <comment ref="F19" authorId="0" shapeId="0">
      <text>
        <r>
          <rPr>
            <sz val="9"/>
            <color indexed="81"/>
            <rFont val="Tahoma"/>
            <family val="2"/>
          </rPr>
          <t>DataPointVID 423065_x000D_
DataPointID 409932_x000D_
Metric  =  Carrying amount [mi]_x000D_
Base  =  Liabilities_x000D_
Counterparty sector  =  Non-financial corporations_x000D_
Counterparty nature  =  Deposit Guarantee Scheme or assimilated_x000D_
Size of the counterparty  =  Counterparties other than SME_x000D_
Exclusion from Bail-in  =  Excluded from bail-in_x000D_
Main category  =  Deposits, Debt securities issued, Other financial liabilities_x000D_
Eligibility for MREL  =  Non-eligible</t>
        </r>
      </text>
    </comment>
    <comment ref="G19" authorId="0" shapeId="0">
      <text>
        <r>
          <rPr>
            <sz val="9"/>
            <color indexed="81"/>
            <rFont val="Tahoma"/>
            <family val="2"/>
          </rPr>
          <t>DataPointVID 409881_x000D_
DataPointID 409881_x000D_
Metric  =  Carrying amount [mi]_x000D_
Base  =  Liabilities_x000D_
Counterparty sector  =  Credit institutions_x000D_
Counterparty nature  =  Deposit Guarantee Scheme or assimilated_x000D_
Exclusion from Bail-in  =  Excluded from bail-in_x000D_
Main category  =  Deposits, Debt securities issued, Other financial liabilities_x000D_
Eligibility for MREL  =  Non-eligible</t>
        </r>
      </text>
    </comment>
    <comment ref="H19" authorId="0" shapeId="0">
      <text>
        <r>
          <rPr>
            <sz val="9"/>
            <color indexed="81"/>
            <rFont val="Tahoma"/>
            <family val="2"/>
          </rPr>
          <t>DataPointVID 410004_x000D_
DataPointID 410004_x000D_
Metric  =  Carrying amount [mi]_x000D_
Base  =  Liabilities_x000D_
Counterparty sector  =  Financial corporations other than credit institutions_x000D_
Counterparty nature  =  Deposit Guarantee Scheme or assimilated_x000D_
Exclusion from Bail-in  =  Excluded from bail-in_x000D_
Main category  =  Deposits, Debt securities issued, Other financial liabilities_x000D_
Eligibility for MREL  =  Non-eligible</t>
        </r>
      </text>
    </comment>
    <comment ref="I19" authorId="0" shapeId="0">
      <text>
        <r>
          <rPr>
            <sz val="9"/>
            <color indexed="81"/>
            <rFont val="Tahoma"/>
            <family val="2"/>
          </rPr>
          <t>DataPointVID 409979_x000D_
DataPointID 409979_x000D_
Metric  =  Carrying amount [mi]_x000D_
Base  =  Liabilities_x000D_
Counterparty sector  =  Financial corporations other than credit institutions_x000D_
Counterparty nature 2  =  Insurance companies, pension funds_x000D_
Counterparty nature  =  Deposit Guarantee Scheme or assimilated_x000D_
Exclusion from Bail-in  =  Excluded from bail-in_x000D_
Main category  =  Deposits, Debt securities issued, Other financial liabilities_x000D_
Eligibility for MREL  =  Non-eligible</t>
        </r>
      </text>
    </comment>
    <comment ref="J19" authorId="0" shapeId="0">
      <text>
        <r>
          <rPr>
            <sz val="9"/>
            <color indexed="81"/>
            <rFont val="Tahoma"/>
            <family val="2"/>
          </rPr>
          <t>DataPointVID 410029_x000D_
DataPointID 410029_x000D_
Metric  =  Carrying amount [mi]_x000D_
Base  =  Liabilities_x000D_
Counterparty sector  =  Central banks, general governments_x000D_
Counterparty nature  =  Deposit Guarantee Scheme or assimilated_x000D_
Exclusion from Bail-in  =  Excluded from bail-in_x000D_
Main category  =  Deposits, Debt securities issued, Other financial liabilities_x000D_
Eligibility for MREL  =  Non-eligible</t>
        </r>
      </text>
    </comment>
    <comment ref="M19" authorId="0" shapeId="0">
      <text>
        <r>
          <rPr>
            <sz val="9"/>
            <color indexed="81"/>
            <rFont val="Tahoma"/>
            <family val="2"/>
          </rPr>
          <t>DataPointVID 410053_x000D_
DataPointID 410053_x000D_
Metric  =  Carrying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t>
        </r>
      </text>
    </comment>
    <comment ref="N19" authorId="0" shapeId="0">
      <text>
        <r>
          <rPr>
            <sz val="9"/>
            <color indexed="81"/>
            <rFont val="Tahoma"/>
            <family val="2"/>
          </rPr>
          <t>DataPointVID 410054_x000D_
DataPointID 410054_x000D_
Metric  =  Carrying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Non-eligible_x000D_
Related parties/Relationships  =  Intra-group</t>
        </r>
      </text>
    </comment>
    <comment ref="O19" authorId="0" shapeId="0">
      <text>
        <r>
          <rPr>
            <sz val="9"/>
            <color indexed="81"/>
            <rFont val="Tahoma"/>
            <family val="2"/>
          </rPr>
          <t>DataPointVID 410055_x000D_
DataPointID 410055_x000D_
Metric  =  Carrying amount [mi]_x000D_
Base  =  Liabilities_x000D_
Counterparty nature  =  Deposit Guarantee Scheme or assimilated_x000D_
Exclusion from Bail-in  =  Excluded from bail-in_x000D_
Main category  =  Deposits, Debt securities issued, Other financial liabilities_x000D_
Eligibility for MREL  =  Non-eligible_x000D_
Related parties/Relationships  =  Non intra-group_x000D_
Governed by law of an EU Member State  =  False</t>
        </r>
      </text>
    </comment>
    <comment ref="C20" authorId="0" shapeId="0">
      <text>
        <r>
          <rPr>
            <sz val="9"/>
            <color indexed="81"/>
            <rFont val="Tahoma"/>
            <family val="2"/>
          </rPr>
          <t>Metric  =  Carrying amount [mi]_x000D_
Base  =  Liabilities_x000D_
Main category  =  Derivatives, Deposits, Debt securities issued, Other financial liabilities_x000D_
Counterparty nature  =  Entities other than the resolution entity_x000D_
Subordinated  =  Non subordinated_x000D_
Exclusion from Bail-in  =  Excluded from bail-in_x000D_
Factors considered in the valuation of derivatives  =  Prudential netting rules_x000D_
Eligibility for MREL  =  Non-eligible</t>
        </r>
      </text>
    </comment>
    <comment ref="C21" authorId="0" shapeId="0">
      <text>
        <r>
          <rPr>
            <sz val="9"/>
            <color indexed="81"/>
            <rFont val="Tahoma"/>
            <family val="2"/>
          </rPr>
          <t>Metric  =  Carrying amount [mi]_x000D_
Base  =  Liabilities_x000D_
Main category  =  Deposits, Debt securities issued, Other financial liabilities_x000D_
Exclusion from Bail-in  =  Not excluded from bail-in</t>
        </r>
      </text>
    </comment>
    <comment ref="D21" authorId="0" shapeId="0">
      <text>
        <r>
          <rPr>
            <sz val="9"/>
            <color indexed="81"/>
            <rFont val="Tahoma"/>
            <family val="2"/>
          </rPr>
          <t>DataPointVID 409923_x000D_
DataPointID 409923_x000D_
Metric  =  Carrying amount [mi]_x000D_
Base  =  Liabilities_x000D_
Counterparty sector  =  Households_x000D_
Exclusion from Bail-in  =  Not excluded from bail-in_x000D_
Main category  =  Deposits, Debt securities issued, Other financial liabilities</t>
        </r>
      </text>
    </comment>
    <comment ref="E21" authorId="0" shapeId="0">
      <text>
        <r>
          <rPr>
            <sz val="9"/>
            <color indexed="81"/>
            <rFont val="Tahoma"/>
            <family val="2"/>
          </rPr>
          <t>DataPointVID 409950_x000D_
DataPointID 409950_x000D_
Metric  =  Carrying amount [mi]_x000D_
Base  =  Liabilities_x000D_
Counterparty sector  =  Non-financial corporations_x000D_
Size of the counterparty  =  SME_x000D_
Exclusion from Bail-in  =  Not excluded from bail-in_x000D_
Main category  =  Deposits, Debt securities issued, Other financial liabilities</t>
        </r>
      </text>
    </comment>
    <comment ref="F21" authorId="0" shapeId="0">
      <text>
        <r>
          <rPr>
            <sz val="9"/>
            <color indexed="81"/>
            <rFont val="Tahoma"/>
            <family val="2"/>
          </rPr>
          <t>DataPointVID 423083_x000D_
DataPointID 409971_x000D_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 Other financial liabilities</t>
        </r>
      </text>
    </comment>
    <comment ref="G21" authorId="0" shapeId="0">
      <text>
        <r>
          <rPr>
            <sz val="9"/>
            <color indexed="81"/>
            <rFont val="Tahoma"/>
            <family val="2"/>
          </rPr>
          <t>DataPointVID 409898_x000D_
DataPointID 409898_x000D_
Metric  =  Carrying amount [mi]_x000D_
Base  =  Liabilities_x000D_
Counterparty sector  =  Credit institutions_x000D_
Exclusion from Bail-in  =  Not excluded from bail-in_x000D_
Main category  =  Deposits, Debt securities issued, Other financial liabilities</t>
        </r>
      </text>
    </comment>
    <comment ref="H21" authorId="0" shapeId="0">
      <text>
        <r>
          <rPr>
            <sz val="9"/>
            <color indexed="81"/>
            <rFont val="Tahoma"/>
            <family val="2"/>
          </rPr>
          <t>DataPointVID 410021_x000D_
DataPointID 410021_x000D_
Metric  =  Carrying amount [mi]_x000D_
Base  =  Liabilities_x000D_
Counterparty sector  =  Financial corporations other than credit institutions_x000D_
Exclusion from Bail-in  =  Not excluded from bail-in_x000D_
Main category  =  Deposits, Debt securities issued, Other financial liabilities</t>
        </r>
      </text>
    </comment>
    <comment ref="I21" authorId="0" shapeId="0">
      <text>
        <r>
          <rPr>
            <sz val="9"/>
            <color indexed="81"/>
            <rFont val="Tahoma"/>
            <family val="2"/>
          </rPr>
          <t>DataPointVID 409996_x000D_
DataPointID 409996_x000D_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t>
        </r>
      </text>
    </comment>
    <comment ref="J21" authorId="0" shapeId="0">
      <text>
        <r>
          <rPr>
            <sz val="9"/>
            <color indexed="81"/>
            <rFont val="Tahoma"/>
            <family val="2"/>
          </rPr>
          <t>DataPointVID 410045_x000D_
DataPointID 410045_x000D_
Metric  =  Carrying amount [mi]_x000D_
Base  =  Liabilities_x000D_
Counterparty sector  =  Central banks, general governments_x000D_
Exclusion from Bail-in  =  Not excluded from bail-in_x000D_
Main category  =  Deposits, Debt securities issued, Other financial liabilities</t>
        </r>
      </text>
    </comment>
    <comment ref="K21" authorId="0" shapeId="0">
      <text>
        <r>
          <rPr>
            <sz val="9"/>
            <color indexed="81"/>
            <rFont val="Tahoma"/>
            <family val="2"/>
          </rPr>
          <t>DataPointVID 409592_x000D_
DataPointID 409592_x000D_
Metric  =  Carrying amount [mi]_x000D_
Base  =  Liabilities_x000D_
Instrument is listed on exchange  =  True_x000D_
Counterparty sector  =  Unknown counterparty_x000D_
Exclusion from Bail-in  =  Not excluded from bail-in_x000D_
Main category  =  Deposits, Debt securities issued, Other financial liabilities</t>
        </r>
      </text>
    </comment>
    <comment ref="L21" authorId="0" shapeId="0">
      <text>
        <r>
          <rPr>
            <sz val="9"/>
            <color indexed="81"/>
            <rFont val="Tahoma"/>
            <family val="2"/>
          </rPr>
          <t>DataPointVID 409540_x000D_
DataPointID 409540_x000D_
Metric  =  Carrying amount [mi]_x000D_
Base  =  Liabilities_x000D_
Instrument is listed on exchange  =  False_x000D_
Counterparty sector  =  Unknown counterparty_x000D_
Exclusion from Bail-in  =  Not excluded from bail-in_x000D_
Main category  =  Deposits, Debt securities issued, Other financial liabilities</t>
        </r>
      </text>
    </comment>
    <comment ref="M21" authorId="0" shapeId="0">
      <text>
        <r>
          <rPr>
            <sz val="9"/>
            <color indexed="81"/>
            <rFont val="Tahoma"/>
            <family val="2"/>
          </rPr>
          <t>DataPointVID 410105_x000D_
DataPointID 410105_x000D_
Metric  =  Carrying amount [mi]_x000D_
Base  =  Liabilities_x000D_
Exclusion from Bail-in  =  Not excluded from bail-in_x000D_
Main category  =  Deposits, Debt securities issued, Other financial liabilities</t>
        </r>
      </text>
    </comment>
    <comment ref="N21" authorId="0" shapeId="0">
      <text>
        <r>
          <rPr>
            <sz val="9"/>
            <color indexed="81"/>
            <rFont val="Tahoma"/>
            <family val="2"/>
          </rPr>
          <t>DataPointVID 410106_x000D_
DataPointID 410106_x000D_
Metric  =  Carrying amount [mi]_x000D_
Base  =  Liabilities_x000D_
Exclusion from Bail-in  =  Not excluded from bail-in_x000D_
Main category  =  Deposits, Debt securities issued, Other financial liabilities_x000D_
Related parties/Relationships  =  Intra-group</t>
        </r>
      </text>
    </comment>
    <comment ref="O21" authorId="0" shapeId="0">
      <text>
        <r>
          <rPr>
            <sz val="9"/>
            <color indexed="81"/>
            <rFont val="Tahoma"/>
            <family val="2"/>
          </rPr>
          <t>DataPointVID 410107_x000D_
DataPointID 410107_x000D_
Metric  =  Carrying amount [mi]_x000D_
Base  =  Liabilities_x000D_
Exclusion from Bail-in  =  Not excluded from bail-in_x000D_
Main category  =  Deposits, Debt securities issued, Other financial liabilities_x000D_
Related parties/Relationships  =  Non intra-group_x000D_
Governed by law of an EU Member State  =  False</t>
        </r>
      </text>
    </comment>
    <comment ref="C22" authorId="0" shapeId="0">
      <text>
        <r>
          <rPr>
            <sz val="9"/>
            <color indexed="81"/>
            <rFont val="Tahoma"/>
            <family val="2"/>
          </rPr>
          <t>Metric  =  Carrying amount [mi]_x000D_
Base  =  Liabilities_x000D_
Main category  =  Deposits_x000D_
Creditor / Insolvency ranking  =  Preferential (BRRD)_x000D_
Instrument  =  Deposits other than covered deposits_x000D_
Exclusion from Bail-in  =  Not excluded from bail-in_x000D_
Eligibility for MREL  =  Non-eligible</t>
        </r>
      </text>
    </comment>
    <comment ref="D22" authorId="0" shapeId="0">
      <text>
        <r>
          <rPr>
            <sz val="9"/>
            <color indexed="81"/>
            <rFont val="Tahoma"/>
            <family val="2"/>
          </rPr>
          <t>DataPointVID 409624_x000D_
DataPointID 409624_x000D_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t>
        </r>
      </text>
    </comment>
    <comment ref="E22" authorId="0" shapeId="0">
      <text>
        <r>
          <rPr>
            <sz val="9"/>
            <color indexed="81"/>
            <rFont val="Tahoma"/>
            <family val="2"/>
          </rPr>
          <t>DataPointVID 409629_x000D_
DataPointID 409629_x000D_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t>
        </r>
      </text>
    </comment>
    <comment ref="F22" authorId="0" shapeId="0">
      <text>
        <r>
          <rPr>
            <sz val="9"/>
            <color indexed="81"/>
            <rFont val="Tahoma"/>
            <family val="2"/>
          </rPr>
          <t>DataPointVID 423028_x000D_
DataPointID 409634_x000D_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t>
        </r>
      </text>
    </comment>
    <comment ref="G22" authorId="0" shapeId="0">
      <text>
        <r>
          <rPr>
            <sz val="9"/>
            <color indexed="81"/>
            <rFont val="Tahoma"/>
            <family val="2"/>
          </rPr>
          <t>DataPointVID 409619_x000D_
DataPointID 409619_x000D_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t>
        </r>
      </text>
    </comment>
    <comment ref="H22" authorId="0" shapeId="0">
      <text>
        <r>
          <rPr>
            <sz val="9"/>
            <color indexed="81"/>
            <rFont val="Tahoma"/>
            <family val="2"/>
          </rPr>
          <t>DataPointVID 409644_x000D_
DataPointID 409644_x000D_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t>
        </r>
      </text>
    </comment>
    <comment ref="I22" authorId="0" shapeId="0">
      <text>
        <r>
          <rPr>
            <sz val="9"/>
            <color indexed="81"/>
            <rFont val="Tahoma"/>
            <family val="2"/>
          </rPr>
          <t>DataPointVID 409639_x000D_
DataPointID 409639_x000D_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t>
        </r>
      </text>
    </comment>
    <comment ref="J22" authorId="0" shapeId="0">
      <text>
        <r>
          <rPr>
            <sz val="9"/>
            <color indexed="81"/>
            <rFont val="Tahoma"/>
            <family val="2"/>
          </rPr>
          <t>DataPointVID 409650_x000D_
DataPointID 409650_x000D_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t>
        </r>
      </text>
    </comment>
    <comment ref="K22" authorId="0" shapeId="0">
      <text>
        <r>
          <rPr>
            <sz val="9"/>
            <color indexed="81"/>
            <rFont val="Tahoma"/>
            <family val="2"/>
          </rPr>
          <t>DataPointVID 409550_x000D_
DataPointID 409550_x000D_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t>
        </r>
      </text>
    </comment>
    <comment ref="L22" authorId="0" shapeId="0">
      <text>
        <r>
          <rPr>
            <sz val="9"/>
            <color indexed="81"/>
            <rFont val="Tahoma"/>
            <family val="2"/>
          </rPr>
          <t>DataPointVID 409498_x000D_
DataPointID 409498_x000D_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t>
        </r>
      </text>
    </comment>
    <comment ref="M22" authorId="0" shapeId="0">
      <text>
        <r>
          <rPr>
            <sz val="9"/>
            <color indexed="81"/>
            <rFont val="Tahoma"/>
            <family val="2"/>
          </rPr>
          <t>DataPointVID 409656_x000D_
DataPointID 409656_x000D_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t>
        </r>
      </text>
    </comment>
    <comment ref="N22" authorId="0" shapeId="0">
      <text>
        <r>
          <rPr>
            <sz val="9"/>
            <color indexed="81"/>
            <rFont val="Tahoma"/>
            <family val="2"/>
          </rPr>
          <t>DataPointVID 409669_x000D_
DataPointID 409669_x000D_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Related parties/Relationships  =  Intra-group</t>
        </r>
      </text>
    </comment>
    <comment ref="O22" authorId="0" shapeId="0">
      <text>
        <r>
          <rPr>
            <sz val="9"/>
            <color indexed="81"/>
            <rFont val="Tahoma"/>
            <family val="2"/>
          </rPr>
          <t>DataPointVID 409670_x000D_
DataPointID 409670_x000D_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Related parties/Relationships  =  Non intra-group_x000D_
Governed by law of an EU Member State  =  False</t>
        </r>
      </text>
    </comment>
    <comment ref="C23" authorId="0" shapeId="0">
      <text>
        <r>
          <rPr>
            <sz val="9"/>
            <color indexed="81"/>
            <rFont val="Tahoma"/>
            <family val="2"/>
          </rPr>
          <t>Metric  =  Carrying amount [mi]_x000D_
Base  =  Liabilities_x000D_
Main category  =  Deposits_x000D_
Residual maturity  =  &lt;= 1 month_x000D_
Creditor / Insolvency ranking  =  Preferential (BRRD)_x000D_
Instrument  =  Deposits other than covered deposits_x000D_
Exclusion from Bail-in  =  Not excluded from bail-in_x000D_
Eligibility for MREL  =  Non-eligible</t>
        </r>
      </text>
    </comment>
    <comment ref="D23" authorId="0" shapeId="0">
      <text>
        <r>
          <rPr>
            <sz val="9"/>
            <color indexed="81"/>
            <rFont val="Tahoma"/>
            <family val="2"/>
          </rPr>
          <t>DataPointVID 409625_x000D_
DataPointID 409625_x000D_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&lt;= 1 month</t>
        </r>
      </text>
    </comment>
    <comment ref="E23" authorId="0" shapeId="0">
      <text>
        <r>
          <rPr>
            <sz val="9"/>
            <color indexed="81"/>
            <rFont val="Tahoma"/>
            <family val="2"/>
          </rPr>
          <t>DataPointVID 409630_x000D_
DataPointID 409630_x000D_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&lt;= 1 month</t>
        </r>
      </text>
    </comment>
    <comment ref="F23" authorId="0" shapeId="0">
      <text>
        <r>
          <rPr>
            <sz val="9"/>
            <color indexed="81"/>
            <rFont val="Tahoma"/>
            <family val="2"/>
          </rPr>
          <t>DataPointVID 423029_x000D_
DataPointID 409635_x000D_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&lt;= 1 month</t>
        </r>
      </text>
    </comment>
    <comment ref="G23" authorId="0" shapeId="0">
      <text>
        <r>
          <rPr>
            <sz val="9"/>
            <color indexed="81"/>
            <rFont val="Tahoma"/>
            <family val="2"/>
          </rPr>
          <t>DataPointVID 409620_x000D_
DataPointID 409620_x000D_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&lt;= 1 month</t>
        </r>
      </text>
    </comment>
    <comment ref="H23" authorId="0" shapeId="0">
      <text>
        <r>
          <rPr>
            <sz val="9"/>
            <color indexed="81"/>
            <rFont val="Tahoma"/>
            <family val="2"/>
          </rPr>
          <t>DataPointVID 409645_x000D_
DataPointID 409645_x000D_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&lt;= 1 month</t>
        </r>
      </text>
    </comment>
    <comment ref="I23" authorId="0" shapeId="0">
      <text>
        <r>
          <rPr>
            <sz val="9"/>
            <color indexed="81"/>
            <rFont val="Tahoma"/>
            <family val="2"/>
          </rPr>
          <t>DataPointVID 409640_x000D_
DataPointID 409640_x000D_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&lt;= 1 month</t>
        </r>
      </text>
    </comment>
    <comment ref="J23" authorId="0" shapeId="0">
      <text>
        <r>
          <rPr>
            <sz val="9"/>
            <color indexed="81"/>
            <rFont val="Tahoma"/>
            <family val="2"/>
          </rPr>
          <t>DataPointVID 409651_x000D_
DataPointID 409651_x000D_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&lt;= 1 month</t>
        </r>
      </text>
    </comment>
    <comment ref="K23" authorId="0" shapeId="0">
      <text>
        <r>
          <rPr>
            <sz val="9"/>
            <color indexed="81"/>
            <rFont val="Tahoma"/>
            <family val="2"/>
          </rPr>
          <t>DataPointVID 409551_x000D_
DataPointID 409551_x000D_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L23" authorId="0" shapeId="0">
      <text>
        <r>
          <rPr>
            <sz val="9"/>
            <color indexed="81"/>
            <rFont val="Tahoma"/>
            <family val="2"/>
          </rPr>
          <t>DataPointVID 409499_x000D_
DataPointID 409499_x000D_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M23" authorId="0" shapeId="0">
      <text>
        <r>
          <rPr>
            <sz val="9"/>
            <color indexed="81"/>
            <rFont val="Tahoma"/>
            <family val="2"/>
          </rPr>
          <t>DataPointVID 409657_x000D_
DataPointID 409657_x000D_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t>
        </r>
      </text>
    </comment>
    <comment ref="N23" authorId="0" shapeId="0">
      <text>
        <r>
          <rPr>
            <sz val="9"/>
            <color indexed="81"/>
            <rFont val="Tahoma"/>
            <family val="2"/>
          </rPr>
          <t>DataPointVID 409658_x000D_
DataPointID 409658_x000D_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month_x000D_
Related parties/Relationships  =  Intra-group</t>
        </r>
      </text>
    </comment>
    <comment ref="O23" authorId="0" shapeId="0">
      <text>
        <r>
          <rPr>
            <sz val="9"/>
            <color indexed="81"/>
            <rFont val="Tahoma"/>
            <family val="2"/>
          </rPr>
          <t>DataPointVID 409659_x000D_
DataPointID 409659_x000D_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&lt;= 1 month_x000D_
Related parties/Relationships  =  Non intra-group_x000D_
Governed by law of an EU Member State  =  False</t>
        </r>
      </text>
    </comment>
    <comment ref="C24" authorId="0" shapeId="0">
      <text>
        <r>
          <rPr>
            <sz val="9"/>
            <color indexed="81"/>
            <rFont val="Tahoma"/>
            <family val="2"/>
          </rPr>
          <t>Metric  =  Carrying amount [mi]_x000D_
Base  =  Liabilities_x000D_
Main category  =  Deposits_x000D_
Residual maturity  =  &gt; 1 month &lt; 1 year_x000D_
Creditor / Insolvency ranking  =  Preferential (BRRD)_x000D_
Instrument  =  Deposits other than covered deposits_x000D_
Exclusion from Bail-in  =  Not excluded from bail-in_x000D_
Eligibility for MREL  =  Non-eligible</t>
        </r>
      </text>
    </comment>
    <comment ref="D24" authorId="0" shapeId="0">
      <text>
        <r>
          <rPr>
            <sz val="9"/>
            <color indexed="81"/>
            <rFont val="Tahoma"/>
            <family val="2"/>
          </rPr>
          <t>DataPointVID 409627_x000D_
DataPointID 409627_x000D_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1 month &lt; 1 year</t>
        </r>
      </text>
    </comment>
    <comment ref="E24" authorId="0" shapeId="0">
      <text>
        <r>
          <rPr>
            <sz val="9"/>
            <color indexed="81"/>
            <rFont val="Tahoma"/>
            <family val="2"/>
          </rPr>
          <t>DataPointVID 409632_x000D_
DataPointID 409632_x000D_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month &lt; 1 year</t>
        </r>
      </text>
    </comment>
    <comment ref="F24" authorId="0" shapeId="0">
      <text>
        <r>
          <rPr>
            <sz val="9"/>
            <color indexed="81"/>
            <rFont val="Tahoma"/>
            <family val="2"/>
          </rPr>
          <t>DataPointVID 423031_x000D_
DataPointID 409637_x000D_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month &lt; 1 year</t>
        </r>
      </text>
    </comment>
    <comment ref="G24" authorId="0" shapeId="0">
      <text>
        <r>
          <rPr>
            <sz val="9"/>
            <color indexed="81"/>
            <rFont val="Tahoma"/>
            <family val="2"/>
          </rPr>
          <t>DataPointVID 409622_x000D_
DataPointID 409622_x000D_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month &lt; 1 year</t>
        </r>
      </text>
    </comment>
    <comment ref="H24" authorId="0" shapeId="0">
      <text>
        <r>
          <rPr>
            <sz val="9"/>
            <color indexed="81"/>
            <rFont val="Tahoma"/>
            <family val="2"/>
          </rPr>
          <t>DataPointVID 409647_x000D_
DataPointID 409647_x000D_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month &lt; 1 year</t>
        </r>
      </text>
    </comment>
    <comment ref="I24" authorId="0" shapeId="0">
      <text>
        <r>
          <rPr>
            <sz val="9"/>
            <color indexed="81"/>
            <rFont val="Tahoma"/>
            <family val="2"/>
          </rPr>
          <t>DataPointVID 409642_x000D_
DataPointID 409642_x000D_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month &lt; 1 year</t>
        </r>
      </text>
    </comment>
    <comment ref="J24" authorId="0" shapeId="0">
      <text>
        <r>
          <rPr>
            <sz val="9"/>
            <color indexed="81"/>
            <rFont val="Tahoma"/>
            <family val="2"/>
          </rPr>
          <t>DataPointVID 409653_x000D_
DataPointID 409653_x000D_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month &lt; 1 year</t>
        </r>
      </text>
    </comment>
    <comment ref="K24" authorId="0" shapeId="0">
      <text>
        <r>
          <rPr>
            <sz val="9"/>
            <color indexed="81"/>
            <rFont val="Tahoma"/>
            <family val="2"/>
          </rPr>
          <t>DataPointVID 409553_x000D_
DataPointID 409553_x000D_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L24" authorId="0" shapeId="0">
      <text>
        <r>
          <rPr>
            <sz val="9"/>
            <color indexed="81"/>
            <rFont val="Tahoma"/>
            <family val="2"/>
          </rPr>
          <t>DataPointVID 409501_x000D_
DataPointID 409501_x000D_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M24" authorId="0" shapeId="0">
      <text>
        <r>
          <rPr>
            <sz val="9"/>
            <color indexed="81"/>
            <rFont val="Tahoma"/>
            <family val="2"/>
          </rPr>
          <t>DataPointVID 409663_x000D_
DataPointID 409663_x000D_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t>
        </r>
      </text>
    </comment>
    <comment ref="N24" authorId="0" shapeId="0">
      <text>
        <r>
          <rPr>
            <sz val="9"/>
            <color indexed="81"/>
            <rFont val="Tahoma"/>
            <family val="2"/>
          </rPr>
          <t>DataPointVID 409664_x000D_
DataPointID 409664_x000D_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Intra-group</t>
        </r>
      </text>
    </comment>
    <comment ref="O24" authorId="0" shapeId="0">
      <text>
        <r>
          <rPr>
            <sz val="9"/>
            <color indexed="81"/>
            <rFont val="Tahoma"/>
            <family val="2"/>
          </rPr>
          <t>DataPointVID 409665_x000D_
DataPointID 409665_x000D_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Non intra-group_x000D_
Governed by law of an EU Member State  =  False</t>
        </r>
      </text>
    </comment>
    <comment ref="C25" authorId="0" shapeId="0">
      <text>
        <r>
          <rPr>
            <sz val="9"/>
            <color indexed="81"/>
            <rFont val="Tahoma"/>
            <family val="2"/>
          </rPr>
          <t>Metric  =  Carrying amount [mi]_x000D_
Base  =  Liabilities_x000D_
Main category  =  Deposits_x000D_
Residual maturity  =  &gt;= 1 year &lt; 2 years_x000D_
Creditor / Insolvency ranking  =  Preferential (BRRD)_x000D_
Instrument  =  Deposits other than covered deposits_x000D_
Exclusion from Bail-in  =  Not excluded from bail-in_x000D_
Eligibility for MREL  =  Non-eligible</t>
        </r>
      </text>
    </comment>
    <comment ref="D25" authorId="0" shapeId="0">
      <text>
        <r>
          <rPr>
            <sz val="9"/>
            <color indexed="81"/>
            <rFont val="Tahoma"/>
            <family val="2"/>
          </rPr>
          <t>DataPointVID 409626_x000D_
DataPointID 409626_x000D_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1 year &lt; 2 years</t>
        </r>
      </text>
    </comment>
    <comment ref="E25" authorId="0" shapeId="0">
      <text>
        <r>
          <rPr>
            <sz val="9"/>
            <color indexed="81"/>
            <rFont val="Tahoma"/>
            <family val="2"/>
          </rPr>
          <t>DataPointVID 409631_x000D_
DataPointID 409631_x000D_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year &lt; 2 years</t>
        </r>
      </text>
    </comment>
    <comment ref="F25" authorId="0" shapeId="0">
      <text>
        <r>
          <rPr>
            <sz val="9"/>
            <color indexed="81"/>
            <rFont val="Tahoma"/>
            <family val="2"/>
          </rPr>
          <t>DataPointVID 423030_x000D_
DataPointID 409636_x000D_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year &lt; 2 years</t>
        </r>
      </text>
    </comment>
    <comment ref="G25" authorId="0" shapeId="0">
      <text>
        <r>
          <rPr>
            <sz val="9"/>
            <color indexed="81"/>
            <rFont val="Tahoma"/>
            <family val="2"/>
          </rPr>
          <t>DataPointVID 409621_x000D_
DataPointID 409621_x000D_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year &lt; 2 years</t>
        </r>
      </text>
    </comment>
    <comment ref="H25" authorId="0" shapeId="0">
      <text>
        <r>
          <rPr>
            <sz val="9"/>
            <color indexed="81"/>
            <rFont val="Tahoma"/>
            <family val="2"/>
          </rPr>
          <t>DataPointVID 409646_x000D_
DataPointID 409646_x000D_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year &lt; 2 years</t>
        </r>
      </text>
    </comment>
    <comment ref="I25" authorId="0" shapeId="0">
      <text>
        <r>
          <rPr>
            <sz val="9"/>
            <color indexed="81"/>
            <rFont val="Tahoma"/>
            <family val="2"/>
          </rPr>
          <t>DataPointVID 409641_x000D_
DataPointID 409641_x000D_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year &lt; 2 years</t>
        </r>
      </text>
    </comment>
    <comment ref="J25" authorId="0" shapeId="0">
      <text>
        <r>
          <rPr>
            <sz val="9"/>
            <color indexed="81"/>
            <rFont val="Tahoma"/>
            <family val="2"/>
          </rPr>
          <t>DataPointVID 409652_x000D_
DataPointID 409652_x000D_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year &lt; 2 years</t>
        </r>
      </text>
    </comment>
    <comment ref="K25" authorId="0" shapeId="0">
      <text>
        <r>
          <rPr>
            <sz val="9"/>
            <color indexed="81"/>
            <rFont val="Tahoma"/>
            <family val="2"/>
          </rPr>
          <t>DataPointVID 409552_x000D_
DataPointID 409552_x000D_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year &lt; 2 years</t>
        </r>
      </text>
    </comment>
    <comment ref="L25" authorId="0" shapeId="0">
      <text>
        <r>
          <rPr>
            <sz val="9"/>
            <color indexed="81"/>
            <rFont val="Tahoma"/>
            <family val="2"/>
          </rPr>
          <t>DataPointVID 409500_x000D_
DataPointID 409500_x000D_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year &lt; 2 years</t>
        </r>
      </text>
    </comment>
    <comment ref="M25" authorId="0" shapeId="0">
      <text>
        <r>
          <rPr>
            <sz val="9"/>
            <color indexed="81"/>
            <rFont val="Tahoma"/>
            <family val="2"/>
          </rPr>
          <t>DataPointVID 409660_x000D_
DataPointID 409660_x000D_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t>
        </r>
      </text>
    </comment>
    <comment ref="N25" authorId="0" shapeId="0">
      <text>
        <r>
          <rPr>
            <sz val="9"/>
            <color indexed="81"/>
            <rFont val="Tahoma"/>
            <family val="2"/>
          </rPr>
          <t>DataPointVID 409661_x000D_
DataPointID 409661_x000D_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years_x000D_
Related parties/Relationships  =  Intra-group</t>
        </r>
      </text>
    </comment>
    <comment ref="O25" authorId="0" shapeId="0">
      <text>
        <r>
          <rPr>
            <sz val="9"/>
            <color indexed="81"/>
            <rFont val="Tahoma"/>
            <family val="2"/>
          </rPr>
          <t>DataPointVID 409662_x000D_
DataPointID 409662_x000D_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1 year &lt; 2 years_x000D_
Related parties/Relationships  =  Non intra-group_x000D_
Governed by law of an EU Member State  =  False</t>
        </r>
      </text>
    </comment>
    <comment ref="C26" authorId="0" shapeId="0">
      <text>
        <r>
          <rPr>
            <sz val="9"/>
            <color indexed="81"/>
            <rFont val="Tahoma"/>
            <family val="2"/>
          </rPr>
          <t>Metric  =  Carrying amount [mi]_x000D_
Base  =  Liabilities_x000D_
Main category  =  Deposits_x000D_
Residual maturity  =  &gt;= 2 years_x000D_
Creditor / Insolvency ranking  =  Preferential (BRRD)_x000D_
Instrument  =  Deposits other than covered deposits_x000D_
Exclusion from Bail-in  =  Not excluded from bail-in_x000D_
Eligibility for MREL  =  Non-eligible</t>
        </r>
      </text>
    </comment>
    <comment ref="D26" authorId="0" shapeId="0">
      <text>
        <r>
          <rPr>
            <sz val="9"/>
            <color indexed="81"/>
            <rFont val="Tahoma"/>
            <family val="2"/>
          </rPr>
          <t>DataPointVID 409628_x000D_
DataPointID 409628_x000D_
Metric  =  Carrying amount [mi]_x000D_
Base  =  Liabilities_x000D_
Creditor / Insolvency ranking  =  Preferential (BRRD)_x000D_
Counterparty sector  =  Households_x000D_
Instrument  =  Deposits other than covered deposits_x000D_
Exclusion from Bail-in  =  Not excluded from bail-in_x000D_
Main category  =  Deposits_x000D_
Eligibility for MREL  =  Non-eligible_x000D_
Residual maturity  =  &gt;= 2 years</t>
        </r>
      </text>
    </comment>
    <comment ref="E26" authorId="0" shapeId="0">
      <text>
        <r>
          <rPr>
            <sz val="9"/>
            <color indexed="81"/>
            <rFont val="Tahoma"/>
            <family val="2"/>
          </rPr>
          <t>DataPointVID 409633_x000D_
DataPointID 409633_x000D_
Metric  =  Carrying amount [mi]_x000D_
Base  =  Liabilities_x000D_
Creditor / Insolvency ranking  =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2 years</t>
        </r>
      </text>
    </comment>
    <comment ref="F26" authorId="0" shapeId="0">
      <text>
        <r>
          <rPr>
            <sz val="9"/>
            <color indexed="81"/>
            <rFont val="Tahoma"/>
            <family val="2"/>
          </rPr>
          <t>DataPointVID 423032_x000D_
DataPointID 409638_x000D_
Metric  =  Carrying amount [mi]_x000D_
Base  =  Liabilities_x000D_
Creditor / Insolvency ranking  =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2 years</t>
        </r>
      </text>
    </comment>
    <comment ref="G26" authorId="0" shapeId="0">
      <text>
        <r>
          <rPr>
            <sz val="9"/>
            <color indexed="81"/>
            <rFont val="Tahoma"/>
            <family val="2"/>
          </rPr>
          <t>DataPointVID 409623_x000D_
DataPointID 409623_x000D_
Metric  =  Carrying amount [mi]_x000D_
Base  =  Liabilities_x000D_
Creditor / Insolvency ranking  =  Preferential (BRRD)_x000D_
Counterparty sector  =  Credit institutions_x000D_
Instrument  =  Deposits other than covered deposits_x000D_
Exclusion from Bail-in  =  Not excluded from bail-in_x000D_
Main category  =  Deposits_x000D_
Eligibility for MREL  =  Non-eligible_x000D_
Residual maturity  =  &gt;= 2 years</t>
        </r>
      </text>
    </comment>
    <comment ref="H26" authorId="0" shapeId="0">
      <text>
        <r>
          <rPr>
            <sz val="9"/>
            <color indexed="81"/>
            <rFont val="Tahoma"/>
            <family val="2"/>
          </rPr>
          <t>DataPointVID 409648_x000D_
DataPointID 409648_x000D_
Metric  =  Carrying amount [mi]_x000D_
Base  =  Liabilities_x000D_
Creditor / Insolvency ranking  =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2 years</t>
        </r>
      </text>
    </comment>
    <comment ref="I26" authorId="0" shapeId="0">
      <text>
        <r>
          <rPr>
            <sz val="9"/>
            <color indexed="81"/>
            <rFont val="Tahoma"/>
            <family val="2"/>
          </rPr>
          <t>DataPointVID 409643_x000D_
DataPointID 409643_x000D_
Metric  =  Carrying amount [mi]_x000D_
Base  =  Liabilities_x000D_
Creditor / Insolvency ranking  =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2 years</t>
        </r>
      </text>
    </comment>
    <comment ref="J26" authorId="0" shapeId="0">
      <text>
        <r>
          <rPr>
            <sz val="9"/>
            <color indexed="81"/>
            <rFont val="Tahoma"/>
            <family val="2"/>
          </rPr>
          <t>DataPointVID 409654_x000D_
DataPointID 409654_x000D_
Metric  =  Carrying amount [mi]_x000D_
Base  =  Liabilities_x000D_
Creditor / Insolvency ranking  =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2 years</t>
        </r>
      </text>
    </comment>
    <comment ref="K26" authorId="0" shapeId="0">
      <text>
        <r>
          <rPr>
            <sz val="9"/>
            <color indexed="81"/>
            <rFont val="Tahoma"/>
            <family val="2"/>
          </rPr>
          <t>DataPointVID 409554_x000D_
DataPointID 409554_x000D_
Metric  =  Carrying amount [mi]_x000D_
Base  =  Liabilities_x000D_
Instrument is listed on exchange  =  True_x000D_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2 years</t>
        </r>
      </text>
    </comment>
    <comment ref="L26" authorId="0" shapeId="0">
      <text>
        <r>
          <rPr>
            <sz val="9"/>
            <color indexed="81"/>
            <rFont val="Tahoma"/>
            <family val="2"/>
          </rPr>
          <t>DataPointVID 409502_x000D_
DataPointID 409502_x000D_
Metric  =  Carrying amount [mi]_x000D_
Base  =  Liabilities_x000D_
Instrument is listed on exchange  =  False_x000D_
Creditor / Insolvency ranking  =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2 years</t>
        </r>
      </text>
    </comment>
    <comment ref="M26" authorId="0" shapeId="0">
      <text>
        <r>
          <rPr>
            <sz val="9"/>
            <color indexed="81"/>
            <rFont val="Tahoma"/>
            <family val="2"/>
          </rPr>
          <t>DataPointVID 409666_x000D_
DataPointID 409666_x000D_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t>
        </r>
      </text>
    </comment>
    <comment ref="N26" authorId="0" shapeId="0">
      <text>
        <r>
          <rPr>
            <sz val="9"/>
            <color indexed="81"/>
            <rFont val="Tahoma"/>
            <family val="2"/>
          </rPr>
          <t>DataPointVID 409667_x000D_
DataPointID 409667_x000D_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years_x000D_
Related parties/Relationships  =  Intra-group</t>
        </r>
      </text>
    </comment>
    <comment ref="O26" authorId="0" shapeId="0">
      <text>
        <r>
          <rPr>
            <sz val="9"/>
            <color indexed="81"/>
            <rFont val="Tahoma"/>
            <family val="2"/>
          </rPr>
          <t>DataPointVID 409668_x000D_
DataPointID 409668_x000D_
Metric  =  Carrying amount [mi]_x000D_
Base  =  Liabilities_x000D_
Creditor / Insolvency ranking  =  Preferential (BRRD)_x000D_
Instrument  =  Deposits other than covered deposits_x000D_
Exclusion from Bail-in  =  Not excluded from bail-in_x000D_
Main category  =  Deposits_x000D_
Eligibility for MREL  =  Non-eligible_x000D_
Residual maturity  =  &gt;= 2 years_x000D_
Related parties/Relationships  =  Non intra-group_x000D_
Governed by law of an EU Member State  =  False</t>
        </r>
      </text>
    </comment>
    <comment ref="C27" authorId="0" shapeId="0">
      <text>
        <r>
          <rPr>
            <sz val="9"/>
            <color indexed="81"/>
            <rFont val="Tahoma"/>
            <family val="2"/>
          </rPr>
          <t>Metric  =  Carrying amount [mi]_x000D_
Base  =  Liabilities_x000D_
Main category  =  Deposits_x000D_
Creditor / Insolvency ranking  =  Not preferential (BRRD)_x000D_
Instrument  =  Deposits other than covered deposits_x000D_
Exclusion from Bail-in  =  Not excluded from bail-in</t>
        </r>
      </text>
    </comment>
    <comment ref="D27" authorId="0" shapeId="0">
      <text>
        <r>
          <rPr>
            <sz val="9"/>
            <color indexed="81"/>
            <rFont val="Tahoma"/>
            <family val="2"/>
          </rPr>
          <t>DataPointVID 409676_x000D_
DataPointID 409676_x000D_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t>
        </r>
      </text>
    </comment>
    <comment ref="E27" authorId="0" shapeId="0">
      <text>
        <r>
          <rPr>
            <sz val="9"/>
            <color indexed="81"/>
            <rFont val="Tahoma"/>
            <family val="2"/>
          </rPr>
          <t>DataPointVID 409681_x000D_
DataPointID 409681_x000D_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t>
        </r>
      </text>
    </comment>
    <comment ref="F27" authorId="0" shapeId="0">
      <text>
        <r>
          <rPr>
            <sz val="9"/>
            <color indexed="81"/>
            <rFont val="Tahoma"/>
            <family val="2"/>
          </rPr>
          <t>DataPointVID 423033_x000D_
DataPointID 409686_x000D_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t>
        </r>
      </text>
    </comment>
    <comment ref="G27" authorId="0" shapeId="0">
      <text>
        <r>
          <rPr>
            <sz val="9"/>
            <color indexed="81"/>
            <rFont val="Tahoma"/>
            <family val="2"/>
          </rPr>
          <t>DataPointVID 409671_x000D_
DataPointID 409671_x000D_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t>
        </r>
      </text>
    </comment>
    <comment ref="H27" authorId="0" shapeId="0">
      <text>
        <r>
          <rPr>
            <sz val="9"/>
            <color indexed="81"/>
            <rFont val="Tahoma"/>
            <family val="2"/>
          </rPr>
          <t>DataPointVID 409696_x000D_
DataPointID 409696_x000D_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t>
        </r>
      </text>
    </comment>
    <comment ref="I27" authorId="0" shapeId="0">
      <text>
        <r>
          <rPr>
            <sz val="9"/>
            <color indexed="81"/>
            <rFont val="Tahoma"/>
            <family val="2"/>
          </rPr>
          <t>DataPointVID 409691_x000D_
DataPointID 409691_x000D_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t>
        </r>
      </text>
    </comment>
    <comment ref="J27" authorId="0" shapeId="0">
      <text>
        <r>
          <rPr>
            <sz val="9"/>
            <color indexed="81"/>
            <rFont val="Tahoma"/>
            <family val="2"/>
          </rPr>
          <t>DataPointVID 409701_x000D_
DataPointID 409701_x000D_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t>
        </r>
      </text>
    </comment>
    <comment ref="K27" authorId="0" shapeId="0">
      <text>
        <r>
          <rPr>
            <sz val="9"/>
            <color indexed="81"/>
            <rFont val="Tahoma"/>
            <family val="2"/>
          </rPr>
          <t>DataPointVID 409555_x000D_
DataPointID 409555_x000D_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t>
        </r>
      </text>
    </comment>
    <comment ref="L27" authorId="0" shapeId="0">
      <text>
        <r>
          <rPr>
            <sz val="9"/>
            <color indexed="81"/>
            <rFont val="Tahoma"/>
            <family val="2"/>
          </rPr>
          <t>DataPointVID 409503_x000D_
DataPointID 409503_x000D_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t>
        </r>
      </text>
    </comment>
    <comment ref="M27" authorId="0" shapeId="0">
      <text>
        <r>
          <rPr>
            <sz val="9"/>
            <color indexed="81"/>
            <rFont val="Tahoma"/>
            <family val="2"/>
          </rPr>
          <t>DataPointVID 409706_x000D_
DataPointID 409706_x000D_
Metric  =  Carrying amount [mi]_x000D_
Base  =  Liabilities_x000D_
Creditor / Insolvency ranking  =  Not preferential (BRRD)_x000D_
Instrument  =  Deposits other than covered deposits_x000D_
Exclusion from Bail-in  =  Not excluded from bail-in_x000D_
Main category  =  Deposits</t>
        </r>
      </text>
    </comment>
    <comment ref="N27" authorId="0" shapeId="0">
      <text>
        <r>
          <rPr>
            <sz val="9"/>
            <color indexed="81"/>
            <rFont val="Tahoma"/>
            <family val="2"/>
          </rPr>
          <t>DataPointVID 409719_x000D_
DataPointID 409719_x000D_
Metric  =  Carrying amount [mi]_x000D_
Base  =  Liabilities_x000D_
Creditor / Insolvency ranking  =  Not preferential (BRRD)_x000D_
Instrument  =  Deposits other than covered deposits_x000D_
Exclusion from Bail-in  =  Not excluded from bail-in_x000D_
Main category  =  Deposits_x000D_
Related parties/Relationships  =  Intra-group</t>
        </r>
      </text>
    </comment>
    <comment ref="O27" authorId="0" shapeId="0">
      <text>
        <r>
          <rPr>
            <sz val="9"/>
            <color indexed="81"/>
            <rFont val="Tahoma"/>
            <family val="2"/>
          </rPr>
          <t>DataPointVID 409720_x000D_
DataPointID 409720_x000D_
Metric  =  Carrying amount [mi]_x000D_
Base  =  Liabilities_x000D_
Creditor / Insolvency ranking  =  Not preferential (BRRD)_x000D_
Instrument  =  Deposits other than covered deposits_x000D_
Exclusion from Bail-in  =  Not excluded from bail-in_x000D_
Main category  =  Deposits_x000D_
Related parties/Relationships  =  Non intra-group_x000D_
Governed by law of an EU Member State  =  False</t>
        </r>
      </text>
    </comment>
    <comment ref="C28" authorId="0" shapeId="0">
      <text>
        <r>
          <rPr>
            <sz val="9"/>
            <color indexed="81"/>
            <rFont val="Tahoma"/>
            <family val="2"/>
          </rPr>
          <t>Metric  =  Carrying amount [mi]_x000D_
Base  =  Liabilities_x000D_
Main category  =  Deposits_x000D_
Residual maturity  =  &lt;= 1 month_x000D_
Creditor / Insolvency ranking  =  Not preferential (BRRD)_x000D_
Instrument  =  Deposits other than covered deposits_x000D_
Exclusion from Bail-in  =  Not excluded from bail-in_x000D_
Eligibility for MREL  =  Non-eligible</t>
        </r>
      </text>
    </comment>
    <comment ref="D28" authorId="0" shapeId="0">
      <text>
        <r>
          <rPr>
            <sz val="9"/>
            <color indexed="81"/>
            <rFont val="Tahoma"/>
            <family val="2"/>
          </rPr>
          <t>DataPointVID 409677_x000D_
DataPointID 409677_x000D_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Eligibility for MREL  =  Non-eligible_x000D_
Residual maturity  =  &lt;= 1 month</t>
        </r>
      </text>
    </comment>
    <comment ref="E28" authorId="0" shapeId="0">
      <text>
        <r>
          <rPr>
            <sz val="9"/>
            <color indexed="81"/>
            <rFont val="Tahoma"/>
            <family val="2"/>
          </rPr>
          <t>DataPointVID 409682_x000D_
DataPointID 409682_x000D_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&lt;= 1 month</t>
        </r>
      </text>
    </comment>
    <comment ref="F28" authorId="0" shapeId="0">
      <text>
        <r>
          <rPr>
            <sz val="9"/>
            <color indexed="81"/>
            <rFont val="Tahoma"/>
            <family val="2"/>
          </rPr>
          <t>DataPointVID 423034_x000D_
DataPointID 409687_x000D_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&lt;= 1 month</t>
        </r>
      </text>
    </comment>
    <comment ref="G28" authorId="0" shapeId="0">
      <text>
        <r>
          <rPr>
            <sz val="9"/>
            <color indexed="81"/>
            <rFont val="Tahoma"/>
            <family val="2"/>
          </rPr>
          <t>DataPointVID 409672_x000D_
DataPointID 409672_x000D_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Eligibility for MREL  =  Non-eligible_x000D_
Residual maturity  =  &lt;= 1 month</t>
        </r>
      </text>
    </comment>
    <comment ref="H28" authorId="0" shapeId="0">
      <text>
        <r>
          <rPr>
            <sz val="9"/>
            <color indexed="81"/>
            <rFont val="Tahoma"/>
            <family val="2"/>
          </rPr>
          <t>DataPointVID 409697_x000D_
DataPointID 409697_x000D_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&lt;= 1 month</t>
        </r>
      </text>
    </comment>
    <comment ref="I28" authorId="0" shapeId="0">
      <text>
        <r>
          <rPr>
            <sz val="9"/>
            <color indexed="81"/>
            <rFont val="Tahoma"/>
            <family val="2"/>
          </rPr>
          <t>DataPointVID 409692_x000D_
DataPointID 409692_x000D_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&lt;= 1 month</t>
        </r>
      </text>
    </comment>
    <comment ref="J28" authorId="0" shapeId="0">
      <text>
        <r>
          <rPr>
            <sz val="9"/>
            <color indexed="81"/>
            <rFont val="Tahoma"/>
            <family val="2"/>
          </rPr>
          <t>DataPointVID 409702_x000D_
DataPointID 409702_x000D_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&lt;= 1 month</t>
        </r>
      </text>
    </comment>
    <comment ref="K28" authorId="0" shapeId="0">
      <text>
        <r>
          <rPr>
            <sz val="9"/>
            <color indexed="81"/>
            <rFont val="Tahoma"/>
            <family val="2"/>
          </rPr>
          <t>DataPointVID 409556_x000D_
DataPointID 409556_x000D_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L28" authorId="0" shapeId="0">
      <text>
        <r>
          <rPr>
            <sz val="9"/>
            <color indexed="81"/>
            <rFont val="Tahoma"/>
            <family val="2"/>
          </rPr>
          <t>DataPointVID 409504_x000D_
DataPointID 409504_x000D_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&lt;= 1 month</t>
        </r>
      </text>
    </comment>
    <comment ref="M28" authorId="0" shapeId="0">
      <text>
        <r>
          <rPr>
            <sz val="9"/>
            <color indexed="81"/>
            <rFont val="Tahoma"/>
            <family val="2"/>
          </rPr>
          <t>DataPointVID 409707_x000D_
DataPointID 409707_x000D_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t>
        </r>
      </text>
    </comment>
    <comment ref="N28" authorId="0" shapeId="0">
      <text>
        <r>
          <rPr>
            <sz val="9"/>
            <color indexed="81"/>
            <rFont val="Tahoma"/>
            <family val="2"/>
          </rPr>
          <t>DataPointVID 409708_x000D_
DataPointID 409708_x000D_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month_x000D_
Related parties/Relationships  =  Intra-group</t>
        </r>
      </text>
    </comment>
    <comment ref="O28" authorId="0" shapeId="0">
      <text>
        <r>
          <rPr>
            <sz val="9"/>
            <color indexed="81"/>
            <rFont val="Tahoma"/>
            <family val="2"/>
          </rPr>
          <t>DataPointVID 409709_x000D_
DataPointID 409709_x000D_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&lt;= 1 month_x000D_
Related parties/Relationships  =  Non intra-group_x000D_
Governed by law of an EU Member State  =  False</t>
        </r>
      </text>
    </comment>
    <comment ref="C29" authorId="0" shapeId="0">
      <text>
        <r>
          <rPr>
            <sz val="9"/>
            <color indexed="81"/>
            <rFont val="Tahoma"/>
            <family val="2"/>
          </rPr>
          <t>Metric  =  Carrying amount [mi]_x000D_
Base  =  Liabilities_x000D_
Main category  =  Deposits_x000D_
Residual maturity  =  &gt; 1 month &lt; 1 year_x000D_
Creditor / Insolvency ranking  =  Not preferential (BRRD)_x000D_
Instrument  =  Deposits other than covered deposits_x000D_
Exclusion from Bail-in  =  Not excluded from bail-in_x000D_
Eligibility for MREL  =  Non-eligible</t>
        </r>
      </text>
    </comment>
    <comment ref="D29" authorId="0" shapeId="0">
      <text>
        <r>
          <rPr>
            <sz val="9"/>
            <color indexed="81"/>
            <rFont val="Tahoma"/>
            <family val="2"/>
          </rPr>
          <t>DataPointVID 409678_x000D_
DataPointID 409678_x000D_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Eligibility for MREL  =  Non-eligible_x000D_
Residual maturity  =  &gt; 1 month &lt; 1 year</t>
        </r>
      </text>
    </comment>
    <comment ref="E29" authorId="0" shapeId="0">
      <text>
        <r>
          <rPr>
            <sz val="9"/>
            <color indexed="81"/>
            <rFont val="Tahoma"/>
            <family val="2"/>
          </rPr>
          <t>DataPointVID 409683_x000D_
DataPointID 409683_x000D_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Eligibility for MREL  =  Non-eligible_x000D_
Residual maturity  =  &gt; 1 month &lt; 1 year</t>
        </r>
      </text>
    </comment>
    <comment ref="F29" authorId="0" shapeId="0">
      <text>
        <r>
          <rPr>
            <sz val="9"/>
            <color indexed="81"/>
            <rFont val="Tahoma"/>
            <family val="2"/>
          </rPr>
          <t>DataPointVID 423035_x000D_
DataPointID 409688_x000D_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Eligibility for MREL  =  Non-eligible_x000D_
Residual maturity  =  &gt; 1 month &lt; 1 year</t>
        </r>
      </text>
    </comment>
    <comment ref="G29" authorId="0" shapeId="0">
      <text>
        <r>
          <rPr>
            <sz val="9"/>
            <color indexed="81"/>
            <rFont val="Tahoma"/>
            <family val="2"/>
          </rPr>
          <t>DataPointVID 409673_x000D_
DataPointID 409673_x000D_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Eligibility for MREL  =  Non-eligible_x000D_
Residual maturity  =  &gt; 1 month &lt; 1 year</t>
        </r>
      </text>
    </comment>
    <comment ref="H29" authorId="0" shapeId="0">
      <text>
        <r>
          <rPr>
            <sz val="9"/>
            <color indexed="81"/>
            <rFont val="Tahoma"/>
            <family val="2"/>
          </rPr>
          <t>DataPointVID 409698_x000D_
DataPointID 409698_x000D_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Eligibility for MREL  =  Non-eligible_x000D_
Residual maturity  =  &gt; 1 month &lt; 1 year</t>
        </r>
      </text>
    </comment>
    <comment ref="I29" authorId="0" shapeId="0">
      <text>
        <r>
          <rPr>
            <sz val="9"/>
            <color indexed="81"/>
            <rFont val="Tahoma"/>
            <family val="2"/>
          </rPr>
          <t>DataPointVID 409693_x000D_
DataPointID 409693_x000D_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Eligibility for MREL  =  Non-eligible_x000D_
Residual maturity  =  &gt; 1 month &lt; 1 year</t>
        </r>
      </text>
    </comment>
    <comment ref="J29" authorId="0" shapeId="0">
      <text>
        <r>
          <rPr>
            <sz val="9"/>
            <color indexed="81"/>
            <rFont val="Tahoma"/>
            <family val="2"/>
          </rPr>
          <t>DataPointVID 409703_x000D_
DataPointID 409703_x000D_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Eligibility for MREL  =  Non-eligible_x000D_
Residual maturity  =  &gt; 1 month &lt; 1 year</t>
        </r>
      </text>
    </comment>
    <comment ref="K29" authorId="0" shapeId="0">
      <text>
        <r>
          <rPr>
            <sz val="9"/>
            <color indexed="81"/>
            <rFont val="Tahoma"/>
            <family val="2"/>
          </rPr>
          <t>DataPointVID 409557_x000D_
DataPointID 409557_x000D_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L29" authorId="0" shapeId="0">
      <text>
        <r>
          <rPr>
            <sz val="9"/>
            <color indexed="81"/>
            <rFont val="Tahoma"/>
            <family val="2"/>
          </rPr>
          <t>DataPointVID 409505_x000D_
DataPointID 409505_x000D_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Eligibility for MREL  =  Non-eligible_x000D_
Residual maturity  =  &gt; 1 month &lt; 1 year</t>
        </r>
      </text>
    </comment>
    <comment ref="M29" authorId="0" shapeId="0">
      <text>
        <r>
          <rPr>
            <sz val="9"/>
            <color indexed="81"/>
            <rFont val="Tahoma"/>
            <family val="2"/>
          </rPr>
          <t>DataPointVID 409710_x000D_
DataPointID 409710_x000D_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t>
        </r>
      </text>
    </comment>
    <comment ref="N29" authorId="0" shapeId="0">
      <text>
        <r>
          <rPr>
            <sz val="9"/>
            <color indexed="81"/>
            <rFont val="Tahoma"/>
            <family val="2"/>
          </rPr>
          <t>DataPointVID 409711_x000D_
DataPointID 409711_x000D_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Intra-group</t>
        </r>
      </text>
    </comment>
    <comment ref="O29" authorId="0" shapeId="0">
      <text>
        <r>
          <rPr>
            <sz val="9"/>
            <color indexed="81"/>
            <rFont val="Tahoma"/>
            <family val="2"/>
          </rPr>
          <t>DataPointVID 409712_x000D_
DataPointID 409712_x000D_
Metric  =  Carrying amount [mi]_x000D_
Base  =  Liabilities_x000D_
Creditor / Insolvency ranking  =  Not preferential (BRRD)_x000D_
Instrument  =  Deposits other than covered deposits_x000D_
Exclusion from Bail-in  =  Not excluded from bail-in_x000D_
Main category  =  Deposits_x000D_
Eligibility for MREL  =  Non-eligible_x000D_
Residual maturity  =  &gt; 1 month &lt; 1 year_x000D_
Related parties/Relationships  =  Non intra-group_x000D_
Governed by law of an EU Member State  =  False</t>
        </r>
      </text>
    </comment>
    <comment ref="C30" authorId="0" shapeId="0">
      <text>
        <r>
          <rPr>
            <sz val="9"/>
            <color indexed="81"/>
            <rFont val="Tahoma"/>
            <family val="2"/>
          </rPr>
          <t>Metric  =  Carrying amount [mi]_x000D_
Base  =  Liabilities_x000D_
Main category  =  Deposits_x000D_
Residual maturity  =  &gt;= 1 year &lt; 2 years_x000D_
Creditor / Insolvency ranking  =  Not preferential (BRRD)_x000D_
Instrument  =  Deposits other than covered deposits_x000D_
Exclusion from Bail-in  =  Not excluded from bail-in</t>
        </r>
      </text>
    </comment>
    <comment ref="D30" authorId="0" shapeId="0">
      <text>
        <r>
          <rPr>
            <sz val="9"/>
            <color indexed="81"/>
            <rFont val="Tahoma"/>
            <family val="2"/>
          </rPr>
          <t>DataPointVID 409679_x000D_
DataPointID 409679_x000D_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Residual maturity  =  &gt;= 1 year &lt; 2 years</t>
        </r>
      </text>
    </comment>
    <comment ref="E30" authorId="0" shapeId="0">
      <text>
        <r>
          <rPr>
            <sz val="9"/>
            <color indexed="81"/>
            <rFont val="Tahoma"/>
            <family val="2"/>
          </rPr>
          <t>DataPointVID 409684_x000D_
DataPointID 409684_x000D_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Residual maturity  =  &gt;= 1 year &lt; 2 years</t>
        </r>
      </text>
    </comment>
    <comment ref="F30" authorId="0" shapeId="0">
      <text>
        <r>
          <rPr>
            <sz val="9"/>
            <color indexed="81"/>
            <rFont val="Tahoma"/>
            <family val="2"/>
          </rPr>
          <t>DataPointVID 423036_x000D_
DataPointID 409689_x000D_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Residual maturity  =  &gt;= 1 year &lt; 2 years</t>
        </r>
      </text>
    </comment>
    <comment ref="G30" authorId="0" shapeId="0">
      <text>
        <r>
          <rPr>
            <sz val="9"/>
            <color indexed="81"/>
            <rFont val="Tahoma"/>
            <family val="2"/>
          </rPr>
          <t>DataPointVID 409674_x000D_
DataPointID 409674_x000D_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Residual maturity  =  &gt;= 1 year &lt; 2 years</t>
        </r>
      </text>
    </comment>
    <comment ref="H30" authorId="0" shapeId="0">
      <text>
        <r>
          <rPr>
            <sz val="9"/>
            <color indexed="81"/>
            <rFont val="Tahoma"/>
            <family val="2"/>
          </rPr>
          <t>DataPointVID 409699_x000D_
DataPointID 409699_x000D_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Residual maturity  =  &gt;= 1 year &lt; 2 years</t>
        </r>
      </text>
    </comment>
    <comment ref="I30" authorId="0" shapeId="0">
      <text>
        <r>
          <rPr>
            <sz val="9"/>
            <color indexed="81"/>
            <rFont val="Tahoma"/>
            <family val="2"/>
          </rPr>
          <t>DataPointVID 409694_x000D_
DataPointID 409694_x000D_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Residual maturity  =  &gt;= 1 year &lt; 2 years</t>
        </r>
      </text>
    </comment>
    <comment ref="J30" authorId="0" shapeId="0">
      <text>
        <r>
          <rPr>
            <sz val="9"/>
            <color indexed="81"/>
            <rFont val="Tahoma"/>
            <family val="2"/>
          </rPr>
          <t>DataPointVID 409704_x000D_
DataPointID 409704_x000D_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Residual maturity  =  &gt;= 1 year &lt; 2 years</t>
        </r>
      </text>
    </comment>
    <comment ref="K30" authorId="0" shapeId="0">
      <text>
        <r>
          <rPr>
            <sz val="9"/>
            <color indexed="81"/>
            <rFont val="Tahoma"/>
            <family val="2"/>
          </rPr>
          <t>DataPointVID 409558_x000D_
DataPointID 409558_x000D_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1 year &lt; 2 years</t>
        </r>
      </text>
    </comment>
    <comment ref="L30" authorId="0" shapeId="0">
      <text>
        <r>
          <rPr>
            <sz val="9"/>
            <color indexed="81"/>
            <rFont val="Tahoma"/>
            <family val="2"/>
          </rPr>
          <t>DataPointVID 409506_x000D_
DataPointID 409506_x000D_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1 year &lt; 2 years</t>
        </r>
      </text>
    </comment>
    <comment ref="M30" authorId="0" shapeId="0">
      <text>
        <r>
          <rPr>
            <sz val="9"/>
            <color indexed="81"/>
            <rFont val="Tahoma"/>
            <family val="2"/>
          </rPr>
          <t>DataPointVID 409713_x000D_
DataPointID 409713_x000D_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t>
        </r>
      </text>
    </comment>
    <comment ref="N30" authorId="0" shapeId="0">
      <text>
        <r>
          <rPr>
            <sz val="9"/>
            <color indexed="81"/>
            <rFont val="Tahoma"/>
            <family val="2"/>
          </rPr>
          <t>DataPointVID 409714_x000D_
DataPointID 409714_x000D_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years_x000D_
Related parties/Relationships  =  Intra-group</t>
        </r>
      </text>
    </comment>
    <comment ref="O30" authorId="0" shapeId="0">
      <text>
        <r>
          <rPr>
            <sz val="9"/>
            <color indexed="81"/>
            <rFont val="Tahoma"/>
            <family val="2"/>
          </rPr>
          <t>DataPointVID 409715_x000D_
DataPointID 409715_x000D_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1 year &lt; 2 years_x000D_
Related parties/Relationships  =  Non intra-group_x000D_
Governed by law of an EU Member State  =  False</t>
        </r>
      </text>
    </comment>
    <comment ref="C31" authorId="0" shapeId="0">
      <text>
        <r>
          <rPr>
            <sz val="9"/>
            <color indexed="81"/>
            <rFont val="Tahoma"/>
            <family val="2"/>
          </rPr>
          <t>Metric  =  Carrying amount [mi]_x000D_
Base  =  Liabilities_x000D_
Main category  =  Deposits_x000D_
Residual maturity  =  &gt;= 2 years_x000D_
Creditor / Insolvency ranking  =  Not preferential (BRRD)_x000D_
Instrument  =  Deposits other than covered deposits_x000D_
Exclusion from Bail-in  =  Not excluded from bail-in</t>
        </r>
      </text>
    </comment>
    <comment ref="D31" authorId="0" shapeId="0">
      <text>
        <r>
          <rPr>
            <sz val="9"/>
            <color indexed="81"/>
            <rFont val="Tahoma"/>
            <family val="2"/>
          </rPr>
          <t>DataPointVID 409680_x000D_
DataPointID 409680_x000D_
Metric  =  Carrying amount [mi]_x000D_
Base  =  Liabilities_x000D_
Creditor / Insolvency ranking  =  Not preferential (BRRD)_x000D_
Counterparty sector  =  Households_x000D_
Instrument  =  Deposits other than covered deposits_x000D_
Exclusion from Bail-in  =  Not excluded from bail-in_x000D_
Main category  =  Deposits_x000D_
Residual maturity  =  &gt;= 2 years</t>
        </r>
      </text>
    </comment>
    <comment ref="E31" authorId="0" shapeId="0">
      <text>
        <r>
          <rPr>
            <sz val="9"/>
            <color indexed="81"/>
            <rFont val="Tahoma"/>
            <family val="2"/>
          </rPr>
          <t>DataPointVID 409685_x000D_
DataPointID 409685_x000D_
Metric  =  Carrying amount [mi]_x000D_
Base  =  Liabilities_x000D_
Creditor / Insolvency ranking  =  Not preferential (BRRD)_x000D_
Counterparty sector  =  Non-financial corporations_x000D_
Size of the counterparty  =  SME_x000D_
Instrument  =  Deposits other than covered deposits_x000D_
Exclusion from Bail-in  =  Not excluded from bail-in_x000D_
Main category  =  Deposits_x000D_
Residual maturity  =  &gt;= 2 years</t>
        </r>
      </text>
    </comment>
    <comment ref="F31" authorId="0" shapeId="0">
      <text>
        <r>
          <rPr>
            <sz val="9"/>
            <color indexed="81"/>
            <rFont val="Tahoma"/>
            <family val="2"/>
          </rPr>
          <t>DataPointVID 423037_x000D_
DataPointID 409690_x000D_
Metric  =  Carrying amount [mi]_x000D_
Base  =  Liabilities_x000D_
Creditor / Insolvency ranking  =  Not preferential (BRRD)_x000D_
Counterparty sector  =  Non-financial corporations_x000D_
Size of the counterparty  =  Counterparties other than SME_x000D_
Instrument  =  Deposits other than covered deposits_x000D_
Exclusion from Bail-in  =  Not excluded from bail-in_x000D_
Main category  =  Deposits_x000D_
Residual maturity  =  &gt;= 2 years</t>
        </r>
      </text>
    </comment>
    <comment ref="G31" authorId="0" shapeId="0">
      <text>
        <r>
          <rPr>
            <sz val="9"/>
            <color indexed="81"/>
            <rFont val="Tahoma"/>
            <family val="2"/>
          </rPr>
          <t>DataPointVID 409675_x000D_
DataPointID 409675_x000D_
Metric  =  Carrying amount [mi]_x000D_
Base  =  Liabilities_x000D_
Creditor / Insolvency ranking  =  Not preferential (BRRD)_x000D_
Counterparty sector  =  Credit institutions_x000D_
Instrument  =  Deposits other than covered deposits_x000D_
Exclusion from Bail-in  =  Not excluded from bail-in_x000D_
Main category  =  Deposits_x000D_
Residual maturity  =  &gt;= 2 years</t>
        </r>
      </text>
    </comment>
    <comment ref="H31" authorId="0" shapeId="0">
      <text>
        <r>
          <rPr>
            <sz val="9"/>
            <color indexed="81"/>
            <rFont val="Tahoma"/>
            <family val="2"/>
          </rPr>
          <t>DataPointVID 409700_x000D_
DataPointID 409700_x000D_
Metric  =  Carrying amount [mi]_x000D_
Base  =  Liabilities_x000D_
Creditor / Insolvency ranking  =  Not preferential (BRRD)_x000D_
Counterparty sector  =  Financial corporations other than credit institutions_x000D_
Instrument  =  Deposits other than covered deposits_x000D_
Exclusion from Bail-in  =  Not excluded from bail-in_x000D_
Main category  =  Deposits_x000D_
Residual maturity  =  &gt;= 2 years</t>
        </r>
      </text>
    </comment>
    <comment ref="I31" authorId="0" shapeId="0">
      <text>
        <r>
          <rPr>
            <sz val="9"/>
            <color indexed="81"/>
            <rFont val="Tahoma"/>
            <family val="2"/>
          </rPr>
          <t>DataPointVID 409695_x000D_
DataPointID 409695_x000D_
Metric  =  Carrying amount [mi]_x000D_
Base  =  Liabilities_x000D_
Creditor / Insolvency ranking  =  Not preferential (BRRD)_x000D_
Counterparty sector  =  Financial corporations other than credit institutions_x000D_
Counterparty nature 2  =  Insurance companies, pension funds_x000D_
Instrument  =  Deposits other than covered deposits_x000D_
Exclusion from Bail-in  =  Not excluded from bail-in_x000D_
Main category  =  Deposits_x000D_
Residual maturity  =  &gt;= 2 years</t>
        </r>
      </text>
    </comment>
    <comment ref="J31" authorId="0" shapeId="0">
      <text>
        <r>
          <rPr>
            <sz val="9"/>
            <color indexed="81"/>
            <rFont val="Tahoma"/>
            <family val="2"/>
          </rPr>
          <t>DataPointVID 409705_x000D_
DataPointID 409705_x000D_
Metric  =  Carrying amount [mi]_x000D_
Base  =  Liabilities_x000D_
Creditor / Insolvency ranking  =  Not preferential (BRRD)_x000D_
Counterparty sector  =  Central banks, general governments_x000D_
Instrument  =  Deposits other than covered deposits_x000D_
Exclusion from Bail-in  =  Not excluded from bail-in_x000D_
Main category  =  Deposits_x000D_
Residual maturity  =  &gt;= 2 years</t>
        </r>
      </text>
    </comment>
    <comment ref="K31" authorId="0" shapeId="0">
      <text>
        <r>
          <rPr>
            <sz val="9"/>
            <color indexed="81"/>
            <rFont val="Tahoma"/>
            <family val="2"/>
          </rPr>
          <t>DataPointVID 409559_x000D_
DataPointID 409559_x000D_
Metric  =  Carrying amount [mi]_x000D_
Base  =  Liabilities_x000D_
Instrument is listed on exchange  =  True_x000D_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2 years</t>
        </r>
      </text>
    </comment>
    <comment ref="L31" authorId="0" shapeId="0">
      <text>
        <r>
          <rPr>
            <sz val="9"/>
            <color indexed="81"/>
            <rFont val="Tahoma"/>
            <family val="2"/>
          </rPr>
          <t>DataPointVID 409507_x000D_
DataPointID 409507_x000D_
Metric  =  Carrying amount [mi]_x000D_
Base  =  Liabilities_x000D_
Instrument is listed on exchange  =  False_x000D_
Creditor / Insolvency ranking  =  Not preferential (BRRD)_x000D_
Counterparty sector  =  Unknown counterparty_x000D_
Instrument  =  Deposits other than covered deposits_x000D_
Exclusion from Bail-in  =  Not excluded from bail-in_x000D_
Main category  =  Deposits_x000D_
Residual maturity  =  &gt;= 2 years</t>
        </r>
      </text>
    </comment>
    <comment ref="M31" authorId="0" shapeId="0">
      <text>
        <r>
          <rPr>
            <sz val="9"/>
            <color indexed="81"/>
            <rFont val="Tahoma"/>
            <family val="2"/>
          </rPr>
          <t>DataPointVID 409716_x000D_
DataPointID 409716_x000D_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2 years</t>
        </r>
      </text>
    </comment>
    <comment ref="N31" authorId="0" shapeId="0">
      <text>
        <r>
          <rPr>
            <sz val="9"/>
            <color indexed="81"/>
            <rFont val="Tahoma"/>
            <family val="2"/>
          </rPr>
          <t>DataPointVID 409717_x000D_
DataPointID 409717_x000D_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2 years_x000D_
Related parties/Relationships  =  Intra-group</t>
        </r>
      </text>
    </comment>
    <comment ref="O31" authorId="0" shapeId="0">
      <text>
        <r>
          <rPr>
            <sz val="9"/>
            <color indexed="81"/>
            <rFont val="Tahoma"/>
            <family val="2"/>
          </rPr>
          <t>DataPointVID 409718_x000D_
DataPointID 409718_x000D_
Metric  =  Carrying amount [mi]_x000D_
Base  =  Liabilities_x000D_
Creditor / Insolvency ranking  =  Not preferential (BRRD)_x000D_
Instrument  =  Deposits other than covered deposits_x000D_
Exclusion from Bail-in  =  Not excluded from bail-in_x000D_
Main category  =  Deposits_x000D_
Residual maturity  =  &gt;= 2 years_x000D_
Related parties/Relationships  =  Non intra-group_x000D_
Governed by law of an EU Member State  =  False</t>
        </r>
      </text>
    </comment>
    <comment ref="C32" authorId="0" shapeId="0">
      <text>
        <r>
          <rPr>
            <sz val="9"/>
            <color indexed="81"/>
            <rFont val="Tahoma"/>
            <family val="2"/>
          </rPr>
          <t>Metric  =  Carrying amount [mi]_x000D_
Base  =  Liabilities_x000D_
Main category  =  Derivatives_x000D_
Exclusion from Bail-in  =  Not excluded from bail-in_x000D_
Eligibility for MREL  =  Non-eligible</t>
        </r>
      </text>
    </comment>
    <comment ref="D32" authorId="0" shapeId="0">
      <text>
        <r>
          <rPr>
            <sz val="9"/>
            <color indexed="81"/>
            <rFont val="Tahoma"/>
            <family val="2"/>
          </rPr>
          <t>{T 01.00.b, r0330, c 0011}=={Z 02.00, r0330, c 0010}_x000D_
DataPointVID 409924_x000D_
DataPointID 409924_x000D_
Metric  =  Carrying amount [mi]_x000D_
Base  =  Liabilities_x000D_
Counterparty sector  =  Households_x000D_
Exclusion from Bail-in  =  Not excluded from bail-in_x000D_
Main category  =  Derivatives_x000D_
Eligibility for MREL  =  Non-eligible</t>
        </r>
      </text>
    </comment>
    <comment ref="E32" authorId="0" shapeId="0">
      <text>
        <r>
          <rPr>
            <sz val="9"/>
            <color indexed="81"/>
            <rFont val="Tahoma"/>
            <family val="2"/>
          </rPr>
          <t>{T 01.00.b, r0330, c 0021}=={Z 02.00, r0330, c 0020}_x000D_
DataPointVID 409951_x000D_
DataPointID 409951_x000D_
Metric  =  Carrying amount [mi]_x000D_
Base  =  Liabilities_x000D_
Counterparty sector  =  Non-financial corporations_x000D_
Size of the counterparty  =  SME_x000D_
Exclusion from Bail-in  =  Not excluded from bail-in_x000D_
Main category  =  Derivatives_x000D_
Eligibility for MREL  =  Non-eligible</t>
        </r>
      </text>
    </comment>
    <comment ref="F32" authorId="0" shapeId="0">
      <text>
        <r>
          <rPr>
            <sz val="9"/>
            <color indexed="81"/>
            <rFont val="Tahoma"/>
            <family val="2"/>
          </rPr>
          <t>{T 01.00.b, r0330, c 0031}=={Z 02.00, r0330, c 0030}_x000D_
DataPointVID 423084_x000D_
DataPointID 409972_x000D_
Metric  =  Carrying amount [mi]_x000D_
Base  =  Liabilities_x000D_
Counterparty sector  =  Non-financial corporations_x000D_
Size of the counterparty  =  Counterparties other than SME_x000D_
Exclusion from Bail-in  =  Not excluded from bail-in_x000D_
Main category  =  Derivatives_x000D_
Eligibility for MREL  =  Non-eligible</t>
        </r>
      </text>
    </comment>
    <comment ref="G32" authorId="0" shapeId="0">
      <text>
        <r>
          <rPr>
            <sz val="9"/>
            <color indexed="81"/>
            <rFont val="Tahoma"/>
            <family val="2"/>
          </rPr>
          <t>{T 01.00.b, r0330, c 0041}=={Z 02.00, r0330, c 0040}_x000D_
DataPointVID 409899_x000D_
DataPointID 409899_x000D_
Metric  =  Carrying amount [mi]_x000D_
Base  =  Liabilities_x000D_
Counterparty sector  =  Credit institutions_x000D_
Exclusion from Bail-in  =  Not excluded from bail-in_x000D_
Main category  =  Derivatives_x000D_
Eligibility for MREL  =  Non-eligible</t>
        </r>
      </text>
    </comment>
    <comment ref="H32" authorId="0" shapeId="0">
      <text>
        <r>
          <rPr>
            <sz val="9"/>
            <color indexed="81"/>
            <rFont val="Tahoma"/>
            <family val="2"/>
          </rPr>
          <t>{T 01.00.b, r0330, c 0051}=={Z 02.00, r0330, c 0050}_x000D_
DataPointVID 410022_x000D_
DataPointID 410022_x000D_
Metric  =  Carrying amount [mi]_x000D_
Base  =  Liabilities_x000D_
Counterparty sector  =  Financial corporations other than credit institutions_x000D_
Exclusion from Bail-in  =  Not excluded from bail-in_x000D_
Main category  =  Derivatives_x000D_
Eligibility for MREL  =  Non-eligible</t>
        </r>
      </text>
    </comment>
    <comment ref="I32" authorId="0" shapeId="0">
      <text>
        <r>
          <rPr>
            <sz val="9"/>
            <color indexed="81"/>
            <rFont val="Tahoma"/>
            <family val="2"/>
          </rPr>
          <t>DataPointVID 409997_x000D_
DataPointID 409997_x000D_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Derivatives_x000D_
Eligibility for MREL  =  Non-eligible</t>
        </r>
      </text>
    </comment>
    <comment ref="J32" authorId="0" shapeId="0">
      <text>
        <r>
          <rPr>
            <sz val="9"/>
            <color indexed="81"/>
            <rFont val="Tahoma"/>
            <family val="2"/>
          </rPr>
          <t>{T 01.00.b, r0330, c 0081}=={Z 02.00, r0330, c 0060}_x000D_
DataPointVID 410046_x000D_
DataPointID 410046_x000D_
Metric  =  Carrying amount [mi]_x000D_
Base  =  Liabilities_x000D_
Counterparty sector  =  Central banks, general governments_x000D_
Exclusion from Bail-in  =  Not excluded from bail-in_x000D_
Main category  =  Derivatives_x000D_
Eligibility for MREL  =  Non-eligible</t>
        </r>
      </text>
    </comment>
    <comment ref="K32" authorId="0" shapeId="0">
      <text>
        <r>
          <rPr>
            <sz val="9"/>
            <color indexed="81"/>
            <rFont val="Tahoma"/>
            <family val="2"/>
          </rPr>
          <t>{T 01.00.b, r0330, c 0091}=={Z 02.00, r0330, c 0070}_x000D_
DataPointVID 409593_x000D_
DataPointID 409593_x000D_
Metric  =  Carrying amount [mi]_x000D_
Base  =  Liabilities_x000D_
Instrument is listed on exchange  =  True_x000D_
Counterparty sector  =  Unknown counterparty_x000D_
Exclusion from Bail-in  =  Not excluded from bail-in_x000D_
Main category  =  Derivatives_x000D_
Eligibility for MREL  =  Non-eligible</t>
        </r>
      </text>
    </comment>
    <comment ref="L32" authorId="0" shapeId="0">
      <text>
        <r>
          <rPr>
            <sz val="9"/>
            <color indexed="81"/>
            <rFont val="Tahoma"/>
            <family val="2"/>
          </rPr>
          <t>{T 01.00.b, r0330, c 0101}=={Z 02.00, r0330, c 0080}_x000D_
DataPointVID 409541_x000D_
DataPointID 409541_x000D_
Metric  =  Carrying amount [mi]_x000D_
Base  =  Liabilities_x000D_
Instrument is listed on exchange  =  False_x000D_
Counterparty sector  =  Unknown counterparty_x000D_
Exclusion from Bail-in  =  Not excluded from bail-in_x000D_
Main category  =  Derivatives_x000D_
Eligibility for MREL  =  Non-eligible</t>
        </r>
      </text>
    </comment>
    <comment ref="M32" authorId="0" shapeId="0">
      <text>
        <r>
          <rPr>
            <sz val="9"/>
            <color indexed="81"/>
            <rFont val="Tahoma"/>
            <family val="2"/>
          </rPr>
          <t>{T 01.00.b, r0330, c 0121}=={Z 02.00, r0330, c 0090}_x000D_
DataPointVID 410108_x000D_
DataPointID 410108_x000D_
Metric  =  Carrying amount [mi]_x000D_
Base  =  Liabilities_x000D_
Exclusion from Bail-in  =  Not excluded from bail-in_x000D_
Main category  =  Derivatives_x000D_
Eligibility for MREL  =  Non-eligible</t>
        </r>
      </text>
    </comment>
    <comment ref="N32" authorId="0" shapeId="0">
      <text>
        <r>
          <rPr>
            <sz val="9"/>
            <color indexed="81"/>
            <rFont val="Tahoma"/>
            <family val="2"/>
          </rPr>
          <t>{T 01.00.b, r0330, c 0131}=={Z 02.00, r0330, c 0100}_x000D_
DataPointVID 410109_x000D_
DataPointID 410109_x000D_
Metric  =  Carrying amount [mi]_x000D_
Base  =  Liabilities_x000D_
Exclusion from Bail-in  =  Not excluded from bail-in_x000D_
Main category  =  Derivatives_x000D_
Eligibility for MREL  =  Non-eligible_x000D_
Related parties/Relationships  =  Intra-group</t>
        </r>
      </text>
    </comment>
    <comment ref="O32" authorId="0" shapeId="0">
      <text>
        <r>
          <rPr>
            <sz val="9"/>
            <color indexed="81"/>
            <rFont val="Tahoma"/>
            <family val="2"/>
          </rPr>
          <t>{T 01.00.b, r0330, c 0141}=={Z 02.00, r0330, c 0110}_x000D_
DataPointVID 410110_x000D_
DataPointID 410110_x000D_
Metric  =  Carrying amount [mi]_x000D_
Base  =  Liabilities_x000D_
Exclusion from Bail-in  =  Not excluded from bail-in_x000D_
Main category  =  Derivatives_x000D_
Eligibility for MREL  =  Non-eligible_x000D_
Related parties/Relationships  =  Non intra-group_x000D_
Governed by law of an EU Member State  =  False</t>
        </r>
      </text>
    </comment>
    <comment ref="C33" authorId="0" shapeId="0">
      <text>
        <r>
          <rPr>
            <sz val="9"/>
            <color indexed="81"/>
            <rFont val="Tahoma"/>
            <family val="2"/>
          </rPr>
          <t>Metric  =  Carrying amount [mi]_x000D_
Base  =  Liabilities_x000D_
Main category  =  Deposits, Debt securities issued, Other financial liabilities_x000D_
Collateral status  =  Collateralised_x000D_
Exclusion from Bail-in  =  Not excluded from bail-in_x000D_
Collateralisation level  =  Amount exceeding the collateralised amount</t>
        </r>
      </text>
    </comment>
    <comment ref="D33" authorId="0" shapeId="0">
      <text>
        <r>
          <rPr>
            <sz val="9"/>
            <color indexed="81"/>
            <rFont val="Tahoma"/>
            <family val="2"/>
          </rPr>
          <t>DataPointVID 409828_x000D_
DataPointID 409828_x000D_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t>
        </r>
      </text>
    </comment>
    <comment ref="E33" authorId="0" shapeId="0">
      <text>
        <r>
          <rPr>
            <sz val="9"/>
            <color indexed="81"/>
            <rFont val="Tahoma"/>
            <family val="2"/>
          </rPr>
          <t>DataPointVID 409834_x000D_
DataPointID 409834_x000D_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t>
        </r>
      </text>
    </comment>
    <comment ref="F33" authorId="0" shapeId="0">
      <text>
        <r>
          <rPr>
            <sz val="9"/>
            <color indexed="81"/>
            <rFont val="Tahoma"/>
            <family val="2"/>
          </rPr>
          <t>DataPointVID 423049_x000D_
DataPointID 409840_x000D_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t>
        </r>
      </text>
    </comment>
    <comment ref="G33" authorId="0" shapeId="0">
      <text>
        <r>
          <rPr>
            <sz val="9"/>
            <color indexed="81"/>
            <rFont val="Tahoma"/>
            <family val="2"/>
          </rPr>
          <t>DataPointVID 409822_x000D_
DataPointID 409822_x000D_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t>
        </r>
      </text>
    </comment>
    <comment ref="H33" authorId="0" shapeId="0">
      <text>
        <r>
          <rPr>
            <sz val="9"/>
            <color indexed="81"/>
            <rFont val="Tahoma"/>
            <family val="2"/>
          </rPr>
          <t>DataPointVID 409852_x000D_
DataPointID 409852_x000D_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t>
        </r>
      </text>
    </comment>
    <comment ref="I33" authorId="0" shapeId="0">
      <text>
        <r>
          <rPr>
            <sz val="9"/>
            <color indexed="81"/>
            <rFont val="Tahoma"/>
            <family val="2"/>
          </rPr>
          <t>DataPointVID 409846_x000D_
DataPointID 409846_x000D_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t>
        </r>
      </text>
    </comment>
    <comment ref="J33" authorId="0" shapeId="0">
      <text>
        <r>
          <rPr>
            <sz val="9"/>
            <color indexed="81"/>
            <rFont val="Tahoma"/>
            <family val="2"/>
          </rPr>
          <t>DataPointVID 409858_x000D_
DataPointID 409858_x000D_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t>
        </r>
      </text>
    </comment>
    <comment ref="K33" authorId="0" shapeId="0">
      <text>
        <r>
          <rPr>
            <sz val="9"/>
            <color indexed="81"/>
            <rFont val="Tahoma"/>
            <family val="2"/>
          </rPr>
          <t>DataPointVID 409571_x000D_
DataPointID 409571_x000D_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t>
        </r>
      </text>
    </comment>
    <comment ref="L33" authorId="0" shapeId="0">
      <text>
        <r>
          <rPr>
            <sz val="9"/>
            <color indexed="81"/>
            <rFont val="Tahoma"/>
            <family val="2"/>
          </rPr>
          <t>DataPointVID 409519_x000D_
DataPointID 409519_x000D_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t>
        </r>
      </text>
    </comment>
    <comment ref="M33" authorId="0" shapeId="0">
      <text>
        <r>
          <rPr>
            <sz val="9"/>
            <color indexed="81"/>
            <rFont val="Tahoma"/>
            <family val="2"/>
          </rPr>
          <t>DataPointVID 409866_x000D_
DataPointID 409866_x000D_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t>
        </r>
      </text>
    </comment>
    <comment ref="N33" authorId="0" shapeId="0">
      <text>
        <r>
          <rPr>
            <sz val="9"/>
            <color indexed="81"/>
            <rFont val="Tahoma"/>
            <family val="2"/>
          </rPr>
          <t>DataPointVID 409879_x000D_
DataPointID 409879_x000D_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Related parties/Relationships  =  Intra-group</t>
        </r>
      </text>
    </comment>
    <comment ref="O33" authorId="0" shapeId="0">
      <text>
        <r>
          <rPr>
            <sz val="9"/>
            <color indexed="81"/>
            <rFont val="Tahoma"/>
            <family val="2"/>
          </rPr>
          <t>DataPointVID 409880_x000D_
DataPointID 409880_x000D_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Related parties/Relationships  =  Non intra-group_x000D_
Governed by law of an EU Member State  =  False</t>
        </r>
      </text>
    </comment>
    <comment ref="C34" authorId="0" shapeId="0">
      <text>
        <r>
          <rPr>
            <sz val="9"/>
            <color indexed="81"/>
            <rFont val="Tahoma"/>
            <family val="2"/>
          </rPr>
          <t>Metric  =  Carrying amount [mi]_x000D_
Base  =  Liabilities_x000D_
Main category  =  Deposits, Debt securities issued, Other financial liabilities_x000D_
Collateral status  =  Collateralised_x000D_
Residual maturity  =  &lt;= 1 month_x000D_
Exclusion from Bail-in  =  Not excluded from bail-in_x000D_
Eligibility for MREL  =  Non-eligible_x000D_
Collateralisation level  =  Amount exceeding the collateralised amount</t>
        </r>
      </text>
    </comment>
    <comment ref="D34" authorId="0" shapeId="0">
      <text>
        <r>
          <rPr>
            <sz val="9"/>
            <color indexed="81"/>
            <rFont val="Tahoma"/>
            <family val="2"/>
          </rPr>
          <t>DataPointVID 409829_x000D_
DataPointID 409829_x000D_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E34" authorId="0" shapeId="0">
      <text>
        <r>
          <rPr>
            <sz val="9"/>
            <color indexed="81"/>
            <rFont val="Tahoma"/>
            <family val="2"/>
          </rPr>
          <t>DataPointVID 409835_x000D_
DataPointID 409835_x000D_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F34" authorId="0" shapeId="0">
      <text>
        <r>
          <rPr>
            <sz val="9"/>
            <color indexed="81"/>
            <rFont val="Tahoma"/>
            <family val="2"/>
          </rPr>
          <t>DataPointVID 423050_x000D_
DataPointID 409841_x000D_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G34" authorId="0" shapeId="0">
      <text>
        <r>
          <rPr>
            <sz val="9"/>
            <color indexed="81"/>
            <rFont val="Tahoma"/>
            <family val="2"/>
          </rPr>
          <t>DataPointVID 409823_x000D_
DataPointID 409823_x000D_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H34" authorId="0" shapeId="0">
      <text>
        <r>
          <rPr>
            <sz val="9"/>
            <color indexed="81"/>
            <rFont val="Tahoma"/>
            <family val="2"/>
          </rPr>
          <t>DataPointVID 409853_x000D_
DataPointID 409853_x000D_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I34" authorId="0" shapeId="0">
      <text>
        <r>
          <rPr>
            <sz val="9"/>
            <color indexed="81"/>
            <rFont val="Tahoma"/>
            <family val="2"/>
          </rPr>
          <t>DataPointVID 409847_x000D_
DataPointID 409847_x000D_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J34" authorId="0" shapeId="0">
      <text>
        <r>
          <rPr>
            <sz val="9"/>
            <color indexed="81"/>
            <rFont val="Tahoma"/>
            <family val="2"/>
          </rPr>
          <t>DataPointVID 409859_x000D_
DataPointID 409859_x000D_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K34" authorId="0" shapeId="0">
      <text>
        <r>
          <rPr>
            <sz val="9"/>
            <color indexed="81"/>
            <rFont val="Tahoma"/>
            <family val="2"/>
          </rPr>
          <t>DataPointVID 409572_x000D_
DataPointID 409572_x000D_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L34" authorId="0" shapeId="0">
      <text>
        <r>
          <rPr>
            <sz val="9"/>
            <color indexed="81"/>
            <rFont val="Tahoma"/>
            <family val="2"/>
          </rPr>
          <t>DataPointVID 409520_x000D_
DataPointID 409520_x000D_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M34" authorId="0" shapeId="0">
      <text>
        <r>
          <rPr>
            <sz val="9"/>
            <color indexed="81"/>
            <rFont val="Tahoma"/>
            <family val="2"/>
          </rPr>
          <t>DataPointVID 409867_x000D_
DataPointID 409867_x000D_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t>
        </r>
      </text>
    </comment>
    <comment ref="N34" authorId="0" shapeId="0">
      <text>
        <r>
          <rPr>
            <sz val="9"/>
            <color indexed="81"/>
            <rFont val="Tahoma"/>
            <family val="2"/>
          </rPr>
          <t>DataPointVID 409868_x000D_
DataPointID 409868_x000D_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month_x000D_
Related parties/Relationships  =  Intra-group</t>
        </r>
      </text>
    </comment>
    <comment ref="O34" authorId="0" shapeId="0">
      <text>
        <r>
          <rPr>
            <sz val="9"/>
            <color indexed="81"/>
            <rFont val="Tahoma"/>
            <family val="2"/>
          </rPr>
          <t>DataPointVID 409869_x000D_
DataPointID 409869_x000D_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t>
        </r>
      </text>
    </comment>
    <comment ref="C35" authorId="0" shapeId="0">
      <text>
        <r>
          <rPr>
            <sz val="9"/>
            <color indexed="81"/>
            <rFont val="Tahoma"/>
            <family val="2"/>
          </rPr>
          <t>Metric  =  Carrying amount [mi]_x000D_
Base  =  Liabilities_x000D_
Main category  =  Deposits, Debt securities issued, Other financial liabilities_x000D_
Collateral status  =  Collateralised_x000D_
Residual maturity  =  &gt; 1 month &lt; 1 year_x000D_
Exclusion from Bail-in  =  Not excluded from bail-in_x000D_
Eligibility for MREL  =  Non-eligible_x000D_
Collateralisation level  =  Amount exceeding the collateralised amount</t>
        </r>
      </text>
    </comment>
    <comment ref="D35" authorId="0" shapeId="0">
      <text>
        <r>
          <rPr>
            <sz val="9"/>
            <color indexed="81"/>
            <rFont val="Tahoma"/>
            <family val="2"/>
          </rPr>
          <t>DataPointVID 409830_x000D_
DataPointID 409830_x000D_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E35" authorId="0" shapeId="0">
      <text>
        <r>
          <rPr>
            <sz val="9"/>
            <color indexed="81"/>
            <rFont val="Tahoma"/>
            <family val="2"/>
          </rPr>
          <t>DataPointVID 409836_x000D_
DataPointID 409836_x000D_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F35" authorId="0" shapeId="0">
      <text>
        <r>
          <rPr>
            <sz val="9"/>
            <color indexed="81"/>
            <rFont val="Tahoma"/>
            <family val="2"/>
          </rPr>
          <t>DataPointVID 423051_x000D_
DataPointID 409842_x000D_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G35" authorId="0" shapeId="0">
      <text>
        <r>
          <rPr>
            <sz val="9"/>
            <color indexed="81"/>
            <rFont val="Tahoma"/>
            <family val="2"/>
          </rPr>
          <t>DataPointVID 409824_x000D_
DataPointID 409824_x000D_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H35" authorId="0" shapeId="0">
      <text>
        <r>
          <rPr>
            <sz val="9"/>
            <color indexed="81"/>
            <rFont val="Tahoma"/>
            <family val="2"/>
          </rPr>
          <t>DataPointVID 409854_x000D_
DataPointID 409854_x000D_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I35" authorId="0" shapeId="0">
      <text>
        <r>
          <rPr>
            <sz val="9"/>
            <color indexed="81"/>
            <rFont val="Tahoma"/>
            <family val="2"/>
          </rPr>
          <t>DataPointVID 409848_x000D_
DataPointID 409848_x000D_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J35" authorId="0" shapeId="0">
      <text>
        <r>
          <rPr>
            <sz val="9"/>
            <color indexed="81"/>
            <rFont val="Tahoma"/>
            <family val="2"/>
          </rPr>
          <t>DataPointVID 409860_x000D_
DataPointID 409860_x000D_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K35" authorId="0" shapeId="0">
      <text>
        <r>
          <rPr>
            <sz val="9"/>
            <color indexed="81"/>
            <rFont val="Tahoma"/>
            <family val="2"/>
          </rPr>
          <t>DataPointVID 409573_x000D_
DataPointID 409573_x000D_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L35" authorId="0" shapeId="0">
      <text>
        <r>
          <rPr>
            <sz val="9"/>
            <color indexed="81"/>
            <rFont val="Tahoma"/>
            <family val="2"/>
          </rPr>
          <t>DataPointVID 409521_x000D_
DataPointID 409521_x000D_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M35" authorId="0" shapeId="0">
      <text>
        <r>
          <rPr>
            <sz val="9"/>
            <color indexed="81"/>
            <rFont val="Tahoma"/>
            <family val="2"/>
          </rPr>
          <t>DataPointVID 409870_x000D_
DataPointID 409870_x000D_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t>
        </r>
      </text>
    </comment>
    <comment ref="N35" authorId="0" shapeId="0">
      <text>
        <r>
          <rPr>
            <sz val="9"/>
            <color indexed="81"/>
            <rFont val="Tahoma"/>
            <family val="2"/>
          </rPr>
          <t>DataPointVID 409871_x000D_
DataPointID 409871_x000D_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year_x000D_
Related parties/Relationships  =  Intra-group</t>
        </r>
      </text>
    </comment>
    <comment ref="O35" authorId="0" shapeId="0">
      <text>
        <r>
          <rPr>
            <sz val="9"/>
            <color indexed="81"/>
            <rFont val="Tahoma"/>
            <family val="2"/>
          </rPr>
          <t>DataPointVID 409872_x000D_
DataPointID 409872_x000D_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t>
        </r>
      </text>
    </comment>
    <comment ref="C36" authorId="0" shapeId="0">
      <text>
        <r>
          <rPr>
            <sz val="9"/>
            <color indexed="81"/>
            <rFont val="Tahoma"/>
            <family val="2"/>
          </rPr>
          <t>Metric  =  Carrying amount [mi]_x000D_
Base  =  Liabilities_x000D_
Main category  =  Deposits, Debt securities issued, Other financial liabilities_x000D_
Collateral status  =  Collateralised_x000D_
Residual maturity  =  &gt;= 1 year &lt; 2 years_x000D_
Exclusion from Bail-in  =  Not excluded from bail-in_x000D_
Collateralisation level  =  Amount exceeding the collateralised amount</t>
        </r>
      </text>
    </comment>
    <comment ref="D36" authorId="0" shapeId="0">
      <text>
        <r>
          <rPr>
            <sz val="9"/>
            <color indexed="81"/>
            <rFont val="Tahoma"/>
            <family val="2"/>
          </rPr>
          <t>DataPointVID 409831_x000D_
DataPointID 409831_x000D_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E36" authorId="0" shapeId="0">
      <text>
        <r>
          <rPr>
            <sz val="9"/>
            <color indexed="81"/>
            <rFont val="Tahoma"/>
            <family val="2"/>
          </rPr>
          <t>DataPointVID 409837_x000D_
DataPointID 409837_x000D_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F36" authorId="0" shapeId="0">
      <text>
        <r>
          <rPr>
            <sz val="9"/>
            <color indexed="81"/>
            <rFont val="Tahoma"/>
            <family val="2"/>
          </rPr>
          <t>DataPointVID 423052_x000D_
DataPointID 409843_x000D_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G36" authorId="0" shapeId="0">
      <text>
        <r>
          <rPr>
            <sz val="9"/>
            <color indexed="81"/>
            <rFont val="Tahoma"/>
            <family val="2"/>
          </rPr>
          <t>DataPointVID 409825_x000D_
DataPointID 409825_x000D_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H36" authorId="0" shapeId="0">
      <text>
        <r>
          <rPr>
            <sz val="9"/>
            <color indexed="81"/>
            <rFont val="Tahoma"/>
            <family val="2"/>
          </rPr>
          <t>DataPointVID 409855_x000D_
DataPointID 409855_x000D_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I36" authorId="0" shapeId="0">
      <text>
        <r>
          <rPr>
            <sz val="9"/>
            <color indexed="81"/>
            <rFont val="Tahoma"/>
            <family val="2"/>
          </rPr>
          <t>DataPointVID 409849_x000D_
DataPointID 409849_x000D_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J36" authorId="0" shapeId="0">
      <text>
        <r>
          <rPr>
            <sz val="9"/>
            <color indexed="81"/>
            <rFont val="Tahoma"/>
            <family val="2"/>
          </rPr>
          <t>DataPointVID 409861_x000D_
DataPointID 409861_x000D_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K36" authorId="0" shapeId="0">
      <text>
        <r>
          <rPr>
            <sz val="9"/>
            <color indexed="81"/>
            <rFont val="Tahoma"/>
            <family val="2"/>
          </rPr>
          <t>DataPointVID 409574_x000D_
DataPointID 409574_x000D_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L36" authorId="0" shapeId="0">
      <text>
        <r>
          <rPr>
            <sz val="9"/>
            <color indexed="81"/>
            <rFont val="Tahoma"/>
            <family val="2"/>
          </rPr>
          <t>DataPointVID 409522_x000D_
DataPointID 409522_x000D_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M36" authorId="0" shapeId="0">
      <text>
        <r>
          <rPr>
            <sz val="9"/>
            <color indexed="81"/>
            <rFont val="Tahoma"/>
            <family val="2"/>
          </rPr>
          <t>DataPointVID 409873_x000D_
DataPointID 409873_x000D_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t>
        </r>
      </text>
    </comment>
    <comment ref="N36" authorId="0" shapeId="0">
      <text>
        <r>
          <rPr>
            <sz val="9"/>
            <color indexed="81"/>
            <rFont val="Tahoma"/>
            <family val="2"/>
          </rPr>
          <t>DataPointVID 409874_x000D_
DataPointID 409874_x000D_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years_x000D_
Related parties/Relationships  =  Intra-group</t>
        </r>
      </text>
    </comment>
    <comment ref="O36" authorId="0" shapeId="0">
      <text>
        <r>
          <rPr>
            <sz val="9"/>
            <color indexed="81"/>
            <rFont val="Tahoma"/>
            <family val="2"/>
          </rPr>
          <t>DataPointVID 409875_x000D_
DataPointID 409875_x000D_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t>
        </r>
      </text>
    </comment>
    <comment ref="C37" authorId="0" shapeId="0">
      <text>
        <r>
          <rPr>
            <sz val="9"/>
            <color indexed="81"/>
            <rFont val="Tahoma"/>
            <family val="2"/>
          </rPr>
          <t>Metric  =  Carrying amount [mi]_x000D_
Base  =  Liabilities_x000D_
Main category  =  Deposits, Debt securities issued, Other financial liabilities_x000D_
Collateral status  =  Collateralised_x000D_
Residual maturity  =  &gt;= 2 years_x000D_
Exclusion from Bail-in  =  Not excluded from bail-in_x000D_
Collateralisation level  =  Amount exceeding the collateralised amount</t>
        </r>
      </text>
    </comment>
    <comment ref="D37" authorId="0" shapeId="0">
      <text>
        <r>
          <rPr>
            <sz val="9"/>
            <color indexed="81"/>
            <rFont val="Tahoma"/>
            <family val="2"/>
          </rPr>
          <t>DataPointVID 409832_x000D_
DataPointID 409832_x000D_
Metric  =  Carrying amount [mi]_x000D_
Base  =  Liabilities_x000D_
Collateral status  =  Collateralised_x000D_
Counterparty sector  =  Households_x000D_
Collateralisation level  =  Amount exceeding the collateralised amount_x000D_
Exclusion from Bail-in  =  Not excluded from bail-in_x000D_
Main category  =  Deposits, Debt securities issued, Other financial liabilities_x000D_
Residual maturity  =  &gt;= 2 years</t>
        </r>
      </text>
    </comment>
    <comment ref="E37" authorId="0" shapeId="0">
      <text>
        <r>
          <rPr>
            <sz val="9"/>
            <color indexed="81"/>
            <rFont val="Tahoma"/>
            <family val="2"/>
          </rPr>
          <t>DataPointVID 409838_x000D_
DataPointID 409838_x000D_
Metric  =  Carrying amount [mi]_x000D_
Base  =  Liabilities_x000D_
Collateral status  =  Collateralised_x000D_
Counterparty sector  =  Non-financial corporations_x000D_
Size of the counterparty  =  SME_x000D_
Collateralisation level  =  Amount exceeding the collateralised amount_x000D_
Exclusion from Bail-in  =  Not excluded from bail-in_x000D_
Main category  =  Deposits, Debt securities issued, Other financial liabilities_x000D_
Residual maturity  =  &gt;= 2 years</t>
        </r>
      </text>
    </comment>
    <comment ref="F37" authorId="0" shapeId="0">
      <text>
        <r>
          <rPr>
            <sz val="9"/>
            <color indexed="81"/>
            <rFont val="Tahoma"/>
            <family val="2"/>
          </rPr>
          <t>DataPointVID 423053_x000D_
DataPointID 409844_x000D_
Metric  =  Carrying amount [mi]_x000D_
Base  =  Liabilities_x000D_
Collateral status  =  Collateralised_x000D_
Counterparty sector  =  Non-financial corporations_x000D_
Size of the counterparty  =  Counterparties other than SME_x000D_
Collateralisation level  =  Amount exceeding the collateralised amount_x000D_
Exclusion from Bail-in  =  Not excluded from bail-in_x000D_
Main category  =  Deposits, Debt securities issued, Other financial liabilities_x000D_
Residual maturity  =  &gt;= 2 years</t>
        </r>
      </text>
    </comment>
    <comment ref="G37" authorId="0" shapeId="0">
      <text>
        <r>
          <rPr>
            <sz val="9"/>
            <color indexed="81"/>
            <rFont val="Tahoma"/>
            <family val="2"/>
          </rPr>
          <t>DataPointVID 409826_x000D_
DataPointID 409826_x000D_
Metric  =  Carrying amount [mi]_x000D_
Base  =  Liabilities_x000D_
Collateral status  =  Collateralised_x000D_
Counterparty sector  =  Credit institutions_x000D_
Collateralisation level  =  Amount exceeding the collateralised amount_x000D_
Exclusion from Bail-in  =  Not excluded from bail-in_x000D_
Main category  =  Deposits, Debt securities issued, Other financial liabilities_x000D_
Residual maturity  =  &gt;= 2 years</t>
        </r>
      </text>
    </comment>
    <comment ref="H37" authorId="0" shapeId="0">
      <text>
        <r>
          <rPr>
            <sz val="9"/>
            <color indexed="81"/>
            <rFont val="Tahoma"/>
            <family val="2"/>
          </rPr>
          <t>DataPointVID 409856_x000D_
DataPointID 409856_x000D_
Metric  =  Carrying amount [mi]_x000D_
Base  =  Liabilities_x000D_
Collateral status  =  Collateralised_x000D_
Counterparty sector  =  Financial corporations other than credit institutions_x000D_
Collateralisation level  =  Amount exceeding the collateralised amount_x000D_
Exclusion from Bail-in  =  Not excluded from bail-in_x000D_
Main category  =  Deposits, Debt securities issued, Other financial liabilities_x000D_
Residual maturity  =  &gt;= 2 years</t>
        </r>
      </text>
    </comment>
    <comment ref="I37" authorId="0" shapeId="0">
      <text>
        <r>
          <rPr>
            <sz val="9"/>
            <color indexed="81"/>
            <rFont val="Tahoma"/>
            <family val="2"/>
          </rPr>
          <t>DataPointVID 409850_x000D_
DataPointID 409850_x000D_
Metric  =  Carrying amount [mi]_x000D_
Base  =  Liabilities_x000D_
Collateral status  =  Collateralised_x000D_
Counterparty sector  =  Financial corporations other than credit institutions_x000D_
Counterparty nature 2  =  Insurance companies, pension funds_x000D_
Collateralisation level  =  Amount exceeding the collateralised amount_x000D_
Exclusion from Bail-in  =  Not excluded from bail-in_x000D_
Main category  =  Deposits, Debt securities issued, Other financial liabilities_x000D_
Residual maturity  =  &gt;= 2 years</t>
        </r>
      </text>
    </comment>
    <comment ref="J37" authorId="0" shapeId="0">
      <text>
        <r>
          <rPr>
            <sz val="9"/>
            <color indexed="81"/>
            <rFont val="Tahoma"/>
            <family val="2"/>
          </rPr>
          <t>DataPointVID 409862_x000D_
DataPointID 409862_x000D_
Metric  =  Carrying amount [mi]_x000D_
Base  =  Liabilities_x000D_
Collateral status  =  Collateralised_x000D_
Counterparty sector  =  Central banks, general governments_x000D_
Collateralisation level  =  Amount exceeding the collateralised amount_x000D_
Exclusion from Bail-in  =  Not excluded from bail-in_x000D_
Main category  =  Deposits, Debt securities issued, Other financial liabilities_x000D_
Residual maturity  =  &gt;= 2 years</t>
        </r>
      </text>
    </comment>
    <comment ref="K37" authorId="0" shapeId="0">
      <text>
        <r>
          <rPr>
            <sz val="9"/>
            <color indexed="81"/>
            <rFont val="Tahoma"/>
            <family val="2"/>
          </rPr>
          <t>DataPointVID 409575_x000D_
DataPointID 409575_x000D_
Metric  =  Carrying amount [mi]_x000D_
Base  =  Liabilities_x000D_
Instrument is listed on exchange  =  True_x000D_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2 years</t>
        </r>
      </text>
    </comment>
    <comment ref="L37" authorId="0" shapeId="0">
      <text>
        <r>
          <rPr>
            <sz val="9"/>
            <color indexed="81"/>
            <rFont val="Tahoma"/>
            <family val="2"/>
          </rPr>
          <t>DataPointVID 409523_x000D_
DataPointID 409523_x000D_
Metric  =  Carrying amount [mi]_x000D_
Base  =  Liabilities_x000D_
Instrument is listed on exchange  =  False_x000D_
Collateral status  =  Collateralised_x000D_
Counterparty sector  =  Unknown counterparty_x000D_
Collateralisation level  =  Amount exceeding the collateralised amount_x000D_
Exclusion from Bail-in  =  Not excluded from bail-in_x000D_
Main category  =  Deposits, Debt securities issued, Other financial liabilities_x000D_
Residual maturity  =  &gt;= 2 years</t>
        </r>
      </text>
    </comment>
    <comment ref="M37" authorId="0" shapeId="0">
      <text>
        <r>
          <rPr>
            <sz val="9"/>
            <color indexed="81"/>
            <rFont val="Tahoma"/>
            <family val="2"/>
          </rPr>
          <t>DataPointVID 409876_x000D_
DataPointID 409876_x000D_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t>
        </r>
      </text>
    </comment>
    <comment ref="N37" authorId="0" shapeId="0">
      <text>
        <r>
          <rPr>
            <sz val="9"/>
            <color indexed="81"/>
            <rFont val="Tahoma"/>
            <family val="2"/>
          </rPr>
          <t>DataPointVID 409877_x000D_
DataPointID 409877_x000D_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years_x000D_
Related parties/Relationships  =  Intra-group</t>
        </r>
      </text>
    </comment>
    <comment ref="O37" authorId="0" shapeId="0">
      <text>
        <r>
          <rPr>
            <sz val="9"/>
            <color indexed="81"/>
            <rFont val="Tahoma"/>
            <family val="2"/>
          </rPr>
          <t>DataPointVID 409878_x000D_
DataPointID 409878_x000D_
Metric  =  Carrying amount [mi]_x000D_
Base  =  Liabilities_x000D_
Collateral status  =  Collateralised_x000D_
Collateralisation level  =  Amount exceeding the collateralised amount_x000D_
Exclusion from Bail-in  =  Not excluded from bail-in_x000D_
Main category  =  Deposits, Debt securities issued, Other financial liabilities_x000D_
Residual maturity  =  &gt;= 2 years_x000D_
Related parties/Relationships  =  Non intra-group_x000D_
Governed by law of an EU Member State  =  False</t>
        </r>
      </text>
    </comment>
    <comment ref="C38" authorId="0" shapeId="0">
      <text>
        <r>
          <rPr>
            <sz val="9"/>
            <color indexed="81"/>
            <rFont val="Tahoma"/>
            <family val="2"/>
          </rPr>
          <t>Metric  =  Carrying amount [mi]_x000D_
Base  =  Liabilities_x000D_
Main category  =  Debt securities_x000D_
Instrument  =  Structured notes_x000D_
Exclusion from Bail-in  =  Not excluded from bail-in</t>
        </r>
      </text>
    </comment>
    <comment ref="D38" authorId="0" shapeId="0">
      <text>
        <r>
          <rPr>
            <sz val="9"/>
            <color indexed="81"/>
            <rFont val="Tahoma"/>
            <family val="2"/>
          </rPr>
          <t>DataPointVID 409910_x000D_
DataPointID 409910_x000D_
Metric  =  Carrying amount [mi]_x000D_
Base  =  Liabilities_x000D_
Counterparty sector  =  Households_x000D_
Instrument  =  Structured notes_x000D_
Exclusion from Bail-in  =  Not excluded from bail-in_x000D_
Main category  =  Debt securities</t>
        </r>
      </text>
    </comment>
    <comment ref="E38" authorId="0" shapeId="0">
      <text>
        <r>
          <rPr>
            <sz val="9"/>
            <color indexed="81"/>
            <rFont val="Tahoma"/>
            <family val="2"/>
          </rPr>
          <t>DataPointVID 409937_x000D_
DataPointID 409937_x000D_
Metric  =  Carrying amount [mi]_x000D_
Base  =  Liabilities_x000D_
Counterparty sector  =  Non-financial corporations_x000D_
Size of the counterparty  =  SME_x000D_
Instrument  =  Structured notes_x000D_
Exclusion from Bail-in  =  Not excluded from bail-in_x000D_
Main category  =  Debt securities</t>
        </r>
      </text>
    </comment>
    <comment ref="F38" authorId="0" shapeId="0">
      <text>
        <r>
          <rPr>
            <sz val="9"/>
            <color indexed="81"/>
            <rFont val="Tahoma"/>
            <family val="2"/>
          </rPr>
          <t>DataPointVID 423070_x000D_
DataPointID 409958_x000D_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t>
        </r>
      </text>
    </comment>
    <comment ref="G38" authorId="0" shapeId="0">
      <text>
        <r>
          <rPr>
            <sz val="9"/>
            <color indexed="81"/>
            <rFont val="Tahoma"/>
            <family val="2"/>
          </rPr>
          <t>DataPointVID 409885_x000D_
DataPointID 409885_x000D_
Metric  =  Carrying amount [mi]_x000D_
Base  =  Liabilities_x000D_
Counterparty sector  =  Credit institutions_x000D_
Instrument  =  Structured notes_x000D_
Exclusion from Bail-in  =  Not excluded from bail-in_x000D_
Main category  =  Debt securities</t>
        </r>
      </text>
    </comment>
    <comment ref="H38" authorId="0" shapeId="0">
      <text>
        <r>
          <rPr>
            <sz val="9"/>
            <color indexed="81"/>
            <rFont val="Tahoma"/>
            <family val="2"/>
          </rPr>
          <t>DataPointVID 410008_x000D_
DataPointID 410008_x000D_
Metric  =  Carrying amount [mi]_x000D_
Base  =  Liabilities_x000D_
Counterparty sector  =  Financial corporations other than credit institutions_x000D_
Instrument  =  Structured notes_x000D_
Exclusion from Bail-in  =  Not excluded from bail-in_x000D_
Main category  =  Debt securities</t>
        </r>
      </text>
    </comment>
    <comment ref="I38" authorId="0" shapeId="0">
      <text>
        <r>
          <rPr>
            <sz val="9"/>
            <color indexed="81"/>
            <rFont val="Tahoma"/>
            <family val="2"/>
          </rPr>
          <t>DataPointVID 409983_x000D_
DataPointID 409983_x000D_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t>
        </r>
      </text>
    </comment>
    <comment ref="J38" authorId="0" shapeId="0">
      <text>
        <r>
          <rPr>
            <sz val="9"/>
            <color indexed="81"/>
            <rFont val="Tahoma"/>
            <family val="2"/>
          </rPr>
          <t>DataPointVID 410032_x000D_
DataPointID 410032_x000D_
Metric  =  Carrying amount [mi]_x000D_
Base  =  Liabilities_x000D_
Counterparty sector  =  Central banks, general governments_x000D_
Instrument  =  Structured notes_x000D_
Exclusion from Bail-in  =  Not excluded from bail-in_x000D_
Main category  =  Debt securities</t>
        </r>
      </text>
    </comment>
    <comment ref="K38" authorId="0" shapeId="0">
      <text>
        <r>
          <rPr>
            <sz val="9"/>
            <color indexed="81"/>
            <rFont val="Tahoma"/>
            <family val="2"/>
          </rPr>
          <t>DataPointVID 409579_x000D_
DataPointID 409579_x000D_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t>
        </r>
      </text>
    </comment>
    <comment ref="L38" authorId="0" shapeId="0">
      <text>
        <r>
          <rPr>
            <sz val="9"/>
            <color indexed="81"/>
            <rFont val="Tahoma"/>
            <family val="2"/>
          </rPr>
          <t>DataPointVID 409527_x000D_
DataPointID 409527_x000D_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t>
        </r>
      </text>
    </comment>
    <comment ref="M38" authorId="0" shapeId="0">
      <text>
        <r>
          <rPr>
            <sz val="9"/>
            <color indexed="81"/>
            <rFont val="Tahoma"/>
            <family val="2"/>
          </rPr>
          <t>DataPointVID 410066_x000D_
DataPointID 410066_x000D_
Metric  =  Carrying amount [mi]_x000D_
Base  =  Liabilities_x000D_
Instrument  =  Structured notes_x000D_
Exclusion from Bail-in  =  Not excluded from bail-in_x000D_
Main category  =  Debt securities</t>
        </r>
      </text>
    </comment>
    <comment ref="N38" authorId="0" shapeId="0">
      <text>
        <r>
          <rPr>
            <sz val="9"/>
            <color indexed="81"/>
            <rFont val="Tahoma"/>
            <family val="2"/>
          </rPr>
          <t>DataPointVID 410079_x000D_
DataPointID 410079_x000D_
Metric  =  Carrying amount [mi]_x000D_
Base  =  Liabilities_x000D_
Instrument  =  Structured notes_x000D_
Exclusion from Bail-in  =  Not excluded from bail-in_x000D_
Main category  =  Debt securities_x000D_
Related parties/Relationships  =  Intra-group</t>
        </r>
      </text>
    </comment>
    <comment ref="O38" authorId="0" shapeId="0">
      <text>
        <r>
          <rPr>
            <sz val="9"/>
            <color indexed="81"/>
            <rFont val="Tahoma"/>
            <family val="2"/>
          </rPr>
          <t>DataPointVID 410080_x000D_
DataPointID 410080_x000D_
Metric  =  Carrying amount [mi]_x000D_
Base  =  Liabilities_x000D_
Instrument  =  Structured notes_x000D_
Exclusion from Bail-in  =  Not excluded from bail-in_x000D_
Main category  =  Debt securities_x000D_
Related parties/Relationships  =  Non intra-group_x000D_
Governed by law of an EU Member State  =  False</t>
        </r>
      </text>
    </comment>
    <comment ref="C39" authorId="0" shapeId="0">
      <text>
        <r>
          <rPr>
            <sz val="9"/>
            <color indexed="81"/>
            <rFont val="Tahoma"/>
            <family val="2"/>
          </rPr>
          <t>Metric  =  Carrying amount [mi]_x000D_
Base  =  Liabilities_x000D_
Main category  =  Debt securities_x000D_
Residual maturity  =  &lt;= 1 month_x000D_
Instrument  =  Structured notes_x000D_
Exclusion from Bail-in  =  Not excluded from bail-in_x000D_
Eligibility for MREL  =  Non-eligible</t>
        </r>
      </text>
    </comment>
    <comment ref="D39" authorId="0" shapeId="0">
      <text>
        <r>
          <rPr>
            <sz val="9"/>
            <color indexed="81"/>
            <rFont val="Tahoma"/>
            <family val="2"/>
          </rPr>
          <t>DataPointVID 409911_x000D_
DataPointID 409911_x000D_
Metric  =  Carrying amount [mi]_x000D_
Base  =  Liabilities_x000D_
Counterparty sector  =  Households_x000D_
Instrument  =  Structured notes_x000D_
Exclusion from Bail-in  =  Not excluded from bail-in_x000D_
Main category  =  Debt securities_x000D_
Eligibility for MREL  =  Non-eligible_x000D_
Residual maturity  =  &lt;= 1 month</t>
        </r>
      </text>
    </comment>
    <comment ref="E39" authorId="0" shapeId="0">
      <text>
        <r>
          <rPr>
            <sz val="9"/>
            <color indexed="81"/>
            <rFont val="Tahoma"/>
            <family val="2"/>
          </rPr>
          <t>DataPointVID 409938_x000D_
DataPointID 409938_x000D_
Metric  =  Carrying amount [mi]_x000D_
Base  =  Liabilities_x000D_
Counterparty sector  =  Non-financial corporations_x000D_
Size of the counterparty  =  SME_x000D_
Instrument  =  Structured notes_x000D_
Exclusion from Bail-in  =  Not excluded from bail-in_x000D_
Main category  =  Debt securities_x000D_
Eligibility for MREL  =  Non-eligible_x000D_
Residual maturity  =  &lt;= 1 month</t>
        </r>
      </text>
    </comment>
    <comment ref="F39" authorId="0" shapeId="0">
      <text>
        <r>
          <rPr>
            <sz val="9"/>
            <color indexed="81"/>
            <rFont val="Tahoma"/>
            <family val="2"/>
          </rPr>
          <t>DataPointVID 423071_x000D_
DataPointID 409959_x000D_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Eligibility for MREL  =  Non-eligible_x000D_
Residual maturity  =  &lt;= 1 month</t>
        </r>
      </text>
    </comment>
    <comment ref="G39" authorId="0" shapeId="0">
      <text>
        <r>
          <rPr>
            <sz val="9"/>
            <color indexed="81"/>
            <rFont val="Tahoma"/>
            <family val="2"/>
          </rPr>
          <t>DataPointVID 409886_x000D_
DataPointID 409886_x000D_
Metric  =  Carrying amount [mi]_x000D_
Base  =  Liabilities_x000D_
Counterparty sector  =  Credit institutions_x000D_
Instrument  =  Structured notes_x000D_
Exclusion from Bail-in  =  Not excluded from bail-in_x000D_
Main category  =  Debt securities_x000D_
Eligibility for MREL  =  Non-eligible_x000D_
Residual maturity  =  &lt;= 1 month</t>
        </r>
      </text>
    </comment>
    <comment ref="H39" authorId="0" shapeId="0">
      <text>
        <r>
          <rPr>
            <sz val="9"/>
            <color indexed="81"/>
            <rFont val="Tahoma"/>
            <family val="2"/>
          </rPr>
          <t>DataPointVID 410009_x000D_
DataPointID 410009_x000D_
Metric  =  Carrying amount [mi]_x000D_
Base  =  Liabilities_x000D_
Counterparty sector  =  Financial corporations other than credit institutions_x000D_
Instrument  =  Structured notes_x000D_
Exclusion from Bail-in  =  Not excluded from bail-in_x000D_
Main category  =  Debt securities_x000D_
Eligibility for MREL  =  Non-eligible_x000D_
Residual maturity  =  &lt;= 1 month</t>
        </r>
      </text>
    </comment>
    <comment ref="I39" authorId="0" shapeId="0">
      <text>
        <r>
          <rPr>
            <sz val="9"/>
            <color indexed="81"/>
            <rFont val="Tahoma"/>
            <family val="2"/>
          </rPr>
          <t>DataPointVID 409984_x000D_
DataPointID 409984_x000D_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Eligibility for MREL  =  Non-eligible_x000D_
Residual maturity  =  &lt;= 1 month</t>
        </r>
      </text>
    </comment>
    <comment ref="J39" authorId="0" shapeId="0">
      <text>
        <r>
          <rPr>
            <sz val="9"/>
            <color indexed="81"/>
            <rFont val="Tahoma"/>
            <family val="2"/>
          </rPr>
          <t>DataPointVID 410033_x000D_
DataPointID 410033_x000D_
Metric  =  Carrying amount [mi]_x000D_
Base  =  Liabilities_x000D_
Counterparty sector  =  Central banks, general governments_x000D_
Instrument  =  Structured notes_x000D_
Exclusion from Bail-in  =  Not excluded from bail-in_x000D_
Main category  =  Debt securities_x000D_
Eligibility for MREL  =  Non-eligible_x000D_
Residual maturity  =  &lt;= 1 month</t>
        </r>
      </text>
    </comment>
    <comment ref="K39" authorId="0" shapeId="0">
      <text>
        <r>
          <rPr>
            <sz val="9"/>
            <color indexed="81"/>
            <rFont val="Tahoma"/>
            <family val="2"/>
          </rPr>
          <t>DataPointVID 409580_x000D_
DataPointID 409580_x000D_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securities_x000D_
Eligibility for MREL  =  Non-eligible_x000D_
Residual maturity  =  &lt;= 1 month</t>
        </r>
      </text>
    </comment>
    <comment ref="L39" authorId="0" shapeId="0">
      <text>
        <r>
          <rPr>
            <sz val="9"/>
            <color indexed="81"/>
            <rFont val="Tahoma"/>
            <family val="2"/>
          </rPr>
          <t>DataPointVID 409528_x000D_
DataPointID 409528_x000D_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securities_x000D_
Eligibility for MREL  =  Non-eligible_x000D_
Residual maturity  =  &lt;= 1 month</t>
        </r>
      </text>
    </comment>
    <comment ref="M39" authorId="0" shapeId="0">
      <text>
        <r>
          <rPr>
            <sz val="9"/>
            <color indexed="81"/>
            <rFont val="Tahoma"/>
            <family val="2"/>
          </rPr>
          <t>DataPointVID 410067_x000D_
DataPointID 410067_x000D_
Metric  =  Carrying amount [mi]_x000D_
Base  =  Liabilities_x000D_
Instrument  =  Structured notes_x000D_
Exclusion from Bail-in  =  Not excluded from bail-in_x000D_
Main category  =  Debt securities_x000D_
Eligibility for MREL  =  Non-eligible_x000D_
Residual maturity  =  &lt;= 1 month</t>
        </r>
      </text>
    </comment>
    <comment ref="N39" authorId="0" shapeId="0">
      <text>
        <r>
          <rPr>
            <sz val="9"/>
            <color indexed="81"/>
            <rFont val="Tahoma"/>
            <family val="2"/>
          </rPr>
          <t>DataPointVID 410068_x000D_
DataPointID 410068_x000D_
Metric  =  Carrying amount [mi]_x000D_
Base  =  Liabilities_x000D_
Instrument  =  Structured notes_x000D_
Exclusion from Bail-in  =  Not excluded from bail-in_x000D_
Main category  =  Debt securities_x000D_
Eligibility for MREL  =  Non-eligible_x000D_
Residual maturity  =  &lt;= 1 month_x000D_
Related parties/Relationships  =  Intra-group</t>
        </r>
      </text>
    </comment>
    <comment ref="O39" authorId="0" shapeId="0">
      <text>
        <r>
          <rPr>
            <sz val="9"/>
            <color indexed="81"/>
            <rFont val="Tahoma"/>
            <family val="2"/>
          </rPr>
          <t>DataPointVID 410069_x000D_
DataPointID 410069_x000D_
Metric  =  Carrying amount [mi]_x000D_
Base  =  Liabilities_x000D_
Instrument  =  Structured notes_x000D_
Exclusion from Bail-in  =  Not excluded from bail-in_x000D_
Main category  =  Debt securities_x000D_
Eligibility for MREL  =  Non-eligible_x000D_
Residual maturity  =  &lt;= 1 month_x000D_
Related parties/Relationships  =  Non intra-group_x000D_
Governed by law of an EU Member State  =  False</t>
        </r>
      </text>
    </comment>
    <comment ref="C40" authorId="0" shapeId="0">
      <text>
        <r>
          <rPr>
            <sz val="9"/>
            <color indexed="81"/>
            <rFont val="Tahoma"/>
            <family val="2"/>
          </rPr>
          <t>Metric  =  Carrying amount [mi]_x000D_
Base  =  Liabilities_x000D_
Main category  =  Debt securities_x000D_
Residual maturity  =  &gt; 1 month &lt; 1 year_x000D_
Instrument  =  Structured notes_x000D_
Exclusion from Bail-in  =  Not excluded from bail-in_x000D_
Eligibility for MREL  =  Non-eligible</t>
        </r>
      </text>
    </comment>
    <comment ref="D40" authorId="0" shapeId="0">
      <text>
        <r>
          <rPr>
            <sz val="9"/>
            <color indexed="81"/>
            <rFont val="Tahoma"/>
            <family val="2"/>
          </rPr>
          <t>DataPointVID 409912_x000D_
DataPointID 409912_x000D_
Metric  =  Carrying amount [mi]_x000D_
Base  =  Liabilities_x000D_
Counterparty sector  =  Households_x000D_
Instrument  =  Structured notes_x000D_
Exclusion from Bail-in  =  Not excluded from bail-in_x000D_
Main category  =  Debt securities_x000D_
Eligibility for MREL  =  Non-eligible_x000D_
Residual maturity  =  &gt; 1 month &lt; 1 year</t>
        </r>
      </text>
    </comment>
    <comment ref="E40" authorId="0" shapeId="0">
      <text>
        <r>
          <rPr>
            <sz val="9"/>
            <color indexed="81"/>
            <rFont val="Tahoma"/>
            <family val="2"/>
          </rPr>
          <t>DataPointVID 409939_x000D_
DataPointID 409939_x000D_
Metric  =  Carrying amount [mi]_x000D_
Base  =  Liabilities_x000D_
Counterparty sector  =  Non-financial corporations_x000D_
Size of the counterparty  =  SME_x000D_
Instrument  =  Structured notes_x000D_
Exclusion from Bail-in  =  Not excluded from bail-in_x000D_
Main category  =  Debt securities_x000D_
Eligibility for MREL  =  Non-eligible_x000D_
Residual maturity  =  &gt; 1 month &lt; 1 year</t>
        </r>
      </text>
    </comment>
    <comment ref="F40" authorId="0" shapeId="0">
      <text>
        <r>
          <rPr>
            <sz val="9"/>
            <color indexed="81"/>
            <rFont val="Tahoma"/>
            <family val="2"/>
          </rPr>
          <t>DataPointVID 423072_x000D_
DataPointID 409960_x000D_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Eligibility for MREL  =  Non-eligible_x000D_
Residual maturity  =  &gt; 1 month &lt; 1 year</t>
        </r>
      </text>
    </comment>
    <comment ref="G40" authorId="0" shapeId="0">
      <text>
        <r>
          <rPr>
            <sz val="9"/>
            <color indexed="81"/>
            <rFont val="Tahoma"/>
            <family val="2"/>
          </rPr>
          <t>DataPointVID 409887_x000D_
DataPointID 409887_x000D_
Metric  =  Carrying amount [mi]_x000D_
Base  =  Liabilities_x000D_
Counterparty sector  =  Credit institutions_x000D_
Instrument  =  Structured notes_x000D_
Exclusion from Bail-in  =  Not excluded from bail-in_x000D_
Main category  =  Debt securities_x000D_
Eligibility for MREL  =  Non-eligible_x000D_
Residual maturity  =  &gt; 1 month &lt; 1 year</t>
        </r>
      </text>
    </comment>
    <comment ref="H40" authorId="0" shapeId="0">
      <text>
        <r>
          <rPr>
            <sz val="9"/>
            <color indexed="81"/>
            <rFont val="Tahoma"/>
            <family val="2"/>
          </rPr>
          <t>DataPointVID 410010_x000D_
DataPointID 410010_x000D_
Metric  =  Carrying amount [mi]_x000D_
Base  =  Liabilities_x000D_
Counterparty sector  =  Financial corporations other than credit institutions_x000D_
Instrument  =  Structured notes_x000D_
Exclusion from Bail-in  =  Not excluded from bail-in_x000D_
Main category  =  Debt securities_x000D_
Eligibility for MREL  =  Non-eligible_x000D_
Residual maturity  =  &gt; 1 month &lt; 1 year</t>
        </r>
      </text>
    </comment>
    <comment ref="I40" authorId="0" shapeId="0">
      <text>
        <r>
          <rPr>
            <sz val="9"/>
            <color indexed="81"/>
            <rFont val="Tahoma"/>
            <family val="2"/>
          </rPr>
          <t>DataPointVID 409985_x000D_
DataPointID 409985_x000D_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Eligibility for MREL  =  Non-eligible_x000D_
Residual maturity  =  &gt; 1 month &lt; 1 year</t>
        </r>
      </text>
    </comment>
    <comment ref="J40" authorId="0" shapeId="0">
      <text>
        <r>
          <rPr>
            <sz val="9"/>
            <color indexed="81"/>
            <rFont val="Tahoma"/>
            <family val="2"/>
          </rPr>
          <t>DataPointVID 410034_x000D_
DataPointID 410034_x000D_
Metric  =  Carrying amount [mi]_x000D_
Base  =  Liabilities_x000D_
Counterparty sector  =  Central banks, general governments_x000D_
Instrument  =  Structured notes_x000D_
Exclusion from Bail-in  =  Not excluded from bail-in_x000D_
Main category  =  Debt securities_x000D_
Eligibility for MREL  =  Non-eligible_x000D_
Residual maturity  =  &gt; 1 month &lt; 1 year</t>
        </r>
      </text>
    </comment>
    <comment ref="K40" authorId="0" shapeId="0">
      <text>
        <r>
          <rPr>
            <sz val="9"/>
            <color indexed="81"/>
            <rFont val="Tahoma"/>
            <family val="2"/>
          </rPr>
          <t>DataPointVID 409581_x000D_
DataPointID 409581_x000D_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securities_x000D_
Eligibility for MREL  =  Non-eligible_x000D_
Residual maturity  =  &gt; 1 month &lt; 1 year</t>
        </r>
      </text>
    </comment>
    <comment ref="L40" authorId="0" shapeId="0">
      <text>
        <r>
          <rPr>
            <sz val="9"/>
            <color indexed="81"/>
            <rFont val="Tahoma"/>
            <family val="2"/>
          </rPr>
          <t>DataPointVID 409529_x000D_
DataPointID 409529_x000D_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securities_x000D_
Eligibility for MREL  =  Non-eligible_x000D_
Residual maturity  =  &gt; 1 month &lt; 1 year</t>
        </r>
      </text>
    </comment>
    <comment ref="M40" authorId="0" shapeId="0">
      <text>
        <r>
          <rPr>
            <sz val="9"/>
            <color indexed="81"/>
            <rFont val="Tahoma"/>
            <family val="2"/>
          </rPr>
          <t>DataPointVID 410070_x000D_
DataPointID 410070_x000D_
Metric  =  Carrying amount [mi]_x000D_
Base  =  Liabilities_x000D_
Instrument  =  Structured notes_x000D_
Exclusion from Bail-in  =  Not excluded from bail-in_x000D_
Main category  =  Debt securities_x000D_
Eligibility for MREL  =  Non-eligible_x000D_
Residual maturity  =  &gt; 1 month &lt; 1 year</t>
        </r>
      </text>
    </comment>
    <comment ref="N40" authorId="0" shapeId="0">
      <text>
        <r>
          <rPr>
            <sz val="9"/>
            <color indexed="81"/>
            <rFont val="Tahoma"/>
            <family val="2"/>
          </rPr>
          <t>DataPointVID 410071_x000D_
DataPointID 410071_x000D_
Metric  =  Carrying amount [mi]_x000D_
Base  =  Liabilities_x000D_
Instrument  =  Structured notes_x000D_
Exclusion from Bail-in  =  Not excluded from bail-in_x000D_
Main category  =  Debt securities_x000D_
Eligibility for MREL  =  Non-eligible_x000D_
Residual maturity  =  &gt; 1 month &lt; 1 year_x000D_
Related parties/Relationships  =  Intra-group</t>
        </r>
      </text>
    </comment>
    <comment ref="O40" authorId="0" shapeId="0">
      <text>
        <r>
          <rPr>
            <sz val="9"/>
            <color indexed="81"/>
            <rFont val="Tahoma"/>
            <family val="2"/>
          </rPr>
          <t>DataPointVID 410072_x000D_
DataPointID 410072_x000D_
Metric  =  Carrying amount [mi]_x000D_
Base  =  Liabilities_x000D_
Instrument  =  Structured notes_x000D_
Exclusion from Bail-in  =  Not excluded from bail-in_x000D_
Main category  =  Debt securities_x000D_
Eligibility for MREL  =  Non-eligible_x000D_
Residual maturity  =  &gt; 1 month &lt; 1 year_x000D_
Related parties/Relationships  =  Non intra-group_x000D_
Governed by law of an EU Member State  =  False</t>
        </r>
      </text>
    </comment>
    <comment ref="C41" authorId="0" shapeId="0">
      <text>
        <r>
          <rPr>
            <sz val="9"/>
            <color indexed="81"/>
            <rFont val="Tahoma"/>
            <family val="2"/>
          </rPr>
          <t>Metric  =  Carrying amount [mi]_x000D_
Base  =  Liabilities_x000D_
Main category  =  Debt securities_x000D_
Residual maturity  =  &gt;= 1 year &lt; 2 years_x000D_
Instrument  =  Structured notes_x000D_
Exclusion from Bail-in  =  Not excluded from bail-in</t>
        </r>
      </text>
    </comment>
    <comment ref="D41" authorId="0" shapeId="0">
      <text>
        <r>
          <rPr>
            <sz val="9"/>
            <color indexed="81"/>
            <rFont val="Tahoma"/>
            <family val="2"/>
          </rPr>
          <t>DataPointVID 409913_x000D_
DataPointID 409913_x000D_
Metric  =  Carrying amount [mi]_x000D_
Base  =  Liabilities_x000D_
Counterparty sector  =  Households_x000D_
Instrument  =  Structured notes_x000D_
Exclusion from Bail-in  =  Not excluded from bail-in_x000D_
Main category  =  Debt securities_x000D_
Residual maturity  =  &gt;= 1 year &lt; 2 years</t>
        </r>
      </text>
    </comment>
    <comment ref="E41" authorId="0" shapeId="0">
      <text>
        <r>
          <rPr>
            <sz val="9"/>
            <color indexed="81"/>
            <rFont val="Tahoma"/>
            <family val="2"/>
          </rPr>
          <t>DataPointVID 409940_x000D_
DataPointID 409940_x000D_
Metric  =  Carrying amount [mi]_x000D_
Base  =  Liabilities_x000D_
Counterparty sector  =  Non-financial corporations_x000D_
Size of the counterparty  =  SME_x000D_
Instrument  =  Structured notes_x000D_
Exclusion from Bail-in  =  Not excluded from bail-in_x000D_
Main category  =  Debt securities_x000D_
Residual maturity  =  &gt;= 1 year &lt; 2 years</t>
        </r>
      </text>
    </comment>
    <comment ref="F41" authorId="0" shapeId="0">
      <text>
        <r>
          <rPr>
            <sz val="9"/>
            <color indexed="81"/>
            <rFont val="Tahoma"/>
            <family val="2"/>
          </rPr>
          <t>DataPointVID 423073_x000D_
DataPointID 409961_x000D_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Residual maturity  =  &gt;= 1 year &lt; 2 years</t>
        </r>
      </text>
    </comment>
    <comment ref="G41" authorId="0" shapeId="0">
      <text>
        <r>
          <rPr>
            <sz val="9"/>
            <color indexed="81"/>
            <rFont val="Tahoma"/>
            <family val="2"/>
          </rPr>
          <t>DataPointVID 409888_x000D_
DataPointID 409888_x000D_
Metric  =  Carrying amount [mi]_x000D_
Base  =  Liabilities_x000D_
Counterparty sector  =  Credit institutions_x000D_
Instrument  =  Structured notes_x000D_
Exclusion from Bail-in  =  Not excluded from bail-in_x000D_
Main category  =  Debt securities_x000D_
Residual maturity  =  &gt;= 1 year &lt; 2 years</t>
        </r>
      </text>
    </comment>
    <comment ref="H41" authorId="0" shapeId="0">
      <text>
        <r>
          <rPr>
            <sz val="9"/>
            <color indexed="81"/>
            <rFont val="Tahoma"/>
            <family val="2"/>
          </rPr>
          <t>DataPointVID 410011_x000D_
DataPointID 410011_x000D_
Metric  =  Carrying amount [mi]_x000D_
Base  =  Liabilities_x000D_
Counterparty sector  =  Financial corporations other than credit institutions_x000D_
Instrument  =  Structured notes_x000D_
Exclusion from Bail-in  =  Not excluded from bail-in_x000D_
Main category  =  Debt securities_x000D_
Residual maturity  =  &gt;= 1 year &lt; 2 years</t>
        </r>
      </text>
    </comment>
    <comment ref="I41" authorId="0" shapeId="0">
      <text>
        <r>
          <rPr>
            <sz val="9"/>
            <color indexed="81"/>
            <rFont val="Tahoma"/>
            <family val="2"/>
          </rPr>
          <t>DataPointVID 409986_x000D_
DataPointID 409986_x000D_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Residual maturity  =  &gt;= 1 year &lt; 2 years</t>
        </r>
      </text>
    </comment>
    <comment ref="J41" authorId="0" shapeId="0">
      <text>
        <r>
          <rPr>
            <sz val="9"/>
            <color indexed="81"/>
            <rFont val="Tahoma"/>
            <family val="2"/>
          </rPr>
          <t>DataPointVID 410035_x000D_
DataPointID 410035_x000D_
Metric  =  Carrying amount [mi]_x000D_
Base  =  Liabilities_x000D_
Counterparty sector  =  Central banks, general governments_x000D_
Instrument  =  Structured notes_x000D_
Exclusion from Bail-in  =  Not excluded from bail-in_x000D_
Main category  =  Debt securities_x000D_
Residual maturity  =  &gt;= 1 year &lt; 2 years</t>
        </r>
      </text>
    </comment>
    <comment ref="K41" authorId="0" shapeId="0">
      <text>
        <r>
          <rPr>
            <sz val="9"/>
            <color indexed="81"/>
            <rFont val="Tahoma"/>
            <family val="2"/>
          </rPr>
          <t>DataPointVID 409582_x000D_
DataPointID 409582_x000D_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securities_x000D_
Residual maturity  =  &gt;= 1 year &lt; 2 years</t>
        </r>
      </text>
    </comment>
    <comment ref="L41" authorId="0" shapeId="0">
      <text>
        <r>
          <rPr>
            <sz val="9"/>
            <color indexed="81"/>
            <rFont val="Tahoma"/>
            <family val="2"/>
          </rPr>
          <t>DataPointVID 409530_x000D_
DataPointID 409530_x000D_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securities_x000D_
Residual maturity  =  &gt;= 1 year &lt; 2 years</t>
        </r>
      </text>
    </comment>
    <comment ref="M41" authorId="0" shapeId="0">
      <text>
        <r>
          <rPr>
            <sz val="9"/>
            <color indexed="81"/>
            <rFont val="Tahoma"/>
            <family val="2"/>
          </rPr>
          <t>DataPointVID 410073_x000D_
DataPointID 410073_x000D_
Metric  =  Carrying amount [mi]_x000D_
Base  =  Liabilities_x000D_
Instrument  =  Structured notes_x000D_
Exclusion from Bail-in  =  Not excluded from bail-in_x000D_
Main category  =  Debt securities_x000D_
Residual maturity  =  &gt;= 1 year &lt; 2 years</t>
        </r>
      </text>
    </comment>
    <comment ref="N41" authorId="0" shapeId="0">
      <text>
        <r>
          <rPr>
            <sz val="9"/>
            <color indexed="81"/>
            <rFont val="Tahoma"/>
            <family val="2"/>
          </rPr>
          <t>DataPointVID 410074_x000D_
DataPointID 410074_x000D_
Metric  =  Carrying amount [mi]_x000D_
Base  =  Liabilities_x000D_
Instrument  =  Structured notes_x000D_
Exclusion from Bail-in  =  Not excluded from bail-in_x000D_
Main category  =  Debt securities_x000D_
Residual maturity  =  &gt;= 1 year &lt; 2 years_x000D_
Related parties/Relationships  =  Intra-group</t>
        </r>
      </text>
    </comment>
    <comment ref="O41" authorId="0" shapeId="0">
      <text>
        <r>
          <rPr>
            <sz val="9"/>
            <color indexed="81"/>
            <rFont val="Tahoma"/>
            <family val="2"/>
          </rPr>
          <t>DataPointVID 410075_x000D_
DataPointID 410075_x000D_
Metric  =  Carrying amount [mi]_x000D_
Base  =  Liabilities_x000D_
Instrument  =  Structured notes_x000D_
Exclusion from Bail-in  =  Not excluded from bail-in_x000D_
Main category  =  Debt securities_x000D_
Residual maturity  =  &gt;= 1 year &lt; 2 years_x000D_
Related parties/Relationships  =  Non intra-group_x000D_
Governed by law of an EU Member State  =  False</t>
        </r>
      </text>
    </comment>
    <comment ref="C42" authorId="0" shapeId="0">
      <text>
        <r>
          <rPr>
            <sz val="9"/>
            <color indexed="81"/>
            <rFont val="Tahoma"/>
            <family val="2"/>
          </rPr>
          <t>Metric  =  Carrying amount [mi]_x000D_
Base  =  Liabilities_x000D_
Main category  =  Debt securities_x000D_
Residual maturity  =  &gt;= 2 years_x000D_
Instrument  =  Structured notes_x000D_
Exclusion from Bail-in  =  Not excluded from bail-in</t>
        </r>
      </text>
    </comment>
    <comment ref="D42" authorId="0" shapeId="0">
      <text>
        <r>
          <rPr>
            <sz val="9"/>
            <color indexed="81"/>
            <rFont val="Tahoma"/>
            <family val="2"/>
          </rPr>
          <t>DataPointVID 409914_x000D_
DataPointID 409914_x000D_
Metric  =  Carrying amount [mi]_x000D_
Base  =  Liabilities_x000D_
Counterparty sector  =  Households_x000D_
Instrument  =  Structured notes_x000D_
Exclusion from Bail-in  =  Not excluded from bail-in_x000D_
Main category  =  Debt securities_x000D_
Residual maturity  =  &gt;= 2 years</t>
        </r>
      </text>
    </comment>
    <comment ref="E42" authorId="0" shapeId="0">
      <text>
        <r>
          <rPr>
            <sz val="9"/>
            <color indexed="81"/>
            <rFont val="Tahoma"/>
            <family val="2"/>
          </rPr>
          <t>DataPointVID 409941_x000D_
DataPointID 409941_x000D_
Metric  =  Carrying amount [mi]_x000D_
Base  =  Liabilities_x000D_
Counterparty sector  =  Non-financial corporations_x000D_
Size of the counterparty  =  SME_x000D_
Instrument  =  Structured notes_x000D_
Exclusion from Bail-in  =  Not excluded from bail-in_x000D_
Main category  =  Debt securities_x000D_
Residual maturity  =  &gt;= 2 years</t>
        </r>
      </text>
    </comment>
    <comment ref="F42" authorId="0" shapeId="0">
      <text>
        <r>
          <rPr>
            <sz val="9"/>
            <color indexed="81"/>
            <rFont val="Tahoma"/>
            <family val="2"/>
          </rPr>
          <t>DataPointVID 423074_x000D_
DataPointID 409962_x000D_
Metric  =  Carrying amount [mi]_x000D_
Base  =  Liabilities_x000D_
Counterparty sector  =  Non-financial corporations_x000D_
Size of the counterparty  =  Counterparties other than SME_x000D_
Instrument  =  Structured notes_x000D_
Exclusion from Bail-in  =  Not excluded from bail-in_x000D_
Main category  =  Debt securities_x000D_
Residual maturity  =  &gt;= 2 years</t>
        </r>
      </text>
    </comment>
    <comment ref="G42" authorId="0" shapeId="0">
      <text>
        <r>
          <rPr>
            <sz val="9"/>
            <color indexed="81"/>
            <rFont val="Tahoma"/>
            <family val="2"/>
          </rPr>
          <t>DataPointVID 409889_x000D_
DataPointID 409889_x000D_
Metric  =  Carrying amount [mi]_x000D_
Base  =  Liabilities_x000D_
Counterparty sector  =  Credit institutions_x000D_
Instrument  =  Structured notes_x000D_
Exclusion from Bail-in  =  Not excluded from bail-in_x000D_
Main category  =  Debt securities_x000D_
Residual maturity  =  &gt;= 2 years</t>
        </r>
      </text>
    </comment>
    <comment ref="H42" authorId="0" shapeId="0">
      <text>
        <r>
          <rPr>
            <sz val="9"/>
            <color indexed="81"/>
            <rFont val="Tahoma"/>
            <family val="2"/>
          </rPr>
          <t>DataPointVID 410012_x000D_
DataPointID 410012_x000D_
Metric  =  Carrying amount [mi]_x000D_
Base  =  Liabilities_x000D_
Counterparty sector  =  Financial corporations other than credit institutions_x000D_
Instrument  =  Structured notes_x000D_
Exclusion from Bail-in  =  Not excluded from bail-in_x000D_
Main category  =  Debt securities_x000D_
Residual maturity  =  &gt;= 2 years</t>
        </r>
      </text>
    </comment>
    <comment ref="I42" authorId="0" shapeId="0">
      <text>
        <r>
          <rPr>
            <sz val="9"/>
            <color indexed="81"/>
            <rFont val="Tahoma"/>
            <family val="2"/>
          </rPr>
          <t>DataPointVID 409987_x000D_
DataPointID 409987_x000D_
Metric  =  Carrying amount [mi]_x000D_
Base  =  Liabilities_x000D_
Counterparty sector  =  Financial corporations other than credit institutions_x000D_
Counterparty nature 2  =  Insurance companies, pension funds_x000D_
Instrument  =  Structured notes_x000D_
Exclusion from Bail-in  =  Not excluded from bail-in_x000D_
Main category  =  Debt securities_x000D_
Residual maturity  =  &gt;= 2 years</t>
        </r>
      </text>
    </comment>
    <comment ref="J42" authorId="0" shapeId="0">
      <text>
        <r>
          <rPr>
            <sz val="9"/>
            <color indexed="81"/>
            <rFont val="Tahoma"/>
            <family val="2"/>
          </rPr>
          <t>DataPointVID 410036_x000D_
DataPointID 410036_x000D_
Metric  =  Carrying amount [mi]_x000D_
Base  =  Liabilities_x000D_
Counterparty sector  =  Central banks, general governments_x000D_
Instrument  =  Structured notes_x000D_
Exclusion from Bail-in  =  Not excluded from bail-in_x000D_
Main category  =  Debt securities_x000D_
Residual maturity  =  &gt;= 2 years</t>
        </r>
      </text>
    </comment>
    <comment ref="K42" authorId="0" shapeId="0">
      <text>
        <r>
          <rPr>
            <sz val="9"/>
            <color indexed="81"/>
            <rFont val="Tahoma"/>
            <family val="2"/>
          </rPr>
          <t>DataPointVID 409583_x000D_
DataPointID 409583_x000D_
Metric  =  Carrying amount [mi]_x000D_
Base  =  Liabilities_x000D_
Instrument is listed on exchange  =  True_x000D_
Counterparty sector  =  Unknown counterparty_x000D_
Instrument  =  Structured notes_x000D_
Exclusion from Bail-in  =  Not excluded from bail-in_x000D_
Main category  =  Debt securities_x000D_
Residual maturity  =  &gt;= 2 years</t>
        </r>
      </text>
    </comment>
    <comment ref="L42" authorId="0" shapeId="0">
      <text>
        <r>
          <rPr>
            <sz val="9"/>
            <color indexed="81"/>
            <rFont val="Tahoma"/>
            <family val="2"/>
          </rPr>
          <t>DataPointVID 409531_x000D_
DataPointID 409531_x000D_
Metric  =  Carrying amount [mi]_x000D_
Base  =  Liabilities_x000D_
Instrument is listed on exchange  =  False_x000D_
Counterparty sector  =  Unknown counterparty_x000D_
Instrument  =  Structured notes_x000D_
Exclusion from Bail-in  =  Not excluded from bail-in_x000D_
Main category  =  Debt securities_x000D_
Residual maturity  =  &gt;= 2 years</t>
        </r>
      </text>
    </comment>
    <comment ref="M42" authorId="0" shapeId="0">
      <text>
        <r>
          <rPr>
            <sz val="9"/>
            <color indexed="81"/>
            <rFont val="Tahoma"/>
            <family val="2"/>
          </rPr>
          <t>DataPointVID 410076_x000D_
DataPointID 410076_x000D_
Metric  =  Carrying amount [mi]_x000D_
Base  =  Liabilities_x000D_
Instrument  =  Structured notes_x000D_
Exclusion from Bail-in  =  Not excluded from bail-in_x000D_
Main category  =  Debt securities_x000D_
Residual maturity  =  &gt;= 2 years</t>
        </r>
      </text>
    </comment>
    <comment ref="N42" authorId="0" shapeId="0">
      <text>
        <r>
          <rPr>
            <sz val="9"/>
            <color indexed="81"/>
            <rFont val="Tahoma"/>
            <family val="2"/>
          </rPr>
          <t>DataPointVID 410077_x000D_
DataPointID 410077_x000D_
Metric  =  Carrying amount [mi]_x000D_
Base  =  Liabilities_x000D_
Instrument  =  Structured notes_x000D_
Exclusion from Bail-in  =  Not excluded from bail-in_x000D_
Main category  =  Debt securities_x000D_
Residual maturity  =  &gt;= 2 years_x000D_
Related parties/Relationships  =  Intra-group</t>
        </r>
      </text>
    </comment>
    <comment ref="O42" authorId="0" shapeId="0">
      <text>
        <r>
          <rPr>
            <sz val="9"/>
            <color indexed="81"/>
            <rFont val="Tahoma"/>
            <family val="2"/>
          </rPr>
          <t>DataPointVID 410078_x000D_
DataPointID 410078_x000D_
Metric  =  Carrying amount [mi]_x000D_
Base  =  Liabilities_x000D_
Instrument  =  Structured notes_x000D_
Exclusion from Bail-in  =  Not excluded from bail-in_x000D_
Main category  =  Debt securities_x000D_
Residual maturity  =  &gt;= 2 years_x000D_
Related parties/Relationships  =  Non intra-group_x000D_
Governed by law of an EU Member State  =  False</t>
        </r>
      </text>
    </comment>
    <comment ref="C43" authorId="0" shapeId="0">
      <text>
        <r>
          <rPr>
            <sz val="9"/>
            <color indexed="81"/>
            <rFont val="Tahoma"/>
            <family val="2"/>
          </rPr>
          <t>Metric  =  Carrying amount [mi]_x000D_
Base  =  Liabilities_x000D_
Main category  =  Deposits, Debt securities issued, Other financial liabilities_x000D_
Collateral status  =  Non collateralised_x000D_
Subordinated  =  Non subordinated_x000D_
Creditor / Insolvency ranking  =  Senior.Standard (BRRD)_x000D_
Exclusion from Bail-in  =  Not excluded from bail-in</t>
        </r>
      </text>
    </comment>
    <comment ref="D43" authorId="0" shapeId="0">
      <text>
        <r>
          <rPr>
            <sz val="9"/>
            <color indexed="81"/>
            <rFont val="Tahoma"/>
            <family val="2"/>
          </rPr>
          <t>DataPointVID 409730_x000D_
DataPointID 409730_x000D_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Subordinated  =  Non subordinated</t>
        </r>
      </text>
    </comment>
    <comment ref="E43" authorId="0" shapeId="0">
      <text>
        <r>
          <rPr>
            <sz val="9"/>
            <color indexed="81"/>
            <rFont val="Tahoma"/>
            <family val="2"/>
          </rPr>
          <t>DataPointVID 409735_x000D_
DataPointID 409735_x000D_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Subordinated  =  Non subordinated</t>
        </r>
      </text>
    </comment>
    <comment ref="F43" authorId="0" shapeId="0">
      <text>
        <r>
          <rPr>
            <sz val="9"/>
            <color indexed="81"/>
            <rFont val="Tahoma"/>
            <family val="2"/>
          </rPr>
          <t>DataPointVID 423042_x000D_
DataPointID 409740_x000D_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Subordinated  =  Non subordinated</t>
        </r>
      </text>
    </comment>
    <comment ref="G43" authorId="0" shapeId="0">
      <text>
        <r>
          <rPr>
            <sz val="9"/>
            <color indexed="81"/>
            <rFont val="Tahoma"/>
            <family val="2"/>
          </rPr>
          <t>DataPointVID 409725_x000D_
DataPointID 409725_x000D_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Subordinated  =  Non subordinated</t>
        </r>
      </text>
    </comment>
    <comment ref="H43" authorId="0" shapeId="0">
      <text>
        <r>
          <rPr>
            <sz val="9"/>
            <color indexed="81"/>
            <rFont val="Tahoma"/>
            <family val="2"/>
          </rPr>
          <t>DataPointVID 409750_x000D_
DataPointID 409750_x000D_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Subordinated  =  Non subordinated</t>
        </r>
      </text>
    </comment>
    <comment ref="I43" authorId="0" shapeId="0">
      <text>
        <r>
          <rPr>
            <sz val="9"/>
            <color indexed="81"/>
            <rFont val="Tahoma"/>
            <family val="2"/>
          </rPr>
          <t>DataPointVID 409745_x000D_
DataPointID 409745_x000D_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Subordinated  =  Non subordinated</t>
        </r>
      </text>
    </comment>
    <comment ref="J43" authorId="0" shapeId="0">
      <text>
        <r>
          <rPr>
            <sz val="9"/>
            <color indexed="81"/>
            <rFont val="Tahoma"/>
            <family val="2"/>
          </rPr>
          <t>DataPointVID 409755_x000D_
DataPointID 409755_x000D_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Subordinated  =  Non subordinated</t>
        </r>
      </text>
    </comment>
    <comment ref="K43" authorId="0" shapeId="0">
      <text>
        <r>
          <rPr>
            <sz val="9"/>
            <color indexed="81"/>
            <rFont val="Tahoma"/>
            <family val="2"/>
          </rPr>
          <t>DataPointVID 409564_x000D_
DataPointID 409564_x000D_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L43" authorId="0" shapeId="0">
      <text>
        <r>
          <rPr>
            <sz val="9"/>
            <color indexed="81"/>
            <rFont val="Tahoma"/>
            <family val="2"/>
          </rPr>
          <t>DataPointVID 409512_x000D_
DataPointID 409512_x000D_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M43" authorId="0" shapeId="0">
      <text>
        <r>
          <rPr>
            <sz val="9"/>
            <color indexed="81"/>
            <rFont val="Tahoma"/>
            <family val="2"/>
          </rPr>
          <t>DataPointVID 409770_x000D_
DataPointID 409770_x000D_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Subordinated  =  Non subordinated</t>
        </r>
      </text>
    </comment>
    <comment ref="N43" authorId="0" shapeId="0">
      <text>
        <r>
          <rPr>
            <sz val="9"/>
            <color indexed="81"/>
            <rFont val="Tahoma"/>
            <family val="2"/>
          </rPr>
          <t>DataPointVID 409768_x000D_
DataPointID 409768_x000D_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Related parties/Relationships  =  Intra-group_x000D_
Subordinated  =  Non subordinated</t>
        </r>
      </text>
    </comment>
    <comment ref="O43" authorId="0" shapeId="0">
      <text>
        <r>
          <rPr>
            <sz val="9"/>
            <color indexed="81"/>
            <rFont val="Tahoma"/>
            <family val="2"/>
          </rPr>
          <t>DataPointVID 409769_x000D_
DataPointID 409769_x000D_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Related parties/Relationships  =  Non intra-group_x000D_
Governed by law of an EU Member State  =  False_x000D_
Subordinated  =  Non subordinated</t>
        </r>
      </text>
    </comment>
    <comment ref="C44"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&lt;= 1 month_x000D_
Subordinated  =  Non subordinated_x000D_
Creditor / Insolvency ranking  =  Senior.Standard (BRRD)_x000D_
Exclusion from Bail-in  =  Not excluded from bail-in_x000D_
Eligibility for MREL  =  Non-eligible</t>
        </r>
      </text>
    </comment>
    <comment ref="D44" authorId="0" shapeId="0">
      <text>
        <r>
          <rPr>
            <sz val="9"/>
            <color indexed="81"/>
            <rFont val="Tahoma"/>
            <family val="2"/>
          </rPr>
          <t>DataPointVID 409726_x000D_
DataPointID 409726_x000D_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E44" authorId="0" shapeId="0">
      <text>
        <r>
          <rPr>
            <sz val="9"/>
            <color indexed="81"/>
            <rFont val="Tahoma"/>
            <family val="2"/>
          </rPr>
          <t>DataPointVID 409731_x000D_
DataPointID 409731_x000D_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F44" authorId="0" shapeId="0">
      <text>
        <r>
          <rPr>
            <sz val="9"/>
            <color indexed="81"/>
            <rFont val="Tahoma"/>
            <family val="2"/>
          </rPr>
          <t>DataPointVID 423038_x000D_
DataPointID 409736_x000D_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G44" authorId="0" shapeId="0">
      <text>
        <r>
          <rPr>
            <sz val="9"/>
            <color indexed="81"/>
            <rFont val="Tahoma"/>
            <family val="2"/>
          </rPr>
          <t>DataPointVID 409721_x000D_
DataPointID 409721_x000D_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H44" authorId="0" shapeId="0">
      <text>
        <r>
          <rPr>
            <sz val="9"/>
            <color indexed="81"/>
            <rFont val="Tahoma"/>
            <family val="2"/>
          </rPr>
          <t>DataPointVID 409746_x000D_
DataPointID 409746_x000D_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I44" authorId="0" shapeId="0">
      <text>
        <r>
          <rPr>
            <sz val="9"/>
            <color indexed="81"/>
            <rFont val="Tahoma"/>
            <family val="2"/>
          </rPr>
          <t>DataPointVID 409741_x000D_
DataPointID 409741_x000D_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J44" authorId="0" shapeId="0">
      <text>
        <r>
          <rPr>
            <sz val="9"/>
            <color indexed="81"/>
            <rFont val="Tahoma"/>
            <family val="2"/>
          </rPr>
          <t>DataPointVID 409751_x000D_
DataPointID 409751_x000D_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K44" authorId="0" shapeId="0">
      <text>
        <r>
          <rPr>
            <sz val="9"/>
            <color indexed="81"/>
            <rFont val="Tahoma"/>
            <family val="2"/>
          </rPr>
          <t>DataPointVID 409560_x000D_
DataPointID 409560_x000D_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L44" authorId="0" shapeId="0">
      <text>
        <r>
          <rPr>
            <sz val="9"/>
            <color indexed="81"/>
            <rFont val="Tahoma"/>
            <family val="2"/>
          </rPr>
          <t>DataPointVID 409508_x000D_
DataPointID 409508_x000D_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M44" authorId="0" shapeId="0">
      <text>
        <r>
          <rPr>
            <sz val="9"/>
            <color indexed="81"/>
            <rFont val="Tahoma"/>
            <family val="2"/>
          </rPr>
          <t>DataPointVID 409758_x000D_
DataPointID 409758_x000D_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N44" authorId="0" shapeId="0">
      <text>
        <r>
          <rPr>
            <sz val="9"/>
            <color indexed="81"/>
            <rFont val="Tahoma"/>
            <family val="2"/>
          </rPr>
          <t>DataPointVID 409756_x000D_
DataPointID 409756_x000D_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Intra-group_x000D_
Subordinated  =  Non subordinated</t>
        </r>
      </text>
    </comment>
    <comment ref="O44" authorId="0" shapeId="0">
      <text>
        <r>
          <rPr>
            <sz val="9"/>
            <color indexed="81"/>
            <rFont val="Tahoma"/>
            <family val="2"/>
          </rPr>
          <t>DataPointVID 409757_x000D_
DataPointID 409757_x000D_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False_x000D_
Subordinated  =  Non subordinated</t>
        </r>
      </text>
    </comment>
    <comment ref="C45"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1 month &lt; 1 year_x000D_
Subordinated  =  Non subordinated_x000D_
Creditor / Insolvency ranking  =  Senior.Standard (BRRD)_x000D_
Exclusion from Bail-in  =  Not excluded from bail-in_x000D_
Eligibility for MREL  =  Non-eligible</t>
        </r>
      </text>
    </comment>
    <comment ref="D45" authorId="0" shapeId="0">
      <text>
        <r>
          <rPr>
            <sz val="9"/>
            <color indexed="81"/>
            <rFont val="Tahoma"/>
            <family val="2"/>
          </rPr>
          <t>DataPointVID 409727_x000D_
DataPointID 409727_x000D_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E45" authorId="0" shapeId="0">
      <text>
        <r>
          <rPr>
            <sz val="9"/>
            <color indexed="81"/>
            <rFont val="Tahoma"/>
            <family val="2"/>
          </rPr>
          <t>DataPointVID 409732_x000D_
DataPointID 409732_x000D_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F45" authorId="0" shapeId="0">
      <text>
        <r>
          <rPr>
            <sz val="9"/>
            <color indexed="81"/>
            <rFont val="Tahoma"/>
            <family val="2"/>
          </rPr>
          <t>DataPointVID 423039_x000D_
DataPointID 409737_x000D_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G45" authorId="0" shapeId="0">
      <text>
        <r>
          <rPr>
            <sz val="9"/>
            <color indexed="81"/>
            <rFont val="Tahoma"/>
            <family val="2"/>
          </rPr>
          <t>DataPointVID 409722_x000D_
DataPointID 409722_x000D_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H45" authorId="0" shapeId="0">
      <text>
        <r>
          <rPr>
            <sz val="9"/>
            <color indexed="81"/>
            <rFont val="Tahoma"/>
            <family val="2"/>
          </rPr>
          <t>DataPointVID 409747_x000D_
DataPointID 409747_x000D_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I45" authorId="0" shapeId="0">
      <text>
        <r>
          <rPr>
            <sz val="9"/>
            <color indexed="81"/>
            <rFont val="Tahoma"/>
            <family val="2"/>
          </rPr>
          <t>DataPointVID 409742_x000D_
DataPointID 409742_x000D_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J45" authorId="0" shapeId="0">
      <text>
        <r>
          <rPr>
            <sz val="9"/>
            <color indexed="81"/>
            <rFont val="Tahoma"/>
            <family val="2"/>
          </rPr>
          <t>DataPointVID 409752_x000D_
DataPointID 409752_x000D_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K45" authorId="0" shapeId="0">
      <text>
        <r>
          <rPr>
            <sz val="9"/>
            <color indexed="81"/>
            <rFont val="Tahoma"/>
            <family val="2"/>
          </rPr>
          <t>DataPointVID 409561_x000D_
DataPointID 409561_x000D_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L45" authorId="0" shapeId="0">
      <text>
        <r>
          <rPr>
            <sz val="9"/>
            <color indexed="81"/>
            <rFont val="Tahoma"/>
            <family val="2"/>
          </rPr>
          <t>DataPointVID 409509_x000D_
DataPointID 409509_x000D_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M45" authorId="0" shapeId="0">
      <text>
        <r>
          <rPr>
            <sz val="9"/>
            <color indexed="81"/>
            <rFont val="Tahoma"/>
            <family val="2"/>
          </rPr>
          <t>DataPointVID 409761_x000D_
DataPointID 409761_x000D_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N45" authorId="0" shapeId="0">
      <text>
        <r>
          <rPr>
            <sz val="9"/>
            <color indexed="81"/>
            <rFont val="Tahoma"/>
            <family val="2"/>
          </rPr>
          <t>DataPointVID 409759_x000D_
DataPointID 409759_x000D_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Intra-group_x000D_
Subordinated  =  Non subordinated</t>
        </r>
      </text>
    </comment>
    <comment ref="O45" authorId="0" shapeId="0">
      <text>
        <r>
          <rPr>
            <sz val="9"/>
            <color indexed="81"/>
            <rFont val="Tahoma"/>
            <family val="2"/>
          </rPr>
          <t>DataPointVID 409760_x000D_
DataPointID 409760_x000D_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False_x000D_
Subordinated  =  Non subordinated</t>
        </r>
      </text>
    </comment>
    <comment ref="C46"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1 year &lt; 2 years_x000D_
Subordinated  =  Non subordinated_x000D_
Creditor / Insolvency ranking  =  Senior.Standard (BRRD)_x000D_
Exclusion from Bail-in  =  Not excluded from bail-in</t>
        </r>
      </text>
    </comment>
    <comment ref="D46" authorId="0" shapeId="0">
      <text>
        <r>
          <rPr>
            <sz val="9"/>
            <color indexed="81"/>
            <rFont val="Tahoma"/>
            <family val="2"/>
          </rPr>
          <t>DataPointVID 409728_x000D_
DataPointID 409728_x000D_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Residual maturity  =  &gt;= 1 year &lt; 2 years_x000D_
Subordinated  =  Non subordinated</t>
        </r>
      </text>
    </comment>
    <comment ref="E46" authorId="0" shapeId="0">
      <text>
        <r>
          <rPr>
            <sz val="9"/>
            <color indexed="81"/>
            <rFont val="Tahoma"/>
            <family val="2"/>
          </rPr>
          <t>DataPointVID 409733_x000D_
DataPointID 409733_x000D_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1 year &lt; 2 years_x000D_
Subordinated  =  Non subordinated</t>
        </r>
      </text>
    </comment>
    <comment ref="F46" authorId="0" shapeId="0">
      <text>
        <r>
          <rPr>
            <sz val="9"/>
            <color indexed="81"/>
            <rFont val="Tahoma"/>
            <family val="2"/>
          </rPr>
          <t>DataPointVID 423040_x000D_
DataPointID 409738_x000D_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1 year &lt; 2 years_x000D_
Subordinated  =  Non subordinated</t>
        </r>
      </text>
    </comment>
    <comment ref="G46" authorId="0" shapeId="0">
      <text>
        <r>
          <rPr>
            <sz val="9"/>
            <color indexed="81"/>
            <rFont val="Tahoma"/>
            <family val="2"/>
          </rPr>
          <t>DataPointVID 409723_x000D_
DataPointID 409723_x000D_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Residual maturity  =  &gt;= 1 year &lt; 2 years_x000D_
Subordinated  =  Non subordinated</t>
        </r>
      </text>
    </comment>
    <comment ref="H46" authorId="0" shapeId="0">
      <text>
        <r>
          <rPr>
            <sz val="9"/>
            <color indexed="81"/>
            <rFont val="Tahoma"/>
            <family val="2"/>
          </rPr>
          <t>DataPointVID 409748_x000D_
DataPointID 409748_x000D_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1 year &lt; 2 years_x000D_
Subordinated  =  Non subordinated</t>
        </r>
      </text>
    </comment>
    <comment ref="I46" authorId="0" shapeId="0">
      <text>
        <r>
          <rPr>
            <sz val="9"/>
            <color indexed="81"/>
            <rFont val="Tahoma"/>
            <family val="2"/>
          </rPr>
          <t>DataPointVID 409743_x000D_
DataPointID 409743_x000D_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1 year &lt; 2 years_x000D_
Subordinated  =  Non subordinated</t>
        </r>
      </text>
    </comment>
    <comment ref="J46" authorId="0" shapeId="0">
      <text>
        <r>
          <rPr>
            <sz val="9"/>
            <color indexed="81"/>
            <rFont val="Tahoma"/>
            <family val="2"/>
          </rPr>
          <t>DataPointVID 409753_x000D_
DataPointID 409753_x000D_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1 year &lt; 2 years_x000D_
Subordinated  =  Non subordinated</t>
        </r>
      </text>
    </comment>
    <comment ref="K46" authorId="0" shapeId="0">
      <text>
        <r>
          <rPr>
            <sz val="9"/>
            <color indexed="81"/>
            <rFont val="Tahoma"/>
            <family val="2"/>
          </rPr>
          <t>DataPointVID 409562_x000D_
DataPointID 409562_x000D_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L46" authorId="0" shapeId="0">
      <text>
        <r>
          <rPr>
            <sz val="9"/>
            <color indexed="81"/>
            <rFont val="Tahoma"/>
            <family val="2"/>
          </rPr>
          <t>DataPointVID 409510_x000D_
DataPointID 409510_x000D_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M46" authorId="0" shapeId="0">
      <text>
        <r>
          <rPr>
            <sz val="9"/>
            <color indexed="81"/>
            <rFont val="Tahoma"/>
            <family val="2"/>
          </rPr>
          <t>DataPointVID 409764_x000D_
DataPointID 409764_x000D_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Subordinated  =  Non subordinated</t>
        </r>
      </text>
    </comment>
    <comment ref="N46" authorId="0" shapeId="0">
      <text>
        <r>
          <rPr>
            <sz val="9"/>
            <color indexed="81"/>
            <rFont val="Tahoma"/>
            <family val="2"/>
          </rPr>
          <t>DataPointVID 409762_x000D_
DataPointID 409762_x000D_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Related parties/Relationships  =  Intra-group_x000D_
Subordinated  =  Non subordinated</t>
        </r>
      </text>
    </comment>
    <comment ref="O46" authorId="0" shapeId="0">
      <text>
        <r>
          <rPr>
            <sz val="9"/>
            <color indexed="81"/>
            <rFont val="Tahoma"/>
            <family val="2"/>
          </rPr>
          <t>DataPointVID 409763_x000D_
DataPointID 409763_x000D_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False_x000D_
Subordinated  =  Non subordinated</t>
        </r>
      </text>
    </comment>
    <comment ref="C47"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2 years_x000D_
Subordinated  =  Non subordinated_x000D_
Creditor / Insolvency ranking  =  Senior.Standard (BRRD)_x000D_
Exclusion from Bail-in  =  Not excluded from bail-in</t>
        </r>
      </text>
    </comment>
    <comment ref="D47" authorId="0" shapeId="0">
      <text>
        <r>
          <rPr>
            <sz val="9"/>
            <color indexed="81"/>
            <rFont val="Tahoma"/>
            <family val="2"/>
          </rPr>
          <t>DataPointVID 409729_x000D_
DataPointID 409729_x000D_
Metric  =  Carrying amount [mi]_x000D_
Base  =  Liabilities_x000D_
Creditor / Insolvency ranking  =  Senior.Standard (BRRD)_x000D_
Collateral status  =  Non collateralised_x000D_
Counterparty sector  =  Households_x000D_
Exclusion from Bail-in  =  Not excluded from bail-in_x000D_
Main category  =  Deposits, Debt securities issued, Other financial liabilities_x000D_
Residual maturity  =  &gt;= 2 years_x000D_
Subordinated  =  Non subordinated</t>
        </r>
      </text>
    </comment>
    <comment ref="E47" authorId="0" shapeId="0">
      <text>
        <r>
          <rPr>
            <sz val="9"/>
            <color indexed="81"/>
            <rFont val="Tahoma"/>
            <family val="2"/>
          </rPr>
          <t>DataPointVID 409734_x000D_
DataPointID 409734_x000D_
Metric  =  Carrying amount [mi]_x000D_
Base  =  Liabilities_x000D_
Creditor / Insolvency ranking  =  Senior.Standard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2 years_x000D_
Subordinated  =  Non subordinated</t>
        </r>
      </text>
    </comment>
    <comment ref="F47" authorId="0" shapeId="0">
      <text>
        <r>
          <rPr>
            <sz val="9"/>
            <color indexed="81"/>
            <rFont val="Tahoma"/>
            <family val="2"/>
          </rPr>
          <t>DataPointVID 423041_x000D_
DataPointID 409739_x000D_
Metric  =  Carrying amount [mi]_x000D_
Base  =  Liabilities_x000D_
Creditor / Insolvency ranking  =  Senior.Standard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2 years_x000D_
Subordinated  =  Non subordinated</t>
        </r>
      </text>
    </comment>
    <comment ref="G47" authorId="0" shapeId="0">
      <text>
        <r>
          <rPr>
            <sz val="9"/>
            <color indexed="81"/>
            <rFont val="Tahoma"/>
            <family val="2"/>
          </rPr>
          <t>DataPointVID 409724_x000D_
DataPointID 409724_x000D_
Metric  =  Carrying amount [mi]_x000D_
Base  =  Liabilities_x000D_
Creditor / Insolvency ranking  =  Senior.Standard (BRRD)_x000D_
Collateral status  =  Non collateralised_x000D_
Counterparty sector  =  Credit institutions_x000D_
Exclusion from Bail-in  =  Not excluded from bail-in_x000D_
Main category  =  Deposits, Debt securities issued, Other financial liabilities_x000D_
Residual maturity  =  &gt;= 2 years_x000D_
Subordinated  =  Non subordinated</t>
        </r>
      </text>
    </comment>
    <comment ref="H47" authorId="0" shapeId="0">
      <text>
        <r>
          <rPr>
            <sz val="9"/>
            <color indexed="81"/>
            <rFont val="Tahoma"/>
            <family val="2"/>
          </rPr>
          <t>DataPointVID 409749_x000D_
DataPointID 409749_x000D_
Metric  =  Carrying amount [mi]_x000D_
Base  =  Liabilities_x000D_
Creditor / Insolvency ranking  =  Senior.Standard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2 years_x000D_
Subordinated  =  Non subordinated</t>
        </r>
      </text>
    </comment>
    <comment ref="I47" authorId="0" shapeId="0">
      <text>
        <r>
          <rPr>
            <sz val="9"/>
            <color indexed="81"/>
            <rFont val="Tahoma"/>
            <family val="2"/>
          </rPr>
          <t>DataPointVID 409744_x000D_
DataPointID 409744_x000D_
Metric  =  Carrying amount [mi]_x000D_
Base  =  Liabilities_x000D_
Creditor / Insolvency ranking  =  Senior.Standard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2 years_x000D_
Subordinated  =  Non subordinated</t>
        </r>
      </text>
    </comment>
    <comment ref="J47" authorId="0" shapeId="0">
      <text>
        <r>
          <rPr>
            <sz val="9"/>
            <color indexed="81"/>
            <rFont val="Tahoma"/>
            <family val="2"/>
          </rPr>
          <t>DataPointVID 409754_x000D_
DataPointID 409754_x000D_
Metric  =  Carrying amount [mi]_x000D_
Base  =  Liabilities_x000D_
Creditor / Insolvency ranking  =  Senior.Standard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2 years_x000D_
Subordinated  =  Non subordinated</t>
        </r>
      </text>
    </comment>
    <comment ref="K47" authorId="0" shapeId="0">
      <text>
        <r>
          <rPr>
            <sz val="9"/>
            <color indexed="81"/>
            <rFont val="Tahoma"/>
            <family val="2"/>
          </rPr>
          <t>DataPointVID 409563_x000D_
DataPointID 409563_x000D_
Metric  =  Carrying amount [mi]_x000D_
Base  =  Liabilities_x000D_
Instrument is listed on exchange  =  True_x000D_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L47" authorId="0" shapeId="0">
      <text>
        <r>
          <rPr>
            <sz val="9"/>
            <color indexed="81"/>
            <rFont val="Tahoma"/>
            <family val="2"/>
          </rPr>
          <t>DataPointVID 409511_x000D_
DataPointID 409511_x000D_
Metric  =  Carrying amount [mi]_x000D_
Base  =  Liabilities_x000D_
Instrument is listed on exchange  =  False_x000D_
Creditor / Insolvency ranking  =  Senior.Standard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M47" authorId="0" shapeId="0">
      <text>
        <r>
          <rPr>
            <sz val="9"/>
            <color indexed="81"/>
            <rFont val="Tahoma"/>
            <family val="2"/>
          </rPr>
          <t>DataPointVID 409767_x000D_
DataPointID 409767_x000D_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Subordinated  =  Non subordinated</t>
        </r>
      </text>
    </comment>
    <comment ref="N47" authorId="0" shapeId="0">
      <text>
        <r>
          <rPr>
            <sz val="9"/>
            <color indexed="81"/>
            <rFont val="Tahoma"/>
            <family val="2"/>
          </rPr>
          <t>DataPointVID 409765_x000D_
DataPointID 409765_x000D_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Related parties/Relationships  =  Intra-group_x000D_
Subordinated  =  Non subordinated</t>
        </r>
      </text>
    </comment>
    <comment ref="O47" authorId="0" shapeId="0">
      <text>
        <r>
          <rPr>
            <sz val="9"/>
            <color indexed="81"/>
            <rFont val="Tahoma"/>
            <family val="2"/>
          </rPr>
          <t>DataPointVID 409766_x000D_
DataPointID 409766_x000D_
Metric  =  Carrying amount [mi]_x000D_
Base  =  Liabilities_x000D_
Creditor / Insolvency ranking  =  Senior.Standard (BRRD)_x000D_
Collateral status  =  Non collateralised_x000D_
Exclusion from Bail-in  =  Not excluded from bail-in_x000D_
Main category  =  Deposits, Debt securities issued, Other financial liabilities_x000D_
Residual maturity  =  &gt;= 2 years_x000D_
Related parties/Relationships  =  Non intra-group_x000D_
Governed by law of an EU Member State  =  False_x000D_
Subordinated  =  Non subordinated</t>
        </r>
      </text>
    </comment>
    <comment ref="C48" authorId="0" shapeId="0">
      <text>
        <r>
          <rPr>
            <sz val="9"/>
            <color indexed="81"/>
            <rFont val="Tahoma"/>
            <family val="2"/>
          </rPr>
          <t>Metric  =  Carrying amount [mi]_x000D_
Base  =  Liabilities_x000D_
Main category  =  Deposits, Debt securities issued, Other financial liabilities_x000D_
Collateral status  =  Non collateralised_x000D_
Subordinated  =  Non subordinated_x000D_
Creditor / Insolvency ranking  =  Senior.Non-preferred (BRRD)_x000D_
Exclusion from Bail-in  =  Not excluded from bail-in</t>
        </r>
      </text>
    </comment>
    <comment ref="D48" authorId="0" shapeId="0">
      <text>
        <r>
          <rPr>
            <sz val="9"/>
            <color indexed="81"/>
            <rFont val="Tahoma"/>
            <family val="2"/>
          </rPr>
          <t>DataPointVID 409780_x000D_
DataPointID 409780_x000D_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Subordinated  =  Non subordinated</t>
        </r>
      </text>
    </comment>
    <comment ref="E48" authorId="0" shapeId="0">
      <text>
        <r>
          <rPr>
            <sz val="9"/>
            <color indexed="81"/>
            <rFont val="Tahoma"/>
            <family val="2"/>
          </rPr>
          <t>DataPointVID 409785_x000D_
DataPointID 409785_x000D_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Subordinated  =  Non subordinated</t>
        </r>
      </text>
    </comment>
    <comment ref="F48" authorId="0" shapeId="0">
      <text>
        <r>
          <rPr>
            <sz val="9"/>
            <color indexed="81"/>
            <rFont val="Tahoma"/>
            <family val="2"/>
          </rPr>
          <t>DataPointVID 423047_x000D_
DataPointID 409790_x000D_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Subordinated  =  Non subordinated</t>
        </r>
      </text>
    </comment>
    <comment ref="G48" authorId="0" shapeId="0">
      <text>
        <r>
          <rPr>
            <sz val="9"/>
            <color indexed="81"/>
            <rFont val="Tahoma"/>
            <family val="2"/>
          </rPr>
          <t>DataPointVID 409775_x000D_
DataPointID 409775_x000D_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Subordinated  =  Non subordinated</t>
        </r>
      </text>
    </comment>
    <comment ref="H48" authorId="0" shapeId="0">
      <text>
        <r>
          <rPr>
            <sz val="9"/>
            <color indexed="81"/>
            <rFont val="Tahoma"/>
            <family val="2"/>
          </rPr>
          <t>DataPointVID 409800_x000D_
DataPointID 409800_x000D_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Subordinated  =  Non subordinated</t>
        </r>
      </text>
    </comment>
    <comment ref="I48" authorId="0" shapeId="0">
      <text>
        <r>
          <rPr>
            <sz val="9"/>
            <color indexed="81"/>
            <rFont val="Tahoma"/>
            <family val="2"/>
          </rPr>
          <t>DataPointVID 409795_x000D_
DataPointID 409795_x000D_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Subordinated  =  Non subordinated</t>
        </r>
      </text>
    </comment>
    <comment ref="J48" authorId="0" shapeId="0">
      <text>
        <r>
          <rPr>
            <sz val="9"/>
            <color indexed="81"/>
            <rFont val="Tahoma"/>
            <family val="2"/>
          </rPr>
          <t>DataPointVID 409805_x000D_
DataPointID 409805_x000D_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Subordinated  =  Non subordinated</t>
        </r>
      </text>
    </comment>
    <comment ref="K48" authorId="0" shapeId="0">
      <text>
        <r>
          <rPr>
            <sz val="9"/>
            <color indexed="81"/>
            <rFont val="Tahoma"/>
            <family val="2"/>
          </rPr>
          <t>DataPointVID 409569_x000D_
DataPointID 409569_x000D_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L48" authorId="0" shapeId="0">
      <text>
        <r>
          <rPr>
            <sz val="9"/>
            <color indexed="81"/>
            <rFont val="Tahoma"/>
            <family val="2"/>
          </rPr>
          <t>DataPointVID 409517_x000D_
DataPointID 409517_x000D_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Subordinated  =  Non subordinated</t>
        </r>
      </text>
    </comment>
    <comment ref="M48" authorId="0" shapeId="0">
      <text>
        <r>
          <rPr>
            <sz val="9"/>
            <color indexed="81"/>
            <rFont val="Tahoma"/>
            <family val="2"/>
          </rPr>
          <t>DataPointVID 409820_x000D_
DataPointID 409820_x000D_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Subordinated  =  Non subordinated</t>
        </r>
      </text>
    </comment>
    <comment ref="N48" authorId="0" shapeId="0">
      <text>
        <r>
          <rPr>
            <sz val="9"/>
            <color indexed="81"/>
            <rFont val="Tahoma"/>
            <family val="2"/>
          </rPr>
          <t>DataPointVID 409818_x000D_
DataPointID 409818_x000D_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Related parties/Relationships  =  Intra-group_x000D_
Subordinated  =  Non subordinated</t>
        </r>
      </text>
    </comment>
    <comment ref="O48" authorId="0" shapeId="0">
      <text>
        <r>
          <rPr>
            <sz val="9"/>
            <color indexed="81"/>
            <rFont val="Tahoma"/>
            <family val="2"/>
          </rPr>
          <t>DataPointVID 409819_x000D_
DataPointID 409819_x000D_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Related parties/Relationships  =  Non intra-group_x000D_
Governed by law of an EU Member State  =  False_x000D_
Subordinated  =  Non subordinated</t>
        </r>
      </text>
    </comment>
    <comment ref="C49"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&lt;= 1 month_x000D_
Subordinated  =  Non subordinated_x000D_
Creditor / Insolvency ranking  =  Senior.Non-preferred (BRRD)_x000D_
Exclusion from Bail-in  =  Not excluded from bail-in_x000D_
Eligibility for MREL  =  Non-eligible</t>
        </r>
      </text>
    </comment>
    <comment ref="D49" authorId="0" shapeId="0">
      <text>
        <r>
          <rPr>
            <sz val="9"/>
            <color indexed="81"/>
            <rFont val="Tahoma"/>
            <family val="2"/>
          </rPr>
          <t>DataPointVID 409776_x000D_
DataPointID 409776_x000D_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E49" authorId="0" shapeId="0">
      <text>
        <r>
          <rPr>
            <sz val="9"/>
            <color indexed="81"/>
            <rFont val="Tahoma"/>
            <family val="2"/>
          </rPr>
          <t>DataPointVID 409781_x000D_
DataPointID 409781_x000D_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F49" authorId="0" shapeId="0">
      <text>
        <r>
          <rPr>
            <sz val="9"/>
            <color indexed="81"/>
            <rFont val="Tahoma"/>
            <family val="2"/>
          </rPr>
          <t>DataPointVID 423043_x000D_
DataPointID 409786_x000D_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G49" authorId="0" shapeId="0">
      <text>
        <r>
          <rPr>
            <sz val="9"/>
            <color indexed="81"/>
            <rFont val="Tahoma"/>
            <family val="2"/>
          </rPr>
          <t>DataPointVID 409771_x000D_
DataPointID 409771_x000D_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H49" authorId="0" shapeId="0">
      <text>
        <r>
          <rPr>
            <sz val="9"/>
            <color indexed="81"/>
            <rFont val="Tahoma"/>
            <family val="2"/>
          </rPr>
          <t>DataPointVID 409796_x000D_
DataPointID 409796_x000D_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I49" authorId="0" shapeId="0">
      <text>
        <r>
          <rPr>
            <sz val="9"/>
            <color indexed="81"/>
            <rFont val="Tahoma"/>
            <family val="2"/>
          </rPr>
          <t>DataPointVID 409791_x000D_
DataPointID 409791_x000D_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J49" authorId="0" shapeId="0">
      <text>
        <r>
          <rPr>
            <sz val="9"/>
            <color indexed="81"/>
            <rFont val="Tahoma"/>
            <family val="2"/>
          </rPr>
          <t>DataPointVID 409801_x000D_
DataPointID 409801_x000D_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K49" authorId="0" shapeId="0">
      <text>
        <r>
          <rPr>
            <sz val="9"/>
            <color indexed="81"/>
            <rFont val="Tahoma"/>
            <family val="2"/>
          </rPr>
          <t>DataPointVID 409565_x000D_
DataPointID 409565_x000D_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L49" authorId="0" shapeId="0">
      <text>
        <r>
          <rPr>
            <sz val="9"/>
            <color indexed="81"/>
            <rFont val="Tahoma"/>
            <family val="2"/>
          </rPr>
          <t>DataPointVID 409513_x000D_
DataPointID 409513_x000D_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M49" authorId="0" shapeId="0">
      <text>
        <r>
          <rPr>
            <sz val="9"/>
            <color indexed="81"/>
            <rFont val="Tahoma"/>
            <family val="2"/>
          </rPr>
          <t>DataPointVID 409808_x000D_
DataPointID 409808_x000D_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Subordinated  =  Non subordinated</t>
        </r>
      </text>
    </comment>
    <comment ref="N49" authorId="0" shapeId="0">
      <text>
        <r>
          <rPr>
            <sz val="9"/>
            <color indexed="81"/>
            <rFont val="Tahoma"/>
            <family val="2"/>
          </rPr>
          <t>DataPointVID 409806_x000D_
DataPointID 409806_x000D_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Intra-group_x000D_
Subordinated  =  Non subordinated</t>
        </r>
      </text>
    </comment>
    <comment ref="O49" authorId="0" shapeId="0">
      <text>
        <r>
          <rPr>
            <sz val="9"/>
            <color indexed="81"/>
            <rFont val="Tahoma"/>
            <family val="2"/>
          </rPr>
          <t>DataPointVID 409807_x000D_
DataPointID 409807_x000D_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&lt;= 1 month_x000D_
Related parties/Relationships  =  Non intra-group_x000D_
Governed by law of an EU Member State  =  False_x000D_
Subordinated  =  Non subordinated</t>
        </r>
      </text>
    </comment>
    <comment ref="C50"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1 month &lt; 1 year_x000D_
Subordinated  =  Non subordinated_x000D_
Creditor / Insolvency ranking  =  Senior.Non-preferred (BRRD)_x000D_
Exclusion from Bail-in  =  Not excluded from bail-in_x000D_
Eligibility for MREL  =  Non-eligible</t>
        </r>
      </text>
    </comment>
    <comment ref="D50" authorId="0" shapeId="0">
      <text>
        <r>
          <rPr>
            <sz val="9"/>
            <color indexed="81"/>
            <rFont val="Tahoma"/>
            <family val="2"/>
          </rPr>
          <t>DataPointVID 409777_x000D_
DataPointID 409777_x000D_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E50" authorId="0" shapeId="0">
      <text>
        <r>
          <rPr>
            <sz val="9"/>
            <color indexed="81"/>
            <rFont val="Tahoma"/>
            <family val="2"/>
          </rPr>
          <t>DataPointVID 409782_x000D_
DataPointID 409782_x000D_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F50" authorId="0" shapeId="0">
      <text>
        <r>
          <rPr>
            <sz val="9"/>
            <color indexed="81"/>
            <rFont val="Tahoma"/>
            <family val="2"/>
          </rPr>
          <t>DataPointVID 423044_x000D_
DataPointID 409787_x000D_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G50" authorId="0" shapeId="0">
      <text>
        <r>
          <rPr>
            <sz val="9"/>
            <color indexed="81"/>
            <rFont val="Tahoma"/>
            <family val="2"/>
          </rPr>
          <t>DataPointVID 409772_x000D_
DataPointID 409772_x000D_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H50" authorId="0" shapeId="0">
      <text>
        <r>
          <rPr>
            <sz val="9"/>
            <color indexed="81"/>
            <rFont val="Tahoma"/>
            <family val="2"/>
          </rPr>
          <t>DataPointVID 409797_x000D_
DataPointID 409797_x000D_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I50" authorId="0" shapeId="0">
      <text>
        <r>
          <rPr>
            <sz val="9"/>
            <color indexed="81"/>
            <rFont val="Tahoma"/>
            <family val="2"/>
          </rPr>
          <t>DataPointVID 409792_x000D_
DataPointID 409792_x000D_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J50" authorId="0" shapeId="0">
      <text>
        <r>
          <rPr>
            <sz val="9"/>
            <color indexed="81"/>
            <rFont val="Tahoma"/>
            <family val="2"/>
          </rPr>
          <t>DataPointVID 409802_x000D_
DataPointID 409802_x000D_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K50" authorId="0" shapeId="0">
      <text>
        <r>
          <rPr>
            <sz val="9"/>
            <color indexed="81"/>
            <rFont val="Tahoma"/>
            <family val="2"/>
          </rPr>
          <t>DataPointVID 409566_x000D_
DataPointID 409566_x000D_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L50" authorId="0" shapeId="0">
      <text>
        <r>
          <rPr>
            <sz val="9"/>
            <color indexed="81"/>
            <rFont val="Tahoma"/>
            <family val="2"/>
          </rPr>
          <t>DataPointVID 409514_x000D_
DataPointID 409514_x000D_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M50" authorId="0" shapeId="0">
      <text>
        <r>
          <rPr>
            <sz val="9"/>
            <color indexed="81"/>
            <rFont val="Tahoma"/>
            <family val="2"/>
          </rPr>
          <t>DataPointVID 409811_x000D_
DataPointID 409811_x000D_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Subordinated  =  Non subordinated</t>
        </r>
      </text>
    </comment>
    <comment ref="N50" authorId="0" shapeId="0">
      <text>
        <r>
          <rPr>
            <sz val="9"/>
            <color indexed="81"/>
            <rFont val="Tahoma"/>
            <family val="2"/>
          </rPr>
          <t>DataPointVID 409809_x000D_
DataPointID 409809_x000D_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Intra-group_x000D_
Subordinated  =  Non subordinated</t>
        </r>
      </text>
    </comment>
    <comment ref="O50" authorId="0" shapeId="0">
      <text>
        <r>
          <rPr>
            <sz val="9"/>
            <color indexed="81"/>
            <rFont val="Tahoma"/>
            <family val="2"/>
          </rPr>
          <t>DataPointVID 409810_x000D_
DataPointID 409810_x000D_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Eligibility for MREL  =  Non-eligible_x000D_
Residual maturity  =  &gt; 1 month &lt; 1 year_x000D_
Related parties/Relationships  =  Non intra-group_x000D_
Governed by law of an EU Member State  =  False_x000D_
Subordinated  =  Non subordinated</t>
        </r>
      </text>
    </comment>
    <comment ref="C51"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1 year &lt; 2 years_x000D_
Subordinated  =  Non subordinated_x000D_
Creditor / Insolvency ranking  =  Senior.Non-preferred (BRRD)_x000D_
Exclusion from Bail-in  =  Not excluded from bail-in</t>
        </r>
      </text>
    </comment>
    <comment ref="D51" authorId="0" shapeId="0">
      <text>
        <r>
          <rPr>
            <sz val="9"/>
            <color indexed="81"/>
            <rFont val="Tahoma"/>
            <family val="2"/>
          </rPr>
          <t>DataPointVID 409778_x000D_
DataPointID 409778_x000D_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Residual maturity  =  &gt;= 1 year &lt; 2 years_x000D_
Subordinated  =  Non subordinated</t>
        </r>
      </text>
    </comment>
    <comment ref="E51" authorId="0" shapeId="0">
      <text>
        <r>
          <rPr>
            <sz val="9"/>
            <color indexed="81"/>
            <rFont val="Tahoma"/>
            <family val="2"/>
          </rPr>
          <t>DataPointVID 409783_x000D_
DataPointID 409783_x000D_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1 year &lt; 2 years_x000D_
Subordinated  =  Non subordinated</t>
        </r>
      </text>
    </comment>
    <comment ref="F51" authorId="0" shapeId="0">
      <text>
        <r>
          <rPr>
            <sz val="9"/>
            <color indexed="81"/>
            <rFont val="Tahoma"/>
            <family val="2"/>
          </rPr>
          <t>DataPointVID 423045_x000D_
DataPointID 409788_x000D_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1 year &lt; 2 years_x000D_
Subordinated  =  Non subordinated</t>
        </r>
      </text>
    </comment>
    <comment ref="G51" authorId="0" shapeId="0">
      <text>
        <r>
          <rPr>
            <sz val="9"/>
            <color indexed="81"/>
            <rFont val="Tahoma"/>
            <family val="2"/>
          </rPr>
          <t>DataPointVID 409773_x000D_
DataPointID 409773_x000D_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Residual maturity  =  &gt;= 1 year &lt; 2 years_x000D_
Subordinated  =  Non subordinated</t>
        </r>
      </text>
    </comment>
    <comment ref="H51" authorId="0" shapeId="0">
      <text>
        <r>
          <rPr>
            <sz val="9"/>
            <color indexed="81"/>
            <rFont val="Tahoma"/>
            <family val="2"/>
          </rPr>
          <t>DataPointVID 409798_x000D_
DataPointID 409798_x000D_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1 year &lt; 2 years_x000D_
Subordinated  =  Non subordinated</t>
        </r>
      </text>
    </comment>
    <comment ref="I51" authorId="0" shapeId="0">
      <text>
        <r>
          <rPr>
            <sz val="9"/>
            <color indexed="81"/>
            <rFont val="Tahoma"/>
            <family val="2"/>
          </rPr>
          <t>DataPointVID 409793_x000D_
DataPointID 409793_x000D_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1 year &lt; 2 years_x000D_
Subordinated  =  Non subordinated</t>
        </r>
      </text>
    </comment>
    <comment ref="J51" authorId="0" shapeId="0">
      <text>
        <r>
          <rPr>
            <sz val="9"/>
            <color indexed="81"/>
            <rFont val="Tahoma"/>
            <family val="2"/>
          </rPr>
          <t>DataPointVID 409803_x000D_
DataPointID 409803_x000D_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1 year &lt; 2 years_x000D_
Subordinated  =  Non subordinated</t>
        </r>
      </text>
    </comment>
    <comment ref="K51" authorId="0" shapeId="0">
      <text>
        <r>
          <rPr>
            <sz val="9"/>
            <color indexed="81"/>
            <rFont val="Tahoma"/>
            <family val="2"/>
          </rPr>
          <t>DataPointVID 409567_x000D_
DataPointID 409567_x000D_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L51" authorId="0" shapeId="0">
      <text>
        <r>
          <rPr>
            <sz val="9"/>
            <color indexed="81"/>
            <rFont val="Tahoma"/>
            <family val="2"/>
          </rPr>
          <t>DataPointVID 409515_x000D_
DataPointID 409515_x000D_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1 year &lt; 2 years_x000D_
Subordinated  =  Non subordinated</t>
        </r>
      </text>
    </comment>
    <comment ref="M51" authorId="0" shapeId="0">
      <text>
        <r>
          <rPr>
            <sz val="9"/>
            <color indexed="81"/>
            <rFont val="Tahoma"/>
            <family val="2"/>
          </rPr>
          <t>DataPointVID 409814_x000D_
DataPointID 409814_x000D_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Subordinated  =  Non subordinated</t>
        </r>
      </text>
    </comment>
    <comment ref="N51" authorId="0" shapeId="0">
      <text>
        <r>
          <rPr>
            <sz val="9"/>
            <color indexed="81"/>
            <rFont val="Tahoma"/>
            <family val="2"/>
          </rPr>
          <t>DataPointVID 409812_x000D_
DataPointID 409812_x000D_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Related parties/Relationships  =  Intra-group_x000D_
Subordinated  =  Non subordinated</t>
        </r>
      </text>
    </comment>
    <comment ref="O51" authorId="0" shapeId="0">
      <text>
        <r>
          <rPr>
            <sz val="9"/>
            <color indexed="81"/>
            <rFont val="Tahoma"/>
            <family val="2"/>
          </rPr>
          <t>DataPointVID 409813_x000D_
DataPointID 409813_x000D_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1 year &lt; 2 years_x000D_
Related parties/Relationships  =  Non intra-group_x000D_
Governed by law of an EU Member State  =  False_x000D_
Subordinated  =  Non subordinated</t>
        </r>
      </text>
    </comment>
    <comment ref="C52" authorId="0" shapeId="0">
      <text>
        <r>
          <rPr>
            <sz val="9"/>
            <color indexed="81"/>
            <rFont val="Tahoma"/>
            <family val="2"/>
          </rPr>
          <t>Metric  =  Carrying amount [mi]_x000D_
Base  =  Liabilities_x000D_
Main category  =  Deposits, Debt securities issued, Other financial liabilities_x000D_
Collateral status  =  Non collateralised_x000D_
Residual maturity  =  &gt;= 2 years_x000D_
Subordinated  =  Non subordinated_x000D_
Creditor / Insolvency ranking  =  Senior.Non-preferred (BRRD)_x000D_
Exclusion from Bail-in  =  Not excluded from bail-in</t>
        </r>
      </text>
    </comment>
    <comment ref="D52" authorId="0" shapeId="0">
      <text>
        <r>
          <rPr>
            <sz val="9"/>
            <color indexed="81"/>
            <rFont val="Tahoma"/>
            <family val="2"/>
          </rPr>
          <t>DataPointVID 409779_x000D_
DataPointID 409779_x000D_
Metric  =  Carrying amount [mi]_x000D_
Base  =  Liabilities_x000D_
Creditor / Insolvency ranking  =  Senior.Non-preferred (BRRD)_x000D_
Collateral status  =  Non collateralised_x000D_
Counterparty sector  =  Households_x000D_
Exclusion from Bail-in  =  Not excluded from bail-in_x000D_
Main category  =  Deposits, Debt securities issued, Other financial liabilities_x000D_
Residual maturity  =  &gt;= 2 years_x000D_
Subordinated  =  Non subordinated</t>
        </r>
      </text>
    </comment>
    <comment ref="E52" authorId="0" shapeId="0">
      <text>
        <r>
          <rPr>
            <sz val="9"/>
            <color indexed="81"/>
            <rFont val="Tahoma"/>
            <family val="2"/>
          </rPr>
          <t>DataPointVID 409784_x000D_
DataPointID 409784_x000D_
Metric  =  Carrying amount [mi]_x000D_
Base  =  Liabilities_x000D_
Creditor / Insolvency ranking  =  Senior.Non-preferred (BRRD)_x000D_
Collateral status  =  Non collateralised_x000D_
Counterparty sector  =  Non-financial corporations_x000D_
Size of the counterparty  =  SME_x000D_
Exclusion from Bail-in  =  Not excluded from bail-in_x000D_
Main category  =  Deposits, Debt securities issued, Other financial liabilities_x000D_
Residual maturity  =  &gt;= 2 years_x000D_
Subordinated  =  Non subordinated</t>
        </r>
      </text>
    </comment>
    <comment ref="F52" authorId="0" shapeId="0">
      <text>
        <r>
          <rPr>
            <sz val="9"/>
            <color indexed="81"/>
            <rFont val="Tahoma"/>
            <family val="2"/>
          </rPr>
          <t>DataPointVID 423046_x000D_
DataPointID 409789_x000D_
Metric  =  Carrying amount [mi]_x000D_
Base  =  Liabilities_x000D_
Creditor / Insolvency ranking  =  Senior.Non-preferred (BRRD)_x000D_
Collateral status  =  Non collateralised_x000D_
Counterparty sector  =  Non-financial corporations_x000D_
Size of the counterparty  =  Counterparties other than SME_x000D_
Exclusion from Bail-in  =  Not excluded from bail-in_x000D_
Main category  =  Deposits, Debt securities issued, Other financial liabilities_x000D_
Residual maturity  =  &gt;= 2 years_x000D_
Subordinated  =  Non subordinated</t>
        </r>
      </text>
    </comment>
    <comment ref="G52" authorId="0" shapeId="0">
      <text>
        <r>
          <rPr>
            <sz val="9"/>
            <color indexed="81"/>
            <rFont val="Tahoma"/>
            <family val="2"/>
          </rPr>
          <t>DataPointVID 409774_x000D_
DataPointID 409774_x000D_
Metric  =  Carrying amount [mi]_x000D_
Base  =  Liabilities_x000D_
Creditor / Insolvency ranking  =  Senior.Non-preferred (BRRD)_x000D_
Collateral status  =  Non collateralised_x000D_
Counterparty sector  =  Credit institutions_x000D_
Exclusion from Bail-in  =  Not excluded from bail-in_x000D_
Main category  =  Deposits, Debt securities issued, Other financial liabilities_x000D_
Residual maturity  =  &gt;= 2 years_x000D_
Subordinated  =  Non subordinated</t>
        </r>
      </text>
    </comment>
    <comment ref="H52" authorId="0" shapeId="0">
      <text>
        <r>
          <rPr>
            <sz val="9"/>
            <color indexed="81"/>
            <rFont val="Tahoma"/>
            <family val="2"/>
          </rPr>
          <t>DataPointVID 409799_x000D_
DataPointID 409799_x000D_
Metric  =  Carrying amount [mi]_x000D_
Base  =  Liabilities_x000D_
Creditor / Insolvency ranking  =  Senior.Non-preferred (BRRD)_x000D_
Collateral status  =  Non collateralised_x000D_
Counterparty sector  =  Financial corporations other than credit institutions_x000D_
Exclusion from Bail-in  =  Not excluded from bail-in_x000D_
Main category  =  Deposits, Debt securities issued, Other financial liabilities_x000D_
Residual maturity  =  &gt;= 2 years_x000D_
Subordinated  =  Non subordinated</t>
        </r>
      </text>
    </comment>
    <comment ref="I52" authorId="0" shapeId="0">
      <text>
        <r>
          <rPr>
            <sz val="9"/>
            <color indexed="81"/>
            <rFont val="Tahoma"/>
            <family val="2"/>
          </rPr>
          <t>DataPointVID 409794_x000D_
DataPointID 409794_x000D_
Metric  =  Carrying amount [mi]_x000D_
Base  =  Liabilities_x000D_
Creditor / Insolvency ranking  =  Senior.Non-preferred (BRRD)_x000D_
Collateral status  =  Non collateralised_x000D_
Counterparty sector  =  Financial corporations other than credit institutions_x000D_
Counterparty nature 2  =  Insurance companies, pension funds_x000D_
Exclusion from Bail-in  =  Not excluded from bail-in_x000D_
Main category  =  Deposits, Debt securities issued, Other financial liabilities_x000D_
Residual maturity  =  &gt;= 2 years_x000D_
Subordinated  =  Non subordinated</t>
        </r>
      </text>
    </comment>
    <comment ref="J52" authorId="0" shapeId="0">
      <text>
        <r>
          <rPr>
            <sz val="9"/>
            <color indexed="81"/>
            <rFont val="Tahoma"/>
            <family val="2"/>
          </rPr>
          <t>DataPointVID 409804_x000D_
DataPointID 409804_x000D_
Metric  =  Carrying amount [mi]_x000D_
Base  =  Liabilities_x000D_
Creditor / Insolvency ranking  =  Senior.Non-preferred (BRRD)_x000D_
Collateral status  =  Non collateralised_x000D_
Counterparty sector  =  Central banks, general governments_x000D_
Exclusion from Bail-in  =  Not excluded from bail-in_x000D_
Main category  =  Deposits, Debt securities issued, Other financial liabilities_x000D_
Residual maturity  =  &gt;= 2 years_x000D_
Subordinated  =  Non subordinated</t>
        </r>
      </text>
    </comment>
    <comment ref="K52" authorId="0" shapeId="0">
      <text>
        <r>
          <rPr>
            <sz val="9"/>
            <color indexed="81"/>
            <rFont val="Tahoma"/>
            <family val="2"/>
          </rPr>
          <t>DataPointVID 409568_x000D_
DataPointID 409568_x000D_
Metric  =  Carrying amount [mi]_x000D_
Base  =  Liabilities_x000D_
Instrument is listed on exchange  =  True_x000D_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L52" authorId="0" shapeId="0">
      <text>
        <r>
          <rPr>
            <sz val="9"/>
            <color indexed="81"/>
            <rFont val="Tahoma"/>
            <family val="2"/>
          </rPr>
          <t>DataPointVID 409516_x000D_
DataPointID 409516_x000D_
Metric  =  Carrying amount [mi]_x000D_
Base  =  Liabilities_x000D_
Instrument is listed on exchange  =  False_x000D_
Creditor / Insolvency ranking  =  Senior.Non-preferred (BRRD)_x000D_
Collateral status  =  Non collateralised_x000D_
Counterparty sector  =  Unknown counterparty_x000D_
Exclusion from Bail-in  =  Not excluded from bail-in_x000D_
Main category  =  Deposits, Debt securities issued, Other financial liabilities_x000D_
Residual maturity  =  &gt;= 2 years_x000D_
Subordinated  =  Non subordinated</t>
        </r>
      </text>
    </comment>
    <comment ref="M52" authorId="0" shapeId="0">
      <text>
        <r>
          <rPr>
            <sz val="9"/>
            <color indexed="81"/>
            <rFont val="Tahoma"/>
            <family val="2"/>
          </rPr>
          <t>DataPointVID 409817_x000D_
DataPointID 409817_x000D_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Subordinated  =  Non subordinated</t>
        </r>
      </text>
    </comment>
    <comment ref="N52" authorId="0" shapeId="0">
      <text>
        <r>
          <rPr>
            <sz val="9"/>
            <color indexed="81"/>
            <rFont val="Tahoma"/>
            <family val="2"/>
          </rPr>
          <t>DataPointVID 409815_x000D_
DataPointID 409815_x000D_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Related parties/Relationships  =  Intra-group_x000D_
Subordinated  =  Non subordinated</t>
        </r>
      </text>
    </comment>
    <comment ref="O52" authorId="0" shapeId="0">
      <text>
        <r>
          <rPr>
            <sz val="9"/>
            <color indexed="81"/>
            <rFont val="Tahoma"/>
            <family val="2"/>
          </rPr>
          <t>DataPointVID 409816_x000D_
DataPointID 409816_x000D_
Metric  =  Carrying amount [mi]_x000D_
Base  =  Liabilities_x000D_
Creditor / Insolvency ranking  =  Senior.Non-preferred (BRRD)_x000D_
Collateral status  =  Non collateralised_x000D_
Exclusion from Bail-in  =  Not excluded from bail-in_x000D_
Main category  =  Deposits, Debt securities issued, Other financial liabilities_x000D_
Residual maturity  =  &gt;= 2 years_x000D_
Related parties/Relationships  =  Non intra-group_x000D_
Governed by law of an EU Member State  =  False_x000D_
Subordinated  =  Non subordinated</t>
        </r>
      </text>
    </comment>
    <comment ref="C53" authorId="0" shapeId="0">
      <text>
        <r>
          <rPr>
            <sz val="9"/>
            <color indexed="81"/>
            <rFont val="Tahoma"/>
            <family val="2"/>
          </rPr>
          <t>Metric  =  Carrying amount [mi]_x000D_
Base  =  Liabilities_x000D_
Main category  =  Deposits, Debt securities issued_x000D_
Own funds  =  Non-eligible_x000D_
Subordinated  =  Subordinated financial liabilities_x000D_
Exclusion from Bail-in  =  Not excluded from bail-in</t>
        </r>
      </text>
    </comment>
    <comment ref="D53" authorId="0" shapeId="0">
      <text>
        <r>
          <rPr>
            <sz val="9"/>
            <color indexed="81"/>
            <rFont val="Tahoma"/>
            <family val="2"/>
          </rPr>
          <t>DataPointVID 409922_x000D_
DataPointID 409922_x000D_
Metric  =  Carrying amount [mi]_x000D_
Base  =  Liabilities_x000D_
Counterparty sector  =  Households_x000D_
Exclusion from Bail-in  =  Not excluded from bail-in_x000D_
Main category  =  Deposits, Debt securities issued_x000D_
Own funds  =  Non-eligible_x000D_
Subordinated  =  Subordinated financial liabilities</t>
        </r>
      </text>
    </comment>
    <comment ref="E53" authorId="0" shapeId="0">
      <text>
        <r>
          <rPr>
            <sz val="9"/>
            <color indexed="81"/>
            <rFont val="Tahoma"/>
            <family val="2"/>
          </rPr>
          <t>DataPointVID 409949_x000D_
DataPointID 409949_x000D_
Metric  =  Carrying amount [mi]_x000D_
Base  =  Liabilities_x000D_
Counterparty sector  =  Non-financial corporations_x000D_
Size of the counterparty  =  SME_x000D_
Exclusion from Bail-in  =  Not excluded from bail-in_x000D_
Main category  =  Deposits, Debt securities issued_x000D_
Own funds  =  Non-eligible_x000D_
Subordinated  =  Subordinated financial liabilities</t>
        </r>
      </text>
    </comment>
    <comment ref="F53" authorId="0" shapeId="0">
      <text>
        <r>
          <rPr>
            <sz val="9"/>
            <color indexed="81"/>
            <rFont val="Tahoma"/>
            <family val="2"/>
          </rPr>
          <t>DataPointVID 423082_x000D_
DataPointID 409970_x000D_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Subordinated  =  Subordinated financial liabilities</t>
        </r>
      </text>
    </comment>
    <comment ref="G53" authorId="0" shapeId="0">
      <text>
        <r>
          <rPr>
            <sz val="9"/>
            <color indexed="81"/>
            <rFont val="Tahoma"/>
            <family val="2"/>
          </rPr>
          <t>DataPointVID 409897_x000D_
DataPointID 409897_x000D_
Metric  =  Carrying amount [mi]_x000D_
Base  =  Liabilities_x000D_
Counterparty sector  =  Credit institutions_x000D_
Exclusion from Bail-in  =  Not excluded from bail-in_x000D_
Main category  =  Deposits, Debt securities issued_x000D_
Own funds  =  Non-eligible_x000D_
Subordinated  =  Subordinated financial liabilities</t>
        </r>
      </text>
    </comment>
    <comment ref="H53" authorId="0" shapeId="0">
      <text>
        <r>
          <rPr>
            <sz val="9"/>
            <color indexed="81"/>
            <rFont val="Tahoma"/>
            <family val="2"/>
          </rPr>
          <t>DataPointVID 410020_x000D_
DataPointID 410020_x000D_
Metric  =  Carrying amount [mi]_x000D_
Base  =  Liabilities_x000D_
Counterparty sector  =  Financial corporations other than credit institutions_x000D_
Exclusion from Bail-in  =  Not excluded from bail-in_x000D_
Main category  =  Deposits, Debt securities issued_x000D_
Own funds  =  Non-eligible_x000D_
Subordinated  =  Subordinated financial liabilities</t>
        </r>
      </text>
    </comment>
    <comment ref="I53" authorId="0" shapeId="0">
      <text>
        <r>
          <rPr>
            <sz val="9"/>
            <color indexed="81"/>
            <rFont val="Tahoma"/>
            <family val="2"/>
          </rPr>
          <t>DataPointVID 409995_x000D_
DataPointID 409995_x000D_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Subordinated  =  Subordinated financial liabilities</t>
        </r>
      </text>
    </comment>
    <comment ref="J53" authorId="0" shapeId="0">
      <text>
        <r>
          <rPr>
            <sz val="9"/>
            <color indexed="81"/>
            <rFont val="Tahoma"/>
            <family val="2"/>
          </rPr>
          <t>DataPointVID 410044_x000D_
DataPointID 410044_x000D_
Metric  =  Carrying amount [mi]_x000D_
Base  =  Liabilities_x000D_
Counterparty sector  =  Central banks, general governments_x000D_
Exclusion from Bail-in  =  Not excluded from bail-in_x000D_
Main category  =  Deposits, Debt securities issued_x000D_
Own funds  =  Non-eligible_x000D_
Subordinated  =  Subordinated financial liabilities</t>
        </r>
      </text>
    </comment>
    <comment ref="K53" authorId="0" shapeId="0">
      <text>
        <r>
          <rPr>
            <sz val="9"/>
            <color indexed="81"/>
            <rFont val="Tahoma"/>
            <family val="2"/>
          </rPr>
          <t>DataPointVID 409591_x000D_
DataPointID 409591_x000D_
Metric  =  Carrying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Subordinated  =  Subordinated financial liabilities</t>
        </r>
      </text>
    </comment>
    <comment ref="L53" authorId="0" shapeId="0">
      <text>
        <r>
          <rPr>
            <sz val="9"/>
            <color indexed="81"/>
            <rFont val="Tahoma"/>
            <family val="2"/>
          </rPr>
          <t>DataPointVID 409539_x000D_
DataPointID 409539_x000D_
Metric  =  Carrying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Subordinated  =  Subordinated financial liabilities</t>
        </r>
      </text>
    </comment>
    <comment ref="M53" authorId="0" shapeId="0">
      <text>
        <r>
          <rPr>
            <sz val="9"/>
            <color indexed="81"/>
            <rFont val="Tahoma"/>
            <family val="2"/>
          </rPr>
          <t>DataPointVID 410104_x000D_
DataPointID 410104_x000D_
Metric  =  Carrying amount [mi]_x000D_
Base  =  Liabilities_x000D_
Exclusion from Bail-in  =  Not excluded from bail-in_x000D_
Main category  =  Deposits, Debt securities issued_x000D_
Own funds  =  Non-eligible_x000D_
Subordinated  =  Subordinated financial liabilities</t>
        </r>
      </text>
    </comment>
    <comment ref="N53" authorId="0" shapeId="0">
      <text>
        <r>
          <rPr>
            <sz val="9"/>
            <color indexed="81"/>
            <rFont val="Tahoma"/>
            <family val="2"/>
          </rPr>
          <t>DataPointVID 410102_x000D_
DataPointID 410102_x000D_
Metric  =  Carrying amount [mi]_x000D_
Base  =  Liabilities_x000D_
Exclusion from Bail-in  =  Not excluded from bail-in_x000D_
Main category  =  Deposits, Debt securities issued_x000D_
Own funds  =  Non-eligible_x000D_
Related parties/Relationships  =  Intra-group_x000D_
Subordinated  =  Subordinated financial liabilities</t>
        </r>
      </text>
    </comment>
    <comment ref="O53" authorId="0" shapeId="0">
      <text>
        <r>
          <rPr>
            <sz val="9"/>
            <color indexed="81"/>
            <rFont val="Tahoma"/>
            <family val="2"/>
          </rPr>
          <t>DataPointVID 410103_x000D_
DataPointID 410103_x000D_
Metric  =  Carrying amount [mi]_x000D_
Base  =  Liabilities_x000D_
Exclusion from Bail-in  =  Not excluded from bail-in_x000D_
Main category  =  Deposits, Debt securities issued_x000D_
Own funds  =  Non-eligible_x000D_
Related parties/Relationships  =  Non intra-group_x000D_
Governed by law of an EU Member State  =  False_x000D_
Subordinated  =  Subordinated financial liabilities</t>
        </r>
      </text>
    </comment>
    <comment ref="C54" authorId="0" shapeId="0">
      <text>
        <r>
          <rPr>
            <sz val="9"/>
            <color indexed="81"/>
            <rFont val="Tahoma"/>
            <family val="2"/>
          </rPr>
          <t>Metric  =  Carrying amount [mi]_x000D_
Base  =  Liabilities_x000D_
Main category  =  Deposits, Debt securities issued_x000D_
Own funds  =  Non-eligible_x000D_
Residual maturity  =  &lt;= 1 month_x000D_
Subordinated  =  Subordinated financial liabilities_x000D_
Exclusion from Bail-in  =  Not excluded from bail-in_x000D_
Eligibility for MREL  =  Non-eligible</t>
        </r>
      </text>
    </comment>
    <comment ref="D54" authorId="0" shapeId="0">
      <text>
        <r>
          <rPr>
            <sz val="9"/>
            <color indexed="81"/>
            <rFont val="Tahoma"/>
            <family val="2"/>
          </rPr>
          <t>DataPointVID 409918_x000D_
DataPointID 409918_x000D_
Metric  =  Carrying amount [mi]_x000D_
Base  =  Liabilities_x000D_
Counterparty sector  =  Households_x000D_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E54" authorId="0" shapeId="0">
      <text>
        <r>
          <rPr>
            <sz val="9"/>
            <color indexed="81"/>
            <rFont val="Tahoma"/>
            <family val="2"/>
          </rPr>
          <t>DataPointVID 409945_x000D_
DataPointID 409945_x000D_
Metric  =  Carrying amount [mi]_x000D_
Base  =  Liabilities_x000D_
Counterparty sector  =  Non-financial corporations_x000D_
Size of the counterparty  =  SME_x000D_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F54" authorId="0" shapeId="0">
      <text>
        <r>
          <rPr>
            <sz val="9"/>
            <color indexed="81"/>
            <rFont val="Tahoma"/>
            <family val="2"/>
          </rPr>
          <t>DataPointVID 423078_x000D_
DataPointID 409966_x000D_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G54" authorId="0" shapeId="0">
      <text>
        <r>
          <rPr>
            <sz val="9"/>
            <color indexed="81"/>
            <rFont val="Tahoma"/>
            <family val="2"/>
          </rPr>
          <t>DataPointVID 409893_x000D_
DataPointID 409893_x000D_
Metric  =  Carrying amount [mi]_x000D_
Base  =  Liabilities_x000D_
Counterparty sector  =  Credit institutions_x000D_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H54" authorId="0" shapeId="0">
      <text>
        <r>
          <rPr>
            <sz val="9"/>
            <color indexed="81"/>
            <rFont val="Tahoma"/>
            <family val="2"/>
          </rPr>
          <t>DataPointVID 410016_x000D_
DataPointID 410016_x000D_
Metric  =  Carrying amount [mi]_x000D_
Base  =  Liabilities_x000D_
Counterparty sector  =  Financial corporations other than credit institutions_x000D_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I54" authorId="0" shapeId="0">
      <text>
        <r>
          <rPr>
            <sz val="9"/>
            <color indexed="81"/>
            <rFont val="Tahoma"/>
            <family val="2"/>
          </rPr>
          <t>DataPointVID 409991_x000D_
DataPointID 409991_x000D_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J54" authorId="0" shapeId="0">
      <text>
        <r>
          <rPr>
            <sz val="9"/>
            <color indexed="81"/>
            <rFont val="Tahoma"/>
            <family val="2"/>
          </rPr>
          <t>DataPointVID 410040_x000D_
DataPointID 410040_x000D_
Metric  =  Carrying amount [mi]_x000D_
Base  =  Liabilities_x000D_
Counterparty sector  =  Central banks, general governments_x000D_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K54" authorId="0" shapeId="0">
      <text>
        <r>
          <rPr>
            <sz val="9"/>
            <color indexed="81"/>
            <rFont val="Tahoma"/>
            <family val="2"/>
          </rPr>
          <t>DataPointVID 409587_x000D_
DataPointID 409587_x000D_
Metric  =  Carrying amount [mi]_x000D_
Base  =  Liabilities_x000D_
Instrument is listed on exchange  =  True_x000D_
Counterparty sector  =  Unknown counterparty_x000D_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L54" authorId="0" shapeId="0">
      <text>
        <r>
          <rPr>
            <sz val="9"/>
            <color indexed="81"/>
            <rFont val="Tahoma"/>
            <family val="2"/>
          </rPr>
          <t>DataPointVID 409535_x000D_
DataPointID 409535_x000D_
Metric  =  Carrying amount [mi]_x000D_
Base  =  Liabilities_x000D_
Instrument is listed on exchange  =  False_x000D_
Counterparty sector  =  Unknown counterparty_x000D_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M54" authorId="0" shapeId="0">
      <text>
        <r>
          <rPr>
            <sz val="9"/>
            <color indexed="81"/>
            <rFont val="Tahoma"/>
            <family val="2"/>
          </rPr>
          <t>DataPointVID 410092_x000D_
DataPointID 410092_x000D_
Metric  =  Carrying amount [mi]_x000D_
Base  =  Liabilities_x000D_
Exclusion from Bail-in  =  Not excluded from bail-in_x000D_
Main category  =  Deposits, Debt securities issued_x000D_
Eligibility for MREL  =  Non-eligible_x000D_
Own funds  =  Non-eligible_x000D_
Residual maturity  =  &lt;= 1 month_x000D_
Subordinated  =  Subordinated financial liabilities</t>
        </r>
      </text>
    </comment>
    <comment ref="N54" authorId="0" shapeId="0">
      <text>
        <r>
          <rPr>
            <sz val="9"/>
            <color indexed="81"/>
            <rFont val="Tahoma"/>
            <family val="2"/>
          </rPr>
          <t>DataPointVID 410090_x000D_
DataPointID 410090_x000D_
Metric  =  Carrying amount [mi]_x000D_
Base  =  Liabilities_x000D_
Exclusion from Bail-in  =  Not excluded from bail-in_x000D_
Main category  =  Deposits, Debt securities issued_x000D_
Eligibility for MREL  =  Non-eligible_x000D_
Own funds  =  Non-eligible_x000D_
Residual maturity  =  &lt;= 1 month_x000D_
Related parties/Relationships  =  Intra-group_x000D_
Subordinated  =  Subordinated financial liabilities</t>
        </r>
      </text>
    </comment>
    <comment ref="O54" authorId="0" shapeId="0">
      <text>
        <r>
          <rPr>
            <sz val="9"/>
            <color indexed="81"/>
            <rFont val="Tahoma"/>
            <family val="2"/>
          </rPr>
          <t>DataPointVID 410091_x000D_
DataPointID 410091_x000D_
Metric  =  Carrying amount [mi]_x000D_
Base  =  Liabilities_x000D_
Exclusion from Bail-in  =  Not excluded from bail-in_x000D_
Main category  =  Deposits, Debt securities issued_x000D_
Eligibility for MREL  =  Non-eligible_x000D_
Own funds  =  Non-eligible_x000D_
Residual maturity  =  &lt;= 1 month_x000D_
Related parties/Relationships  =  Non intra-group_x000D_
Governed by law of an EU Member State  =  False_x000D_
Subordinated  =  Subordinated financial liabilities</t>
        </r>
      </text>
    </comment>
    <comment ref="C55" authorId="0" shapeId="0">
      <text>
        <r>
          <rPr>
            <sz val="9"/>
            <color indexed="81"/>
            <rFont val="Tahoma"/>
            <family val="2"/>
          </rPr>
          <t>Metric  =  Carrying amount [mi]_x000D_
Base  =  Liabilities_x000D_
Main category  =  Deposits, Debt securities issued_x000D_
Own funds  =  Non-eligible_x000D_
Residual maturity  =  &gt; 1 month &lt; 1 year_x000D_
Subordinated  =  Subordinated financial liabilities_x000D_
Exclusion from Bail-in  =  Not excluded from bail-in_x000D_
Eligibility for MREL  =  Non-eligible</t>
        </r>
      </text>
    </comment>
    <comment ref="D55" authorId="0" shapeId="0">
      <text>
        <r>
          <rPr>
            <sz val="9"/>
            <color indexed="81"/>
            <rFont val="Tahoma"/>
            <family val="2"/>
          </rPr>
          <t>DataPointVID 409919_x000D_
DataPointID 409919_x000D_
Metric  =  Carrying amount [mi]_x000D_
Base  =  Liabilities_x000D_
Counterparty sector  =  Households_x000D_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E55" authorId="0" shapeId="0">
      <text>
        <r>
          <rPr>
            <sz val="9"/>
            <color indexed="81"/>
            <rFont val="Tahoma"/>
            <family val="2"/>
          </rPr>
          <t>DataPointVID 409946_x000D_
DataPointID 409946_x000D_
Metric  =  Carrying amount [mi]_x000D_
Base  =  Liabilities_x000D_
Counterparty sector  =  Non-financial corporations_x000D_
Size of the counterparty  =  SME_x000D_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F55" authorId="0" shapeId="0">
      <text>
        <r>
          <rPr>
            <sz val="9"/>
            <color indexed="81"/>
            <rFont val="Tahoma"/>
            <family val="2"/>
          </rPr>
          <t>DataPointVID 423079_x000D_
DataPointID 409967_x000D_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G55" authorId="0" shapeId="0">
      <text>
        <r>
          <rPr>
            <sz val="9"/>
            <color indexed="81"/>
            <rFont val="Tahoma"/>
            <family val="2"/>
          </rPr>
          <t>DataPointVID 409894_x000D_
DataPointID 409894_x000D_
Metric  =  Carrying amount [mi]_x000D_
Base  =  Liabilities_x000D_
Counterparty sector  =  Credit institutions_x000D_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H55" authorId="0" shapeId="0">
      <text>
        <r>
          <rPr>
            <sz val="9"/>
            <color indexed="81"/>
            <rFont val="Tahoma"/>
            <family val="2"/>
          </rPr>
          <t>DataPointVID 410017_x000D_
DataPointID 410017_x000D_
Metric  =  Carrying amount [mi]_x000D_
Base  =  Liabilities_x000D_
Counterparty sector  =  Financial corporations other than credit institutions_x000D_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I55" authorId="0" shapeId="0">
      <text>
        <r>
          <rPr>
            <sz val="9"/>
            <color indexed="81"/>
            <rFont val="Tahoma"/>
            <family val="2"/>
          </rPr>
          <t>DataPointVID 409992_x000D_
DataPointID 409992_x000D_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J55" authorId="0" shapeId="0">
      <text>
        <r>
          <rPr>
            <sz val="9"/>
            <color indexed="81"/>
            <rFont val="Tahoma"/>
            <family val="2"/>
          </rPr>
          <t>DataPointVID 410041_x000D_
DataPointID 410041_x000D_
Metric  =  Carrying amount [mi]_x000D_
Base  =  Liabilities_x000D_
Counterparty sector  =  Central banks, general governments_x000D_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K55" authorId="0" shapeId="0">
      <text>
        <r>
          <rPr>
            <sz val="9"/>
            <color indexed="81"/>
            <rFont val="Tahoma"/>
            <family val="2"/>
          </rPr>
          <t>DataPointVID 409588_x000D_
DataPointID 409588_x000D_
Metric  =  Carrying amount [mi]_x000D_
Base  =  Liabilities_x000D_
Instrument is listed on exchange  =  True_x000D_
Counterparty sector  =  Unknown counterparty_x000D_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L55" authorId="0" shapeId="0">
      <text>
        <r>
          <rPr>
            <sz val="9"/>
            <color indexed="81"/>
            <rFont val="Tahoma"/>
            <family val="2"/>
          </rPr>
          <t>DataPointVID 409536_x000D_
DataPointID 409536_x000D_
Metric  =  Carrying amount [mi]_x000D_
Base  =  Liabilities_x000D_
Instrument is listed on exchange  =  False_x000D_
Counterparty sector  =  Unknown counterparty_x000D_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M55" authorId="0" shapeId="0">
      <text>
        <r>
          <rPr>
            <sz val="9"/>
            <color indexed="81"/>
            <rFont val="Tahoma"/>
            <family val="2"/>
          </rPr>
          <t>DataPointVID 410095_x000D_
DataPointID 410095_x000D_
Metric  =  Carrying amount [mi]_x000D_
Base  =  Liabilities_x000D_
Exclusion from Bail-in  =  Not excluded from bail-in_x000D_
Main category  =  Deposits, Debt securities issued_x000D_
Eligibility for MREL  =  Non-eligible_x000D_
Own funds  =  Non-eligible_x000D_
Residual maturity  =  &gt; 1 month &lt; 1 year_x000D_
Subordinated  =  Subordinated financial liabilities</t>
        </r>
      </text>
    </comment>
    <comment ref="N55" authorId="0" shapeId="0">
      <text>
        <r>
          <rPr>
            <sz val="9"/>
            <color indexed="81"/>
            <rFont val="Tahoma"/>
            <family val="2"/>
          </rPr>
          <t>DataPointVID 410093_x000D_
DataPointID 410093_x000D_
Metric  =  Carrying amount [mi]_x000D_
Base  =  Liabilities_x000D_
Exclusion from Bail-in  =  Not excluded from bail-in_x000D_
Main category  =  Deposits, Debt securities issued_x000D_
Eligibility for MREL  =  Non-eligible_x000D_
Own funds  =  Non-eligible_x000D_
Residual maturity  =  &gt; 1 month &lt; 1 year_x000D_
Related parties/Relationships  =  Intra-group_x000D_
Subordinated  =  Subordinated financial liabilities</t>
        </r>
      </text>
    </comment>
    <comment ref="O55" authorId="0" shapeId="0">
      <text>
        <r>
          <rPr>
            <sz val="9"/>
            <color indexed="81"/>
            <rFont val="Tahoma"/>
            <family val="2"/>
          </rPr>
          <t>DataPointVID 410094_x000D_
DataPointID 410094_x000D_
Metric  =  Carrying amount [mi]_x000D_
Base  =  Liabilities_x000D_
Exclusion from Bail-in  =  Not excluded from bail-in_x000D_
Main category  =  Deposits, Debt securities issued_x000D_
Eligibility for MREL  =  Non-eligible_x000D_
Own funds  =  Non-eligible_x000D_
Residual maturity  =  &gt; 1 month &lt; 1 year_x000D_
Related parties/Relationships  =  Non intra-group_x000D_
Governed by law of an EU Member State  =  False_x000D_
Subordinated  =  Subordinated financial liabilities</t>
        </r>
      </text>
    </comment>
    <comment ref="C56" authorId="0" shapeId="0">
      <text>
        <r>
          <rPr>
            <sz val="9"/>
            <color indexed="81"/>
            <rFont val="Tahoma"/>
            <family val="2"/>
          </rPr>
          <t>Metric  =  Carrying amount [mi]_x000D_
Base  =  Liabilities_x000D_
Main category  =  Deposits, Debt securities issued_x000D_
Own funds  =  Non-eligible_x000D_
Residual maturity  =  &gt;= 1 year &lt; 2 years_x000D_
Subordinated  =  Subordinated financial liabilities_x000D_
Exclusion from Bail-in  =  Not excluded from bail-in</t>
        </r>
      </text>
    </comment>
    <comment ref="D56" authorId="0" shapeId="0">
      <text>
        <r>
          <rPr>
            <sz val="9"/>
            <color indexed="81"/>
            <rFont val="Tahoma"/>
            <family val="2"/>
          </rPr>
          <t>DataPointVID 409920_x000D_
DataPointID 409920_x000D_
Metric  =  Carrying amount [mi]_x000D_
Base  =  Liabilities_x000D_
Counterparty sector  =  Households_x000D_
Exclusion from Bail-in  =  Not excluded from bail-in_x000D_
Main category  =  Deposits, Debt securities issued_x000D_
Own funds  =  Non-eligible_x000D_
Residual maturity  =  &gt;= 1 year &lt; 2 years_x000D_
Subordinated  =  Subordinated financial liabilities</t>
        </r>
      </text>
    </comment>
    <comment ref="E56" authorId="0" shapeId="0">
      <text>
        <r>
          <rPr>
            <sz val="9"/>
            <color indexed="81"/>
            <rFont val="Tahoma"/>
            <family val="2"/>
          </rPr>
          <t>DataPointVID 409947_x000D_
DataPointID 409947_x000D_
Metric  =  Carrying amount [mi]_x000D_
Base  =  Liabilities_x000D_
Counterparty sector  =  Non-financial corporations_x000D_
Size of the counterparty  =  SME_x000D_
Exclusion from Bail-in  =  Not excluded from bail-in_x000D_
Main category  =  Deposits, Debt securities issued_x000D_
Own funds  =  Non-eligible_x000D_
Residual maturity  =  &gt;= 1 year &lt; 2 years_x000D_
Subordinated  =  Subordinated financial liabilities</t>
        </r>
      </text>
    </comment>
    <comment ref="F56" authorId="0" shapeId="0">
      <text>
        <r>
          <rPr>
            <sz val="9"/>
            <color indexed="81"/>
            <rFont val="Tahoma"/>
            <family val="2"/>
          </rPr>
          <t>DataPointVID 423080_x000D_
DataPointID 409968_x000D_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Residual maturity  =  &gt;= 1 year &lt; 2 years_x000D_
Subordinated  =  Subordinated financial liabilities</t>
        </r>
      </text>
    </comment>
    <comment ref="G56" authorId="0" shapeId="0">
      <text>
        <r>
          <rPr>
            <sz val="9"/>
            <color indexed="81"/>
            <rFont val="Tahoma"/>
            <family val="2"/>
          </rPr>
          <t>DataPointVID 409895_x000D_
DataPointID 409895_x000D_
Metric  =  Carrying amount [mi]_x000D_
Base  =  Liabilities_x000D_
Counterparty sector  =  Credit institutions_x000D_
Exclusion from Bail-in  =  Not excluded from bail-in_x000D_
Main category  =  Deposits, Debt securities issued_x000D_
Own funds  =  Non-eligible_x000D_
Residual maturity  =  &gt;= 1 year &lt; 2 years_x000D_
Subordinated  =  Subordinated financial liabilities</t>
        </r>
      </text>
    </comment>
    <comment ref="H56" authorId="0" shapeId="0">
      <text>
        <r>
          <rPr>
            <sz val="9"/>
            <color indexed="81"/>
            <rFont val="Tahoma"/>
            <family val="2"/>
          </rPr>
          <t>DataPointVID 410018_x000D_
DataPointID 410018_x000D_
Metric  =  Carrying amount [mi]_x000D_
Base  =  Liabilities_x000D_
Counterparty sector  =  Financial corporations other than credit institutions_x000D_
Exclusion from Bail-in  =  Not excluded from bail-in_x000D_
Main category  =  Deposits, Debt securities issued_x000D_
Own funds  =  Non-eligible_x000D_
Residual maturity  =  &gt;= 1 year &lt; 2 years_x000D_
Subordinated  =  Subordinated financial liabilities</t>
        </r>
      </text>
    </comment>
    <comment ref="I56" authorId="0" shapeId="0">
      <text>
        <r>
          <rPr>
            <sz val="9"/>
            <color indexed="81"/>
            <rFont val="Tahoma"/>
            <family val="2"/>
          </rPr>
          <t>DataPointVID 409993_x000D_
DataPointID 409993_x000D_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Residual maturity  =  &gt;= 1 year &lt; 2 years_x000D_
Subordinated  =  Subordinated financial liabilities</t>
        </r>
      </text>
    </comment>
    <comment ref="J56" authorId="0" shapeId="0">
      <text>
        <r>
          <rPr>
            <sz val="9"/>
            <color indexed="81"/>
            <rFont val="Tahoma"/>
            <family val="2"/>
          </rPr>
          <t>DataPointVID 410042_x000D_
DataPointID 410042_x000D_
Metric  =  Carrying amount [mi]_x000D_
Base  =  Liabilities_x000D_
Counterparty sector  =  Central banks, general governments_x000D_
Exclusion from Bail-in  =  Not excluded from bail-in_x000D_
Main category  =  Deposits, Debt securities issued_x000D_
Own funds  =  Non-eligible_x000D_
Residual maturity  =  &gt;= 1 year &lt; 2 years_x000D_
Subordinated  =  Subordinated financial liabilities</t>
        </r>
      </text>
    </comment>
    <comment ref="K56" authorId="0" shapeId="0">
      <text>
        <r>
          <rPr>
            <sz val="9"/>
            <color indexed="81"/>
            <rFont val="Tahoma"/>
            <family val="2"/>
          </rPr>
          <t>DataPointVID 409589_x000D_
DataPointID 409589_x000D_
Metric  =  Carrying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Residual maturity  =  &gt;= 1 year &lt; 2 years_x000D_
Subordinated  =  Subordinated financial liabilities</t>
        </r>
      </text>
    </comment>
    <comment ref="L56" authorId="0" shapeId="0">
      <text>
        <r>
          <rPr>
            <sz val="9"/>
            <color indexed="81"/>
            <rFont val="Tahoma"/>
            <family val="2"/>
          </rPr>
          <t>DataPointVID 409537_x000D_
DataPointID 409537_x000D_
Metric  =  Carrying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Residual maturity  =  &gt;= 1 year &lt; 2 years_x000D_
Subordinated  =  Subordinated financial liabilities</t>
        </r>
      </text>
    </comment>
    <comment ref="M56" authorId="0" shapeId="0">
      <text>
        <r>
          <rPr>
            <sz val="9"/>
            <color indexed="81"/>
            <rFont val="Tahoma"/>
            <family val="2"/>
          </rPr>
          <t>DataPointVID 410098_x000D_
DataPointID 410098_x000D_
Metric  =  Carrying amount [mi]_x000D_
Base  =  Liabilities_x000D_
Exclusion from Bail-in  =  Not excluded from bail-in_x000D_
Main category  =  Deposits, Debt securities issued_x000D_
Own funds  =  Non-eligible_x000D_
Residual maturity  =  &gt;= 1 year &lt; 2 years_x000D_
Subordinated  =  Subordinated financial liabilities</t>
        </r>
      </text>
    </comment>
    <comment ref="N56" authorId="0" shapeId="0">
      <text>
        <r>
          <rPr>
            <sz val="9"/>
            <color indexed="81"/>
            <rFont val="Tahoma"/>
            <family val="2"/>
          </rPr>
          <t>DataPointVID 410096_x000D_
DataPointID 410096_x000D_
Metric  =  Carrying amount [mi]_x000D_
Base  =  Liabilities_x000D_
Exclusion from Bail-in  =  Not excluded from bail-in_x000D_
Main category  =  Deposits, Debt securities issued_x000D_
Own funds  =  Non-eligible_x000D_
Residual maturity  =  &gt;= 1 year &lt; 2 years_x000D_
Related parties/Relationships  =  Intra-group_x000D_
Subordinated  =  Subordinated financial liabilities</t>
        </r>
      </text>
    </comment>
    <comment ref="O56" authorId="0" shapeId="0">
      <text>
        <r>
          <rPr>
            <sz val="9"/>
            <color indexed="81"/>
            <rFont val="Tahoma"/>
            <family val="2"/>
          </rPr>
          <t>DataPointVID 410097_x000D_
DataPointID 410097_x000D_
Metric  =  Carrying amount [mi]_x000D_
Base  =  Liabilities_x000D_
Exclusion from Bail-in  =  Not excluded from bail-in_x000D_
Main category  =  Deposits, Debt securities issued_x000D_
Own funds  =  Non-eligible_x000D_
Residual maturity  =  &gt;= 1 year &lt; 2 years_x000D_
Related parties/Relationships  =  Non intra-group_x000D_
Governed by law of an EU Member State  =  False_x000D_
Subordinated  =  Subordinated financial liabilities</t>
        </r>
      </text>
    </comment>
    <comment ref="C57" authorId="0" shapeId="0">
      <text>
        <r>
          <rPr>
            <sz val="9"/>
            <color indexed="81"/>
            <rFont val="Tahoma"/>
            <family val="2"/>
          </rPr>
          <t>Metric  =  Carrying amount [mi]_x000D_
Base  =  Liabilities_x000D_
Main category  =  Deposits, Debt securities issued_x000D_
Own funds  =  Non-eligible_x000D_
Residual maturity  =  &gt;= 2 years_x000D_
Subordinated  =  Subordinated financial liabilities_x000D_
Exclusion from Bail-in  =  Not excluded from bail-in</t>
        </r>
      </text>
    </comment>
    <comment ref="D57" authorId="0" shapeId="0">
      <text>
        <r>
          <rPr>
            <sz val="9"/>
            <color indexed="81"/>
            <rFont val="Tahoma"/>
            <family val="2"/>
          </rPr>
          <t>DataPointVID 409921_x000D_
DataPointID 409921_x000D_
Metric  =  Carrying amount [mi]_x000D_
Base  =  Liabilities_x000D_
Counterparty sector  =  Households_x000D_
Exclusion from Bail-in  =  Not excluded from bail-in_x000D_
Main category  =  Deposits, Debt securities issued_x000D_
Own funds  =  Non-eligible_x000D_
Residual maturity  =  &gt;= 2 years_x000D_
Subordinated  =  Subordinated financial liabilities</t>
        </r>
      </text>
    </comment>
    <comment ref="E57" authorId="0" shapeId="0">
      <text>
        <r>
          <rPr>
            <sz val="9"/>
            <color indexed="81"/>
            <rFont val="Tahoma"/>
            <family val="2"/>
          </rPr>
          <t>DataPointVID 409948_x000D_
DataPointID 409948_x000D_
Metric  =  Carrying amount [mi]_x000D_
Base  =  Liabilities_x000D_
Counterparty sector  =  Non-financial corporations_x000D_
Size of the counterparty  =  SME_x000D_
Exclusion from Bail-in  =  Not excluded from bail-in_x000D_
Main category  =  Deposits, Debt securities issued_x000D_
Own funds  =  Non-eligible_x000D_
Residual maturity  =  &gt;= 2 years_x000D_
Subordinated  =  Subordinated financial liabilities</t>
        </r>
      </text>
    </comment>
    <comment ref="F57" authorId="0" shapeId="0">
      <text>
        <r>
          <rPr>
            <sz val="9"/>
            <color indexed="81"/>
            <rFont val="Tahoma"/>
            <family val="2"/>
          </rPr>
          <t>DataPointVID 423081_x000D_
DataPointID 409969_x000D_
Metric  =  Carrying amount [mi]_x000D_
Base  =  Liabilities_x000D_
Counterparty sector  =  Non-financial corporations_x000D_
Size of the counterparty  =  Counterparties other than SME_x000D_
Exclusion from Bail-in  =  Not excluded from bail-in_x000D_
Main category  =  Deposits, Debt securities issued_x000D_
Own funds  =  Non-eligible_x000D_
Residual maturity  =  &gt;= 2 years_x000D_
Subordinated  =  Subordinated financial liabilities</t>
        </r>
      </text>
    </comment>
    <comment ref="G57" authorId="0" shapeId="0">
      <text>
        <r>
          <rPr>
            <sz val="9"/>
            <color indexed="81"/>
            <rFont val="Tahoma"/>
            <family val="2"/>
          </rPr>
          <t>DataPointVID 409896_x000D_
DataPointID 409896_x000D_
Metric  =  Carrying amount [mi]_x000D_
Base  =  Liabilities_x000D_
Counterparty sector  =  Credit institutions_x000D_
Exclusion from Bail-in  =  Not excluded from bail-in_x000D_
Main category  =  Deposits, Debt securities issued_x000D_
Own funds  =  Non-eligible_x000D_
Residual maturity  =  &gt;= 2 years_x000D_
Subordinated  =  Subordinated financial liabilities</t>
        </r>
      </text>
    </comment>
    <comment ref="H57" authorId="0" shapeId="0">
      <text>
        <r>
          <rPr>
            <sz val="9"/>
            <color indexed="81"/>
            <rFont val="Tahoma"/>
            <family val="2"/>
          </rPr>
          <t>DataPointVID 410019_x000D_
DataPointID 410019_x000D_
Metric  =  Carrying amount [mi]_x000D_
Base  =  Liabilities_x000D_
Counterparty sector  =  Financial corporations other than credit institutions_x000D_
Exclusion from Bail-in  =  Not excluded from bail-in_x000D_
Main category  =  Deposits, Debt securities issued_x000D_
Own funds  =  Non-eligible_x000D_
Residual maturity  =  &gt;= 2 years_x000D_
Subordinated  =  Subordinated financial liabilities</t>
        </r>
      </text>
    </comment>
    <comment ref="I57" authorId="0" shapeId="0">
      <text>
        <r>
          <rPr>
            <sz val="9"/>
            <color indexed="81"/>
            <rFont val="Tahoma"/>
            <family val="2"/>
          </rPr>
          <t>DataPointVID 409994_x000D_
DataPointID 409994_x000D_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Deposits, Debt securities issued_x000D_
Own funds  =  Non-eligible_x000D_
Residual maturity  =  &gt;= 2 years_x000D_
Subordinated  =  Subordinated financial liabilities</t>
        </r>
      </text>
    </comment>
    <comment ref="J57" authorId="0" shapeId="0">
      <text>
        <r>
          <rPr>
            <sz val="9"/>
            <color indexed="81"/>
            <rFont val="Tahoma"/>
            <family val="2"/>
          </rPr>
          <t>DataPointVID 410043_x000D_
DataPointID 410043_x000D_
Metric  =  Carrying amount [mi]_x000D_
Base  =  Liabilities_x000D_
Counterparty sector  =  Central banks, general governments_x000D_
Exclusion from Bail-in  =  Not excluded from bail-in_x000D_
Main category  =  Deposits, Debt securities issued_x000D_
Own funds  =  Non-eligible_x000D_
Residual maturity  =  &gt;= 2 years_x000D_
Subordinated  =  Subordinated financial liabilities</t>
        </r>
      </text>
    </comment>
    <comment ref="K57" authorId="0" shapeId="0">
      <text>
        <r>
          <rPr>
            <sz val="9"/>
            <color indexed="81"/>
            <rFont val="Tahoma"/>
            <family val="2"/>
          </rPr>
          <t>DataPointVID 409590_x000D_
DataPointID 409590_x000D_
Metric  =  Carrying amount [mi]_x000D_
Base  =  Liabilities_x000D_
Instrument is listed on exchange  =  True_x000D_
Counterparty sector  =  Unknown counterparty_x000D_
Exclusion from Bail-in  =  Not excluded from bail-in_x000D_
Main category  =  Deposits, Debt securities issued_x000D_
Own funds  =  Non-eligible_x000D_
Residual maturity  =  &gt;= 2 years_x000D_
Subordinated  =  Subordinated financial liabilities</t>
        </r>
      </text>
    </comment>
    <comment ref="L57" authorId="0" shapeId="0">
      <text>
        <r>
          <rPr>
            <sz val="9"/>
            <color indexed="81"/>
            <rFont val="Tahoma"/>
            <family val="2"/>
          </rPr>
          <t>DataPointVID 409538_x000D_
DataPointID 409538_x000D_
Metric  =  Carrying amount [mi]_x000D_
Base  =  Liabilities_x000D_
Instrument is listed on exchange  =  False_x000D_
Counterparty sector  =  Unknown counterparty_x000D_
Exclusion from Bail-in  =  Not excluded from bail-in_x000D_
Main category  =  Deposits, Debt securities issued_x000D_
Own funds  =  Non-eligible_x000D_
Residual maturity  =  &gt;= 2 years_x000D_
Subordinated  =  Subordinated financial liabilities</t>
        </r>
      </text>
    </comment>
    <comment ref="M57" authorId="0" shapeId="0">
      <text>
        <r>
          <rPr>
            <sz val="9"/>
            <color indexed="81"/>
            <rFont val="Tahoma"/>
            <family val="2"/>
          </rPr>
          <t>DataPointVID 410101_x000D_
DataPointID 410101_x000D_
Metric  =  Carrying amount [mi]_x000D_
Base  =  Liabilities_x000D_
Exclusion from Bail-in  =  Not excluded from bail-in_x000D_
Main category  =  Deposits, Debt securities issued_x000D_
Own funds  =  Non-eligible_x000D_
Residual maturity  =  &gt;= 2 years_x000D_
Subordinated  =  Subordinated financial liabilities</t>
        </r>
      </text>
    </comment>
    <comment ref="N57" authorId="0" shapeId="0">
      <text>
        <r>
          <rPr>
            <sz val="9"/>
            <color indexed="81"/>
            <rFont val="Tahoma"/>
            <family val="2"/>
          </rPr>
          <t>DataPointVID 410099_x000D_
DataPointID 410099_x000D_
Metric  =  Carrying amount [mi]_x000D_
Base  =  Liabilities_x000D_
Exclusion from Bail-in  =  Not excluded from bail-in_x000D_
Main category  =  Deposits, Debt securities issued_x000D_
Own funds  =  Non-eligible_x000D_
Residual maturity  =  &gt;= 2 years_x000D_
Related parties/Relationships  =  Intra-group_x000D_
Subordinated  =  Subordinated financial liabilities</t>
        </r>
      </text>
    </comment>
    <comment ref="O57" authorId="0" shapeId="0">
      <text>
        <r>
          <rPr>
            <sz val="9"/>
            <color indexed="81"/>
            <rFont val="Tahoma"/>
            <family val="2"/>
          </rPr>
          <t>DataPointVID 410100_x000D_
DataPointID 410100_x000D_
Metric  =  Carrying amount [mi]_x000D_
Base  =  Liabilities_x000D_
Exclusion from Bail-in  =  Not excluded from bail-in_x000D_
Main category  =  Deposits, Debt securities issued_x000D_
Own funds  =  Non-eligible_x000D_
Residual maturity  =  &gt;= 2 years_x000D_
Related parties/Relationships  =  Non intra-group_x000D_
Governed by law of an EU Member State  =  False_x000D_
Subordinated  =  Subordinated financial liabilities</t>
        </r>
      </text>
    </comment>
    <comment ref="C58" authorId="0" shapeId="0">
      <text>
        <r>
          <rPr>
            <sz val="9"/>
            <color indexed="81"/>
            <rFont val="Tahoma"/>
            <family val="2"/>
          </rPr>
          <t>Metric  =  Carrying amount [mi]_x000D_
Base  =  Liabilities_x000D_
Exclusion from Bail-in  =  Not excluded from bail-in_x000D_
Eligibility for MREL  =  Eligible</t>
        </r>
      </text>
    </comment>
    <comment ref="D58" authorId="0" shapeId="0">
      <text>
        <r>
          <rPr>
            <sz val="9"/>
            <color indexed="81"/>
            <rFont val="Tahoma"/>
            <family val="2"/>
          </rPr>
          <t>DataPointVID 409926_x000D_
DataPointID 409926_x000D_
Metric  =  Carrying amount [mi]_x000D_
Base  =  Liabilities_x000D_
Counterparty sector  =  Households_x000D_
Exclusion from Bail-in  =  Not excluded from bail-in_x000D_
Eligibility for MREL  =  Eligible</t>
        </r>
      </text>
    </comment>
    <comment ref="E58" authorId="0" shapeId="0">
      <text>
        <r>
          <rPr>
            <sz val="9"/>
            <color indexed="81"/>
            <rFont val="Tahoma"/>
            <family val="2"/>
          </rPr>
          <t>DataPointVID 409953_x000D_
DataPointID 409953_x000D_
Metric  =  Carrying amount [mi]_x000D_
Base  =  Liabilities_x000D_
Counterparty sector  =  Non-financial corporations_x000D_
Size of the counterparty  =  SME_x000D_
Exclusion from Bail-in  =  Not excluded from bail-in_x000D_
Eligibility for MREL  =  Eligible</t>
        </r>
      </text>
    </comment>
    <comment ref="F58" authorId="0" shapeId="0">
      <text>
        <r>
          <rPr>
            <sz val="9"/>
            <color indexed="81"/>
            <rFont val="Tahoma"/>
            <family val="2"/>
          </rPr>
          <t>DataPointVID 423086_x000D_
DataPointID 409974_x000D_
Metric  =  Carrying amount [mi]_x000D_
Base  =  Liabilities_x000D_
Counterparty sector  =  Non-financial corporations_x000D_
Size of the counterparty  =  Counterparties other than SME_x000D_
Exclusion from Bail-in  =  Not excluded from bail-in_x000D_
Eligibility for MREL  =  Eligible</t>
        </r>
      </text>
    </comment>
    <comment ref="G58" authorId="0" shapeId="0">
      <text>
        <r>
          <rPr>
            <sz val="9"/>
            <color indexed="81"/>
            <rFont val="Tahoma"/>
            <family val="2"/>
          </rPr>
          <t>DataPointVID 409901_x000D_
DataPointID 409901_x000D_
Metric  =  Carrying amount [mi]_x000D_
Base  =  Liabilities_x000D_
Counterparty sector  =  Credit institutions_x000D_
Exclusion from Bail-in  =  Not excluded from bail-in_x000D_
Eligibility for MREL  =  Eligible</t>
        </r>
      </text>
    </comment>
    <comment ref="H58" authorId="0" shapeId="0">
      <text>
        <r>
          <rPr>
            <sz val="9"/>
            <color indexed="81"/>
            <rFont val="Tahoma"/>
            <family val="2"/>
          </rPr>
          <t>DataPointVID 410024_x000D_
DataPointID 410024_x000D_
Metric  =  Carrying amount [mi]_x000D_
Base  =  Liabilities_x000D_
Counterparty sector  =  Financial corporations other than credit institutions_x000D_
Exclusion from Bail-in  =  Not excluded from bail-in_x000D_
Eligibility for MREL  =  Eligible</t>
        </r>
      </text>
    </comment>
    <comment ref="I58" authorId="0" shapeId="0">
      <text>
        <r>
          <rPr>
            <sz val="9"/>
            <color indexed="81"/>
            <rFont val="Tahoma"/>
            <family val="2"/>
          </rPr>
          <t>DataPointVID 409999_x000D_
DataPointID 409999_x000D_
Metric  =  Carrying amount [mi]_x000D_
Base  =  Liabilities_x000D_
Counterparty sector  =  Financial corporations other than credit institutions_x000D_
Counterparty nature 2  =  Insurance companies, pension funds_x000D_
Exclusion from Bail-in  =  Not excluded from bail-in_x000D_
Eligibility for MREL  =  Eligible</t>
        </r>
      </text>
    </comment>
    <comment ref="J58" authorId="0" shapeId="0">
      <text>
        <r>
          <rPr>
            <sz val="9"/>
            <color indexed="81"/>
            <rFont val="Tahoma"/>
            <family val="2"/>
          </rPr>
          <t>DataPointVID 410048_x000D_
DataPointID 410048_x000D_
Metric  =  Carrying amount [mi]_x000D_
Base  =  Liabilities_x000D_
Counterparty sector  =  Central banks, general governments_x000D_
Exclusion from Bail-in  =  Not excluded from bail-in_x000D_
Eligibility for MREL  =  Eligible</t>
        </r>
      </text>
    </comment>
    <comment ref="K58" authorId="0" shapeId="0">
      <text>
        <r>
          <rPr>
            <sz val="9"/>
            <color indexed="81"/>
            <rFont val="Tahoma"/>
            <family val="2"/>
          </rPr>
          <t>DataPointVID 409595_x000D_
DataPointID 409595_x000D_
Metric  =  Carrying amount [mi]_x000D_
Base  =  Liabilities_x000D_
Instrument is listed on exchange  =  True_x000D_
Counterparty sector  =  Unknown counterparty_x000D_
Exclusion from Bail-in  =  Not excluded from bail-in_x000D_
Eligibility for MREL  =  Eligible</t>
        </r>
      </text>
    </comment>
    <comment ref="L58" authorId="0" shapeId="0">
      <text>
        <r>
          <rPr>
            <sz val="9"/>
            <color indexed="81"/>
            <rFont val="Tahoma"/>
            <family val="2"/>
          </rPr>
          <t>DataPointVID 409543_x000D_
DataPointID 409543_x000D_
Metric  =  Carrying amount [mi]_x000D_
Base  =  Liabilities_x000D_
Instrument is listed on exchange  =  False_x000D_
Counterparty sector  =  Unknown counterparty_x000D_
Exclusion from Bail-in  =  Not excluded from bail-in_x000D_
Eligibility for MREL  =  Eligible</t>
        </r>
      </text>
    </comment>
    <comment ref="M58" authorId="0" shapeId="0">
      <text>
        <r>
          <rPr>
            <sz val="9"/>
            <color indexed="81"/>
            <rFont val="Tahoma"/>
            <family val="2"/>
          </rPr>
          <t>DataPointVID 410114_x000D_
DataPointID 410114_x000D_
Metric  =  Carrying amount [mi]_x000D_
Base  =  Liabilities_x000D_
Exclusion from Bail-in  =  Not excluded from bail-in_x000D_
Eligibility for MREL  =  Eligible</t>
        </r>
      </text>
    </comment>
    <comment ref="N58" authorId="0" shapeId="0">
      <text>
        <r>
          <rPr>
            <sz val="9"/>
            <color indexed="81"/>
            <rFont val="Tahoma"/>
            <family val="2"/>
          </rPr>
          <t>DataPointVID 410121_x000D_
DataPointID 410121_x000D_
Metric  =  Carrying amount [mi]_x000D_
Base  =  Liabilities_x000D_
Exclusion from Bail-in  =  Not excluded from bail-in_x000D_
Eligibility for MREL  =  Eligible_x000D_
Related parties/Relationships  =  Intra-group</t>
        </r>
      </text>
    </comment>
    <comment ref="O58" authorId="0" shapeId="0">
      <text>
        <r>
          <rPr>
            <sz val="9"/>
            <color indexed="81"/>
            <rFont val="Tahoma"/>
            <family val="2"/>
          </rPr>
          <t>DataPointVID 410122_x000D_
DataPointID 410122_x000D_
Metric  =  Carrying amount [mi]_x000D_
Base  =  Liabilities_x000D_
Exclusion from Bail-in  =  Not excluded from bail-in_x000D_
Eligibility for MREL  =  Eligible_x000D_
Related parties/Relationships  =  Non intra-group_x000D_
Governed by law of an EU Member State  =  False</t>
        </r>
      </text>
    </comment>
    <comment ref="C59" authorId="0" shapeId="0">
      <text>
        <r>
          <rPr>
            <sz val="9"/>
            <color indexed="81"/>
            <rFont val="Tahoma"/>
            <family val="2"/>
          </rPr>
          <t>Metric  =  Carrying amount [mi]_x000D_
Base  =  Liabilities_x000D_
Residual maturity  =  &gt;= 1 year &lt; 2 years_x000D_
Exclusion from Bail-in  =  Not excluded from bail-in_x000D_
Eligibility for MREL  =  Eligible</t>
        </r>
      </text>
    </comment>
    <comment ref="D59" authorId="0" shapeId="0">
      <text>
        <r>
          <rPr>
            <sz val="9"/>
            <color indexed="81"/>
            <rFont val="Tahoma"/>
            <family val="2"/>
          </rPr>
          <t>DataPointVID 409927_x000D_
DataPointID 409927_x000D_
Metric  =  Carrying amount [mi]_x000D_
Base  =  Liabilities_x000D_
Counterparty sector  =  Households_x000D_
Exclusion from Bail-in  =  Not excluded from bail-in_x000D_
Eligibility for MREL  =  Eligible_x000D_
Residual maturity  =  &gt;= 1 year &lt; 2 years</t>
        </r>
      </text>
    </comment>
    <comment ref="E59" authorId="0" shapeId="0">
      <text>
        <r>
          <rPr>
            <sz val="9"/>
            <color indexed="81"/>
            <rFont val="Tahoma"/>
            <family val="2"/>
          </rPr>
          <t>DataPointVID 409954_x000D_
DataPointID 409954_x000D_
Metric  =  Carrying amount [mi]_x000D_
Base  =  Liabilities_x000D_
Counterparty sector  =  Non-financial corporations_x000D_
Size of the counterparty  =  SME_x000D_
Exclusion from Bail-in  =  Not excluded from bail-in_x000D_
Eligibility for MREL  =  Eligible_x000D_
Residual maturity  =  &gt;= 1 year &lt; 2 years</t>
        </r>
      </text>
    </comment>
    <comment ref="F59" authorId="0" shapeId="0">
      <text>
        <r>
          <rPr>
            <sz val="9"/>
            <color indexed="81"/>
            <rFont val="Tahoma"/>
            <family val="2"/>
          </rPr>
          <t>DataPointVID 423087_x000D_
DataPointID 409975_x000D_
Metric  =  Carrying amount [mi]_x000D_
Base  =  Liabilities_x000D_
Counterparty sector  =  Non-financial corporations_x000D_
Size of the counterparty  =  Counterparties other than SME_x000D_
Exclusion from Bail-in  =  Not excluded from bail-in_x000D_
Eligibility for MREL  =  Eligible_x000D_
Residual maturity  =  &gt;= 1 year &lt; 2 years</t>
        </r>
      </text>
    </comment>
    <comment ref="G59" authorId="0" shapeId="0">
      <text>
        <r>
          <rPr>
            <sz val="9"/>
            <color indexed="81"/>
            <rFont val="Tahoma"/>
            <family val="2"/>
          </rPr>
          <t>DataPointVID 409902_x000D_
DataPointID 409902_x000D_
Metric  =  Carrying amount [mi]_x000D_
Base  =  Liabilities_x000D_
Counterparty sector  =  Credit institutions_x000D_
Exclusion from Bail-in  =  Not excluded from bail-in_x000D_
Eligibility for MREL  =  Eligible_x000D_
Residual maturity  =  &gt;= 1 year &lt; 2 years</t>
        </r>
      </text>
    </comment>
    <comment ref="H59" authorId="0" shapeId="0">
      <text>
        <r>
          <rPr>
            <sz val="9"/>
            <color indexed="81"/>
            <rFont val="Tahoma"/>
            <family val="2"/>
          </rPr>
          <t>DataPointVID 410025_x000D_
DataPointID 410025_x000D_
Metric  =  Carrying amount [mi]_x000D_
Base  =  Liabilities_x000D_
Counterparty sector  =  Financial corporations other than credit institutions_x000D_
Exclusion from Bail-in  =  Not excluded from bail-in_x000D_
Eligibility for MREL  =  Eligible_x000D_
Residual maturity  =  &gt;= 1 year &lt; 2 years</t>
        </r>
      </text>
    </comment>
    <comment ref="I59" authorId="0" shapeId="0">
      <text>
        <r>
          <rPr>
            <sz val="9"/>
            <color indexed="81"/>
            <rFont val="Tahoma"/>
            <family val="2"/>
          </rPr>
          <t>DataPointVID 410000_x000D_
DataPointID 410000_x000D_
Metric  =  Carrying amount [mi]_x000D_
Base  =  Liabilities_x000D_
Counterparty sector  =  Financial corporations other than credit institutions_x000D_
Counterparty nature 2  =  Insurance companies, pension funds_x000D_
Exclusion from Bail-in  =  Not excluded from bail-in_x000D_
Eligibility for MREL  =  Eligible_x000D_
Residual maturity  =  &gt;= 1 year &lt; 2 years</t>
        </r>
      </text>
    </comment>
    <comment ref="J59" authorId="0" shapeId="0">
      <text>
        <r>
          <rPr>
            <sz val="9"/>
            <color indexed="81"/>
            <rFont val="Tahoma"/>
            <family val="2"/>
          </rPr>
          <t>DataPointVID 410049_x000D_
DataPointID 410049_x000D_
Metric  =  Carrying amount [mi]_x000D_
Base  =  Liabilities_x000D_
Counterparty sector  =  Central banks, general governments_x000D_
Exclusion from Bail-in  =  Not excluded from bail-in_x000D_
Eligibility for MREL  =  Eligible_x000D_
Residual maturity  =  &gt;= 1 year &lt; 2 years</t>
        </r>
      </text>
    </comment>
    <comment ref="K59" authorId="0" shapeId="0">
      <text>
        <r>
          <rPr>
            <sz val="9"/>
            <color indexed="81"/>
            <rFont val="Tahoma"/>
            <family val="2"/>
          </rPr>
          <t>DataPointVID 409596_x000D_
DataPointID 409596_x000D_
Metric  =  Carrying amount [mi]_x000D_
Base  =  Liabilities_x000D_
Instrument is listed on exchange  =  True_x000D_
Counterparty sector  =  Unknown counterparty_x000D_
Exclusion from Bail-in  =  Not excluded from bail-in_x000D_
Eligibility for MREL  =  Eligible_x000D_
Residual maturity  =  &gt;= 1 year &lt; 2 years</t>
        </r>
      </text>
    </comment>
    <comment ref="L59" authorId="0" shapeId="0">
      <text>
        <r>
          <rPr>
            <sz val="9"/>
            <color indexed="81"/>
            <rFont val="Tahoma"/>
            <family val="2"/>
          </rPr>
          <t>DataPointVID 409544_x000D_
DataPointID 409544_x000D_
Metric  =  Carrying amount [mi]_x000D_
Base  =  Liabilities_x000D_
Instrument is listed on exchange  =  False_x000D_
Counterparty sector  =  Unknown counterparty_x000D_
Exclusion from Bail-in  =  Not excluded from bail-in_x000D_
Eligibility for MREL  =  Eligible_x000D_
Residual maturity  =  &gt;= 1 year &lt; 2 years</t>
        </r>
      </text>
    </comment>
    <comment ref="M59" authorId="0" shapeId="0">
      <text>
        <r>
          <rPr>
            <sz val="9"/>
            <color indexed="81"/>
            <rFont val="Tahoma"/>
            <family val="2"/>
          </rPr>
          <t>DataPointVID 410115_x000D_
DataPointID 410115_x000D_
Metric  =  Carrying amount [mi]_x000D_
Base  =  Liabilities_x000D_
Exclusion from Bail-in  =  Not excluded from bail-in_x000D_
Eligibility for MREL  =  Eligible_x000D_
Residual maturity  =  &gt;= 1 year &lt; 2 years</t>
        </r>
      </text>
    </comment>
    <comment ref="N59" authorId="0" shapeId="0">
      <text>
        <r>
          <rPr>
            <sz val="9"/>
            <color indexed="81"/>
            <rFont val="Tahoma"/>
            <family val="2"/>
          </rPr>
          <t>DataPointVID 410116_x000D_
DataPointID 410116_x000D_
Metric  =  Carrying amount [mi]_x000D_
Base  =  Liabilities_x000D_
Exclusion from Bail-in  =  Not excluded from bail-in_x000D_
Eligibility for MREL  =  Eligible_x000D_
Residual maturity  =  &gt;= 1 year &lt; 2 years_x000D_
Related parties/Relationships  =  Intra-group</t>
        </r>
      </text>
    </comment>
    <comment ref="O59" authorId="0" shapeId="0">
      <text>
        <r>
          <rPr>
            <sz val="9"/>
            <color indexed="81"/>
            <rFont val="Tahoma"/>
            <family val="2"/>
          </rPr>
          <t>DataPointVID 410117_x000D_
DataPointID 410117_x000D_
Metric  =  Carrying amount [mi]_x000D_
Base  =  Liabilities_x000D_
Exclusion from Bail-in  =  Not excluded from bail-in_x000D_
Eligibility for MREL  =  Eligible_x000D_
Residual maturity  =  &gt;= 1 year &lt; 2 years_x000D_
Related parties/Relationships  =  Non intra-group_x000D_
Governed by law of an EU Member State  =  False</t>
        </r>
      </text>
    </comment>
    <comment ref="C60" authorId="0" shapeId="0">
      <text>
        <r>
          <rPr>
            <sz val="9"/>
            <color indexed="81"/>
            <rFont val="Tahoma"/>
            <family val="2"/>
          </rPr>
          <t>Metric  =  Carrying amount [mi]_x000D_
Base  =  Liabilities_x000D_
Residual maturity  =  &gt;= 2 years_x000D_
Exclusion from Bail-in  =  Not excluded from bail-in_x000D_
Eligibility for MREL  =  Eligible</t>
        </r>
      </text>
    </comment>
    <comment ref="D60" authorId="0" shapeId="0">
      <text>
        <r>
          <rPr>
            <sz val="9"/>
            <color indexed="81"/>
            <rFont val="Tahoma"/>
            <family val="2"/>
          </rPr>
          <t>DataPointVID 409928_x000D_
DataPointID 409928_x000D_
Metric  =  Carrying amount [mi]_x000D_
Base  =  Liabilities_x000D_
Counterparty sector  =  Households_x000D_
Exclusion from Bail-in  =  Not excluded from bail-in_x000D_
Eligibility for MREL  =  Eligible_x000D_
Residual maturity  =  &gt;= 2 years</t>
        </r>
      </text>
    </comment>
    <comment ref="E60" authorId="0" shapeId="0">
      <text>
        <r>
          <rPr>
            <sz val="9"/>
            <color indexed="81"/>
            <rFont val="Tahoma"/>
            <family val="2"/>
          </rPr>
          <t>DataPointVID 409955_x000D_
DataPointID 409955_x000D_
Metric  =  Carrying amount [mi]_x000D_
Base  =  Liabilities_x000D_
Counterparty sector  =  Non-financial corporations_x000D_
Size of the counterparty  =  SME_x000D_
Exclusion from Bail-in  =  Not excluded from bail-in_x000D_
Eligibility for MREL  =  Eligible_x000D_
Residual maturity  =  &gt;= 2 years</t>
        </r>
      </text>
    </comment>
    <comment ref="F60" authorId="0" shapeId="0">
      <text>
        <r>
          <rPr>
            <sz val="9"/>
            <color indexed="81"/>
            <rFont val="Tahoma"/>
            <family val="2"/>
          </rPr>
          <t>DataPointVID 423088_x000D_
DataPointID 409976_x000D_
Metric  =  Carrying amount [mi]_x000D_
Base  =  Liabilities_x000D_
Counterparty sector  =  Non-financial corporations_x000D_
Size of the counterparty  =  Counterparties other than SME_x000D_
Exclusion from Bail-in  =  Not excluded from bail-in_x000D_
Eligibility for MREL  =  Eligible_x000D_
Residual maturity  =  &gt;= 2 years</t>
        </r>
      </text>
    </comment>
    <comment ref="G60" authorId="0" shapeId="0">
      <text>
        <r>
          <rPr>
            <sz val="9"/>
            <color indexed="81"/>
            <rFont val="Tahoma"/>
            <family val="2"/>
          </rPr>
          <t>DataPointVID 409903_x000D_
DataPointID 409903_x000D_
Metric  =  Carrying amount [mi]_x000D_
Base  =  Liabilities_x000D_
Counterparty sector  =  Credit institutions_x000D_
Exclusion from Bail-in  =  Not excluded from bail-in_x000D_
Eligibility for MREL  =  Eligible_x000D_
Residual maturity  =  &gt;= 2 years</t>
        </r>
      </text>
    </comment>
    <comment ref="H60" authorId="0" shapeId="0">
      <text>
        <r>
          <rPr>
            <sz val="9"/>
            <color indexed="81"/>
            <rFont val="Tahoma"/>
            <family val="2"/>
          </rPr>
          <t>DataPointVID 410026_x000D_
DataPointID 410026_x000D_
Metric  =  Carrying amount [mi]_x000D_
Base  =  Liabilities_x000D_
Counterparty sector  =  Financial corporations other than credit institutions_x000D_
Exclusion from Bail-in  =  Not excluded from bail-in_x000D_
Eligibility for MREL  =  Eligible_x000D_
Residual maturity  =  &gt;= 2 years</t>
        </r>
      </text>
    </comment>
    <comment ref="I60" authorId="0" shapeId="0">
      <text>
        <r>
          <rPr>
            <sz val="9"/>
            <color indexed="81"/>
            <rFont val="Tahoma"/>
            <family val="2"/>
          </rPr>
          <t>DataPointVID 410001_x000D_
DataPointID 410001_x000D_
Metric  =  Carrying amount [mi]_x000D_
Base  =  Liabilities_x000D_
Counterparty sector  =  Financial corporations other than credit institutions_x000D_
Counterparty nature 2  =  Insurance companies, pension funds_x000D_
Exclusion from Bail-in  =  Not excluded from bail-in_x000D_
Eligibility for MREL  =  Eligible_x000D_
Residual maturity  =  &gt;= 2 years</t>
        </r>
      </text>
    </comment>
    <comment ref="J60" authorId="0" shapeId="0">
      <text>
        <r>
          <rPr>
            <sz val="9"/>
            <color indexed="81"/>
            <rFont val="Tahoma"/>
            <family val="2"/>
          </rPr>
          <t>DataPointVID 410050_x000D_
DataPointID 410050_x000D_
Metric  =  Carrying amount [mi]_x000D_
Base  =  Liabilities_x000D_
Counterparty sector  =  Central banks, general governments_x000D_
Exclusion from Bail-in  =  Not excluded from bail-in_x000D_
Eligibility for MREL  =  Eligible_x000D_
Residual maturity  =  &gt;= 2 years</t>
        </r>
      </text>
    </comment>
    <comment ref="K60" authorId="0" shapeId="0">
      <text>
        <r>
          <rPr>
            <sz val="9"/>
            <color indexed="81"/>
            <rFont val="Tahoma"/>
            <family val="2"/>
          </rPr>
          <t>DataPointVID 409597_x000D_
DataPointID 409597_x000D_
Metric  =  Carrying amount [mi]_x000D_
Base  =  Liabilities_x000D_
Instrument is listed on exchange  =  True_x000D_
Counterparty sector  =  Unknown counterparty_x000D_
Exclusion from Bail-in  =  Not excluded from bail-in_x000D_
Eligibility for MREL  =  Eligible_x000D_
Residual maturity  =  &gt;= 2 years</t>
        </r>
      </text>
    </comment>
    <comment ref="L60" authorId="0" shapeId="0">
      <text>
        <r>
          <rPr>
            <sz val="9"/>
            <color indexed="81"/>
            <rFont val="Tahoma"/>
            <family val="2"/>
          </rPr>
          <t>DataPointVID 409545_x000D_
DataPointID 409545_x000D_
Metric  =  Carrying amount [mi]_x000D_
Base  =  Liabilities_x000D_
Instrument is listed on exchange  =  False_x000D_
Counterparty sector  =  Unknown counterparty_x000D_
Exclusion from Bail-in  =  Not excluded from bail-in_x000D_
Eligibility for MREL  =  Eligible_x000D_
Residual maturity  =  &gt;= 2 years</t>
        </r>
      </text>
    </comment>
    <comment ref="M60" authorId="0" shapeId="0">
      <text>
        <r>
          <rPr>
            <sz val="9"/>
            <color indexed="81"/>
            <rFont val="Tahoma"/>
            <family val="2"/>
          </rPr>
          <t>DataPointVID 410118_x000D_
DataPointID 410118_x000D_
Metric  =  Carrying amount [mi]_x000D_
Base  =  Liabilities_x000D_
Exclusion from Bail-in  =  Not excluded from bail-in_x000D_
Eligibility for MREL  =  Eligible_x000D_
Residual maturity  =  &gt;= 2 years</t>
        </r>
      </text>
    </comment>
    <comment ref="N60" authorId="0" shapeId="0">
      <text>
        <r>
          <rPr>
            <sz val="9"/>
            <color indexed="81"/>
            <rFont val="Tahoma"/>
            <family val="2"/>
          </rPr>
          <t>DataPointVID 410119_x000D_
DataPointID 410119_x000D_
Metric  =  Carrying amount [mi]_x000D_
Base  =  Liabilities_x000D_
Exclusion from Bail-in  =  Not excluded from bail-in_x000D_
Eligibility for MREL  =  Eligible_x000D_
Residual maturity  =  &gt;= 2 years_x000D_
Related parties/Relationships  =  Intra-group</t>
        </r>
      </text>
    </comment>
    <comment ref="O60" authorId="0" shapeId="0">
      <text>
        <r>
          <rPr>
            <sz val="9"/>
            <color indexed="81"/>
            <rFont val="Tahoma"/>
            <family val="2"/>
          </rPr>
          <t>DataPointVID 410120_x000D_
DataPointID 410120_x000D_
Metric  =  Carrying amount [mi]_x000D_
Base  =  Liabilities_x000D_
Exclusion from Bail-in  =  Not excluded from bail-in_x000D_
Eligibility for MREL  =  Eligible_x000D_
Residual maturity  =  &gt;= 2 years_x000D_
Related parties/Relationships  =  Non intra-group_x000D_
Governed by law of an EU Member State  =  False</t>
        </r>
      </text>
    </comment>
    <comment ref="C61" authorId="0" shapeId="0">
      <text>
        <r>
          <rPr>
            <sz val="9"/>
            <color indexed="81"/>
            <rFont val="Tahoma"/>
            <family val="2"/>
          </rPr>
          <t>Metric  =  Carrying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Counterparty nature  =  All counterparties other than employees_x000D_
Exclusion from Bail-in  =  Excluded from bail-in</t>
        </r>
      </text>
    </comment>
    <comment ref="D61" authorId="0" shapeId="0">
      <text>
        <r>
          <rPr>
            <sz val="9"/>
            <color indexed="81"/>
            <rFont val="Tahoma"/>
            <family val="2"/>
          </rPr>
          <t>DataPointVID 409907_x000D_
DataPointID 409907_x000D_
Metric  =  Carrying amount [mi]_x000D_
Base  =  Liabilities_x000D_
Counterparty sector  =  Households_x000D_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E61" authorId="0" shapeId="0">
      <text>
        <r>
          <rPr>
            <sz val="9"/>
            <color indexed="81"/>
            <rFont val="Tahoma"/>
            <family val="2"/>
          </rPr>
          <t>DataPointVID 409933_x000D_
DataPointID 409933_x000D_
Metric  =  Carrying amount [mi]_x000D_
Base  =  Liabilities_x000D_
Counterparty sector  =  Non-financial corporations_x000D_
Counterparty nature  =  All counterparties other than employees_x000D_
Size of the counterparty  =  SME_x000D_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F61" authorId="0" shapeId="0">
      <text>
        <r>
          <rPr>
            <sz val="9"/>
            <color indexed="81"/>
            <rFont val="Tahoma"/>
            <family val="2"/>
          </rPr>
          <t>DataPointVID 423066_x000D_
DataPointID 409934_x000D_
Metric  =  Carrying amount [mi]_x000D_
Base  =  Liabilities_x000D_
Counterparty sector  =  Non-financial corporations_x000D_
Counterparty nature  =  All counterparties other than employees_x000D_
Size of the counterparty  =  Counterparties other than SME_x000D_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G61" authorId="0" shapeId="0">
      <text>
        <r>
          <rPr>
            <sz val="9"/>
            <color indexed="81"/>
            <rFont val="Tahoma"/>
            <family val="2"/>
          </rPr>
          <t>DataPointVID 409882_x000D_
DataPointID 409882_x000D_
Metric  =  Carrying amount [mi]_x000D_
Base  =  Liabilities_x000D_
Counterparty sector  =  Credit institutions_x000D_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H61" authorId="0" shapeId="0">
      <text>
        <r>
          <rPr>
            <sz val="9"/>
            <color indexed="81"/>
            <rFont val="Tahoma"/>
            <family val="2"/>
          </rPr>
          <t>DataPointVID 410005_x000D_
DataPointID 410005_x000D_
Metric  =  Carrying amount [mi]_x000D_
Base  =  Liabilities_x000D_
Counterparty sector  =  Financial corporations other than credit institutions_x000D_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I61" authorId="0" shapeId="0">
      <text>
        <r>
          <rPr>
            <sz val="9"/>
            <color indexed="81"/>
            <rFont val="Tahoma"/>
            <family val="2"/>
          </rPr>
          <t>DataPointVID 409980_x000D_
DataPointID 409980_x000D_
Metric  =  Carrying amount [mi]_x000D_
Base  =  Liabilities_x000D_
Counterparty sector  =  Financial corporations other than credit institutions_x000D_
Counterparty nature 2  =  Insurance companies, pension funds_x000D_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J61" authorId="0" shapeId="0">
      <text>
        <r>
          <rPr>
            <sz val="9"/>
            <color indexed="81"/>
            <rFont val="Tahoma"/>
            <family val="2"/>
          </rPr>
          <t>DataPointVID 410030_x000D_
DataPointID 410030_x000D_
Metric  =  Carrying amount [mi]_x000D_
Base  =  Liabilities_x000D_
Counterparty sector  =  Central banks, general governments_x000D_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K61" authorId="0" shapeId="0">
      <text>
        <r>
          <rPr>
            <sz val="9"/>
            <color indexed="81"/>
            <rFont val="Tahoma"/>
            <family val="2"/>
          </rPr>
          <t>DataPointVID 409577_x000D_
DataPointID 409577_x000D_
Metric  =  Carrying amount [mi]_x000D_
Base  =  Liabilities_x000D_
Instrument is listed on exchange  =  True_x000D_
Counterparty sector  =  Unknown counterparty_x000D_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L61" authorId="0" shapeId="0">
      <text>
        <r>
          <rPr>
            <sz val="9"/>
            <color indexed="81"/>
            <rFont val="Tahoma"/>
            <family val="2"/>
          </rPr>
          <t>DataPointVID 409525_x000D_
DataPointID 409525_x000D_
Metric  =  Carrying amount [mi]_x000D_
Base  =  Liabilities_x000D_
Instrument is listed on exchange  =  False_x000D_
Counterparty sector  =  Unknown counterparty_x000D_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M61" authorId="0" shapeId="0">
      <text>
        <r>
          <rPr>
            <sz val="9"/>
            <color indexed="81"/>
            <rFont val="Tahoma"/>
            <family val="2"/>
          </rPr>
          <t>DataPointVID 410056_x000D_
DataPointID 410056_x000D_
Metric  =  Carrying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N61" authorId="0" shapeId="0">
      <text>
        <r>
          <rPr>
            <sz val="9"/>
            <color indexed="81"/>
            <rFont val="Tahoma"/>
            <family val="2"/>
          </rPr>
          <t>DataPointVID 410057_x000D_
DataPointID 410057_x000D_
Metric  =  Carrying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Related parties/Relationships  =  Intra-group</t>
        </r>
      </text>
    </comment>
    <comment ref="O61" authorId="0" shapeId="0">
      <text>
        <r>
          <rPr>
            <sz val="9"/>
            <color indexed="81"/>
            <rFont val="Tahoma"/>
            <family val="2"/>
          </rPr>
          <t>DataPointVID 410058_x000D_
DataPointID 410058_x000D_
Metric  =  Carrying amount [mi]_x000D_
Base  =  Liabilities_x000D_
Counterparty nature  =  All counterparties other than employees_x000D_
Exclusion from Bail-in  =  Excluded from bail-in_x000D_
Main category  =  Liabilities other than Derivatives, Short positions, Deposits, Debt securities issued, Other financial liabilities, Fair value changes of hedged items in portfolio hedge of interest rate risk, Provisions, Tax liabilities, Share capital repayable on demand_x000D_
Related parties/Relationships  =  Non intra-group_x000D_
Governed by law of an EU Member State  =  False</t>
        </r>
      </text>
    </comment>
    <comment ref="C62" authorId="0" shapeId="0">
      <text>
        <r>
          <rPr>
            <sz val="9"/>
            <color indexed="81"/>
            <rFont val="Tahoma"/>
            <family val="2"/>
          </rPr>
          <t>Metric  =  Carrying amount [mi]_x000D_
Base  =  Liabilities_x000D_
Main category  =  Short positions, Debt securities issued, Other financial liabilities, Fair value changes of hedged items in portfolio hedge of interest rate risk, Provisions, Tax liabilities, Share capital repayable on demand_x000D_
Own funds  =  Non-eligible_x000D_
Exclusion from Bail-in  =  Not excluded from bail-in_x000D_
Eligibility for MREL  =  Non-eligible</t>
        </r>
      </text>
    </comment>
    <comment ref="D62" authorId="0" shapeId="0">
      <text>
        <r>
          <rPr>
            <sz val="9"/>
            <color indexed="81"/>
            <rFont val="Tahoma"/>
            <family val="2"/>
          </rPr>
          <t>DataPointVID 409925_x000D_
DataPointID 409925_x000D_
Metric  =  Carrying amount [mi]_x000D_
Base  =  Liabilities_x000D_
Counterparty sector  =  Households_x000D_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E62" authorId="0" shapeId="0">
      <text>
        <r>
          <rPr>
            <sz val="9"/>
            <color indexed="81"/>
            <rFont val="Tahoma"/>
            <family val="2"/>
          </rPr>
          <t>DataPointVID 409952_x000D_
DataPointID 409952_x000D_
Metric  =  Carrying amount [mi]_x000D_
Base  =  Liabilities_x000D_
Counterparty sector  =  Non-financial corporations_x000D_
Size of the counterparty  =  SME_x000D_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F62" authorId="0" shapeId="0">
      <text>
        <r>
          <rPr>
            <sz val="9"/>
            <color indexed="81"/>
            <rFont val="Tahoma"/>
            <family val="2"/>
          </rPr>
          <t>DataPointVID 423085_x000D_
DataPointID 409973_x000D_
Metric  =  Carrying amount [mi]_x000D_
Base  =  Liabilities_x000D_
Counterparty sector  =  Non-financial corporations_x000D_
Size of the counterparty  =  Counterparties other than SME_x000D_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G62" authorId="0" shapeId="0">
      <text>
        <r>
          <rPr>
            <sz val="9"/>
            <color indexed="81"/>
            <rFont val="Tahoma"/>
            <family val="2"/>
          </rPr>
          <t>DataPointVID 409900_x000D_
DataPointID 409900_x000D_
Metric  =  Carrying amount [mi]_x000D_
Base  =  Liabilities_x000D_
Counterparty sector  =  Credit institutions_x000D_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H62" authorId="0" shapeId="0">
      <text>
        <r>
          <rPr>
            <sz val="9"/>
            <color indexed="81"/>
            <rFont val="Tahoma"/>
            <family val="2"/>
          </rPr>
          <t>DataPointVID 410023_x000D_
DataPointID 410023_x000D_
Metric  =  Carrying amount [mi]_x000D_
Base  =  Liabilities_x000D_
Counterparty sector  =  Financial corporations other than credit institutions_x000D_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I62" authorId="0" shapeId="0">
      <text>
        <r>
          <rPr>
            <sz val="9"/>
            <color indexed="81"/>
            <rFont val="Tahoma"/>
            <family val="2"/>
          </rPr>
          <t>DataPointVID 409998_x000D_
DataPointID 409998_x000D_
Metric  =  Carrying amount [mi]_x000D_
Base  =  Liabilities_x000D_
Counterparty sector  =  Financial corporations other than credit institutions_x000D_
Counterparty nature 2  =  Insurance companies, pension funds_x000D_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J62" authorId="0" shapeId="0">
      <text>
        <r>
          <rPr>
            <sz val="9"/>
            <color indexed="81"/>
            <rFont val="Tahoma"/>
            <family val="2"/>
          </rPr>
          <t>DataPointVID 410047_x000D_
DataPointID 410047_x000D_
Metric  =  Carrying amount [mi]_x000D_
Base  =  Liabilities_x000D_
Counterparty sector  =  Central banks, general governments_x000D_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K62" authorId="0" shapeId="0">
      <text>
        <r>
          <rPr>
            <sz val="9"/>
            <color indexed="81"/>
            <rFont val="Tahoma"/>
            <family val="2"/>
          </rPr>
          <t>DataPointVID 409594_x000D_
DataPointID 409594_x000D_
Metric  =  Carrying amount [mi]_x000D_
Base  =  Liabilities_x000D_
Instrument is listed on exchange  =  True_x000D_
Counterparty sector  =  Unknown counterparty_x000D_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L62" authorId="0" shapeId="0">
      <text>
        <r>
          <rPr>
            <sz val="9"/>
            <color indexed="81"/>
            <rFont val="Tahoma"/>
            <family val="2"/>
          </rPr>
          <t>DataPointVID 409542_x000D_
DataPointID 409542_x000D_
Metric  =  Carrying amount [mi]_x000D_
Base  =  Liabilities_x000D_
Instrument is listed on exchange  =  False_x000D_
Counterparty sector  =  Unknown counterparty_x000D_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M62" authorId="0" shapeId="0">
      <text>
        <r>
          <rPr>
            <sz val="9"/>
            <color indexed="81"/>
            <rFont val="Tahoma"/>
            <family val="2"/>
          </rPr>
          <t>DataPointVID 410111_x000D_
DataPointID 410111_x000D_
Metric  =  Carrying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t>
        </r>
      </text>
    </comment>
    <comment ref="N62" authorId="0" shapeId="0">
      <text>
        <r>
          <rPr>
            <sz val="9"/>
            <color indexed="81"/>
            <rFont val="Tahoma"/>
            <family val="2"/>
          </rPr>
          <t>DataPointVID 410112_x000D_
DataPointID 410112_x000D_
Metric  =  Carrying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Non-eligible_x000D_
Related parties/Relationships  =  Intra-group</t>
        </r>
      </text>
    </comment>
    <comment ref="O62" authorId="0" shapeId="0">
      <text>
        <r>
          <rPr>
            <sz val="9"/>
            <color indexed="81"/>
            <rFont val="Tahoma"/>
            <family val="2"/>
          </rPr>
          <t>DataPointVID 410113_x000D_
DataPointID 410113_x000D_
Metric  =  Carrying amount [mi]_x000D_
Base  =  Liabilities_x000D_
Exclusion from Bail-in  =  Not excluded from bail-in_x000D_
Main category  =  Short positions, Debt securities issued, Other financial liabilities, Fair value changes of hedged items in portfolio hedge of interest rate risk, Provisions, Tax liabilities, Share capital repayable on demand_x000D_
Eligibility for MREL  =  Non-eligible_x000D_
Own funds  =  Non-eligible_x000D_
Related parties/Relationships  =  Non intra-group_x000D_
Governed by law of an EU Member State  =  False</t>
        </r>
      </text>
    </comment>
    <comment ref="C65" authorId="0" shapeId="0">
      <text>
        <r>
          <rPr>
            <sz val="9"/>
            <color indexed="81"/>
            <rFont val="Tahoma"/>
            <family val="2"/>
          </rPr>
          <t>Metric  =  Carrying amount [mi]_x000D_
Base  =  Equity_x000D_
Main category  =  All equity_x000D_
Own funds  =  CET1 Capital_x000D_
Instrument  =  Capital instruments / share capital_x000D_
Eligibility for MREL  =  Eligible</t>
        </r>
      </text>
    </comment>
    <comment ref="D65" authorId="0" shapeId="0">
      <text>
        <r>
          <rPr>
            <sz val="9"/>
            <color indexed="81"/>
            <rFont val="Tahoma"/>
            <family val="2"/>
          </rPr>
          <t>DataPointVID 409477_x000D_
DataPointID 409477_x000D_
Metric  =  Carrying amount [mi]_x000D_
Base  =  Equity_x000D_
Counterparty sector  =  Households_x000D_
Instrument  =  Capital instruments / share capital_x000D_
Main category  =  All equity_x000D_
Eligibility for MREL  =  Eligible_x000D_
Own funds  =  CET1 Capital</t>
        </r>
      </text>
    </comment>
    <comment ref="E65" authorId="0" shapeId="0">
      <text>
        <r>
          <rPr>
            <sz val="9"/>
            <color indexed="81"/>
            <rFont val="Tahoma"/>
            <family val="2"/>
          </rPr>
          <t>DataPointVID 409479_x000D_
DataPointID 409479_x000D_
Metric  =  Carrying amount [mi]_x000D_
Base  =  Equity_x000D_
Counterparty sector  =  Non-financial corporations_x000D_
Size of the counterparty  =  SME_x000D_
Instrument  =  Capital instruments / share capital_x000D_
Main category  =  All equity_x000D_
Eligibility for MREL  =  Eligible_x000D_
Own funds  =  CET1 Capital</t>
        </r>
      </text>
    </comment>
    <comment ref="F65" authorId="0" shapeId="0">
      <text>
        <r>
          <rPr>
            <sz val="9"/>
            <color indexed="81"/>
            <rFont val="Tahoma"/>
            <family val="2"/>
          </rPr>
          <t>DataPointVID 423024_x000D_
DataPointID 409481_x000D_
Metric  =  Carrying amount [mi]_x000D_
Base  =  Equity_x000D_
Counterparty sector  =  Non-financial corporations_x000D_
Size of the counterparty  =  Counterparties other than SME_x000D_
Instrument  =  Capital instruments / share capital_x000D_
Main category  =  All equity_x000D_
Eligibility for MREL  =  Eligible_x000D_
Own funds  =  CET1 Capital</t>
        </r>
      </text>
    </comment>
    <comment ref="G65" authorId="0" shapeId="0">
      <text>
        <r>
          <rPr>
            <sz val="9"/>
            <color indexed="81"/>
            <rFont val="Tahoma"/>
            <family val="2"/>
          </rPr>
          <t>DataPointVID 409475_x000D_
DataPointID 409475_x000D_
Metric  =  Carrying amount [mi]_x000D_
Base  =  Equity_x000D_
Counterparty sector  =  Credit institutions_x000D_
Instrument  =  Capital instruments / share capital_x000D_
Main category  =  All equity_x000D_
Eligibility for MREL  =  Eligible_x000D_
Own funds  =  CET1 Capital</t>
        </r>
      </text>
    </comment>
    <comment ref="H65" authorId="0" shapeId="0">
      <text>
        <r>
          <rPr>
            <sz val="9"/>
            <color indexed="81"/>
            <rFont val="Tahoma"/>
            <family val="2"/>
          </rPr>
          <t>DataPointVID 409485_x000D_
DataPointID 409485_x000D_
Metric  =  Carrying amount [mi]_x000D_
Base  =  Equity_x000D_
Counterparty sector  =  Financial corporations other than credit institutions_x000D_
Instrument  =  Capital instruments / share capital_x000D_
Main category  =  All equity_x000D_
Eligibility for MREL  =  Eligible_x000D_
Own funds  =  CET1 Capital</t>
        </r>
      </text>
    </comment>
    <comment ref="I65" authorId="0" shapeId="0">
      <text>
        <r>
          <rPr>
            <sz val="9"/>
            <color indexed="81"/>
            <rFont val="Tahoma"/>
            <family val="2"/>
          </rPr>
          <t>DataPointVID 409483_x000D_
DataPointID 409483_x000D_
Metric  =  Carrying amount [mi]_x000D_
Base  =  Equity_x000D_
Counterparty sector  =  Financial corporations other than credit institutions_x000D_
Counterparty nature 2  =  Insurance companies, pension funds_x000D_
Instrument  =  Capital instruments / share capital_x000D_
Main category  =  All equity_x000D_
Eligibility for MREL  =  Eligible_x000D_
Own funds  =  CET1 Capital</t>
        </r>
      </text>
    </comment>
    <comment ref="J65" authorId="0" shapeId="0">
      <text>
        <r>
          <rPr>
            <sz val="9"/>
            <color indexed="81"/>
            <rFont val="Tahoma"/>
            <family val="2"/>
          </rPr>
          <t>DataPointVID 409487_x000D_
DataPointID 409487_x000D_
Metric  =  Carrying amount [mi]_x000D_
Base  =  Equity_x000D_
Counterparty sector  =  Central banks, general governments_x000D_
Instrument  =  Capital instruments / share capital_x000D_
Main category  =  All equity_x000D_
Eligibility for MREL  =  Eligible_x000D_
Own funds  =  CET1 Capital</t>
        </r>
      </text>
    </comment>
    <comment ref="K65" authorId="0" shapeId="0">
      <text>
        <r>
          <rPr>
            <sz val="9"/>
            <color indexed="81"/>
            <rFont val="Tahoma"/>
            <family val="2"/>
          </rPr>
          <t>DataPointVID 409473_x000D_
DataPointID 409473_x000D_
Metric  =  Carrying amount [mi]_x000D_
Base  =  Equity_x000D_
Instrument is listed on exchange  =  True_x000D_
Counterparty sector  =  Unknown counterparty_x000D_
Instrument  =  Capital instruments / share capital_x000D_
Main category  =  All equity_x000D_
Eligibility for MREL  =  Eligible_x000D_
Own funds  =  CET1 Capital</t>
        </r>
      </text>
    </comment>
    <comment ref="L65" authorId="0" shapeId="0">
      <text>
        <r>
          <rPr>
            <sz val="9"/>
            <color indexed="81"/>
            <rFont val="Tahoma"/>
            <family val="2"/>
          </rPr>
          <t>DataPointVID 409471_x000D_
DataPointID 409471_x000D_
Metric  =  Carrying amount [mi]_x000D_
Base  =  Equity_x000D_
Instrument is listed on exchange  =  False_x000D_
Counterparty sector  =  Unknown counterparty_x000D_
Instrument  =  Capital instruments / share capital_x000D_
Main category  =  All equity_x000D_
Eligibility for MREL  =  Eligible_x000D_
Own funds  =  CET1 Capital</t>
        </r>
      </text>
    </comment>
    <comment ref="M65" authorId="0" shapeId="0">
      <text>
        <r>
          <rPr>
            <sz val="9"/>
            <color indexed="81"/>
            <rFont val="Tahoma"/>
            <family val="2"/>
          </rPr>
          <t>DataPointVID 409489_x000D_
DataPointID 409489_x000D_
Metric  =  Carrying amount [mi]_x000D_
Base  =  Equity_x000D_
Instrument  =  Capital instruments / share capital_x000D_
Main category  =  All equity_x000D_
Eligibility for MREL  =  Eligible_x000D_
Own funds  =  CET1 Capital</t>
        </r>
      </text>
    </comment>
    <comment ref="N65" authorId="0" shapeId="0">
      <text>
        <r>
          <rPr>
            <sz val="9"/>
            <color indexed="81"/>
            <rFont val="Tahoma"/>
            <family val="2"/>
          </rPr>
          <t>DataPointVID 409490_x000D_
DataPointID 409490_x000D_
Metric  =  Carrying amount [mi]_x000D_
Base  =  Equity_x000D_
Instrument  =  Capital instruments / share capital_x000D_
Main category  =  All equity_x000D_
Eligibility for MREL  =  Eligible_x000D_
Own funds  =  CET1 Capital_x000D_
Related parties/Relationships  =  Intra-group</t>
        </r>
      </text>
    </comment>
    <comment ref="O65" authorId="0" shapeId="0">
      <text>
        <r>
          <rPr>
            <sz val="9"/>
            <color indexed="81"/>
            <rFont val="Tahoma"/>
            <family val="2"/>
          </rPr>
          <t>DataPointVID 409491_x000D_
DataPointID 409491_x000D_
Metric  =  Carrying amount [mi]_x000D_
Base  =  Equity_x000D_
Instrument  =  Capital instruments / share capital_x000D_
Main category  =  All equity_x000D_
Eligibility for MREL  =  Eligible_x000D_
Own funds  =  CET1 Capital_x000D_
Related parties/Relationships  =  Non intra-group_x000D_
Governed by law of an EU Member State  =  False</t>
        </r>
      </text>
    </comment>
    <comment ref="C66" authorId="0" shapeId="0">
      <text>
        <r>
          <rPr>
            <sz val="9"/>
            <color indexed="81"/>
            <rFont val="Tahoma"/>
            <family val="2"/>
          </rPr>
          <t>Metric  =  Carrying amount [mi]_x000D_
Base  =  Equity_x000D_
Main category  =  All equity_x000D_
Own funds  =  CET1 Capital_x000D_
Instrument  =  Instruments ranking pari passu with ordinary shares_x000D_
Eligibility for MREL  =  Eligible</t>
        </r>
      </text>
    </comment>
    <comment ref="D66" authorId="0" shapeId="0">
      <text>
        <r>
          <rPr>
            <sz val="9"/>
            <color indexed="81"/>
            <rFont val="Tahoma"/>
            <family val="2"/>
          </rPr>
          <t>DataPointVID 409478_x000D_
DataPointID 409478_x000D_
Metric  =  Carrying amount [mi]_x000D_
Base  =  Equity_x000D_
Counterparty sector  =  Households_x000D_
Instrument  =  Instruments ranking pari passu with ordinary shares_x000D_
Main category  =  All equity_x000D_
Eligibility for MREL  =  Eligible_x000D_
Own funds  =  CET1 Capital</t>
        </r>
      </text>
    </comment>
    <comment ref="E66" authorId="0" shapeId="0">
      <text>
        <r>
          <rPr>
            <sz val="9"/>
            <color indexed="81"/>
            <rFont val="Tahoma"/>
            <family val="2"/>
          </rPr>
          <t>DataPointVID 409480_x000D_
DataPointID 409480_x000D_
Metric  =  Carrying amount [mi]_x000D_
Base  =  Equity_x000D_
Counterparty sector  =  Non-financial corporations_x000D_
Size of the counterparty  =  SME_x000D_
Instrument  =  Instruments ranking pari passu with ordinary shares_x000D_
Main category  =  All equity_x000D_
Eligibility for MREL  =  Eligible_x000D_
Own funds  =  CET1 Capital</t>
        </r>
      </text>
    </comment>
    <comment ref="F66" authorId="0" shapeId="0">
      <text>
        <r>
          <rPr>
            <sz val="9"/>
            <color indexed="81"/>
            <rFont val="Tahoma"/>
            <family val="2"/>
          </rPr>
          <t>DataPointVID 423025_x000D_
DataPointID 409482_x000D_
Metric  =  Carrying amount [mi]_x000D_
Base  =  Equity_x000D_
Counterparty sector  =  Non-financial corporations_x000D_
Size of the counterparty  =  Counterparties other than SME_x000D_
Instrument  =  Instruments ranking pari passu with ordinary shares_x000D_
Main category  =  All equity_x000D_
Eligibility for MREL  =  Eligible_x000D_
Own funds  =  CET1 Capital</t>
        </r>
      </text>
    </comment>
    <comment ref="G66" authorId="0" shapeId="0">
      <text>
        <r>
          <rPr>
            <sz val="9"/>
            <color indexed="81"/>
            <rFont val="Tahoma"/>
            <family val="2"/>
          </rPr>
          <t>DataPointVID 409476_x000D_
DataPointID 409476_x000D_
Metric  =  Carrying amount [mi]_x000D_
Base  =  Equity_x000D_
Counterparty sector  =  Credit institutions_x000D_
Instrument  =  Instruments ranking pari passu with ordinary shares_x000D_
Main category  =  All equity_x000D_
Eligibility for MREL  =  Eligible_x000D_
Own funds  =  CET1 Capital</t>
        </r>
      </text>
    </comment>
    <comment ref="H66" authorId="0" shapeId="0">
      <text>
        <r>
          <rPr>
            <sz val="9"/>
            <color indexed="81"/>
            <rFont val="Tahoma"/>
            <family val="2"/>
          </rPr>
          <t>DataPointVID 409486_x000D_
DataPointID 409486_x000D_
Metric  =  Carrying amount [mi]_x000D_
Base  =  Equity_x000D_
Counterparty sector  =  Financial corporations other than credit institutions_x000D_
Instrument  =  Instruments ranking pari passu with ordinary shares_x000D_
Main category  =  All equity_x000D_
Eligibility for MREL  =  Eligible_x000D_
Own funds  =  CET1 Capital</t>
        </r>
      </text>
    </comment>
    <comment ref="I66" authorId="0" shapeId="0">
      <text>
        <r>
          <rPr>
            <sz val="9"/>
            <color indexed="81"/>
            <rFont val="Tahoma"/>
            <family val="2"/>
          </rPr>
          <t>DataPointVID 409484_x000D_
DataPointID 409484_x000D_
Metric  =  Carrying amount [mi]_x000D_
Base  =  Equity_x000D_
Counterparty sector  =  Financial corporations other than credit institutions_x000D_
Counterparty nature 2  =  Insurance companies, pension funds_x000D_
Instrument  =  Instruments ranking pari passu with ordinary shares_x000D_
Main category  =  All equity_x000D_
Eligibility for MREL  =  Eligible_x000D_
Own funds  =  CET1 Capital</t>
        </r>
      </text>
    </comment>
    <comment ref="J66" authorId="0" shapeId="0">
      <text>
        <r>
          <rPr>
            <sz val="9"/>
            <color indexed="81"/>
            <rFont val="Tahoma"/>
            <family val="2"/>
          </rPr>
          <t>DataPointVID 409488_x000D_
DataPointID 409488_x000D_
Metric  =  Carrying amount [mi]_x000D_
Base  =  Equity_x000D_
Counterparty sector  =  Central banks, general governments_x000D_
Instrument  =  Instruments ranking pari passu with ordinary shares_x000D_
Main category  =  All equity_x000D_
Eligibility for MREL  =  Eligible_x000D_
Own funds  =  CET1 Capital</t>
        </r>
      </text>
    </comment>
    <comment ref="K66" authorId="0" shapeId="0">
      <text>
        <r>
          <rPr>
            <sz val="9"/>
            <color indexed="81"/>
            <rFont val="Tahoma"/>
            <family val="2"/>
          </rPr>
          <t>DataPointVID 409474_x000D_
DataPointID 409474_x000D_
Metric  =  Carrying amount [mi]_x000D_
Base  =  Equity_x000D_
Instrument is listed on exchange  =  True_x000D_
Counterparty sector  =  Unknown counterparty_x000D_
Instrument  =  Instruments ranking pari passu with ordinary shares_x000D_
Main category  =  All equity_x000D_
Eligibility for MREL  =  Eligible_x000D_
Own funds  =  CET1 Capital</t>
        </r>
      </text>
    </comment>
    <comment ref="L66" authorId="0" shapeId="0">
      <text>
        <r>
          <rPr>
            <sz val="9"/>
            <color indexed="81"/>
            <rFont val="Tahoma"/>
            <family val="2"/>
          </rPr>
          <t>DataPointVID 409472_x000D_
DataPointID 409472_x000D_
Metric  =  Carrying amount [mi]_x000D_
Base  =  Equity_x000D_
Instrument is listed on exchange  =  False_x000D_
Counterparty sector  =  Unknown counterparty_x000D_
Instrument  =  Instruments ranking pari passu with ordinary shares_x000D_
Main category  =  All equity_x000D_
Eligibility for MREL  =  Eligible_x000D_
Own funds  =  CET1 Capital</t>
        </r>
      </text>
    </comment>
    <comment ref="M66" authorId="0" shapeId="0">
      <text>
        <r>
          <rPr>
            <sz val="9"/>
            <color indexed="81"/>
            <rFont val="Tahoma"/>
            <family val="2"/>
          </rPr>
          <t>DataPointVID 409492_x000D_
DataPointID 409492_x000D_
Metric  =  Carrying amount [mi]_x000D_
Base  =  Equity_x000D_
Instrument  =  Instruments ranking pari passu with ordinary shares_x000D_
Main category  =  All equity_x000D_
Eligibility for MREL  =  Eligible_x000D_
Own funds  =  CET1 Capital</t>
        </r>
      </text>
    </comment>
    <comment ref="N66" authorId="0" shapeId="0">
      <text>
        <r>
          <rPr>
            <sz val="9"/>
            <color indexed="81"/>
            <rFont val="Tahoma"/>
            <family val="2"/>
          </rPr>
          <t>DataPointVID 409493_x000D_
DataPointID 409493_x000D_
Metric  =  Carrying amount [mi]_x000D_
Base  =  Equity_x000D_
Instrument  =  Instruments ranking pari passu with ordinary shares_x000D_
Main category  =  All equity_x000D_
Eligibility for MREL  =  Eligible_x000D_
Own funds  =  CET1 Capital_x000D_
Related parties/Relationships  =  Intra-group</t>
        </r>
      </text>
    </comment>
    <comment ref="O66" authorId="0" shapeId="0">
      <text>
        <r>
          <rPr>
            <sz val="9"/>
            <color indexed="81"/>
            <rFont val="Tahoma"/>
            <family val="2"/>
          </rPr>
          <t>DataPointVID 409494_x000D_
DataPointID 409494_x000D_
Metric  =  Carrying amount [mi]_x000D_
Base  =  Equity_x000D_
Instrument  =  Instruments ranking pari passu with ordinary shares_x000D_
Main category  =  All equity_x000D_
Eligibility for MREL  =  Eligible_x000D_
Own funds  =  CET1 Capital_x000D_
Related parties/Relationships  =  Non intra-group_x000D_
Governed by law of an EU Member State  =  False</t>
        </r>
      </text>
    </comment>
    <comment ref="C68" authorId="0" shapeId="0">
      <text>
        <r>
          <rPr>
            <sz val="9"/>
            <color indexed="81"/>
            <rFont val="Tahoma"/>
            <family val="2"/>
          </rPr>
          <t>Metric  =  Carrying amount [mi]_x000D_
Base  =  Liabilities_x000D_
Main category  =  All liabilities_x000D_
Own funds  =  AT1 Capital_x000D_
Subordinated  =  Subordinated financial liabilities_x000D_
Eligibility for MREL  =  Eligible</t>
        </r>
      </text>
    </comment>
    <comment ref="D68" authorId="0" shapeId="0">
      <text>
        <r>
          <rPr>
            <sz val="9"/>
            <color indexed="81"/>
            <rFont val="Tahoma"/>
            <family val="2"/>
          </rPr>
          <t>DataPointVID 409929_x000D_
DataPointID 409929_x000D_
Metric  =  Carrying amount [mi]_x000D_
Base  =  Liabilities_x000D_
Counterparty sector  =  Households_x000D_
Main category  =  All liabilities_x000D_
Eligibility for MREL  =  Eligible_x000D_
Own funds  =  AT1 Capital_x000D_
Subordinated  =  Subordinated financial liabilities</t>
        </r>
      </text>
    </comment>
    <comment ref="E68" authorId="0" shapeId="0">
      <text>
        <r>
          <rPr>
            <sz val="9"/>
            <color indexed="81"/>
            <rFont val="Tahoma"/>
            <family val="2"/>
          </rPr>
          <t>DataPointVID 409956_x000D_
DataPointID 409956_x000D_
Metric  =  Carrying amount [mi]_x000D_
Base  =  Liabilities_x000D_
Counterparty sector  =  Non-financial corporations_x000D_
Size of the counterparty  =  SME_x000D_
Main category  =  All liabilities_x000D_
Eligibility for MREL  =  Eligible_x000D_
Own funds  =  AT1 Capital_x000D_
Subordinated  =  Subordinated financial liabilities</t>
        </r>
      </text>
    </comment>
    <comment ref="F68" authorId="0" shapeId="0">
      <text>
        <r>
          <rPr>
            <sz val="9"/>
            <color indexed="81"/>
            <rFont val="Tahoma"/>
            <family val="2"/>
          </rPr>
          <t>DataPointVID 423089_x000D_
DataPointID 409977_x000D_
Metric  =  Carrying amount [mi]_x000D_
Base  =  Liabilities_x000D_
Counterparty sector  =  Non-financial corporations_x000D_
Size of the counterparty  =  Counterparties other than SME_x000D_
Main category  =  All liabilities_x000D_
Eligibility for MREL  =  Eligible_x000D_
Own funds  =  AT1 Capital_x000D_
Subordinated  =  Subordinated financial liabilities</t>
        </r>
      </text>
    </comment>
    <comment ref="G68" authorId="0" shapeId="0">
      <text>
        <r>
          <rPr>
            <sz val="9"/>
            <color indexed="81"/>
            <rFont val="Tahoma"/>
            <family val="2"/>
          </rPr>
          <t>DataPointVID 409904_x000D_
DataPointID 409904_x000D_
Metric  =  Carrying amount [mi]_x000D_
Base  =  Liabilities_x000D_
Counterparty sector  =  Credit institutions_x000D_
Main category  =  All liabilities_x000D_
Eligibility for MREL  =  Eligible_x000D_
Own funds  =  AT1 Capital_x000D_
Subordinated  =  Subordinated financial liabilities</t>
        </r>
      </text>
    </comment>
    <comment ref="H68" authorId="0" shapeId="0">
      <text>
        <r>
          <rPr>
            <sz val="9"/>
            <color indexed="81"/>
            <rFont val="Tahoma"/>
            <family val="2"/>
          </rPr>
          <t>DataPointVID 410027_x000D_
DataPointID 410027_x000D_
Metric  =  Carrying amount [mi]_x000D_
Base  =  Liabilities_x000D_
Counterparty sector  =  Financial corporations other than credit institutions_x000D_
Main category  =  All liabilities_x000D_
Eligibility for MREL  =  Eligible_x000D_
Own funds  =  AT1 Capital_x000D_
Subordinated  =  Subordinated financial liabilities</t>
        </r>
      </text>
    </comment>
    <comment ref="I68" authorId="0" shapeId="0">
      <text>
        <r>
          <rPr>
            <sz val="9"/>
            <color indexed="81"/>
            <rFont val="Tahoma"/>
            <family val="2"/>
          </rPr>
          <t>DataPointVID 410002_x000D_
DataPointID 410002_x000D_
Metric  =  Carrying amount [mi]_x000D_
Base  =  Liabilities_x000D_
Counterparty sector  =  Financial corporations other than credit institutions_x000D_
Counterparty nature 2  =  Insurance companies, pension funds_x000D_
Main category  =  All liabilities_x000D_
Eligibility for MREL  =  Eligible_x000D_
Own funds  =  AT1 Capital_x000D_
Subordinated  =  Subordinated financial liabilities</t>
        </r>
      </text>
    </comment>
    <comment ref="J68" authorId="0" shapeId="0">
      <text>
        <r>
          <rPr>
            <sz val="9"/>
            <color indexed="81"/>
            <rFont val="Tahoma"/>
            <family val="2"/>
          </rPr>
          <t>DataPointVID 410051_x000D_
DataPointID 410051_x000D_
Metric  =  Carrying amount [mi]_x000D_
Base  =  Liabilities_x000D_
Counterparty sector  =  Central banks, general governments_x000D_
Main category  =  All liabilities_x000D_
Eligibility for MREL  =  Eligible_x000D_
Own funds  =  AT1 Capital_x000D_
Subordinated  =  Subordinated financial liabilities</t>
        </r>
      </text>
    </comment>
    <comment ref="K68" authorId="0" shapeId="0">
      <text>
        <r>
          <rPr>
            <sz val="9"/>
            <color indexed="81"/>
            <rFont val="Tahoma"/>
            <family val="2"/>
          </rPr>
          <t>DataPointVID 409598_x000D_
DataPointID 409598_x000D_
Metric  =  Carrying amount [mi]_x000D_
Base  =  Liabilities_x000D_
Instrument is listed on exchange  =  True_x000D_
Counterparty sector  =  Unknown counterparty_x000D_
Main category  =  All liabilities_x000D_
Eligibility for MREL  =  Eligible_x000D_
Own funds  =  AT1 Capital_x000D_
Subordinated  =  Subordinated financial liabilities</t>
        </r>
      </text>
    </comment>
    <comment ref="L68" authorId="0" shapeId="0">
      <text>
        <r>
          <rPr>
            <sz val="9"/>
            <color indexed="81"/>
            <rFont val="Tahoma"/>
            <family val="2"/>
          </rPr>
          <t>DataPointVID 409546_x000D_
DataPointID 409546_x000D_
Metric  =  Carrying amount [mi]_x000D_
Base  =  Liabilities_x000D_
Instrument is listed on exchange  =  False_x000D_
Counterparty sector  =  Unknown counterparty_x000D_
Main category  =  All liabilities_x000D_
Eligibility for MREL  =  Eligible_x000D_
Own funds  =  AT1 Capital_x000D_
Subordinated  =  Subordinated financial liabilities</t>
        </r>
      </text>
    </comment>
    <comment ref="M68" authorId="0" shapeId="0">
      <text>
        <r>
          <rPr>
            <sz val="9"/>
            <color indexed="81"/>
            <rFont val="Tahoma"/>
            <family val="2"/>
          </rPr>
          <t>DataPointVID 410125_x000D_
DataPointID 410125_x000D_
Metric  =  Carrying amount [mi]_x000D_
Base  =  Liabilities_x000D_
Main category  =  All liabilities_x000D_
Eligibility for MREL  =  Eligible_x000D_
Own funds  =  AT1 Capital_x000D_
Subordinated  =  Subordinated financial liabilities</t>
        </r>
      </text>
    </comment>
    <comment ref="N68" authorId="0" shapeId="0">
      <text>
        <r>
          <rPr>
            <sz val="9"/>
            <color indexed="81"/>
            <rFont val="Tahoma"/>
            <family val="2"/>
          </rPr>
          <t>DataPointVID 410123_x000D_
DataPointID 410123_x000D_
Metric  =  Carrying amount [mi]_x000D_
Base  =  Liabilities_x000D_
Main category  =  All liabilities_x000D_
Eligibility for MREL  =  Eligible_x000D_
Own funds  =  AT1 Capital_x000D_
Related parties/Relationships  =  Intra-group_x000D_
Subordinated  =  Subordinated financial liabilities</t>
        </r>
      </text>
    </comment>
    <comment ref="O68" authorId="0" shapeId="0">
      <text>
        <r>
          <rPr>
            <sz val="9"/>
            <color indexed="81"/>
            <rFont val="Tahoma"/>
            <family val="2"/>
          </rPr>
          <t>DataPointVID 410124_x000D_
DataPointID 410124_x000D_
Metric  =  Carrying amount [mi]_x000D_
Base  =  Liabilities_x000D_
Main category  =  All liabilities_x000D_
Eligibility for MREL  =  Eligible_x000D_
Own funds  =  AT1 Capital_x000D_
Related parties/Relationships  =  Non intra-group_x000D_
Governed by law of an EU Member State  =  False_x000D_
Subordinated  =  Subordinated financial liabilities</t>
        </r>
      </text>
    </comment>
    <comment ref="C70" authorId="0" shapeId="0">
      <text>
        <r>
          <rPr>
            <sz val="9"/>
            <color indexed="81"/>
            <rFont val="Tahoma"/>
            <family val="2"/>
          </rPr>
          <t>Metric  =  Carrying amount [mi]_x000D_
Base  =  Liabilities_x000D_
Main category  =  All liabilities_x000D_
Own funds  =  T2 Capital_x000D_
Subordinated  =  Subordinated financial liabilities_x000D_
Eligibility for MREL  =  Eligible</t>
        </r>
      </text>
    </comment>
    <comment ref="D70" authorId="0" shapeId="0">
      <text>
        <r>
          <rPr>
            <sz val="9"/>
            <color indexed="81"/>
            <rFont val="Tahoma"/>
            <family val="2"/>
          </rPr>
          <t>DataPointVID 409930_x000D_
DataPointID 409930_x000D_
Metric  =  Carrying amount [mi]_x000D_
Base  =  Liabilities_x000D_
Counterparty sector  =  Households_x000D_
Main category  =  All liabilities_x000D_
Eligibility for MREL  =  Eligible_x000D_
Own funds  =  T2 Capital_x000D_
Subordinated  =  Subordinated financial liabilities</t>
        </r>
      </text>
    </comment>
    <comment ref="E70" authorId="0" shapeId="0">
      <text>
        <r>
          <rPr>
            <sz val="9"/>
            <color indexed="81"/>
            <rFont val="Tahoma"/>
            <family val="2"/>
          </rPr>
          <t>DataPointVID 409957_x000D_
DataPointID 409957_x000D_
Metric  =  Carrying amount [mi]_x000D_
Base  =  Liabilities_x000D_
Counterparty sector  =  Non-financial corporations_x000D_
Size of the counterparty  =  SME_x000D_
Main category  =  All liabilities_x000D_
Eligibility for MREL  =  Eligible_x000D_
Own funds  =  T2 Capital_x000D_
Subordinated  =  Subordinated financial liabilities</t>
        </r>
      </text>
    </comment>
    <comment ref="F70" authorId="0" shapeId="0">
      <text>
        <r>
          <rPr>
            <sz val="9"/>
            <color indexed="81"/>
            <rFont val="Tahoma"/>
            <family val="2"/>
          </rPr>
          <t>DataPointVID 423090_x000D_
DataPointID 409978_x000D_
Metric  =  Carrying amount [mi]_x000D_
Base  =  Liabilities_x000D_
Counterparty sector  =  Non-financial corporations_x000D_
Size of the counterparty  =  Counterparties other than SME_x000D_
Main category  =  All liabilities_x000D_
Eligibility for MREL  =  Eligible_x000D_
Own funds  =  T2 Capital_x000D_
Subordinated  =  Subordinated financial liabilities</t>
        </r>
      </text>
    </comment>
    <comment ref="G70" authorId="0" shapeId="0">
      <text>
        <r>
          <rPr>
            <sz val="9"/>
            <color indexed="81"/>
            <rFont val="Tahoma"/>
            <family val="2"/>
          </rPr>
          <t>DataPointVID 409905_x000D_
DataPointID 409905_x000D_
Metric  =  Carrying amount [mi]_x000D_
Base  =  Liabilities_x000D_
Counterparty sector  =  Credit institutions_x000D_
Main category  =  All liabilities_x000D_
Eligibility for MREL  =  Eligible_x000D_
Own funds  =  T2 Capital_x000D_
Subordinated  =  Subordinated financial liabilities</t>
        </r>
      </text>
    </comment>
    <comment ref="H70" authorId="0" shapeId="0">
      <text>
        <r>
          <rPr>
            <sz val="9"/>
            <color indexed="81"/>
            <rFont val="Tahoma"/>
            <family val="2"/>
          </rPr>
          <t>DataPointVID 410028_x000D_
DataPointID 410028_x000D_
Metric  =  Carrying amount [mi]_x000D_
Base  =  Liabilities_x000D_
Counterparty sector  =  Financial corporations other than credit institutions_x000D_
Main category  =  All liabilities_x000D_
Eligibility for MREL  =  Eligible_x000D_
Own funds  =  T2 Capital_x000D_
Subordinated  =  Subordinated financial liabilities</t>
        </r>
      </text>
    </comment>
    <comment ref="I70" authorId="0" shapeId="0">
      <text>
        <r>
          <rPr>
            <sz val="9"/>
            <color indexed="81"/>
            <rFont val="Tahoma"/>
            <family val="2"/>
          </rPr>
          <t>DataPointVID 410003_x000D_
DataPointID 410003_x000D_
Metric  =  Carrying amount [mi]_x000D_
Base  =  Liabilities_x000D_
Counterparty sector  =  Financial corporations other than credit institutions_x000D_
Counterparty nature 2  =  Insurance companies, pension funds_x000D_
Main category  =  All liabilities_x000D_
Eligibility for MREL  =  Eligible_x000D_
Own funds  =  T2 Capital_x000D_
Subordinated  =  Subordinated financial liabilities</t>
        </r>
      </text>
    </comment>
    <comment ref="J70" authorId="0" shapeId="0">
      <text>
        <r>
          <rPr>
            <sz val="9"/>
            <color indexed="81"/>
            <rFont val="Tahoma"/>
            <family val="2"/>
          </rPr>
          <t>DataPointVID 410052_x000D_
DataPointID 410052_x000D_
Metric  =  Carrying amount [mi]_x000D_
Base  =  Liabilities_x000D_
Counterparty sector  =  Central banks, general governments_x000D_
Main category  =  All liabilities_x000D_
Eligibility for MREL  =  Eligible_x000D_
Own funds  =  T2 Capital_x000D_
Subordinated  =  Subordinated financial liabilities</t>
        </r>
      </text>
    </comment>
    <comment ref="K70" authorId="0" shapeId="0">
      <text>
        <r>
          <rPr>
            <sz val="9"/>
            <color indexed="81"/>
            <rFont val="Tahoma"/>
            <family val="2"/>
          </rPr>
          <t>DataPointVID 409599_x000D_
DataPointID 409599_x000D_
Metric  =  Carrying amount [mi]_x000D_
Base  =  Liabilities_x000D_
Instrument is listed on exchange  =  True_x000D_
Counterparty sector  =  Unknown counterparty_x000D_
Main category  =  All liabilities_x000D_
Eligibility for MREL  =  Eligible_x000D_
Own funds  =  T2 Capital_x000D_
Subordinated  =  Subordinated financial liabilities</t>
        </r>
      </text>
    </comment>
    <comment ref="L70" authorId="0" shapeId="0">
      <text>
        <r>
          <rPr>
            <sz val="9"/>
            <color indexed="81"/>
            <rFont val="Tahoma"/>
            <family val="2"/>
          </rPr>
          <t>DataPointVID 409547_x000D_
DataPointID 409547_x000D_
Metric  =  Carrying amount [mi]_x000D_
Base  =  Liabilities_x000D_
Instrument is listed on exchange  =  False_x000D_
Counterparty sector  =  Unknown counterparty_x000D_
Main category  =  All liabilities_x000D_
Eligibility for MREL  =  Eligible_x000D_
Own funds  =  T2 Capital_x000D_
Subordinated  =  Subordinated financial liabilities</t>
        </r>
      </text>
    </comment>
    <comment ref="M70" authorId="0" shapeId="0">
      <text>
        <r>
          <rPr>
            <sz val="9"/>
            <color indexed="81"/>
            <rFont val="Tahoma"/>
            <family val="2"/>
          </rPr>
          <t>DataPointVID 410128_x000D_
DataPointID 410128_x000D_
Metric  =  Carrying amount [mi]_x000D_
Base  =  Liabilities_x000D_
Main category  =  All liabilities_x000D_
Eligibility for MREL  =  Eligible_x000D_
Own funds  =  T2 Capital_x000D_
Subordinated  =  Subordinated financial liabilities</t>
        </r>
      </text>
    </comment>
    <comment ref="N70" authorId="0" shapeId="0">
      <text>
        <r>
          <rPr>
            <sz val="9"/>
            <color indexed="81"/>
            <rFont val="Tahoma"/>
            <family val="2"/>
          </rPr>
          <t>DataPointVID 410126_x000D_
DataPointID 410126_x000D_
Metric  =  Carrying amount [mi]_x000D_
Base  =  Liabilities_x000D_
Main category  =  All liabilities_x000D_
Eligibility for MREL  =  Eligible_x000D_
Own funds  =  T2 Capital_x000D_
Related parties/Relationships  =  Intra-group_x000D_
Subordinated  =  Subordinated financial liabilities</t>
        </r>
      </text>
    </comment>
    <comment ref="O70" authorId="0" shapeId="0">
      <text>
        <r>
          <rPr>
            <sz val="9"/>
            <color indexed="81"/>
            <rFont val="Tahoma"/>
            <family val="2"/>
          </rPr>
          <t>DataPointVID 410127_x000D_
DataPointID 410127_x000D_
Metric  =  Carrying amount [mi]_x000D_
Base  =  Liabilities_x000D_
Main category  =  All liabilities_x000D_
Eligibility for MREL  =  Eligible_x000D_
Own funds  =  T2 Capital_x000D_
Related parties/Relationships  =  Non intra-group_x000D_
Governed by law of an EU Member State  =  False_x000D_
Subordinated  =  Subordinated financial liabilities</t>
        </r>
      </text>
    </comment>
    <comment ref="C71" authorId="0" shapeId="0">
      <text>
        <r>
          <rPr>
            <sz val="9"/>
            <color indexed="81"/>
            <rFont val="Tahoma"/>
            <family val="2"/>
          </rPr>
          <t>Metric  =  Nominal amount [mi]_x000D_
Base  =  Off balance sheet items_x000D_
Main category  =  Loan commitments given, financial guarantees given, other commitments given</t>
        </r>
      </text>
    </comment>
    <comment ref="D71" authorId="0" shapeId="0">
      <text>
        <r>
          <rPr>
            <sz val="9"/>
            <color indexed="81"/>
            <rFont val="Tahoma"/>
            <family val="2"/>
          </rPr>
          <t>DataPointVID 410260_x000D_
DataPointID 410260_x000D_
Metric  =  Nominal amount [mi]_x000D_
Base  =  Off balance sheet items_x000D_
Counterparty sector  =  Households_x000D_
Main category  =  Loan commitments given, financial guarantees given, other commitments given</t>
        </r>
      </text>
    </comment>
    <comment ref="E71" authorId="0" shapeId="0">
      <text>
        <r>
          <rPr>
            <sz val="9"/>
            <color indexed="81"/>
            <rFont val="Tahoma"/>
            <family val="2"/>
          </rPr>
          <t>DataPointVID 410261_x000D_
DataPointID 410261_x000D_
Metric  =  Nominal amount [mi]_x000D_
Base  =  Off balance sheet items_x000D_
Counterparty sector  =  Non-financial corporations_x000D_
Size of the counterparty  =  SME_x000D_
Main category  =  Loan commitments given, financial guarantees given, other commitments given</t>
        </r>
      </text>
    </comment>
    <comment ref="F71" authorId="0" shapeId="0">
      <text>
        <r>
          <rPr>
            <sz val="9"/>
            <color indexed="81"/>
            <rFont val="Tahoma"/>
            <family val="2"/>
          </rPr>
          <t>DataPointVID 424293_x000D_
DataPointID 410262_x000D_
Metric  =  Nominal amount [mi]_x000D_
Base  =  Off balance sheet items_x000D_
Counterparty sector  =  Non-financial corporations_x000D_
Size of the counterparty  =  Counterparties other than SME_x000D_
Main category  =  Loan commitments given, financial guarantees given, other commitments given</t>
        </r>
      </text>
    </comment>
    <comment ref="G71" authorId="0" shapeId="0">
      <text>
        <r>
          <rPr>
            <sz val="9"/>
            <color indexed="81"/>
            <rFont val="Tahoma"/>
            <family val="2"/>
          </rPr>
          <t>DataPointVID 410259_x000D_
DataPointID 410259_x000D_
Metric  =  Nominal amount [mi]_x000D_
Base  =  Off balance sheet items_x000D_
Counterparty sector  =  Credit institutions_x000D_
Main category  =  Loan commitments given, financial guarantees given, other commitments given</t>
        </r>
      </text>
    </comment>
    <comment ref="H71" authorId="0" shapeId="0">
      <text>
        <r>
          <rPr>
            <sz val="9"/>
            <color indexed="81"/>
            <rFont val="Tahoma"/>
            <family val="2"/>
          </rPr>
          <t>DataPointVID 410264_x000D_
DataPointID 410264_x000D_
Metric  =  Nominal amount [mi]_x000D_
Base  =  Off balance sheet items_x000D_
Counterparty sector  =  Financial corporations other than credit institutions_x000D_
Main category  =  Loan commitments given, financial guarantees given, other commitments given</t>
        </r>
      </text>
    </comment>
    <comment ref="I71" authorId="0" shapeId="0">
      <text>
        <r>
          <rPr>
            <sz val="9"/>
            <color indexed="81"/>
            <rFont val="Tahoma"/>
            <family val="2"/>
          </rPr>
          <t>DataPointVID 410263_x000D_
DataPointID 410263_x000D_
Metric  =  Nominal amount [mi]_x000D_
Base  =  Off balance sheet items_x000D_
Counterparty sector  =  Financial corporations other than credit institutions_x000D_
Counterparty nature 2  =  Insurance companies, pension funds_x000D_
Main category  =  Loan commitments given, financial guarantees given, other commitments given</t>
        </r>
      </text>
    </comment>
    <comment ref="J71" authorId="0" shapeId="0">
      <text>
        <r>
          <rPr>
            <sz val="9"/>
            <color indexed="81"/>
            <rFont val="Tahoma"/>
            <family val="2"/>
          </rPr>
          <t>DataPointVID 410265_x000D_
DataPointID 410265_x000D_
Metric  =  Nominal amount [mi]_x000D_
Base  =  Off balance sheet items_x000D_
Counterparty sector  =  Central banks, general governments_x000D_
Main category  =  Loan commitments given, financial guarantees given, other commitments given</t>
        </r>
      </text>
    </comment>
    <comment ref="K71" authorId="0" shapeId="0">
      <text>
        <r>
          <rPr>
            <sz val="9"/>
            <color indexed="81"/>
            <rFont val="Tahoma"/>
            <family val="2"/>
          </rPr>
          <t>DataPointVID 410258_x000D_
DataPointID 410258_x000D_
Metric  =  Nominal amount [mi]_x000D_
Base  =  Off balance sheet items_x000D_
Instrument is listed on exchange  =  True_x000D_
Counterparty sector  =  Unknown counterparty_x000D_
Main category  =  Loan commitments given, financial guarantees given, other commitments given</t>
        </r>
      </text>
    </comment>
    <comment ref="L71" authorId="0" shapeId="0">
      <text>
        <r>
          <rPr>
            <sz val="9"/>
            <color indexed="81"/>
            <rFont val="Tahoma"/>
            <family val="2"/>
          </rPr>
          <t>DataPointVID 410257_x000D_
DataPointID 410257_x000D_
Metric  =  Nominal amount [mi]_x000D_
Base  =  Off balance sheet items_x000D_
Instrument is listed on exchange  =  False_x000D_
Counterparty sector  =  Unknown counterparty_x000D_
Main category  =  Loan commitments given, financial guarantees given, other commitments given</t>
        </r>
      </text>
    </comment>
    <comment ref="M71" authorId="0" shapeId="0">
      <text>
        <r>
          <rPr>
            <sz val="9"/>
            <color indexed="81"/>
            <rFont val="Tahoma"/>
            <family val="2"/>
          </rPr>
          <t>DataPointVID 410266_x000D_
DataPointID 410266_x000D_
Metric  =  Nominal amount [mi]_x000D_
Base  =  Off balance sheet items_x000D_
Main category  =  Loan commitments given, financial guarantees given, other commitments given</t>
        </r>
      </text>
    </comment>
    <comment ref="N71" authorId="0" shapeId="0">
      <text>
        <r>
          <rPr>
            <sz val="9"/>
            <color indexed="81"/>
            <rFont val="Tahoma"/>
            <family val="2"/>
          </rPr>
          <t>DataPointVID 410267_x000D_
DataPointID 410267_x000D_
Metric  =  Nominal amount [mi]_x000D_
Base  =  Off balance sheet items_x000D_
Main category  =  Loan commitments given, financial guarantees given, other commitments given_x000D_
Related parties/Relationships  =  Intra-group</t>
        </r>
      </text>
    </comment>
    <comment ref="O71" authorId="0" shapeId="0">
      <text>
        <r>
          <rPr>
            <sz val="9"/>
            <color indexed="81"/>
            <rFont val="Tahoma"/>
            <family val="2"/>
          </rPr>
          <t>DataPointVID 410268_x000D_
DataPointID 410268_x000D_
Metric  =  Nominal amount [mi]_x000D_
Base  =  Off balance sheet items_x000D_
Main category  =  Loan commitments given, financial guarantees given, other commitments given_x000D_
Related parties/Relationships  =  Non intra-group_x000D_
Governed by law of an EU Member State  =  False</t>
        </r>
      </text>
    </comment>
    <comment ref="C72" authorId="0" shapeId="0">
      <text>
        <r>
          <rPr>
            <sz val="9"/>
            <color indexed="81"/>
            <rFont val="Tahoma"/>
            <family val="2"/>
          </rPr>
          <t>Metric  =  Nominal amount [mi]_x000D_
Base  =  Memorandum items_x000D_
Main category  =  Loan commitments received</t>
        </r>
      </text>
    </comment>
    <comment ref="D72" authorId="0" shapeId="0">
      <text>
        <r>
          <rPr>
            <sz val="9"/>
            <color indexed="81"/>
            <rFont val="Tahoma"/>
            <family val="2"/>
          </rPr>
          <t>DataPointVID 39670_x000D_
DataPointID 39670_x000D_
Metric  =  Nominal amount [mi]_x000D_
Base  =  Memorandum items_x000D_
Counterparty sector  =  Households_x000D_
Main category  =  Loan commitments received</t>
        </r>
      </text>
    </comment>
    <comment ref="E72" authorId="0" shapeId="0">
      <text>
        <r>
          <rPr>
            <sz val="9"/>
            <color indexed="81"/>
            <rFont val="Tahoma"/>
            <family val="2"/>
          </rPr>
          <t>DataPointVID 424273_x000D_
DataPointID 424273_x000D_
Metric  =  Nominal amount [mi]_x000D_
Base  =  Memorandum items_x000D_
Counterparty sector  =  Non-financial corporations_x000D_
Size of the counterparty  =  SME_x000D_
Main category  =  Loan commitments received</t>
        </r>
      </text>
    </comment>
    <comment ref="F72" authorId="0" shapeId="0">
      <text>
        <r>
          <rPr>
            <sz val="9"/>
            <color indexed="81"/>
            <rFont val="Tahoma"/>
            <family val="2"/>
          </rPr>
          <t>DataPointVID 424270_x000D_
DataPointID 424270_x000D_
Metric  =  Nominal amount [mi]_x000D_
Base  =  Memorandum items_x000D_
Counterparty sector  =  Non-financial corporations_x000D_
Size of the counterparty  =  Counterparties other than SME_x000D_
Main category  =  Loan commitments received</t>
        </r>
      </text>
    </comment>
    <comment ref="G72" authorId="0" shapeId="0">
      <text>
        <r>
          <rPr>
            <sz val="9"/>
            <color indexed="81"/>
            <rFont val="Tahoma"/>
            <family val="2"/>
          </rPr>
          <t>DataPointVID 39666_x000D_
DataPointID 39666_x000D_
Metric  =  Nominal amount [mi]_x000D_
Base  =  Memorandum items_x000D_
Counterparty sector  =  Credit institutions_x000D_
Main category  =  Loan commitments received</t>
        </r>
      </text>
    </comment>
    <comment ref="H72" authorId="0" shapeId="0">
      <text>
        <r>
          <rPr>
            <sz val="9"/>
            <color indexed="81"/>
            <rFont val="Tahoma"/>
            <family val="2"/>
          </rPr>
          <t>DataPointVID 85144_x000D_
DataPointID 85144_x000D_
Metric  =  Nominal amount [mi]_x000D_
Base  =  Memorandum items_x000D_
Counterparty sector  =  Financial corporations other than credit institutions_x000D_
Main category  =  Loan commitments received</t>
        </r>
      </text>
    </comment>
    <comment ref="I72" authorId="0" shapeId="0">
      <text>
        <r>
          <rPr>
            <sz val="9"/>
            <color indexed="81"/>
            <rFont val="Tahoma"/>
            <family val="2"/>
          </rPr>
          <t>DataPointVID 424276_x000D_
DataPointID 424276_x000D_
Metric  =  Nominal amount [mi]_x000D_
Base  =  Memorandum items_x000D_
Counterparty sector  =  Financial corporations other than credit institutions_x000D_
Counterparty nature 2  =  Insurance companies, pension funds_x000D_
Main category  =  Loan commitments received</t>
        </r>
      </text>
    </comment>
    <comment ref="J72" authorId="0" shapeId="0">
      <text>
        <r>
          <rPr>
            <sz val="9"/>
            <color indexed="81"/>
            <rFont val="Tahoma"/>
            <family val="2"/>
          </rPr>
          <t>DataPointVID 424280_x000D_
DataPointID 424280_x000D_
Metric  =  Nominal amount [mi]_x000D_
Base  =  Memorandum items_x000D_
Counterparty sector  =  Central banks, general governments_x000D_
Main category  =  Loan commitments received</t>
        </r>
      </text>
    </comment>
    <comment ref="K72" authorId="0" shapeId="0">
      <text>
        <r>
          <rPr>
            <sz val="9"/>
            <color indexed="81"/>
            <rFont val="Tahoma"/>
            <family val="2"/>
          </rPr>
          <t>DataPointVID 424264_x000D_
DataPointID 424264_x000D_
Metric  =  Nominal amount [mi]_x000D_
Base  =  Memorandum items_x000D_
Instrument is listed on exchange  =  True_x000D_
Counterparty sector  =  Unknown counterparty_x000D_
Main category  =  Loan commitments received</t>
        </r>
      </text>
    </comment>
    <comment ref="L72" authorId="0" shapeId="0">
      <text>
        <r>
          <rPr>
            <sz val="9"/>
            <color indexed="81"/>
            <rFont val="Tahoma"/>
            <family val="2"/>
          </rPr>
          <t>DataPointVID 424261_x000D_
DataPointID 424261_x000D_
Metric  =  Nominal amount [mi]_x000D_
Base  =  Memorandum items_x000D_
Instrument is listed on exchange  =  False_x000D_
Counterparty sector  =  Unknown counterparty_x000D_
Main category  =  Loan commitments received</t>
        </r>
      </text>
    </comment>
    <comment ref="M72" authorId="0" shapeId="0">
      <text>
        <r>
          <rPr>
            <sz val="9"/>
            <color indexed="81"/>
            <rFont val="Tahoma"/>
            <family val="2"/>
          </rPr>
          <t>DataPointVID 39676_x000D_
DataPointID 39676_x000D_
Metric  =  Nominal amount [mi]_x000D_
Base  =  Memorandum items_x000D_
Main category  =  Loan commitments received</t>
        </r>
      </text>
    </comment>
    <comment ref="N72" authorId="0" shapeId="0">
      <text>
        <r>
          <rPr>
            <sz val="9"/>
            <color indexed="81"/>
            <rFont val="Tahoma"/>
            <family val="2"/>
          </rPr>
          <t>DataPointVID 424285_x000D_
DataPointID 424285_x000D_
Metric  =  Nominal amount [mi]_x000D_
Base  =  Memorandum items_x000D_
Main category  =  Loan commitments received_x000D_
Related parties/Relationships  =  Intra-group</t>
        </r>
      </text>
    </comment>
    <comment ref="O72" authorId="0" shapeId="0">
      <text>
        <r>
          <rPr>
            <sz val="9"/>
            <color indexed="81"/>
            <rFont val="Tahoma"/>
            <family val="2"/>
          </rPr>
          <t>DataPointVID 424286_x000D_
DataPointID 424286_x000D_
Metric  =  Nominal amount [mi]_x000D_
Base  =  Memorandum items_x000D_
Main category  =  Loan commitments received_x000D_
Related parties/Relationships  =  Non intra-group_x000D_
Governed by law of an EU Member State  =  False</t>
        </r>
      </text>
    </comment>
    <comment ref="C73" authorId="0" shapeId="0">
      <text>
        <r>
          <rPr>
            <sz val="9"/>
            <color indexed="81"/>
            <rFont val="Tahoma"/>
            <family val="2"/>
          </rPr>
          <t>Metric  =  Nominal amount [mi]_x000D_
Base  =  Memorandum items_x000D_
Main category  =  Financial guarantees received</t>
        </r>
      </text>
    </comment>
    <comment ref="D73" authorId="0" shapeId="0">
      <text>
        <r>
          <rPr>
            <sz val="9"/>
            <color indexed="81"/>
            <rFont val="Tahoma"/>
            <family val="2"/>
          </rPr>
          <t>DataPointVID 424268_x000D_
DataPointID 424268_x000D_
Metric  =  Nominal amount [mi]_x000D_
Base  =  Memorandum items_x000D_
Counterparty sector  =  Households_x000D_
Main category  =  Financial guarantees received</t>
        </r>
      </text>
    </comment>
    <comment ref="E73" authorId="0" shapeId="0">
      <text>
        <r>
          <rPr>
            <sz val="9"/>
            <color indexed="81"/>
            <rFont val="Tahoma"/>
            <family val="2"/>
          </rPr>
          <t>DataPointVID 424272_x000D_
DataPointID 424272_x000D_
Metric  =  Nominal amount [mi]_x000D_
Base  =  Memorandum items_x000D_
Counterparty sector  =  Non-financial corporations_x000D_
Size of the counterparty  =  SME_x000D_
Main category  =  Financial guarantees received</t>
        </r>
      </text>
    </comment>
    <comment ref="F73" authorId="0" shapeId="0">
      <text>
        <r>
          <rPr>
            <sz val="9"/>
            <color indexed="81"/>
            <rFont val="Tahoma"/>
            <family val="2"/>
          </rPr>
          <t>DataPointVID 424269_x000D_
DataPointID 424269_x000D_
Metric  =  Nominal amount [mi]_x000D_
Base  =  Memorandum items_x000D_
Counterparty sector  =  Non-financial corporations_x000D_
Size of the counterparty  =  Counterparties other than SME_x000D_
Main category  =  Financial guarantees received</t>
        </r>
      </text>
    </comment>
    <comment ref="G73" authorId="0" shapeId="0">
      <text>
        <r>
          <rPr>
            <sz val="9"/>
            <color indexed="81"/>
            <rFont val="Tahoma"/>
            <family val="2"/>
          </rPr>
          <t>DataPointVID 424267_x000D_
DataPointID 424267_x000D_
Metric  =  Nominal amount [mi]_x000D_
Base  =  Memorandum items_x000D_
Counterparty sector  =  Credit institutions_x000D_
Main category  =  Financial guarantees received</t>
        </r>
      </text>
    </comment>
    <comment ref="H73" authorId="0" shapeId="0">
      <text>
        <r>
          <rPr>
            <sz val="9"/>
            <color indexed="81"/>
            <rFont val="Tahoma"/>
            <family val="2"/>
          </rPr>
          <t>DataPointVID 424278_x000D_
DataPointID 424278_x000D_
Metric  =  Nominal amount [mi]_x000D_
Base  =  Memorandum items_x000D_
Counterparty sector  =  Financial corporations other than credit institutions_x000D_
Main category  =  Financial guarantees received</t>
        </r>
      </text>
    </comment>
    <comment ref="I73" authorId="0" shapeId="0">
      <text>
        <r>
          <rPr>
            <sz val="9"/>
            <color indexed="81"/>
            <rFont val="Tahoma"/>
            <family val="2"/>
          </rPr>
          <t>DataPointVID 424275_x000D_
DataPointID 424275_x000D_
Metric  =  Nominal amount [mi]_x000D_
Base  =  Memorandum items_x000D_
Counterparty sector  =  Financial corporations other than credit institutions_x000D_
Counterparty nature 2  =  Insurance companies, pension funds_x000D_
Main category  =  Financial guarantees received</t>
        </r>
      </text>
    </comment>
    <comment ref="J73" authorId="0" shapeId="0">
      <text>
        <r>
          <rPr>
            <sz val="9"/>
            <color indexed="81"/>
            <rFont val="Tahoma"/>
            <family val="2"/>
          </rPr>
          <t>DataPointVID 424279_x000D_
DataPointID 424279_x000D_
Metric  =  Nominal amount [mi]_x000D_
Base  =  Memorandum items_x000D_
Counterparty sector  =  Central banks, general governments_x000D_
Main category  =  Financial guarantees received</t>
        </r>
      </text>
    </comment>
    <comment ref="K73" authorId="0" shapeId="0">
      <text>
        <r>
          <rPr>
            <sz val="9"/>
            <color indexed="81"/>
            <rFont val="Tahoma"/>
            <family val="2"/>
          </rPr>
          <t>DataPointVID 424263_x000D_
DataPointID 424263_x000D_
Metric  =  Nominal amount [mi]_x000D_
Base  =  Memorandum items_x000D_
Instrument is listed on exchange  =  True_x000D_
Counterparty sector  =  Unknown counterparty_x000D_
Main category  =  Financial guarantees received</t>
        </r>
      </text>
    </comment>
    <comment ref="L73" authorId="0" shapeId="0">
      <text>
        <r>
          <rPr>
            <sz val="9"/>
            <color indexed="81"/>
            <rFont val="Tahoma"/>
            <family val="2"/>
          </rPr>
          <t>DataPointVID 424260_x000D_
DataPointID 424260_x000D_
Metric  =  Nominal amount [mi]_x000D_
Base  =  Memorandum items_x000D_
Instrument is listed on exchange  =  False_x000D_
Counterparty sector  =  Unknown counterparty_x000D_
Main category  =  Financial guarantees received</t>
        </r>
      </text>
    </comment>
    <comment ref="M73" authorId="0" shapeId="0">
      <text>
        <r>
          <rPr>
            <sz val="9"/>
            <color indexed="81"/>
            <rFont val="Tahoma"/>
            <family val="2"/>
          </rPr>
          <t>DataPointVID 424282_x000D_
DataPointID 424282_x000D_
Metric  =  Nominal amount [mi]_x000D_
Base  =  Memorandum items_x000D_
Main category  =  Financial guarantees received</t>
        </r>
      </text>
    </comment>
    <comment ref="N73" authorId="0" shapeId="0">
      <text>
        <r>
          <rPr>
            <sz val="9"/>
            <color indexed="81"/>
            <rFont val="Tahoma"/>
            <family val="2"/>
          </rPr>
          <t>DataPointVID 424283_x000D_
DataPointID 424283_x000D_
Metric  =  Nominal amount [mi]_x000D_
Base  =  Memorandum items_x000D_
Main category  =  Financial guarantees received_x000D_
Related parties/Relationships  =  Intra-group</t>
        </r>
      </text>
    </comment>
    <comment ref="O73" authorId="0" shapeId="0">
      <text>
        <r>
          <rPr>
            <sz val="9"/>
            <color indexed="81"/>
            <rFont val="Tahoma"/>
            <family val="2"/>
          </rPr>
          <t>DataPointVID 424284_x000D_
DataPointID 424284_x000D_
Metric  =  Nominal amount [mi]_x000D_
Base  =  Memorandum items_x000D_
Main category  =  Financial guarantees received_x000D_
Related parties/Relationships  =  Non intra-group_x000D_
Governed by law of an EU Member State  =  False</t>
        </r>
      </text>
    </comment>
    <comment ref="C74" authorId="0" shapeId="0">
      <text>
        <r>
          <rPr>
            <sz val="9"/>
            <color indexed="81"/>
            <rFont val="Tahoma"/>
            <family val="2"/>
          </rPr>
          <t>Metric  =  Nominal amount [mi]_x000D_
Base  =  Memorandum items_x000D_
Main category  =  Other Commitments Received</t>
        </r>
      </text>
    </comment>
    <comment ref="D74" authorId="0" shapeId="0">
      <text>
        <r>
          <rPr>
            <sz val="9"/>
            <color indexed="81"/>
            <rFont val="Tahoma"/>
            <family val="2"/>
          </rPr>
          <t>DataPointVID 39671_x000D_
DataPointID 39671_x000D_
Metric  =  Nominal amount [mi]_x000D_
Base  =  Memorandum items_x000D_
Counterparty sector  =  Households_x000D_
Main category  =  Other Commitments Received</t>
        </r>
      </text>
    </comment>
    <comment ref="E74" authorId="0" shapeId="0">
      <text>
        <r>
          <rPr>
            <sz val="9"/>
            <color indexed="81"/>
            <rFont val="Tahoma"/>
            <family val="2"/>
          </rPr>
          <t>DataPointVID 424274_x000D_
DataPointID 424274_x000D_
Metric  =  Nominal amount [mi]_x000D_
Base  =  Memorandum items_x000D_
Counterparty sector  =  Non-financial corporations_x000D_
Size of the counterparty  =  SME_x000D_
Main category  =  Other Commitments Received</t>
        </r>
      </text>
    </comment>
    <comment ref="F74" authorId="0" shapeId="0">
      <text>
        <r>
          <rPr>
            <sz val="9"/>
            <color indexed="81"/>
            <rFont val="Tahoma"/>
            <family val="2"/>
          </rPr>
          <t>DataPointVID 424271_x000D_
DataPointID 424271_x000D_
Metric  =  Nominal amount [mi]_x000D_
Base  =  Memorandum items_x000D_
Counterparty sector  =  Non-financial corporations_x000D_
Size of the counterparty  =  Counterparties other than SME_x000D_
Main category  =  Other Commitments Received</t>
        </r>
      </text>
    </comment>
    <comment ref="G74" authorId="0" shapeId="0">
      <text>
        <r>
          <rPr>
            <sz val="9"/>
            <color indexed="81"/>
            <rFont val="Tahoma"/>
            <family val="2"/>
          </rPr>
          <t>DataPointVID 39667_x000D_
DataPointID 39667_x000D_
Metric  =  Nominal amount [mi]_x000D_
Base  =  Memorandum items_x000D_
Counterparty sector  =  Credit institutions_x000D_
Main category  =  Other Commitments Received</t>
        </r>
      </text>
    </comment>
    <comment ref="H74" authorId="0" shapeId="0">
      <text>
        <r>
          <rPr>
            <sz val="9"/>
            <color indexed="81"/>
            <rFont val="Tahoma"/>
            <family val="2"/>
          </rPr>
          <t>DataPointVID 85145_x000D_
DataPointID 85145_x000D_
Metric  =  Nominal amount [mi]_x000D_
Base  =  Memorandum items_x000D_
Counterparty sector  =  Financial corporations other than credit institutions_x000D_
Main category  =  Other Commitments Received</t>
        </r>
      </text>
    </comment>
    <comment ref="I74" authorId="0" shapeId="0">
      <text>
        <r>
          <rPr>
            <sz val="9"/>
            <color indexed="81"/>
            <rFont val="Tahoma"/>
            <family val="2"/>
          </rPr>
          <t>DataPointVID 424277_x000D_
DataPointID 424277_x000D_
Metric  =  Nominal amount [mi]_x000D_
Base  =  Memorandum items_x000D_
Counterparty sector  =  Financial corporations other than credit institutions_x000D_
Counterparty nature 2  =  Insurance companies, pension funds_x000D_
Main category  =  Other Commitments Received</t>
        </r>
      </text>
    </comment>
    <comment ref="J74" authorId="0" shapeId="0">
      <text>
        <r>
          <rPr>
            <sz val="9"/>
            <color indexed="81"/>
            <rFont val="Tahoma"/>
            <family val="2"/>
          </rPr>
          <t>DataPointVID 424281_x000D_
DataPointID 424281_x000D_
Metric  =  Nominal amount [mi]_x000D_
Base  =  Memorandum items_x000D_
Counterparty sector  =  Central banks, general governments_x000D_
Main category  =  Other Commitments Received</t>
        </r>
      </text>
    </comment>
    <comment ref="K74" authorId="0" shapeId="0">
      <text>
        <r>
          <rPr>
            <sz val="9"/>
            <color indexed="81"/>
            <rFont val="Tahoma"/>
            <family val="2"/>
          </rPr>
          <t>DataPointVID 424265_x000D_
DataPointID 424265_x000D_
Metric  =  Nominal amount [mi]_x000D_
Base  =  Memorandum items_x000D_
Instrument is listed on exchange  =  True_x000D_
Counterparty sector  =  Unknown counterparty_x000D_
Main category  =  Other Commitments Received</t>
        </r>
      </text>
    </comment>
    <comment ref="L74" authorId="0" shapeId="0">
      <text>
        <r>
          <rPr>
            <sz val="9"/>
            <color indexed="81"/>
            <rFont val="Tahoma"/>
            <family val="2"/>
          </rPr>
          <t>DataPointVID 424262_x000D_
DataPointID 424262_x000D_
Metric  =  Nominal amount [mi]_x000D_
Base  =  Memorandum items_x000D_
Instrument is listed on exchange  =  False_x000D_
Counterparty sector  =  Unknown counterparty_x000D_
Main category  =  Other Commitments Received</t>
        </r>
      </text>
    </comment>
    <comment ref="M74" authorId="0" shapeId="0">
      <text>
        <r>
          <rPr>
            <sz val="9"/>
            <color indexed="81"/>
            <rFont val="Tahoma"/>
            <family val="2"/>
          </rPr>
          <t>DataPointVID 39677_x000D_
DataPointID 39677_x000D_
Metric  =  Nominal amount [mi]_x000D_
Base  =  Memorandum items_x000D_
Main category  =  Other Commitments Received</t>
        </r>
      </text>
    </comment>
    <comment ref="N74" authorId="0" shapeId="0">
      <text>
        <r>
          <rPr>
            <sz val="9"/>
            <color indexed="81"/>
            <rFont val="Tahoma"/>
            <family val="2"/>
          </rPr>
          <t>DataPointVID 424287_x000D_
DataPointID 424287_x000D_
Metric  =  Nominal amount [mi]_x000D_
Base  =  Memorandum items_x000D_
Main category  =  Other Commitments Received_x000D_
Related parties/Relationships  =  Intra-group</t>
        </r>
      </text>
    </comment>
    <comment ref="O74" authorId="0" shapeId="0">
      <text>
        <r>
          <rPr>
            <sz val="9"/>
            <color indexed="81"/>
            <rFont val="Tahoma"/>
            <family val="2"/>
          </rPr>
          <t>DataPointVID 424288_x000D_
DataPointID 424288_x000D_
Metric  =  Nominal amount [mi]_x000D_
Base  =  Memorandum items_x000D_
Main category  =  Other Commitments Received_x000D_
Related parties/Relationships  =  Non intra-group_x000D_
Governed by law of an EU Member State  =  False</t>
        </r>
      </text>
    </comment>
    <comment ref="C75" authorId="0" shapeId="0">
      <text>
        <r>
          <rPr>
            <sz val="9"/>
            <color indexed="81"/>
            <rFont val="Tahoma"/>
            <family val="2"/>
          </rPr>
          <t>Metric  =  Notional amount [mi]_x000D_
Base  =  Memorandum items_x000D_
Main category  =  Derivatives</t>
        </r>
      </text>
    </comment>
    <comment ref="D75" authorId="0" shapeId="0">
      <text>
        <r>
          <rPr>
            <sz val="9"/>
            <color indexed="81"/>
            <rFont val="Tahoma"/>
            <family val="2"/>
          </rPr>
          <t>DataPointVID 423770_x000D_
DataPointID 423770_x000D_
Metric  =  Notional amount [mi]_x000D_
Base  =  Memorandum items_x000D_
Counterparty sector  =  Households_x000D_
Main category  =  Derivatives</t>
        </r>
      </text>
    </comment>
    <comment ref="E75" authorId="0" shapeId="0">
      <text>
        <r>
          <rPr>
            <sz val="9"/>
            <color indexed="81"/>
            <rFont val="Tahoma"/>
            <family val="2"/>
          </rPr>
          <t>DataPointVID 423772_x000D_
DataPointID 423772_x000D_
Metric  =  Notional amount [mi]_x000D_
Base  =  Memorandum items_x000D_
Counterparty sector  =  Non-financial corporations_x000D_
Size of the counterparty  =  SME_x000D_
Main category  =  Derivatives</t>
        </r>
      </text>
    </comment>
    <comment ref="F75" authorId="0" shapeId="0">
      <text>
        <r>
          <rPr>
            <sz val="9"/>
            <color indexed="81"/>
            <rFont val="Tahoma"/>
            <family val="2"/>
          </rPr>
          <t>DataPointVID 423771_x000D_
DataPointID 423771_x000D_
Metric  =  Notional amount [mi]_x000D_
Base  =  Memorandum items_x000D_
Counterparty sector  =  Non-financial corporations_x000D_
Size of the counterparty  =  Counterparties other than SME_x000D_
Main category  =  Derivatives</t>
        </r>
      </text>
    </comment>
    <comment ref="G75" authorId="0" shapeId="0">
      <text>
        <r>
          <rPr>
            <sz val="9"/>
            <color indexed="81"/>
            <rFont val="Tahoma"/>
            <family val="2"/>
          </rPr>
          <t>DataPointVID 423769_x000D_
DataPointID 423769_x000D_
Metric  =  Notional amount [mi]_x000D_
Base  =  Memorandum items_x000D_
Counterparty sector  =  Credit institutions_x000D_
Main category  =  Derivatives</t>
        </r>
      </text>
    </comment>
    <comment ref="H75" authorId="0" shapeId="0">
      <text>
        <r>
          <rPr>
            <sz val="9"/>
            <color indexed="81"/>
            <rFont val="Tahoma"/>
            <family val="2"/>
          </rPr>
          <t>DataPointVID 423774_x000D_
DataPointID 423774_x000D_
Metric  =  Notional amount [mi]_x000D_
Base  =  Memorandum items_x000D_
Counterparty sector  =  Financial corporations other than credit institutions_x000D_
Main category  =  Derivatives</t>
        </r>
      </text>
    </comment>
    <comment ref="I75" authorId="0" shapeId="0">
      <text>
        <r>
          <rPr>
            <sz val="9"/>
            <color indexed="81"/>
            <rFont val="Tahoma"/>
            <family val="2"/>
          </rPr>
          <t>DataPointVID 423773_x000D_
DataPointID 423773_x000D_
Metric  =  Notional amount [mi]_x000D_
Base  =  Memorandum items_x000D_
Counterparty sector  =  Financial corporations other than credit institutions_x000D_
Counterparty nature 2  =  Insurance companies, pension funds_x000D_
Main category  =  Derivatives</t>
        </r>
      </text>
    </comment>
    <comment ref="J75" authorId="0" shapeId="0">
      <text>
        <r>
          <rPr>
            <sz val="9"/>
            <color indexed="81"/>
            <rFont val="Tahoma"/>
            <family val="2"/>
          </rPr>
          <t>DataPointVID 423775_x000D_
DataPointID 423775_x000D_
Metric  =  Notional amount [mi]_x000D_
Base  =  Memorandum items_x000D_
Counterparty sector  =  Central banks, general governments_x000D_
Main category  =  Derivatives</t>
        </r>
      </text>
    </comment>
    <comment ref="K75" authorId="0" shapeId="0">
      <text>
        <r>
          <rPr>
            <sz val="9"/>
            <color indexed="81"/>
            <rFont val="Tahoma"/>
            <family val="2"/>
          </rPr>
          <t>DataPointVID 423768_x000D_
DataPointID 423768_x000D_
Metric  =  Notional amount [mi]_x000D_
Base  =  Memorandum items_x000D_
Instrument is listed on exchange  =  True_x000D_
Counterparty sector  =  Unknown counterparty_x000D_
Main category  =  Derivatives</t>
        </r>
      </text>
    </comment>
    <comment ref="L75" authorId="0" shapeId="0">
      <text>
        <r>
          <rPr>
            <sz val="9"/>
            <color indexed="81"/>
            <rFont val="Tahoma"/>
            <family val="2"/>
          </rPr>
          <t>DataPointVID 423767_x000D_
DataPointID 423767_x000D_
Metric  =  Notional amount [mi]_x000D_
Base  =  Memorandum items_x000D_
Instrument is listed on exchange  =  False_x000D_
Counterparty sector  =  Unknown counterparty_x000D_
Main category  =  Derivatives</t>
        </r>
      </text>
    </comment>
    <comment ref="M75" authorId="0" shapeId="0">
      <text>
        <r>
          <rPr>
            <sz val="9"/>
            <color indexed="81"/>
            <rFont val="Tahoma"/>
            <family val="2"/>
          </rPr>
          <t>DataPointVID 423782_x000D_
DataPointID 423782_x000D_
Metric  =  Notional amount [mi]_x000D_
Base  =  Memorandum items_x000D_
Main category  =  Derivatives</t>
        </r>
      </text>
    </comment>
    <comment ref="N75" authorId="0" shapeId="0">
      <text>
        <r>
          <rPr>
            <sz val="9"/>
            <color indexed="81"/>
            <rFont val="Tahoma"/>
            <family val="2"/>
          </rPr>
          <t>DataPointVID 423783_x000D_
DataPointID 423783_x000D_
Metric  =  Notional amount [mi]_x000D_
Base  =  Memorandum items_x000D_
Main category  =  Derivatives_x000D_
Related parties/Relationships  =  Intra-group</t>
        </r>
      </text>
    </comment>
    <comment ref="O75" authorId="0" shapeId="0">
      <text>
        <r>
          <rPr>
            <sz val="9"/>
            <color indexed="81"/>
            <rFont val="Tahoma"/>
            <family val="2"/>
          </rPr>
          <t>DataPointVID 423784_x000D_
DataPointID 423784_x000D_
Metric  =  Notional amount [mi]_x000D_
Base  =  Memorandum items_x000D_
Main category  =  Derivatives_x000D_
Related parties/Relationships  =  Non intra-group_x000D_
Governed by law of an EU Member State  =  False</t>
        </r>
      </text>
    </comment>
    <comment ref="C76" authorId="0" shapeId="0">
      <text>
        <r>
          <rPr>
            <sz val="9"/>
            <color indexed="81"/>
            <rFont val="Tahoma"/>
            <family val="2"/>
          </rPr>
          <t>Metric  =  Carrying amount [mi]_x000D_
Base  =  Equity_x000D_
Main category  =  All equity</t>
        </r>
      </text>
    </comment>
    <comment ref="M76" authorId="0" shapeId="0">
      <text>
        <r>
          <rPr>
            <sz val="9"/>
            <color indexed="81"/>
            <rFont val="Tahoma"/>
            <family val="2"/>
          </rPr>
          <t>DataPointVID 32464_x000D_
DataPointID 32464_x000D_
Metric  =  Carrying amount [mi]_x000D_
Base  =  Equity_x000D_
Main category  =  All equity</t>
        </r>
      </text>
    </comment>
    <comment ref="C77" authorId="0" shapeId="0">
      <text>
        <r>
          <rPr>
            <sz val="9"/>
            <color indexed="81"/>
            <rFont val="Tahoma"/>
            <family val="2"/>
          </rPr>
          <t>Metric  =  Carrying amount [mi]_x000D_
Base  =  Assets_x000D_
Main category  =  All assets</t>
        </r>
      </text>
    </comment>
    <comment ref="M77" authorId="0" shapeId="0">
      <text>
        <r>
          <rPr>
            <sz val="9"/>
            <color indexed="81"/>
            <rFont val="Tahoma"/>
            <family val="2"/>
          </rPr>
          <t>DataPointVID 32354_x000D_
DataPointID 32354_x000D_
Metric  =  Carrying amount [mi]_x000D_
Base  =  Assets_x000D_
Main category  =  All assets</t>
        </r>
      </text>
    </comment>
  </commentList>
</comments>
</file>

<file path=xl/comments3.xml><?xml version="1.0" encoding="utf-8"?>
<comments xmlns="http://schemas.openxmlformats.org/spreadsheetml/2006/main">
  <authors>
    <author>Haizhen Li</author>
  </authors>
  <commentList>
    <comment ref="D7" authorId="0" shapeId="0">
      <text>
        <r>
          <rPr>
            <sz val="9"/>
            <color indexed="81"/>
            <rFont val="Tahoma"/>
            <family val="2"/>
          </rPr>
          <t>Metric  =  Leverage Ratio - Tier 1 transitional definition [pi]</t>
        </r>
      </text>
    </comment>
    <comment ref="E7" authorId="0" shapeId="0">
      <text>
        <r>
          <rPr>
            <sz val="9"/>
            <color indexed="81"/>
            <rFont val="Tahoma"/>
            <family val="2"/>
          </rPr>
          <t>Metric  =  Leverage Ratio - Tier1 fully phased-in definition [pi]</t>
        </r>
      </text>
    </comment>
    <comment ref="C9" authorId="0" shapeId="0">
      <text>
        <r>
          <rPr>
            <sz val="9"/>
            <color indexed="81"/>
            <rFont val="Tahoma"/>
            <family val="2"/>
          </rPr>
          <t>Base  =  Memorandum items_x000D_
Main category  =  Leverage ratio requirement</t>
        </r>
      </text>
    </comment>
    <comment ref="D9" authorId="0" shapeId="0">
      <text>
        <r>
          <rPr>
            <sz val="9"/>
            <color indexed="81"/>
            <rFont val="Tahoma"/>
            <family val="2"/>
          </rPr>
          <t>{T 02.00.b, r0250, c 0010}=={Z 03.00, r0220, c 0010}_x000D_
DataPointVID 410256_x000D_
DataPointID 410256_x000D_
Metric  =  Leverage Ratio - Tier 1 transitional definition [pi]_x000D_
Base  =  Memorandum items_x000D_
Main category  =  Leverage ratio requirement</t>
        </r>
      </text>
    </comment>
    <comment ref="E9" authorId="0" shapeId="0">
      <text>
        <r>
          <rPr>
            <sz val="9"/>
            <color indexed="81"/>
            <rFont val="Tahoma"/>
            <family val="2"/>
          </rPr>
          <t>DataPointVID 410424_x000D_
DataPointID 410424_x000D_
Metric  =  Leverage Ratio - Tier1 fully phased-in definition [pi]_x000D_
Base  =  Memorandum items_x000D_
Main category  =  Leverage ratio requirement</t>
        </r>
      </text>
    </comment>
  </commentList>
</comments>
</file>

<file path=xl/comments4.xml><?xml version="1.0" encoding="utf-8"?>
<comments xmlns="http://schemas.openxmlformats.org/spreadsheetml/2006/main">
  <authors>
    <author>Haizhen Li</author>
  </authors>
  <commentList>
    <comment ref="E7" authorId="0" shapeId="0">
      <text>
        <r>
          <rPr>
            <sz val="9"/>
            <color indexed="81"/>
            <rFont val="Tahoma"/>
            <family val="2"/>
          </rPr>
          <t>Includes effect of transitional provisions  =  False</t>
        </r>
      </text>
    </comment>
    <comment ref="C8" authorId="0" shapeId="0">
      <text>
        <r>
          <rPr>
            <sz val="9"/>
            <color indexed="81"/>
            <rFont val="Tahoma"/>
            <family val="2"/>
          </rPr>
          <t>Metric  =  Total risk exposure amount, Risk weighted exposure amount [mi]_x000D_
Base  =  Exposures_x000D_
Main category  =  Instruments subject to capital requirements</t>
        </r>
      </text>
    </comment>
    <comment ref="D8" authorId="0" shapeId="0">
      <text>
        <r>
          <rPr>
            <sz val="9"/>
            <color indexed="81"/>
            <rFont val="Tahoma"/>
            <family val="2"/>
          </rPr>
          <t>{Z 03.00, r0100, c 0010}=={T 02.00.a, r0100, c 0010}_x000D_
DataPointVID 38483_x000D_
DataPointID 38483_x000D_
Metric  =  Total risk exposure amount, Risk weighted exposure amount [mi]_x000D_
Base  =  Exposures_x000D_
Main category  =  Instruments subject to capital requirements</t>
        </r>
      </text>
    </comment>
    <comment ref="E8" authorId="0" shapeId="0">
      <text>
        <r>
          <rPr>
            <sz val="9"/>
            <color indexed="81"/>
            <rFont val="Tahoma"/>
            <family val="2"/>
          </rPr>
          <t>DataPointVID 410252_x000D_
DataPointID 410252_x000D_
Metric  =  Total risk exposure amount, Risk weighted exposure amount [mi]_x000D_
Base  =  Exposures_x000D_
Includes effect of transitional provisions  =  False_x000D_
Main category  =  Instruments subject to capital requirements</t>
        </r>
      </text>
    </comment>
    <comment ref="C9" authorId="0" shapeId="0">
      <text>
        <r>
          <rPr>
            <sz val="9"/>
            <color indexed="81"/>
            <rFont val="Tahoma"/>
            <family val="2"/>
          </rPr>
          <t>Metric  =  Total risk exposure amount contribution to the group [mi]_x000D_
Base  =  Exposures_x000D_
Main category  =  All exposures</t>
        </r>
      </text>
    </comment>
    <comment ref="D9" authorId="0" shapeId="0">
      <text>
        <r>
          <rPr>
            <sz val="9"/>
            <color indexed="81"/>
            <rFont val="Tahoma"/>
            <family val="2"/>
          </rPr>
          <t>{Z 03.00, r0110, c 0010}=={T 02.00.a, r0110, c 0010}_x000D_
DataPointVID 410251_x000D_
DataPointID 410251_x000D_
Metric  =  Total risk exposure amount contribution to the group [mi]_x000D_
Base  =  Exposures_x000D_
Main category  =  All exposures</t>
        </r>
      </text>
    </comment>
    <comment ref="E9" authorId="0" shapeId="0">
      <text>
        <r>
          <rPr>
            <sz val="9"/>
            <color indexed="81"/>
            <rFont val="Tahoma"/>
            <family val="2"/>
          </rPr>
          <t>DataPointVID 410250_x000D_
DataPointID 410250_x000D_
Metric  =  Total risk exposure amount contribution to the group [mi]_x000D_
Base  =  Exposures_x000D_
Includes effect of transitional provisions  =  False_x000D_
Main category  =  All exposures</t>
        </r>
      </text>
    </comment>
    <comment ref="C10" authorId="0" shapeId="0">
      <text>
        <r>
          <rPr>
            <sz val="9"/>
            <color indexed="81"/>
            <rFont val="Tahoma"/>
            <family val="2"/>
          </rPr>
          <t>Metric  =  Computable amount [mi]_x000D_
Base  =  Exposures_x000D_
Main category  =  Leverage Ratio exposure transitional definition of Tier 1</t>
        </r>
      </text>
    </comment>
    <comment ref="D10" authorId="0" shapeId="0">
      <text>
        <r>
          <rPr>
            <sz val="9"/>
            <color indexed="81"/>
            <rFont val="Tahoma"/>
            <family val="2"/>
          </rPr>
          <t>{Z 03.00, r0120, c 0010}=={T 02.00.a, r0120, c 0010}_x000D_
DataPointVID 134661_x000D_
DataPointID 134661_x000D_
Metric  =  Computable amount [mi]_x000D_
Base  =  Exposures_x000D_
Main category  =  Leverage Ratio exposure transitional definition of Tier 1</t>
        </r>
      </text>
    </comment>
    <comment ref="C12" authorId="0" shapeId="0">
      <text>
        <r>
          <rPr>
            <sz val="9"/>
            <color indexed="81"/>
            <rFont val="Tahoma"/>
            <family val="2"/>
          </rPr>
          <t>Metric  =  Carrying amount [mi]_x000D_
Base  =  Own funds_x000D_
Main category  =  Initial Capital. Credit institutions and investment firms</t>
        </r>
      </text>
    </comment>
    <comment ref="D12" authorId="0" shapeId="0">
      <text>
        <r>
          <rPr>
            <sz val="9"/>
            <color indexed="81"/>
            <rFont val="Tahoma"/>
            <family val="2"/>
          </rPr>
          <t>{Z 03.00, r0210, c 0010}=={T 02.00.a, r0230, c 0010}_x000D_
DataPointVID 410140_x000D_
DataPointID 410140_x000D_
Metric  =  Carrying amount [mi]_x000D_
Base  =  Own funds_x000D_
Main category  =  Initial Capital. Credit institutions and investment firms</t>
        </r>
      </text>
    </comment>
    <comment ref="C13" authorId="0" shapeId="0">
      <text>
        <r>
          <rPr>
            <sz val="9"/>
            <color indexed="81"/>
            <rFont val="Tahoma"/>
            <family val="2"/>
          </rPr>
          <t>Metric  =  Percentage of capital ratio [pi]_x000D_
Base  =  Memorandum items_x000D_
Main category  =  Other Pillar 1 Specific (National) Requirements_x000D_
Own funds  =  Total own funds</t>
        </r>
      </text>
    </comment>
    <comment ref="D13" authorId="0" shapeId="0">
      <text>
        <r>
          <rPr>
            <sz val="9"/>
            <color indexed="81"/>
            <rFont val="Tahoma"/>
            <family val="2"/>
          </rPr>
          <t>DataPointVID 410437_x000D_
DataPointID 410437_x000D_
Metric  =  Percentage of capital ratio [pi]_x000D_
Base  =  Memorandum items_x000D_
Main category  =  Other Pillar 1 Specific (National) Requirements_x000D_
Own funds  =  Total own funds</t>
        </r>
      </text>
    </comment>
    <comment ref="E13" authorId="0" shapeId="0">
      <text>
        <r>
          <rPr>
            <sz val="9"/>
            <color indexed="81"/>
            <rFont val="Tahoma"/>
            <family val="2"/>
          </rPr>
          <t>DataPointVID 410425_x000D_
DataPointID 410425_x000D_
Metric  =  Percentage of capital ratio [pi]_x000D_
Base  =  Memorandum items_x000D_
Includes effect of transitional provisions  =  False_x000D_
Main category  =  Other Pillar 1 Specific (National) Requirements_x000D_
Own funds  =  Total own funds</t>
        </r>
      </text>
    </comment>
    <comment ref="C15" authorId="0" shapeId="0">
      <text>
        <r>
          <rPr>
            <sz val="9"/>
            <color indexed="81"/>
            <rFont val="Tahoma"/>
            <family val="2"/>
          </rPr>
          <t>Metric  =  Percentage of capital ratio [pi]_x000D_
Base  =  Memorandum items_x000D_
Main category  =  Total SREP capital requirement ratio (TSCR).Pillar 2 requirement component_x000D_
Own funds  =  Total own funds</t>
        </r>
      </text>
    </comment>
    <comment ref="D15" authorId="0" shapeId="0">
      <text>
        <r>
          <rPr>
            <sz val="9"/>
            <color indexed="81"/>
            <rFont val="Tahoma"/>
            <family val="2"/>
          </rPr>
          <t>DataPointVID 410438_x000D_
DataPointID 410438_x000D_
Metric  =  Percentage of capital ratio [pi]_x000D_
Base  =  Memorandum items_x000D_
Main category  =  Total SREP capital requirement ratio (TSCR).Pillar 2 requirement component_x000D_
Own funds  =  Total own funds</t>
        </r>
      </text>
    </comment>
    <comment ref="E15" authorId="0" shapeId="0">
      <text>
        <r>
          <rPr>
            <sz val="9"/>
            <color indexed="81"/>
            <rFont val="Tahoma"/>
            <family val="2"/>
          </rPr>
          <t>DataPointVID 410426_x000D_
DataPointID 410426_x000D_
Metric  =  Percentage of capital ratio [pi]_x000D_
Base  =  Memorandum items_x000D_
Includes effect of transitional provisions  =  False_x000D_
Main category  =  Total SREP capital requirement ratio (TSCR).Pillar 2 requirement component_x000D_
Own funds  =  Total own funds</t>
        </r>
      </text>
    </comment>
    <comment ref="C16" authorId="0" shapeId="0">
      <text>
        <r>
          <rPr>
            <sz val="9"/>
            <color indexed="81"/>
            <rFont val="Tahoma"/>
            <family val="2"/>
          </rPr>
          <t>Metric  =  Percentage of capital ratio [pi]_x000D_
Base  =  Memorandum items_x000D_
Main category  =  Total SREP capital requirement ratio (TSCR).Pillar 2 requirement component_x000D_
Own funds  =  CET1 Capital</t>
        </r>
      </text>
    </comment>
    <comment ref="D16" authorId="0" shapeId="0">
      <text>
        <r>
          <rPr>
            <sz val="9"/>
            <color indexed="81"/>
            <rFont val="Tahoma"/>
            <family val="2"/>
          </rPr>
          <t>DataPointVID 424336_x000D_
DataPointID 424336_x000D_
Metric  =  Percentage of capital ratio [pi]_x000D_
Base  =  Memorandum items_x000D_
Main category  =  Total SREP capital requirement ratio (TSCR).Pillar 2 requirement component_x000D_
Own funds  =  CET1 Capital</t>
        </r>
      </text>
    </comment>
    <comment ref="E16" authorId="0" shapeId="0">
      <text>
        <r>
          <rPr>
            <sz val="9"/>
            <color indexed="81"/>
            <rFont val="Tahoma"/>
            <family val="2"/>
          </rPr>
          <t>DataPointVID 424332_x000D_
DataPointID 424332_x000D_
Metric  =  Percentage of capital ratio [pi]_x000D_
Base  =  Memorandum items_x000D_
Includes effect of transitional provisions  =  False_x000D_
Main category  =  Total SREP capital requirement ratio (TSCR).Pillar 2 requirement component_x000D_
Own funds  =  CET1 Capital</t>
        </r>
      </text>
    </comment>
    <comment ref="C17" authorId="0" shapeId="0">
      <text>
        <r>
          <rPr>
            <sz val="9"/>
            <color indexed="81"/>
            <rFont val="Tahoma"/>
            <family val="2"/>
          </rPr>
          <t>Metric  =  Percentage of capital ratio [pi]_x000D_
Base  =  Memorandum items_x000D_
Main category  =  Total SREP capital requirement ratio (TSCR).Pillar 2 requirement component_x000D_
Own funds  =  T1 Capital</t>
        </r>
      </text>
    </comment>
    <comment ref="D17" authorId="0" shapeId="0">
      <text>
        <r>
          <rPr>
            <sz val="9"/>
            <color indexed="81"/>
            <rFont val="Tahoma"/>
            <family val="2"/>
          </rPr>
          <t>DataPointVID 424337_x000D_
DataPointID 424337_x000D_
Metric  =  Percentage of capital ratio [pi]_x000D_
Base  =  Memorandum items_x000D_
Main category  =  Total SREP capital requirement ratio (TSCR).Pillar 2 requirement component_x000D_
Own funds  =  T1 Capital</t>
        </r>
      </text>
    </comment>
    <comment ref="E17" authorId="0" shapeId="0">
      <text>
        <r>
          <rPr>
            <sz val="9"/>
            <color indexed="81"/>
            <rFont val="Tahoma"/>
            <family val="2"/>
          </rPr>
          <t>DataPointVID 424333_x000D_
DataPointID 424333_x000D_
Metric  =  Percentage of capital ratio [pi]_x000D_
Base  =  Memorandum items_x000D_
Includes effect of transitional provisions  =  False_x000D_
Main category  =  Total SREP capital requirement ratio (TSCR).Pillar 2 requirement component_x000D_
Own funds  =  T1 Capital</t>
        </r>
      </text>
    </comment>
    <comment ref="C18" authorId="0" shapeId="0">
      <text>
        <r>
          <rPr>
            <sz val="9"/>
            <color indexed="81"/>
            <rFont val="Tahoma"/>
            <family val="2"/>
          </rPr>
          <t>Metric  =  Percentage of capital ratio [pi]_x000D_
Base  =  Memorandum items_x000D_
Main category  =  OCR and Pillar 2 Guidance (P2G). P2G component_x000D_
Own funds  =  Total own funds</t>
        </r>
      </text>
    </comment>
    <comment ref="D18" authorId="0" shapeId="0">
      <text>
        <r>
          <rPr>
            <sz val="9"/>
            <color indexed="81"/>
            <rFont val="Tahoma"/>
            <family val="2"/>
          </rPr>
          <t>DataPointVID 410439_x000D_
DataPointID 410439_x000D_
Metric  =  Percentage of capital ratio [pi]_x000D_
Base  =  Memorandum items_x000D_
Main category  =  OCR and Pillar 2 Guidance (P2G). P2G component_x000D_
Own funds  =  Total own funds</t>
        </r>
      </text>
    </comment>
    <comment ref="E18" authorId="0" shapeId="0">
      <text>
        <r>
          <rPr>
            <sz val="9"/>
            <color indexed="81"/>
            <rFont val="Tahoma"/>
            <family val="2"/>
          </rPr>
          <t>DataPointVID 410427_x000D_
DataPointID 410427_x000D_
Metric  =  Percentage of capital ratio [pi]_x000D_
Base  =  Memorandum items_x000D_
Includes effect of transitional provisions  =  False_x000D_
Main category  =  OCR and Pillar 2 Guidance (P2G). P2G component_x000D_
Own funds  =  Total own funds</t>
        </r>
      </text>
    </comment>
    <comment ref="C19" authorId="0" shapeId="0">
      <text>
        <r>
          <rPr>
            <sz val="9"/>
            <color indexed="81"/>
            <rFont val="Tahoma"/>
            <family val="2"/>
          </rPr>
          <t>Metric  =  Percentage of capital ratio [pi]_x000D_
Base  =  Memorandum items_x000D_
Main category  =  OCR and Pillar 2 Guidance (P2G). P2G component_x000D_
Own funds  =  CET1 Capital</t>
        </r>
      </text>
    </comment>
    <comment ref="D19" authorId="0" shapeId="0">
      <text>
        <r>
          <rPr>
            <sz val="9"/>
            <color indexed="81"/>
            <rFont val="Tahoma"/>
            <family val="2"/>
          </rPr>
          <t>DataPointVID 424338_x000D_
DataPointID 424338_x000D_
Metric  =  Percentage of capital ratio [pi]_x000D_
Base  =  Memorandum items_x000D_
Main category  =  OCR and Pillar 2 Guidance (P2G). P2G component_x000D_
Own funds  =  CET1 Capital</t>
        </r>
      </text>
    </comment>
    <comment ref="E19" authorId="0" shapeId="0">
      <text>
        <r>
          <rPr>
            <sz val="9"/>
            <color indexed="81"/>
            <rFont val="Tahoma"/>
            <family val="2"/>
          </rPr>
          <t>DataPointVID 424334_x000D_
DataPointID 424334_x000D_
Metric  =  Percentage of capital ratio [pi]_x000D_
Base  =  Memorandum items_x000D_
Includes effect of transitional provisions  =  False_x000D_
Main category  =  OCR and Pillar 2 Guidance (P2G). P2G component_x000D_
Own funds  =  CET1 Capital</t>
        </r>
      </text>
    </comment>
    <comment ref="C20" authorId="0" shapeId="0">
      <text>
        <r>
          <rPr>
            <sz val="9"/>
            <color indexed="81"/>
            <rFont val="Tahoma"/>
            <family val="2"/>
          </rPr>
          <t>Metric  =  Percentage of capital ratio [pi]_x000D_
Base  =  Memorandum items_x000D_
Main category  =  OCR and Pillar 2 Guidance (P2G). P2G component_x000D_
Own funds  =  T1 Capital</t>
        </r>
      </text>
    </comment>
    <comment ref="D20" authorId="0" shapeId="0">
      <text>
        <r>
          <rPr>
            <sz val="9"/>
            <color indexed="81"/>
            <rFont val="Tahoma"/>
            <family val="2"/>
          </rPr>
          <t>DataPointVID 424339_x000D_
DataPointID 424339_x000D_
Metric  =  Percentage of capital ratio [pi]_x000D_
Base  =  Memorandum items_x000D_
Main category  =  OCR and Pillar 2 Guidance (P2G). P2G component_x000D_
Own funds  =  T1 Capital</t>
        </r>
      </text>
    </comment>
    <comment ref="E20" authorId="0" shapeId="0">
      <text>
        <r>
          <rPr>
            <sz val="9"/>
            <color indexed="81"/>
            <rFont val="Tahoma"/>
            <family val="2"/>
          </rPr>
          <t>DataPointVID 424335_x000D_
DataPointID 424335_x000D_
Metric  =  Percentage of capital ratio [pi]_x000D_
Base  =  Memorandum items_x000D_
Includes effect of transitional provisions  =  False_x000D_
Main category  =  OCR and Pillar 2 Guidance (P2G). P2G component_x000D_
Own funds  =  T1 Capital</t>
        </r>
      </text>
    </comment>
    <comment ref="C21" authorId="0" shapeId="0">
      <text>
        <r>
          <rPr>
            <sz val="9"/>
            <color indexed="81"/>
            <rFont val="Tahoma"/>
            <family val="2"/>
          </rPr>
          <t>Metric  =  Own funds requirements [mi]_x000D_
Base  =  Memorandum items_x000D_
Main category  =  Combined buffer</t>
        </r>
      </text>
    </comment>
    <comment ref="D21" authorId="0" shapeId="0">
      <text>
        <r>
          <rPr>
            <sz val="9"/>
            <color indexed="81"/>
            <rFont val="Tahoma"/>
            <family val="2"/>
          </rPr>
          <t>{Z 03.00, r0400, c 0010}=={T 02.00.a, r0400, c 0010}_x000D_
DataPointVID 85047_x000D_
DataPointID 85047_x000D_
Metric  =  Own funds requirements [mi]_x000D_
Base  =  Memorandum items_x000D_
Main category  =  Combined buffer</t>
        </r>
      </text>
    </comment>
    <comment ref="E21" authorId="0" shapeId="0">
      <text>
        <r>
          <rPr>
            <sz val="9"/>
            <color indexed="81"/>
            <rFont val="Tahoma"/>
            <family val="2"/>
          </rPr>
          <t>DataPointVID 410239_x000D_
DataPointID 410239_x000D_
Metric  =  Own funds requirements [mi]_x000D_
Base  =  Memorandum items_x000D_
Includes effect of transitional provisions  =  False_x000D_
Main category  =  Combined buffer</t>
        </r>
      </text>
    </comment>
    <comment ref="C22" authorId="0" shapeId="0">
      <text>
        <r>
          <rPr>
            <sz val="9"/>
            <color indexed="81"/>
            <rFont val="Tahoma"/>
            <family val="2"/>
          </rPr>
          <t>Metric  =  Own funds requirements [mi]_x000D_
Base  =  Memorandum items_x000D_
Main category  =  Capital conservation buffer</t>
        </r>
      </text>
    </comment>
    <comment ref="D22" authorId="0" shapeId="0">
      <text>
        <r>
          <rPr>
            <sz val="9"/>
            <color indexed="81"/>
            <rFont val="Tahoma"/>
            <family val="2"/>
          </rPr>
          <t>{Z 03.00, r0410, c 0010}=={T 02.00.a, r0410, c 0010}_x000D_
DataPointVID 85046_x000D_
DataPointID 85046_x000D_
Metric  =  Own funds requirements [mi]_x000D_
Base  =  Memorandum items_x000D_
Main category  =  Capital conservation buffer</t>
        </r>
      </text>
    </comment>
    <comment ref="E22" authorId="0" shapeId="0">
      <text>
        <r>
          <rPr>
            <sz val="9"/>
            <color indexed="81"/>
            <rFont val="Tahoma"/>
            <family val="2"/>
          </rPr>
          <t>DataPointVID 410238_x000D_
DataPointID 410238_x000D_
Metric  =  Own funds requirements [mi]_x000D_
Base  =  Memorandum items_x000D_
Includes effect of transitional provisions  =  False_x000D_
Main category  =  Capital conservation buffer</t>
        </r>
      </text>
    </comment>
    <comment ref="C23" authorId="0" shapeId="0">
      <text>
        <r>
          <rPr>
            <sz val="9"/>
            <color indexed="81"/>
            <rFont val="Tahoma"/>
            <family val="2"/>
          </rPr>
          <t>Metric  =  Own funds requirements [mi]_x000D_
Base  =  Memorandum items_x000D_
Main category  =  Conservation buffer due to macro-prudential or systemic risk identified at the level of a Member State</t>
        </r>
      </text>
    </comment>
    <comment ref="D23" authorId="0" shapeId="0">
      <text>
        <r>
          <rPr>
            <sz val="9"/>
            <color indexed="81"/>
            <rFont val="Tahoma"/>
            <family val="2"/>
          </rPr>
          <t>{Z 03.00, r0420, c 0010}=={T 02.00.a, r0415, c 0010}_x000D_
DataPointVID 85050_x000D_
DataPointID 85050_x000D_
Metric  =  Own funds requirements [mi]_x000D_
Base  =  Memorandum items_x000D_
Main category  =  Conservation buffer due to macro-prudential or systemic risk identified at the level of a Member State</t>
        </r>
      </text>
    </comment>
    <comment ref="E23" authorId="0" shapeId="0">
      <text>
        <r>
          <rPr>
            <sz val="9"/>
            <color indexed="81"/>
            <rFont val="Tahoma"/>
            <family val="2"/>
          </rPr>
          <t>DataPointVID 423954_x000D_
DataPointID 423954_x000D_
Metric  =  Own funds requirements [mi]_x000D_
Base  =  Memorandum items_x000D_
Includes effect of transitional provisions  =  False_x000D_
Main category  =  Conservation buffer due to macro-prudential or systemic risk identified at the level of a Member State</t>
        </r>
      </text>
    </comment>
    <comment ref="C24" authorId="0" shapeId="0">
      <text>
        <r>
          <rPr>
            <sz val="9"/>
            <color indexed="81"/>
            <rFont val="Tahoma"/>
            <family val="2"/>
          </rPr>
          <t>Metric  =  Own funds requirements [mi]_x000D_
Base  =  Memorandum items_x000D_
Main category  =  Institution specific countercyclical capital buffer</t>
        </r>
      </text>
    </comment>
    <comment ref="D24" authorId="0" shapeId="0">
      <text>
        <r>
          <rPr>
            <sz val="9"/>
            <color indexed="81"/>
            <rFont val="Tahoma"/>
            <family val="2"/>
          </rPr>
          <t>{Z 03.00, r0430, c 0010}=={T 02.00.a, r0420, c 0010}_x000D_
DataPointVID 85048_x000D_
DataPointID 85048_x000D_
Metric  =  Own funds requirements [mi]_x000D_
Base  =  Memorandum items_x000D_
Main category  =  Institution specific countercyclical capital buffer</t>
        </r>
      </text>
    </comment>
    <comment ref="E24" authorId="0" shapeId="0">
      <text>
        <r>
          <rPr>
            <sz val="9"/>
            <color indexed="81"/>
            <rFont val="Tahoma"/>
            <family val="2"/>
          </rPr>
          <t>DataPointVID 410240_x000D_
DataPointID 410240_x000D_
Metric  =  Own funds requirements [mi]_x000D_
Base  =  Memorandum items_x000D_
Includes effect of transitional provisions  =  False_x000D_
Main category  =  Institution specific countercyclical capital buffer</t>
        </r>
      </text>
    </comment>
    <comment ref="C25" authorId="0" shapeId="0">
      <text>
        <r>
          <rPr>
            <sz val="9"/>
            <color indexed="81"/>
            <rFont val="Tahoma"/>
            <family val="2"/>
          </rPr>
          <t>Metric  =  Own funds requirements [mi]_x000D_
Base  =  Memorandum items_x000D_
Main category  =  Systemic risk buffer</t>
        </r>
      </text>
    </comment>
    <comment ref="D25" authorId="0" shapeId="0">
      <text>
        <r>
          <rPr>
            <sz val="9"/>
            <color indexed="81"/>
            <rFont val="Tahoma"/>
            <family val="2"/>
          </rPr>
          <t>{Z 03.00, r0440, c 0010}=={T 02.00.a, r0430, c 0010}_x000D_
DataPointVID 85049_x000D_
DataPointID 85049_x000D_
Metric  =  Own funds requirements [mi]_x000D_
Base  =  Memorandum items_x000D_
Main category  =  Systemic risk buffer</t>
        </r>
      </text>
    </comment>
    <comment ref="E25" authorId="0" shapeId="0">
      <text>
        <r>
          <rPr>
            <sz val="9"/>
            <color indexed="81"/>
            <rFont val="Tahoma"/>
            <family val="2"/>
          </rPr>
          <t>DataPointVID 410241_x000D_
DataPointID 410241_x000D_
Metric  =  Own funds requirements [mi]_x000D_
Base  =  Memorandum items_x000D_
Includes effect of transitional provisions  =  False_x000D_
Main category  =  Systemic risk buffer</t>
        </r>
      </text>
    </comment>
    <comment ref="C26" authorId="0" shapeId="0">
      <text>
        <r>
          <rPr>
            <sz val="9"/>
            <color indexed="81"/>
            <rFont val="Tahoma"/>
            <family val="2"/>
          </rPr>
          <t>Metric  =  Own funds requirements [mi]_x000D_
Base  =  Memorandum items_x000D_
Main category  =  Systemically important institution buffer for global systemically important institutions</t>
        </r>
      </text>
    </comment>
    <comment ref="D26" authorId="0" shapeId="0">
      <text>
        <r>
          <rPr>
            <sz val="9"/>
            <color indexed="81"/>
            <rFont val="Tahoma"/>
            <family val="2"/>
          </rPr>
          <t>{Z 03.00, r0450, c 0010}=={T 02.00.a, r0440, c 0010}_x000D_
DataPointVID 85052_x000D_
DataPointID 85052_x000D_
Metric  =  Own funds requirements [mi]_x000D_
Base  =  Memorandum items_x000D_
Main category  =  Systemically important institution buffer for global systemically important institutions</t>
        </r>
      </text>
    </comment>
    <comment ref="E26" authorId="0" shapeId="0">
      <text>
        <r>
          <rPr>
            <sz val="9"/>
            <color indexed="81"/>
            <rFont val="Tahoma"/>
            <family val="2"/>
          </rPr>
          <t>DataPointVID 410242_x000D_
DataPointID 410242_x000D_
Metric  =  Own funds requirements [mi]_x000D_
Base  =  Memorandum items_x000D_
Includes effect of transitional provisions  =  False_x000D_
Main category  =  Systemically important institution buffer for global systemically important institutions</t>
        </r>
      </text>
    </comment>
    <comment ref="C27" authorId="0" shapeId="0">
      <text>
        <r>
          <rPr>
            <sz val="9"/>
            <color indexed="81"/>
            <rFont val="Tahoma"/>
            <family val="2"/>
          </rPr>
          <t>Metric  =  Own funds requirements [mi]_x000D_
Base  =  Memorandum items_x000D_
Main category  =  Systemically important institution buffer for other systemically important institutions</t>
        </r>
      </text>
    </comment>
    <comment ref="D27" authorId="0" shapeId="0">
      <text>
        <r>
          <rPr>
            <sz val="9"/>
            <color indexed="81"/>
            <rFont val="Tahoma"/>
            <family val="2"/>
          </rPr>
          <t>{Z 03.00, r0460, c 0010}=={T 02.00.a, r0450, c 0010}_x000D_
DataPointVID 85053_x000D_
DataPointID 85053_x000D_
Metric  =  Own funds requirements [mi]_x000D_
Base  =  Memorandum items_x000D_
Main category  =  Systemically important institution buffer for other systemically important institutions</t>
        </r>
      </text>
    </comment>
    <comment ref="E27" authorId="0" shapeId="0">
      <text>
        <r>
          <rPr>
            <sz val="9"/>
            <color indexed="81"/>
            <rFont val="Tahoma"/>
            <family val="2"/>
          </rPr>
          <t>DataPointVID 410243_x000D_
DataPointID 410243_x000D_
Metric  =  Own funds requirements [mi]_x000D_
Base  =  Memorandum items_x000D_
Includes effect of transitional provisions  =  False_x000D_
Main category  =  Systemically important institution buffer for other systemically important institutions</t>
        </r>
      </text>
    </comment>
  </commentList>
</comments>
</file>

<file path=xl/comments5.xml><?xml version="1.0" encoding="utf-8"?>
<comments xmlns="http://schemas.openxmlformats.org/spreadsheetml/2006/main">
  <authors>
    <author>Haizhen Li</author>
  </authors>
  <commentList>
    <comment ref="D7" authorId="0" shapeId="0">
      <text>
        <r>
          <rPr>
            <sz val="9"/>
            <color indexed="81"/>
            <rFont val="Tahoma"/>
            <family val="2"/>
          </rPr>
          <t>Row ID (Intragroup liabilities)  =  &lt;Key value&gt;</t>
        </r>
      </text>
    </comment>
    <comment ref="E7" authorId="0" shapeId="0">
      <text>
        <r>
          <rPr>
            <sz val="9"/>
            <color indexed="81"/>
            <rFont val="Tahoma"/>
            <family val="2"/>
          </rPr>
          <t>Metric  =  Row reference (aggregate template) [ei:ZZ:ZZ27_1]_x000D_
Main category of item that is the object of the transaction / contract  =  All equity, All liabilities</t>
        </r>
      </text>
    </comment>
    <comment ref="F7" authorId="0" shapeId="0">
      <text>
        <r>
          <rPr>
            <sz val="9"/>
            <color indexed="81"/>
            <rFont val="Tahoma"/>
            <family val="2"/>
          </rPr>
          <t>Metric  =  Column reference (aggregate template) [ei:ZZ:ZZ32]_x000D_
Main category of item that is the object of the transaction / contract  =  All equity, All liabilities</t>
        </r>
      </text>
    </comment>
    <comment ref="G7" authorId="0" shapeId="0">
      <text>
        <r>
          <rPr>
            <sz val="9"/>
            <color indexed="81"/>
            <rFont val="Tahoma"/>
            <family val="2"/>
          </rPr>
          <t>Metric  =  Ranking in insolvency [ei:ZZ:ZZ28]_x000D_
Base  =  Liabilities and Equity_x000D_
Main category  =  All equity, All liabilities_x000D_
Related parties/Relationships  =  Intra-group</t>
        </r>
      </text>
    </comment>
    <comment ref="H7" authorId="0" shapeId="0">
      <text>
        <r>
          <rPr>
            <sz val="9"/>
            <color indexed="81"/>
            <rFont val="Tahoma"/>
            <family val="2"/>
          </rPr>
          <t>Metric  =  Contract identifier [si]_x000D_
Base  =  Liabilities and Equity_x000D_
Main category  =  All equity, All liabilities_x000D_
Related parties/Relationships  =  Intra-group</t>
        </r>
      </text>
    </comment>
    <comment ref="I7" authorId="0" shapeId="0">
      <text>
        <r>
          <rPr>
            <sz val="9"/>
            <color indexed="81"/>
            <rFont val="Tahoma"/>
            <family val="2"/>
          </rPr>
          <t>Metric  =  Name of entity [si]_x000D_
Main category of item that is the object of the transaction / contract  =  All equity, All liabilities_x000D_
Related parties/Relationships  =  Intra-group_x000D_
Role in the contract  =  Investor, creditor</t>
        </r>
      </text>
    </comment>
    <comment ref="J7" authorId="0" shapeId="0">
      <text>
        <r>
          <rPr>
            <sz val="9"/>
            <color indexed="81"/>
            <rFont val="Tahoma"/>
            <family val="2"/>
          </rPr>
          <t>Metric  =  Entity code [si]_x000D_
Main category of item that is the object of the transaction / contract  =  All equity, All liabilities_x000D_
Related parties/Relationships  =  Intra-group_x000D_
Role in the contract  =  Investor, creditor</t>
        </r>
      </text>
    </comment>
    <comment ref="K7" authorId="0" shapeId="0">
      <text>
        <r>
          <rPr>
            <sz val="9"/>
            <color indexed="81"/>
            <rFont val="Tahoma"/>
            <family val="2"/>
          </rPr>
          <t>Metric  =  Type of identifier [ei:AT:AT99]_x000D_
Main category of item that is the object of the transaction / contract  =  All equity, All liabilities_x000D_
Related parties/Relationships  =  Intra-group_x000D_
Role in the contract  =  Investor, creditor</t>
        </r>
      </text>
    </comment>
    <comment ref="L7" authorId="0" shapeId="0">
      <text>
        <r>
          <rPr>
            <sz val="9"/>
            <color indexed="81"/>
            <rFont val="Tahoma"/>
            <family val="2"/>
          </rPr>
          <t>Metric  =  Relationship of lending entity with issuing entity [ei:RP:RP3]_x000D_
Main category of item that is the object of the transaction / contract  =  All equity, All liabilities_x000D_
Related parties/Relationships  =  Intra-group</t>
        </r>
      </text>
    </comment>
    <comment ref="M7" authorId="0" shapeId="0">
      <text>
        <r>
          <rPr>
            <sz val="9"/>
            <color indexed="81"/>
            <rFont val="Tahoma"/>
            <family val="2"/>
          </rPr>
          <t>Metric  =  Entity is included in the resolution group of reporting entity [bi]_x000D_
Main category of item that is the object of the transaction / contract  =  All equity, All liabilities_x000D_
Related parties/Relationships  =  Intra-group_x000D_
Role in the contract  =  Investor, creditor</t>
        </r>
      </text>
    </comment>
    <comment ref="N7" authorId="0" shapeId="0">
      <text>
        <r>
          <rPr>
            <sz val="9"/>
            <color indexed="81"/>
            <rFont val="Tahoma"/>
            <family val="2"/>
          </rPr>
          <t>Metric  =  Country the law of which governs the contract / master agreement [ei:GA:GA4]_x000D_
Base  =  Liabilities and Equity_x000D_
Main category  =  All equity, All liabilities_x000D_
Related parties/Relationships  =  Intra-group</t>
        </r>
      </text>
    </comment>
    <comment ref="O7" authorId="0" shapeId="0">
      <text>
        <r>
          <rPr>
            <sz val="9"/>
            <color indexed="81"/>
            <rFont val="Tahoma"/>
            <family val="2"/>
          </rPr>
          <t>Metric  =  Contractual recognition of bail-in powers [ei:ZZ:ZZ37]_x000D_
Base  =  Liabilities and Equity_x000D_
Main category  =  All equity, All liabilities_x000D_
Related parties/Relationships  =  Intra-group</t>
        </r>
      </text>
    </comment>
    <comment ref="P7" authorId="0" shapeId="0">
      <text>
        <r>
          <rPr>
            <sz val="9"/>
            <color indexed="81"/>
            <rFont val="Tahoma"/>
            <family val="2"/>
          </rPr>
          <t>Metric  =  Outstanding amount. Principal [mi]_x000D_
Base  =  Liabilities and Equity_x000D_
Main category  =  All equity, All liabilities_x000D_
Related parties/Relationships  =  Intra-group</t>
        </r>
      </text>
    </comment>
    <comment ref="Q7" authorId="0" shapeId="0">
      <text>
        <r>
          <rPr>
            <sz val="9"/>
            <color indexed="81"/>
            <rFont val="Tahoma"/>
            <family val="2"/>
          </rPr>
          <t>Metric  =  Outstanding amount. Accrued interest [mi]_x000D_
Base  =  Liabilities and Equity_x000D_
Main category  =  All equity, All liabilities_x000D_
Related parties/Relationships  =  Intra-group</t>
        </r>
      </text>
    </comment>
    <comment ref="R7" authorId="0" shapeId="0">
      <text>
        <r>
          <rPr>
            <sz val="9"/>
            <color indexed="81"/>
            <rFont val="Tahoma"/>
            <family val="2"/>
          </rPr>
          <t>Metric  =  Currency in which the transaction / contract is denominated (new) [ei:CU:CU3_4]_x000D_
Base  =  Liabilities and Equity_x000D_
Main category  =  All equity, All liabilities_x000D_
Related parties/Relationships  =  Intra-group</t>
        </r>
      </text>
    </comment>
    <comment ref="S7" authorId="0" shapeId="0">
      <text>
        <r>
          <rPr>
            <sz val="9"/>
            <color indexed="81"/>
            <rFont val="Tahoma"/>
            <family val="2"/>
          </rPr>
          <t>Metric  =  Date of issuance [di]_x000D_
Base  =  Liabilities and Equity_x000D_
Main category  =  All equity, All liabilities_x000D_
Related parties/Relationships  =  Intra-group</t>
        </r>
      </text>
    </comment>
    <comment ref="T7" authorId="0" shapeId="0">
      <text>
        <r>
          <rPr>
            <sz val="9"/>
            <color indexed="81"/>
            <rFont val="Tahoma"/>
            <family val="2"/>
          </rPr>
          <t>Metric  =  Earliest date of redemption [di]_x000D_
Base  =  Liabilities and Equity_x000D_
Main category  =  All equity, All liabilities_x000D_
Related parties/Relationships  =  Intra-group</t>
        </r>
      </text>
    </comment>
    <comment ref="U7" authorId="0" shapeId="0">
      <text>
        <r>
          <rPr>
            <sz val="9"/>
            <color indexed="81"/>
            <rFont val="Tahoma"/>
            <family val="2"/>
          </rPr>
          <t>Metric  =  Legal final maturity date [di]_x000D_
Base  =  Liabilities and Equity_x000D_
Main category  =  All equity, All liabilities_x000D_
Related parties/Relationships  =  Intra-group</t>
        </r>
      </text>
    </comment>
    <comment ref="V7" authorId="0" shapeId="0">
      <text>
        <r>
          <rPr>
            <sz val="9"/>
            <color indexed="81"/>
            <rFont val="Tahoma"/>
            <family val="2"/>
          </rPr>
          <t>Metric  =  Collateralisation status [ei:ZZ:ZZ29]_x000D_
Base  =  Liabilities and Equity_x000D_
Main category  =  All equity, All liabilities_x000D_
Related parties/Relationships  =  Intra-group</t>
        </r>
      </text>
    </comment>
    <comment ref="W7" authorId="0" shapeId="0">
      <text>
        <r>
          <rPr>
            <sz val="9"/>
            <color indexed="81"/>
            <rFont val="Tahoma"/>
            <family val="2"/>
          </rPr>
          <t>Metric  =  Carrying amount [mi]_x000D_
Main category  =  Collateral posted_x000D_
Main category of collateralised item  =  All equity, All liabilities</t>
        </r>
      </text>
    </comment>
    <comment ref="X7" authorId="0" shapeId="0">
      <text>
        <r>
          <rPr>
            <sz val="9"/>
            <color indexed="81"/>
            <rFont val="Tahoma"/>
            <family val="2"/>
          </rPr>
          <t>Metric  =  Entity code [si]_x000D_
Main category of item that is the object of the transaction / contract  =  All equity, All liabilities_x000D_
Role in the contract  =  Guarantor</t>
        </r>
      </text>
    </comment>
    <comment ref="Y7" authorId="0" shapeId="0">
      <text>
        <r>
          <rPr>
            <sz val="9"/>
            <color indexed="81"/>
            <rFont val="Tahoma"/>
            <family val="2"/>
          </rPr>
          <t>Metric  =  Type of contractual terms [ei:ZZ:ZZ30]_x000D_
Base  =  Liabilities and Equity_x000D_
Main category  =  All equity, All liabilities_x000D_
Related parties/Relationships  =  Intra-group</t>
        </r>
      </text>
    </comment>
    <comment ref="Z7" authorId="0" shapeId="0">
      <text>
        <r>
          <rPr>
            <sz val="9"/>
            <color indexed="81"/>
            <rFont val="Tahoma"/>
            <family val="2"/>
          </rPr>
          <t>Metric  =  Outstanding amount [mi]_x000D_
Base  =  Liabilities and Equity_x000D_
Main category  =  All equity, All liabilities_x000D_
Related parties/Relationships  =  Intra-group_x000D_
Eligibility for MREL  =  Eligible</t>
        </r>
      </text>
    </comment>
    <comment ref="AA7" authorId="0" shapeId="0">
      <text>
        <r>
          <rPr>
            <sz val="9"/>
            <color indexed="81"/>
            <rFont val="Tahoma"/>
            <family val="2"/>
          </rPr>
          <t>Metric  =  Type of regulatory capital [ei:OF:OF8]_x000D_
Base  =  Liabilities and Equity_x000D_
Main category  =  All equity, All liabilities_x000D_
Related parties/Relationships  =  Intra-group</t>
        </r>
      </text>
    </comment>
    <comment ref="AB7" authorId="0" shapeId="0">
      <text>
        <r>
          <rPr>
            <sz val="9"/>
            <color indexed="81"/>
            <rFont val="Tahoma"/>
            <family val="2"/>
          </rPr>
          <t>Metric  =  Amount including transitional provisions [mi]_x000D_
Base  =  Own funds_x000D_
Main category  =  Regulatory capital items_x000D_
Own funds  =  Total own funds_x000D_
Main category of item that is the object of the transaction / contract  =  All equity, All liabilities</t>
        </r>
      </text>
    </comment>
    <comment ref="C8" authorId="0" shapeId="0">
      <text>
        <r>
          <rPr>
            <sz val="9"/>
            <color indexed="81"/>
            <rFont val="Tahoma"/>
            <family val="2"/>
          </rPr>
          <t>Row ID (Intragroup liabilities)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418071_x000D_
DataPointID 418071_x000D_
Metric  =  Row reference (aggregate template) [ei:ZZ:ZZ27_1]_x000D_
Row ID (Intragroup liabilities)  =  &lt;Key value&gt;_x000D_
Main category of item that is the object of the transaction / contract  =  All equity, All liabilities</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418165_x000D_
DataPointID 418165_x000D_
Metric  =  Column reference (aggregate template) [ei:ZZ:ZZ32]_x000D_
Row ID (Intragroup liabilities)  =  &lt;Key value&gt;_x000D_
Main category of item that is the object of the transaction / contract  =  All equity, All liabilities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418077_x000D_
DataPointID 418077_x000D_
Metric  =  Ranking in insolvency [ei:ZZ:ZZ28]_x000D_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418084_x000D_
DataPointID 418084_x000D_
Metric  =  Contract identifier [si]_x000D_
Base  =  Liabilities and Equity_x000D_
Row ID (Intragroup liabilities)  =  &lt;Key value&gt;_x000D_
Main category  =  All equity, All liabilities_x000D_
Related parties/Relationships  =  Intra-group</t>
        </r>
      </text>
    </comment>
    <comment ref="I8" authorId="0" shapeId="0">
      <text>
        <r>
          <rPr>
            <sz val="9"/>
            <color indexed="81"/>
            <rFont val="Tahoma"/>
            <family val="2"/>
          </rPr>
          <t>DataPointVID 423757_x000D_
DataPointID 423757_x000D_
Metric  =  Name of entity [si]_x000D_
Row ID (Intragroup liabilities)  =  &lt;Key value&gt;_x000D_
Main category of item that is the object of the transaction / contract  =  All equity, All liabilities_x000D_
Role in the contract  =  Investor, creditor_x000D_
Related parties/Relationships  =  Intra-group</t>
        </r>
      </text>
    </comment>
    <comment ref="J8" authorId="0" shapeId="0">
      <text>
        <r>
          <rPr>
            <sz val="9"/>
            <color indexed="81"/>
            <rFont val="Tahoma"/>
            <family val="2"/>
          </rPr>
          <t>DataPointVID 410400_x000D_
DataPointID 410400_x000D_
Metric  =  Entity code [si]_x000D_
Row ID (Intragroup liabilities)  =  &lt;Key value&gt;_x000D_
Main category of item that is the object of the transaction / contract  =  All equity, All liabilities_x000D_
Role in the contract  =  Investor, creditor_x000D_
Related parties/Relationships  =  Intra-group</t>
        </r>
      </text>
    </comment>
    <comment ref="K8" authorId="0" shapeId="0">
      <text>
        <r>
          <rPr>
            <sz val="9"/>
            <color indexed="81"/>
            <rFont val="Tahoma"/>
            <family val="2"/>
          </rPr>
          <t>DataPointVID 428661_x000D_
DataPointID 428661_x000D_
Metric  =  Type of identifier [ei:AT:AT99]_x000D_
Row ID (Intragroup liabilities)  =  &lt;Key value&gt;_x000D_
Main category of item that is the object of the transaction / contract  =  All equity, All liabilities_x000D_
Role in the contract  =  Investor, creditor_x000D_
Related parties/Relationships  =  Intra-group</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L8" authorId="0" shapeId="0">
      <text>
        <r>
          <rPr>
            <sz val="9"/>
            <color indexed="81"/>
            <rFont val="Tahoma"/>
            <family val="2"/>
          </rPr>
          <t>DataPointVID 428670_x000D_
DataPointID 428670_x000D_
Metric  =  Relationship of lending entity with issuing entity [ei:RP:RP3]_x000D_
Row ID (Intragroup liabilities)  =  &lt;Key value&gt;_x000D_
Main category of item that is the object of the transaction / contract  =  All equity, All liabilities_x000D_
Related parties/Relationships  =  Intra-group</t>
        </r>
        <r>
          <rPr>
            <sz val="9"/>
            <color indexed="8"/>
            <rFont val="Tahoma"/>
            <family val="2"/>
          </rPr>
          <t>_x000D_
_x000D_
Value chosen from:_x000D_
(RP:x55) Parent_x000D_
(RP:x56) Subsidiary_x000D_
(RP:x57) Sister_x000D_</t>
        </r>
        <r>
          <rPr>
            <sz val="9"/>
            <color indexed="81"/>
            <rFont val="Tahoma"/>
            <family val="2"/>
          </rPr>
          <t xml:space="preserve">
</t>
        </r>
      </text>
    </comment>
    <comment ref="M8" authorId="0" shapeId="0">
      <text>
        <r>
          <rPr>
            <sz val="9"/>
            <color indexed="81"/>
            <rFont val="Tahoma"/>
            <family val="2"/>
          </rPr>
          <t>DataPointVID 429083_x000D_
DataPointID 429083_x000D_
Metric  =  Entity is included in the resolution group of reporting entity [bi]_x000D_
Row ID (Intragroup liabilities)  =  &lt;Key value&gt;_x000D_
Main category of item that is the object of the transaction / contract  =  All equity, All liabilities_x000D_
Role in the contract  =  Investor, creditor_x000D_
Related parties/Relationships  =  Intra-group</t>
        </r>
      </text>
    </comment>
    <comment ref="N8" authorId="0" shapeId="0">
      <text>
        <r>
          <rPr>
            <sz val="9"/>
            <color indexed="81"/>
            <rFont val="Tahoma"/>
            <family val="2"/>
          </rPr>
          <t>DataPointVID 418090_x000D_
DataPointID 418090_x000D_
Metric  =  Country the law of which governs the contract / master agreement [ei:GA:GA4]_x000D_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O8" authorId="0" shapeId="0">
      <text>
        <r>
          <rPr>
            <sz val="9"/>
            <color indexed="81"/>
            <rFont val="Tahoma"/>
            <family val="2"/>
          </rPr>
          <t>DataPointVID 418097_x000D_
DataPointID 418097_x000D_
Metric  =  Contractual recognition of bail-in powers [ei:ZZ:ZZ37]_x000D_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(ZZ:x323) Yes (Contractual recognition of bail-in powers)_x000D_
(ZZ:x324) No (Contractual recognition of bail-in powers)_x000D_
(ZZ:x325) Not applicable (Contractual recognition of bail-in powers)_x000D_</t>
        </r>
        <r>
          <rPr>
            <sz val="9"/>
            <color indexed="81"/>
            <rFont val="Tahoma"/>
            <family val="2"/>
          </rPr>
          <t xml:space="preserve">
</t>
        </r>
      </text>
    </comment>
    <comment ref="P8" authorId="0" shapeId="0">
      <text>
        <r>
          <rPr>
            <sz val="9"/>
            <color indexed="81"/>
            <rFont val="Tahoma"/>
            <family val="2"/>
          </rPr>
          <t>DataPointVID 418101_x000D_
DataPointID 418101_x000D_
Metric  =  Outstanding amount. Principal [mi]_x000D_
Base  =  Liabilities and Equity_x000D_
Row ID (Intragroup liabilities)  =  &lt;Key value&gt;_x000D_
Main category  =  All equity, All liabilities_x000D_
Related parties/Relationships  =  Intra-group</t>
        </r>
      </text>
    </comment>
    <comment ref="Q8" authorId="0" shapeId="0">
      <text>
        <r>
          <rPr>
            <sz val="9"/>
            <color indexed="81"/>
            <rFont val="Tahoma"/>
            <family val="2"/>
          </rPr>
          <t>DataPointVID 418105_x000D_
DataPointID 418105_x000D_
Metric  =  Outstanding amount. Accrued interest [mi]_x000D_
Base  =  Liabilities and Equity_x000D_
Row ID (Intragroup liabilities)  =  &lt;Key value&gt;_x000D_
Main category  =  All equity, All liabilities_x000D_
Related parties/Relationships  =  Intra-group</t>
        </r>
      </text>
    </comment>
    <comment ref="R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S8" authorId="0" shapeId="0">
      <text>
        <r>
          <rPr>
            <sz val="9"/>
            <color indexed="81"/>
            <rFont val="Tahoma"/>
            <family val="2"/>
          </rPr>
          <t>DataPointVID 418112_x000D_
DataPointID 418112_x000D_
Metric  =  Date of issuance [di]_x000D_
Base  =  Liabilities and Equity_x000D_
Row ID (Intragroup liabilities)  =  &lt;Key value&gt;_x000D_
Main category  =  All equity, All liabilities_x000D_
Related parties/Relationships  =  Intra-group</t>
        </r>
      </text>
    </comment>
    <comment ref="T8" authorId="0" shapeId="0">
      <text>
        <r>
          <rPr>
            <sz val="9"/>
            <color indexed="81"/>
            <rFont val="Tahoma"/>
            <family val="2"/>
          </rPr>
          <t>DataPointVID 418116_x000D_
DataPointID 418116_x000D_
Metric  =  Earliest date of redemption [di]_x000D_
Base  =  Liabilities and Equity_x000D_
Row ID (Intragroup liabilities)  =  &lt;Key value&gt;_x000D_
Main category  =  All equity, All liabilities_x000D_
Related parties/Relationships  =  Intra-group</t>
        </r>
      </text>
    </comment>
    <comment ref="U8" authorId="0" shapeId="0">
      <text>
        <r>
          <rPr>
            <sz val="9"/>
            <color indexed="81"/>
            <rFont val="Tahoma"/>
            <family val="2"/>
          </rPr>
          <t>DataPointVID 410216_x000D_
DataPointID 410216_x000D_
Metric  =  Legal final maturity date [di]_x000D_
Base  =  Liabilities and Equity_x000D_
Row ID (Intragroup liabilities)  =  &lt;Key value&gt;_x000D_
Main category  =  All equity, All liabilities_x000D_
Related parties/Relationships  =  Intra-group</t>
        </r>
      </text>
    </comment>
    <comment ref="V8" authorId="0" shapeId="0">
      <text>
        <r>
          <rPr>
            <sz val="9"/>
            <color indexed="81"/>
            <rFont val="Tahoma"/>
            <family val="2"/>
          </rPr>
          <t>DataPointVID 418120_x000D_
DataPointID 418120_x000D_
Metric  =  Collateralisation status [ei:ZZ:ZZ29]_x000D_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(ZZ:x282) Secured_x000D_
(ZZ:x283) Unsecured_x000D_</t>
        </r>
        <r>
          <rPr>
            <sz val="9"/>
            <color indexed="81"/>
            <rFont val="Tahoma"/>
            <family val="2"/>
          </rPr>
          <t xml:space="preserve">
</t>
        </r>
      </text>
    </comment>
    <comment ref="W8" authorId="0" shapeId="0">
      <text>
        <r>
          <rPr>
            <sz val="9"/>
            <color indexed="81"/>
            <rFont val="Tahoma"/>
            <family val="2"/>
          </rPr>
          <t>DataPointVID 410142_x000D_
DataPointID 410142_x000D_
Metric  =  Carrying amount [mi]_x000D_
Row ID (Intragroup liabilities)  =  &lt;Key value&gt;_x000D_
Main category of collateralised item  =  All equity, All liabilities_x000D_
Main category  =  Collateral posted</t>
        </r>
      </text>
    </comment>
    <comment ref="X8" authorId="0" shapeId="0">
      <text>
        <r>
          <rPr>
            <sz val="9"/>
            <color indexed="81"/>
            <rFont val="Tahoma"/>
            <family val="2"/>
          </rPr>
          <t>DataPointVID 410401_x000D_
DataPointID 410401_x000D_
Metric  =  Entity code [si]_x000D_
Row ID (Intragroup liabilities)  =  &lt;Key value&gt;_x000D_
Main category of item that is the object of the transaction / contract  =  All equity, All liabilities_x000D_
Role in the contract  =  Guarantor</t>
        </r>
      </text>
    </comment>
    <comment ref="Y8" authorId="0" shapeId="0">
      <text>
        <r>
          <rPr>
            <sz val="9"/>
            <color indexed="81"/>
            <rFont val="Tahoma"/>
            <family val="2"/>
          </rPr>
          <t>DataPointVID 418124_x000D_
DataPointID 418124_x000D_
Metric  =  Type of contractual terms [ei:ZZ:ZZ30]_x000D_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(ZZ:x284) Non-structured/Vanilla_x000D_
(ZZ:x285) Structured_x000D_
(ZZ:x286) Other non-standard terms_x000D_</t>
        </r>
        <r>
          <rPr>
            <sz val="9"/>
            <color indexed="81"/>
            <rFont val="Tahoma"/>
            <family val="2"/>
          </rPr>
          <t xml:space="preserve">
</t>
        </r>
      </text>
    </comment>
    <comment ref="Z8" authorId="0" shapeId="0">
      <text>
        <r>
          <rPr>
            <sz val="9"/>
            <color indexed="81"/>
            <rFont val="Tahoma"/>
            <family val="2"/>
          </rPr>
          <t>DataPointVID 428279_x000D_
DataPointID 428279_x000D_
Metric  =  Outstanding amount [mi]_x000D_
Base  =  Liabilities and Equity_x000D_
Row ID (Intragroup liabilities)  =  &lt;Key value&gt;_x000D_
Main category  =  All equity, All liabilities_x000D_
Eligibility for MREL  =  Eligible_x000D_
Related parties/Relationships  =  Intra-group</t>
        </r>
      </text>
    </comment>
    <comment ref="AA8" authorId="0" shapeId="0">
      <text>
        <r>
          <rPr>
            <sz val="9"/>
            <color indexed="81"/>
            <rFont val="Tahoma"/>
            <family val="2"/>
          </rPr>
          <t>DataPointVID 418127_x000D_
DataPointID 418127_x000D_
Metric  =  Type of regulatory capital [ei:OF:OF8]_x000D_
Base  =  Liabilities and Equity_x000D_
Row ID (Intragroup liabilities)  =  &lt;Key value&gt;_x000D_
Main category  =  All equity, All liabilities_x000D_
Related parties/Relationships  =  Intra-group</t>
        </r>
        <r>
          <rPr>
            <sz val="9"/>
            <color indexed="8"/>
            <rFont val="Tahoma"/>
            <family val="2"/>
          </rPr>
          <t>_x000D_
_x000D_
Value chosen from:_x000D_
(OF:x19) No_x000D_
(OF:x20) Partially (A)T1 and T2_x000D_
(OF:x21) T2 in phase-out_x000D_
(OF:x22) Grandfathered T2_x000D_
(OF:x23) Fully Compliant T2_x000D_
(OF:x24) Grandfathered AT1_x000D_
(OF:x25) Fully Compliant AT1_x000D_
(OF:x26) CET1_x000D_</t>
        </r>
        <r>
          <rPr>
            <sz val="9"/>
            <color indexed="81"/>
            <rFont val="Tahoma"/>
            <family val="2"/>
          </rPr>
          <t xml:space="preserve">
</t>
        </r>
      </text>
    </comment>
    <comment ref="AB8" authorId="0" shapeId="0">
      <text>
        <r>
          <rPr>
            <sz val="9"/>
            <color indexed="81"/>
            <rFont val="Tahoma"/>
            <family val="2"/>
          </rPr>
          <t>DataPointVID 410199_x000D_
DataPointID 410199_x000D_
Metric  =  Amount including transitional provisions [mi]_x000D_
Base  =  Own funds_x000D_
Row ID (Intragroup liabilities)  =  &lt;Key value&gt;_x000D_
Main category of item that is the object of the transaction / contract  =  All equity, All liabilities_x000D_
Main category  =  Regulatory capital items_x000D_
Own funds  =  Total own funds</t>
        </r>
      </text>
    </comment>
    <comment ref="C9" authorId="0" shapeId="0">
      <text>
        <r>
          <rPr>
            <sz val="9"/>
            <color indexed="81"/>
            <rFont val="Tahoma"/>
            <family val="2"/>
          </rPr>
          <t>Row ID (Intragroup liabilities)  =  &lt;Key value&gt;</t>
        </r>
      </text>
    </comment>
    <comment ref="C10" authorId="0" shapeId="0">
      <text>
        <r>
          <rPr>
            <sz val="9"/>
            <color indexed="81"/>
            <rFont val="Tahoma"/>
            <family val="2"/>
          </rPr>
          <t>Row ID (Intragroup liabilities)  =  &lt;Key value&gt;</t>
        </r>
      </text>
    </comment>
    <comment ref="C11" authorId="0" shapeId="0">
      <text>
        <r>
          <rPr>
            <sz val="9"/>
            <color indexed="81"/>
            <rFont val="Tahoma"/>
            <family val="2"/>
          </rPr>
          <t>Row ID (Intragroup liabilities)  =  &lt;Key value&gt;</t>
        </r>
      </text>
    </comment>
    <comment ref="C12" authorId="0" shapeId="0">
      <text>
        <r>
          <rPr>
            <sz val="9"/>
            <color indexed="81"/>
            <rFont val="Tahoma"/>
            <family val="2"/>
          </rPr>
          <t>Row ID (Intragroup liabilities)  =  &lt;Key value&gt;</t>
        </r>
      </text>
    </comment>
    <comment ref="C13" authorId="0" shapeId="0">
      <text>
        <r>
          <rPr>
            <sz val="9"/>
            <color indexed="81"/>
            <rFont val="Tahoma"/>
            <family val="2"/>
          </rPr>
          <t>Row ID (Intragroup liabilities)  =  &lt;Key value&gt;</t>
        </r>
      </text>
    </comment>
    <comment ref="C14" authorId="0" shapeId="0">
      <text>
        <r>
          <rPr>
            <sz val="9"/>
            <color indexed="81"/>
            <rFont val="Tahoma"/>
            <family val="2"/>
          </rPr>
          <t>Row ID (Intragroup liabilities)  =  &lt;Key value&gt;</t>
        </r>
      </text>
    </comment>
    <comment ref="C15" authorId="0" shapeId="0">
      <text>
        <r>
          <rPr>
            <sz val="9"/>
            <color indexed="81"/>
            <rFont val="Tahoma"/>
            <family val="2"/>
          </rPr>
          <t>Row ID (Intragroup liabilities)  =  &lt;Key value&gt;</t>
        </r>
      </text>
    </comment>
    <comment ref="C16" authorId="0" shapeId="0">
      <text>
        <r>
          <rPr>
            <sz val="9"/>
            <color indexed="81"/>
            <rFont val="Tahoma"/>
            <family val="2"/>
          </rPr>
          <t>Row ID (Intragroup liabilities)  =  &lt;Key value&gt;</t>
        </r>
      </text>
    </comment>
    <comment ref="C17" authorId="0" shapeId="0">
      <text>
        <r>
          <rPr>
            <sz val="9"/>
            <color indexed="81"/>
            <rFont val="Tahoma"/>
            <family val="2"/>
          </rPr>
          <t>Row ID (Intragroup liabilities)  =  &lt;Key value&gt;</t>
        </r>
      </text>
    </comment>
    <comment ref="C18" authorId="0" shapeId="0">
      <text>
        <r>
          <rPr>
            <sz val="9"/>
            <color indexed="81"/>
            <rFont val="Tahoma"/>
            <family val="2"/>
          </rPr>
          <t>Row ID (Intragroup liabilities)  =  &lt;Key value&gt;</t>
        </r>
      </text>
    </comment>
    <comment ref="C19" authorId="0" shapeId="0">
      <text>
        <r>
          <rPr>
            <sz val="9"/>
            <color indexed="81"/>
            <rFont val="Tahoma"/>
            <family val="2"/>
          </rPr>
          <t>Row ID (Intragroup liabilities)  =  &lt;Key value&gt;</t>
        </r>
      </text>
    </comment>
    <comment ref="C20" authorId="0" shapeId="0">
      <text>
        <r>
          <rPr>
            <sz val="9"/>
            <color indexed="81"/>
            <rFont val="Tahoma"/>
            <family val="2"/>
          </rPr>
          <t>Row ID (Intragroup liabilities)  =  &lt;Key value&gt;</t>
        </r>
      </text>
    </comment>
    <comment ref="C21" authorId="0" shapeId="0">
      <text>
        <r>
          <rPr>
            <sz val="9"/>
            <color indexed="81"/>
            <rFont val="Tahoma"/>
            <family val="2"/>
          </rPr>
          <t>Row ID (Intragroup liabilities)  =  &lt;Key value&gt;</t>
        </r>
      </text>
    </comment>
    <comment ref="C22" authorId="0" shapeId="0">
      <text>
        <r>
          <rPr>
            <sz val="9"/>
            <color indexed="81"/>
            <rFont val="Tahoma"/>
            <family val="2"/>
          </rPr>
          <t>Row ID (Intragroup liabilities)  =  &lt;Key value&gt;</t>
        </r>
      </text>
    </comment>
    <comment ref="C23" authorId="0" shapeId="0">
      <text>
        <r>
          <rPr>
            <sz val="9"/>
            <color indexed="81"/>
            <rFont val="Tahoma"/>
            <family val="2"/>
          </rPr>
          <t>Row ID (Intragroup liabilities)  =  &lt;Key value&gt;</t>
        </r>
      </text>
    </comment>
    <comment ref="C24" authorId="0" shapeId="0">
      <text>
        <r>
          <rPr>
            <sz val="9"/>
            <color indexed="81"/>
            <rFont val="Tahoma"/>
            <family val="2"/>
          </rPr>
          <t>Row ID (Intragroup liabilities)  =  &lt;Key value&gt;</t>
        </r>
      </text>
    </comment>
    <comment ref="C25" authorId="0" shapeId="0">
      <text>
        <r>
          <rPr>
            <sz val="9"/>
            <color indexed="81"/>
            <rFont val="Tahoma"/>
            <family val="2"/>
          </rPr>
          <t>Row ID (Intragroup liabilities)  =  &lt;Key value&gt;</t>
        </r>
      </text>
    </comment>
    <comment ref="C26" authorId="0" shapeId="0">
      <text>
        <r>
          <rPr>
            <sz val="9"/>
            <color indexed="81"/>
            <rFont val="Tahoma"/>
            <family val="2"/>
          </rPr>
          <t>Row ID (Intragroup liabilities)  =  &lt;Key value&gt;</t>
        </r>
      </text>
    </comment>
    <comment ref="C27" authorId="0" shapeId="0">
      <text>
        <r>
          <rPr>
            <sz val="9"/>
            <color indexed="81"/>
            <rFont val="Tahoma"/>
            <family val="2"/>
          </rPr>
          <t>Row ID (Intragroup liabilities)  =  &lt;Key value&gt;</t>
        </r>
      </text>
    </comment>
    <comment ref="C28" authorId="0" shapeId="0">
      <text>
        <r>
          <rPr>
            <sz val="9"/>
            <color indexed="81"/>
            <rFont val="Tahoma"/>
            <family val="2"/>
          </rPr>
          <t>Row ID (Intragroup liabilities)  =  &lt;Key value&gt;</t>
        </r>
      </text>
    </comment>
    <comment ref="C29" authorId="0" shapeId="0">
      <text>
        <r>
          <rPr>
            <sz val="9"/>
            <color indexed="81"/>
            <rFont val="Tahoma"/>
            <family val="2"/>
          </rPr>
          <t>Row ID (Intragroup liabilities)  =  &lt;Key value&gt;</t>
        </r>
      </text>
    </comment>
    <comment ref="C30" authorId="0" shapeId="0">
      <text>
        <r>
          <rPr>
            <sz val="9"/>
            <color indexed="81"/>
            <rFont val="Tahoma"/>
            <family val="2"/>
          </rPr>
          <t>Row ID (Intragroup liabilities)  =  &lt;Key value&gt;</t>
        </r>
      </text>
    </comment>
    <comment ref="C31" authorId="0" shapeId="0">
      <text>
        <r>
          <rPr>
            <sz val="9"/>
            <color indexed="81"/>
            <rFont val="Tahoma"/>
            <family val="2"/>
          </rPr>
          <t>Row ID (Intragroup liabilities)  =  &lt;Key value&gt;</t>
        </r>
      </text>
    </comment>
    <comment ref="C32" authorId="0" shapeId="0">
      <text>
        <r>
          <rPr>
            <sz val="9"/>
            <color indexed="81"/>
            <rFont val="Tahoma"/>
            <family val="2"/>
          </rPr>
          <t>Row ID (Intragroup liabilities)  =  &lt;Key value&gt;</t>
        </r>
      </text>
    </comment>
    <comment ref="C33" authorId="0" shapeId="0">
      <text>
        <r>
          <rPr>
            <sz val="9"/>
            <color indexed="81"/>
            <rFont val="Tahoma"/>
            <family val="2"/>
          </rPr>
          <t>Row ID (Intragroup liabilities)  =  &lt;Key value&gt;</t>
        </r>
      </text>
    </comment>
    <comment ref="C34" authorId="0" shapeId="0">
      <text>
        <r>
          <rPr>
            <sz val="9"/>
            <color indexed="81"/>
            <rFont val="Tahoma"/>
            <family val="2"/>
          </rPr>
          <t>Row ID (Intragroup liabilities)  =  &lt;Key value&gt;</t>
        </r>
      </text>
    </comment>
    <comment ref="C35" authorId="0" shapeId="0">
      <text>
        <r>
          <rPr>
            <sz val="9"/>
            <color indexed="81"/>
            <rFont val="Tahoma"/>
            <family val="2"/>
          </rPr>
          <t>Row ID (Intragroup liabilities)  =  &lt;Key value&gt;</t>
        </r>
      </text>
    </comment>
    <comment ref="C36" authorId="0" shapeId="0">
      <text>
        <r>
          <rPr>
            <sz val="9"/>
            <color indexed="81"/>
            <rFont val="Tahoma"/>
            <family val="2"/>
          </rPr>
          <t>Row ID (Intragroup liabilities)  =  &lt;Key value&gt;</t>
        </r>
      </text>
    </comment>
    <comment ref="C37" authorId="0" shapeId="0">
      <text>
        <r>
          <rPr>
            <sz val="9"/>
            <color indexed="81"/>
            <rFont val="Tahoma"/>
            <family val="2"/>
          </rPr>
          <t>Row ID (Intragroup liabilities)  =  &lt;Key value&gt;</t>
        </r>
      </text>
    </comment>
    <comment ref="C38" authorId="0" shapeId="0">
      <text>
        <r>
          <rPr>
            <sz val="9"/>
            <color indexed="81"/>
            <rFont val="Tahoma"/>
            <family val="2"/>
          </rPr>
          <t>Row ID (Intragroup liabilities)  =  &lt;Key value&gt;</t>
        </r>
      </text>
    </comment>
    <comment ref="C39" authorId="0" shapeId="0">
      <text>
        <r>
          <rPr>
            <sz val="9"/>
            <color indexed="81"/>
            <rFont val="Tahoma"/>
            <family val="2"/>
          </rPr>
          <t>Row ID (Intragroup liabilities)  =  &lt;Key value&gt;</t>
        </r>
      </text>
    </comment>
    <comment ref="C40" authorId="0" shapeId="0">
      <text>
        <r>
          <rPr>
            <sz val="9"/>
            <color indexed="81"/>
            <rFont val="Tahoma"/>
            <family val="2"/>
          </rPr>
          <t>Row ID (Intragroup liabilities)  =  &lt;Key value&gt;</t>
        </r>
      </text>
    </comment>
    <comment ref="C41" authorId="0" shapeId="0">
      <text>
        <r>
          <rPr>
            <sz val="9"/>
            <color indexed="81"/>
            <rFont val="Tahoma"/>
            <family val="2"/>
          </rPr>
          <t>Row ID (Intragroup liabilities)  =  &lt;Key value&gt;</t>
        </r>
      </text>
    </comment>
    <comment ref="C42" authorId="0" shapeId="0">
      <text>
        <r>
          <rPr>
            <sz val="9"/>
            <color indexed="81"/>
            <rFont val="Tahoma"/>
            <family val="2"/>
          </rPr>
          <t>Row ID (Intragroup liabilities)  =  &lt;Key value&gt;</t>
        </r>
      </text>
    </comment>
    <comment ref="C43" authorId="0" shapeId="0">
      <text>
        <r>
          <rPr>
            <sz val="9"/>
            <color indexed="81"/>
            <rFont val="Tahoma"/>
            <family val="2"/>
          </rPr>
          <t>Row ID (Intragroup liabilities)  =  &lt;Key value&gt;</t>
        </r>
      </text>
    </comment>
    <comment ref="C44" authorId="0" shapeId="0">
      <text>
        <r>
          <rPr>
            <sz val="9"/>
            <color indexed="81"/>
            <rFont val="Tahoma"/>
            <family val="2"/>
          </rPr>
          <t>Row ID (Intragroup liabilities)  =  &lt;Key value&gt;</t>
        </r>
      </text>
    </comment>
    <comment ref="C45" authorId="0" shapeId="0">
      <text>
        <r>
          <rPr>
            <sz val="9"/>
            <color indexed="81"/>
            <rFont val="Tahoma"/>
            <family val="2"/>
          </rPr>
          <t>Row ID (Intragroup liabilities)  =  &lt;Key value&gt;</t>
        </r>
      </text>
    </comment>
    <comment ref="C46" authorId="0" shapeId="0">
      <text>
        <r>
          <rPr>
            <sz val="9"/>
            <color indexed="81"/>
            <rFont val="Tahoma"/>
            <family val="2"/>
          </rPr>
          <t>Row ID (Intragroup liabilities)  =  &lt;Key value&gt;</t>
        </r>
      </text>
    </comment>
    <comment ref="C47" authorId="0" shapeId="0">
      <text>
        <r>
          <rPr>
            <sz val="9"/>
            <color indexed="81"/>
            <rFont val="Tahoma"/>
            <family val="2"/>
          </rPr>
          <t>Row ID (Intragroup liabilities)  =  &lt;Key value&gt;</t>
        </r>
      </text>
    </comment>
    <comment ref="C48" authorId="0" shapeId="0">
      <text>
        <r>
          <rPr>
            <sz val="9"/>
            <color indexed="81"/>
            <rFont val="Tahoma"/>
            <family val="2"/>
          </rPr>
          <t>Row ID (Intragroup liabilities)  =  &lt;Key value&gt;</t>
        </r>
      </text>
    </comment>
    <comment ref="C49" authorId="0" shapeId="0">
      <text>
        <r>
          <rPr>
            <sz val="9"/>
            <color indexed="81"/>
            <rFont val="Tahoma"/>
            <family val="2"/>
          </rPr>
          <t>Row ID (Intragroup liabilities)  =  &lt;Key value&gt;</t>
        </r>
      </text>
    </comment>
    <comment ref="C50" authorId="0" shapeId="0">
      <text>
        <r>
          <rPr>
            <sz val="9"/>
            <color indexed="81"/>
            <rFont val="Tahoma"/>
            <family val="2"/>
          </rPr>
          <t>Row ID (Intragroup liabilities)  =  &lt;Key value&gt;</t>
        </r>
      </text>
    </comment>
    <comment ref="C51" authorId="0" shapeId="0">
      <text>
        <r>
          <rPr>
            <sz val="9"/>
            <color indexed="81"/>
            <rFont val="Tahoma"/>
            <family val="2"/>
          </rPr>
          <t>Row ID (Intragroup liabilities)  =  &lt;Key value&gt;</t>
        </r>
      </text>
    </comment>
    <comment ref="C52" authorId="0" shapeId="0">
      <text>
        <r>
          <rPr>
            <sz val="9"/>
            <color indexed="81"/>
            <rFont val="Tahoma"/>
            <family val="2"/>
          </rPr>
          <t>Row ID (Intragroup liabilities)  =  &lt;Key value&gt;</t>
        </r>
      </text>
    </comment>
    <comment ref="C53" authorId="0" shapeId="0">
      <text>
        <r>
          <rPr>
            <sz val="9"/>
            <color indexed="81"/>
            <rFont val="Tahoma"/>
            <family val="2"/>
          </rPr>
          <t>Row ID (Intragroup liabilities)  =  &lt;Key value&gt;</t>
        </r>
      </text>
    </comment>
    <comment ref="C54" authorId="0" shapeId="0">
      <text>
        <r>
          <rPr>
            <sz val="9"/>
            <color indexed="81"/>
            <rFont val="Tahoma"/>
            <family val="2"/>
          </rPr>
          <t>Row ID (Intragroup liabilities)  =  &lt;Key value&gt;</t>
        </r>
      </text>
    </comment>
    <comment ref="C55" authorId="0" shapeId="0">
      <text>
        <r>
          <rPr>
            <sz val="9"/>
            <color indexed="81"/>
            <rFont val="Tahoma"/>
            <family val="2"/>
          </rPr>
          <t>Row ID (Intragroup liabilities)  =  &lt;Key value&gt;</t>
        </r>
      </text>
    </comment>
    <comment ref="C56" authorId="0" shapeId="0">
      <text>
        <r>
          <rPr>
            <sz val="9"/>
            <color indexed="81"/>
            <rFont val="Tahoma"/>
            <family val="2"/>
          </rPr>
          <t>Row ID (Intragroup liabilities)  =  &lt;Key value&gt;</t>
        </r>
      </text>
    </comment>
    <comment ref="C57" authorId="0" shapeId="0">
      <text>
        <r>
          <rPr>
            <sz val="9"/>
            <color indexed="81"/>
            <rFont val="Tahoma"/>
            <family val="2"/>
          </rPr>
          <t>Row ID (Intragroup liabilities)  =  &lt;Key value&gt;</t>
        </r>
      </text>
    </comment>
    <comment ref="C58" authorId="0" shapeId="0">
      <text>
        <r>
          <rPr>
            <sz val="9"/>
            <color indexed="81"/>
            <rFont val="Tahoma"/>
            <family val="2"/>
          </rPr>
          <t>Row ID (Intragroup liabilities)  =  &lt;Key value&gt;</t>
        </r>
      </text>
    </comment>
    <comment ref="C59" authorId="0" shapeId="0">
      <text>
        <r>
          <rPr>
            <sz val="9"/>
            <color indexed="81"/>
            <rFont val="Tahoma"/>
            <family val="2"/>
          </rPr>
          <t>Row ID (Intragroup liabilities)  =  &lt;Key value&gt;</t>
        </r>
      </text>
    </comment>
    <comment ref="C60" authorId="0" shapeId="0">
      <text>
        <r>
          <rPr>
            <sz val="9"/>
            <color indexed="81"/>
            <rFont val="Tahoma"/>
            <family val="2"/>
          </rPr>
          <t>Row ID (Intragroup liabilities)  =  &lt;Key value&gt;</t>
        </r>
      </text>
    </comment>
    <comment ref="C61" authorId="0" shapeId="0">
      <text>
        <r>
          <rPr>
            <sz val="9"/>
            <color indexed="81"/>
            <rFont val="Tahoma"/>
            <family val="2"/>
          </rPr>
          <t>Row ID (Intragroup liabilities)  =  &lt;Key value&gt;</t>
        </r>
      </text>
    </comment>
    <comment ref="C62" authorId="0" shapeId="0">
      <text>
        <r>
          <rPr>
            <sz val="9"/>
            <color indexed="81"/>
            <rFont val="Tahoma"/>
            <family val="2"/>
          </rPr>
          <t>Row ID (Intragroup liabilities)  =  &lt;Key value&gt;</t>
        </r>
      </text>
    </comment>
    <comment ref="C63" authorId="0" shapeId="0">
      <text>
        <r>
          <rPr>
            <sz val="9"/>
            <color indexed="81"/>
            <rFont val="Tahoma"/>
            <family val="2"/>
          </rPr>
          <t>Row ID (Intragroup liabilities)  =  &lt;Key value&gt;</t>
        </r>
      </text>
    </comment>
    <comment ref="C64" authorId="0" shapeId="0">
      <text>
        <r>
          <rPr>
            <sz val="9"/>
            <color indexed="81"/>
            <rFont val="Tahoma"/>
            <family val="2"/>
          </rPr>
          <t>Row ID (Intragroup liabilities)  =  &lt;Key value&gt;</t>
        </r>
      </text>
    </comment>
    <comment ref="C65" authorId="0" shapeId="0">
      <text>
        <r>
          <rPr>
            <sz val="9"/>
            <color indexed="81"/>
            <rFont val="Tahoma"/>
            <family val="2"/>
          </rPr>
          <t>Row ID (Intragroup liabilities)  =  &lt;Key value&gt;</t>
        </r>
      </text>
    </comment>
    <comment ref="C66" authorId="0" shapeId="0">
      <text>
        <r>
          <rPr>
            <sz val="9"/>
            <color indexed="81"/>
            <rFont val="Tahoma"/>
            <family val="2"/>
          </rPr>
          <t>Row ID (Intragroup liabilities)  =  &lt;Key value&gt;</t>
        </r>
      </text>
    </comment>
    <comment ref="C67" authorId="0" shapeId="0">
      <text>
        <r>
          <rPr>
            <sz val="9"/>
            <color indexed="81"/>
            <rFont val="Tahoma"/>
            <family val="2"/>
          </rPr>
          <t>Row ID (Intragroup liabilities)  =  &lt;Key value&gt;</t>
        </r>
      </text>
    </comment>
    <comment ref="C68" authorId="0" shapeId="0">
      <text>
        <r>
          <rPr>
            <sz val="9"/>
            <color indexed="81"/>
            <rFont val="Tahoma"/>
            <family val="2"/>
          </rPr>
          <t>Row ID (Intragroup liabilities)  =  &lt;Key value&gt;</t>
        </r>
      </text>
    </comment>
    <comment ref="C69" authorId="0" shapeId="0">
      <text>
        <r>
          <rPr>
            <sz val="9"/>
            <color indexed="81"/>
            <rFont val="Tahoma"/>
            <family val="2"/>
          </rPr>
          <t>Row ID (Intragroup liabilities)  =  &lt;Key value&gt;</t>
        </r>
      </text>
    </comment>
    <comment ref="C70" authorId="0" shapeId="0">
      <text>
        <r>
          <rPr>
            <sz val="9"/>
            <color indexed="81"/>
            <rFont val="Tahoma"/>
            <family val="2"/>
          </rPr>
          <t>Row ID (Intragroup liabilities)  =  &lt;Key value&gt;</t>
        </r>
      </text>
    </comment>
    <comment ref="C71" authorId="0" shapeId="0">
      <text>
        <r>
          <rPr>
            <sz val="9"/>
            <color indexed="81"/>
            <rFont val="Tahoma"/>
            <family val="2"/>
          </rPr>
          <t>Row ID (Intragroup liabilities)  =  &lt;Key value&gt;</t>
        </r>
      </text>
    </comment>
    <comment ref="C72" authorId="0" shapeId="0">
      <text>
        <r>
          <rPr>
            <sz val="9"/>
            <color indexed="81"/>
            <rFont val="Tahoma"/>
            <family val="2"/>
          </rPr>
          <t>Row ID (Intragroup liabilities)  =  &lt;Key value&gt;</t>
        </r>
      </text>
    </comment>
    <comment ref="C73" authorId="0" shapeId="0">
      <text>
        <r>
          <rPr>
            <sz val="9"/>
            <color indexed="81"/>
            <rFont val="Tahoma"/>
            <family val="2"/>
          </rPr>
          <t>Row ID (Intragroup liabilities)  =  &lt;Key value&gt;</t>
        </r>
      </text>
    </comment>
    <comment ref="C74" authorId="0" shapeId="0">
      <text>
        <r>
          <rPr>
            <sz val="9"/>
            <color indexed="81"/>
            <rFont val="Tahoma"/>
            <family val="2"/>
          </rPr>
          <t>Row ID (Intragroup liabilities)  =  &lt;Key value&gt;</t>
        </r>
      </text>
    </comment>
    <comment ref="C75" authorId="0" shapeId="0">
      <text>
        <r>
          <rPr>
            <sz val="9"/>
            <color indexed="81"/>
            <rFont val="Tahoma"/>
            <family val="2"/>
          </rPr>
          <t>Row ID (Intragroup liabilities)  =  &lt;Key value&gt;</t>
        </r>
      </text>
    </comment>
    <comment ref="C76" authorId="0" shapeId="0">
      <text>
        <r>
          <rPr>
            <sz val="9"/>
            <color indexed="81"/>
            <rFont val="Tahoma"/>
            <family val="2"/>
          </rPr>
          <t>Row ID (Intragroup liabilities)  =  &lt;Key value&gt;</t>
        </r>
      </text>
    </comment>
    <comment ref="C77" authorId="0" shapeId="0">
      <text>
        <r>
          <rPr>
            <sz val="9"/>
            <color indexed="81"/>
            <rFont val="Tahoma"/>
            <family val="2"/>
          </rPr>
          <t>Row ID (Intragroup liabilities)  =  &lt;Key value&gt;</t>
        </r>
      </text>
    </comment>
    <comment ref="C78" authorId="0" shapeId="0">
      <text>
        <r>
          <rPr>
            <sz val="9"/>
            <color indexed="81"/>
            <rFont val="Tahoma"/>
            <family val="2"/>
          </rPr>
          <t>Row ID (Intragroup liabilities)  =  &lt;Key value&gt;</t>
        </r>
      </text>
    </comment>
    <comment ref="C79" authorId="0" shapeId="0">
      <text>
        <r>
          <rPr>
            <sz val="9"/>
            <color indexed="81"/>
            <rFont val="Tahoma"/>
            <family val="2"/>
          </rPr>
          <t>Row ID (Intragroup liabilities)  =  &lt;Key value&gt;</t>
        </r>
      </text>
    </comment>
    <comment ref="C80" authorId="0" shapeId="0">
      <text>
        <r>
          <rPr>
            <sz val="9"/>
            <color indexed="81"/>
            <rFont val="Tahoma"/>
            <family val="2"/>
          </rPr>
          <t>Row ID (Intragroup liabilities)  =  &lt;Key value&gt;</t>
        </r>
      </text>
    </comment>
    <comment ref="C81" authorId="0" shapeId="0">
      <text>
        <r>
          <rPr>
            <sz val="9"/>
            <color indexed="81"/>
            <rFont val="Tahoma"/>
            <family val="2"/>
          </rPr>
          <t>Row ID (Intragroup liabilities)  =  &lt;Key value&gt;</t>
        </r>
      </text>
    </comment>
    <comment ref="C82" authorId="0" shapeId="0">
      <text>
        <r>
          <rPr>
            <sz val="9"/>
            <color indexed="81"/>
            <rFont val="Tahoma"/>
            <family val="2"/>
          </rPr>
          <t>Row ID (Intragroup liabilities)  =  &lt;Key value&gt;</t>
        </r>
      </text>
    </comment>
    <comment ref="C83" authorId="0" shapeId="0">
      <text>
        <r>
          <rPr>
            <sz val="9"/>
            <color indexed="81"/>
            <rFont val="Tahoma"/>
            <family val="2"/>
          </rPr>
          <t>Row ID (Intragroup liabilities)  =  &lt;Key value&gt;</t>
        </r>
      </text>
    </comment>
    <comment ref="C84" authorId="0" shapeId="0">
      <text>
        <r>
          <rPr>
            <sz val="9"/>
            <color indexed="81"/>
            <rFont val="Tahoma"/>
            <family val="2"/>
          </rPr>
          <t>Row ID (Intragroup liabilities)  =  &lt;Key value&gt;</t>
        </r>
      </text>
    </comment>
    <comment ref="C85" authorId="0" shapeId="0">
      <text>
        <r>
          <rPr>
            <sz val="9"/>
            <color indexed="81"/>
            <rFont val="Tahoma"/>
            <family val="2"/>
          </rPr>
          <t>Row ID (Intragroup liabilities)  =  &lt;Key value&gt;</t>
        </r>
      </text>
    </comment>
  </commentList>
</comments>
</file>

<file path=xl/comments6.xml><?xml version="1.0" encoding="utf-8"?>
<comments xmlns="http://schemas.openxmlformats.org/spreadsheetml/2006/main">
  <authors>
    <author>Haizhen Li</author>
  </authors>
  <commentList>
    <comment ref="D7" authorId="0" shapeId="0">
      <text>
        <r>
          <rPr>
            <sz val="9"/>
            <color indexed="81"/>
            <rFont val="Tahoma"/>
            <family val="2"/>
          </rPr>
          <t>Row ID (intragroup  guarantees received)  =  &lt;Key value&gt;</t>
        </r>
      </text>
    </comment>
    <comment ref="E7" authorId="0" shapeId="0">
      <text>
        <r>
          <rPr>
            <sz val="9"/>
            <color indexed="81"/>
            <rFont val="Tahoma"/>
            <family val="2"/>
          </rPr>
          <t>Metric  =  Ranking in insolvency. Of claim resulting from recourse to financial guarantee [ei:ZZ:ZZ28]_x000D_
Main category  =  Financial guarantees received</t>
        </r>
      </text>
    </comment>
    <comment ref="F7" authorId="0" shapeId="0">
      <text>
        <r>
          <rPr>
            <sz val="9"/>
            <color indexed="81"/>
            <rFont val="Tahoma"/>
            <family val="2"/>
          </rPr>
          <t>Metric  =  Contract identifier [si]_x000D_
Main category  =  Financial guarantees received_x000D_
Related parties/Relationships  =  Intra-group</t>
        </r>
      </text>
    </comment>
    <comment ref="G7" authorId="0" shapeId="0">
      <text>
        <r>
          <rPr>
            <sz val="9"/>
            <color indexed="81"/>
            <rFont val="Tahoma"/>
            <family val="2"/>
          </rPr>
          <t>Metric  =  Name of entity [si]_x000D_
Main category of item that is the object of the transaction / contract  =  Financial guarantees received_x000D_
Related parties/Relationships  =  Intra-group_x000D_
Role in the contract  =  Guarantor</t>
        </r>
      </text>
    </comment>
    <comment ref="H7" authorId="0" shapeId="0">
      <text>
        <r>
          <rPr>
            <sz val="9"/>
            <color indexed="81"/>
            <rFont val="Tahoma"/>
            <family val="2"/>
          </rPr>
          <t>Metric  =  Entity code [si]_x000D_
Main category of item that is the object of the transaction / contract  =  Financial guarantees received_x000D_
Related parties/Relationships  =  Intra-group_x000D_
Role in the contract  =  Guarantor</t>
        </r>
      </text>
    </comment>
    <comment ref="I7" authorId="0" shapeId="0">
      <text>
        <r>
          <rPr>
            <sz val="9"/>
            <color indexed="81"/>
            <rFont val="Tahoma"/>
            <family val="2"/>
          </rPr>
          <t>Metric  =  Type of identifier [ei:AT:AT99]_x000D_
Main category of item that is the object of the transaction / contract  =  Financial guarantees received_x000D_
Related parties/Relationships  =  Intra-group_x000D_
Role in the contract  =  Guarantor</t>
        </r>
      </text>
    </comment>
    <comment ref="J7" authorId="0" shapeId="0">
      <text>
        <r>
          <rPr>
            <sz val="9"/>
            <color indexed="81"/>
            <rFont val="Tahoma"/>
            <family val="2"/>
          </rPr>
          <t>Metric  =  Entity is included in the resolution group of reporting entity [bi]_x000D_
Main category of item that is the object of the transaction / contract  =  Financial guarantees received_x000D_
Related parties/Relationships  =  Intra-group_x000D_
Role in the contract  =  Guarantor</t>
        </r>
      </text>
    </comment>
    <comment ref="K7" authorId="0" shapeId="0">
      <text>
        <r>
          <rPr>
            <sz val="9"/>
            <color indexed="81"/>
            <rFont val="Tahoma"/>
            <family val="2"/>
          </rPr>
          <t>Metric  =  Country the law of which governs the contract / master agreement [ei:GA:GA4]_x000D_
Main category  =  Financial guarantees received</t>
        </r>
      </text>
    </comment>
    <comment ref="L7" authorId="0" shapeId="0">
      <text>
        <r>
          <rPr>
            <sz val="9"/>
            <color indexed="81"/>
            <rFont val="Tahoma"/>
            <family val="2"/>
          </rPr>
          <t>Metric  =  Type of guarantee [ei:MC:MC73]_x000D_
Main category  =  Financial guarantees received_x000D_
Related parties/Relationships  =  Intra-group</t>
        </r>
      </text>
    </comment>
    <comment ref="M7" authorId="0" shapeId="0">
      <text>
        <r>
          <rPr>
            <sz val="9"/>
            <color indexed="81"/>
            <rFont val="Tahoma"/>
            <family val="2"/>
          </rPr>
          <t>Metric  =  Nominal amount [mi]_x000D_
Main category  =  Financial guarantees received_x000D_
Related parties/Relationships  =  Intra-group</t>
        </r>
      </text>
    </comment>
    <comment ref="N7" authorId="0" shapeId="0">
      <text>
        <r>
          <rPr>
            <sz val="9"/>
            <color indexed="81"/>
            <rFont val="Tahoma"/>
            <family val="2"/>
          </rPr>
          <t>Metric  =  Is collateralised [bi]_x000D_
Main category  =  Financial guarantees received</t>
        </r>
      </text>
    </comment>
    <comment ref="O7" authorId="0" shapeId="0">
      <text>
        <r>
          <rPr>
            <sz val="9"/>
            <color indexed="81"/>
            <rFont val="Tahoma"/>
            <family val="2"/>
          </rPr>
          <t>Metric  =  Market value [mi]_x000D_
Main category  =  Collateral received_x000D_
Main category of item that is the object of the transaction / contract  =  Financial guarantees received</t>
        </r>
      </text>
    </comment>
    <comment ref="P7" authorId="0" shapeId="0">
      <text>
        <r>
          <rPr>
            <sz val="9"/>
            <color indexed="81"/>
            <rFont val="Tahoma"/>
            <family val="2"/>
          </rPr>
          <t>Metric  =  Type of event triggering the activation of the guarantee / financial support [ei:ZZ:ZZ31]_x000D_
Main category  =  Financial guarantees received</t>
        </r>
      </text>
    </comment>
    <comment ref="C8" authorId="0" shapeId="0">
      <text>
        <r>
          <rPr>
            <sz val="9"/>
            <color indexed="81"/>
            <rFont val="Tahoma"/>
            <family val="2"/>
          </rPr>
          <t>Row ID (intragroup  guarantees received)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418129_x000D_
DataPointID 418129_x000D_
Metric  =  Ranking in insolvency. Of claim resulting from recourse to financial guarantee [ei:ZZ:ZZ28]_x000D_
Row ID (intragroup  guarantees received)  =  &lt;Key value&gt;_x000D_
Main category  =  Financial guarantees received</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F8" authorId="0" shapeId="0">
      <text>
        <r>
          <rPr>
            <sz val="9"/>
            <color indexed="81"/>
            <rFont val="Tahoma"/>
            <family val="2"/>
          </rPr>
          <t>DataPointVID 418086_x000D_
DataPointID 418086_x000D_
Metric  =  Contract identifier [si]_x000D_
Row ID (intragroup  guarantees received)  =  &lt;Key value&gt;_x000D_
Main category  =  Financial guarantees received_x000D_
Related parties/Relationships  =  Intra-group</t>
        </r>
      </text>
    </comment>
    <comment ref="G8" authorId="0" shapeId="0">
      <text>
        <r>
          <rPr>
            <sz val="9"/>
            <color indexed="81"/>
            <rFont val="Tahoma"/>
            <family val="2"/>
          </rPr>
          <t>DataPointVID 423758_x000D_
DataPointID 423758_x000D_
Metric  =  Name of entity [si]_x000D_
Row ID (intragroup  guarantees received)  =  &lt;Key value&gt;_x000D_
Main category of item that is the object of the transaction / contract  =  Financial guarantees received_x000D_
Role in the contract  =  Guarantor_x000D_
Related parties/Relationships  =  Intra-group</t>
        </r>
      </text>
    </comment>
    <comment ref="H8" authorId="0" shapeId="0">
      <text>
        <r>
          <rPr>
            <sz val="9"/>
            <color indexed="81"/>
            <rFont val="Tahoma"/>
            <family val="2"/>
          </rPr>
          <t>DataPointVID 410402_x000D_
DataPointID 410402_x000D_
Metric  =  Entity code [si]_x000D_
Row ID (intragroup  guarantees received)  =  &lt;Key value&gt;_x000D_
Main category of item that is the object of the transaction / contract  =  Financial guarantees received_x000D_
Role in the contract  =  Guarantor_x000D_
Related parties/Relationships  =  Intra-group</t>
        </r>
      </text>
    </comment>
    <comment ref="I8" authorId="0" shapeId="0">
      <text>
        <r>
          <rPr>
            <sz val="9"/>
            <color indexed="81"/>
            <rFont val="Tahoma"/>
            <family val="2"/>
          </rPr>
          <t>DataPointVID 428662_x000D_
DataPointID 428662_x000D_
Metric  =  Type of identifier [ei:AT:AT99]_x000D_
Row ID (intragroup  guarantees received)  =  &lt;Key value&gt;_x000D_
Main category of item that is the object of the transaction / contract  =  Financial guarantees received_x000D_
Role in the contract  =  Guarantor_x000D_
Related parties/Relationships  =  Intra-group</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J8" authorId="0" shapeId="0">
      <text>
        <r>
          <rPr>
            <sz val="9"/>
            <color indexed="81"/>
            <rFont val="Tahoma"/>
            <family val="2"/>
          </rPr>
          <t>DataPointVID 429084_x000D_
DataPointID 429084_x000D_
Metric  =  Entity is included in the resolution group of reporting entity [bi]_x000D_
Row ID (intragroup  guarantees received)  =  &lt;Key value&gt;_x000D_
Main category of item that is the object of the transaction / contract  =  Financial guarantees received_x000D_
Role in the contract  =  Guarantor_x000D_
Related parties/Relationships  =  Intra-group</t>
        </r>
      </text>
    </comment>
    <comment ref="K8" authorId="0" shapeId="0">
      <text>
        <r>
          <rPr>
            <sz val="9"/>
            <color indexed="81"/>
            <rFont val="Tahoma"/>
            <family val="2"/>
          </rPr>
          <t>DataPointVID 418095_x000D_
DataPointID 418095_x000D_
Metric  =  Country the law of which governs the contract / master agreement [ei:GA:GA4]_x000D_
Row ID (intragroup  guarantees received)  =  &lt;Key value&gt;_x000D_
Main category  =  Financial guarantees received</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L8" authorId="0" shapeId="0">
      <text>
        <r>
          <rPr>
            <sz val="9"/>
            <color indexed="81"/>
            <rFont val="Tahoma"/>
            <family val="2"/>
          </rPr>
          <t>DataPointVID 418130_x000D_
DataPointID 418130_x000D_
Metric  =  Type of guarantee [ei:MC:MC73]_x000D_
Row ID (intragroup  guarantees received)  =  &lt;Key value&gt;_x000D_
Main category  =  Financial guarantees received_x000D_
Related parties/Relationships  =  Intra-group</t>
        </r>
        <r>
          <rPr>
            <sz val="9"/>
            <color indexed="8"/>
            <rFont val="Tahoma"/>
            <family val="2"/>
          </rPr>
          <t>_x000D_
_x000D_
Value chosen from:_x000D_
(MC:x706) Issuance_x000D_
(MC:x707) Counterparty_x000D_
(MC:x708) Unlimited_x000D_
(MC:x709) Other types of guarantee than issuance guarantees, counterparty guarantees and unlimited guarantees_x000D_</t>
        </r>
        <r>
          <rPr>
            <sz val="9"/>
            <color indexed="81"/>
            <rFont val="Tahoma"/>
            <family val="2"/>
          </rPr>
          <t xml:space="preserve">
</t>
        </r>
      </text>
    </comment>
    <comment ref="M8" authorId="0" shapeId="0">
      <text>
        <r>
          <rPr>
            <sz val="9"/>
            <color indexed="81"/>
            <rFont val="Tahoma"/>
            <family val="2"/>
          </rPr>
          <t>DataPointVID 410395_x000D_
DataPointID 410395_x000D_
Metric  =  Nominal amount [mi]_x000D_
Row ID (intragroup  guarantees received)  =  &lt;Key value&gt;_x000D_
Main category  =  Financial guarantees received_x000D_
Related parties/Relationships  =  Intra-group</t>
        </r>
      </text>
    </comment>
    <comment ref="N8" authorId="0" shapeId="0">
      <text>
        <r>
          <rPr>
            <sz val="9"/>
            <color indexed="81"/>
            <rFont val="Tahoma"/>
            <family val="2"/>
          </rPr>
          <t>DataPointVID 418132_x000D_
DataPointID 418132_x000D_
Metric  =  Is collateralised [bi]_x000D_
Row ID (intragroup  guarantees received)  =  &lt;Key value&gt;_x000D_
Main category  =  Financial guarantees received</t>
        </r>
      </text>
    </comment>
    <comment ref="O8" authorId="0" shapeId="0">
      <text>
        <r>
          <rPr>
            <sz val="9"/>
            <color indexed="81"/>
            <rFont val="Tahoma"/>
            <family val="2"/>
          </rPr>
          <t>DataPointVID 414571_x000D_
DataPointID 414571_x000D_
Metric  =  Market value [mi]_x000D_
Row ID (intragroup  guarantees received)  =  &lt;Key value&gt;_x000D_
Main category of item that is the object of the transaction / contract  =  Financial guarantees received_x000D_
Main category  =  Collateral received</t>
        </r>
      </text>
    </comment>
    <comment ref="P8" authorId="0" shapeId="0">
      <text>
        <r>
          <rPr>
            <sz val="9"/>
            <color indexed="81"/>
            <rFont val="Tahoma"/>
            <family val="2"/>
          </rPr>
          <t>DataPointVID 418134_x000D_
DataPointID 418134_x000D_
Metric  =  Type of event triggering the activation of the guarantee / financial support [ei:ZZ:ZZ31]_x000D_
Row ID (intragroup  guarantees received)  =  &lt;Key value&gt;_x000D_
Main category  =  Financial guarantees received</t>
        </r>
        <r>
          <rPr>
            <sz val="9"/>
            <color indexed="8"/>
            <rFont val="Tahoma"/>
            <family val="2"/>
          </rPr>
          <t>_x000D_
_x000D_
Value chosen from:_x000D_
(ZZ:x287) Default_x000D_
(ZZ:x288) Solvency-related_x000D_
(ZZ:x289) Liquidity-related_x000D_
(ZZ:x290) Other than default, solvency-related or liquidity-related_x000D_</t>
        </r>
        <r>
          <rPr>
            <sz val="9"/>
            <color indexed="81"/>
            <rFont val="Tahoma"/>
            <family val="2"/>
          </rPr>
          <t xml:space="preserve">
</t>
        </r>
      </text>
    </comment>
  </commentList>
</comments>
</file>

<file path=xl/comments7.xml><?xml version="1.0" encoding="utf-8"?>
<comments xmlns="http://schemas.openxmlformats.org/spreadsheetml/2006/main">
  <authors>
    <author>Haizhen Li</author>
  </authors>
  <commentList>
    <comment ref="D7" authorId="0" shapeId="0">
      <text>
        <r>
          <rPr>
            <sz val="9"/>
            <color indexed="81"/>
            <rFont val="Tahoma"/>
            <family val="2"/>
          </rPr>
          <t>Row ID (intragroup guarantees provided)  =  &lt;Key value&gt;</t>
        </r>
      </text>
    </comment>
    <comment ref="E7" authorId="0" shapeId="0">
      <text>
        <r>
          <rPr>
            <sz val="9"/>
            <color indexed="81"/>
            <rFont val="Tahoma"/>
            <family val="2"/>
          </rPr>
          <t>Metric  =  Ranking in insolvency [ei:ZZ:ZZ28]_x000D_
Base  =  Off balance sheet items_x000D_
Main category  =  Financial guarantees given_x000D_
Related parties/Relationships  =  Intra-group</t>
        </r>
      </text>
    </comment>
    <comment ref="F7" authorId="0" shapeId="0">
      <text>
        <r>
          <rPr>
            <sz val="9"/>
            <color indexed="81"/>
            <rFont val="Tahoma"/>
            <family val="2"/>
          </rPr>
          <t>Metric  =  Contract identifier [si]_x000D_
Base  =  Off balance sheet items_x000D_
Main category  =  Financial guarantees given_x000D_
Related parties/Relationships  =  Intra-group</t>
        </r>
      </text>
    </comment>
    <comment ref="G7" authorId="0" shapeId="0">
      <text>
        <r>
          <rPr>
            <sz val="9"/>
            <color indexed="81"/>
            <rFont val="Tahoma"/>
            <family val="2"/>
          </rPr>
          <t>Metric  =  Name of entity [si]_x000D_
Main category of item that is the object of the transaction / contract  =  Financial guarantees given_x000D_
Related parties/Relationships  =  Intra-group_x000D_
Role in the contract  =  Obligor under guarantee</t>
        </r>
      </text>
    </comment>
    <comment ref="H7" authorId="0" shapeId="0">
      <text>
        <r>
          <rPr>
            <sz val="9"/>
            <color indexed="81"/>
            <rFont val="Tahoma"/>
            <family val="2"/>
          </rPr>
          <t>Metric  =  Entity code [si]_x000D_
Main category of item that is the object of the transaction / contract  =  Financial guarantees given_x000D_
Related parties/Relationships  =  Intra-group_x000D_
Role in the contract  =  Obligor under guarantee</t>
        </r>
      </text>
    </comment>
    <comment ref="I7" authorId="0" shapeId="0">
      <text>
        <r>
          <rPr>
            <sz val="9"/>
            <color indexed="81"/>
            <rFont val="Tahoma"/>
            <family val="2"/>
          </rPr>
          <t>Metric  =  Type of identifier [ei:AT:AT99]_x000D_
Main category of item that is the object of the transaction / contract  =  Financial guarantees given_x000D_
Related parties/Relationships  =  Intra-group_x000D_
Role in the contract  =  Obligor under guarantee</t>
        </r>
      </text>
    </comment>
    <comment ref="J7" authorId="0" shapeId="0">
      <text>
        <r>
          <rPr>
            <sz val="9"/>
            <color indexed="81"/>
            <rFont val="Tahoma"/>
            <family val="2"/>
          </rPr>
          <t>Metric  =  Entity is included in the resolution group of reporting entity [bi]_x000D_
Main category of item that is the object of the transaction / contract  =  Financial guarantees given_x000D_
Related parties/Relationships  =  Intra-group_x000D_
Role in the contract  =  Obligor under guarantee</t>
        </r>
      </text>
    </comment>
    <comment ref="K7" authorId="0" shapeId="0">
      <text>
        <r>
          <rPr>
            <sz val="9"/>
            <color indexed="81"/>
            <rFont val="Tahoma"/>
            <family val="2"/>
          </rPr>
          <t>Metric  =  Country the law of which governs the contract / master agreement [ei:GA:GA4]_x000D_
Base  =  Off balance sheet items_x000D_
Main category  =  Financial guarantees given_x000D_
Related parties/Relationships  =  Intra-group</t>
        </r>
      </text>
    </comment>
    <comment ref="L7" authorId="0" shapeId="0">
      <text>
        <r>
          <rPr>
            <sz val="9"/>
            <color indexed="81"/>
            <rFont val="Tahoma"/>
            <family val="2"/>
          </rPr>
          <t>Metric  =  Type of guarantee [ei:MC:MC73]_x000D_
Main category  =  Financial guarantees given_x000D_
Related parties/Relationships  =  Intra-group</t>
        </r>
      </text>
    </comment>
    <comment ref="M7" authorId="0" shapeId="0">
      <text>
        <r>
          <rPr>
            <sz val="9"/>
            <color indexed="81"/>
            <rFont val="Tahoma"/>
            <family val="2"/>
          </rPr>
          <t>Metric  =  Nominal amount [mi]_x000D_
Main category  =  Financial guarantees given_x000D_
Related parties/Relationships  =  Intra-group</t>
        </r>
      </text>
    </comment>
    <comment ref="N7" authorId="0" shapeId="0">
      <text>
        <r>
          <rPr>
            <sz val="9"/>
            <color indexed="81"/>
            <rFont val="Tahoma"/>
            <family val="2"/>
          </rPr>
          <t>Metric  =  Is collateralised [bi]_x000D_
Main category  =  Financial guarantees given_x000D_
Related parties/Relationships  =  Intra-group</t>
        </r>
      </text>
    </comment>
    <comment ref="O7" authorId="0" shapeId="0">
      <text>
        <r>
          <rPr>
            <sz val="9"/>
            <color indexed="81"/>
            <rFont val="Tahoma"/>
            <family val="2"/>
          </rPr>
          <t>Metric  =  Carrying amount [mi]_x000D_
Main category  =  Collateral posted_x000D_
Main category of item that is the object of the transaction / contract  =  Financial guarantees given</t>
        </r>
      </text>
    </comment>
    <comment ref="P7" authorId="0" shapeId="0">
      <text>
        <r>
          <rPr>
            <sz val="9"/>
            <color indexed="81"/>
            <rFont val="Tahoma"/>
            <family val="2"/>
          </rPr>
          <t>Metric  =  Type of event triggering the activation of the guarantee / financial support [ei:ZZ:ZZ31]_x000D_
Main category  =  Financial guarantees given_x000D_
Related parties/Relationships  =  Intra-group</t>
        </r>
      </text>
    </comment>
    <comment ref="C8" authorId="0" shapeId="0">
      <text>
        <r>
          <rPr>
            <sz val="9"/>
            <color indexed="81"/>
            <rFont val="Tahoma"/>
            <family val="2"/>
          </rPr>
          <t>Row ID (intragroup guarantees provided)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418079_x000D_
DataPointID 418079_x000D_
Metric  =  Ranking in insolvency [ei:ZZ:ZZ28]_x000D_
Base  =  Off balance sheet items_x000D_
Row ID (intragroup guarantees provided)  =  &lt;Key value&gt;_x000D_
Main category  =  Financial guarantees given_x000D_
Related parties/Relationships  =  Intra-group</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F8" authorId="0" shapeId="0">
      <text>
        <r>
          <rPr>
            <sz val="9"/>
            <color indexed="81"/>
            <rFont val="Tahoma"/>
            <family val="2"/>
          </rPr>
          <t>DataPointVID 418085_x000D_
DataPointID 418085_x000D_
Metric  =  Contract identifier [si]_x000D_
Base  =  Off balance sheet items_x000D_
Row ID (intragroup guarantees provided)  =  &lt;Key value&gt;_x000D_
Main category  =  Financial guarantees given_x000D_
Related parties/Relationships  =  Intra-group</t>
        </r>
      </text>
    </comment>
    <comment ref="G8" authorId="0" shapeId="0">
      <text>
        <r>
          <rPr>
            <sz val="9"/>
            <color indexed="81"/>
            <rFont val="Tahoma"/>
            <family val="2"/>
          </rPr>
          <t>DataPointVID 423759_x000D_
DataPointID 423759_x000D_
Metric  =  Name of entity [si]_x000D_
Row ID (intragroup guarantees provided)  =  &lt;Key value&gt;_x000D_
Main category of item that is the object of the transaction / contract  =  Financial guarantees given_x000D_
Role in the contract  =  Obligor under guarantee_x000D_
Related parties/Relationships  =  Intra-group</t>
        </r>
      </text>
    </comment>
    <comment ref="H8" authorId="0" shapeId="0">
      <text>
        <r>
          <rPr>
            <sz val="9"/>
            <color indexed="81"/>
            <rFont val="Tahoma"/>
            <family val="2"/>
          </rPr>
          <t>DataPointVID 424323_x000D_
DataPointID 410403_x000D_
Metric  =  Entity code [si]_x000D_
Row ID (intragroup guarantees provided)  =  &lt;Key value&gt;_x000D_
Main category of item that is the object of the transaction / contract  =  Financial guarantees given_x000D_
Role in the contract  =  Obligor under guarantee_x000D_
Related parties/Relationships  =  Intra-group</t>
        </r>
      </text>
    </comment>
    <comment ref="I8" authorId="0" shapeId="0">
      <text>
        <r>
          <rPr>
            <sz val="9"/>
            <color indexed="81"/>
            <rFont val="Tahoma"/>
            <family val="2"/>
          </rPr>
          <t>DataPointVID 428663_x000D_
DataPointID 428663_x000D_
Metric  =  Type of identifier [ei:AT:AT99]_x000D_
Row ID (intragroup guarantees provided)  =  &lt;Key value&gt;_x000D_
Main category of item that is the object of the transaction / contract  =  Financial guarantees given_x000D_
Role in the contract  =  Obligor under guarantee_x000D_
Related parties/Relationships  =  Intra-group</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J8" authorId="0" shapeId="0">
      <text>
        <r>
          <rPr>
            <sz val="9"/>
            <color indexed="81"/>
            <rFont val="Tahoma"/>
            <family val="2"/>
          </rPr>
          <t>DataPointVID 429085_x000D_
DataPointID 429085_x000D_
Metric  =  Entity is included in the resolution group of reporting entity [bi]_x000D_
Row ID (intragroup guarantees provided)  =  &lt;Key value&gt;_x000D_
Main category of item that is the object of the transaction / contract  =  Financial guarantees given_x000D_
Role in the contract  =  Obligor under guarantee_x000D_
Related parties/Relationships  =  Intra-group</t>
        </r>
      </text>
    </comment>
    <comment ref="K8" authorId="0" shapeId="0">
      <text>
        <r>
          <rPr>
            <sz val="9"/>
            <color indexed="81"/>
            <rFont val="Tahoma"/>
            <family val="2"/>
          </rPr>
          <t>DataPointVID 418092_x000D_
DataPointID 418092_x000D_
Metric  =  Country the law of which governs the contract / master agreement [ei:GA:GA4]_x000D_
Base  =  Off balance sheet items_x000D_
Row ID (intragroup guarantees provided)  =  &lt;Key value&gt;_x000D_
Main category  =  Financial guarantees given_x000D_
Related parties/Relationships  =  Intra-group</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L8" authorId="0" shapeId="0">
      <text>
        <r>
          <rPr>
            <sz val="9"/>
            <color indexed="81"/>
            <rFont val="Tahoma"/>
            <family val="2"/>
          </rPr>
          <t>DataPointVID 418131_x000D_
DataPointID 418131_x000D_
Metric  =  Type of guarantee [ei:MC:MC73]_x000D_
Row ID (intragroup guarantees provided)  =  &lt;Key value&gt;_x000D_
Main category  =  Financial guarantees given_x000D_
Related parties/Relationships  =  Intra-group</t>
        </r>
        <r>
          <rPr>
            <sz val="9"/>
            <color indexed="8"/>
            <rFont val="Tahoma"/>
            <family val="2"/>
          </rPr>
          <t>_x000D_
_x000D_
Value chosen from:_x000D_
(MC:x706) Issuance_x000D_
(MC:x707) Counterparty_x000D_
(MC:x708) Unlimited_x000D_
(MC:x709) Other types of guarantee than issuance guarantees, counterparty guarantees and unlimited guarantees_x000D_</t>
        </r>
        <r>
          <rPr>
            <sz val="9"/>
            <color indexed="81"/>
            <rFont val="Tahoma"/>
            <family val="2"/>
          </rPr>
          <t xml:space="preserve">
</t>
        </r>
      </text>
    </comment>
    <comment ref="M8" authorId="0" shapeId="0">
      <text>
        <r>
          <rPr>
            <sz val="9"/>
            <color indexed="81"/>
            <rFont val="Tahoma"/>
            <family val="2"/>
          </rPr>
          <t>DataPointVID 410396_x000D_
DataPointID 410396_x000D_
Metric  =  Nominal amount [mi]_x000D_
Row ID (intragroup guarantees provided)  =  &lt;Key value&gt;_x000D_
Main category  =  Financial guarantees given_x000D_
Related parties/Relationships  =  Intra-group</t>
        </r>
      </text>
    </comment>
    <comment ref="N8" authorId="0" shapeId="0">
      <text>
        <r>
          <rPr>
            <sz val="9"/>
            <color indexed="81"/>
            <rFont val="Tahoma"/>
            <family val="2"/>
          </rPr>
          <t>DataPointVID 418133_x000D_
DataPointID 418133_x000D_
Metric  =  Is collateralised [bi]_x000D_
Row ID (intragroup guarantees provided)  =  &lt;Key value&gt;_x000D_
Main category  =  Financial guarantees given_x000D_
Related parties/Relationships  =  Intra-group</t>
        </r>
      </text>
    </comment>
    <comment ref="O8" authorId="0" shapeId="0">
      <text>
        <r>
          <rPr>
            <sz val="9"/>
            <color indexed="81"/>
            <rFont val="Tahoma"/>
            <family val="2"/>
          </rPr>
          <t>DataPointVID 410143_x000D_
DataPointID 410143_x000D_
Metric  =  Carrying amount [mi]_x000D_
Row ID (intragroup guarantees provided)  =  &lt;Key value&gt;_x000D_
Main category of item that is the object of the transaction / contract  =  Financial guarantees given_x000D_
Main category  =  Collateral posted</t>
        </r>
      </text>
    </comment>
    <comment ref="P8" authorId="0" shapeId="0">
      <text>
        <r>
          <rPr>
            <sz val="9"/>
            <color indexed="81"/>
            <rFont val="Tahoma"/>
            <family val="2"/>
          </rPr>
          <t>DataPointVID 418135_x000D_
DataPointID 418135_x000D_
Metric  =  Type of event triggering the activation of the guarantee / financial support [ei:ZZ:ZZ31]_x000D_
Row ID (intragroup guarantees provided)  =  &lt;Key value&gt;_x000D_
Main category  =  Financial guarantees given_x000D_
Related parties/Relationships  =  Intra-group</t>
        </r>
        <r>
          <rPr>
            <sz val="9"/>
            <color indexed="8"/>
            <rFont val="Tahoma"/>
            <family val="2"/>
          </rPr>
          <t>_x000D_
_x000D_
Value chosen from:_x000D_
(ZZ:x287) Default_x000D_
(ZZ:x288) Solvency-related_x000D_
(ZZ:x289) Liquidity-related_x000D_
(ZZ:x290) Other than default, solvency-related or liquidity-related_x000D_</t>
        </r>
        <r>
          <rPr>
            <sz val="9"/>
            <color indexed="81"/>
            <rFont val="Tahoma"/>
            <family val="2"/>
          </rPr>
          <t xml:space="preserve">
</t>
        </r>
      </text>
    </comment>
    <comment ref="C9" authorId="0" shapeId="0">
      <text>
        <r>
          <rPr>
            <sz val="9"/>
            <color indexed="81"/>
            <rFont val="Tahoma"/>
            <family val="2"/>
          </rPr>
          <t>Row ID (intragroup guarantees provided)  =  &lt;Key value&gt;</t>
        </r>
      </text>
    </comment>
    <comment ref="C10" authorId="0" shapeId="0">
      <text>
        <r>
          <rPr>
            <sz val="9"/>
            <color indexed="81"/>
            <rFont val="Tahoma"/>
            <family val="2"/>
          </rPr>
          <t>Row ID (intragroup guarantees provided)  =  &lt;Key value&gt;</t>
        </r>
      </text>
    </comment>
    <comment ref="C11" authorId="0" shapeId="0">
      <text>
        <r>
          <rPr>
            <sz val="9"/>
            <color indexed="81"/>
            <rFont val="Tahoma"/>
            <family val="2"/>
          </rPr>
          <t>Row ID (intragroup guarantees provided)  =  &lt;Key value&gt;</t>
        </r>
      </text>
    </comment>
    <comment ref="C12" authorId="0" shapeId="0">
      <text>
        <r>
          <rPr>
            <sz val="9"/>
            <color indexed="81"/>
            <rFont val="Tahoma"/>
            <family val="2"/>
          </rPr>
          <t>Row ID (intragroup guarantees provided)  =  &lt;Key value&gt;</t>
        </r>
      </text>
    </comment>
    <comment ref="C13" authorId="0" shapeId="0">
      <text>
        <r>
          <rPr>
            <sz val="9"/>
            <color indexed="81"/>
            <rFont val="Tahoma"/>
            <family val="2"/>
          </rPr>
          <t>Row ID (intragroup guarantees provided)  =  &lt;Key value&gt;</t>
        </r>
      </text>
    </comment>
    <comment ref="C14" authorId="0" shapeId="0">
      <text>
        <r>
          <rPr>
            <sz val="9"/>
            <color indexed="81"/>
            <rFont val="Tahoma"/>
            <family val="2"/>
          </rPr>
          <t>Row ID (intragroup guarantees provided)  =  &lt;Key value&gt;</t>
        </r>
      </text>
    </comment>
    <comment ref="C15" authorId="0" shapeId="0">
      <text>
        <r>
          <rPr>
            <sz val="9"/>
            <color indexed="81"/>
            <rFont val="Tahoma"/>
            <family val="2"/>
          </rPr>
          <t>Row ID (intragroup guarantees provided)  =  &lt;Key value&gt;</t>
        </r>
      </text>
    </comment>
    <comment ref="C16" authorId="0" shapeId="0">
      <text>
        <r>
          <rPr>
            <sz val="9"/>
            <color indexed="81"/>
            <rFont val="Tahoma"/>
            <family val="2"/>
          </rPr>
          <t>Row ID (intragroup guarantees provided)  =  &lt;Key value&gt;</t>
        </r>
      </text>
    </comment>
    <comment ref="C17" authorId="0" shapeId="0">
      <text>
        <r>
          <rPr>
            <sz val="9"/>
            <color indexed="81"/>
            <rFont val="Tahoma"/>
            <family val="2"/>
          </rPr>
          <t>Row ID (intragroup guarantees provided)  =  &lt;Key value&gt;</t>
        </r>
      </text>
    </comment>
    <comment ref="C18" authorId="0" shapeId="0">
      <text>
        <r>
          <rPr>
            <sz val="9"/>
            <color indexed="81"/>
            <rFont val="Tahoma"/>
            <family val="2"/>
          </rPr>
          <t>Row ID (intragroup guarantees provided)  =  &lt;Key value&gt;</t>
        </r>
      </text>
    </comment>
    <comment ref="C19" authorId="0" shapeId="0">
      <text>
        <r>
          <rPr>
            <sz val="9"/>
            <color indexed="81"/>
            <rFont val="Tahoma"/>
            <family val="2"/>
          </rPr>
          <t>Row ID (intragroup guarantees provided)  =  &lt;Key value&gt;</t>
        </r>
      </text>
    </comment>
    <comment ref="C20" authorId="0" shapeId="0">
      <text>
        <r>
          <rPr>
            <sz val="9"/>
            <color indexed="81"/>
            <rFont val="Tahoma"/>
            <family val="2"/>
          </rPr>
          <t>Row ID (intragroup guarantees provided)  =  &lt;Key value&gt;</t>
        </r>
      </text>
    </comment>
    <comment ref="C21" authorId="0" shapeId="0">
      <text>
        <r>
          <rPr>
            <sz val="9"/>
            <color indexed="81"/>
            <rFont val="Tahoma"/>
            <family val="2"/>
          </rPr>
          <t>Row ID (intragroup guarantees provided)  =  &lt;Key value&gt;</t>
        </r>
      </text>
    </comment>
    <comment ref="C22" authorId="0" shapeId="0">
      <text>
        <r>
          <rPr>
            <sz val="9"/>
            <color indexed="81"/>
            <rFont val="Tahoma"/>
            <family val="2"/>
          </rPr>
          <t>Row ID (intragroup guarantees provided)  =  &lt;Key value&gt;</t>
        </r>
      </text>
    </comment>
    <comment ref="C23" authorId="0" shapeId="0">
      <text>
        <r>
          <rPr>
            <sz val="9"/>
            <color indexed="81"/>
            <rFont val="Tahoma"/>
            <family val="2"/>
          </rPr>
          <t>Row ID (intragroup guarantees provided)  =  &lt;Key value&gt;</t>
        </r>
      </text>
    </comment>
    <comment ref="C24" authorId="0" shapeId="0">
      <text>
        <r>
          <rPr>
            <sz val="9"/>
            <color indexed="81"/>
            <rFont val="Tahoma"/>
            <family val="2"/>
          </rPr>
          <t>Row ID (intragroup guarantees provided)  =  &lt;Key value&gt;</t>
        </r>
      </text>
    </comment>
    <comment ref="C25" authorId="0" shapeId="0">
      <text>
        <r>
          <rPr>
            <sz val="9"/>
            <color indexed="81"/>
            <rFont val="Tahoma"/>
            <family val="2"/>
          </rPr>
          <t>Row ID (intragroup guarantees provided)  =  &lt;Key value&gt;</t>
        </r>
      </text>
    </comment>
    <comment ref="C26" authorId="0" shapeId="0">
      <text>
        <r>
          <rPr>
            <sz val="9"/>
            <color indexed="81"/>
            <rFont val="Tahoma"/>
            <family val="2"/>
          </rPr>
          <t>Row ID (intragroup guarantees provided)  =  &lt;Key value&gt;</t>
        </r>
      </text>
    </comment>
    <comment ref="C27" authorId="0" shapeId="0">
      <text>
        <r>
          <rPr>
            <sz val="9"/>
            <color indexed="81"/>
            <rFont val="Tahoma"/>
            <family val="2"/>
          </rPr>
          <t>Row ID (intragroup guarantees provided)  =  &lt;Key value&gt;</t>
        </r>
      </text>
    </comment>
    <comment ref="C28" authorId="0" shapeId="0">
      <text>
        <r>
          <rPr>
            <sz val="9"/>
            <color indexed="81"/>
            <rFont val="Tahoma"/>
            <family val="2"/>
          </rPr>
          <t>Row ID (intragroup guarantees provided)  =  &lt;Key value&gt;</t>
        </r>
      </text>
    </comment>
    <comment ref="C29" authorId="0" shapeId="0">
      <text>
        <r>
          <rPr>
            <sz val="9"/>
            <color indexed="81"/>
            <rFont val="Tahoma"/>
            <family val="2"/>
          </rPr>
          <t>Row ID (intragroup guarantees provided)  =  &lt;Key value&gt;</t>
        </r>
      </text>
    </comment>
    <comment ref="C30" authorId="0" shapeId="0">
      <text>
        <r>
          <rPr>
            <sz val="9"/>
            <color indexed="81"/>
            <rFont val="Tahoma"/>
            <family val="2"/>
          </rPr>
          <t>Row ID (intragroup guarantees provided)  =  &lt;Key value&gt;</t>
        </r>
      </text>
    </comment>
    <comment ref="C31" authorId="0" shapeId="0">
      <text>
        <r>
          <rPr>
            <sz val="9"/>
            <color indexed="81"/>
            <rFont val="Tahoma"/>
            <family val="2"/>
          </rPr>
          <t>Row ID (intragroup guarantees provided)  =  &lt;Key value&gt;</t>
        </r>
      </text>
    </comment>
    <comment ref="C32" authorId="0" shapeId="0">
      <text>
        <r>
          <rPr>
            <sz val="9"/>
            <color indexed="81"/>
            <rFont val="Tahoma"/>
            <family val="2"/>
          </rPr>
          <t>Row ID (intragroup guarantees provided)  =  &lt;Key value&gt;</t>
        </r>
      </text>
    </comment>
    <comment ref="C33" authorId="0" shapeId="0">
      <text>
        <r>
          <rPr>
            <sz val="9"/>
            <color indexed="81"/>
            <rFont val="Tahoma"/>
            <family val="2"/>
          </rPr>
          <t>Row ID (intragroup guarantees provided)  =  &lt;Key value&gt;</t>
        </r>
      </text>
    </comment>
    <comment ref="C34" authorId="0" shapeId="0">
      <text>
        <r>
          <rPr>
            <sz val="9"/>
            <color indexed="81"/>
            <rFont val="Tahoma"/>
            <family val="2"/>
          </rPr>
          <t>Row ID (intragroup guarantees provided)  =  &lt;Key value&gt;</t>
        </r>
      </text>
    </comment>
    <comment ref="C35" authorId="0" shapeId="0">
      <text>
        <r>
          <rPr>
            <sz val="9"/>
            <color indexed="81"/>
            <rFont val="Tahoma"/>
            <family val="2"/>
          </rPr>
          <t>Row ID (intragroup guarantees provided)  =  &lt;Key value&gt;</t>
        </r>
      </text>
    </comment>
    <comment ref="C36" authorId="0" shapeId="0">
      <text>
        <r>
          <rPr>
            <sz val="9"/>
            <color indexed="81"/>
            <rFont val="Tahoma"/>
            <family val="2"/>
          </rPr>
          <t>Row ID (intragroup guarantees provided)  =  &lt;Key value&gt;</t>
        </r>
      </text>
    </comment>
    <comment ref="C37" authorId="0" shapeId="0">
      <text>
        <r>
          <rPr>
            <sz val="9"/>
            <color indexed="81"/>
            <rFont val="Tahoma"/>
            <family val="2"/>
          </rPr>
          <t>Row ID (intragroup guarantees provided)  =  &lt;Key value&gt;</t>
        </r>
      </text>
    </comment>
    <comment ref="C38" authorId="0" shapeId="0">
      <text>
        <r>
          <rPr>
            <sz val="9"/>
            <color indexed="81"/>
            <rFont val="Tahoma"/>
            <family val="2"/>
          </rPr>
          <t>Row ID (intragroup guarantees provided)  =  &lt;Key value&gt;</t>
        </r>
      </text>
    </comment>
    <comment ref="C39" authorId="0" shapeId="0">
      <text>
        <r>
          <rPr>
            <sz val="9"/>
            <color indexed="81"/>
            <rFont val="Tahoma"/>
            <family val="2"/>
          </rPr>
          <t>Row ID (intragroup guarantees provided)  =  &lt;Key value&gt;</t>
        </r>
      </text>
    </comment>
    <comment ref="C40" authorId="0" shapeId="0">
      <text>
        <r>
          <rPr>
            <sz val="9"/>
            <color indexed="81"/>
            <rFont val="Tahoma"/>
            <family val="2"/>
          </rPr>
          <t>Row ID (intragroup guarantees provided)  =  &lt;Key value&gt;</t>
        </r>
      </text>
    </comment>
    <comment ref="C41" authorId="0" shapeId="0">
      <text>
        <r>
          <rPr>
            <sz val="9"/>
            <color indexed="81"/>
            <rFont val="Tahoma"/>
            <family val="2"/>
          </rPr>
          <t>Row ID (intragroup guarantees provided)  =  &lt;Key value&gt;</t>
        </r>
      </text>
    </comment>
    <comment ref="C42" authorId="0" shapeId="0">
      <text>
        <r>
          <rPr>
            <sz val="9"/>
            <color indexed="81"/>
            <rFont val="Tahoma"/>
            <family val="2"/>
          </rPr>
          <t>Row ID (intragroup guarantees provided)  =  &lt;Key value&gt;</t>
        </r>
      </text>
    </comment>
    <comment ref="C43" authorId="0" shapeId="0">
      <text>
        <r>
          <rPr>
            <sz val="9"/>
            <color indexed="81"/>
            <rFont val="Tahoma"/>
            <family val="2"/>
          </rPr>
          <t>Row ID (intragroup guarantees provided)  =  &lt;Key value&gt;</t>
        </r>
      </text>
    </comment>
    <comment ref="C44" authorId="0" shapeId="0">
      <text>
        <r>
          <rPr>
            <sz val="9"/>
            <color indexed="81"/>
            <rFont val="Tahoma"/>
            <family val="2"/>
          </rPr>
          <t>Row ID (intragroup guarantees provided)  =  &lt;Key value&gt;</t>
        </r>
      </text>
    </comment>
    <comment ref="C45" authorId="0" shapeId="0">
      <text>
        <r>
          <rPr>
            <sz val="9"/>
            <color indexed="81"/>
            <rFont val="Tahoma"/>
            <family val="2"/>
          </rPr>
          <t>Row ID (intragroup guarantees provided)  =  &lt;Key value&gt;</t>
        </r>
      </text>
    </comment>
    <comment ref="C46" authorId="0" shapeId="0">
      <text>
        <r>
          <rPr>
            <sz val="9"/>
            <color indexed="81"/>
            <rFont val="Tahoma"/>
            <family val="2"/>
          </rPr>
          <t>Row ID (intragroup guarantees provided)  =  &lt;Key value&gt;</t>
        </r>
      </text>
    </comment>
    <comment ref="C47" authorId="0" shapeId="0">
      <text>
        <r>
          <rPr>
            <sz val="9"/>
            <color indexed="81"/>
            <rFont val="Tahoma"/>
            <family val="2"/>
          </rPr>
          <t>Row ID (intragroup guarantees provided)  =  &lt;Key value&gt;</t>
        </r>
      </text>
    </comment>
    <comment ref="C48" authorId="0" shapeId="0">
      <text>
        <r>
          <rPr>
            <sz val="9"/>
            <color indexed="81"/>
            <rFont val="Tahoma"/>
            <family val="2"/>
          </rPr>
          <t>Row ID (intragroup guarantees provided)  =  &lt;Key value&gt;</t>
        </r>
      </text>
    </comment>
    <comment ref="C49" authorId="0" shapeId="0">
      <text>
        <r>
          <rPr>
            <sz val="9"/>
            <color indexed="81"/>
            <rFont val="Tahoma"/>
            <family val="2"/>
          </rPr>
          <t>Row ID (intragroup guarantees provided)  =  &lt;Key value&gt;</t>
        </r>
      </text>
    </comment>
    <comment ref="C50" authorId="0" shapeId="0">
      <text>
        <r>
          <rPr>
            <sz val="9"/>
            <color indexed="81"/>
            <rFont val="Tahoma"/>
            <family val="2"/>
          </rPr>
          <t>Row ID (intragroup guarantees provided)  =  &lt;Key value&gt;</t>
        </r>
      </text>
    </comment>
    <comment ref="C51" authorId="0" shapeId="0">
      <text>
        <r>
          <rPr>
            <sz val="9"/>
            <color indexed="81"/>
            <rFont val="Tahoma"/>
            <family val="2"/>
          </rPr>
          <t>Row ID (intragroup guarantees provided)  =  &lt;Key value&gt;</t>
        </r>
      </text>
    </comment>
    <comment ref="C52" authorId="0" shapeId="0">
      <text>
        <r>
          <rPr>
            <sz val="9"/>
            <color indexed="81"/>
            <rFont val="Tahoma"/>
            <family val="2"/>
          </rPr>
          <t>Row ID (intragroup guarantees provided)  =  &lt;Key value&gt;</t>
        </r>
      </text>
    </comment>
    <comment ref="C53" authorId="0" shapeId="0">
      <text>
        <r>
          <rPr>
            <sz val="9"/>
            <color indexed="81"/>
            <rFont val="Tahoma"/>
            <family val="2"/>
          </rPr>
          <t>Row ID (intragroup guarantees provided)  =  &lt;Key value&gt;</t>
        </r>
      </text>
    </comment>
    <comment ref="C54" authorId="0" shapeId="0">
      <text>
        <r>
          <rPr>
            <sz val="9"/>
            <color indexed="81"/>
            <rFont val="Tahoma"/>
            <family val="2"/>
          </rPr>
          <t>Row ID (intragroup guarantees provided)  =  &lt;Key value&gt;</t>
        </r>
      </text>
    </comment>
    <comment ref="C55" authorId="0" shapeId="0">
      <text>
        <r>
          <rPr>
            <sz val="9"/>
            <color indexed="81"/>
            <rFont val="Tahoma"/>
            <family val="2"/>
          </rPr>
          <t>Row ID (intragroup guarantees provided)  =  &lt;Key value&gt;</t>
        </r>
      </text>
    </comment>
    <comment ref="C56" authorId="0" shapeId="0">
      <text>
        <r>
          <rPr>
            <sz val="9"/>
            <color indexed="81"/>
            <rFont val="Tahoma"/>
            <family val="2"/>
          </rPr>
          <t>Row ID (intragroup guarantees provided)  =  &lt;Key value&gt;</t>
        </r>
      </text>
    </comment>
    <comment ref="C57" authorId="0" shapeId="0">
      <text>
        <r>
          <rPr>
            <sz val="9"/>
            <color indexed="81"/>
            <rFont val="Tahoma"/>
            <family val="2"/>
          </rPr>
          <t>Row ID (intragroup guarantees provided)  =  &lt;Key value&gt;</t>
        </r>
      </text>
    </comment>
    <comment ref="C58" authorId="0" shapeId="0">
      <text>
        <r>
          <rPr>
            <sz val="9"/>
            <color indexed="81"/>
            <rFont val="Tahoma"/>
            <family val="2"/>
          </rPr>
          <t>Row ID (intragroup guarantees provided)  =  &lt;Key value&gt;</t>
        </r>
      </text>
    </comment>
    <comment ref="C59" authorId="0" shapeId="0">
      <text>
        <r>
          <rPr>
            <sz val="9"/>
            <color indexed="81"/>
            <rFont val="Tahoma"/>
            <family val="2"/>
          </rPr>
          <t>Row ID (intragroup guarantees provided)  =  &lt;Key value&gt;</t>
        </r>
      </text>
    </comment>
    <comment ref="C60" authorId="0" shapeId="0">
      <text>
        <r>
          <rPr>
            <sz val="9"/>
            <color indexed="81"/>
            <rFont val="Tahoma"/>
            <family val="2"/>
          </rPr>
          <t>Row ID (intragroup guarantees provided)  =  &lt;Key value&gt;</t>
        </r>
      </text>
    </comment>
    <comment ref="C61" authorId="0" shapeId="0">
      <text>
        <r>
          <rPr>
            <sz val="9"/>
            <color indexed="81"/>
            <rFont val="Tahoma"/>
            <family val="2"/>
          </rPr>
          <t>Row ID (intragroup guarantees provided)  =  &lt;Key value&gt;</t>
        </r>
      </text>
    </comment>
    <comment ref="C62" authorId="0" shapeId="0">
      <text>
        <r>
          <rPr>
            <sz val="9"/>
            <color indexed="81"/>
            <rFont val="Tahoma"/>
            <family val="2"/>
          </rPr>
          <t>Row ID (intragroup guarantees provided)  =  &lt;Key value&gt;</t>
        </r>
      </text>
    </comment>
    <comment ref="C63" authorId="0" shapeId="0">
      <text>
        <r>
          <rPr>
            <sz val="9"/>
            <color indexed="81"/>
            <rFont val="Tahoma"/>
            <family val="2"/>
          </rPr>
          <t>Row ID (intragroup guarantees provided)  =  &lt;Key value&gt;</t>
        </r>
      </text>
    </comment>
    <comment ref="C64" authorId="0" shapeId="0">
      <text>
        <r>
          <rPr>
            <sz val="9"/>
            <color indexed="81"/>
            <rFont val="Tahoma"/>
            <family val="2"/>
          </rPr>
          <t>Row ID (intragroup guarantees provided)  =  &lt;Key value&gt;</t>
        </r>
      </text>
    </comment>
    <comment ref="C65" authorId="0" shapeId="0">
      <text>
        <r>
          <rPr>
            <sz val="9"/>
            <color indexed="81"/>
            <rFont val="Tahoma"/>
            <family val="2"/>
          </rPr>
          <t>Row ID (intragroup guarantees provided)  =  &lt;Key value&gt;</t>
        </r>
      </text>
    </comment>
    <comment ref="C66" authorId="0" shapeId="0">
      <text>
        <r>
          <rPr>
            <sz val="9"/>
            <color indexed="81"/>
            <rFont val="Tahoma"/>
            <family val="2"/>
          </rPr>
          <t>Row ID (intragroup guarantees provided)  =  &lt;Key value&gt;</t>
        </r>
      </text>
    </comment>
    <comment ref="C67" authorId="0" shapeId="0">
      <text>
        <r>
          <rPr>
            <sz val="9"/>
            <color indexed="81"/>
            <rFont val="Tahoma"/>
            <family val="2"/>
          </rPr>
          <t>Row ID (intragroup guarantees provided)  =  &lt;Key value&gt;</t>
        </r>
      </text>
    </comment>
    <comment ref="C68" authorId="0" shapeId="0">
      <text>
        <r>
          <rPr>
            <sz val="9"/>
            <color indexed="81"/>
            <rFont val="Tahoma"/>
            <family val="2"/>
          </rPr>
          <t>Row ID (intragroup guarantees provided)  =  &lt;Key value&gt;</t>
        </r>
      </text>
    </comment>
    <comment ref="C69" authorId="0" shapeId="0">
      <text>
        <r>
          <rPr>
            <sz val="9"/>
            <color indexed="81"/>
            <rFont val="Tahoma"/>
            <family val="2"/>
          </rPr>
          <t>Row ID (intragroup guarantees provided)  =  &lt;Key value&gt;</t>
        </r>
      </text>
    </comment>
    <comment ref="C70" authorId="0" shapeId="0">
      <text>
        <r>
          <rPr>
            <sz val="9"/>
            <color indexed="81"/>
            <rFont val="Tahoma"/>
            <family val="2"/>
          </rPr>
          <t>Row ID (intragroup guarantees provided)  =  &lt;Key value&gt;</t>
        </r>
      </text>
    </comment>
    <comment ref="C71" authorId="0" shapeId="0">
      <text>
        <r>
          <rPr>
            <sz val="9"/>
            <color indexed="81"/>
            <rFont val="Tahoma"/>
            <family val="2"/>
          </rPr>
          <t>Row ID (intragroup guarantees provided)  =  &lt;Key value&gt;</t>
        </r>
      </text>
    </comment>
    <comment ref="C72" authorId="0" shapeId="0">
      <text>
        <r>
          <rPr>
            <sz val="9"/>
            <color indexed="81"/>
            <rFont val="Tahoma"/>
            <family val="2"/>
          </rPr>
          <t>Row ID (intragroup guarantees provided)  =  &lt;Key value&gt;</t>
        </r>
      </text>
    </comment>
    <comment ref="C73" authorId="0" shapeId="0">
      <text>
        <r>
          <rPr>
            <sz val="9"/>
            <color indexed="81"/>
            <rFont val="Tahoma"/>
            <family val="2"/>
          </rPr>
          <t>Row ID (intragroup guarantees provided)  =  &lt;Key value&gt;</t>
        </r>
      </text>
    </comment>
    <comment ref="C74" authorId="0" shapeId="0">
      <text>
        <r>
          <rPr>
            <sz val="9"/>
            <color indexed="81"/>
            <rFont val="Tahoma"/>
            <family val="2"/>
          </rPr>
          <t>Row ID (intragroup guarantees provided)  =  &lt;Key value&gt;</t>
        </r>
      </text>
    </comment>
    <comment ref="C75" authorId="0" shapeId="0">
      <text>
        <r>
          <rPr>
            <sz val="9"/>
            <color indexed="81"/>
            <rFont val="Tahoma"/>
            <family val="2"/>
          </rPr>
          <t>Row ID (intragroup guarantees provided)  =  &lt;Key value&gt;</t>
        </r>
      </text>
    </comment>
    <comment ref="C76" authorId="0" shapeId="0">
      <text>
        <r>
          <rPr>
            <sz val="9"/>
            <color indexed="81"/>
            <rFont val="Tahoma"/>
            <family val="2"/>
          </rPr>
          <t>Row ID (intragroup guarantees provided)  =  &lt;Key value&gt;</t>
        </r>
      </text>
    </comment>
    <comment ref="C77" authorId="0" shapeId="0">
      <text>
        <r>
          <rPr>
            <sz val="9"/>
            <color indexed="81"/>
            <rFont val="Tahoma"/>
            <family val="2"/>
          </rPr>
          <t>Row ID (intragroup guarantees provided)  =  &lt;Key value&gt;</t>
        </r>
      </text>
    </comment>
    <comment ref="C78" authorId="0" shapeId="0">
      <text>
        <r>
          <rPr>
            <sz val="9"/>
            <color indexed="81"/>
            <rFont val="Tahoma"/>
            <family val="2"/>
          </rPr>
          <t>Row ID (intragroup guarantees provided)  =  &lt;Key value&gt;</t>
        </r>
      </text>
    </comment>
    <comment ref="C79" authorId="0" shapeId="0">
      <text>
        <r>
          <rPr>
            <sz val="9"/>
            <color indexed="81"/>
            <rFont val="Tahoma"/>
            <family val="2"/>
          </rPr>
          <t>Row ID (intragroup guarantees provided)  =  &lt;Key value&gt;</t>
        </r>
      </text>
    </comment>
    <comment ref="C80" authorId="0" shapeId="0">
      <text>
        <r>
          <rPr>
            <sz val="9"/>
            <color indexed="81"/>
            <rFont val="Tahoma"/>
            <family val="2"/>
          </rPr>
          <t>Row ID (intragroup guarantees provided)  =  &lt;Key value&gt;</t>
        </r>
      </text>
    </comment>
    <comment ref="C81" authorId="0" shapeId="0">
      <text>
        <r>
          <rPr>
            <sz val="9"/>
            <color indexed="81"/>
            <rFont val="Tahoma"/>
            <family val="2"/>
          </rPr>
          <t>Row ID (intragroup guarantees provided)  =  &lt;Key value&gt;</t>
        </r>
      </text>
    </comment>
    <comment ref="C82" authorId="0" shapeId="0">
      <text>
        <r>
          <rPr>
            <sz val="9"/>
            <color indexed="81"/>
            <rFont val="Tahoma"/>
            <family val="2"/>
          </rPr>
          <t>Row ID (intragroup guarantees provided)  =  &lt;Key value&gt;</t>
        </r>
      </text>
    </comment>
    <comment ref="C83" authorId="0" shapeId="0">
      <text>
        <r>
          <rPr>
            <sz val="9"/>
            <color indexed="81"/>
            <rFont val="Tahoma"/>
            <family val="2"/>
          </rPr>
          <t>Row ID (intragroup guarantees provided)  =  &lt;Key value&gt;</t>
        </r>
      </text>
    </comment>
    <comment ref="C84" authorId="0" shapeId="0">
      <text>
        <r>
          <rPr>
            <sz val="9"/>
            <color indexed="81"/>
            <rFont val="Tahoma"/>
            <family val="2"/>
          </rPr>
          <t>Row ID (intragroup guarantees provided)  =  &lt;Key value&gt;</t>
        </r>
      </text>
    </comment>
    <comment ref="C85" authorId="0" shapeId="0">
      <text>
        <r>
          <rPr>
            <sz val="9"/>
            <color indexed="81"/>
            <rFont val="Tahoma"/>
            <family val="2"/>
          </rPr>
          <t>Row ID (intragroup guarantees provided)  =  &lt;Key value&gt;</t>
        </r>
      </text>
    </comment>
    <comment ref="C86" authorId="0" shapeId="0">
      <text>
        <r>
          <rPr>
            <sz val="9"/>
            <color indexed="81"/>
            <rFont val="Tahoma"/>
            <family val="2"/>
          </rPr>
          <t>Row ID (intragroup guarantees provided)  =  &lt;Key value&gt;</t>
        </r>
      </text>
    </comment>
    <comment ref="C87" authorId="0" shapeId="0">
      <text>
        <r>
          <rPr>
            <sz val="9"/>
            <color indexed="81"/>
            <rFont val="Tahoma"/>
            <family val="2"/>
          </rPr>
          <t>Row ID (intragroup guarantees provided)  =  &lt;Key value&gt;</t>
        </r>
      </text>
    </comment>
    <comment ref="C88" authorId="0" shapeId="0">
      <text>
        <r>
          <rPr>
            <sz val="9"/>
            <color indexed="81"/>
            <rFont val="Tahoma"/>
            <family val="2"/>
          </rPr>
          <t>Row ID (intragroup guarantees provided)  =  &lt;Key value&gt;</t>
        </r>
      </text>
    </comment>
    <comment ref="C89" authorId="0" shapeId="0">
      <text>
        <r>
          <rPr>
            <sz val="9"/>
            <color indexed="81"/>
            <rFont val="Tahoma"/>
            <family val="2"/>
          </rPr>
          <t>Row ID (intragroup guarantees provided)  =  &lt;Key value&gt;</t>
        </r>
      </text>
    </comment>
    <comment ref="C90" authorId="0" shapeId="0">
      <text>
        <r>
          <rPr>
            <sz val="9"/>
            <color indexed="81"/>
            <rFont val="Tahoma"/>
            <family val="2"/>
          </rPr>
          <t>Row ID (intragroup guarantees provided)  =  &lt;Key value&gt;</t>
        </r>
      </text>
    </comment>
    <comment ref="C91" authorId="0" shapeId="0">
      <text>
        <r>
          <rPr>
            <sz val="9"/>
            <color indexed="81"/>
            <rFont val="Tahoma"/>
            <family val="2"/>
          </rPr>
          <t>Row ID (intragroup guarantees provided)  =  &lt;Key value&gt;</t>
        </r>
      </text>
    </comment>
    <comment ref="C92" authorId="0" shapeId="0">
      <text>
        <r>
          <rPr>
            <sz val="9"/>
            <color indexed="81"/>
            <rFont val="Tahoma"/>
            <family val="2"/>
          </rPr>
          <t>Row ID (intragroup guarantees provided)  =  &lt;Key value&gt;</t>
        </r>
      </text>
    </comment>
    <comment ref="C93" authorId="0" shapeId="0">
      <text>
        <r>
          <rPr>
            <sz val="9"/>
            <color indexed="81"/>
            <rFont val="Tahoma"/>
            <family val="2"/>
          </rPr>
          <t>Row ID (intragroup guarantees provided)  =  &lt;Key value&gt;</t>
        </r>
      </text>
    </comment>
    <comment ref="C94" authorId="0" shapeId="0">
      <text>
        <r>
          <rPr>
            <sz val="9"/>
            <color indexed="81"/>
            <rFont val="Tahoma"/>
            <family val="2"/>
          </rPr>
          <t>Row ID (intragroup guarantees provided)  =  &lt;Key value&gt;</t>
        </r>
      </text>
    </comment>
    <comment ref="C95" authorId="0" shapeId="0">
      <text>
        <r>
          <rPr>
            <sz val="9"/>
            <color indexed="81"/>
            <rFont val="Tahoma"/>
            <family val="2"/>
          </rPr>
          <t>Row ID (intragroup guarantees provided)  =  &lt;Key value&gt;</t>
        </r>
      </text>
    </comment>
    <comment ref="C96" authorId="0" shapeId="0">
      <text>
        <r>
          <rPr>
            <sz val="9"/>
            <color indexed="81"/>
            <rFont val="Tahoma"/>
            <family val="2"/>
          </rPr>
          <t>Row ID (intragroup guarantees provided)  =  &lt;Key value&gt;</t>
        </r>
      </text>
    </comment>
    <comment ref="C97" authorId="0" shapeId="0">
      <text>
        <r>
          <rPr>
            <sz val="9"/>
            <color indexed="81"/>
            <rFont val="Tahoma"/>
            <family val="2"/>
          </rPr>
          <t>Row ID (intragroup guarantees provided)  =  &lt;Key value&gt;</t>
        </r>
      </text>
    </comment>
    <comment ref="C98" authorId="0" shapeId="0">
      <text>
        <r>
          <rPr>
            <sz val="9"/>
            <color indexed="81"/>
            <rFont val="Tahoma"/>
            <family val="2"/>
          </rPr>
          <t>Row ID (intragroup guarantees provided)  =  &lt;Key value&gt;</t>
        </r>
      </text>
    </comment>
    <comment ref="C99" authorId="0" shapeId="0">
      <text>
        <r>
          <rPr>
            <sz val="9"/>
            <color indexed="81"/>
            <rFont val="Tahoma"/>
            <family val="2"/>
          </rPr>
          <t>Row ID (intragroup guarantees provided)  =  &lt;Key value&gt;</t>
        </r>
      </text>
    </comment>
    <comment ref="C100" authorId="0" shapeId="0">
      <text>
        <r>
          <rPr>
            <sz val="9"/>
            <color indexed="81"/>
            <rFont val="Tahoma"/>
            <family val="2"/>
          </rPr>
          <t>Row ID (intragroup guarantees provided)  =  &lt;Key value&gt;</t>
        </r>
      </text>
    </comment>
    <comment ref="C101" authorId="0" shapeId="0">
      <text>
        <r>
          <rPr>
            <sz val="9"/>
            <color indexed="81"/>
            <rFont val="Tahoma"/>
            <family val="2"/>
          </rPr>
          <t>Row ID (intragroup guarantees provided)  =  &lt;Key value&gt;</t>
        </r>
      </text>
    </comment>
    <comment ref="C102" authorId="0" shapeId="0">
      <text>
        <r>
          <rPr>
            <sz val="9"/>
            <color indexed="81"/>
            <rFont val="Tahoma"/>
            <family val="2"/>
          </rPr>
          <t>Row ID (intragroup guarantees provided)  =  &lt;Key value&gt;</t>
        </r>
      </text>
    </comment>
    <comment ref="C103" authorId="0" shapeId="0">
      <text>
        <r>
          <rPr>
            <sz val="9"/>
            <color indexed="81"/>
            <rFont val="Tahoma"/>
            <family val="2"/>
          </rPr>
          <t>Row ID (intragroup guarantees provided)  =  &lt;Key value&gt;</t>
        </r>
      </text>
    </comment>
    <comment ref="C104" authorId="0" shapeId="0">
      <text>
        <r>
          <rPr>
            <sz val="9"/>
            <color indexed="81"/>
            <rFont val="Tahoma"/>
            <family val="2"/>
          </rPr>
          <t>Row ID (intragroup guarantees provided)  =  &lt;Key value&gt;</t>
        </r>
      </text>
    </comment>
    <comment ref="C105" authorId="0" shapeId="0">
      <text>
        <r>
          <rPr>
            <sz val="9"/>
            <color indexed="81"/>
            <rFont val="Tahoma"/>
            <family val="2"/>
          </rPr>
          <t>Row ID (intragroup guarantees provided)  =  &lt;Key value&gt;</t>
        </r>
      </text>
    </comment>
    <comment ref="C106" authorId="0" shapeId="0">
      <text>
        <r>
          <rPr>
            <sz val="9"/>
            <color indexed="81"/>
            <rFont val="Tahoma"/>
            <family val="2"/>
          </rPr>
          <t>Row ID (intragroup guarantees provided)  =  &lt;Key value&gt;</t>
        </r>
      </text>
    </comment>
    <comment ref="C107" authorId="0" shapeId="0">
      <text>
        <r>
          <rPr>
            <sz val="9"/>
            <color indexed="81"/>
            <rFont val="Tahoma"/>
            <family val="2"/>
          </rPr>
          <t>Row ID (intragroup guarantees provided)  =  &lt;Key value&gt;</t>
        </r>
      </text>
    </comment>
    <comment ref="C108" authorId="0" shapeId="0">
      <text>
        <r>
          <rPr>
            <sz val="9"/>
            <color indexed="81"/>
            <rFont val="Tahoma"/>
            <family val="2"/>
          </rPr>
          <t>Row ID (intragroup guarantees provided)  =  &lt;Key value&gt;</t>
        </r>
      </text>
    </comment>
    <comment ref="C109" authorId="0" shapeId="0">
      <text>
        <r>
          <rPr>
            <sz val="9"/>
            <color indexed="81"/>
            <rFont val="Tahoma"/>
            <family val="2"/>
          </rPr>
          <t>Row ID (intragroup guarantees provided)  =  &lt;Key value&gt;</t>
        </r>
      </text>
    </comment>
    <comment ref="C110" authorId="0" shapeId="0">
      <text>
        <r>
          <rPr>
            <sz val="9"/>
            <color indexed="81"/>
            <rFont val="Tahoma"/>
            <family val="2"/>
          </rPr>
          <t>Row ID (intragroup guarantees provided)  =  &lt;Key value&gt;</t>
        </r>
      </text>
    </comment>
    <comment ref="C111" authorId="0" shapeId="0">
      <text>
        <r>
          <rPr>
            <sz val="9"/>
            <color indexed="81"/>
            <rFont val="Tahoma"/>
            <family val="2"/>
          </rPr>
          <t>Row ID (intragroup guarantees provided)  =  &lt;Key value&gt;</t>
        </r>
      </text>
    </comment>
    <comment ref="C112" authorId="0" shapeId="0">
      <text>
        <r>
          <rPr>
            <sz val="9"/>
            <color indexed="81"/>
            <rFont val="Tahoma"/>
            <family val="2"/>
          </rPr>
          <t>Row ID (intragroup guarantees provided)  =  &lt;Key value&gt;</t>
        </r>
      </text>
    </comment>
    <comment ref="C113" authorId="0" shapeId="0">
      <text>
        <r>
          <rPr>
            <sz val="9"/>
            <color indexed="81"/>
            <rFont val="Tahoma"/>
            <family val="2"/>
          </rPr>
          <t>Row ID (intragroup guarantees provided)  =  &lt;Key value&gt;</t>
        </r>
      </text>
    </comment>
    <comment ref="C114" authorId="0" shapeId="0">
      <text>
        <r>
          <rPr>
            <sz val="9"/>
            <color indexed="81"/>
            <rFont val="Tahoma"/>
            <family val="2"/>
          </rPr>
          <t>Row ID (intragroup guarantees provided)  =  &lt;Key value&gt;</t>
        </r>
      </text>
    </comment>
    <comment ref="C115" authorId="0" shapeId="0">
      <text>
        <r>
          <rPr>
            <sz val="9"/>
            <color indexed="81"/>
            <rFont val="Tahoma"/>
            <family val="2"/>
          </rPr>
          <t>Row ID (intragroup guarantees provided)  =  &lt;Key value&gt;</t>
        </r>
      </text>
    </comment>
    <comment ref="C116" authorId="0" shapeId="0">
      <text>
        <r>
          <rPr>
            <sz val="9"/>
            <color indexed="81"/>
            <rFont val="Tahoma"/>
            <family val="2"/>
          </rPr>
          <t>Row ID (intragroup guarantees provided)  =  &lt;Key value&gt;</t>
        </r>
      </text>
    </comment>
    <comment ref="C117" authorId="0" shapeId="0">
      <text>
        <r>
          <rPr>
            <sz val="9"/>
            <color indexed="81"/>
            <rFont val="Tahoma"/>
            <family val="2"/>
          </rPr>
          <t>Row ID (intragroup guarantees provided)  =  &lt;Key value&gt;</t>
        </r>
      </text>
    </comment>
    <comment ref="C118" authorId="0" shapeId="0">
      <text>
        <r>
          <rPr>
            <sz val="9"/>
            <color indexed="81"/>
            <rFont val="Tahoma"/>
            <family val="2"/>
          </rPr>
          <t>Row ID (intragroup guarantees provided)  =  &lt;Key value&gt;</t>
        </r>
      </text>
    </comment>
    <comment ref="C119" authorId="0" shapeId="0">
      <text>
        <r>
          <rPr>
            <sz val="9"/>
            <color indexed="81"/>
            <rFont val="Tahoma"/>
            <family val="2"/>
          </rPr>
          <t>Row ID (intragroup guarantees provided)  =  &lt;Key value&gt;</t>
        </r>
      </text>
    </comment>
    <comment ref="C120" authorId="0" shapeId="0">
      <text>
        <r>
          <rPr>
            <sz val="9"/>
            <color indexed="81"/>
            <rFont val="Tahoma"/>
            <family val="2"/>
          </rPr>
          <t>Row ID (intragroup guarantees provided)  =  &lt;Key value&gt;</t>
        </r>
      </text>
    </comment>
    <comment ref="C121" authorId="0" shapeId="0">
      <text>
        <r>
          <rPr>
            <sz val="9"/>
            <color indexed="81"/>
            <rFont val="Tahoma"/>
            <family val="2"/>
          </rPr>
          <t>Row ID (intragroup guarantees provided)  =  &lt;Key value&gt;</t>
        </r>
      </text>
    </comment>
    <comment ref="C122" authorId="0" shapeId="0">
      <text>
        <r>
          <rPr>
            <sz val="9"/>
            <color indexed="81"/>
            <rFont val="Tahoma"/>
            <family val="2"/>
          </rPr>
          <t>Row ID (intragroup guarantees provided)  =  &lt;Key value&gt;</t>
        </r>
      </text>
    </comment>
    <comment ref="C123" authorId="0" shapeId="0">
      <text>
        <r>
          <rPr>
            <sz val="9"/>
            <color indexed="81"/>
            <rFont val="Tahoma"/>
            <family val="2"/>
          </rPr>
          <t>Row ID (intragroup guarantees provided)  =  &lt;Key value&gt;</t>
        </r>
      </text>
    </comment>
    <comment ref="C124" authorId="0" shapeId="0">
      <text>
        <r>
          <rPr>
            <sz val="9"/>
            <color indexed="81"/>
            <rFont val="Tahoma"/>
            <family val="2"/>
          </rPr>
          <t>Row ID (intragroup guarantees provided)  =  &lt;Key value&gt;</t>
        </r>
      </text>
    </comment>
    <comment ref="C125" authorId="0" shapeId="0">
      <text>
        <r>
          <rPr>
            <sz val="9"/>
            <color indexed="81"/>
            <rFont val="Tahoma"/>
            <family val="2"/>
          </rPr>
          <t>Row ID (intragroup guarantees provided)  =  &lt;Key value&gt;</t>
        </r>
      </text>
    </comment>
    <comment ref="C126" authorId="0" shapeId="0">
      <text>
        <r>
          <rPr>
            <sz val="9"/>
            <color indexed="81"/>
            <rFont val="Tahoma"/>
            <family val="2"/>
          </rPr>
          <t>Row ID (intragroup guarantees provided)  =  &lt;Key value&gt;</t>
        </r>
      </text>
    </comment>
    <comment ref="C127" authorId="0" shapeId="0">
      <text>
        <r>
          <rPr>
            <sz val="9"/>
            <color indexed="81"/>
            <rFont val="Tahoma"/>
            <family val="2"/>
          </rPr>
          <t>Row ID (intragroup guarantees provided)  =  &lt;Key value&gt;</t>
        </r>
      </text>
    </comment>
    <comment ref="C128" authorId="0" shapeId="0">
      <text>
        <r>
          <rPr>
            <sz val="9"/>
            <color indexed="81"/>
            <rFont val="Tahoma"/>
            <family val="2"/>
          </rPr>
          <t>Row ID (intragroup guarantees provided)  =  &lt;Key value&gt;</t>
        </r>
      </text>
    </comment>
    <comment ref="C129" authorId="0" shapeId="0">
      <text>
        <r>
          <rPr>
            <sz val="9"/>
            <color indexed="81"/>
            <rFont val="Tahoma"/>
            <family val="2"/>
          </rPr>
          <t>Row ID (intragroup guarantees provided)  =  &lt;Key value&gt;</t>
        </r>
      </text>
    </comment>
    <comment ref="C130" authorId="0" shapeId="0">
      <text>
        <r>
          <rPr>
            <sz val="9"/>
            <color indexed="81"/>
            <rFont val="Tahoma"/>
            <family val="2"/>
          </rPr>
          <t>Row ID (intragroup guarantees provided)  =  &lt;Key value&gt;</t>
        </r>
      </text>
    </comment>
    <comment ref="C131" authorId="0" shapeId="0">
      <text>
        <r>
          <rPr>
            <sz val="9"/>
            <color indexed="81"/>
            <rFont val="Tahoma"/>
            <family val="2"/>
          </rPr>
          <t>Row ID (intragroup guarantees provided)  =  &lt;Key value&gt;</t>
        </r>
      </text>
    </comment>
    <comment ref="C132" authorId="0" shapeId="0">
      <text>
        <r>
          <rPr>
            <sz val="9"/>
            <color indexed="81"/>
            <rFont val="Tahoma"/>
            <family val="2"/>
          </rPr>
          <t>Row ID (intragroup guarantees provided)  =  &lt;Key value&gt;</t>
        </r>
      </text>
    </comment>
    <comment ref="C133" authorId="0" shapeId="0">
      <text>
        <r>
          <rPr>
            <sz val="9"/>
            <color indexed="81"/>
            <rFont val="Tahoma"/>
            <family val="2"/>
          </rPr>
          <t>Row ID (intragroup guarantees provided)  =  &lt;Key value&gt;</t>
        </r>
      </text>
    </comment>
    <comment ref="C134" authorId="0" shapeId="0">
      <text>
        <r>
          <rPr>
            <sz val="9"/>
            <color indexed="81"/>
            <rFont val="Tahoma"/>
            <family val="2"/>
          </rPr>
          <t>Row ID (intragroup guarantees provided)  =  &lt;Key value&gt;</t>
        </r>
      </text>
    </comment>
    <comment ref="C135" authorId="0" shapeId="0">
      <text>
        <r>
          <rPr>
            <sz val="9"/>
            <color indexed="81"/>
            <rFont val="Tahoma"/>
            <family val="2"/>
          </rPr>
          <t>Row ID (intragroup guarantees provided)  =  &lt;Key value&gt;</t>
        </r>
      </text>
    </comment>
    <comment ref="C136" authorId="0" shapeId="0">
      <text>
        <r>
          <rPr>
            <sz val="9"/>
            <color indexed="81"/>
            <rFont val="Tahoma"/>
            <family val="2"/>
          </rPr>
          <t>Row ID (intragroup guarantees provided)  =  &lt;Key value&gt;</t>
        </r>
      </text>
    </comment>
    <comment ref="C137" authorId="0" shapeId="0">
      <text>
        <r>
          <rPr>
            <sz val="9"/>
            <color indexed="81"/>
            <rFont val="Tahoma"/>
            <family val="2"/>
          </rPr>
          <t>Row ID (intragroup guarantees provided)  =  &lt;Key value&gt;</t>
        </r>
      </text>
    </comment>
    <comment ref="C138" authorId="0" shapeId="0">
      <text>
        <r>
          <rPr>
            <sz val="9"/>
            <color indexed="81"/>
            <rFont val="Tahoma"/>
            <family val="2"/>
          </rPr>
          <t>Row ID (intragroup guarantees provided)  =  &lt;Key value&gt;</t>
        </r>
      </text>
    </comment>
    <comment ref="C139" authorId="0" shapeId="0">
      <text>
        <r>
          <rPr>
            <sz val="9"/>
            <color indexed="81"/>
            <rFont val="Tahoma"/>
            <family val="2"/>
          </rPr>
          <t>Row ID (intragroup guarantees provided)  =  &lt;Key value&gt;</t>
        </r>
      </text>
    </comment>
    <comment ref="C140" authorId="0" shapeId="0">
      <text>
        <r>
          <rPr>
            <sz val="9"/>
            <color indexed="81"/>
            <rFont val="Tahoma"/>
            <family val="2"/>
          </rPr>
          <t>Row ID (intragroup guarantees provided)  =  &lt;Key value&gt;</t>
        </r>
      </text>
    </comment>
    <comment ref="C141" authorId="0" shapeId="0">
      <text>
        <r>
          <rPr>
            <sz val="9"/>
            <color indexed="81"/>
            <rFont val="Tahoma"/>
            <family val="2"/>
          </rPr>
          <t>Row ID (intragroup guarantees provided)  =  &lt;Key value&gt;</t>
        </r>
      </text>
    </comment>
    <comment ref="C142" authorId="0" shapeId="0">
      <text>
        <r>
          <rPr>
            <sz val="9"/>
            <color indexed="81"/>
            <rFont val="Tahoma"/>
            <family val="2"/>
          </rPr>
          <t>Row ID (intragroup guarantees provided)  =  &lt;Key value&gt;</t>
        </r>
      </text>
    </comment>
    <comment ref="C143" authorId="0" shapeId="0">
      <text>
        <r>
          <rPr>
            <sz val="9"/>
            <color indexed="81"/>
            <rFont val="Tahoma"/>
            <family val="2"/>
          </rPr>
          <t>Row ID (intragroup guarantees provided)  =  &lt;Key value&gt;</t>
        </r>
      </text>
    </comment>
    <comment ref="C144" authorId="0" shapeId="0">
      <text>
        <r>
          <rPr>
            <sz val="9"/>
            <color indexed="81"/>
            <rFont val="Tahoma"/>
            <family val="2"/>
          </rPr>
          <t>Row ID (intragroup guarantees provided)  =  &lt;Key value&gt;</t>
        </r>
      </text>
    </comment>
    <comment ref="C145" authorId="0" shapeId="0">
      <text>
        <r>
          <rPr>
            <sz val="9"/>
            <color indexed="81"/>
            <rFont val="Tahoma"/>
            <family val="2"/>
          </rPr>
          <t>Row ID (intragroup guarantees provided)  =  &lt;Key value&gt;</t>
        </r>
      </text>
    </comment>
    <comment ref="C146" authorId="0" shapeId="0">
      <text>
        <r>
          <rPr>
            <sz val="9"/>
            <color indexed="81"/>
            <rFont val="Tahoma"/>
            <family val="2"/>
          </rPr>
          <t>Row ID (intragroup guarantees provided)  =  &lt;Key value&gt;</t>
        </r>
      </text>
    </comment>
    <comment ref="C147" authorId="0" shapeId="0">
      <text>
        <r>
          <rPr>
            <sz val="9"/>
            <color indexed="81"/>
            <rFont val="Tahoma"/>
            <family val="2"/>
          </rPr>
          <t>Row ID (intragroup guarantees provided)  =  &lt;Key value&gt;</t>
        </r>
      </text>
    </comment>
    <comment ref="C148" authorId="0" shapeId="0">
      <text>
        <r>
          <rPr>
            <sz val="9"/>
            <color indexed="81"/>
            <rFont val="Tahoma"/>
            <family val="2"/>
          </rPr>
          <t>Row ID (intragroup guarantees provided)  =  &lt;Key value&gt;</t>
        </r>
      </text>
    </comment>
    <comment ref="C149" authorId="0" shapeId="0">
      <text>
        <r>
          <rPr>
            <sz val="9"/>
            <color indexed="81"/>
            <rFont val="Tahoma"/>
            <family val="2"/>
          </rPr>
          <t>Row ID (intragroup guarantees provided)  =  &lt;Key value&gt;</t>
        </r>
      </text>
    </comment>
    <comment ref="C150" authorId="0" shapeId="0">
      <text>
        <r>
          <rPr>
            <sz val="9"/>
            <color indexed="81"/>
            <rFont val="Tahoma"/>
            <family val="2"/>
          </rPr>
          <t>Row ID (intragroup guarantees provided)  =  &lt;Key value&gt;</t>
        </r>
      </text>
    </comment>
    <comment ref="C151" authorId="0" shapeId="0">
      <text>
        <r>
          <rPr>
            <sz val="9"/>
            <color indexed="81"/>
            <rFont val="Tahoma"/>
            <family val="2"/>
          </rPr>
          <t>Row ID (intragroup guarantees provided)  =  &lt;Key value&gt;</t>
        </r>
      </text>
    </comment>
    <comment ref="C152" authorId="0" shapeId="0">
      <text>
        <r>
          <rPr>
            <sz val="9"/>
            <color indexed="81"/>
            <rFont val="Tahoma"/>
            <family val="2"/>
          </rPr>
          <t>Row ID (intragroup guarantees provided)  =  &lt;Key value&gt;</t>
        </r>
      </text>
    </comment>
    <comment ref="C153" authorId="0" shapeId="0">
      <text>
        <r>
          <rPr>
            <sz val="9"/>
            <color indexed="81"/>
            <rFont val="Tahoma"/>
            <family val="2"/>
          </rPr>
          <t>Row ID (intragroup guarantees provided)  =  &lt;Key value&gt;</t>
        </r>
      </text>
    </comment>
    <comment ref="C154" authorId="0" shapeId="0">
      <text>
        <r>
          <rPr>
            <sz val="9"/>
            <color indexed="81"/>
            <rFont val="Tahoma"/>
            <family val="2"/>
          </rPr>
          <t>Row ID (intragroup guarantees provided)  =  &lt;Key value&gt;</t>
        </r>
      </text>
    </comment>
    <comment ref="C155" authorId="0" shapeId="0">
      <text>
        <r>
          <rPr>
            <sz val="9"/>
            <color indexed="81"/>
            <rFont val="Tahoma"/>
            <family val="2"/>
          </rPr>
          <t>Row ID (intragroup guarantees provided)  =  &lt;Key value&gt;</t>
        </r>
      </text>
    </comment>
    <comment ref="C156" authorId="0" shapeId="0">
      <text>
        <r>
          <rPr>
            <sz val="9"/>
            <color indexed="81"/>
            <rFont val="Tahoma"/>
            <family val="2"/>
          </rPr>
          <t>Row ID (intragroup guarantees provided)  =  &lt;Key value&gt;</t>
        </r>
      </text>
    </comment>
    <comment ref="C157" authorId="0" shapeId="0">
      <text>
        <r>
          <rPr>
            <sz val="9"/>
            <color indexed="81"/>
            <rFont val="Tahoma"/>
            <family val="2"/>
          </rPr>
          <t>Row ID (intragroup guarantees provided)  =  &lt;Key value&gt;</t>
        </r>
      </text>
    </comment>
    <comment ref="C158" authorId="0" shapeId="0">
      <text>
        <r>
          <rPr>
            <sz val="9"/>
            <color indexed="81"/>
            <rFont val="Tahoma"/>
            <family val="2"/>
          </rPr>
          <t>Row ID (intragroup guarantees provided)  =  &lt;Key value&gt;</t>
        </r>
      </text>
    </comment>
    <comment ref="C159" authorId="0" shapeId="0">
      <text>
        <r>
          <rPr>
            <sz val="9"/>
            <color indexed="81"/>
            <rFont val="Tahoma"/>
            <family val="2"/>
          </rPr>
          <t>Row ID (intragroup guarantees provided)  =  &lt;Key value&gt;</t>
        </r>
      </text>
    </comment>
    <comment ref="C160" authorId="0" shapeId="0">
      <text>
        <r>
          <rPr>
            <sz val="9"/>
            <color indexed="81"/>
            <rFont val="Tahoma"/>
            <family val="2"/>
          </rPr>
          <t>Row ID (intragroup guarantees provided)  =  &lt;Key value&gt;</t>
        </r>
      </text>
    </comment>
    <comment ref="C161" authorId="0" shapeId="0">
      <text>
        <r>
          <rPr>
            <sz val="9"/>
            <color indexed="81"/>
            <rFont val="Tahoma"/>
            <family val="2"/>
          </rPr>
          <t>Row ID (intragroup guarantees provided)  =  &lt;Key value&gt;</t>
        </r>
      </text>
    </comment>
    <comment ref="C162" authorId="0" shapeId="0">
      <text>
        <r>
          <rPr>
            <sz val="9"/>
            <color indexed="81"/>
            <rFont val="Tahoma"/>
            <family val="2"/>
          </rPr>
          <t>Row ID (intragroup guarantees provided)  =  &lt;Key value&gt;</t>
        </r>
      </text>
    </comment>
    <comment ref="C163" authorId="0" shapeId="0">
      <text>
        <r>
          <rPr>
            <sz val="9"/>
            <color indexed="81"/>
            <rFont val="Tahoma"/>
            <family val="2"/>
          </rPr>
          <t>Row ID (intragroup guarantees provided)  =  &lt;Key value&gt;</t>
        </r>
      </text>
    </comment>
    <comment ref="C164" authorId="0" shapeId="0">
      <text>
        <r>
          <rPr>
            <sz val="9"/>
            <color indexed="81"/>
            <rFont val="Tahoma"/>
            <family val="2"/>
          </rPr>
          <t>Row ID (intragroup guarantees provided)  =  &lt;Key value&gt;</t>
        </r>
      </text>
    </comment>
    <comment ref="C165" authorId="0" shapeId="0">
      <text>
        <r>
          <rPr>
            <sz val="9"/>
            <color indexed="81"/>
            <rFont val="Tahoma"/>
            <family val="2"/>
          </rPr>
          <t>Row ID (intragroup guarantees provided)  =  &lt;Key value&gt;</t>
        </r>
      </text>
    </comment>
    <comment ref="C166" authorId="0" shapeId="0">
      <text>
        <r>
          <rPr>
            <sz val="9"/>
            <color indexed="81"/>
            <rFont val="Tahoma"/>
            <family val="2"/>
          </rPr>
          <t>Row ID (intragroup guarantees provided)  =  &lt;Key value&gt;</t>
        </r>
      </text>
    </comment>
    <comment ref="C167" authorId="0" shapeId="0">
      <text>
        <r>
          <rPr>
            <sz val="9"/>
            <color indexed="81"/>
            <rFont val="Tahoma"/>
            <family val="2"/>
          </rPr>
          <t>Row ID (intragroup guarantees provided)  =  &lt;Key value&gt;</t>
        </r>
      </text>
    </comment>
    <comment ref="C168" authorId="0" shapeId="0">
      <text>
        <r>
          <rPr>
            <sz val="9"/>
            <color indexed="81"/>
            <rFont val="Tahoma"/>
            <family val="2"/>
          </rPr>
          <t>Row ID (intragroup guarantees provided)  =  &lt;Key value&gt;</t>
        </r>
      </text>
    </comment>
    <comment ref="C169" authorId="0" shapeId="0">
      <text>
        <r>
          <rPr>
            <sz val="9"/>
            <color indexed="81"/>
            <rFont val="Tahoma"/>
            <family val="2"/>
          </rPr>
          <t>Row ID (intragroup guarantees provided)  =  &lt;Key value&gt;</t>
        </r>
      </text>
    </comment>
    <comment ref="C170" authorId="0" shapeId="0">
      <text>
        <r>
          <rPr>
            <sz val="9"/>
            <color indexed="81"/>
            <rFont val="Tahoma"/>
            <family val="2"/>
          </rPr>
          <t>Row ID (intragroup guarantees provided)  =  &lt;Key value&gt;</t>
        </r>
      </text>
    </comment>
    <comment ref="C171" authorId="0" shapeId="0">
      <text>
        <r>
          <rPr>
            <sz val="9"/>
            <color indexed="81"/>
            <rFont val="Tahoma"/>
            <family val="2"/>
          </rPr>
          <t>Row ID (intragroup guarantees provided)  =  &lt;Key value&gt;</t>
        </r>
      </text>
    </comment>
    <comment ref="C172" authorId="0" shapeId="0">
      <text>
        <r>
          <rPr>
            <sz val="9"/>
            <color indexed="81"/>
            <rFont val="Tahoma"/>
            <family val="2"/>
          </rPr>
          <t>Row ID (intragroup guarantees provided)  =  &lt;Key value&gt;</t>
        </r>
      </text>
    </comment>
    <comment ref="C173" authorId="0" shapeId="0">
      <text>
        <r>
          <rPr>
            <sz val="9"/>
            <color indexed="81"/>
            <rFont val="Tahoma"/>
            <family val="2"/>
          </rPr>
          <t>Row ID (intragroup guarantees provided)  =  &lt;Key value&gt;</t>
        </r>
      </text>
    </comment>
    <comment ref="C174" authorId="0" shapeId="0">
      <text>
        <r>
          <rPr>
            <sz val="9"/>
            <color indexed="81"/>
            <rFont val="Tahoma"/>
            <family val="2"/>
          </rPr>
          <t>Row ID (intragroup guarantees provided)  =  &lt;Key value&gt;</t>
        </r>
      </text>
    </comment>
    <comment ref="C175" authorId="0" shapeId="0">
      <text>
        <r>
          <rPr>
            <sz val="9"/>
            <color indexed="81"/>
            <rFont val="Tahoma"/>
            <family val="2"/>
          </rPr>
          <t>Row ID (intragroup guarantees provided)  =  &lt;Key value&gt;</t>
        </r>
      </text>
    </comment>
    <comment ref="C176" authorId="0" shapeId="0">
      <text>
        <r>
          <rPr>
            <sz val="9"/>
            <color indexed="81"/>
            <rFont val="Tahoma"/>
            <family val="2"/>
          </rPr>
          <t>Row ID (intragroup guarantees provided)  =  &lt;Key value&gt;</t>
        </r>
      </text>
    </comment>
    <comment ref="C177" authorId="0" shapeId="0">
      <text>
        <r>
          <rPr>
            <sz val="9"/>
            <color indexed="81"/>
            <rFont val="Tahoma"/>
            <family val="2"/>
          </rPr>
          <t>Row ID (intragroup guarantees provided)  =  &lt;Key value&gt;</t>
        </r>
      </text>
    </comment>
    <comment ref="C178" authorId="0" shapeId="0">
      <text>
        <r>
          <rPr>
            <sz val="9"/>
            <color indexed="81"/>
            <rFont val="Tahoma"/>
            <family val="2"/>
          </rPr>
          <t>Row ID (intragroup guarantees provided)  =  &lt;Key value&gt;</t>
        </r>
      </text>
    </comment>
    <comment ref="C179" authorId="0" shapeId="0">
      <text>
        <r>
          <rPr>
            <sz val="9"/>
            <color indexed="81"/>
            <rFont val="Tahoma"/>
            <family val="2"/>
          </rPr>
          <t>Row ID (intragroup guarantees provided)  =  &lt;Key value&gt;</t>
        </r>
      </text>
    </comment>
    <comment ref="C180" authorId="0" shapeId="0">
      <text>
        <r>
          <rPr>
            <sz val="9"/>
            <color indexed="81"/>
            <rFont val="Tahoma"/>
            <family val="2"/>
          </rPr>
          <t>Row ID (intragroup guarantees provided)  =  &lt;Key value&gt;</t>
        </r>
      </text>
    </comment>
    <comment ref="C181" authorId="0" shapeId="0">
      <text>
        <r>
          <rPr>
            <sz val="9"/>
            <color indexed="81"/>
            <rFont val="Tahoma"/>
            <family val="2"/>
          </rPr>
          <t>Row ID (intragroup guarantees provided)  =  &lt;Key value&gt;</t>
        </r>
      </text>
    </comment>
    <comment ref="C182" authorId="0" shapeId="0">
      <text>
        <r>
          <rPr>
            <sz val="9"/>
            <color indexed="81"/>
            <rFont val="Tahoma"/>
            <family val="2"/>
          </rPr>
          <t>Row ID (intragroup guarantees provided)  =  &lt;Key value&gt;</t>
        </r>
      </text>
    </comment>
    <comment ref="C183" authorId="0" shapeId="0">
      <text>
        <r>
          <rPr>
            <sz val="9"/>
            <color indexed="81"/>
            <rFont val="Tahoma"/>
            <family val="2"/>
          </rPr>
          <t>Row ID (intragroup guarantees provided)  =  &lt;Key value&gt;</t>
        </r>
      </text>
    </comment>
    <comment ref="C184" authorId="0" shapeId="0">
      <text>
        <r>
          <rPr>
            <sz val="9"/>
            <color indexed="81"/>
            <rFont val="Tahoma"/>
            <family val="2"/>
          </rPr>
          <t>Row ID (intragroup guarantees provided)  =  &lt;Key value&gt;</t>
        </r>
      </text>
    </comment>
    <comment ref="C185" authorId="0" shapeId="0">
      <text>
        <r>
          <rPr>
            <sz val="9"/>
            <color indexed="81"/>
            <rFont val="Tahoma"/>
            <family val="2"/>
          </rPr>
          <t>Row ID (intragroup guarantees provided)  =  &lt;Key value&gt;</t>
        </r>
      </text>
    </comment>
    <comment ref="C186" authorId="0" shapeId="0">
      <text>
        <r>
          <rPr>
            <sz val="9"/>
            <color indexed="81"/>
            <rFont val="Tahoma"/>
            <family val="2"/>
          </rPr>
          <t>Row ID (intragroup guarantees provided)  =  &lt;Key value&gt;</t>
        </r>
      </text>
    </comment>
    <comment ref="C187" authorId="0" shapeId="0">
      <text>
        <r>
          <rPr>
            <sz val="9"/>
            <color indexed="81"/>
            <rFont val="Tahoma"/>
            <family val="2"/>
          </rPr>
          <t>Row ID (intragroup guarantees provided)  =  &lt;Key value&gt;</t>
        </r>
      </text>
    </comment>
    <comment ref="C188" authorId="0" shapeId="0">
      <text>
        <r>
          <rPr>
            <sz val="9"/>
            <color indexed="81"/>
            <rFont val="Tahoma"/>
            <family val="2"/>
          </rPr>
          <t>Row ID (intragroup guarantees provided)  =  &lt;Key value&gt;</t>
        </r>
      </text>
    </comment>
    <comment ref="C189" authorId="0" shapeId="0">
      <text>
        <r>
          <rPr>
            <sz val="9"/>
            <color indexed="81"/>
            <rFont val="Tahoma"/>
            <family val="2"/>
          </rPr>
          <t>Row ID (intragroup guarantees provided)  =  &lt;Key value&gt;</t>
        </r>
      </text>
    </comment>
    <comment ref="C190" authorId="0" shapeId="0">
      <text>
        <r>
          <rPr>
            <sz val="9"/>
            <color indexed="81"/>
            <rFont val="Tahoma"/>
            <family val="2"/>
          </rPr>
          <t>Row ID (intragroup guarantees provided)  =  &lt;Key value&gt;</t>
        </r>
      </text>
    </comment>
    <comment ref="C191" authorId="0" shapeId="0">
      <text>
        <r>
          <rPr>
            <sz val="9"/>
            <color indexed="81"/>
            <rFont val="Tahoma"/>
            <family val="2"/>
          </rPr>
          <t>Row ID (intragroup guarantees provided)  =  &lt;Key value&gt;</t>
        </r>
      </text>
    </comment>
    <comment ref="C192" authorId="0" shapeId="0">
      <text>
        <r>
          <rPr>
            <sz val="9"/>
            <color indexed="81"/>
            <rFont val="Tahoma"/>
            <family val="2"/>
          </rPr>
          <t>Row ID (intragroup guarantees provided)  =  &lt;Key value&gt;</t>
        </r>
      </text>
    </comment>
    <comment ref="C193" authorId="0" shapeId="0">
      <text>
        <r>
          <rPr>
            <sz val="9"/>
            <color indexed="81"/>
            <rFont val="Tahoma"/>
            <family val="2"/>
          </rPr>
          <t>Row ID (intragroup guarantees provided)  =  &lt;Key value&gt;</t>
        </r>
      </text>
    </comment>
    <comment ref="C194" authorId="0" shapeId="0">
      <text>
        <r>
          <rPr>
            <sz val="9"/>
            <color indexed="81"/>
            <rFont val="Tahoma"/>
            <family val="2"/>
          </rPr>
          <t>Row ID (intragroup guarantees provided)  =  &lt;Key value&gt;</t>
        </r>
      </text>
    </comment>
    <comment ref="C195" authorId="0" shapeId="0">
      <text>
        <r>
          <rPr>
            <sz val="9"/>
            <color indexed="81"/>
            <rFont val="Tahoma"/>
            <family val="2"/>
          </rPr>
          <t>Row ID (intragroup guarantees provided)  =  &lt;Key value&gt;</t>
        </r>
      </text>
    </comment>
    <comment ref="C196" authorId="0" shapeId="0">
      <text>
        <r>
          <rPr>
            <sz val="9"/>
            <color indexed="81"/>
            <rFont val="Tahoma"/>
            <family val="2"/>
          </rPr>
          <t>Row ID (intragroup guarantees provided)  =  &lt;Key value&gt;</t>
        </r>
      </text>
    </comment>
    <comment ref="C197" authorId="0" shapeId="0">
      <text>
        <r>
          <rPr>
            <sz val="9"/>
            <color indexed="81"/>
            <rFont val="Tahoma"/>
            <family val="2"/>
          </rPr>
          <t>Row ID (intragroup guarantees provided)  =  &lt;Key value&gt;</t>
        </r>
      </text>
    </comment>
    <comment ref="C198" authorId="0" shapeId="0">
      <text>
        <r>
          <rPr>
            <sz val="9"/>
            <color indexed="81"/>
            <rFont val="Tahoma"/>
            <family val="2"/>
          </rPr>
          <t>Row ID (intragroup guarantees provided)  =  &lt;Key value&gt;</t>
        </r>
      </text>
    </comment>
    <comment ref="C199" authorId="0" shapeId="0">
      <text>
        <r>
          <rPr>
            <sz val="9"/>
            <color indexed="81"/>
            <rFont val="Tahoma"/>
            <family val="2"/>
          </rPr>
          <t>Row ID (intragroup guarantees provided)  =  &lt;Key value&gt;</t>
        </r>
      </text>
    </comment>
    <comment ref="C200" authorId="0" shapeId="0">
      <text>
        <r>
          <rPr>
            <sz val="9"/>
            <color indexed="81"/>
            <rFont val="Tahoma"/>
            <family val="2"/>
          </rPr>
          <t>Row ID (intragroup guarantees provided)  =  &lt;Key value&gt;</t>
        </r>
      </text>
    </comment>
    <comment ref="C201" authorId="0" shapeId="0">
      <text>
        <r>
          <rPr>
            <sz val="9"/>
            <color indexed="81"/>
            <rFont val="Tahoma"/>
            <family val="2"/>
          </rPr>
          <t>Row ID (intragroup guarantees provided)  =  &lt;Key value&gt;</t>
        </r>
      </text>
    </comment>
    <comment ref="C202" authorId="0" shapeId="0">
      <text>
        <r>
          <rPr>
            <sz val="9"/>
            <color indexed="81"/>
            <rFont val="Tahoma"/>
            <family val="2"/>
          </rPr>
          <t>Row ID (intragroup guarantees provided)  =  &lt;Key value&gt;</t>
        </r>
      </text>
    </comment>
    <comment ref="C203" authorId="0" shapeId="0">
      <text>
        <r>
          <rPr>
            <sz val="9"/>
            <color indexed="81"/>
            <rFont val="Tahoma"/>
            <family val="2"/>
          </rPr>
          <t>Row ID (intragroup guarantees provided)  =  &lt;Key value&gt;</t>
        </r>
      </text>
    </comment>
    <comment ref="C204" authorId="0" shapeId="0">
      <text>
        <r>
          <rPr>
            <sz val="9"/>
            <color indexed="81"/>
            <rFont val="Tahoma"/>
            <family val="2"/>
          </rPr>
          <t>Row ID (intragroup guarantees provided)  =  &lt;Key value&gt;</t>
        </r>
      </text>
    </comment>
    <comment ref="C205" authorId="0" shapeId="0">
      <text>
        <r>
          <rPr>
            <sz val="9"/>
            <color indexed="81"/>
            <rFont val="Tahoma"/>
            <family val="2"/>
          </rPr>
          <t>Row ID (intragroup guarantees provided)  =  &lt;Key value&gt;</t>
        </r>
      </text>
    </comment>
    <comment ref="C206" authorId="0" shapeId="0">
      <text>
        <r>
          <rPr>
            <sz val="9"/>
            <color indexed="81"/>
            <rFont val="Tahoma"/>
            <family val="2"/>
          </rPr>
          <t>Row ID (intragroup guarantees provided)  =  &lt;Key value&gt;</t>
        </r>
      </text>
    </comment>
    <comment ref="C207" authorId="0" shapeId="0">
      <text>
        <r>
          <rPr>
            <sz val="9"/>
            <color indexed="81"/>
            <rFont val="Tahoma"/>
            <family val="2"/>
          </rPr>
          <t>Row ID (intragroup guarantees provided)  =  &lt;Key value&gt;</t>
        </r>
      </text>
    </comment>
    <comment ref="C208" authorId="0" shapeId="0">
      <text>
        <r>
          <rPr>
            <sz val="9"/>
            <color indexed="81"/>
            <rFont val="Tahoma"/>
            <family val="2"/>
          </rPr>
          <t>Row ID (intragroup guarantees provided)  =  &lt;Key value&gt;</t>
        </r>
      </text>
    </comment>
    <comment ref="C209" authorId="0" shapeId="0">
      <text>
        <r>
          <rPr>
            <sz val="9"/>
            <color indexed="81"/>
            <rFont val="Tahoma"/>
            <family val="2"/>
          </rPr>
          <t>Row ID (intragroup guarantees provided)  =  &lt;Key value&gt;</t>
        </r>
      </text>
    </comment>
    <comment ref="C210" authorId="0" shapeId="0">
      <text>
        <r>
          <rPr>
            <sz val="9"/>
            <color indexed="81"/>
            <rFont val="Tahoma"/>
            <family val="2"/>
          </rPr>
          <t>Row ID (intragroup guarantees provided)  =  &lt;Key value&gt;</t>
        </r>
      </text>
    </comment>
    <comment ref="C211" authorId="0" shapeId="0">
      <text>
        <r>
          <rPr>
            <sz val="9"/>
            <color indexed="81"/>
            <rFont val="Tahoma"/>
            <family val="2"/>
          </rPr>
          <t>Row ID (intragroup guarantees provided)  =  &lt;Key value&gt;</t>
        </r>
      </text>
    </comment>
    <comment ref="C212" authorId="0" shapeId="0">
      <text>
        <r>
          <rPr>
            <sz val="9"/>
            <color indexed="81"/>
            <rFont val="Tahoma"/>
            <family val="2"/>
          </rPr>
          <t>Row ID (intragroup guarantees provided)  =  &lt;Key value&gt;</t>
        </r>
      </text>
    </comment>
    <comment ref="C213" authorId="0" shapeId="0">
      <text>
        <r>
          <rPr>
            <sz val="9"/>
            <color indexed="81"/>
            <rFont val="Tahoma"/>
            <family val="2"/>
          </rPr>
          <t>Row ID (intragroup guarantees provided)  =  &lt;Key value&gt;</t>
        </r>
      </text>
    </comment>
    <comment ref="C214" authorId="0" shapeId="0">
      <text>
        <r>
          <rPr>
            <sz val="9"/>
            <color indexed="81"/>
            <rFont val="Tahoma"/>
            <family val="2"/>
          </rPr>
          <t>Row ID (intragroup guarantees provided)  =  &lt;Key value&gt;</t>
        </r>
      </text>
    </comment>
    <comment ref="C215" authorId="0" shapeId="0">
      <text>
        <r>
          <rPr>
            <sz val="9"/>
            <color indexed="81"/>
            <rFont val="Tahoma"/>
            <family val="2"/>
          </rPr>
          <t>Row ID (intragroup guarantees provided)  =  &lt;Key value&gt;</t>
        </r>
      </text>
    </comment>
    <comment ref="C216" authorId="0" shapeId="0">
      <text>
        <r>
          <rPr>
            <sz val="9"/>
            <color indexed="81"/>
            <rFont val="Tahoma"/>
            <family val="2"/>
          </rPr>
          <t>Row ID (intragroup guarantees provided)  =  &lt;Key value&gt;</t>
        </r>
      </text>
    </comment>
    <comment ref="C217" authorId="0" shapeId="0">
      <text>
        <r>
          <rPr>
            <sz val="9"/>
            <color indexed="81"/>
            <rFont val="Tahoma"/>
            <family val="2"/>
          </rPr>
          <t>Row ID (intragroup guarantees provided)  =  &lt;Key value&gt;</t>
        </r>
      </text>
    </comment>
    <comment ref="C218" authorId="0" shapeId="0">
      <text>
        <r>
          <rPr>
            <sz val="9"/>
            <color indexed="81"/>
            <rFont val="Tahoma"/>
            <family val="2"/>
          </rPr>
          <t>Row ID (intragroup guarantees provided)  =  &lt;Key value&gt;</t>
        </r>
      </text>
    </comment>
    <comment ref="C219" authorId="0" shapeId="0">
      <text>
        <r>
          <rPr>
            <sz val="9"/>
            <color indexed="81"/>
            <rFont val="Tahoma"/>
            <family val="2"/>
          </rPr>
          <t>Row ID (intragroup guarantees provided)  =  &lt;Key value&gt;</t>
        </r>
      </text>
    </comment>
    <comment ref="C220" authorId="0" shapeId="0">
      <text>
        <r>
          <rPr>
            <sz val="9"/>
            <color indexed="81"/>
            <rFont val="Tahoma"/>
            <family val="2"/>
          </rPr>
          <t>Row ID (intragroup guarantees provided)  =  &lt;Key value&gt;</t>
        </r>
      </text>
    </comment>
    <comment ref="C221" authorId="0" shapeId="0">
      <text>
        <r>
          <rPr>
            <sz val="9"/>
            <color indexed="81"/>
            <rFont val="Tahoma"/>
            <family val="2"/>
          </rPr>
          <t>Row ID (intragroup guarantees provided)  =  &lt;Key value&gt;</t>
        </r>
      </text>
    </comment>
    <comment ref="C222" authorId="0" shapeId="0">
      <text>
        <r>
          <rPr>
            <sz val="9"/>
            <color indexed="81"/>
            <rFont val="Tahoma"/>
            <family val="2"/>
          </rPr>
          <t>Row ID (intragroup guarantees provided)  =  &lt;Key value&gt;</t>
        </r>
      </text>
    </comment>
    <comment ref="C223" authorId="0" shapeId="0">
      <text>
        <r>
          <rPr>
            <sz val="9"/>
            <color indexed="81"/>
            <rFont val="Tahoma"/>
            <family val="2"/>
          </rPr>
          <t>Row ID (intragroup guarantees provided)  =  &lt;Key value&gt;</t>
        </r>
      </text>
    </comment>
    <comment ref="C224" authorId="0" shapeId="0">
      <text>
        <r>
          <rPr>
            <sz val="9"/>
            <color indexed="81"/>
            <rFont val="Tahoma"/>
            <family val="2"/>
          </rPr>
          <t>Row ID (intragroup guarantees provided)  =  &lt;Key value&gt;</t>
        </r>
      </text>
    </comment>
    <comment ref="C225" authorId="0" shapeId="0">
      <text>
        <r>
          <rPr>
            <sz val="9"/>
            <color indexed="81"/>
            <rFont val="Tahoma"/>
            <family val="2"/>
          </rPr>
          <t>Row ID (intragroup guarantees provided)  =  &lt;Key value&gt;</t>
        </r>
      </text>
    </comment>
    <comment ref="C226" authorId="0" shapeId="0">
      <text>
        <r>
          <rPr>
            <sz val="9"/>
            <color indexed="81"/>
            <rFont val="Tahoma"/>
            <family val="2"/>
          </rPr>
          <t>Row ID (intragroup guarantees provided)  =  &lt;Key value&gt;</t>
        </r>
      </text>
    </comment>
    <comment ref="C227" authorId="0" shapeId="0">
      <text>
        <r>
          <rPr>
            <sz val="9"/>
            <color indexed="81"/>
            <rFont val="Tahoma"/>
            <family val="2"/>
          </rPr>
          <t>Row ID (intragroup guarantees provided)  =  &lt;Key value&gt;</t>
        </r>
      </text>
    </comment>
    <comment ref="C228" authorId="0" shapeId="0">
      <text>
        <r>
          <rPr>
            <sz val="9"/>
            <color indexed="81"/>
            <rFont val="Tahoma"/>
            <family val="2"/>
          </rPr>
          <t>Row ID (intragroup guarantees provided)  =  &lt;Key value&gt;</t>
        </r>
      </text>
    </comment>
    <comment ref="C229" authorId="0" shapeId="0">
      <text>
        <r>
          <rPr>
            <sz val="9"/>
            <color indexed="81"/>
            <rFont val="Tahoma"/>
            <family val="2"/>
          </rPr>
          <t>Row ID (intragroup guarantees provided)  =  &lt;Key value&gt;</t>
        </r>
      </text>
    </comment>
    <comment ref="C230" authorId="0" shapeId="0">
      <text>
        <r>
          <rPr>
            <sz val="9"/>
            <color indexed="81"/>
            <rFont val="Tahoma"/>
            <family val="2"/>
          </rPr>
          <t>Row ID (intragroup guarantees provided)  =  &lt;Key value&gt;</t>
        </r>
      </text>
    </comment>
    <comment ref="C231" authorId="0" shapeId="0">
      <text>
        <r>
          <rPr>
            <sz val="9"/>
            <color indexed="81"/>
            <rFont val="Tahoma"/>
            <family val="2"/>
          </rPr>
          <t>Row ID (intragroup guarantees provided)  =  &lt;Key value&gt;</t>
        </r>
      </text>
    </comment>
    <comment ref="C232" authorId="0" shapeId="0">
      <text>
        <r>
          <rPr>
            <sz val="9"/>
            <color indexed="81"/>
            <rFont val="Tahoma"/>
            <family val="2"/>
          </rPr>
          <t>Row ID (intragroup guarantees provided)  =  &lt;Key value&gt;</t>
        </r>
      </text>
    </comment>
    <comment ref="C233" authorId="0" shapeId="0">
      <text>
        <r>
          <rPr>
            <sz val="9"/>
            <color indexed="81"/>
            <rFont val="Tahoma"/>
            <family val="2"/>
          </rPr>
          <t>Row ID (intragroup guarantees provided)  =  &lt;Key value&gt;</t>
        </r>
      </text>
    </comment>
    <comment ref="C234" authorId="0" shapeId="0">
      <text>
        <r>
          <rPr>
            <sz val="9"/>
            <color indexed="81"/>
            <rFont val="Tahoma"/>
            <family val="2"/>
          </rPr>
          <t>Row ID (intragroup guarantees provided)  =  &lt;Key value&gt;</t>
        </r>
      </text>
    </comment>
    <comment ref="C235" authorId="0" shapeId="0">
      <text>
        <r>
          <rPr>
            <sz val="9"/>
            <color indexed="81"/>
            <rFont val="Tahoma"/>
            <family val="2"/>
          </rPr>
          <t>Row ID (intragroup guarantees provided)  =  &lt;Key value&gt;</t>
        </r>
      </text>
    </comment>
    <comment ref="C236" authorId="0" shapeId="0">
      <text>
        <r>
          <rPr>
            <sz val="9"/>
            <color indexed="81"/>
            <rFont val="Tahoma"/>
            <family val="2"/>
          </rPr>
          <t>Row ID (intragroup guarantees provided)  =  &lt;Key value&gt;</t>
        </r>
      </text>
    </comment>
    <comment ref="C237" authorId="0" shapeId="0">
      <text>
        <r>
          <rPr>
            <sz val="9"/>
            <color indexed="81"/>
            <rFont val="Tahoma"/>
            <family val="2"/>
          </rPr>
          <t>Row ID (intragroup guarantees provided)  =  &lt;Key value&gt;</t>
        </r>
      </text>
    </comment>
    <comment ref="C238" authorId="0" shapeId="0">
      <text>
        <r>
          <rPr>
            <sz val="9"/>
            <color indexed="81"/>
            <rFont val="Tahoma"/>
            <family val="2"/>
          </rPr>
          <t>Row ID (intragroup guarantees provided)  =  &lt;Key value&gt;</t>
        </r>
      </text>
    </comment>
    <comment ref="C239" authorId="0" shapeId="0">
      <text>
        <r>
          <rPr>
            <sz val="9"/>
            <color indexed="81"/>
            <rFont val="Tahoma"/>
            <family val="2"/>
          </rPr>
          <t>Row ID (intragroup guarantees provided)  =  &lt;Key value&gt;</t>
        </r>
      </text>
    </comment>
    <comment ref="C240" authorId="0" shapeId="0">
      <text>
        <r>
          <rPr>
            <sz val="9"/>
            <color indexed="81"/>
            <rFont val="Tahoma"/>
            <family val="2"/>
          </rPr>
          <t>Row ID (intragroup guarantees provided)  =  &lt;Key value&gt;</t>
        </r>
      </text>
    </comment>
    <comment ref="C241" authorId="0" shapeId="0">
      <text>
        <r>
          <rPr>
            <sz val="9"/>
            <color indexed="81"/>
            <rFont val="Tahoma"/>
            <family val="2"/>
          </rPr>
          <t>Row ID (intragroup guarantees provided)  =  &lt;Key value&gt;</t>
        </r>
      </text>
    </comment>
    <comment ref="C242" authorId="0" shapeId="0">
      <text>
        <r>
          <rPr>
            <sz val="9"/>
            <color indexed="81"/>
            <rFont val="Tahoma"/>
            <family val="2"/>
          </rPr>
          <t>Row ID (intragroup guarantees provided)  =  &lt;Key value&gt;</t>
        </r>
      </text>
    </comment>
    <comment ref="C243" authorId="0" shapeId="0">
      <text>
        <r>
          <rPr>
            <sz val="9"/>
            <color indexed="81"/>
            <rFont val="Tahoma"/>
            <family val="2"/>
          </rPr>
          <t>Row ID (intragroup guarantees provided)  =  &lt;Key value&gt;</t>
        </r>
      </text>
    </comment>
    <comment ref="C244" authorId="0" shapeId="0">
      <text>
        <r>
          <rPr>
            <sz val="9"/>
            <color indexed="81"/>
            <rFont val="Tahoma"/>
            <family val="2"/>
          </rPr>
          <t>Row ID (intragroup guarantees provided)  =  &lt;Key value&gt;</t>
        </r>
      </text>
    </comment>
    <comment ref="C245" authorId="0" shapeId="0">
      <text>
        <r>
          <rPr>
            <sz val="9"/>
            <color indexed="81"/>
            <rFont val="Tahoma"/>
            <family val="2"/>
          </rPr>
          <t>Row ID (intragroup guarantees provided)  =  &lt;Key value&gt;</t>
        </r>
      </text>
    </comment>
    <comment ref="C246" authorId="0" shapeId="0">
      <text>
        <r>
          <rPr>
            <sz val="9"/>
            <color indexed="81"/>
            <rFont val="Tahoma"/>
            <family val="2"/>
          </rPr>
          <t>Row ID (intragroup guarantees provided)  =  &lt;Key value&gt;</t>
        </r>
      </text>
    </comment>
    <comment ref="C247" authorId="0" shapeId="0">
      <text>
        <r>
          <rPr>
            <sz val="9"/>
            <color indexed="81"/>
            <rFont val="Tahoma"/>
            <family val="2"/>
          </rPr>
          <t>Row ID (intragroup guarantees provided)  =  &lt;Key value&gt;</t>
        </r>
      </text>
    </comment>
    <comment ref="C248" authorId="0" shapeId="0">
      <text>
        <r>
          <rPr>
            <sz val="9"/>
            <color indexed="81"/>
            <rFont val="Tahoma"/>
            <family val="2"/>
          </rPr>
          <t>Row ID (intragroup guarantees provided)  =  &lt;Key value&gt;</t>
        </r>
      </text>
    </comment>
    <comment ref="C249" authorId="0" shapeId="0">
      <text>
        <r>
          <rPr>
            <sz val="9"/>
            <color indexed="81"/>
            <rFont val="Tahoma"/>
            <family val="2"/>
          </rPr>
          <t>Row ID (intragroup guarantees provided)  =  &lt;Key value&gt;</t>
        </r>
      </text>
    </comment>
    <comment ref="C250" authorId="0" shapeId="0">
      <text>
        <r>
          <rPr>
            <sz val="9"/>
            <color indexed="81"/>
            <rFont val="Tahoma"/>
            <family val="2"/>
          </rPr>
          <t>Row ID (intragroup guarantees provided)  =  &lt;Key value&gt;</t>
        </r>
      </text>
    </comment>
    <comment ref="C251" authorId="0" shapeId="0">
      <text>
        <r>
          <rPr>
            <sz val="9"/>
            <color indexed="81"/>
            <rFont val="Tahoma"/>
            <family val="2"/>
          </rPr>
          <t>Row ID (intragroup guarantees provided)  =  &lt;Key value&gt;</t>
        </r>
      </text>
    </comment>
    <comment ref="C252" authorId="0" shapeId="0">
      <text>
        <r>
          <rPr>
            <sz val="9"/>
            <color indexed="81"/>
            <rFont val="Tahoma"/>
            <family val="2"/>
          </rPr>
          <t>Row ID (intragroup guarantees provided)  =  &lt;Key value&gt;</t>
        </r>
      </text>
    </comment>
    <comment ref="C253" authorId="0" shapeId="0">
      <text>
        <r>
          <rPr>
            <sz val="9"/>
            <color indexed="81"/>
            <rFont val="Tahoma"/>
            <family val="2"/>
          </rPr>
          <t>Row ID (intragroup guarantees provided)  =  &lt;Key value&gt;</t>
        </r>
      </text>
    </comment>
    <comment ref="C254" authorId="0" shapeId="0">
      <text>
        <r>
          <rPr>
            <sz val="9"/>
            <color indexed="81"/>
            <rFont val="Tahoma"/>
            <family val="2"/>
          </rPr>
          <t>Row ID (intragroup guarantees provided)  =  &lt;Key value&gt;</t>
        </r>
      </text>
    </comment>
    <comment ref="C255" authorId="0" shapeId="0">
      <text>
        <r>
          <rPr>
            <sz val="9"/>
            <color indexed="81"/>
            <rFont val="Tahoma"/>
            <family val="2"/>
          </rPr>
          <t>Row ID (intragroup guarantees provided)  =  &lt;Key value&gt;</t>
        </r>
      </text>
    </comment>
    <comment ref="C256" authorId="0" shapeId="0">
      <text>
        <r>
          <rPr>
            <sz val="9"/>
            <color indexed="81"/>
            <rFont val="Tahoma"/>
            <family val="2"/>
          </rPr>
          <t>Row ID (intragroup guarantees provided)  =  &lt;Key value&gt;</t>
        </r>
      </text>
    </comment>
    <comment ref="C257" authorId="0" shapeId="0">
      <text>
        <r>
          <rPr>
            <sz val="9"/>
            <color indexed="81"/>
            <rFont val="Tahoma"/>
            <family val="2"/>
          </rPr>
          <t>Row ID (intragroup guarantees provided)  =  &lt;Key value&gt;</t>
        </r>
      </text>
    </comment>
    <comment ref="C258" authorId="0" shapeId="0">
      <text>
        <r>
          <rPr>
            <sz val="9"/>
            <color indexed="81"/>
            <rFont val="Tahoma"/>
            <family val="2"/>
          </rPr>
          <t>Row ID (intragroup guarantees provided)  =  &lt;Key value&gt;</t>
        </r>
      </text>
    </comment>
    <comment ref="C259" authorId="0" shapeId="0">
      <text>
        <r>
          <rPr>
            <sz val="9"/>
            <color indexed="81"/>
            <rFont val="Tahoma"/>
            <family val="2"/>
          </rPr>
          <t>Row ID (intragroup guarantees provided)  =  &lt;Key value&gt;</t>
        </r>
      </text>
    </comment>
    <comment ref="C260" authorId="0" shapeId="0">
      <text>
        <r>
          <rPr>
            <sz val="9"/>
            <color indexed="81"/>
            <rFont val="Tahoma"/>
            <family val="2"/>
          </rPr>
          <t>Row ID (intragroup guarantees provided)  =  &lt;Key value&gt;</t>
        </r>
      </text>
    </comment>
    <comment ref="C261" authorId="0" shapeId="0">
      <text>
        <r>
          <rPr>
            <sz val="9"/>
            <color indexed="81"/>
            <rFont val="Tahoma"/>
            <family val="2"/>
          </rPr>
          <t>Row ID (intragroup guarantees provided)  =  &lt;Key value&gt;</t>
        </r>
      </text>
    </comment>
    <comment ref="C262" authorId="0" shapeId="0">
      <text>
        <r>
          <rPr>
            <sz val="9"/>
            <color indexed="81"/>
            <rFont val="Tahoma"/>
            <family val="2"/>
          </rPr>
          <t>Row ID (intragroup guarantees provided)  =  &lt;Key value&gt;</t>
        </r>
      </text>
    </comment>
    <comment ref="C263" authorId="0" shapeId="0">
      <text>
        <r>
          <rPr>
            <sz val="9"/>
            <color indexed="81"/>
            <rFont val="Tahoma"/>
            <family val="2"/>
          </rPr>
          <t>Row ID (intragroup guarantees provided)  =  &lt;Key value&gt;</t>
        </r>
      </text>
    </comment>
    <comment ref="C264" authorId="0" shapeId="0">
      <text>
        <r>
          <rPr>
            <sz val="9"/>
            <color indexed="81"/>
            <rFont val="Tahoma"/>
            <family val="2"/>
          </rPr>
          <t>Row ID (intragroup guarantees provided)  =  &lt;Key value&gt;</t>
        </r>
      </text>
    </comment>
    <comment ref="C265" authorId="0" shapeId="0">
      <text>
        <r>
          <rPr>
            <sz val="9"/>
            <color indexed="81"/>
            <rFont val="Tahoma"/>
            <family val="2"/>
          </rPr>
          <t>Row ID (intragroup guarantees provided)  =  &lt;Key value&gt;</t>
        </r>
      </text>
    </comment>
    <comment ref="C266" authorId="0" shapeId="0">
      <text>
        <r>
          <rPr>
            <sz val="9"/>
            <color indexed="81"/>
            <rFont val="Tahoma"/>
            <family val="2"/>
          </rPr>
          <t>Row ID (intragroup guarantees provided)  =  &lt;Key value&gt;</t>
        </r>
      </text>
    </comment>
    <comment ref="C267" authorId="0" shapeId="0">
      <text>
        <r>
          <rPr>
            <sz val="9"/>
            <color indexed="81"/>
            <rFont val="Tahoma"/>
            <family val="2"/>
          </rPr>
          <t>Row ID (intragroup guarantees provided)  =  &lt;Key value&gt;</t>
        </r>
      </text>
    </comment>
    <comment ref="C268" authorId="0" shapeId="0">
      <text>
        <r>
          <rPr>
            <sz val="9"/>
            <color indexed="81"/>
            <rFont val="Tahoma"/>
            <family val="2"/>
          </rPr>
          <t>Row ID (intragroup guarantees provided)  =  &lt;Key value&gt;</t>
        </r>
      </text>
    </comment>
    <comment ref="C269" authorId="0" shapeId="0">
      <text>
        <r>
          <rPr>
            <sz val="9"/>
            <color indexed="81"/>
            <rFont val="Tahoma"/>
            <family val="2"/>
          </rPr>
          <t>Row ID (intragroup guarantees provided)  =  &lt;Key value&gt;</t>
        </r>
      </text>
    </comment>
    <comment ref="C270" authorId="0" shapeId="0">
      <text>
        <r>
          <rPr>
            <sz val="9"/>
            <color indexed="81"/>
            <rFont val="Tahoma"/>
            <family val="2"/>
          </rPr>
          <t>Row ID (intragroup guarantees provided)  =  &lt;Key value&gt;</t>
        </r>
      </text>
    </comment>
    <comment ref="C271" authorId="0" shapeId="0">
      <text>
        <r>
          <rPr>
            <sz val="9"/>
            <color indexed="81"/>
            <rFont val="Tahoma"/>
            <family val="2"/>
          </rPr>
          <t>Row ID (intragroup guarantees provided)  =  &lt;Key value&gt;</t>
        </r>
      </text>
    </comment>
  </commentList>
</comments>
</file>

<file path=xl/comments8.xml><?xml version="1.0" encoding="utf-8"?>
<comments xmlns="http://schemas.openxmlformats.org/spreadsheetml/2006/main">
  <authors>
    <author>Haizhen Li</author>
  </authors>
  <commentList>
    <comment ref="D7" authorId="0" shapeId="0">
      <text>
        <r>
          <rPr>
            <sz val="9"/>
            <color indexed="81"/>
            <rFont val="Tahoma"/>
            <family val="2"/>
          </rPr>
          <t>Row ID (securities issued)  =  &lt;Key value&gt;</t>
        </r>
      </text>
    </comment>
    <comment ref="E7" authorId="0" shapeId="0">
      <text>
        <r>
          <rPr>
            <sz val="9"/>
            <color indexed="81"/>
            <rFont val="Tahoma"/>
            <family val="2"/>
          </rPr>
          <t>Metric  =  Row reference (aggregate template) [ei:ZZ:ZZ27_1]_x000D_
Main category of item that is the object of the transaction / contract  =  Debt securities issued, equity instruments issued, Equity issued other than Equity instruments issued</t>
        </r>
      </text>
    </comment>
    <comment ref="F7" authorId="0" shapeId="0">
      <text>
        <r>
          <rPr>
            <sz val="9"/>
            <color indexed="81"/>
            <rFont val="Tahoma"/>
            <family val="2"/>
          </rPr>
          <t>Metric  =  Column reference (aggregate template) [ei:ZZ:ZZ32]_x000D_
Main category of item that is the object of the transaction / contract  =  Debt securities issued, equity instruments issued, Equity issued other than Equity instruments issued</t>
        </r>
      </text>
    </comment>
    <comment ref="G7" authorId="0" shapeId="0">
      <text>
        <r>
          <rPr>
            <sz val="9"/>
            <color indexed="81"/>
            <rFont val="Tahoma"/>
            <family val="2"/>
          </rPr>
          <t>Metric  =  Ranking in insolvency [ei:ZZ:ZZ28]_x000D_
Base  =  Liabilities and Equity_x000D_
Main category  =  Debt securities issued, equity instruments issued, Equity issued other than Equity instruments issued</t>
        </r>
      </text>
    </comment>
    <comment ref="H7" authorId="0" shapeId="0">
      <text>
        <r>
          <rPr>
            <sz val="9"/>
            <color indexed="81"/>
            <rFont val="Tahoma"/>
            <family val="2"/>
          </rPr>
          <t>Metric  =  Identifier of the security [si]_x000D_
Base  =  Liabilities and Equity_x000D_
Main category  =  Debt securities issued, equity instruments issued, Equity issued other than Equity instruments issued</t>
        </r>
      </text>
    </comment>
    <comment ref="I7" authorId="0" shapeId="0">
      <text>
        <r>
          <rPr>
            <sz val="9"/>
            <color indexed="81"/>
            <rFont val="Tahoma"/>
            <family val="2"/>
          </rPr>
          <t>Metric  =  Type of instrument [ei:MC:MC74_1]_x000D_
Base  =  Liabilities and Equity_x000D_
Main category  =  Debt securities issued, equity instruments issued, Equity issued other than Equity instruments issued</t>
        </r>
      </text>
    </comment>
    <comment ref="J7" authorId="0" shapeId="0">
      <text>
        <r>
          <rPr>
            <sz val="9"/>
            <color indexed="81"/>
            <rFont val="Tahoma"/>
            <family val="2"/>
          </rPr>
          <t>Metric  =  Country the law of which governs the contract / master agreement [ei:GA:GA4]_x000D_
Base  =  Liabilities and Equity_x000D_
Main category  =  Debt securities issued, equity instruments issued, Equity issued other than Equity instruments issued</t>
        </r>
      </text>
    </comment>
    <comment ref="K7" authorId="0" shapeId="0">
      <text>
        <r>
          <rPr>
            <sz val="9"/>
            <color indexed="81"/>
            <rFont val="Tahoma"/>
            <family val="2"/>
          </rPr>
          <t>Metric  =  Contractual recognition of bail-in powers [ei:ZZ:ZZ37]_x000D_
Base  =  Liabilities and Equity_x000D_
Main category  =  Debt securities issued, equity instruments issued, Equity issued other than Equity instruments issued</t>
        </r>
      </text>
    </comment>
    <comment ref="L7" authorId="0" shapeId="0">
      <text>
        <r>
          <rPr>
            <sz val="9"/>
            <color indexed="81"/>
            <rFont val="Tahoma"/>
            <family val="2"/>
          </rPr>
          <t>Metric  =  Currency in which the transaction / contract is denominated (new) [ei:CU:CU3_4]_x000D_
Base  =  Liabilities and Equity_x000D_
Main category  =  Debt securities issued, equity instruments issued, Equity issued other than Equity instruments issued</t>
        </r>
      </text>
    </comment>
    <comment ref="M7" authorId="0" shapeId="0">
      <text>
        <r>
          <rPr>
            <sz val="9"/>
            <color indexed="81"/>
            <rFont val="Tahoma"/>
            <family val="2"/>
          </rPr>
          <t>Metric  =  Outstanding amount [mi]_x000D_
Base  =  Liabilities and Equity_x000D_
Main category  =  Debt securities issued, equity instruments issued, Equity issued other than Equity instruments issued_x000D_
Reference date or period  =  At the date of issuance</t>
        </r>
      </text>
    </comment>
    <comment ref="N7" authorId="0" shapeId="0">
      <text>
        <r>
          <rPr>
            <sz val="9"/>
            <color indexed="81"/>
            <rFont val="Tahoma"/>
            <family val="2"/>
          </rPr>
          <t>Metric  =  Outstanding amount. Principal [mi]_x000D_
Base  =  Liabilities and Equity_x000D_
Main category  =  Debt securities issued, equity instruments issued, Equity issued other than Equity instruments issued</t>
        </r>
      </text>
    </comment>
    <comment ref="O7" authorId="0" shapeId="0">
      <text>
        <r>
          <rPr>
            <sz val="9"/>
            <color indexed="81"/>
            <rFont val="Tahoma"/>
            <family val="2"/>
          </rPr>
          <t>Metric  =  Outstanding amount. Accrued interest [mi]_x000D_
Base  =  Liabilities and Equity_x000D_
Main category  =  Debt securities issued, equity instruments issued, Equity issued other than Equity instruments issued</t>
        </r>
      </text>
    </comment>
    <comment ref="P7" authorId="0" shapeId="0">
      <text>
        <r>
          <rPr>
            <sz val="9"/>
            <color indexed="81"/>
            <rFont val="Tahoma"/>
            <family val="2"/>
          </rPr>
          <t>Metric  =  Type of coupon [ei:ZZ:ZZ33_1]_x000D_
Base  =  Liabilities and Equity_x000D_
Main category  =  Debt securities issued, equity instruments issued, Equity issued other than Equity instruments issued</t>
        </r>
      </text>
    </comment>
    <comment ref="Q7" authorId="0" shapeId="0">
      <text>
        <r>
          <rPr>
            <sz val="9"/>
            <color indexed="81"/>
            <rFont val="Tahoma"/>
            <family val="2"/>
          </rPr>
          <t>Metric  =  Coupon rate / interest rate [pi]_x000D_
Base  =  Liabilities and Equity_x000D_
Main category  =  Debt securities issued, equity instruments issued, Equity issued other than Equity instruments issued</t>
        </r>
      </text>
    </comment>
    <comment ref="R7" authorId="0" shapeId="0">
      <text>
        <r>
          <rPr>
            <sz val="9"/>
            <color indexed="81"/>
            <rFont val="Tahoma"/>
            <family val="2"/>
          </rPr>
          <t>Metric  =  Date of issuance [di]_x000D_
Base  =  Liabilities and Equity_x000D_
Main category  =  Debt securities issued, equity instruments issued, Equity issued other than Equity instruments issued</t>
        </r>
      </text>
    </comment>
    <comment ref="S7" authorId="0" shapeId="0">
      <text>
        <r>
          <rPr>
            <sz val="9"/>
            <color indexed="81"/>
            <rFont val="Tahoma"/>
            <family val="2"/>
          </rPr>
          <t>Metric  =  Earliest date of redemption [di]_x000D_
Base  =  Liabilities and Equity_x000D_
Main category  =  Debt securities issued, equity instruments issued, Equity issued other than Equity instruments issued</t>
        </r>
      </text>
    </comment>
    <comment ref="T7" authorId="0" shapeId="0">
      <text>
        <r>
          <rPr>
            <sz val="9"/>
            <color indexed="81"/>
            <rFont val="Tahoma"/>
            <family val="2"/>
          </rPr>
          <t>Metric  =  Legal final maturity date [di]_x000D_
Base  =  Liabilities and Equity_x000D_
Main category  =  Debt securities issued, equity instruments issued, Equity issued other than Equity instruments issued</t>
        </r>
      </text>
    </comment>
    <comment ref="U7" authorId="0" shapeId="0">
      <text>
        <r>
          <rPr>
            <sz val="9"/>
            <color indexed="81"/>
            <rFont val="Tahoma"/>
            <family val="2"/>
          </rPr>
          <t>Metric  =  Type of placement [ei:ZZ:ZZ34]_x000D_
Base  =  Liabilities and Equity_x000D_
Main category  =  Debt securities issued, equity instruments issued, Equity issued other than Equity instruments issued</t>
        </r>
      </text>
    </comment>
    <comment ref="V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Paying agent</t>
        </r>
      </text>
    </comment>
    <comment ref="W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Trustee</t>
        </r>
      </text>
    </comment>
    <comment ref="X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Role in the contract  =  Investor, creditor</t>
        </r>
      </text>
    </comment>
    <comment ref="Y7" authorId="0" shapeId="0">
      <text>
        <r>
          <rPr>
            <sz val="9"/>
            <color indexed="81"/>
            <rFont val="Tahoma"/>
            <family val="2"/>
          </rPr>
          <t>Metric  =  Type of identifier [ei:AT:AT99]_x000D_
Main category of item that is the object of the transaction / contract  =  Debt securities issued, equity instruments issued, Equity issued other than Equity instruments issued_x000D_
Role in the contract  =  Investor, creditor</t>
        </r>
      </text>
    </comment>
    <comment ref="Z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Securities exchange</t>
        </r>
      </text>
    </comment>
    <comment ref="AA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Settlement system</t>
        </r>
      </text>
    </comment>
    <comment ref="AB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Registrar holder</t>
        </r>
      </text>
    </comment>
    <comment ref="AC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Servicing entities  =  Central Securities Depository (CSD)</t>
        </r>
      </text>
    </comment>
    <comment ref="AD7" authorId="0" shapeId="0">
      <text>
        <r>
          <rPr>
            <sz val="9"/>
            <color indexed="81"/>
            <rFont val="Tahoma"/>
            <family val="2"/>
          </rPr>
          <t>Metric  =  Collateralisation status [ei:ZZ:ZZ29]_x000D_
Base  =  Liabilities and Equity_x000D_
Main category  =  Debt securities issued, equity instruments issued, Equity issued other than Equity instruments issued</t>
        </r>
      </text>
    </comment>
    <comment ref="AE7" authorId="0" shapeId="0">
      <text>
        <r>
          <rPr>
            <sz val="9"/>
            <color indexed="81"/>
            <rFont val="Tahoma"/>
            <family val="2"/>
          </rPr>
          <t>Metric  =  Carrying amount [mi]_x000D_
Main category  =  Collateral posted_x000D_
Main category of collateralised item  =  Debt securities issued, equity instruments issued, Equity issued other than Equity instruments issued</t>
        </r>
      </text>
    </comment>
    <comment ref="AF7" authorId="0" shapeId="0">
      <text>
        <r>
          <rPr>
            <sz val="9"/>
            <color indexed="81"/>
            <rFont val="Tahoma"/>
            <family val="2"/>
          </rPr>
          <t>Metric  =  Entity code [si]_x000D_
Main category of item that is the object of the transaction / contract  =  Debt securities issued, equity instruments issued, Equity issued other than Equity instruments issued_x000D_
Role in the contract  =  Guarantor</t>
        </r>
      </text>
    </comment>
    <comment ref="AG7" authorId="0" shapeId="0">
      <text>
        <r>
          <rPr>
            <sz val="9"/>
            <color indexed="81"/>
            <rFont val="Tahoma"/>
            <family val="2"/>
          </rPr>
          <t>Metric  =  Outstanding amount [mi]_x000D_
Base  =  Liabilities and Equity_x000D_
Main category  =  Debt securities issued, equity instruments issued, Equity issued other than Equity instruments issued_x000D_
Is funded by an intra-group entity  =  True</t>
        </r>
      </text>
    </comment>
    <comment ref="AH7" authorId="0" shapeId="0">
      <text>
        <r>
          <rPr>
            <sz val="9"/>
            <color indexed="81"/>
            <rFont val="Tahoma"/>
            <family val="2"/>
          </rPr>
          <t>Metric  =  Type of contractual terms [ei:ZZ:ZZ30]_x000D_
Base  =  Liabilities and Equity_x000D_
Main category  =  Debt securities issued, equity instruments issued, Equity issued other than Equity instruments issued</t>
        </r>
      </text>
    </comment>
    <comment ref="AI7" authorId="0" shapeId="0">
      <text>
        <r>
          <rPr>
            <sz val="9"/>
            <color indexed="81"/>
            <rFont val="Tahoma"/>
            <family val="2"/>
          </rPr>
          <t>Metric  =  Outstanding amount [mi]_x000D_
Base  =  Liabilities and Equity_x000D_
Main category  =  Debt securities issued, equity instruments issued, Equity issued other than Equity instruments issued_x000D_
Eligibility for MREL  =  Eligible</t>
        </r>
      </text>
    </comment>
    <comment ref="AJ7" authorId="0" shapeId="0">
      <text>
        <r>
          <rPr>
            <sz val="9"/>
            <color indexed="81"/>
            <rFont val="Tahoma"/>
            <family val="2"/>
          </rPr>
          <t>Metric  =  Type of regulatory capital [ei:OF:OF8]_x000D_
Base  =  Liabilities and Equity_x000D_
Main category  =  Debt securities issued, equity instruments issued, Equity issued other than Equity instruments issued</t>
        </r>
      </text>
    </comment>
    <comment ref="AK7" authorId="0" shapeId="0">
      <text>
        <r>
          <rPr>
            <sz val="9"/>
            <color indexed="81"/>
            <rFont val="Tahoma"/>
            <family val="2"/>
          </rPr>
          <t>Metric  =  Amount including transitional provisions [mi]_x000D_
Base  =  Own funds_x000D_
Main category  =  Regulatory capital items_x000D_
Own funds  =  Total own funds_x000D_
Main category of item that is the object of the transaction / contract  =  Debt securities issued, equity instruments issued, Equity issued other than Equity instruments issued</t>
        </r>
      </text>
    </comment>
    <comment ref="C8" authorId="0" shapeId="0">
      <text>
        <r>
          <rPr>
            <sz val="9"/>
            <color indexed="81"/>
            <rFont val="Tahoma"/>
            <family val="2"/>
          </rPr>
          <t>Row ID (securities issued)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418072_x000D_
DataPointID 418072_x000D_
Metric  =  Row reference (aggregate template) [ei:ZZ:ZZ27_1]_x000D_
Row ID (securities issued)  =  &lt;Key value&gt;_x000D_
Main category of item that is the object of the transaction / contract  =  Debt securities issued, equity instruments issued, Equity issued other than Equity instruments issued</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418136_x000D_
DataPointID 418136_x000D_
Metric  =  Column reference (aggregate template) [ei:ZZ:ZZ32]_x000D_
Row ID (securities issued)  =  &lt;Key value&gt;_x000D_
Main category of item that is the object of the transaction / contract  =  Debt securities issued, equity instruments issued, Equity issued other than Equity instruments issued</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418078_x000D_
DataPointID 418078_x000D_
Metric  =  Ranking in insolvency [ei:ZZ:ZZ28]_x000D_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418141_x000D_
DataPointID 418141_x000D_
Metric  =  Identifier of the security [si]_x000D_
Base  =  Liabilities and Equity_x000D_
Row ID (securities issued)  =  &lt;Key value&gt;_x000D_
Main category  =  Debt securities issued, equity instruments issued, Equity issued other than Equity instruments issued</t>
        </r>
      </text>
    </comment>
    <comment ref="I8" authorId="0" shapeId="0">
      <text>
        <r>
          <rPr>
            <sz val="9"/>
            <color indexed="81"/>
            <rFont val="Tahoma"/>
            <family val="2"/>
          </rPr>
          <t>DataPointVID 418142_x000D_
DataPointID 418142_x000D_
Metric  =  Type of instrument [ei:MC:MC74_1]_x000D_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(MC:x710) Covered Bond_x000D_
(MC:x711) Secured Bond_x000D_
(MC:x712) Certificate of Deposit_x000D_
(MC:x713) Structured Note_x000D_
(MC:x714) Bond_x000D_
(MC:x715) Share_x000D_
(MC:x716) Other type of securities_x000D_
(MC:x925) Euro Medium Term Note (EMTN)_x000D_</t>
        </r>
        <r>
          <rPr>
            <sz val="9"/>
            <color indexed="81"/>
            <rFont val="Tahoma"/>
            <family val="2"/>
          </rPr>
          <t xml:space="preserve">
</t>
        </r>
      </text>
    </comment>
    <comment ref="J8" authorId="0" shapeId="0">
      <text>
        <r>
          <rPr>
            <sz val="9"/>
            <color indexed="81"/>
            <rFont val="Tahoma"/>
            <family val="2"/>
          </rPr>
          <t>DataPointVID 418091_x000D_
DataPointID 418091_x000D_
Metric  =  Country the law of which governs the contract / master agreement [ei:GA:GA4]_x000D_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K8" authorId="0" shapeId="0">
      <text>
        <r>
          <rPr>
            <sz val="9"/>
            <color indexed="81"/>
            <rFont val="Tahoma"/>
            <family val="2"/>
          </rPr>
          <t>DataPointVID 418098_x000D_
DataPointID 418098_x000D_
Metric  =  Contractual recognition of bail-in powers [ei:ZZ:ZZ37]_x000D_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(ZZ:x323) Yes (Contractual recognition of bail-in powers)_x000D_
(ZZ:x324) No (Contractual recognition of bail-in powers)_x000D_
(ZZ:x325) Not applicable (Contractual recognition of bail-in powers)_x000D_</t>
        </r>
        <r>
          <rPr>
            <sz val="9"/>
            <color indexed="81"/>
            <rFont val="Tahoma"/>
            <family val="2"/>
          </rPr>
          <t xml:space="preserve">
</t>
        </r>
      </text>
    </comment>
    <comment ref="L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M8" authorId="0" shapeId="0">
      <text>
        <r>
          <rPr>
            <sz val="9"/>
            <color indexed="81"/>
            <rFont val="Tahoma"/>
            <family val="2"/>
          </rPr>
          <t>DataPointVID 417799_x000D_
DataPointID 417799_x000D_
Metric  =  Outstanding amount [mi]_x000D_
Base  =  Liabilities and Equity_x000D_
Row ID (securities issued)  =  &lt;Key value&gt;_x000D_
Main category  =  Debt securities issued, equity instruments issued, Equity issued other than Equity instruments issued_x000D_
Reference date or period  =  At the date of issuance</t>
        </r>
      </text>
    </comment>
    <comment ref="N8" authorId="0" shapeId="0">
      <text>
        <r>
          <rPr>
            <sz val="9"/>
            <color indexed="81"/>
            <rFont val="Tahoma"/>
            <family val="2"/>
          </rPr>
          <t>DataPointVID 418102_x000D_
DataPointID 418102_x000D_
Metric  =  Outstanding amount. Principal [mi]_x000D_
Base  =  Liabilities and Equity_x000D_
Row ID (securities issued)  =  &lt;Key value&gt;_x000D_
Main category  =  Debt securities issued, equity instruments issued, Equity issued other than Equity instruments issued</t>
        </r>
      </text>
    </comment>
    <comment ref="O8" authorId="0" shapeId="0">
      <text>
        <r>
          <rPr>
            <sz val="9"/>
            <color indexed="81"/>
            <rFont val="Tahoma"/>
            <family val="2"/>
          </rPr>
          <t>DataPointVID 418106_x000D_
DataPointID 418106_x000D_
Metric  =  Outstanding amount. Accrued interest [mi]_x000D_
Base  =  Liabilities and Equity_x000D_
Row ID (securities issued)  =  &lt;Key value&gt;_x000D_
Main category  =  Debt securities issued, equity instruments issued, Equity issued other than Equity instruments issued</t>
        </r>
      </text>
    </comment>
    <comment ref="P8" authorId="0" shapeId="0">
      <text>
        <r>
          <rPr>
            <sz val="9"/>
            <color indexed="81"/>
            <rFont val="Tahoma"/>
            <family val="2"/>
          </rPr>
          <t>DataPointVID 418143_x000D_
DataPointID 418143_x000D_
Metric  =  Type of coupon [ei:ZZ:ZZ33_1]_x000D_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(ZZ:x302) Fixed coupon_x000D_
(ZZ:x303) Floating coupon_x000D_
(ZZ:x304) Zero-Coupon_x000D_
(ZZ:x332) Structured coupon_x000D_</t>
        </r>
        <r>
          <rPr>
            <sz val="9"/>
            <color indexed="81"/>
            <rFont val="Tahoma"/>
            <family val="2"/>
          </rPr>
          <t xml:space="preserve">
</t>
        </r>
      </text>
    </comment>
    <comment ref="Q8" authorId="0" shapeId="0">
      <text>
        <r>
          <rPr>
            <sz val="9"/>
            <color indexed="81"/>
            <rFont val="Tahoma"/>
            <family val="2"/>
          </rPr>
          <t>DataPointVID 418146_x000D_
DataPointID 418146_x000D_
Metric  =  Coupon rate / interest rate [pi]_x000D_
Base  =  Liabilities and Equity_x000D_
Row ID (securities issued)  =  &lt;Key value&gt;_x000D_
Main category  =  Debt securities issued, equity instruments issued, Equity issued other than Equity instruments issued</t>
        </r>
      </text>
    </comment>
    <comment ref="R8" authorId="0" shapeId="0">
      <text>
        <r>
          <rPr>
            <sz val="9"/>
            <color indexed="81"/>
            <rFont val="Tahoma"/>
            <family val="2"/>
          </rPr>
          <t>DataPointVID 418113_x000D_
DataPointID 418113_x000D_
Metric  =  Date of issuance [di]_x000D_
Base  =  Liabilities and Equity_x000D_
Row ID (securities issued)  =  &lt;Key value&gt;_x000D_
Main category  =  Debt securities issued, equity instruments issued, Equity issued other than Equity instruments issued</t>
        </r>
      </text>
    </comment>
    <comment ref="S8" authorId="0" shapeId="0">
      <text>
        <r>
          <rPr>
            <sz val="9"/>
            <color indexed="81"/>
            <rFont val="Tahoma"/>
            <family val="2"/>
          </rPr>
          <t>DataPointVID 418117_x000D_
DataPointID 418117_x000D_
Metric  =  Earliest date of redemption [di]_x000D_
Base  =  Liabilities and Equity_x000D_
Row ID (securities issued)  =  &lt;Key value&gt;_x000D_
Main category  =  Debt securities issued, equity instruments issued, Equity issued other than Equity instruments issued</t>
        </r>
      </text>
    </comment>
    <comment ref="T8" authorId="0" shapeId="0">
      <text>
        <r>
          <rPr>
            <sz val="9"/>
            <color indexed="81"/>
            <rFont val="Tahoma"/>
            <family val="2"/>
          </rPr>
          <t>DataPointVID 410217_x000D_
DataPointID 410217_x000D_
Metric  =  Legal final maturity date [di]_x000D_
Base  =  Liabilities and Equity_x000D_
Row ID (securities issued)  =  &lt;Key value&gt;_x000D_
Main category  =  Debt securities issued, equity instruments issued, Equity issued other than Equity instruments issued</t>
        </r>
      </text>
    </comment>
    <comment ref="U8" authorId="0" shapeId="0">
      <text>
        <r>
          <rPr>
            <sz val="9"/>
            <color indexed="81"/>
            <rFont val="Tahoma"/>
            <family val="2"/>
          </rPr>
          <t>DataPointVID 418147_x000D_
DataPointID 418147_x000D_
Metric  =  Type of placement [ei:ZZ:ZZ34]_x000D_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(ZZ:x305) Public placement_x000D_
(ZZ:x306) Private placement_x000D_</t>
        </r>
        <r>
          <rPr>
            <sz val="9"/>
            <color indexed="81"/>
            <rFont val="Tahoma"/>
            <family val="2"/>
          </rPr>
          <t xml:space="preserve">
</t>
        </r>
      </text>
    </comment>
    <comment ref="V8" authorId="0" shapeId="0">
      <text>
        <r>
          <rPr>
            <sz val="9"/>
            <color indexed="81"/>
            <rFont val="Tahoma"/>
            <family val="2"/>
          </rPr>
          <t>DataPointVID 410406_x000D_
DataPointID 410406_x000D_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Paying agent</t>
        </r>
      </text>
    </comment>
    <comment ref="W8" authorId="0" shapeId="0">
      <text>
        <r>
          <rPr>
            <sz val="9"/>
            <color indexed="81"/>
            <rFont val="Tahoma"/>
            <family val="2"/>
          </rPr>
          <t>DataPointVID 410407_x000D_
DataPointID 410407_x000D_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Trustee</t>
        </r>
      </text>
    </comment>
    <comment ref="X8" authorId="0" shapeId="0">
      <text>
        <r>
          <rPr>
            <sz val="9"/>
            <color indexed="81"/>
            <rFont val="Tahoma"/>
            <family val="2"/>
          </rPr>
          <t>DataPointVID 410404_x000D_
DataPointID 410404_x000D_
Metric  =  Entity code [si]_x000D_
Row ID (securities issued)  =  &lt;Key value&gt;_x000D_
Main category of item that is the object of the transaction / contract  =  Debt securities issued, equity instruments issued, Equity issued other than Equity instruments issued_x000D_
Role in the contract  =  Investor, creditor</t>
        </r>
      </text>
    </comment>
    <comment ref="Y8" authorId="0" shapeId="0">
      <text>
        <r>
          <rPr>
            <sz val="9"/>
            <color indexed="81"/>
            <rFont val="Tahoma"/>
            <family val="2"/>
          </rPr>
          <t>DataPointVID 428664_x000D_
DataPointID 428664_x000D_
Metric  =  Type of identifier [ei:AT:AT99]_x000D_
Row ID (securities issued)  =  &lt;Key value&gt;_x000D_
Main category of item that is the object of the transaction / contract  =  Debt securities issued, equity instruments issued, Equity issued other than Equity instruments issued_x000D_
Role in the contract  =  Investor, creditor</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Z8" authorId="0" shapeId="0">
      <text>
        <r>
          <rPr>
            <sz val="9"/>
            <color indexed="81"/>
            <rFont val="Tahoma"/>
            <family val="2"/>
          </rPr>
          <t>DataPointVID 410408_x000D_
DataPointID 410408_x000D_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Securities exchange</t>
        </r>
      </text>
    </comment>
    <comment ref="AA8" authorId="0" shapeId="0">
      <text>
        <r>
          <rPr>
            <sz val="9"/>
            <color indexed="81"/>
            <rFont val="Tahoma"/>
            <family val="2"/>
          </rPr>
          <t>DataPointVID 410409_x000D_
DataPointID 410409_x000D_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Settlement system</t>
        </r>
      </text>
    </comment>
    <comment ref="AB8" authorId="0" shapeId="0">
      <text>
        <r>
          <rPr>
            <sz val="9"/>
            <color indexed="81"/>
            <rFont val="Tahoma"/>
            <family val="2"/>
          </rPr>
          <t>DataPointVID 410410_x000D_
DataPointID 410410_x000D_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Registrar holder</t>
        </r>
      </text>
    </comment>
    <comment ref="AC8" authorId="0" shapeId="0">
      <text>
        <r>
          <rPr>
            <sz val="9"/>
            <color indexed="81"/>
            <rFont val="Tahoma"/>
            <family val="2"/>
          </rPr>
          <t>DataPointVID 410411_x000D_
DataPointID 410411_x000D_
Metric  =  Entity code [si]_x000D_
Row ID (securities issued)  =  &lt;Key value&gt;_x000D_
Main category of item that is the object of the transaction / contract  =  Debt securities issued, equity instruments issued, Equity issued other than Equity instruments issued_x000D_
Servicing entities  =  Central Securities Depository (CSD)</t>
        </r>
      </text>
    </comment>
    <comment ref="AD8" authorId="0" shapeId="0">
      <text>
        <r>
          <rPr>
            <sz val="9"/>
            <color indexed="81"/>
            <rFont val="Tahoma"/>
            <family val="2"/>
          </rPr>
          <t>DataPointVID 418121_x000D_
DataPointID 418121_x000D_
Metric  =  Collateralisation status [ei:ZZ:ZZ29]_x000D_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(ZZ:x282) Secured_x000D_
(ZZ:x283) Unsecured_x000D_</t>
        </r>
        <r>
          <rPr>
            <sz val="9"/>
            <color indexed="81"/>
            <rFont val="Tahoma"/>
            <family val="2"/>
          </rPr>
          <t xml:space="preserve">
</t>
        </r>
      </text>
    </comment>
    <comment ref="AE8" authorId="0" shapeId="0">
      <text>
        <r>
          <rPr>
            <sz val="9"/>
            <color indexed="81"/>
            <rFont val="Tahoma"/>
            <family val="2"/>
          </rPr>
          <t>DataPointVID 410144_x000D_
DataPointID 410144_x000D_
Metric  =  Carrying amount [mi]_x000D_
Row ID (securities issued)  =  &lt;Key value&gt;_x000D_
Main category of collateralised item  =  Debt securities issued, equity instruments issued, Equity issued other than Equity instruments issued_x000D_
Main category  =  Collateral posted</t>
        </r>
      </text>
    </comment>
    <comment ref="AF8" authorId="0" shapeId="0">
      <text>
        <r>
          <rPr>
            <sz val="9"/>
            <color indexed="81"/>
            <rFont val="Tahoma"/>
            <family val="2"/>
          </rPr>
          <t>DataPointVID 410405_x000D_
DataPointID 410405_x000D_
Metric  =  Entity code [si]_x000D_
Row ID (securities issued)  =  &lt;Key value&gt;_x000D_
Main category of item that is the object of the transaction / contract  =  Debt securities issued, equity instruments issued, Equity issued other than Equity instruments issued_x000D_
Role in the contract  =  Guarantor</t>
        </r>
      </text>
    </comment>
    <comment ref="AG8" authorId="0" shapeId="0">
      <text>
        <r>
          <rPr>
            <sz val="9"/>
            <color indexed="81"/>
            <rFont val="Tahoma"/>
            <family val="2"/>
          </rPr>
          <t>DataPointVID 417798_x000D_
DataPointID 417798_x000D_
Metric  =  Outstanding amount [mi]_x000D_
Base  =  Liabilities and Equity_x000D_
Is funded by an intra-group entity  =  True_x000D_
Row ID (securities issued)  =  &lt;Key value&gt;_x000D_
Main category  =  Debt securities issued, equity instruments issued, Equity issued other than Equity instruments issued</t>
        </r>
      </text>
    </comment>
    <comment ref="AH8" authorId="0" shapeId="0">
      <text>
        <r>
          <rPr>
            <sz val="9"/>
            <color indexed="81"/>
            <rFont val="Tahoma"/>
            <family val="2"/>
          </rPr>
          <t>DataPointVID 418125_x000D_
DataPointID 418125_x000D_
Metric  =  Type of contractual terms [ei:ZZ:ZZ30]_x000D_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(ZZ:x284) Non-structured/Vanilla_x000D_
(ZZ:x285) Structured_x000D_
(ZZ:x286) Other non-standard terms_x000D_</t>
        </r>
        <r>
          <rPr>
            <sz val="9"/>
            <color indexed="81"/>
            <rFont val="Tahoma"/>
            <family val="2"/>
          </rPr>
          <t xml:space="preserve">
</t>
        </r>
      </text>
    </comment>
    <comment ref="AI8" authorId="0" shapeId="0">
      <text>
        <r>
          <rPr>
            <sz val="9"/>
            <color indexed="81"/>
            <rFont val="Tahoma"/>
            <family val="2"/>
          </rPr>
          <t>DataPointVID 428280_x000D_
DataPointID 428280_x000D_
Metric  =  Outstanding amount [mi]_x000D_
Base  =  Liabilities and Equity_x000D_
Row ID (securities issued)  =  &lt;Key value&gt;_x000D_
Main category  =  Debt securities issued, equity instruments issued, Equity issued other than Equity instruments issued_x000D_
Eligibility for MREL  =  Eligible</t>
        </r>
      </text>
    </comment>
    <comment ref="AJ8" authorId="0" shapeId="0">
      <text>
        <r>
          <rPr>
            <sz val="9"/>
            <color indexed="81"/>
            <rFont val="Tahoma"/>
            <family val="2"/>
          </rPr>
          <t>DataPointVID 418128_x000D_
DataPointID 418128_x000D_
Metric  =  Type of regulatory capital [ei:OF:OF8]_x000D_
Base  =  Liabilities and Equity_x000D_
Row ID (securities issued)  =  &lt;Key value&gt;_x000D_
Main category  =  Debt securities issued, equity instruments issued, Equity issued other than Equity instruments issued</t>
        </r>
        <r>
          <rPr>
            <sz val="9"/>
            <color indexed="8"/>
            <rFont val="Tahoma"/>
            <family val="2"/>
          </rPr>
          <t>_x000D_
_x000D_
Value chosen from:_x000D_
(OF:x19) No_x000D_
(OF:x20) Partially (A)T1 and T2_x000D_
(OF:x21) T2 in phase-out_x000D_
(OF:x22) Grandfathered T2_x000D_
(OF:x23) Fully Compliant T2_x000D_
(OF:x24) Grandfathered AT1_x000D_
(OF:x25) Fully Compliant AT1_x000D_
(OF:x26) CET1_x000D_</t>
        </r>
        <r>
          <rPr>
            <sz val="9"/>
            <color indexed="81"/>
            <rFont val="Tahoma"/>
            <family val="2"/>
          </rPr>
          <t xml:space="preserve">
</t>
        </r>
      </text>
    </comment>
    <comment ref="AK8" authorId="0" shapeId="0">
      <text>
        <r>
          <rPr>
            <sz val="9"/>
            <color indexed="81"/>
            <rFont val="Tahoma"/>
            <family val="2"/>
          </rPr>
          <t>DataPointVID 410200_x000D_
DataPointID 410200_x000D_
Metric  =  Amount including transitional provisions [mi]_x000D_
Base  =  Own funds_x000D_
Row ID (securities issued)  =  &lt;Key value&gt;_x000D_
Main category of item that is the object of the transaction / contract  =  Debt securities issued, equity instruments issued, Equity issued other than Equity instruments issued_x000D_
Main category  =  Regulatory capital items_x000D_
Own funds  =  Total own funds</t>
        </r>
      </text>
    </comment>
  </commentList>
</comments>
</file>

<file path=xl/comments9.xml><?xml version="1.0" encoding="utf-8"?>
<comments xmlns="http://schemas.openxmlformats.org/spreadsheetml/2006/main">
  <authors>
    <author>Haizhen Li</author>
  </authors>
  <commentList>
    <comment ref="D7" authorId="0" shapeId="0">
      <text>
        <r>
          <rPr>
            <sz val="9"/>
            <color indexed="81"/>
            <rFont val="Tahoma"/>
            <family val="2"/>
          </rPr>
          <t>Row ID (deposits taken)  =  &lt;Key value&gt;</t>
        </r>
      </text>
    </comment>
    <comment ref="E7" authorId="0" shapeId="0">
      <text>
        <r>
          <rPr>
            <sz val="9"/>
            <color indexed="81"/>
            <rFont val="Tahoma"/>
            <family val="2"/>
          </rPr>
          <t>Metric  =  Row reference (aggregate template) [ei:ZZ:ZZ27_1]_x000D_
Main category of item that is the object of the transaction / contract  =  Deposits</t>
        </r>
      </text>
    </comment>
    <comment ref="F7" authorId="0" shapeId="0">
      <text>
        <r>
          <rPr>
            <sz val="9"/>
            <color indexed="81"/>
            <rFont val="Tahoma"/>
            <family val="2"/>
          </rPr>
          <t>Metric  =  Column reference (aggregate template) [ei:ZZ:ZZ32]_x000D_
Main category of item that is the object of the transaction / contract  =  Deposits</t>
        </r>
      </text>
    </comment>
    <comment ref="G7" authorId="0" shapeId="0">
      <text>
        <r>
          <rPr>
            <sz val="9"/>
            <color indexed="81"/>
            <rFont val="Tahoma"/>
            <family val="2"/>
          </rPr>
          <t>Metric  =  Ranking in insolvency [ei:ZZ:ZZ28]_x000D_
Main category  =  Deposits</t>
        </r>
      </text>
    </comment>
    <comment ref="H7" authorId="0" shapeId="0">
      <text>
        <r>
          <rPr>
            <sz val="9"/>
            <color indexed="81"/>
            <rFont val="Tahoma"/>
            <family val="2"/>
          </rPr>
          <t>Metric  =  Contract identifier [si]_x000D_
Main category of item that is the object of the transaction / contract  =  Deposits_x000D_
Related parties/Relationships  =  Non intra-group</t>
        </r>
      </text>
    </comment>
    <comment ref="I7" authorId="0" shapeId="0">
      <text>
        <r>
          <rPr>
            <sz val="9"/>
            <color indexed="81"/>
            <rFont val="Tahoma"/>
            <family val="2"/>
          </rPr>
          <t>Metric  =  Entity code [si]_x000D_
Main category of item that is the object of the transaction / contract  =  Deposits_x000D_
Related parties/Relationships  =  Non intra-group_x000D_
Role in the contract  =  Investor, creditor</t>
        </r>
      </text>
    </comment>
    <comment ref="J7" authorId="0" shapeId="0">
      <text>
        <r>
          <rPr>
            <sz val="9"/>
            <color indexed="81"/>
            <rFont val="Tahoma"/>
            <family val="2"/>
          </rPr>
          <t>Metric  =  Type of identifier [ei:AT:AT99]_x000D_
Related parties/Relationships  =  Non intra-group_x000D_
Role in the contract  =  Investor, creditor</t>
        </r>
      </text>
    </comment>
    <comment ref="K7" authorId="0" shapeId="0">
      <text>
        <r>
          <rPr>
            <sz val="9"/>
            <color indexed="81"/>
            <rFont val="Tahoma"/>
            <family val="2"/>
          </rPr>
          <t>Metric  =  Country the law of which governs the contract / master agreement [ei:GA:GA4]_x000D_
Main category  =  Deposits</t>
        </r>
      </text>
    </comment>
    <comment ref="L7" authorId="0" shapeId="0">
      <text>
        <r>
          <rPr>
            <sz val="9"/>
            <color indexed="81"/>
            <rFont val="Tahoma"/>
            <family val="2"/>
          </rPr>
          <t>Metric  =  Currency in which the transaction / contract is denominated (new) [ei:CU:CU3_4]_x000D_
Main category  =  Deposits</t>
        </r>
      </text>
    </comment>
    <comment ref="M7" authorId="0" shapeId="0">
      <text>
        <r>
          <rPr>
            <sz val="9"/>
            <color indexed="81"/>
            <rFont val="Tahoma"/>
            <family val="2"/>
          </rPr>
          <t>Metric  =  Outstanding amount. Principal [mi]_x000D_
Base  =  Liabilities_x000D_
Main category  =  Deposits</t>
        </r>
      </text>
    </comment>
    <comment ref="N7" authorId="0" shapeId="0">
      <text>
        <r>
          <rPr>
            <sz val="9"/>
            <color indexed="81"/>
            <rFont val="Tahoma"/>
            <family val="2"/>
          </rPr>
          <t>Metric  =  Outstanding amount. Accrued interest [mi]_x000D_
Base  =  Liabilities_x000D_
Main category  =  Deposits</t>
        </r>
      </text>
    </comment>
    <comment ref="O7" authorId="0" shapeId="0">
      <text>
        <r>
          <rPr>
            <sz val="9"/>
            <color indexed="81"/>
            <rFont val="Tahoma"/>
            <family val="2"/>
          </rPr>
          <t>Metric  =  Coupon rate / interest rate [pi]_x000D_
Base  =  Liabilities_x000D_
Main category  =  Deposits</t>
        </r>
      </text>
    </comment>
    <comment ref="P7" authorId="0" shapeId="0">
      <text>
        <r>
          <rPr>
            <sz val="9"/>
            <color indexed="81"/>
            <rFont val="Tahoma"/>
            <family val="2"/>
          </rPr>
          <t>Metric  =  Collateralisation status [ei:ZZ:ZZ29]_x000D_
Main category  =  Deposits</t>
        </r>
      </text>
    </comment>
    <comment ref="Q7" authorId="0" shapeId="0">
      <text>
        <r>
          <rPr>
            <sz val="9"/>
            <color indexed="81"/>
            <rFont val="Tahoma"/>
            <family val="2"/>
          </rPr>
          <t>Metric  =  Carrying amount [mi]_x000D_
Main category  =  Collateral posted_x000D_
Main category of collateralised item  =  Deposits</t>
        </r>
      </text>
    </comment>
    <comment ref="R7" authorId="0" shapeId="0">
      <text>
        <r>
          <rPr>
            <sz val="9"/>
            <color indexed="81"/>
            <rFont val="Tahoma"/>
            <family val="2"/>
          </rPr>
          <t>Metric  =  Outstanding amount [mi]_x000D_
Base  =  Liabilities_x000D_
Main category  =  Deposits_x000D_
Eligibility for MREL  =  Eligible</t>
        </r>
      </text>
    </comment>
    <comment ref="S7" authorId="0" shapeId="0">
      <text>
        <r>
          <rPr>
            <sz val="9"/>
            <color indexed="81"/>
            <rFont val="Tahoma"/>
            <family val="2"/>
          </rPr>
          <t>Metric  =  Date of issuance [di]_x000D_
Main category  =  Deposits</t>
        </r>
      </text>
    </comment>
    <comment ref="T7" authorId="0" shapeId="0">
      <text>
        <r>
          <rPr>
            <sz val="9"/>
            <color indexed="81"/>
            <rFont val="Tahoma"/>
            <family val="2"/>
          </rPr>
          <t>Metric  =  Earliest date of redemption [di]_x000D_
Main category  =  Deposits</t>
        </r>
      </text>
    </comment>
    <comment ref="U7" authorId="0" shapeId="0">
      <text>
        <r>
          <rPr>
            <sz val="9"/>
            <color indexed="81"/>
            <rFont val="Tahoma"/>
            <family val="2"/>
          </rPr>
          <t>Metric  =  Outstanding amount [mi]_x000D_
Base  =  Liabilities_x000D_
Main category  =  Deposits_x000D_
Is funded by an intra-group entity  =  True</t>
        </r>
      </text>
    </comment>
    <comment ref="C8" authorId="0" shapeId="0">
      <text>
        <r>
          <rPr>
            <sz val="9"/>
            <color indexed="81"/>
            <rFont val="Tahoma"/>
            <family val="2"/>
          </rPr>
          <t>Row ID (deposits taken)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428402_x000D_
DataPointID 428402_x000D_
Metric  =  Row reference (aggregate template) [ei:ZZ:ZZ27_1]_x000D_
Row ID (deposits taken)  =  &lt;Key value&gt;_x000D_
Main category of item that is the object of the transaction / contract  =  Deposits</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428433_x000D_
DataPointID 428433_x000D_
Metric  =  Column reference (aggregate template) [ei:ZZ:ZZ32]_x000D_
Row ID (deposits taken)  =  &lt;Key value&gt;_x000D_
Main category of item that is the object of the transaction / contract  =  Deposits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428407_x000D_
DataPointID 428407_x000D_
Metric  =  Ranking in insolvency [ei:ZZ:ZZ28]_x000D_
Row ID (deposits taken)  =  &lt;Key value&gt;_x000D_
Main category  =  Deposits</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428410_x000D_
DataPointID 428410_x000D_
Metric  =  Contract identifier [si]_x000D_
Row ID (deposits taken)  =  &lt;Key value&gt;_x000D_
Main category of item that is the object of the transaction / contract  =  Deposits_x000D_
Related parties/Relationships  =  Non intra-group</t>
        </r>
      </text>
    </comment>
    <comment ref="I8" authorId="0" shapeId="0">
      <text>
        <r>
          <rPr>
            <sz val="9"/>
            <color indexed="81"/>
            <rFont val="Tahoma"/>
            <family val="2"/>
          </rPr>
          <t>DataPointVID 424324_x000D_
DataPointID 424324_x000D_
Metric  =  Entity code [si]_x000D_
Row ID (deposits taken)  =  &lt;Key value&gt;_x000D_
Main category of item that is the object of the transaction / contract  =  Deposits_x000D_
Role in the contract  =  Investor, creditor_x000D_
Related parties/Relationships  =  Non intra-group</t>
        </r>
      </text>
    </comment>
    <comment ref="J8" authorId="0" shapeId="0">
      <text>
        <r>
          <rPr>
            <sz val="9"/>
            <color indexed="81"/>
            <rFont val="Tahoma"/>
            <family val="2"/>
          </rPr>
          <t>DataPointVID 428665_x000D_
DataPointID 428665_x000D_
Metric  =  Type of identifier [ei:AT:AT99]_x000D_
Row ID (deposits taken)  =  &lt;Key value&gt;_x000D_
Role in the contract  =  Investor, creditor_x000D_
Related parties/Relationships  =  Non intra-group</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K8" authorId="0" shapeId="0">
      <text>
        <r>
          <rPr>
            <sz val="9"/>
            <color indexed="81"/>
            <rFont val="Tahoma"/>
            <family val="2"/>
          </rPr>
          <t>DataPointVID 428414_x000D_
DataPointID 428414_x000D_
Metric  =  Country the law of which governs the contract / master agreement [ei:GA:GA4]_x000D_
Row ID (deposits taken)  =  &lt;Key value&gt;_x000D_
Main category  =  Deposits</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L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M8" authorId="0" shapeId="0">
      <text>
        <r>
          <rPr>
            <sz val="9"/>
            <color indexed="81"/>
            <rFont val="Tahoma"/>
            <family val="2"/>
          </rPr>
          <t>DataPointVID 428416_x000D_
DataPointID 428416_x000D_
Metric  =  Outstanding amount. Principal [mi]_x000D_
Base  =  Liabilities_x000D_
Row ID (deposits taken)  =  &lt;Key value&gt;_x000D_
Main category  =  Deposits</t>
        </r>
      </text>
    </comment>
    <comment ref="N8" authorId="0" shapeId="0">
      <text>
        <r>
          <rPr>
            <sz val="9"/>
            <color indexed="81"/>
            <rFont val="Tahoma"/>
            <family val="2"/>
          </rPr>
          <t>DataPointVID 428418_x000D_
DataPointID 428418_x000D_
Metric  =  Outstanding amount. Accrued interest [mi]_x000D_
Base  =  Liabilities_x000D_
Row ID (deposits taken)  =  &lt;Key value&gt;_x000D_
Main category  =  Deposits</t>
        </r>
      </text>
    </comment>
    <comment ref="O8" authorId="0" shapeId="0">
      <text>
        <r>
          <rPr>
            <sz val="9"/>
            <color indexed="81"/>
            <rFont val="Tahoma"/>
            <family val="2"/>
          </rPr>
          <t>DataPointVID 428436_x000D_
DataPointID 428436_x000D_
Metric  =  Coupon rate / interest rate [pi]_x000D_
Base  =  Liabilities_x000D_
Row ID (deposits taken)  =  &lt;Key value&gt;_x000D_
Main category  =  Deposits</t>
        </r>
      </text>
    </comment>
    <comment ref="P8" authorId="0" shapeId="0">
      <text>
        <r>
          <rPr>
            <sz val="9"/>
            <color indexed="81"/>
            <rFont val="Tahoma"/>
            <family val="2"/>
          </rPr>
          <t>DataPointVID 428429_x000D_
DataPointID 428429_x000D_
Metric  =  Collateralisation status [ei:ZZ:ZZ29]_x000D_
Row ID (deposits taken)  =  &lt;Key value&gt;_x000D_
Main category  =  Deposits</t>
        </r>
        <r>
          <rPr>
            <sz val="9"/>
            <color indexed="8"/>
            <rFont val="Tahoma"/>
            <family val="2"/>
          </rPr>
          <t>_x000D_
_x000D_
Value chosen from:_x000D_
(ZZ:x282) Secured_x000D_
(ZZ:x283) Unsecured_x000D_</t>
        </r>
        <r>
          <rPr>
            <sz val="9"/>
            <color indexed="81"/>
            <rFont val="Tahoma"/>
            <family val="2"/>
          </rPr>
          <t xml:space="preserve">
</t>
        </r>
      </text>
    </comment>
    <comment ref="Q8" authorId="0" shapeId="0">
      <text>
        <r>
          <rPr>
            <sz val="9"/>
            <color indexed="81"/>
            <rFont val="Tahoma"/>
            <family val="2"/>
          </rPr>
          <t>DataPointVID 410145_x000D_
DataPointID 410145_x000D_
Metric  =  Carrying amount [mi]_x000D_
Row ID (deposits taken)  =  &lt;Key value&gt;_x000D_
Main category of collateralised item  =  Deposits_x000D_
Main category  =  Collateral posted</t>
        </r>
      </text>
    </comment>
    <comment ref="S8" authorId="0" shapeId="0">
      <text>
        <r>
          <rPr>
            <sz val="9"/>
            <color indexed="81"/>
            <rFont val="Tahoma"/>
            <family val="2"/>
          </rPr>
          <t>DataPointVID 428425_x000D_
DataPointID 428425_x000D_
Metric  =  Date of issuance [di]_x000D_
Row ID (deposits taken)  =  &lt;Key value&gt;_x000D_
Main category  =  Deposits</t>
        </r>
      </text>
    </comment>
    <comment ref="T8" authorId="0" shapeId="0">
      <text>
        <r>
          <rPr>
            <sz val="9"/>
            <color indexed="81"/>
            <rFont val="Tahoma"/>
            <family val="2"/>
          </rPr>
          <t>DataPointVID 428427_x000D_
DataPointID 428427_x000D_
Metric  =  Earliest date of redemption [di]_x000D_
Row ID (deposits taken)  =  &lt;Key value&gt;_x000D_
Main category  =  Deposits</t>
        </r>
      </text>
    </comment>
    <comment ref="U8" authorId="0" shapeId="0">
      <text>
        <r>
          <rPr>
            <sz val="9"/>
            <color indexed="81"/>
            <rFont val="Tahoma"/>
            <family val="2"/>
          </rPr>
          <t>DataPointVID 428221_x000D_
DataPointID 428221_x000D_
Metric  =  Outstanding amount [mi]_x000D_
Base  =  Liabilities_x000D_
Is funded by an intra-group entity  =  True_x000D_
Row ID (deposits taken)  =  &lt;Key value&gt;_x000D_
Main category  =  Deposits</t>
        </r>
      </text>
    </comment>
  </commentList>
</comments>
</file>

<file path=xl/comments10.xml><?xml version="1.0" encoding="utf-8"?>
<comments xmlns="http://schemas.openxmlformats.org/spreadsheetml/2006/main">
  <authors>
    <author>Haizhen Li</author>
  </authors>
  <commentList>
    <comment ref="D7" authorId="0" shapeId="0">
      <text>
        <r>
          <rPr>
            <sz val="9"/>
            <color indexed="81"/>
            <rFont val="Tahoma"/>
            <family val="2"/>
          </rPr>
          <t>Row ID (other financial liabilities)  =  &lt;Key value&gt;</t>
        </r>
      </text>
    </comment>
    <comment ref="E7" authorId="0" shapeId="0">
      <text>
        <r>
          <rPr>
            <sz val="9"/>
            <color indexed="81"/>
            <rFont val="Tahoma"/>
            <family val="2"/>
          </rPr>
          <t>Metric  =  Row reference (aggregate template) [ei:ZZ:ZZ27_1]_x000D_
Main category of item that is the object of the transaction / contract  =  Short positions, other financial liabilities</t>
        </r>
      </text>
    </comment>
    <comment ref="F7" authorId="0" shapeId="0">
      <text>
        <r>
          <rPr>
            <sz val="9"/>
            <color indexed="81"/>
            <rFont val="Tahoma"/>
            <family val="2"/>
          </rPr>
          <t>Metric  =  Column reference (aggregate template) [ei:ZZ:ZZ32]_x000D_
Main category of item that is the object of the transaction / contract  =  Short positions, other financial liabilities</t>
        </r>
      </text>
    </comment>
    <comment ref="G7" authorId="0" shapeId="0">
      <text>
        <r>
          <rPr>
            <sz val="9"/>
            <color indexed="81"/>
            <rFont val="Tahoma"/>
            <family val="2"/>
          </rPr>
          <t>Metric  =  Ranking in insolvency [ei:ZZ:ZZ28]_x000D_
Base  =  Liabilities_x000D_
Main category  =  Short positions, other financial liabilities_x000D_
Related parties/Relationships  =  Non intra-group</t>
        </r>
      </text>
    </comment>
    <comment ref="H7" authorId="0" shapeId="0">
      <text>
        <r>
          <rPr>
            <sz val="9"/>
            <color indexed="81"/>
            <rFont val="Tahoma"/>
            <family val="2"/>
          </rPr>
          <t>Metric  =  Contract identifier [si]_x000D_
Base  =  Liabilities_x000D_
Main category  =  Short positions, other financial liabilities_x000D_
Related parties/Relationships  =  Non intra-group</t>
        </r>
      </text>
    </comment>
    <comment ref="I7" authorId="0" shapeId="0">
      <text>
        <r>
          <rPr>
            <sz val="9"/>
            <color indexed="81"/>
            <rFont val="Tahoma"/>
            <family val="2"/>
          </rPr>
          <t>Metric  =  Name of entity [si]_x000D_
Main category of item that is the object of the transaction / contract  =  Short positions, other financial liabilities_x000D_
Related parties/Relationships  =  Non intra-group_x000D_
Role in the contract  =  Investor, creditor</t>
        </r>
      </text>
    </comment>
    <comment ref="J7" authorId="0" shapeId="0">
      <text>
        <r>
          <rPr>
            <sz val="9"/>
            <color indexed="81"/>
            <rFont val="Tahoma"/>
            <family val="2"/>
          </rPr>
          <t>Metric  =  Entity code [si]_x000D_
Main category of item that is the object of the transaction / contract  =  Short positions, other financial liabilities_x000D_
Role in the contract  =  Investor, creditor</t>
        </r>
      </text>
    </comment>
    <comment ref="K7" authorId="0" shapeId="0">
      <text>
        <r>
          <rPr>
            <sz val="9"/>
            <color indexed="81"/>
            <rFont val="Tahoma"/>
            <family val="2"/>
          </rPr>
          <t>Metric  =  Type of identifier [ei:AT:AT99]_x000D_
Role in the contract  =  Investor, creditor</t>
        </r>
      </text>
    </comment>
    <comment ref="L7" authorId="0" shapeId="0">
      <text>
        <r>
          <rPr>
            <sz val="9"/>
            <color indexed="81"/>
            <rFont val="Tahoma"/>
            <family val="2"/>
          </rPr>
          <t>Metric  =  Country the law of which governs the contract / master agreement [ei:GA:GA4]_x000D_
Base  =  Liabilities_x000D_
Main category  =  Short positions, other financial liabilities_x000D_
Related parties/Relationships  =  Non intra-group</t>
        </r>
      </text>
    </comment>
    <comment ref="M7" authorId="0" shapeId="0">
      <text>
        <r>
          <rPr>
            <sz val="9"/>
            <color indexed="81"/>
            <rFont val="Tahoma"/>
            <family val="2"/>
          </rPr>
          <t>Metric  =  Type of financial liability [ei:MC:MC35]_x000D_
Base  =  Liabilities_x000D_
Main category  =  Short positions, other financial liabilities_x000D_
Related parties/Relationships  =  Non intra-group</t>
        </r>
      </text>
    </comment>
    <comment ref="N7" authorId="0" shapeId="0">
      <text>
        <r>
          <rPr>
            <sz val="9"/>
            <color indexed="81"/>
            <rFont val="Tahoma"/>
            <family val="2"/>
          </rPr>
          <t>Metric  =  Contractual recognition of bail-in powers [ei:ZZ:ZZ37]_x000D_
Base  =  Liabilities_x000D_
Main category  =  Short positions, other financial liabilities_x000D_
Related parties/Relationships  =  Non intra-group</t>
        </r>
      </text>
    </comment>
    <comment ref="O7" authorId="0" shapeId="0">
      <text>
        <r>
          <rPr>
            <sz val="9"/>
            <color indexed="81"/>
            <rFont val="Tahoma"/>
            <family val="2"/>
          </rPr>
          <t>Metric  =  Outstanding amount. Principal [mi]_x000D_
Base  =  Liabilities_x000D_
Main category  =  Short positions, other financial liabilities_x000D_
Related parties/Relationships  =  Non intra-group</t>
        </r>
      </text>
    </comment>
    <comment ref="P7" authorId="0" shapeId="0">
      <text>
        <r>
          <rPr>
            <sz val="9"/>
            <color indexed="81"/>
            <rFont val="Tahoma"/>
            <family val="2"/>
          </rPr>
          <t>Metric  =  Outstanding amount. Accrued interest [mi]_x000D_
Base  =  Liabilities_x000D_
Main category  =  Short positions, other financial liabilities_x000D_
Related parties/Relationships  =  Non intra-group</t>
        </r>
      </text>
    </comment>
    <comment ref="Q7" authorId="0" shapeId="0">
      <text>
        <r>
          <rPr>
            <sz val="9"/>
            <color indexed="81"/>
            <rFont val="Tahoma"/>
            <family val="2"/>
          </rPr>
          <t>Metric  =  Coupon rate / interest rate [pi]_x000D_
Base  =  Liabilities_x000D_
Main category  =  Short positions, other financial liabilities_x000D_
Related parties/Relationships  =  Non intra-group</t>
        </r>
      </text>
    </comment>
    <comment ref="R7" authorId="0" shapeId="0">
      <text>
        <r>
          <rPr>
            <sz val="9"/>
            <color indexed="81"/>
            <rFont val="Tahoma"/>
            <family val="2"/>
          </rPr>
          <t>Metric  =  Currency in which the transaction / contract is denominated (new) [ei:CU:CU3_4]_x000D_
Base  =  Liabilities_x000D_
Main category  =  Short positions, other financial liabilities_x000D_
Related parties/Relationships  =  Non intra-group</t>
        </r>
      </text>
    </comment>
    <comment ref="S7" authorId="0" shapeId="0">
      <text>
        <r>
          <rPr>
            <sz val="9"/>
            <color indexed="81"/>
            <rFont val="Tahoma"/>
            <family val="2"/>
          </rPr>
          <t>Metric  =  Date of issuance [di]_x000D_
Base  =  Liabilities_x000D_
Main category  =  Short positions, other financial liabilities_x000D_
Related parties/Relationships  =  Non intra-group</t>
        </r>
      </text>
    </comment>
    <comment ref="T7" authorId="0" shapeId="0">
      <text>
        <r>
          <rPr>
            <sz val="9"/>
            <color indexed="81"/>
            <rFont val="Tahoma"/>
            <family val="2"/>
          </rPr>
          <t>Metric  =  Earliest date of redemption [di]_x000D_
Base  =  Liabilities_x000D_
Main category  =  Short positions, other financial liabilities_x000D_
Related parties/Relationships  =  Non intra-group</t>
        </r>
      </text>
    </comment>
    <comment ref="U7" authorId="0" shapeId="0">
      <text>
        <r>
          <rPr>
            <sz val="9"/>
            <color indexed="81"/>
            <rFont val="Tahoma"/>
            <family val="2"/>
          </rPr>
          <t>Metric  =  Legal final maturity date [di]_x000D_
Base  =  Liabilities_x000D_
Main category  =  Short positions, other financial liabilities_x000D_
Related parties/Relationships  =  Non intra-group</t>
        </r>
      </text>
    </comment>
    <comment ref="V7" authorId="0" shapeId="0">
      <text>
        <r>
          <rPr>
            <sz val="9"/>
            <color indexed="81"/>
            <rFont val="Tahoma"/>
            <family val="2"/>
          </rPr>
          <t>Metric  =  Collateralisation status [ei:ZZ:ZZ29]_x000D_
Base  =  Liabilities_x000D_
Main category  =  Short positions, other financial liabilities_x000D_
Related parties/Relationships  =  Non intra-group</t>
        </r>
      </text>
    </comment>
    <comment ref="W7" authorId="0" shapeId="0">
      <text>
        <r>
          <rPr>
            <sz val="9"/>
            <color indexed="81"/>
            <rFont val="Tahoma"/>
            <family val="2"/>
          </rPr>
          <t>Metric  =  Carrying amount [mi]_x000D_
Main category  =  Collateral posted_x000D_
Main category of collateralised item  =  Short positions, other financial liabilities</t>
        </r>
      </text>
    </comment>
    <comment ref="X7" authorId="0" shapeId="0">
      <text>
        <r>
          <rPr>
            <sz val="9"/>
            <color indexed="81"/>
            <rFont val="Tahoma"/>
            <family val="2"/>
          </rPr>
          <t>Metric  =  Entity code [si]_x000D_
Main category of item that is the object of the transaction / contract  =  Short positions, other financial liabilities_x000D_
Role in the contract  =  Guarantor</t>
        </r>
      </text>
    </comment>
    <comment ref="Y7" authorId="0" shapeId="0">
      <text>
        <r>
          <rPr>
            <sz val="9"/>
            <color indexed="81"/>
            <rFont val="Tahoma"/>
            <family val="2"/>
          </rPr>
          <t>Metric  =  Outstanding amount [mi]_x000D_
Base  =  Liabilities_x000D_
Main category  =  Short positions, other financial liabilities_x000D_
Related parties/Relationships  =  Non intra-group_x000D_
Is funded by an intra-group entity  =  True</t>
        </r>
      </text>
    </comment>
    <comment ref="Z7" authorId="0" shapeId="0">
      <text>
        <r>
          <rPr>
            <sz val="9"/>
            <color indexed="81"/>
            <rFont val="Tahoma"/>
            <family val="2"/>
          </rPr>
          <t>Metric  =  Type of contractual terms [ei:ZZ:ZZ30]_x000D_
Base  =  Liabilities_x000D_
Main category  =  Short positions, other financial liabilities_x000D_
Related parties/Relationships  =  Non intra-group</t>
        </r>
      </text>
    </comment>
    <comment ref="AA7" authorId="0" shapeId="0">
      <text>
        <r>
          <rPr>
            <sz val="9"/>
            <color indexed="81"/>
            <rFont val="Tahoma"/>
            <family val="2"/>
          </rPr>
          <t>Metric  =  Outstanding amount [mi]_x000D_
Base  =  Liabilities_x000D_
Main category  =  Short positions, other financial liabilities_x000D_
Related parties/Relationships  =  Non intra-group_x000D_
Eligibility for MREL  =  Eligible</t>
        </r>
      </text>
    </comment>
    <comment ref="AB7" authorId="0" shapeId="0">
      <text>
        <r>
          <rPr>
            <sz val="9"/>
            <color indexed="81"/>
            <rFont val="Tahoma"/>
            <family val="2"/>
          </rPr>
          <t>Metric  =  Type of regulatory capital [ei:OF:OF8]_x000D_
Base  =  Liabilities_x000D_
Main category  =  Short positions, other financial liabilities_x000D_
Related parties/Relationships  =  Non intra-group</t>
        </r>
      </text>
    </comment>
    <comment ref="AC7" authorId="0" shapeId="0">
      <text>
        <r>
          <rPr>
            <sz val="9"/>
            <color indexed="81"/>
            <rFont val="Tahoma"/>
            <family val="2"/>
          </rPr>
          <t>Metric  =  Amount including transitional provisions [mi]_x000D_
Base  =  Own funds_x000D_
Main category  =  Regulatory capital items_x000D_
Own funds  =  Total own funds_x000D_
Main category of item that is the object of the transaction / contract  =  Short positions, other financial liabilities</t>
        </r>
      </text>
    </comment>
    <comment ref="C8" authorId="0" shapeId="0">
      <text>
        <r>
          <rPr>
            <sz val="9"/>
            <color indexed="81"/>
            <rFont val="Tahoma"/>
            <family val="2"/>
          </rPr>
          <t>Row ID (other financial liabilities)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428403_x000D_
DataPointID 428403_x000D_
Metric  =  Row reference (aggregate template) [ei:ZZ:ZZ27_1]_x000D_
Row ID (other financial liabilities)  =  &lt;Key value&gt;_x000D_
Main category of item that is the object of the transaction / contract  =  Short positions, other financial liabilities</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428434_x000D_
DataPointID 428434_x000D_
Metric  =  Column reference (aggregate template) [ei:ZZ:ZZ32]_x000D_
Row ID (other financial liabilities)  =  &lt;Key value&gt;_x000D_
Main category of item that is the object of the transaction / contract  =  Short positions, other financial liabilities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428405_x000D_
DataPointID 428405_x000D_
Metric  =  Ranking in insolvency [ei:ZZ:ZZ28]_x000D_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428408_x000D_
DataPointID 428408_x000D_
Metric  =  Contract identifier [si]_x000D_
Base  =  Liabilities_x000D_
Row ID (other financial liabilities)  =  &lt;Key value&gt;_x000D_
Main category  =  Short positions, other financial liabilities_x000D_
Related parties/Relationships  =  Non intra-group</t>
        </r>
      </text>
    </comment>
    <comment ref="I8" authorId="0" shapeId="0">
      <text>
        <r>
          <rPr>
            <sz val="9"/>
            <color indexed="81"/>
            <rFont val="Tahoma"/>
            <family val="2"/>
          </rPr>
          <t>DataPointVID 423760_x000D_
DataPointID 423760_x000D_
Metric  =  Name of entity [si]_x000D_
Row ID (other financial liabilities)  =  &lt;Key value&gt;_x000D_
Main category of item that is the object of the transaction / contract  =  Short positions, other financial liabilities_x000D_
Role in the contract  =  Investor, creditor_x000D_
Related parties/Relationships  =  Non intra-group</t>
        </r>
      </text>
    </comment>
    <comment ref="J8" authorId="0" shapeId="0">
      <text>
        <r>
          <rPr>
            <sz val="9"/>
            <color indexed="81"/>
            <rFont val="Tahoma"/>
            <family val="2"/>
          </rPr>
          <t>DataPointVID 424325_x000D_
DataPointID 424325_x000D_
Metric  =  Entity code [si]_x000D_
Row ID (other financial liabilities)  =  &lt;Key value&gt;_x000D_
Main category of item that is the object of the transaction / contract  =  Short positions, other financial liabilities_x000D_
Role in the contract  =  Investor, creditor</t>
        </r>
      </text>
    </comment>
    <comment ref="K8" authorId="0" shapeId="0">
      <text>
        <r>
          <rPr>
            <sz val="9"/>
            <color indexed="81"/>
            <rFont val="Tahoma"/>
            <family val="2"/>
          </rPr>
          <t>DataPointVID 428666_x000D_
DataPointID 428666_x000D_
Metric  =  Type of identifier [ei:AT:AT99]_x000D_
Row ID (other financial liabilities)  =  &lt;Key value&gt;_x000D_
Role in the contract  =  Investor, creditor</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L8" authorId="0" shapeId="0">
      <text>
        <r>
          <rPr>
            <sz val="9"/>
            <color indexed="81"/>
            <rFont val="Tahoma"/>
            <family val="2"/>
          </rPr>
          <t>DataPointVID 428411_x000D_
DataPointID 428411_x000D_
Metric  =  Country the law of which governs the contract / master agreement [ei:GA:GA4]_x000D_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M8" authorId="0" shapeId="0">
      <text>
        <r>
          <rPr>
            <sz val="9"/>
            <color indexed="81"/>
            <rFont val="Tahoma"/>
            <family val="2"/>
          </rPr>
          <t>DataPointVID 428671_x000D_
DataPointID 428671_x000D_
Metric  =  Type of financial liability [ei:MC:MC35]_x000D_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(MC:x926) Promissory note_x000D_
(MC:x927) Registered note_x000D_
(MC:x928) Bill of exchange_x000D_
(MC:x929) Silent Partnership Contributions_x000D_
(MC:x930) Financial liabilities other than debt securities issued, deposits, promissory notes, registered notes, bills of exchange, silent partnership contributions_x000D_</t>
        </r>
        <r>
          <rPr>
            <sz val="9"/>
            <color indexed="81"/>
            <rFont val="Tahoma"/>
            <family val="2"/>
          </rPr>
          <t xml:space="preserve">
</t>
        </r>
      </text>
    </comment>
    <comment ref="N8" authorId="0" shapeId="0">
      <text>
        <r>
          <rPr>
            <sz val="9"/>
            <color indexed="81"/>
            <rFont val="Tahoma"/>
            <family val="2"/>
          </rPr>
          <t>DataPointVID 428415_x000D_
DataPointID 428415_x000D_
Metric  =  Contractual recognition of bail-in powers [ei:ZZ:ZZ37]_x000D_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(ZZ:x323) Yes (Contractual recognition of bail-in powers)_x000D_
(ZZ:x324) No (Contractual recognition of bail-in powers)_x000D_
(ZZ:x325) Not applicable (Contractual recognition of bail-in powers)_x000D_</t>
        </r>
        <r>
          <rPr>
            <sz val="9"/>
            <color indexed="81"/>
            <rFont val="Tahoma"/>
            <family val="2"/>
          </rPr>
          <t xml:space="preserve">
</t>
        </r>
      </text>
    </comment>
    <comment ref="O8" authorId="0" shapeId="0">
      <text>
        <r>
          <rPr>
            <sz val="9"/>
            <color indexed="81"/>
            <rFont val="Tahoma"/>
            <family val="2"/>
          </rPr>
          <t>DataPointVID 428417_x000D_
DataPointID 428417_x000D_
Metric  =  Outstanding amount. Principal [mi]_x000D_
Base  =  Liabilities_x000D_
Row ID (other financial liabilities)  =  &lt;Key value&gt;_x000D_
Main category  =  Short positions, other financial liabilities_x000D_
Related parties/Relationships  =  Non intra-group</t>
        </r>
      </text>
    </comment>
    <comment ref="P8" authorId="0" shapeId="0">
      <text>
        <r>
          <rPr>
            <sz val="9"/>
            <color indexed="81"/>
            <rFont val="Tahoma"/>
            <family val="2"/>
          </rPr>
          <t>DataPointVID 428419_x000D_
DataPointID 428419_x000D_
Metric  =  Outstanding amount. Accrued interest [mi]_x000D_
Base  =  Liabilities_x000D_
Row ID (other financial liabilities)  =  &lt;Key value&gt;_x000D_
Main category  =  Short positions, other financial liabilities_x000D_
Related parties/Relationships  =  Non intra-group</t>
        </r>
      </text>
    </comment>
    <comment ref="Q8" authorId="0" shapeId="0">
      <text>
        <r>
          <rPr>
            <sz val="9"/>
            <color indexed="81"/>
            <rFont val="Tahoma"/>
            <family val="2"/>
          </rPr>
          <t>DataPointVID 428437_x000D_
DataPointID 428437_x000D_
Metric  =  Coupon rate / interest rate [pi]_x000D_
Base  =  Liabilities_x000D_
Row ID (other financial liabilities)  =  &lt;Key value&gt;_x000D_
Main category  =  Short positions, other financial liabilities_x000D_
Related parties/Relationships  =  Non intra-group</t>
        </r>
      </text>
    </comment>
    <comment ref="R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S8" authorId="0" shapeId="0">
      <text>
        <r>
          <rPr>
            <sz val="9"/>
            <color indexed="81"/>
            <rFont val="Tahoma"/>
            <family val="2"/>
          </rPr>
          <t>DataPointVID 428423_x000D_
DataPointID 428423_x000D_
Metric  =  Date of issuance [di]_x000D_
Base  =  Liabilities_x000D_
Row ID (other financial liabilities)  =  &lt;Key value&gt;_x000D_
Main category  =  Short positions, other financial liabilities_x000D_
Related parties/Relationships  =  Non intra-group</t>
        </r>
      </text>
    </comment>
    <comment ref="T8" authorId="0" shapeId="0">
      <text>
        <r>
          <rPr>
            <sz val="9"/>
            <color indexed="81"/>
            <rFont val="Tahoma"/>
            <family val="2"/>
          </rPr>
          <t>DataPointVID 428426_x000D_
DataPointID 428426_x000D_
Metric  =  Earliest date of redemption [di]_x000D_
Base  =  Liabilities_x000D_
Row ID (other financial liabilities)  =  &lt;Key value&gt;_x000D_
Main category  =  Short positions, other financial liabilities_x000D_
Related parties/Relationships  =  Non intra-group</t>
        </r>
      </text>
    </comment>
    <comment ref="U8" authorId="0" shapeId="0">
      <text>
        <r>
          <rPr>
            <sz val="9"/>
            <color indexed="81"/>
            <rFont val="Tahoma"/>
            <family val="2"/>
          </rPr>
          <t>DataPointVID 423749_x000D_
DataPointID 423749_x000D_
Metric  =  Legal final maturity date [di]_x000D_
Base  =  Liabilities_x000D_
Row ID (other financial liabilities)  =  &lt;Key value&gt;_x000D_
Main category  =  Short positions, other financial liabilities_x000D_
Related parties/Relationships  =  Non intra-group</t>
        </r>
      </text>
    </comment>
    <comment ref="V8" authorId="0" shapeId="0">
      <text>
        <r>
          <rPr>
            <sz val="9"/>
            <color indexed="81"/>
            <rFont val="Tahoma"/>
            <family val="2"/>
          </rPr>
          <t>DataPointVID 428428_x000D_
DataPointID 428428_x000D_
Metric  =  Collateralisation status [ei:ZZ:ZZ29]_x000D_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(ZZ:x282) Secured_x000D_
(ZZ:x283) Unsecured_x000D_</t>
        </r>
        <r>
          <rPr>
            <sz val="9"/>
            <color indexed="81"/>
            <rFont val="Tahoma"/>
            <family val="2"/>
          </rPr>
          <t xml:space="preserve">
</t>
        </r>
      </text>
    </comment>
    <comment ref="W8" authorId="0" shapeId="0">
      <text>
        <r>
          <rPr>
            <sz val="9"/>
            <color indexed="81"/>
            <rFont val="Tahoma"/>
            <family val="2"/>
          </rPr>
          <t>DataPointVID 423102_x000D_
DataPointID 423102_x000D_
Metric  =  Carrying amount [mi]_x000D_
Row ID (other financial liabilities)  =  &lt;Key value&gt;_x000D_
Main category of collateralised item  =  Short positions, other financial liabilities_x000D_
Main category  =  Collateral posted</t>
        </r>
      </text>
    </comment>
    <comment ref="X8" authorId="0" shapeId="0">
      <text>
        <r>
          <rPr>
            <sz val="9"/>
            <color indexed="81"/>
            <rFont val="Tahoma"/>
            <family val="2"/>
          </rPr>
          <t>DataPointVID 424326_x000D_
DataPointID 424326_x000D_
Metric  =  Entity code [si]_x000D_
Row ID (other financial liabilities)  =  &lt;Key value&gt;_x000D_
Main category of item that is the object of the transaction / contract  =  Short positions, other financial liabilities_x000D_
Role in the contract  =  Guarantor</t>
        </r>
      </text>
    </comment>
    <comment ref="Y8" authorId="0" shapeId="0">
      <text>
        <r>
          <rPr>
            <sz val="9"/>
            <color indexed="81"/>
            <rFont val="Tahoma"/>
            <family val="2"/>
          </rPr>
          <t>DataPointVID 428222_x000D_
DataPointID 428222_x000D_
Metric  =  Outstanding amount [mi]_x000D_
Base  =  Liabilities_x000D_
Is funded by an intra-group entity  =  True_x000D_
Row ID (other financial liabilities)  =  &lt;Key value&gt;_x000D_
Main category  =  Short positions, other financial liabilities_x000D_
Related parties/Relationships  =  Non intra-group</t>
        </r>
      </text>
    </comment>
    <comment ref="Z8" authorId="0" shapeId="0">
      <text>
        <r>
          <rPr>
            <sz val="9"/>
            <color indexed="81"/>
            <rFont val="Tahoma"/>
            <family val="2"/>
          </rPr>
          <t>DataPointVID 428430_x000D_
DataPointID 428430_x000D_
Metric  =  Type of contractual terms [ei:ZZ:ZZ30]_x000D_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(ZZ:x284) Non-structured/Vanilla_x000D_
(ZZ:x285) Structured_x000D_
(ZZ:x286) Other non-standard terms_x000D_</t>
        </r>
        <r>
          <rPr>
            <sz val="9"/>
            <color indexed="81"/>
            <rFont val="Tahoma"/>
            <family val="2"/>
          </rPr>
          <t xml:space="preserve">
</t>
        </r>
      </text>
    </comment>
    <comment ref="AA8" authorId="0" shapeId="0">
      <text>
        <r>
          <rPr>
            <sz val="9"/>
            <color indexed="81"/>
            <rFont val="Tahoma"/>
            <family val="2"/>
          </rPr>
          <t>DataPointVID 428277_x000D_
DataPointID 428277_x000D_
Metric  =  Outstanding amount [mi]_x000D_
Base  =  Liabilities_x000D_
Row ID (other financial liabilities)  =  &lt;Key value&gt;_x000D_
Main category  =  Short positions, other financial liabilities_x000D_
Eligibility for MREL  =  Eligible_x000D_
Related parties/Relationships  =  Non intra-group</t>
        </r>
      </text>
    </comment>
    <comment ref="AB8" authorId="0" shapeId="0">
      <text>
        <r>
          <rPr>
            <sz val="9"/>
            <color indexed="81"/>
            <rFont val="Tahoma"/>
            <family val="2"/>
          </rPr>
          <t>DataPointVID 428431_x000D_
DataPointID 428431_x000D_
Metric  =  Type of regulatory capital [ei:OF:OF8]_x000D_
Base  =  Liabilities_x000D_
Row ID (other financial liabilities)  =  &lt;Key value&gt;_x000D_
Main category  =  Short positions, other financial liabilities_x000D_
Related parties/Relationships  =  Non intra-group</t>
        </r>
        <r>
          <rPr>
            <sz val="9"/>
            <color indexed="8"/>
            <rFont val="Tahoma"/>
            <family val="2"/>
          </rPr>
          <t>_x000D_
_x000D_
Value chosen from:_x000D_
(OF:x19) No_x000D_
(OF:x20) Partially (A)T1 and T2_x000D_
(OF:x21) T2 in phase-out_x000D_
(OF:x22) Grandfathered T2_x000D_
(OF:x23) Fully Compliant T2_x000D_
(OF:x24) Grandfathered AT1_x000D_
(OF:x25) Fully Compliant AT1_x000D_
(OF:x26) CET1_x000D_</t>
        </r>
        <r>
          <rPr>
            <sz val="9"/>
            <color indexed="81"/>
            <rFont val="Tahoma"/>
            <family val="2"/>
          </rPr>
          <t xml:space="preserve">
</t>
        </r>
      </text>
    </comment>
    <comment ref="AC8" authorId="0" shapeId="0">
      <text>
        <r>
          <rPr>
            <sz val="9"/>
            <color indexed="81"/>
            <rFont val="Tahoma"/>
            <family val="2"/>
          </rPr>
          <t>DataPointVID 423107_x000D_
DataPointID 423107_x000D_
Metric  =  Amount including transitional provisions [mi]_x000D_
Base  =  Own funds_x000D_
Row ID (other financial liabilities)  =  &lt;Key value&gt;_x000D_
Main category of item that is the object of the transaction / contract  =  Short positions, other financial liabilities_x000D_
Main category  =  Regulatory capital items_x000D_
Own funds  =  Total own funds</t>
        </r>
      </text>
    </comment>
  </commentList>
</comments>
</file>

<file path=xl/comments11.xml><?xml version="1.0" encoding="utf-8"?>
<comments xmlns="http://schemas.openxmlformats.org/spreadsheetml/2006/main">
  <authors>
    <author>Haizhen Li</author>
  </authors>
  <commentList>
    <comment ref="D7" authorId="0" shapeId="0">
      <text>
        <r>
          <rPr>
            <sz val="9"/>
            <color indexed="81"/>
            <rFont val="Tahoma"/>
            <family val="2"/>
          </rPr>
          <t>Main category of item that is the object of the transaction / contract  =  Derivatives_x000D_
Row ID (derivatives - netting sets)  =  &lt;Key value&gt;</t>
        </r>
      </text>
    </comment>
    <comment ref="E7" authorId="0" shapeId="0">
      <text>
        <r>
          <rPr>
            <sz val="9"/>
            <color indexed="81"/>
            <rFont val="Tahoma"/>
            <family val="2"/>
          </rPr>
          <t>Metric  =  Column reference (aggregate template) [ei:ZZ:ZZ32]_x000D_
Main category of item that is the object of the transaction / contract  =  Derivatives</t>
        </r>
      </text>
    </comment>
    <comment ref="F7" authorId="0" shapeId="0">
      <text>
        <r>
          <rPr>
            <sz val="9"/>
            <color indexed="81"/>
            <rFont val="Tahoma"/>
            <family val="2"/>
          </rPr>
          <t>Metric  =  Ranking in insolvency [ei:ZZ:ZZ28]_x000D_
Base  =  Liabilities_x000D_
Main category  =  Derivatives</t>
        </r>
      </text>
    </comment>
    <comment ref="G7" authorId="0" shapeId="0">
      <text>
        <r>
          <rPr>
            <sz val="9"/>
            <color indexed="81"/>
            <rFont val="Tahoma"/>
            <family val="2"/>
          </rPr>
          <t>Metric  =  Contract identifier [si]_x000D_
Base  =  Liabilities_x000D_
Main category  =  Derivatives</t>
        </r>
      </text>
    </comment>
    <comment ref="H7" authorId="0" shapeId="0">
      <text>
        <r>
          <rPr>
            <sz val="9"/>
            <color indexed="81"/>
            <rFont val="Tahoma"/>
            <family val="2"/>
          </rPr>
          <t>Metric  =  Type of master agreement [ei:ZZ:ZZ35]_x000D_
Base  =  Liabilities_x000D_
Main category  =  Derivatives</t>
        </r>
      </text>
    </comment>
    <comment ref="I7" authorId="0" shapeId="0">
      <text>
        <r>
          <rPr>
            <sz val="9"/>
            <color indexed="81"/>
            <rFont val="Tahoma"/>
            <family val="2"/>
          </rPr>
          <t>Metric  =  Type of resolution stay agreement.Entity [ei:ZZ:ZZ40]_x000D_
Main category of item that is the object of the transaction / contract  =  Derivatives</t>
        </r>
      </text>
    </comment>
    <comment ref="J7" authorId="0" shapeId="0">
      <text>
        <r>
          <rPr>
            <sz val="9"/>
            <color indexed="81"/>
            <rFont val="Tahoma"/>
            <family val="2"/>
          </rPr>
          <t>Metric  =  Type of resolution stay agreement.Counterparty [ei:ZZ:ZZ41]_x000D_
Main category of item that is the object of the transaction / contract  =  Derivatives</t>
        </r>
      </text>
    </comment>
    <comment ref="K7" authorId="0" shapeId="0">
      <text>
        <r>
          <rPr>
            <sz val="9"/>
            <color indexed="81"/>
            <rFont val="Tahoma"/>
            <family val="2"/>
          </rPr>
          <t>Metric  =  Name of entity [si]_x000D_
Main category of item that is the object of the transaction / contract  =  Derivatives_x000D_
Role in the contract  =  Investor, creditor</t>
        </r>
      </text>
    </comment>
    <comment ref="L7" authorId="0" shapeId="0">
      <text>
        <r>
          <rPr>
            <sz val="9"/>
            <color indexed="81"/>
            <rFont val="Tahoma"/>
            <family val="2"/>
          </rPr>
          <t>Metric  =  Entity code [si]_x000D_
Main category of item that is the object of the transaction / contract  =  Derivatives_x000D_
Role in the contract  =  Investor, creditor</t>
        </r>
      </text>
    </comment>
    <comment ref="M7" authorId="0" shapeId="0">
      <text>
        <r>
          <rPr>
            <sz val="9"/>
            <color indexed="81"/>
            <rFont val="Tahoma"/>
            <family val="2"/>
          </rPr>
          <t>Metric  =  Type of identifier [ei:AT:AT99]_x000D_
Main category of item that is the object of the transaction / contract  =  Derivatives_x000D_
Role in the contract  =  Investor, creditor</t>
        </r>
      </text>
    </comment>
    <comment ref="N7" authorId="0" shapeId="0">
      <text>
        <r>
          <rPr>
            <sz val="9"/>
            <color indexed="81"/>
            <rFont val="Tahoma"/>
            <family val="2"/>
          </rPr>
          <t>Metric  =  Jurisdiction of incorporation [ei:GA:GA4_1]_x000D_
Main category of item that is the object of the transaction / contract  =  Derivatives_x000D_
Role in the contract  =  Investor, creditor</t>
        </r>
      </text>
    </comment>
    <comment ref="O7" authorId="0" shapeId="0">
      <text>
        <r>
          <rPr>
            <sz val="9"/>
            <color indexed="81"/>
            <rFont val="Tahoma"/>
            <family val="2"/>
          </rPr>
          <t>Metric  =  Is intragroup transaction [bi]_x000D_
Main category of item that is the object of the transaction / contract  =  Derivatives</t>
        </r>
      </text>
    </comment>
    <comment ref="P7" authorId="0" shapeId="0">
      <text>
        <r>
          <rPr>
            <sz val="9"/>
            <color indexed="81"/>
            <rFont val="Tahoma"/>
            <family val="2"/>
          </rPr>
          <t>Metric  =  Country the law of which governs the contract / master agreement [ei:GA:GA4]_x000D_
Base  =  Liabilities_x000D_
Main category  =  Derivatives</t>
        </r>
      </text>
    </comment>
    <comment ref="Q7" authorId="0" shapeId="0">
      <text>
        <r>
          <rPr>
            <sz val="9"/>
            <color indexed="81"/>
            <rFont val="Tahoma"/>
            <family val="2"/>
          </rPr>
          <t>Metric  =  Number of transactions [ii]_x000D_
Base  =  Liabilities_x000D_
Main category  =  Derivatives</t>
        </r>
      </text>
    </comment>
    <comment ref="R7"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adjustments_x000D_
Eligibility for MREL  =  Non-eligible</t>
        </r>
      </text>
    </comment>
    <comment ref="S7" authorId="0" shapeId="0">
      <text>
        <r>
          <rPr>
            <sz val="9"/>
            <color indexed="81"/>
            <rFont val="Tahoma"/>
            <family val="2"/>
          </rPr>
          <t>Metric  =  Market value [mi]_x000D_
Main category  =  Collateral posted net of collateral received_x000D_
Main category of collateralised item  =  Derivatives</t>
        </r>
      </text>
    </comment>
    <comment ref="T7" authorId="0" shapeId="0">
      <text>
        <r>
          <rPr>
            <sz val="9"/>
            <color indexed="81"/>
            <rFont val="Tahoma"/>
            <family val="2"/>
          </rPr>
          <t>Metric  =  Estimated close-out amount [mi]_x000D_
Base  =  Liabilities_x000D_
Main category of item that is the object of the transaction / contract  =  Derivatives</t>
        </r>
      </text>
    </comment>
    <comment ref="U7" authorId="0" shapeId="0">
      <text>
        <r>
          <rPr>
            <sz val="9"/>
            <color indexed="81"/>
            <rFont val="Tahoma"/>
            <family val="2"/>
          </rPr>
          <t>Metric  =  Outstanding amount [mi]_x000D_
Base  =  Liabilities_x000D_
Main category  =  Derivatives_x000D_
Exclusion from Bail-in  =  Not excluded from bail-in_x000D_
Factors considered in the valuation of derivatives  =  Contractual netting agreements, mark-to-market adjustments, collateral offset, estimated close-out amounts_x000D_
Eligibility for MREL  =  Non-eligible</t>
        </r>
      </text>
    </comment>
    <comment ref="C8" authorId="0" shapeId="0">
      <text>
        <r>
          <rPr>
            <sz val="9"/>
            <color indexed="81"/>
            <rFont val="Tahoma"/>
            <family val="2"/>
          </rPr>
          <t>Row ID (derivatives - netting sets)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418139_x000D_
DataPointID 418139_x000D_
Metric  =  Column reference (aggregate template) [ei:ZZ:ZZ32]_x000D_
Row ID (derivatives - netting sets)  =  &lt;Key value&gt;_x000D_
Main category of item that is the object of the transaction / contract  =  Derivatives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F8" authorId="0" shapeId="0">
      <text>
        <r>
          <rPr>
            <sz val="9"/>
            <color indexed="81"/>
            <rFont val="Tahoma"/>
            <family val="2"/>
          </rPr>
          <t>DataPointVID 418075_x000D_
DataPointID 418075_x000D_
Metric  =  Ranking in insolvency [ei:ZZ:ZZ28]_x000D_
Base  =  Liabilities_x000D_
Row ID (derivatives - netting sets)  =  &lt;Key value&gt;_x000D_
Main category  =  Derivatives</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G8" authorId="0" shapeId="0">
      <text>
        <r>
          <rPr>
            <sz val="9"/>
            <color indexed="81"/>
            <rFont val="Tahoma"/>
            <family val="2"/>
          </rPr>
          <t>DataPointVID 418082_x000D_
DataPointID 418082_x000D_
Metric  =  Contract identifier [si]_x000D_
Base  =  Liabilities_x000D_
Row ID (derivatives - netting sets)  =  &lt;Key value&gt;_x000D_
Main category  =  Derivatives</t>
        </r>
      </text>
    </comment>
    <comment ref="H8" authorId="0" shapeId="0">
      <text>
        <r>
          <rPr>
            <sz val="9"/>
            <color indexed="81"/>
            <rFont val="Tahoma"/>
            <family val="2"/>
          </rPr>
          <t>DataPointVID 418148_x000D_
DataPointID 418148_x000D_
Metric  =  Type of master agreement [ei:ZZ:ZZ35]_x000D_
Base  =  Liabilities_x000D_
Row ID (derivatives - netting sets)  =  &lt;Key value&gt;_x000D_
Main category  =  Derivatives</t>
        </r>
        <r>
          <rPr>
            <sz val="9"/>
            <color indexed="8"/>
            <rFont val="Tahoma"/>
            <family val="2"/>
          </rPr>
          <t>_x000D_
_x000D_
Value chosen from:_x000D_
(ZZ:x307) Master agreements (derivatives - ISDA MAs and similar)_x000D_
(ZZ:x308) ISDA 2002 MA_x000D_
(ZZ:x309) ISDA 1992 MA_x000D_
(ZZ:x310) ISDA 1987 MA_x000D_
(ZZ:x311) ISDA 1986 MA_x000D_
(ZZ:x312) ISDA 1985 MA_x000D_
(ZZ:x313) Other MA_x000D_
(ZZ:x314) Global master repurchase agreements (ICMA GMRAs and similar)_x000D_
(ZZ:x315) ICMA 2011 GMRA_x000D_
(ZZ:x316) ICMA 2000 GMRA_x000D_
(ZZ:x317) ICMA 1995 GMRA_x000D_
(ZZ:x318) ICMA 1992 GMRA_x000D_
(ZZ:x319) Other GMRA_x000D_
(ZZ:x320) Single Contract_x000D_</t>
        </r>
        <r>
          <rPr>
            <sz val="9"/>
            <color indexed="81"/>
            <rFont val="Tahoma"/>
            <family val="2"/>
          </rPr>
          <t xml:space="preserve">
</t>
        </r>
      </text>
    </comment>
    <comment ref="I8" authorId="0" shapeId="0">
      <text>
        <r>
          <rPr>
            <sz val="9"/>
            <color indexed="81"/>
            <rFont val="Tahoma"/>
            <family val="2"/>
          </rPr>
          <t>DataPointVID 428672_x000D_
DataPointID 428672_x000D_
Metric  =  Type of resolution stay agreement.Entity [ei:ZZ:ZZ40]_x000D_
Row ID (derivatives - netting sets)  =  &lt;Key value&gt;_x000D_
Main category of item that is the object of the transaction / contract  =  Derivatives</t>
        </r>
        <r>
          <rPr>
            <sz val="9"/>
            <color indexed="8"/>
            <rFont val="Tahoma"/>
            <family val="2"/>
          </rPr>
          <t>_x000D_
_x000D_
Value chosen from:_x000D_
(ZZ:x333) Yes - ISDA Universal Protocol_x000D_
(ZZ:x334) Yes - ISDA JMP Module_x000D_
(ZZ:x335) No resolution stay recognition_x000D_</t>
        </r>
        <r>
          <rPr>
            <sz val="9"/>
            <color indexed="81"/>
            <rFont val="Tahoma"/>
            <family val="2"/>
          </rPr>
          <t xml:space="preserve">
</t>
        </r>
      </text>
    </comment>
    <comment ref="J8" authorId="0" shapeId="0">
      <text>
        <r>
          <rPr>
            <sz val="9"/>
            <color indexed="81"/>
            <rFont val="Tahoma"/>
            <family val="2"/>
          </rPr>
          <t>DataPointVID 428673_x000D_
DataPointID 428673_x000D_
Metric  =  Type of resolution stay agreement.Counterparty [ei:ZZ:ZZ41]_x000D_
Row ID (derivatives - netting sets)  =  &lt;Key value&gt;_x000D_
Main category of item that is the object of the transaction / contract  =  Derivatives</t>
        </r>
        <r>
          <rPr>
            <sz val="9"/>
            <color indexed="8"/>
            <rFont val="Tahoma"/>
            <family val="2"/>
          </rPr>
          <t>_x000D_
_x000D_
Value chosen from:_x000D_
(ZZ:x333) Yes - ISDA Universal Protocol_x000D_
(ZZ:x334) Yes - ISDA JMP Module_x000D_
(ZZ:x336) Yes - Other Agreement for resolution stay recognition_x000D_
(ZZ:x335) No resolution stay recognition_x000D_</t>
        </r>
        <r>
          <rPr>
            <sz val="9"/>
            <color indexed="81"/>
            <rFont val="Tahoma"/>
            <family val="2"/>
          </rPr>
          <t xml:space="preserve">
</t>
        </r>
      </text>
    </comment>
    <comment ref="K8" authorId="0" shapeId="0">
      <text>
        <r>
          <rPr>
            <sz val="9"/>
            <color indexed="81"/>
            <rFont val="Tahoma"/>
            <family val="2"/>
          </rPr>
          <t>DataPointVID 423761_x000D_
DataPointID 423761_x000D_
Metric  =  Name of entity [si]_x000D_
Row ID (derivatives - netting sets)  =  &lt;Key value&gt;_x000D_
Main category of item that is the object of the transaction / contract  =  Derivatives_x000D_
Role in the contract  =  Investor, creditor</t>
        </r>
      </text>
    </comment>
    <comment ref="L8" authorId="0" shapeId="0">
      <text>
        <r>
          <rPr>
            <sz val="9"/>
            <color indexed="81"/>
            <rFont val="Tahoma"/>
            <family val="2"/>
          </rPr>
          <t>DataPointVID 410415_x000D_
DataPointID 410415_x000D_
Metric  =  Entity code [si]_x000D_
Row ID (derivatives - netting sets)  =  &lt;Key value&gt;_x000D_
Main category of item that is the object of the transaction / contract  =  Derivatives_x000D_
Role in the contract  =  Investor, creditor</t>
        </r>
      </text>
    </comment>
    <comment ref="M8" authorId="0" shapeId="0">
      <text>
        <r>
          <rPr>
            <sz val="9"/>
            <color indexed="81"/>
            <rFont val="Tahoma"/>
            <family val="2"/>
          </rPr>
          <t>DataPointVID 428667_x000D_
DataPointID 428667_x000D_
Metric  =  Type of identifier [ei:AT:AT99]_x000D_
Row ID (derivatives - netting sets)  =  &lt;Key value&gt;_x000D_
Main category of item that is the object of the transaction / contract  =  Derivatives_x000D_
Role in the contract  =  Investor, creditor</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N8" authorId="0" shapeId="0">
      <text>
        <r>
          <rPr>
            <sz val="9"/>
            <color indexed="81"/>
            <rFont val="Tahoma"/>
            <family val="2"/>
          </rPr>
          <t>DataPointVID 410213_x000D_
DataPointID 410213_x000D_
Metric  =  Jurisdiction of incorporation [ei:GA:GA4_1]_x000D_
Row ID (derivatives - netting sets)  =  &lt;Key value&gt;_x000D_
Main category of item that is the object of the transaction / contract  =  Derivatives_x000D_
Role in the contract  =  Investor, creditor</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O8" authorId="0" shapeId="0">
      <text>
        <r>
          <rPr>
            <sz val="9"/>
            <color indexed="81"/>
            <rFont val="Tahoma"/>
            <family val="2"/>
          </rPr>
          <t>DataPointVID 439765_x000D_
DataPointID 439765_x000D_
Metric  =  Is intragroup transaction [bi]_x000D_
Row ID (derivatives - netting sets)  =  &lt;Key value&gt;_x000D_
Main category of item that is the object of the transaction / contract  =  Derivatives</t>
        </r>
      </text>
    </comment>
    <comment ref="P8" authorId="0" shapeId="0">
      <text>
        <r>
          <rPr>
            <sz val="9"/>
            <color indexed="81"/>
            <rFont val="Tahoma"/>
            <family val="2"/>
          </rPr>
          <t>DataPointVID 418088_x000D_
DataPointID 418088_x000D_
Metric  =  Country the law of which governs the contract / master agreement [ei:GA:GA4]_x000D_
Base  =  Liabilities_x000D_
Row ID (derivatives - netting sets)  =  &lt;Key value&gt;_x000D_
Main category  =  Derivatives</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Q8" authorId="0" shapeId="0">
      <text>
        <r>
          <rPr>
            <sz val="9"/>
            <color indexed="81"/>
            <rFont val="Tahoma"/>
            <family val="2"/>
          </rPr>
          <t>DataPointVID 418153_x000D_
DataPointID 418153_x000D_
Metric  =  Number of transactions [ii]_x000D_
Base  =  Liabilities_x000D_
Row ID (derivatives - netting sets)  =  &lt;Key value&gt;_x000D_
Main category  =  Derivatives</t>
        </r>
      </text>
    </comment>
    <comment ref="R8" authorId="0" shapeId="0">
      <text>
        <r>
          <rPr>
            <sz val="9"/>
            <color indexed="81"/>
            <rFont val="Tahoma"/>
            <family val="2"/>
          </rPr>
          <t>DataPointVID 417732_x000D_
DataPointID 417732_x000D_
Metric  =  Outstanding amount [mi]_x000D_
Base  =  Liabilities_x000D_
Row ID (derivatives - netting sets)  =  &lt;Key value&gt;_x000D_
Exclusion from Bail-in  =  Not excluded from bail-in_x000D_
Main category  =  Derivatives_x000D_
Eligibility for MREL  =  Non-eligible_x000D_
Factors considered in the valuation of derivatives  =  Contractual netting agreements, mark-to-market adjustments</t>
        </r>
      </text>
    </comment>
    <comment ref="S8" authorId="0" shapeId="0">
      <text>
        <r>
          <rPr>
            <sz val="9"/>
            <color indexed="81"/>
            <rFont val="Tahoma"/>
            <family val="2"/>
          </rPr>
          <t>DataPointVID 414572_x000D_
DataPointID 414572_x000D_
Metric  =  Market value [mi]_x000D_
Row ID (derivatives - netting sets)  =  &lt;Key value&gt;_x000D_
Main category of collateralised item  =  Derivatives_x000D_
Main category  =  Collateral posted net of collateral received</t>
        </r>
      </text>
    </comment>
    <comment ref="T8" authorId="0" shapeId="0">
      <text>
        <r>
          <rPr>
            <sz val="9"/>
            <color indexed="81"/>
            <rFont val="Tahoma"/>
            <family val="2"/>
          </rPr>
          <t>DataPointVID 439650_x000D_
DataPointID 418152_x000D_
Metric  =  Estimated close-out amount [mi]_x000D_
Base  =  Liabilities_x000D_
Row ID (derivatives - netting sets)  =  &lt;Key value&gt;_x000D_
Main category of item that is the object of the transaction / contract  =  Derivatives</t>
        </r>
      </text>
    </comment>
    <comment ref="U8" authorId="0" shapeId="0">
      <text>
        <r>
          <rPr>
            <sz val="9"/>
            <color indexed="81"/>
            <rFont val="Tahoma"/>
            <family val="2"/>
          </rPr>
          <t>DataPointVID 417733_x000D_
DataPointID 417733_x000D_
Metric  =  Outstanding amount [mi]_x000D_
Base  =  Liabilities_x000D_
Row ID (derivatives - netting sets)  =  &lt;Key value&gt;_x000D_
Exclusion from Bail-in  =  Not excluded from bail-in_x000D_
Main category  =  Derivatives_x000D_
Eligibility for MREL  =  Non-eligible_x000D_
Factors considered in the valuation of derivatives  =  Contractual netting agreements, mark-to-market adjustments, collateral offset, estimated close-out amounts</t>
        </r>
      </text>
    </comment>
  </commentList>
</comments>
</file>

<file path=xl/comments12.xml><?xml version="1.0" encoding="utf-8"?>
<comments xmlns="http://schemas.openxmlformats.org/spreadsheetml/2006/main">
  <authors>
    <author>Haizhen Li</author>
  </authors>
  <commentList>
    <comment ref="D7" authorId="0" shapeId="0">
      <text>
        <r>
          <rPr>
            <sz val="9"/>
            <color indexed="81"/>
            <rFont val="Tahoma"/>
            <family val="2"/>
          </rPr>
          <t>Row ID (secured financing arrangements)  =  &lt;Key value&gt;</t>
        </r>
      </text>
    </comment>
    <comment ref="E7" authorId="0" shapeId="0">
      <text>
        <r>
          <rPr>
            <sz val="9"/>
            <color indexed="81"/>
            <rFont val="Tahoma"/>
            <family val="2"/>
          </rPr>
          <t>Metric  =  Column reference (aggregate template) [ei:ZZ:ZZ32]_x000D_
Main category of item that is the object of the transaction / contract  =  Deposits. Secured financing arrangements</t>
        </r>
      </text>
    </comment>
    <comment ref="F7" authorId="0" shapeId="0">
      <text>
        <r>
          <rPr>
            <sz val="9"/>
            <color indexed="81"/>
            <rFont val="Tahoma"/>
            <family val="2"/>
          </rPr>
          <t>Metric  =  Ranking in insolvency [ei:ZZ:ZZ28]_x000D_
Base  =  Liabilities_x000D_
Main category  =  Deposits_x000D_
Related parties/Relationships  =  Non intra-group_x000D_
Instrument  =  Deposits stemming from secured financing arrangements</t>
        </r>
      </text>
    </comment>
    <comment ref="G7" authorId="0" shapeId="0">
      <text>
        <r>
          <rPr>
            <sz val="9"/>
            <color indexed="81"/>
            <rFont val="Tahoma"/>
            <family val="2"/>
          </rPr>
          <t>Metric  =  Contract identifier [si]_x000D_
Base  =  Liabilities_x000D_
Main category  =  Deposits_x000D_
Related parties/Relationships  =  Non intra-group_x000D_
Instrument  =  Deposits stemming from secured financing arrangements</t>
        </r>
      </text>
    </comment>
    <comment ref="H7" authorId="0" shapeId="0">
      <text>
        <r>
          <rPr>
            <sz val="9"/>
            <color indexed="81"/>
            <rFont val="Tahoma"/>
            <family val="2"/>
          </rPr>
          <t>Metric  =  Type of master agreement [ei:ZZ:ZZ35]_x000D_
Base  =  Liabilities_x000D_
Main category  =  Deposits_x000D_
Related parties/Relationships  =  Non intra-group_x000D_
Instrument  =  Deposits stemming from secured financing arrangements</t>
        </r>
      </text>
    </comment>
    <comment ref="I7" authorId="0" shapeId="0">
      <text>
        <r>
          <rPr>
            <sz val="9"/>
            <color indexed="81"/>
            <rFont val="Tahoma"/>
            <family val="2"/>
          </rPr>
          <t>Metric  =  Name of entity [si]_x000D_
Main category of item that is the object of the transaction / contract  =  Deposits. Secured financing arrangements_x000D_
Related parties/Relationships  =  Non intra-group_x000D_
Role in the contract  =  Investor, creditor</t>
        </r>
      </text>
    </comment>
    <comment ref="J7" authorId="0" shapeId="0">
      <text>
        <r>
          <rPr>
            <sz val="9"/>
            <color indexed="81"/>
            <rFont val="Tahoma"/>
            <family val="2"/>
          </rPr>
          <t>Metric  =  Entity code [si]_x000D_
Main category of item that is the object of the transaction / contract  =  Deposits. Secured financing arrangements_x000D_
Related parties/Relationships  =  Non intra-group_x000D_
Role in the contract  =  Investor, creditor</t>
        </r>
      </text>
    </comment>
    <comment ref="K7" authorId="0" shapeId="0">
      <text>
        <r>
          <rPr>
            <sz val="9"/>
            <color indexed="81"/>
            <rFont val="Tahoma"/>
            <family val="2"/>
          </rPr>
          <t>Metric  =  Type of identifier [ei:AT:AT99]_x000D_
Main category of item that is the object of the transaction / contract  =  Deposits. Secured financing arrangements_x000D_
Role in the contract  =  Investor, creditor</t>
        </r>
      </text>
    </comment>
    <comment ref="L7" authorId="0" shapeId="0">
      <text>
        <r>
          <rPr>
            <sz val="9"/>
            <color indexed="81"/>
            <rFont val="Tahoma"/>
            <family val="2"/>
          </rPr>
          <t>Metric  =  Jurisdiction of incorporation [ei:GA:GA4_1]_x000D_
Main category of item that is the object of the transaction / contract  =  Deposits. Secured financing arrangements_x000D_
Role in the contract  =  Investor, creditor</t>
        </r>
      </text>
    </comment>
    <comment ref="M7" authorId="0" shapeId="0">
      <text>
        <r>
          <rPr>
            <sz val="9"/>
            <color indexed="81"/>
            <rFont val="Tahoma"/>
            <family val="2"/>
          </rPr>
          <t>Metric  =  Country the law of which governs the contract / master agreement [ei:GA:GA4]_x000D_
Base  =  Liabilities_x000D_
Main category  =  Deposits_x000D_
Related parties/Relationships  =  Non intra-group_x000D_
Instrument  =  Deposits stemming from secured financing arrangements</t>
        </r>
      </text>
    </comment>
    <comment ref="N7" authorId="0" shapeId="0">
      <text>
        <r>
          <rPr>
            <sz val="9"/>
            <color indexed="81"/>
            <rFont val="Tahoma"/>
            <family val="2"/>
          </rPr>
          <t>Metric  =  Number of transactions [ii]_x000D_
Base  =  Liabilities_x000D_
Main category  =  Deposits_x000D_
Related parties/Relationships  =  Non intra-group_x000D_
Instrument  =  Deposits stemming from secured financing arrangements</t>
        </r>
      </text>
    </comment>
    <comment ref="O7" authorId="0" shapeId="0">
      <text>
        <r>
          <rPr>
            <sz val="9"/>
            <color indexed="81"/>
            <rFont val="Tahoma"/>
            <family val="2"/>
          </rPr>
          <t>Metric  =  Outstanding amount [mi]_x000D_
Base  =  Liabilities_x000D_
Main category  =  Deposits_x000D_
Related parties/Relationships  =  Non intra-group_x000D_
Instrument  =  Deposits stemming from secured financing arrangements</t>
        </r>
      </text>
    </comment>
    <comment ref="P7" authorId="0" shapeId="0">
      <text>
        <r>
          <rPr>
            <sz val="9"/>
            <color indexed="81"/>
            <rFont val="Tahoma"/>
            <family val="2"/>
          </rPr>
          <t>Metric  =  Market value [mi]_x000D_
Main category  =  Collateral posted net of collateral received_x000D_
Main category of collateralised item  =  Deposits. Secured financing arrangements</t>
        </r>
      </text>
    </comment>
    <comment ref="C8" authorId="0" shapeId="0">
      <text>
        <r>
          <rPr>
            <sz val="9"/>
            <color indexed="81"/>
            <rFont val="Tahoma"/>
            <family val="2"/>
          </rPr>
          <t>Row ID (secured financing arrangements)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418140_x000D_
DataPointID 418140_x000D_
Metric  =  Column reference (aggregate template) [ei:ZZ:ZZ32]_x000D_
Row ID (secured financing arrangements)  =  &lt;Key value&gt;_x000D_
Main category of item that is the object of the transaction / contract  =  Deposits. Secured financing arrangements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F8" authorId="0" shapeId="0">
      <text>
        <r>
          <rPr>
            <sz val="9"/>
            <color indexed="81"/>
            <rFont val="Tahoma"/>
            <family val="2"/>
          </rPr>
          <t>DataPointVID 418076_x000D_
DataPointID 418076_x000D_
Metric  =  Ranking in insolvency [ei:ZZ:ZZ28]_x000D_
Base  =  Liabilities_x000D_
Row ID (secured financing arrangements)  =  &lt;Key value&gt;_x000D_
Instrument  =  Deposits stemming from secured financing arrangements_x000D_
Main category  =  Deposits_x000D_
Related parties/Relationships  =  Non intra-group</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G8" authorId="0" shapeId="0">
      <text>
        <r>
          <rPr>
            <sz val="9"/>
            <color indexed="81"/>
            <rFont val="Tahoma"/>
            <family val="2"/>
          </rPr>
          <t>DataPointVID 418083_x000D_
DataPointID 418083_x000D_
Metric  =  Contract identifier [si]_x000D_
Base  =  Liabilities_x000D_
Row ID (secured financing arrangements)  =  &lt;Key value&gt;_x000D_
Instrument  =  Deposits stemming from secured financing arrangements_x000D_
Main category  =  Deposits_x000D_
Related parties/Relationships  =  Non intra-group</t>
        </r>
      </text>
    </comment>
    <comment ref="H8" authorId="0" shapeId="0">
      <text>
        <r>
          <rPr>
            <sz val="9"/>
            <color indexed="81"/>
            <rFont val="Tahoma"/>
            <family val="2"/>
          </rPr>
          <t>DataPointVID 418149_x000D_
DataPointID 418149_x000D_
Metric  =  Type of master agreement [ei:ZZ:ZZ35]_x000D_
Base  =  Liabilities_x000D_
Row ID (secured financing arrangements)  =  &lt;Key value&gt;_x000D_
Instrument  =  Deposits stemming from secured financing arrangements_x000D_
Main category  =  Deposits_x000D_
Related parties/Relationships  =  Non intra-group</t>
        </r>
        <r>
          <rPr>
            <sz val="9"/>
            <color indexed="8"/>
            <rFont val="Tahoma"/>
            <family val="2"/>
          </rPr>
          <t>_x000D_
_x000D_
Value chosen from:_x000D_
(ZZ:x307) Master agreements (derivatives - ISDA MAs and similar)_x000D_
(ZZ:x308) ISDA 2002 MA_x000D_
(ZZ:x309) ISDA 1992 MA_x000D_
(ZZ:x310) ISDA 1987 MA_x000D_
(ZZ:x311) ISDA 1986 MA_x000D_
(ZZ:x312) ISDA 1985 MA_x000D_
(ZZ:x313) Other MA_x000D_
(ZZ:x314) Global master repurchase agreements (ICMA GMRAs and similar)_x000D_
(ZZ:x315) ICMA 2011 GMRA_x000D_
(ZZ:x316) ICMA 2000 GMRA_x000D_
(ZZ:x317) ICMA 1995 GMRA_x000D_
(ZZ:x318) ICMA 1992 GMRA_x000D_
(ZZ:x319) Other GMRA_x000D_
(ZZ:x320) Single Contract_x000D_</t>
        </r>
        <r>
          <rPr>
            <sz val="9"/>
            <color indexed="81"/>
            <rFont val="Tahoma"/>
            <family val="2"/>
          </rPr>
          <t xml:space="preserve">
</t>
        </r>
      </text>
    </comment>
    <comment ref="I8" authorId="0" shapeId="0">
      <text>
        <r>
          <rPr>
            <sz val="9"/>
            <color indexed="81"/>
            <rFont val="Tahoma"/>
            <family val="2"/>
          </rPr>
          <t>DataPointVID 423762_x000D_
DataPointID 423762_x000D_
Metric  =  Name of entity [si]_x000D_
Row ID (secured financing arrangements)  =  &lt;Key value&gt;_x000D_
Main category of item that is the object of the transaction / contract  =  Deposits. Secured financing arrangements_x000D_
Role in the contract  =  Investor, creditor_x000D_
Related parties/Relationships  =  Non intra-group</t>
        </r>
      </text>
    </comment>
    <comment ref="J8" authorId="0" shapeId="0">
      <text>
        <r>
          <rPr>
            <sz val="9"/>
            <color indexed="81"/>
            <rFont val="Tahoma"/>
            <family val="2"/>
          </rPr>
          <t>DataPointVID 424327_x000D_
DataPointID 410416_x000D_
Metric  =  Entity code [si]_x000D_
Row ID (secured financing arrangements)  =  &lt;Key value&gt;_x000D_
Main category of item that is the object of the transaction / contract  =  Deposits. Secured financing arrangements_x000D_
Role in the contract  =  Investor, creditor_x000D_
Related parties/Relationships  =  Non intra-group</t>
        </r>
      </text>
    </comment>
    <comment ref="K8" authorId="0" shapeId="0">
      <text>
        <r>
          <rPr>
            <sz val="9"/>
            <color indexed="81"/>
            <rFont val="Tahoma"/>
            <family val="2"/>
          </rPr>
          <t>DataPointVID 428668_x000D_
DataPointID 428668_x000D_
Metric  =  Type of identifier [ei:AT:AT99]_x000D_
Row ID (secured financing arrangements)  =  &lt;Key value&gt;_x000D_
Main category of item that is the object of the transaction / contract  =  Deposits. Secured financing arrangements_x000D_
Role in the contract  =  Investor, creditor</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L8" authorId="0" shapeId="0">
      <text>
        <r>
          <rPr>
            <sz val="9"/>
            <color indexed="81"/>
            <rFont val="Tahoma"/>
            <family val="2"/>
          </rPr>
          <t>DataPointVID 410214_x000D_
DataPointID 410214_x000D_
Metric  =  Jurisdiction of incorporation [ei:GA:GA4_1]_x000D_
Row ID (secured financing arrangements)  =  &lt;Key value&gt;_x000D_
Main category of item that is the object of the transaction / contract  =  Deposits. Secured financing arrangements_x000D_
Role in the contract  =  Investor, creditor</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M8" authorId="0" shapeId="0">
      <text>
        <r>
          <rPr>
            <sz val="9"/>
            <color indexed="81"/>
            <rFont val="Tahoma"/>
            <family val="2"/>
          </rPr>
          <t>DataPointVID 418089_x000D_
DataPointID 418089_x000D_
Metric  =  Country the law of which governs the contract / master agreement [ei:GA:GA4]_x000D_
Base  =  Liabilities_x000D_
Row ID (secured financing arrangements)  =  &lt;Key value&gt;_x000D_
Instrument  =  Deposits stemming from secured financing arrangements_x000D_
Main category  =  Deposits_x000D_
Related parties/Relationships  =  Non intra-group</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N8" authorId="0" shapeId="0">
      <text>
        <r>
          <rPr>
            <sz val="9"/>
            <color indexed="81"/>
            <rFont val="Tahoma"/>
            <family val="2"/>
          </rPr>
          <t>DataPointVID 418154_x000D_
DataPointID 418154_x000D_
Metric  =  Number of transactions [ii]_x000D_
Base  =  Liabilities_x000D_
Row ID (secured financing arrangements)  =  &lt;Key value&gt;_x000D_
Instrument  =  Deposits stemming from secured financing arrangements_x000D_
Main category  =  Deposits_x000D_
Related parties/Relationships  =  Non intra-group</t>
        </r>
      </text>
    </comment>
    <comment ref="O8" authorId="0" shapeId="0">
      <text>
        <r>
          <rPr>
            <sz val="9"/>
            <color indexed="81"/>
            <rFont val="Tahoma"/>
            <family val="2"/>
          </rPr>
          <t>DataPointVID 417734_x000D_
DataPointID 417734_x000D_
Metric  =  Outstanding amount [mi]_x000D_
Base  =  Liabilities_x000D_
Row ID (secured financing arrangements)  =  &lt;Key value&gt;_x000D_
Instrument  =  Deposits stemming from secured financing arrangements_x000D_
Main category  =  Deposits_x000D_
Related parties/Relationships  =  Non intra-group</t>
        </r>
      </text>
    </comment>
    <comment ref="P8" authorId="0" shapeId="0">
      <text>
        <r>
          <rPr>
            <sz val="9"/>
            <color indexed="81"/>
            <rFont val="Tahoma"/>
            <family val="2"/>
          </rPr>
          <t>DataPointVID 414573_x000D_
DataPointID 414573_x000D_
Metric  =  Market value [mi]_x000D_
Row ID (secured financing arrangements)  =  &lt;Key value&gt;_x000D_
Main category of collateralised item  =  Deposits. Secured financing arrangements_x000D_
Main category  =  Collateral posted net of collateral received</t>
        </r>
      </text>
    </comment>
  </commentList>
</comments>
</file>

<file path=xl/comments13.xml><?xml version="1.0" encoding="utf-8"?>
<comments xmlns="http://schemas.openxmlformats.org/spreadsheetml/2006/main">
  <authors>
    <author>Haizhen Li</author>
  </authors>
  <commentList>
    <comment ref="D7" authorId="0" shapeId="0">
      <text>
        <r>
          <rPr>
            <sz val="9"/>
            <color indexed="81"/>
            <rFont val="Tahoma"/>
            <family val="2"/>
          </rPr>
          <t>Row ID (other non-financial liabilities)  =  &lt;Key value&gt;</t>
        </r>
      </text>
    </comment>
    <comment ref="E7" authorId="0" shapeId="0">
      <text>
        <r>
          <rPr>
            <sz val="9"/>
            <color indexed="81"/>
            <rFont val="Tahoma"/>
            <family val="2"/>
          </rPr>
          <t>Metric  =  Row reference (aggregate template) [ei:ZZ:ZZ27_1]_x000D_
Main category of item that is the object of the transaction / contract  =  Liabilities other than Derivatives, Short positions, Deposits, Debt securities issued, Other financial liabilities</t>
        </r>
      </text>
    </comment>
    <comment ref="F7" authorId="0" shapeId="0">
      <text>
        <r>
          <rPr>
            <sz val="9"/>
            <color indexed="81"/>
            <rFont val="Tahoma"/>
            <family val="2"/>
          </rPr>
          <t>Metric  =  Column reference (aggregate template) [ei:ZZ:ZZ32]_x000D_
Main category of item that is the object of the transaction / contract  =  Liabilities other than Derivatives, Short positions, Deposits, Debt securities issued, Other financial liabilities</t>
        </r>
      </text>
    </comment>
    <comment ref="G7" authorId="0" shapeId="0">
      <text>
        <r>
          <rPr>
            <sz val="9"/>
            <color indexed="81"/>
            <rFont val="Tahoma"/>
            <family val="2"/>
          </rPr>
          <t>Metric  =  Ranking in insolvency [ei:ZZ:ZZ28]_x000D_
Base  =  Liabilities_x000D_
Main category  =  Liabilities other than Derivatives, Short positions, Deposits, Debt securities issued, Other financial liabilities</t>
        </r>
      </text>
    </comment>
    <comment ref="H7" authorId="0" shapeId="0">
      <text>
        <r>
          <rPr>
            <sz val="9"/>
            <color indexed="81"/>
            <rFont val="Tahoma"/>
            <family val="2"/>
          </rPr>
          <t>Metric  =  Contract identifier [si]_x000D_
Base  =  Liabilities_x000D_
Main category  =  Liabilities other than Derivatives, Short positions, Deposits, Debt securities issued, Other financial liabilities</t>
        </r>
      </text>
    </comment>
    <comment ref="I7" authorId="0" shapeId="0">
      <text>
        <r>
          <rPr>
            <sz val="9"/>
            <color indexed="81"/>
            <rFont val="Tahoma"/>
            <family val="2"/>
          </rPr>
          <t>Metric  =  Entity code [si]_x000D_
Main category of item that is the object of the transaction / contract  =  Liabilities other than Derivatives, Short positions, Deposits, Debt securities issued, Other financial liabilities</t>
        </r>
      </text>
    </comment>
    <comment ref="J7" authorId="0" shapeId="0">
      <text>
        <r>
          <rPr>
            <sz val="9"/>
            <color indexed="81"/>
            <rFont val="Tahoma"/>
            <family val="2"/>
          </rPr>
          <t>Metric  =  Type of identifier [ei:AT:AT99]_x000D_
Main category of item that is the object of the transaction / contract  =  Liabilities other than Derivatives, Short positions, Deposits, Debt securities issued, Other financial liabilities</t>
        </r>
      </text>
    </comment>
    <comment ref="K7" authorId="0" shapeId="0">
      <text>
        <r>
          <rPr>
            <sz val="9"/>
            <color indexed="81"/>
            <rFont val="Tahoma"/>
            <family val="2"/>
          </rPr>
          <t>Metric  =  Country the law of which governs the contract / master agreement [ei:GA:GA4]_x000D_
Base  =  Liabilities_x000D_
Main category  =  Liabilities other than Derivatives, Short positions, Deposits, Debt securities issued, Other financial liabilities</t>
        </r>
      </text>
    </comment>
    <comment ref="L7" authorId="0" shapeId="0">
      <text>
        <r>
          <rPr>
            <sz val="9"/>
            <color indexed="81"/>
            <rFont val="Tahoma"/>
            <family val="2"/>
          </rPr>
          <t>Metric  =  Type of non-financial liability [ei:MC:MC36]_x000D_
Main category  =  Liabilities other than Derivatives, Short positions, Deposits, Debt securities issued, Other financial liabilities</t>
        </r>
      </text>
    </comment>
    <comment ref="M7" authorId="0" shapeId="0">
      <text>
        <r>
          <rPr>
            <sz val="9"/>
            <color indexed="81"/>
            <rFont val="Tahoma"/>
            <family val="2"/>
          </rPr>
          <t>Metric  =  Outstanding amount [mi]_x000D_
Base  =  Liabilities_x000D_
Main category  =  Liabilities other than Derivatives, Short positions, Deposits, Debt securities issued, Other financial liabilities</t>
        </r>
      </text>
    </comment>
    <comment ref="N7" authorId="0" shapeId="0">
      <text>
        <r>
          <rPr>
            <sz val="9"/>
            <color indexed="81"/>
            <rFont val="Tahoma"/>
            <family val="2"/>
          </rPr>
          <t>Metric  =  Currency in which the transaction / contract is denominated (new) [ei:CU:CU3_4]_x000D_
Base  =  Liabilities_x000D_
Main category  =  Liabilities other than Derivatives, Short positions, Deposits, Debt securities issued, Other financial liabilities</t>
        </r>
      </text>
    </comment>
    <comment ref="O7" authorId="0" shapeId="0">
      <text>
        <r>
          <rPr>
            <sz val="9"/>
            <color indexed="81"/>
            <rFont val="Tahoma"/>
            <family val="2"/>
          </rPr>
          <t>Metric  =  Date of issuance [di]_x000D_
Base  =  Liabilities_x000D_
Main category  =  Liabilities other than Derivatives, Short positions, Deposits, Debt securities issued, Other financial liabilities</t>
        </r>
      </text>
    </comment>
    <comment ref="P7" authorId="0" shapeId="0">
      <text>
        <r>
          <rPr>
            <sz val="9"/>
            <color indexed="81"/>
            <rFont val="Tahoma"/>
            <family val="2"/>
          </rPr>
          <t>Metric  =  Legal final maturity date [di]_x000D_
Base  =  Liabilities_x000D_
Main category  =  Liabilities other than Derivatives, Short positions, Deposits, Debt securities issued, Other financial liabilities</t>
        </r>
      </text>
    </comment>
    <comment ref="Q7" authorId="0" shapeId="0">
      <text>
        <r>
          <rPr>
            <sz val="9"/>
            <color indexed="81"/>
            <rFont val="Tahoma"/>
            <family val="2"/>
          </rPr>
          <t>Metric  =  Type of regulatory capital [ei:OF:OF8]_x000D_
Base  =  Liabilities_x000D_
Main category  =  Liabilities other than Derivatives, Short positions, Deposits, Debt securities issued, Other financial liabilities</t>
        </r>
      </text>
    </comment>
    <comment ref="R7" authorId="0" shapeId="0">
      <text>
        <r>
          <rPr>
            <sz val="9"/>
            <color indexed="81"/>
            <rFont val="Tahoma"/>
            <family val="2"/>
          </rPr>
          <t>Metric  =  Amount including transitional provisions [mi]_x000D_
Base  =  Own funds_x000D_
Main category  =  Regulatory capital items_x000D_
Own funds  =  Total own funds_x000D_
Main category of item that is the object of the transaction / contract  =  Liabilities other than Derivatives, Short positions, Deposits, Debt securities issued, Other financial liabilities</t>
        </r>
      </text>
    </comment>
    <comment ref="C8" authorId="0" shapeId="0">
      <text>
        <r>
          <rPr>
            <sz val="9"/>
            <color indexed="81"/>
            <rFont val="Tahoma"/>
            <family val="2"/>
          </rPr>
          <t>Row ID (other non-financial liabilities)  =  &lt;Key value&gt;</t>
        </r>
      </text>
    </comment>
    <comment ref="D8" authorId="0" shapeId="0">
      <text>
        <r>
          <rPr>
            <sz val="9"/>
            <color indexed="81"/>
            <rFont val="Tahoma"/>
            <family val="2"/>
          </rPr>
          <t>The &lt;Key value&gt; (combination of all &lt;Key value&gt; columns when more than one) must uniquely specify each row.</t>
        </r>
      </text>
    </comment>
    <comment ref="E8" authorId="0" shapeId="0">
      <text>
        <r>
          <rPr>
            <sz val="9"/>
            <color indexed="81"/>
            <rFont val="Tahoma"/>
            <family val="2"/>
          </rPr>
          <t>DataPointVID 428404_x000D_
DataPointID 428404_x000D_
Metric  =  Row reference (aggregate template) [ei:ZZ:ZZ27_1]_x000D_
Row ID (other non-financial liabilities)  =  &lt;Key value&gt;_x000D_
Main category of item that is the object of the transaction / contract  =  Liabilities other than Derivatives, Short positions, Deposits, Debt securities issued, Other financial liabilities</t>
        </r>
        <r>
          <rPr>
            <sz val="9"/>
            <color indexed="8"/>
            <rFont val="Tahoma"/>
            <family val="2"/>
          </rPr>
          <t>_x000D_
_x000D_
Value chosen from:_x000D_
(ZZ:x238) r0110 - Covered deposits (BRRD art. 44/2/a)_x000D_
(ZZ:x239) r0120 - Secured liabilities - collateralized part (BRRD art. 44/2/b)_x000D_
(ZZ:x240) r0130 - Client liabilities, if protected in insolvency (BRRD art. 44/2/c)_x000D_
(ZZ:x241) r0140 - Fiduciary liabilities, if protected in insolvency (BRRD art. 44/2/d)_x000D_
(ZZ:x242) r0150 - Institution liabilities &lt; 7 days (BRRD art. 44/2/e)_x000D_
(ZZ:x243) r0160 - System (operator) liabilities &lt; 7 days (BRRD art. 44/2/f)_x000D_
(ZZ:x1232) r0161 - System (operator) and CCP liabilities &lt; 7 days (BRRD art. 44/2/f)_x000D_
(ZZ:x244) r0170 - Employee liabilities (BRRD art. 44/2/g/i)_x000D_
(ZZ:x245) r0180 - Critical service liabilities (BRRD art. 44/2/g/ii)_x000D_
(ZZ:x246) r0190 - Tax and social security authorities liabilities, if preferred (BRRD art. 44/2/g/iii)_x000D_
(ZZ:x247) r0200 - DGS liabilities (BRRD art. 44/2/g/iv)_x000D_
(ZZ:x1233) r0210 - Liabilities towards other entities of the resolution group (BRRD art. 44/2/h)_x000D_
(ZZ:x248) r0310 - Deposits, not covered but preferential (BRRD art. 108)_x000D_
(ZZ:x249) r0320 - Deposits, not covered and not preferential_x000D_
(ZZ:x250) r0340 - Uncollateralized secured liabilities_x000D_
(ZZ:x251) r0350 - Structured notes_x000D_
(ZZ:x252) r0360 - Senior unsecured liabilities_x000D_
(ZZ:x253) r0365 - Senior non-preferred liabilities_x000D_
(ZZ:x254) r0370 - Subordinated liabilities (not recognised as own funds)_x000D_
(ZZ:x255) r0380 - Other MREL eligible liabilities_x000D_
(ZZ:x256) r0390 - Non-financial liabilities_x000D_
(ZZ:x257) r0400 - Residual liabilities_x000D_
(ZZ:x258) r0511 - o/w capital instruments/share capital_x000D_
(ZZ:x259) r0512 - o/w instruments ranking pari passu with ordinary shares_x000D_
(ZZ:x260) r0521 - o/w (part of) subordinated liabilities recognised as own funds_x000D_
(ZZ:x261) r0531 - o/w (part of) subordinated liabilities recognised as own funds_x000D_</t>
        </r>
        <r>
          <rPr>
            <sz val="9"/>
            <color indexed="81"/>
            <rFont val="Tahoma"/>
            <family val="2"/>
          </rPr>
          <t xml:space="preserve">
</t>
        </r>
      </text>
    </comment>
    <comment ref="F8" authorId="0" shapeId="0">
      <text>
        <r>
          <rPr>
            <sz val="9"/>
            <color indexed="81"/>
            <rFont val="Tahoma"/>
            <family val="2"/>
          </rPr>
          <t>DataPointVID 428435_x000D_
DataPointID 428435_x000D_
Metric  =  Column reference (aggregate template) [ei:ZZ:ZZ32]_x000D_
Row ID (other non-financial liabilities)  =  &lt;Key value&gt;_x000D_
Main category of item that is the object of the transaction / contract  =  Liabilities other than Derivatives, Short positions, Deposits, Debt securities issued, Other financial liabilities</t>
        </r>
        <r>
          <rPr>
            <sz val="9"/>
            <color indexed="8"/>
            <rFont val="Tahoma"/>
            <family val="2"/>
          </rPr>
          <t>_x000D_
_x000D_
Value chosen from:_x000D_
(ZZ:x291) c001x   - Households_x000D_
(ZZ:x292) c002x   - Micro &amp; SME_x000D_
(ZZ:x293) c003x   - Corporates_x000D_
(ZZ:x294) c004x   - Institutions_x000D_
(ZZ:x295) c005x   - Other financial corporations_x000D_
(ZZ:x296) c006x   - Insurance firms &amp; pension funds_x000D_
(ZZ:x297) c008x   - Government, central banks &amp; supranationals_x000D_
(ZZ:x298) c009x   - Non identified, listed on an exchange platform_x000D_
(ZZ:x299) c010x   - Non-identified, not listed on an exchange platform_x000D_</t>
        </r>
        <r>
          <rPr>
            <sz val="9"/>
            <color indexed="81"/>
            <rFont val="Tahoma"/>
            <family val="2"/>
          </rPr>
          <t xml:space="preserve">
</t>
        </r>
      </text>
    </comment>
    <comment ref="G8" authorId="0" shapeId="0">
      <text>
        <r>
          <rPr>
            <sz val="9"/>
            <color indexed="81"/>
            <rFont val="Tahoma"/>
            <family val="2"/>
          </rPr>
          <t>DataPointVID 428406_x000D_
DataPointID 428406_x000D_
Metric  =  Ranking in insolvency [ei:ZZ:ZZ28]_x000D_
Base  =  Liabilities_x000D_
Row ID (other non-financial liabilities)  =  &lt;Key value&gt;_x000D_
Main category  =  Liabilities other than Derivatives, Short positions, Deposits, Debt securities issued, Other financial liabilities</t>
        </r>
        <r>
          <rPr>
            <sz val="9"/>
            <color indexed="8"/>
            <rFont val="Tahoma"/>
            <family val="2"/>
          </rPr>
          <t>_x000D_
_x000D_
Value chosen from:_x000D_
(ZZ:x262) Rank 1 - Ranking in insolvency (master scale)_x000D_
(ZZ:x263) Rank 2 - Ranking in insolvency (master scale)_x000D_
(ZZ:x264) Rank 3 - Ranking in insolvency (master scale)_x000D_
(ZZ:x265) Rank 4 - Ranking in insolvency (master scale)_x000D_
(ZZ:x266) Rank 5 - Ranking in insolvency (master scale)_x000D_
(ZZ:x267) Rank 6 - Ranking in insolvency (master scale)_x000D_
(ZZ:x268) Rank 7 - Ranking in insolvency (master scale)_x000D_
(ZZ:x269) Rank 8 - Ranking in insolvency (master scale)_x000D_
(ZZ:x270) Rank 9 - Ranking in insolvency (master scale)_x000D_
(ZZ:x271) Rank 10 - Ranking in insolvency (master scale)_x000D_
(ZZ:x272) Rank 11 - Ranking in insolvency (master scale)_x000D_
(ZZ:x273) Rank 12 - Ranking in insolvency (master scale)_x000D_
(ZZ:x274) Rank 13 - Ranking in insolvency (master scale)_x000D_
(ZZ:x275) Rank 14 - Ranking in insolvency (master scale)_x000D_
(ZZ:x276) Rank 15 - Ranking in insolvency (master scale)_x000D_
(ZZ:x277) Rank 16 - Ranking in insolvency (master scale)_x000D_
(ZZ:x278) Rank 17 - Ranking in insolvency (master scale)_x000D_
(ZZ:x279) Rank 18 - Ranking in insolvency (master scale)_x000D_
(ZZ:x280) Rank 19 - Ranking in insolvency (master scale)_x000D_
(ZZ:x281) Rank 20 - Ranking in insolvency (master scale)_x000D_</t>
        </r>
        <r>
          <rPr>
            <sz val="9"/>
            <color indexed="81"/>
            <rFont val="Tahoma"/>
            <family val="2"/>
          </rPr>
          <t xml:space="preserve">
</t>
        </r>
      </text>
    </comment>
    <comment ref="H8" authorId="0" shapeId="0">
      <text>
        <r>
          <rPr>
            <sz val="9"/>
            <color indexed="81"/>
            <rFont val="Tahoma"/>
            <family val="2"/>
          </rPr>
          <t>DataPointVID 428409_x000D_
DataPointID 428409_x000D_
Metric  =  Contract identifier [si]_x000D_
Base  =  Liabilities_x000D_
Row ID (other non-financial liabilities)  =  &lt;Key value&gt;_x000D_
Main category  =  Liabilities other than Derivatives, Short positions, Deposits, Debt securities issued, Other financial liabilities</t>
        </r>
      </text>
    </comment>
    <comment ref="I8" authorId="0" shapeId="0">
      <text>
        <r>
          <rPr>
            <sz val="9"/>
            <color indexed="81"/>
            <rFont val="Tahoma"/>
            <family val="2"/>
          </rPr>
          <t>DataPointVID 424328_x000D_
DataPointID 424328_x000D_
Metric  =  Entity code [si]_x000D_
Row ID (other non-financial liabilities)  =  &lt;Key value&gt;_x000D_
Main category of item that is the object of the transaction / contract  =  Liabilities other than Derivatives, Short positions, Deposits, Debt securities issued, Other financial liabilities</t>
        </r>
      </text>
    </comment>
    <comment ref="J8" authorId="0" shapeId="0">
      <text>
        <r>
          <rPr>
            <sz val="9"/>
            <color indexed="81"/>
            <rFont val="Tahoma"/>
            <family val="2"/>
          </rPr>
          <t>DataPointVID 428669_x000D_
DataPointID 428669_x000D_
Metric  =  Type of identifier [ei:AT:AT99]_x000D_
Row ID (other non-financial liabilities)  =  &lt;Key value&gt;_x000D_
Main category of item that is the object of the transaction / contract  =  Liabilities other than Derivatives, Short positions, Deposits, Debt securities issued, Other financial liabilities</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K8" authorId="0" shapeId="0">
      <text>
        <r>
          <rPr>
            <sz val="9"/>
            <color indexed="81"/>
            <rFont val="Tahoma"/>
            <family val="2"/>
          </rPr>
          <t>DataPointVID 428412_x000D_
DataPointID 428412_x000D_
Metric  =  Country the law of which governs the contract / master agreement [ei:GA:GA4]_x000D_
Base  =  Liabilities_x000D_
Row ID (other non-financial liabilities)  =  &lt;Key value&gt;_x000D_
Main category  =  Liabilities other than Derivatives, Short positions, Deposits, Debt securities issued, Other financial liabilities</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L8" authorId="0" shapeId="0">
      <text>
        <r>
          <rPr>
            <sz val="9"/>
            <color indexed="81"/>
            <rFont val="Tahoma"/>
            <family val="2"/>
          </rPr>
          <t>DataPointVID 428674_x000D_
DataPointID 428674_x000D_
Metric  =  Type of non-financial liability [ei:MC:MC36]_x000D_
Row ID (other non-financial liabilities)  =  &lt;Key value&gt;_x000D_
Main category  =  Liabilities other than Derivatives, Short positions, Deposits, Debt securities issued, Other financial liabilities</t>
        </r>
        <r>
          <rPr>
            <sz val="9"/>
            <color indexed="8"/>
            <rFont val="Tahoma"/>
            <family val="2"/>
          </rPr>
          <t>_x000D_
_x000D_
Value chosen from:_x000D_
(MC:x486) Provisions. Funds for general banking risks_x000D_
(MC:x286) Provisions. Employee benefits. Pension and other post-employment defined benefit obligations_x000D_
(MC:x285) Provisions. Employee benefits. Other than pension and other post-employment defined benefit obligations_x000D_
(MC:x290) Provisions. Restructuring_x000D_
(MC:x289) Provisions. Pending legal issues and tax litigation_x000D_
(MC:x287) Provisions. Off-balance sheet exposures subject to credit risk_x000D_
(MC:x288) Provisions. Other than Employee benefits, Restructuring, Pending legal issues and tax litigation, Off-balance sheet exposures subject to credit risk_x000D_
(MC:x335) Tax liabilities_x000D_
(MC:x931) Deferred income_x000D_
(MC:x932) Liabilities other than financial liabilities, provisions, tax liabilities, deferred income_x000D_</t>
        </r>
        <r>
          <rPr>
            <sz val="9"/>
            <color indexed="81"/>
            <rFont val="Tahoma"/>
            <family val="2"/>
          </rPr>
          <t xml:space="preserve">
</t>
        </r>
      </text>
    </comment>
    <comment ref="M8" authorId="0" shapeId="0">
      <text>
        <r>
          <rPr>
            <sz val="9"/>
            <color indexed="81"/>
            <rFont val="Tahoma"/>
            <family val="2"/>
          </rPr>
          <t>DataPointVID 428278_x000D_
DataPointID 428278_x000D_
Metric  =  Outstanding amount [mi]_x000D_
Base  =  Liabilities_x000D_
Row ID (other non-financial liabilities)  =  &lt;Key value&gt;_x000D_
Main category  =  Liabilities other than Derivatives, Short positions, Deposits, Debt securities issued, Other financial liabilities</t>
        </r>
      </text>
    </comment>
    <comment ref="N8" authorId="0" shapeId="0">
      <text>
        <r>
          <rPr>
            <sz val="9"/>
            <color indexed="81"/>
            <rFont val="Tahoma"/>
            <family val="2"/>
          </rPr>
          <t xml:space="preserve">Value chosen from:_x000D_
(CU:x0) Not applicable/ All currencies_x000D_
(CU:AED) UAE Dirham_x000D_
(CU:AFN) Afghani_x000D_
(CU:ALL) Lek_x000D_
(CU:AMD) Armenian Dram_x000D_
(CU:ANG) Netherlands Antillean Guilder_x000D_
(CU:AOA) Kwanza_x000D_
(CU:ARS) Argentine Peso_x000D_
(CU:AUD) Australian Dollar_x000D_
(CU:AWG) Aruban Florin_x000D_
(CU:AZN) Azerbaijanian Manat_x000D_
(CU:BAM) Convertible Mark_x000D_
(CU:BBD) Barbados Dollar_x000D_
(CU:BDT) Taka_x000D_
(CU:BGN) Bulgarian Lev_x000D_
(CU:BHD) Bahraini Dinar_x000D_
(CU:BIF) Burundi Franc_x000D_
(CU:BMD) Bermudian Dollar_x000D_
(CU:BND) Brunei Dollar_x000D_
(CU:BOB) Boliviano_x000D_
(CU:BOV) Mvdol_x000D_
(CU:BRL) Brazilian Real_x000D_
(CU:BSD) Bahamian Dollar_x000D_
(CU:BTN) Ngultrum_x000D_
(CU:BWP) Pula_x000D_
(CU:BYR) Belarussian Ruble (2000 Series)_x000D_
(CU:BYN) Belarusian Ruble_x000D_
(CU:BZD) Belize Dollar_x000D_
(CU:CAD) Canadian Dollar_x000D_
(CU:CDF) Congolese Franc_x000D_
(CU:CHE) WIR Euro_x000D_
(CU:CHF) Swiss Franc_x000D_
(CU:CHW) WIR Franc_x000D_
(CU:CLF) Unidades de fomento_x000D_
(CU:CLP) Chilean Peso_x000D_
(CU:CNY) Yuan Renminbi_x000D_
(CU:COP) Colombian Peso_x000D_
(CU:COU) Unidad de Valor Real_x000D_
(CU:CRC) Costa Rican Colon_x000D_
(CU:CUC) Peso Convertible_x000D_
(CU:CUP) Cuban Peso_x000D_
(CU:CVE) Cape Verde Escudo_x000D_
(CU:CZK) Czech Koruna_x000D_
(CU:DJF) Djibouti Franc_x000D_
(CU:DKK) Danish Krone_x000D_
(CU:DOP) Dominican Peso_x000D_
(CU:DZD) Algerian Dinar_x000D_
(CU:EGP) Egyptian Pound_x000D_
(CU:ERN) Nakfa_x000D_
(CU:ETB) Ethiopian Birr_x000D_
(CU:EUR) Euro_x000D_
(CU:FJD) Fiji Dollar_x000D_
(CU:FKP) Falkland Islands Pound_x000D_
(CU:GBP) Pound Sterling_x000D_
(CU:GEL) Lari_x000D_
(CU:GHS) Ghana Cedi_x000D_
(CU:GIP) Gibraltar Pound_x000D_
(CU:GMD) Dalasi_x000D_
(CU:GNF) Guinea Franc_x000D_
(CU:GTQ) Quetzal_x000D_
(CU:GYD) Guyana Dollar_x000D_
(CU:HKD) Hong Kong Dollar_x000D_
(CU:HNL) Lempira_x000D_
(CU:HRK) Croatian Kuna_x000D_
(CU:HTG) Gourde_x000D_
(CU:HUF) Forint_x000D_
(CU:IDR) Rupiah_x000D_
(CU:ILS) New Israeli Sheqel_x000D_
(CU:INR) Indian Rupee_x000D_
(CU:IQD) Iraqi Dinar_x000D_
(CU:IRR) Iranian Rial_x000D_
(CU:ISK) Iceland Krona_x000D_
(CU:JMD) Jamaican Dollar_x000D_
(CU:JOD) Jordanian Dinar_x000D_
(CU:JPY) Yen_x000D_
(CU:KES) Kenyan Shilling_x000D_
(CU:KGS) Som_x000D_
(CU:KHR) Riel_x000D_
(CU:KMF) Comoro Franc_x000D_
(CU:KPW) North Korean Won_x000D_
(CU:KRW) Won_x000D_
(CU:KWD) Kuwaiti Dinar_x000D_
(CU:KYD) Cayman Islands Dollar_x000D_
(CU:KZT) Tenge_x000D_
(CU:LAK) Kip_x000D_
(CU:LBP) Lebanese Pound_x000D_
(CU:LKR) Sri Lanka Rupee_x000D_
(CU:LRD) Liberian Dollar_x000D_
(CU:LSL) Loti_x000D_
(CU:LTL) Lithuanian Litas_x000D_
(CU:LVL) Latvian Lats_x000D_
(CU:LYD) Libyan Dinar_x000D_
(CU:MAD) Moroccan Dirham_x000D_
(CU:MDL) Moldovan Leu_x000D_
(CU:MGA) Malagasy Ariary_x000D_
(CU:MKD) Denar_x000D_
(CU:MMK) Kyat_x000D_
(CU:MNT) Tugrik_x000D_
(CU:MOP) Pataca_x000D_
(CU:MRO) Ouguiya_x000D_
(CU:MUR) Mauritius Rupee_x000D_
(CU:MVR) Rufiyaa_x000D_
(CU:MWK) Kwacha_x000D_
(CU:MXN) Mexican Peso_x000D_
(CU:MYR) Malaysian Ringgit_x000D_
(CU:MZN) Mozambique Metical_x000D_
(CU:NAD) Namibia Dollar_x000D_
(CU:NGN) Naira_x000D_
(CU:NIO) Cordoba Oro_x000D_
(CU:NOK) Norwegian Krone_x000D_
(CU:NPR) Nepalese Rupee_x000D_
(CU:NZD) New Zealand Dollar_x000D_
(CU:OMR) Rial Omani_x000D_
(CU:PAB) Balboa_x000D_
(CU:PEN) Nuevo Sol_x000D_
(CU:PGK) Kina_x000D_
(CU:PHP) Philippine Peso_x000D_
(CU:PKR) Pakistan Rupee_x000D_
(CU:PLN) Zloty_x000D_
(CU:PYG) Guarani_x000D_
(CU:QAR) Qatari Rial_x000D_
(CU:RON) New Romanian Leu_x000D_
(CU:RSD) Serbian Dinar_x000D_
(CU:RUB) Russian Ruble_x000D_
(CU:RWF) Rwanda Franc_x000D_
(CU:SAR) Saudi Riyal_x000D_
(CU:SBD) Solomon Islands Dollar_x000D_
(CU:SCR) Seychelles Rupee_x000D_
(CU:SDG) Sudanese Pound_x000D_
(CU:SEK) Swedish Krona_x000D_
(CU:SGD) Singapore Dollar_x000D_
(CU:SHP) Saint Helena Pound_x000D_
(CU:SLL) Leone_x000D_
(CU:SOS) Somali Shilling_x000D_
(CU:SRD) Surinam Dollar_x000D_
(CU:SSP) South Sudanese Pound_x000D_
(CU:STD) Dobra_x000D_
(CU:SVC) El Salvador Colon_x000D_
(CU:SYP) Syrian Pound_x000D_
(CU:SZL) Lilangeni_x000D_
(CU:THB) Baht_x000D_
(CU:TJS) Somoni_x000D_
(CU:TMT) Turkmenistan New Manat_x000D_
(CU:TND) Tunisian Dinar_x000D_
(CU:TOP) Pa’anga_x000D_
(CU:TRY) Turkish Lira_x000D_
(CU:TTD) Trinidad and Tobago Dollar_x000D_
(CU:TWD) New Taiwan Dollar_x000D_
(CU:TZS) Tanzanian Shilling_x000D_
(CU:UAH) Hryvnia_x000D_
(CU:UGX) Uganda Shilling_x000D_
(CU:USD) US Dollar_x000D_
(CU:UYI) Uruguay Peso en Unidades Indexadas (URUIURUI)_x000D_
(CU:UYU) Peso Uruguayo_x000D_
(CU:UZS) Uzbekistan Sum_x000D_
(CU:VEF) Bolivar_x000D_
(CU:VND) Dong_x000D_
(CU:VUV) Vatu_x000D_
(CU:WST) Tala_x000D_
(CU:XCD) East Caribbean Dollar_x000D_
(CU:YER) Yemeni Rial_x000D_
(CU:ZAR) Rand_x000D_
(CU:ZMK) Zambian Kwacha (replaced January 1, 2013)_x000D_
(CU:ZMW) Zambian Kwacha_x000D_
(CU:ZWL) Zimbabwe Dollar_x000D_
(CU:x46) Other Currency (open axis tables)_x000D_
(CU:XPF) CFP Franc_x000D_
(CU:CNH) Off-shore Yuan Renminbi_x000D_
</t>
        </r>
      </text>
    </comment>
    <comment ref="O8" authorId="0" shapeId="0">
      <text>
        <r>
          <rPr>
            <sz val="9"/>
            <color indexed="81"/>
            <rFont val="Tahoma"/>
            <family val="2"/>
          </rPr>
          <t>DataPointVID 428424_x000D_
DataPointID 428424_x000D_
Metric  =  Date of issuance [di]_x000D_
Base  =  Liabilities_x000D_
Row ID (other non-financial liabilities)  =  &lt;Key value&gt;_x000D_
Main category  =  Liabilities other than Derivatives, Short positions, Deposits, Debt securities issued, Other financial liabilities</t>
        </r>
      </text>
    </comment>
    <comment ref="P8" authorId="0" shapeId="0">
      <text>
        <r>
          <rPr>
            <sz val="9"/>
            <color indexed="81"/>
            <rFont val="Tahoma"/>
            <family val="2"/>
          </rPr>
          <t>DataPointVID 423750_x000D_
DataPointID 423750_x000D_
Metric  =  Legal final maturity date [di]_x000D_
Base  =  Liabilities_x000D_
Row ID (other non-financial liabilities)  =  &lt;Key value&gt;_x000D_
Main category  =  Liabilities other than Derivatives, Short positions, Deposits, Debt securities issued, Other financial liabilities</t>
        </r>
      </text>
    </comment>
    <comment ref="Q8" authorId="0" shapeId="0">
      <text>
        <r>
          <rPr>
            <sz val="9"/>
            <color indexed="81"/>
            <rFont val="Tahoma"/>
            <family val="2"/>
          </rPr>
          <t>DataPointVID 428432_x000D_
DataPointID 428432_x000D_
Metric  =  Type of regulatory capital [ei:OF:OF8]_x000D_
Base  =  Liabilities_x000D_
Row ID (other non-financial liabilities)  =  &lt;Key value&gt;_x000D_
Main category  =  Liabilities other than Derivatives, Short positions, Deposits, Debt securities issued, Other financial liabilities</t>
        </r>
        <r>
          <rPr>
            <sz val="9"/>
            <color indexed="8"/>
            <rFont val="Tahoma"/>
            <family val="2"/>
          </rPr>
          <t>_x000D_
_x000D_
Value chosen from:_x000D_
(OF:x19) No_x000D_
(OF:x20) Partially (A)T1 and T2_x000D_
(OF:x21) T2 in phase-out_x000D_
(OF:x22) Grandfathered T2_x000D_
(OF:x23) Fully Compliant T2_x000D_
(OF:x24) Grandfathered AT1_x000D_
(OF:x25) Fully Compliant AT1_x000D_
(OF:x26) CET1_x000D_</t>
        </r>
        <r>
          <rPr>
            <sz val="9"/>
            <color indexed="81"/>
            <rFont val="Tahoma"/>
            <family val="2"/>
          </rPr>
          <t xml:space="preserve">
</t>
        </r>
      </text>
    </comment>
    <comment ref="R8" authorId="0" shapeId="0">
      <text>
        <r>
          <rPr>
            <sz val="9"/>
            <color indexed="81"/>
            <rFont val="Tahoma"/>
            <family val="2"/>
          </rPr>
          <t>DataPointVID 423108_x000D_
DataPointID 423108_x000D_
Metric  =  Amount including transitional provisions [mi]_x000D_
Base  =  Own funds_x000D_
Row ID (other non-financial liabilities)  =  &lt;Key value&gt;_x000D_
Main category of item that is the object of the transaction / contract  =  Liabilities other than Derivatives, Short positions, Deposits, Debt securities issued, Other financial liabilities_x000D_
Main category  =  Regulatory capital items_x000D_
Own funds  =  Total own funds</t>
        </r>
      </text>
    </comment>
  </commentList>
</comments>
</file>

<file path=xl/comments14.xml><?xml version="1.0" encoding="utf-8"?>
<comments xmlns="http://schemas.openxmlformats.org/spreadsheetml/2006/main">
  <authors>
    <author>Haizhen Li</author>
  </authors>
  <commentList>
    <comment ref="D7" authorId="0" shapeId="0">
      <text>
        <r>
          <rPr>
            <sz val="9"/>
            <color indexed="81"/>
            <rFont val="Tahoma"/>
            <family val="2"/>
          </rPr>
          <t>Metric  =  Name of entity [si]</t>
        </r>
      </text>
    </comment>
    <comment ref="E7" authorId="0" shapeId="0">
      <text>
        <r>
          <rPr>
            <sz val="9"/>
            <color indexed="81"/>
            <rFont val="Tahoma"/>
            <family val="2"/>
          </rPr>
          <t>Individual creditors (derivatives, commitments received)  =  &lt;Key value&gt;</t>
        </r>
      </text>
    </comment>
    <comment ref="F7" authorId="0" shapeId="0">
      <text>
        <r>
          <rPr>
            <sz val="9"/>
            <color indexed="81"/>
            <rFont val="Tahoma"/>
            <family val="2"/>
          </rPr>
          <t>Metric  =  Type of identifier [ei:AT:AT99]</t>
        </r>
      </text>
    </comment>
    <comment ref="G7" authorId="0" shapeId="0">
      <text>
        <r>
          <rPr>
            <sz val="9"/>
            <color indexed="81"/>
            <rFont val="Tahoma"/>
            <family val="2"/>
          </rPr>
          <t>Metric  =  Group or individual [ei:ZZ:ZZ9]</t>
        </r>
      </text>
    </comment>
    <comment ref="H7" authorId="0" shapeId="0">
      <text>
        <r>
          <rPr>
            <sz val="9"/>
            <color indexed="81"/>
            <rFont val="Tahoma"/>
            <family val="2"/>
          </rPr>
          <t>Metric  =  Jurisdiction of incorporation [ei:GA:GA4_1]</t>
        </r>
      </text>
    </comment>
    <comment ref="I7" authorId="0" shapeId="0">
      <text>
        <r>
          <rPr>
            <sz val="9"/>
            <color indexed="81"/>
            <rFont val="Tahoma"/>
            <family val="2"/>
          </rPr>
          <t>Metric  =  Sector of the counterparty [ei:CT:CT16_1]</t>
        </r>
      </text>
    </comment>
    <comment ref="J7" authorId="0" shapeId="0">
      <text>
        <r>
          <rPr>
            <sz val="9"/>
            <color indexed="81"/>
            <rFont val="Tahoma"/>
            <family val="2"/>
          </rPr>
          <t>Type of financial interconnection  =  &lt;Key value&gt; [ZZ53]</t>
        </r>
      </text>
    </comment>
    <comment ref="K7" authorId="0" shapeId="0">
      <text>
        <r>
          <rPr>
            <sz val="9"/>
            <color indexed="81"/>
            <rFont val="Tahoma"/>
            <family val="2"/>
          </rPr>
          <t>Metric  =  Outstanding amount [mi]_x000D_
Base  =  Off balance sheet items_x000D_
Main category  =  Loan commitments received, Financial guarantees received, Other commitments received, Derivatives_x000D_
Instrument  =  Specific type of commitment received</t>
        </r>
      </text>
    </comment>
    <comment ref="C8" authorId="0" shapeId="0">
      <text>
        <r>
          <rPr>
            <sz val="9"/>
            <color indexed="81"/>
            <rFont val="Tahoma"/>
            <family val="2"/>
          </rPr>
          <t>Type of financial interconnection  =  &lt;Key value&gt; [ZZ53]_x000D_
Individual creditors (derivatives, commitments received)  =  &lt;Key value&gt;</t>
        </r>
      </text>
    </comment>
    <comment ref="D8" authorId="0" shapeId="0">
      <text>
        <r>
          <rPr>
            <sz val="9"/>
            <color indexed="81"/>
            <rFont val="Tahoma"/>
            <family val="2"/>
          </rPr>
          <t>DataPointVID 423753_x000D_
DataPointID 423753_x000D_
Metric  =  Name of entity [si]_x000D_
Individual creditors (derivatives, commitments received)  =  &lt;Key value&gt;_x000D_
Type of financial interconnection  =  &lt;Key value&gt;</t>
        </r>
      </text>
    </comment>
    <comment ref="E8" authorId="0" shapeId="0">
      <text>
        <r>
          <rPr>
            <sz val="9"/>
            <color indexed="81"/>
            <rFont val="Tahoma"/>
            <family val="2"/>
          </rPr>
          <t>The &lt;Key value&gt; (combination of all &lt;Key value&gt; columns when more than one) must uniquely specify each row.</t>
        </r>
      </text>
    </comment>
    <comment ref="F8" authorId="0" shapeId="0">
      <text>
        <r>
          <rPr>
            <sz val="9"/>
            <color indexed="81"/>
            <rFont val="Tahoma"/>
            <family val="2"/>
          </rPr>
          <t>DataPointVID 428660_x000D_
DataPointID 428660_x000D_
Metric  =  Type of identifier [ei:AT:AT99]_x000D_
Individual creditors (derivatives, commitments received)  =  &lt;Key value&gt;_x000D_
Type of financial interconnection  =  &lt;Key value&gt;</t>
        </r>
        <r>
          <rPr>
            <sz val="9"/>
            <color indexed="8"/>
            <rFont val="Tahoma"/>
            <family val="2"/>
          </rPr>
          <t>_x000D_
_x000D_
Value chosen from:_x000D_
(AT:si288) LEI code_x000D_
(AT:si730) MFI code_x000D_
(AT:si731) Type of identifier, other than LEI or MFI code_x000D_</t>
        </r>
        <r>
          <rPr>
            <sz val="9"/>
            <color indexed="81"/>
            <rFont val="Tahoma"/>
            <family val="2"/>
          </rPr>
          <t xml:space="preserve">
</t>
        </r>
      </text>
    </comment>
    <comment ref="G8" authorId="0" shapeId="0">
      <text>
        <r>
          <rPr>
            <sz val="9"/>
            <color indexed="81"/>
            <rFont val="Tahoma"/>
            <family val="2"/>
          </rPr>
          <t>DataPointVID 424340_x000D_
DataPointID 424340_x000D_
Metric  =  Group or individual [ei:ZZ:ZZ9]_x000D_
Individual creditors (derivatives, commitments received)  =  &lt;Key value&gt;_x000D_
Type of financial interconnection  =  &lt;Key value&gt;</t>
        </r>
        <r>
          <rPr>
            <sz val="9"/>
            <color indexed="8"/>
            <rFont val="Tahoma"/>
            <family val="2"/>
          </rPr>
          <t>_x000D_
_x000D_
Value chosen from:_x000D_
(ZZ:x1) 1 - Exposures to individual clients_x000D_
(ZZ:x2) 2 - Exposures to groups of connected clients_x000D_</t>
        </r>
        <r>
          <rPr>
            <sz val="9"/>
            <color indexed="81"/>
            <rFont val="Tahoma"/>
            <family val="2"/>
          </rPr>
          <t xml:space="preserve">
</t>
        </r>
      </text>
    </comment>
    <comment ref="H8" authorId="0" shapeId="0">
      <text>
        <r>
          <rPr>
            <sz val="9"/>
            <color indexed="81"/>
            <rFont val="Tahoma"/>
            <family val="2"/>
          </rPr>
          <t>DataPointVID 423747_x000D_
DataPointID 423747_x000D_
Metric  =  Jurisdiction of incorporation [ei:GA:GA4_1]_x000D_
Individual creditors (derivatives, commitments received)  =  &lt;Key value&gt;_x000D_
Type of financial interconnection  =  &lt;Key value&gt;</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I8" authorId="0" shapeId="0">
      <text>
        <r>
          <rPr>
            <sz val="9"/>
            <color indexed="81"/>
            <rFont val="Tahoma"/>
            <family val="2"/>
          </rPr>
          <t>DataPointVID 424153_x000D_
DataPointID 424153_x000D_
Metric  =  Sector of the counterparty [ei:CT:CT16_1]_x000D_
Individual creditors (derivatives, commitments received)  =  &lt;Key value&gt;_x000D_
Type of financial interconnection  =  &lt;Key value&gt;</t>
        </r>
        <r>
          <rPr>
            <sz val="9"/>
            <color indexed="8"/>
            <rFont val="Tahoma"/>
            <family val="2"/>
          </rPr>
          <t>_x000D_
_x000D_
Value chosen from:_x000D_
(CT:x10) Central banks_x000D_
(CT:x1) General governments_x000D_
(CT:x12) Credit institutions_x000D_
(CT:x18) Financial corporations other than credit institutions_x000D_
(CT:x598) Financial corporations other than credit institutions and investment firms_x000D_
(CT:x599) Investment firms_x000D_
(CT:x20) Non-financial corporations_x000D_
(CT:x5) Households_x000D_</t>
        </r>
        <r>
          <rPr>
            <sz val="9"/>
            <color indexed="81"/>
            <rFont val="Tahoma"/>
            <family val="2"/>
          </rPr>
          <t xml:space="preserve">
</t>
        </r>
      </text>
    </comment>
    <comment ref="J8" authorId="0" shapeId="0">
      <text>
        <r>
          <rPr>
            <sz val="9"/>
            <color indexed="81"/>
            <rFont val="Tahoma"/>
            <family val="2"/>
          </rPr>
          <t xml:space="preserve">The &lt;Key value&gt; (combination of all &lt;Key value&gt; columns when more than one) must uniquely specify each row._x000D_
Value restricted to subset [ZZ53]:_x000D_
(ZZ:x84) OBS.01 - Loan commitments received_x000D_
(ZZ:x85) OBS.02 - Financial guarantees received_x000D_
(ZZ:x86) OBS.03 - Other commitments received_x000D_
(ZZ:x337) OBS - Derivatives_x000D_
</t>
        </r>
      </text>
    </comment>
    <comment ref="K8" authorId="0" shapeId="0">
      <text>
        <r>
          <rPr>
            <sz val="9"/>
            <color indexed="81"/>
            <rFont val="Tahoma"/>
            <family val="2"/>
          </rPr>
          <t>DataPointVID 428282_x000D_
DataPointID 428282_x000D_
Metric  =  Outstanding amount [mi]_x000D_
Base  =  Off balance sheet items_x000D_
Individual creditors (derivatives, commitments received)  =  &lt;Key value&gt;_x000D_
Type of financial interconnection  =  &lt;Key value&gt;_x000D_
Instrument  =  Specific type of commitment received_x000D_
Main category  =  Loan commitments received, Financial guarantees received, Other commitments received, Derivatives</t>
        </r>
      </text>
    </comment>
    <comment ref="C9" authorId="0" shapeId="0">
      <text>
        <r>
          <rPr>
            <sz val="9"/>
            <color indexed="81"/>
            <rFont val="Tahoma"/>
            <family val="2"/>
          </rPr>
          <t>Type of financial interconnection  =  &lt;Key value&gt; [ZZ53]_x000D_
Individual creditors (derivatives, commitments received)  =  &lt;Key value&gt;</t>
        </r>
      </text>
    </comment>
    <comment ref="C10" authorId="0" shapeId="0">
      <text>
        <r>
          <rPr>
            <sz val="9"/>
            <color indexed="81"/>
            <rFont val="Tahoma"/>
            <family val="2"/>
          </rPr>
          <t>Type of financial interconnection  =  &lt;Key value&gt; [ZZ53]_x000D_
Individual creditors (derivatives, commitments received)  =  &lt;Key value&gt;</t>
        </r>
      </text>
    </comment>
    <comment ref="C11" authorId="0" shapeId="0">
      <text>
        <r>
          <rPr>
            <sz val="9"/>
            <color indexed="81"/>
            <rFont val="Tahoma"/>
            <family val="2"/>
          </rPr>
          <t>Type of financial interconnection  =  &lt;Key value&gt; [ZZ53]_x000D_
Individual creditors (derivatives, commitments received)  =  &lt;Key value&gt;</t>
        </r>
      </text>
    </comment>
    <comment ref="C12" authorId="0" shapeId="0">
      <text>
        <r>
          <rPr>
            <sz val="9"/>
            <color indexed="81"/>
            <rFont val="Tahoma"/>
            <family val="2"/>
          </rPr>
          <t>Type of financial interconnection  =  &lt;Key value&gt; [ZZ53]_x000D_
Individual creditors (derivatives, commitments received)  =  &lt;Key value&gt;</t>
        </r>
      </text>
    </comment>
    <comment ref="C13" authorId="0" shapeId="0">
      <text>
        <r>
          <rPr>
            <sz val="9"/>
            <color indexed="81"/>
            <rFont val="Tahoma"/>
            <family val="2"/>
          </rPr>
          <t>Type of financial interconnection  =  &lt;Key value&gt; [ZZ53]_x000D_
Individual creditors (derivatives, commitments received)  =  &lt;Key value&gt;</t>
        </r>
      </text>
    </comment>
    <comment ref="C14" authorId="0" shapeId="0">
      <text>
        <r>
          <rPr>
            <sz val="9"/>
            <color indexed="81"/>
            <rFont val="Tahoma"/>
            <family val="2"/>
          </rPr>
          <t>Type of financial interconnection  =  &lt;Key value&gt; [ZZ53]_x000D_
Individual creditors (derivatives, commitments received)  =  &lt;Key value&gt;</t>
        </r>
      </text>
    </comment>
    <comment ref="C15" authorId="0" shapeId="0">
      <text>
        <r>
          <rPr>
            <sz val="9"/>
            <color indexed="81"/>
            <rFont val="Tahoma"/>
            <family val="2"/>
          </rPr>
          <t>Type of financial interconnection  =  &lt;Key value&gt; [ZZ53]_x000D_
Individual creditors (derivatives, commitments received)  =  &lt;Key value&gt;</t>
        </r>
      </text>
    </comment>
    <comment ref="C16" authorId="0" shapeId="0">
      <text>
        <r>
          <rPr>
            <sz val="9"/>
            <color indexed="81"/>
            <rFont val="Tahoma"/>
            <family val="2"/>
          </rPr>
          <t>Type of financial interconnection  =  &lt;Key value&gt; [ZZ53]_x000D_
Individual creditors (derivatives, commitments received)  =  &lt;Key value&gt;</t>
        </r>
      </text>
    </comment>
    <comment ref="C17" authorId="0" shapeId="0">
      <text>
        <r>
          <rPr>
            <sz val="9"/>
            <color indexed="81"/>
            <rFont val="Tahoma"/>
            <family val="2"/>
          </rPr>
          <t>Type of financial interconnection  =  &lt;Key value&gt; [ZZ53]_x000D_
Individual creditors (derivatives, commitments received)  =  &lt;Key value&gt;</t>
        </r>
      </text>
    </comment>
  </commentList>
</comments>
</file>

<file path=xl/comments15.xml><?xml version="1.0" encoding="utf-8"?>
<comments xmlns="http://schemas.openxmlformats.org/spreadsheetml/2006/main">
  <authors>
    <author>Haizhen Li</author>
  </authors>
  <commentList>
    <comment ref="D6" authorId="0" shapeId="0">
      <text>
        <r>
          <rPr>
            <sz val="9"/>
            <color indexed="81"/>
            <rFont val="Tahoma"/>
            <family val="2"/>
          </rPr>
          <t>Base  =  Memorandum items</t>
        </r>
      </text>
    </comment>
    <comment ref="C7" authorId="0" shapeId="0">
      <text>
        <r>
          <rPr>
            <sz val="9"/>
            <color indexed="81"/>
            <rFont val="Tahoma"/>
            <family val="2"/>
          </rPr>
          <t>Metric  =  Name of entity [si]_x000D_
Related parties/Relationships  =  Entity the report refers to</t>
        </r>
      </text>
    </comment>
    <comment ref="D7" authorId="0" shapeId="0">
      <text>
        <r>
          <rPr>
            <sz val="9"/>
            <color indexed="81"/>
            <rFont val="Tahoma"/>
            <family val="2"/>
          </rPr>
          <t>DataPointVID 410221_x000D_
DataPointID 410221_x000D_
Metric  =  Name of entity [si]_x000D_
Base  =  Memorandum items_x000D_
Related parties/Relationships  =  Entity the report refers to</t>
        </r>
      </text>
    </comment>
    <comment ref="C8" authorId="0" shapeId="0">
      <text>
        <r>
          <rPr>
            <sz val="9"/>
            <color indexed="81"/>
            <rFont val="Tahoma"/>
            <family val="2"/>
          </rPr>
          <t>Metric  =  Entity code [si]_x000D_
Related parties/Relationships  =  Entity the report refers to</t>
        </r>
      </text>
    </comment>
    <comment ref="D8" authorId="0" shapeId="0">
      <text>
        <r>
          <rPr>
            <sz val="9"/>
            <color indexed="81"/>
            <rFont val="Tahoma"/>
            <family val="2"/>
          </rPr>
          <t>DataPointVID 410398_x000D_
DataPointID 410398_x000D_
Metric  =  Entity code [si]_x000D_
Base  =  Memorandum items_x000D_
Related parties/Relationships  =  Entity the report refers to</t>
        </r>
      </text>
    </comment>
    <comment ref="C9" authorId="0" shapeId="0">
      <text>
        <r>
          <rPr>
            <sz val="9"/>
            <color indexed="81"/>
            <rFont val="Tahoma"/>
            <family val="2"/>
          </rPr>
          <t>Metric  =  Jurisdiction of incorporation [ei:GA:GA4_1]_x000D_
Related parties/Relationships  =  Entity the report refers to</t>
        </r>
      </text>
    </comment>
    <comment ref="D9" authorId="0" shapeId="0">
      <text>
        <r>
          <rPr>
            <sz val="9"/>
            <color indexed="81"/>
            <rFont val="Tahoma"/>
            <family val="2"/>
          </rPr>
          <t>DataPointVID 410210_x000D_
DataPointID 410210_x000D_
Metric  =  Jurisdiction of incorporation [ei:GA:GA4_1]_x000D_
Base  =  Memorandum items_x000D_
Related parties/Relationships  =  Entity the report refers to</t>
        </r>
        <r>
          <rPr>
            <sz val="9"/>
            <color indexed="8"/>
            <rFont val="Tahoma"/>
            <family val="2"/>
          </rPr>
          <t>_x000D_
_x000D_
Value chosen from:_x000D_
(GA:AL) ALBANIA_x000D_
(GA:AT) AUSTRIA_x000D_
(GA:BE) BELGIUM_x000D_
(GA:BG) BULGARIA_x000D_
(GA:CY) CYPRUS_x000D_
(GA:CZ) CZECH REPUBLIC_x000D_
(GA:DK) DENMARK_x000D_
(GA:EE) ESTONIA_x000D_
(GA:FI) FINLAND_x000D_
(GA:FR) FRANCE_x000D_
(GA:DE) GERMANY_x000D_
(GA:GR) GREECE_x000D_
(GA:HU) HUNGARY_x000D_
(GA:IE) IRELAND_x000D_
(GA:IT) ITALY_x000D_
(GA:JP) JAPAN_x000D_
(GA:LV) LATVIA_x000D_
(GA:LT) LITHUANIA_x000D_
(GA:LU) LUXEMBOURG_x000D_
(GA:MK) NORTH MACEDONIA_x000D_
(GA:MT) MALTA_x000D_
(GA:NL) NETHERLANDS_x000D_
(GA:NO) NORWAY_x000D_
(GA:PL) POLAND_x000D_
(GA:PT) PORTUGAL_x000D_
(GA:RO) ROMANIA_x000D_
(GA:RU) RUSSIAN FEDERATION_x000D_
(GA:RS) SERBIA_x000D_
(GA:SK) SLOVAKIA_x000D_
(GA:SI) SLOVENIA_x000D_
(GA:ES) SPAIN_x000D_
(GA:SE) SWEDEN_x000D_
(GA:CH) SWITZERLAND_x000D_
(GA:TR) TURKEY_x000D_
(GA:UA) UKRAINE_x000D_
(GA:GB) UNITED KINGDOM_x000D_
(GA:US) UNITED STATES_x000D_
(GA:AF) AFGHANISTAN_x000D_
(GA:AX) ÅLAND ISLANDS_x000D_
(GA:DZ) ALGERIA_x000D_
(GA:AS) AMERICAN SAMOA_x000D_
(GA:AD) ANDORRA_x000D_
(GA:AO) ANGOLA_x000D_
(GA:AI) ANGUILLA_x000D_
(GA:AQ) ANTARCTICA_x000D_
(GA:AG) ANTIGUA AND BARBUDA_x000D_
(GA:AR) ARGENTINA_x000D_
(GA:AM) ARMENIA_x000D_
(GA:AW) ARUBA_x000D_
(GA:AU) AUSTRALIA_x000D_
(GA:AZ) AZERBAIJAN_x000D_
(GA:BS) BAHAMAS_x000D_
(GA:BH) BAHRAIN_x000D_
(GA:BD) BANGLADESH_x000D_
(GA:BB) BARBADOS_x000D_
(GA:BY) BELARUS_x000D_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(GA:DJ) DJIBOUTI_x000D_
(GA:DM) DOMINICA_x000D_
(GA:DO) DOMINICAN REPUBLIC_x000D_
(GA:EC) ECUADOR_x000D_
(GA:EG) EGYPT_x000D_
(GA:SV) EL SALVADOR_x000D_
(GA:GQ) EQUATORIAL GUINEA_x000D_
(GA:ER) ERITREA_x000D_
(GA:ET) ETHIOPIA_x000D_
(GA:FK) FALKLAND ISLANDS (MALVINAS)_x000D_
(GA:FO) FAROE ISLANDS_x000D_
(GA:FJ) FIJI_x000D_
(GA:GF) FRENCH GUIANA_x000D_
(GA:PF) FRENCH POLYNESIA_x000D_
(GA:TF) FRENCH SOUTHERN TERRITORIES_x000D_
(GA:GA) GABON_x000D_
(GA:GM) GAMBIA_x000D_
(GA:GE) GEORGIA_x000D_
(GA:GH) GHANA_x000D_
(GA:GI) GIBRALTAR_x000D_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(GA:IS) ICELAND_x000D_
(GA:IN) INDIA_x000D_
(GA:ID) INDONESIA_x000D_
(GA:IR) IRAN, ISLAMIC REPUBLIC OF_x000D_
(GA:IQ) IRAQ_x000D_
(GA:IM) ISLE OF MAN_x000D_
(GA:IL) ISRAEL_x000D_
(GA:JM) JAMAICA_x000D_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(GA:LB) LEBANON_x000D_
(GA:LS) LESOTHO_x000D_
(GA:LR) LIBERIA_x000D_
(GA:LY) LIBYA_x000D_
(GA:LI) LIECHTENSTEIN_x000D_
(GA:MO) MACAO_x000D_
(GA:MG) MADAGASCAR_x000D_
(GA:MW) MALAWI_x000D_
(GA:MY) MALAYSIA_x000D_
(GA:MV) MALDIVES_x000D_
(GA:ML) MALI_x000D_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(GA:NC) NEW CALEDONIA_x000D_
(GA:NZ) NEW ZEALAND_x000D_
(GA:NI) NICARAGUA_x000D_
(GA:NE) NIGER_x000D_
(GA:NG) NIGERIA_x000D_
(GA:NU) NIUE_x000D_
(GA:NF) NORFOLK ISLAND_x000D_
(GA:MP) NORTHERN MARIANA ISLANDS_x000D_
(GA:OM) OMAN_x000D_
(GA:PK) PAKISTAN_x000D_
(GA:PW) PALAU_x000D_
(GA:PS) PALESTINIAN TERRITORY, OCCUPIED_x000D_
(GA:PA) PANAMA_x000D_
(GA:PG) PAPUA NEW GUINEA_x000D_
(GA:PY) PARAGUAY_x000D_
(GA:PE) PERU_x000D_
(GA:PH) PHILIPPINES_x000D_
(GA:PN) PITCAIRN_x000D_
(GA:PR) PUERTO RICO_x000D_
(GA:QA) QATAR_x000D_
(GA:RE) RÉUNION_x000D_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(GA:SC) SEYCHELLES_x000D_
(GA:SL) SIERRA LEONE_x000D_
(GA:SG) SINGAPORE_x000D_
(GA:SX) SINT MAARTEN (DUTCH PART)_x000D_
(GA:SB) SOLOMON ISLANDS_x000D_
(GA:SO) SOMALIA_x000D_
(GA:ZA) SOUTH AFRICA_x000D_
(GA:GS) SOUTH GEORGIA AND THE SOUTH SANDWICH ISLANDS_x000D_
(GA:SS) SOUTH SUDAN_x000D_
(GA:LK) SRI LANKA_x000D_
(GA:SD) SUDAN_x000D_
(GA:SR) SURINAME_x000D_
(GA:SJ) SVALBARD AND JAN MAYEN_x000D_
(GA:SZ) SWAZILAND_x000D_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(GA:TM) TURKMENISTAN_x000D_
(GA:TC) TURKS AND CAICOS ISLANDS_x000D_
(GA:TV) TUVALU_x000D_
(GA:UG) UGANDA_x000D_
(GA:AE) UNITED ARAB EMIRATES_x000D_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
(GA:x28) Other Countries_x000D_
(GA:_1A) International organisations (as pseudo geographic area)_x000D_
(GA:_1B) United Nations organisations_x000D_
(GA:_1C) IMF (International Monetary Fund)_x000D_
(GA:_1D) WTO (World Trade Organisation)_x000D_
(GA:_1E) IBRD (International Bank for Reconstruction and Development)_x000D_
(GA:_1F) IDA (International Development Association)_x000D_
(GA:_1G) Other UN Organisations (includes 1H, 1J-1T)_x000D_
(GA:_1H) UNESCO (United Nations Educational, Scientific and Cultural Organisation)_x000D_
(GA:_1J) FAO (Food and Agriculture Organisation)_x000D_
(GA:_1K) WHO (World Health Organisation)_x000D_
(GA:_1L) IFAD (International Fund for Agricultural Development)_x000D_
(GA:_1M) IFC (International Finance Corporation)_x000D_
(GA:_1N) MIGA (Multilateral Investment Guarantee Agency)_x000D_
(GA:_1O) UNICEF (United Nations Children’s Fund)_x000D_
(GA:_1P) UNHCR (United Nations High Commissioner for Refugees)_x000D_
(GA:_1Q) UNRWA (United Nations Relief and Works Agency for Palestine)_x000D_
(GA:_1R) IAEA (International Atomic Energy Agency)_x000D_
(GA:_1S) ILO (International Labour Organisation)_x000D_
(GA:_1T) ITU (International Telecommunication Union)_x000D_
(GA:_1Z) Rest of UN Organisations n.i.e._x000D_
(GA:_4A) All the European Union Institutions excluding the institutions of the euro area_x000D_
(GA:_4B) EMS (European Monetary System)_x000D_
(GA:_4C) EIB (European Investment Bank)_x000D_
(GA:_4D) EC (European Commission)_x000D_
(GA:_4E) EDF (European Development Fund)_x000D_
(GA:_4F) ECB (European Central Bank)_x000D_
(GA:_4G) EIF (European Investment Fund)_x000D_
(GA:_4H) ECSC (European Coal and Steel Community)_x000D_
(GA:_4I) Neighbourhood Investment Facility_x000D_
(GA:_4V) FEMIP (Facility for Euro-Mediterranean Investment and Partnership)_x000D_
(GA:_4J) Other European Union Institutions, Organs and Organisms covered by General budget_x000D_
(GA:_4K) European Parliament_x000D_
(GA:_4L) Council of the European Union_x000D_
(GA:_4M) Court of Justice_x000D_
(GA:_4N) Court of Auditors_x000D_
(GA:_4O) European Council_x000D_
(GA:_4P) Economic and Social Committee_x000D_
(GA:_4Q) Committee of the Regions_x000D_
(GA:_4R) EU-Africa Infrastructure Trust Fund_x000D_
(GA:_4S) ESM (European Stability Mechanism)_x000D_
(GA:_4T) Joint Committee of the European Supervisory Authorities (ESAs)_x000D_
(GA:_4W) All the European Union Institutions financed via the EU Budget_x000D_
(GA:_4X) All the European Union Institutions not financed via the EU Budget_x000D_
(GA:_4Y) All European Community Institutions, Organs and Organisms, including ECB and ESM_x000D_
(GA:_4Z) Other small European Union Institutions (Ombudsman, Data Protection Supervisor etc.)_x000D_
(GA:_5A) OECD (Organisation for Economic Co-operation and Development)_x000D_
(GA:_5B) BIS (Bank for International Settlements)_x000D_
(GA:_5C) IADB (Inter-American Development Bank)_x000D_
(GA:_5D) AfDB (African Development Bank)_x000D_
(GA:_5E) AsDB (Asian Development Bank)_x000D_
(GA:_5F) EBRD (European Bank for Reconstruction and Development)_x000D_
(GA:_5G) IIC (Inter-American Investment Corporation)_x000D_
(GA:_5H) NIB (Nordic Investment Bank)_x000D_
(GA:_5I) ECCB (Eastern Caribbean Central Bank)_x000D_
(GA:_5J) IBEC (International Bank for Economic Co-operation)_x000D_
(GA:_5K) IIB (International Investment Bank)_x000D_
(GA:_5L) CDB (Caribbean Development Bank)_x000D_
(GA:_5M) AMF (Arab Monetary Fund)_x000D_
(GA:_5N) BADEA (Banque arabe pour le développement économique en Afrique)_x000D_
(GA:_5O) BCEAO (Banque Centrale des Etats de l'Afrique de l'Ouest)_x000D_
(GA:_5P) CASDB (Central African States Development Bank)_x000D_
(GA:_5Q) African Development Fund_x000D_
(GA:_5R) Asian Development Fund_x000D_
(GA:_5S) Fonds spécial unifié de développement_x000D_
(GA:_5T) CABEI (Central American Bank for Economic Integration)_x000D_
(GA:_5U) ADC (Andean Development Corporation)_x000D_
(GA:_5V) Other International Organisations (financial institutions)_x000D_
(GA:_5W) BEAC (Banque des Etats de l'Afrique Centrale)_x000D_
(GA:_5X) CEMAC (Communauté Économique et Monétaire de l'Afrique Centrale)_x000D_
(GA:_5Y) ECCU (Eastern Caribbean Currency Union)_x000D_
(GA:_5Z) Other International Financial Organisations_x000D_
(GA:_6A) Other International Organisations (non-financial institutions)_x000D_
(GA:_6B) NATO (North Atlantic Treaty Organisation)_x000D_
(GA:_6C) Council of Europe_x000D_
(GA:_6D) ICRC (International Committee of the Red Cross)_x000D_
(GA:_6E) ESA (European Space Agency)_x000D_
(GA:_6F) EPO (European Patent Office)_x000D_
(GA:_6G) EUROCONTROL (European Organisation for the Safety of Air Navigation)_x000D_
(GA:_6H) EUTELSAT (European Telecommunications Satellite Organisation)_x000D_
(GA:_6I) WAEMU (West African Economic and Monetary Union)_x000D_
(GA:_6J) INTELSAT (International Telecommunications Satellite Organisation)_x000D_
(GA:_6K) EBU/UER (European Broadcasting Union/Union européenne de radio-télévision)_x000D_
(GA:_6L) EUMETSAT (European Organisation for the Exploitation of Meteorological Satellites)_x000D_
(GA:_6M) ESO (European Southern Observatory)_x000D_
(GA:_6N) ECMWF (European Centre for Medium-Range Weather Forecasts)_x000D_
(GA:_6O) EMBL (European Molecular Biology Laboratory)_x000D_
(GA:_6P) CERN (European Organisation for Nuclear Research)_x000D_
(GA:_6Q) IOM (International Organisation for Migration)_x000D_
(GA:_6R) IDB (Islamic Development Bank)_x000D_
(GA:_6S) EDB (Eurasian Development Bank)_x000D_
(GA:_6T) Paris Club Creditor Institutions_x000D_
(GA:_6U) CEB (Council of Europe Development Bank)_x000D_
(GA:_6Z) Other International Non-Financial Organisations_x000D_
(GA:_7Z) International Organisations excluding European Union Institutions_x000D_
(GA:_8A) International Union of Credit and Investment Insurers_x000D_
(GA:_7Y) European Financial Stability Facility (EFSF)_x000D_
(GA:_9B) Multilateral Lending Agencies_x000D_
(GA:IMF.CL_AREA.1G) ICSID (International Centre for Settlement of Investment Disputes)_x000D_
(GA:IMF.CL_AREA.1W) World Bank Group Bank Group_x000D_
(GA:IMF.CL_AREA.4U) EURATOM_x000D_
(GA:IMF.CL_AREA.7G) Black Sea Trade and Development Banks_x000D_
(GA:IMF.CL_AREA.7H) AFREXIMBANK (African Export-Import Bank)_x000D_
(GA:IMF.CL_AREA.7I) BLADEX (Banco Latino Americano De Comercio Exterior)_x000D_
(GA:IMF.CL_AREA.7J) FLAR (Fondo Latino Americano de Reservas)_x000D_
(GA:IMF.CL_AREA.7K) Fonds Belgo-Congolais d'Amortissement et de Gestion_x000D_
(GA:IMF.CL_AREA.7L) IFFIm (International Finance Facility for Immunisation)_x000D_
(GA:IMF.CL_AREA.7M) EUROFIMA (European Company for the Financing of Railroad Rolling Stock)_x000D_
(GA:IMF.CL_AREA.9B) International organization excluding the BIS and the IMF_x000D_</t>
        </r>
        <r>
          <rPr>
            <sz val="9"/>
            <color indexed="81"/>
            <rFont val="Tahoma"/>
            <family val="2"/>
          </rPr>
          <t xml:space="preserve">
</t>
        </r>
      </text>
    </comment>
    <comment ref="C10" authorId="0" shapeId="0">
      <text>
        <r>
          <rPr>
            <sz val="9"/>
            <color indexed="81"/>
            <rFont val="Tahoma"/>
            <family val="2"/>
          </rPr>
          <t>Metric  =  Member State where resolution authority to which the report is provided is located [ei:GA:GA7]</t>
        </r>
      </text>
    </comment>
    <comment ref="D10" authorId="0" shapeId="0">
      <text>
        <r>
          <rPr>
            <sz val="9"/>
            <color indexed="81"/>
            <rFont val="Tahoma"/>
            <family val="2"/>
          </rPr>
          <t>DataPointVID 418155_x000D_
DataPointID 418155_x000D_
Metric  =  Member State where resolution authority to which the report is provided is located [ei:GA:GA7]_x000D_
Base  =  Memorandum items</t>
        </r>
        <r>
          <rPr>
            <sz val="9"/>
            <color indexed="8"/>
            <rFont val="Tahoma"/>
            <family val="2"/>
          </rPr>
          <t>_x000D_
_x000D_
Value chosen from:_x000D_
(GA:x0) Not applicable/All geographical areas_x000D_
(GA:AT) AUSTRIA_x000D_
(GA:BE) BELGIUM_x000D_
(GA:BG) BULGARIA_x000D_
(GA:HR) CROATIA_x000D_
(GA:CY) CYPRUS_x000D_
(GA:CZ) CZECH REPUBLIC_x000D_
(GA:DK) DENMARK_x000D_
(GA:EE) ESTONIA_x000D_
(GA:FI) FINLAND_x000D_
(GA:FR) FRANCE_x000D_
(GA:DE) GERMANY_x000D_
(GA:GR) GREECE_x000D_
(GA:HU) HUNGARY_x000D_
(GA:IE) IRELAND_x000D_
(GA:IT) ITALY_x000D_
(GA:LV) LATVIA_x000D_
(GA:LT) LITHUANIA_x000D_
(GA:LU) LUXEMBOURG_x000D_
(GA:MT) MALTA_x000D_
(GA:NL) NETHERLANDS_x000D_
(GA:PL) POLAND_x000D_
(GA:PT) PORTUGAL_x000D_
(GA:RO) ROMANIA_x000D_
(GA:SK) SLOVAKIA_x000D_
(GA:SI) SLOVENIA_x000D_
(GA:ES) SPAIN_x000D_
(GA:SE) SWEDEN_x000D_
(GA:GB) UNITED KINGDOM_x000D_</t>
        </r>
        <r>
          <rPr>
            <sz val="9"/>
            <color indexed="81"/>
            <rFont val="Tahoma"/>
            <family val="2"/>
          </rPr>
          <t xml:space="preserve">
</t>
        </r>
      </text>
    </comment>
    <comment ref="C11" authorId="0" shapeId="0">
      <text>
        <r>
          <rPr>
            <sz val="9"/>
            <color indexed="81"/>
            <rFont val="Tahoma"/>
            <family val="2"/>
          </rPr>
          <t>Metric  =  Name of entity [si]_x000D_
Related parties/Relationships  =  Ultimate parent</t>
        </r>
      </text>
    </comment>
    <comment ref="D11" authorId="0" shapeId="0">
      <text>
        <r>
          <rPr>
            <sz val="9"/>
            <color indexed="81"/>
            <rFont val="Tahoma"/>
            <family val="2"/>
          </rPr>
          <t>DataPointVID 410222_x000D_
DataPointID 410222_x000D_
Metric  =  Name of entity [si]_x000D_
Base  =  Memorandum items_x000D_
Related parties/Relationships  =  Ultimate parent</t>
        </r>
      </text>
    </comment>
    <comment ref="C12" authorId="0" shapeId="0">
      <text>
        <r>
          <rPr>
            <sz val="9"/>
            <color indexed="81"/>
            <rFont val="Tahoma"/>
            <family val="2"/>
          </rPr>
          <t>Metric  =  Entity code [si]_x000D_
Related parties/Relationships  =  Ultimate parent</t>
        </r>
      </text>
    </comment>
    <comment ref="D12" authorId="0" shapeId="0">
      <text>
        <r>
          <rPr>
            <sz val="9"/>
            <color indexed="81"/>
            <rFont val="Tahoma"/>
            <family val="2"/>
          </rPr>
          <t>DataPointVID 410399_x000D_
DataPointID 410399_x000D_
Metric  =  Entity code [si]_x000D_
Base  =  Memorandum items_x000D_
Related parties/Relationships  =  Ultimate parent</t>
        </r>
      </text>
    </comment>
    <comment ref="C13" authorId="0" shapeId="0">
      <text>
        <r>
          <rPr>
            <sz val="9"/>
            <color indexed="81"/>
            <rFont val="Tahoma"/>
            <family val="2"/>
          </rPr>
          <t>Metric  =  Status of entity in resolution plan [ei:ZZ:ZZ26]_x000D_
Related parties/Relationships  =  Entity the report refers to</t>
        </r>
      </text>
    </comment>
    <comment ref="D13" authorId="0" shapeId="0">
      <text>
        <r>
          <rPr>
            <sz val="9"/>
            <color indexed="81"/>
            <rFont val="Tahoma"/>
            <family val="2"/>
          </rPr>
          <t>DataPointVID 418156_x000D_
DataPointID 418156_x000D_
Metric  =  Status of entity in resolution plan [ei:ZZ:ZZ26]_x000D_
Base  =  Memorandum items_x000D_
Related parties/Relationships  =  Entity the report refers to</t>
        </r>
        <r>
          <rPr>
            <sz val="9"/>
            <color indexed="8"/>
            <rFont val="Tahoma"/>
            <family val="2"/>
          </rPr>
          <t>_x000D_
_x000D_
Value chosen from:_x000D_
(ZZ:x234) Point of Entry_x000D_
(ZZ:x235) Other Entity_x000D_</t>
        </r>
        <r>
          <rPr>
            <sz val="9"/>
            <color indexed="81"/>
            <rFont val="Tahoma"/>
            <family val="2"/>
          </rPr>
          <t xml:space="preserve">
</t>
        </r>
      </text>
    </comment>
    <comment ref="C14" authorId="0" shapeId="0">
      <text>
        <r>
          <rPr>
            <sz val="9"/>
            <color indexed="81"/>
            <rFont val="Tahoma"/>
            <family val="2"/>
          </rPr>
          <t>Metric  =  Reporting level [ei:SC:SC1_1]</t>
        </r>
      </text>
    </comment>
    <comment ref="D14" authorId="0" shapeId="0">
      <text>
        <r>
          <rPr>
            <sz val="9"/>
            <color indexed="81"/>
            <rFont val="Tahoma"/>
            <family val="2"/>
          </rPr>
          <t>DataPointVID 37969_x000D_
DataPointID 37969_x000D_
Metric  =  Reporting level [ei:SC:SC1_1]_x000D_
Base  =  Memorandum items</t>
        </r>
        <r>
          <rPr>
            <sz val="9"/>
            <color indexed="8"/>
            <rFont val="Tahoma"/>
            <family val="2"/>
          </rPr>
          <t>_x000D_
_x000D_
Value chosen from:_x000D_
(SC:x6) Individual_x000D_
(SC:x7) Consolidated_x000D_
(SC:x9) Sub-consolidated_x000D_
(SC:x10) Resolution Group_x000D_</t>
        </r>
        <r>
          <rPr>
            <sz val="9"/>
            <color indexed="81"/>
            <rFont val="Tahoma"/>
            <family val="2"/>
          </rPr>
          <t xml:space="preserve">
</t>
        </r>
      </text>
    </comment>
    <comment ref="C15" authorId="0" shapeId="0">
      <text>
        <r>
          <rPr>
            <sz val="9"/>
            <color indexed="81"/>
            <rFont val="Tahoma"/>
            <family val="2"/>
          </rPr>
          <t>Metric  =  Accounting standard [ei:AS:AS1]</t>
        </r>
      </text>
    </comment>
    <comment ref="D15" authorId="0" shapeId="0">
      <text>
        <r>
          <rPr>
            <sz val="9"/>
            <color indexed="81"/>
            <rFont val="Tahoma"/>
            <family val="2"/>
          </rPr>
          <t>{T 99.00, r0080, c 0010}=={T 98.00.a, r0100, c 0010}_x000D_
DataPointVID 31870_x000D_
DataPointID 31870_x000D_
Metric  =  Accounting standard [ei:AS:AS1]_x000D_
Base  =  Memorandum items</t>
        </r>
        <r>
          <rPr>
            <sz val="9"/>
            <color indexed="8"/>
            <rFont val="Tahoma"/>
            <family val="2"/>
          </rPr>
          <t>_x000D_
_x000D_
Value chosen from:_x000D_
(AS:x1) National GAAP_x000D_
(AS:x2) IFRS_x000D_</t>
        </r>
        <r>
          <rPr>
            <sz val="9"/>
            <color indexed="81"/>
            <rFont val="Tahoma"/>
            <family val="2"/>
          </rPr>
          <t xml:space="preserve">
</t>
        </r>
      </text>
    </comment>
    <comment ref="C16" authorId="0" shapeId="0">
      <text>
        <r>
          <rPr>
            <sz val="9"/>
            <color indexed="81"/>
            <rFont val="Tahoma"/>
            <family val="2"/>
          </rPr>
          <t>Metric  =  Article 7 or 10 Waiver granted [ei:ZZ:ZZ49]_x000D_
Related parties/Relationships  =  Entity the report refers to</t>
        </r>
      </text>
    </comment>
    <comment ref="D16" authorId="0" shapeId="0">
      <text>
        <r>
          <rPr>
            <sz val="9"/>
            <color indexed="81"/>
            <rFont val="Tahoma"/>
            <family val="2"/>
          </rPr>
          <t>DataPointVID 429076_x000D_
DataPointID 429076_x000D_
Metric  =  Article 7 or 10 Waiver granted [ei:ZZ:ZZ49]_x000D_
Base  =  Memorandum items_x000D_
Related parties/Relationships  =  Entity the report refers to</t>
        </r>
        <r>
          <rPr>
            <sz val="9"/>
            <color indexed="8"/>
            <rFont val="Tahoma"/>
            <family val="2"/>
          </rPr>
          <t>_x000D_
_x000D_
Value chosen from:_x000D_
(ZZ:x393) Yes (Article 7 or 10 CRR Waiver)_x000D_
(ZZ:x394) No (Article 7 or 10 CRR Waiver)_x000D_</t>
        </r>
        <r>
          <rPr>
            <sz val="9"/>
            <color indexed="81"/>
            <rFont val="Tahoma"/>
            <family val="2"/>
          </rPr>
          <t xml:space="preserve">
</t>
        </r>
      </text>
    </comment>
    <comment ref="C17" authorId="0" shapeId="0">
      <text>
        <r>
          <rPr>
            <sz val="9"/>
            <color indexed="81"/>
            <rFont val="Tahoma"/>
            <family val="2"/>
          </rPr>
          <t>Metric  =  Reference date [di]</t>
        </r>
      </text>
    </comment>
    <comment ref="D17" authorId="0" shapeId="0">
      <text>
        <r>
          <rPr>
            <sz val="9"/>
            <color indexed="81"/>
            <rFont val="Tahoma"/>
            <family val="2"/>
          </rPr>
          <t>{T 99.00, r0100, c 0010}=={T 98.00.a, r0070, c 0010}_x000D_
DataPointVID 418157_x000D_
DataPointID 418157_x000D_
Metric  =  Reference date [di]_x000D_
Base  =  Memorandum items</t>
        </r>
      </text>
    </comment>
  </commentList>
</comments>
</file>

<file path=xl/sharedStrings.xml><?xml version="1.0" encoding="utf-8"?>
<sst xmlns="http://schemas.openxmlformats.org/spreadsheetml/2006/main" count="5418" uniqueCount="841">
  <si>
    <t>T 02.00.b - Own Funds - leverage ratio requirement</t>
  </si>
  <si>
    <t>Columns</t>
  </si>
  <si>
    <t>Amount / percentage</t>
  </si>
  <si>
    <t>Transitional</t>
  </si>
  <si>
    <t>Fully loaded</t>
  </si>
  <si>
    <t>0010</t>
  </si>
  <si>
    <t>0020</t>
  </si>
  <si>
    <t>Leverage Ratio Requirement (%)</t>
  </si>
  <si>
    <t>0250</t>
  </si>
  <si>
    <t>T 06.01 - Other financial Liabilities (not included in other tabs, excluding intragroup)</t>
  </si>
  <si>
    <t>Number</t>
  </si>
  <si>
    <t>Reconciliation with aggregated data</t>
  </si>
  <si>
    <t>Other Financial liabilities (not included in other templates, excluding intragroup)</t>
  </si>
  <si>
    <t>Line</t>
  </si>
  <si>
    <t>Column</t>
  </si>
  <si>
    <t>Insolvency ranking</t>
  </si>
  <si>
    <t>Contract identifier</t>
  </si>
  <si>
    <t>Entity name of counterparty</t>
  </si>
  <si>
    <t>Counterparty identifier (preferably LEI)</t>
  </si>
  <si>
    <t>Type of identifier</t>
  </si>
  <si>
    <t>Governing law</t>
  </si>
  <si>
    <t>Type of financial liabilities</t>
  </si>
  <si>
    <t>If third country law, contractual recognition</t>
  </si>
  <si>
    <t>Outstanding principal amount</t>
  </si>
  <si>
    <t>Accrued interest</t>
  </si>
  <si>
    <t>Current interest rate (%)</t>
  </si>
  <si>
    <t>Currency</t>
  </si>
  <si>
    <t>Issuance date</t>
  </si>
  <si>
    <t>Earliest redemption date</t>
  </si>
  <si>
    <t>Legal maturity</t>
  </si>
  <si>
    <t>Secured/ unsecured</t>
  </si>
  <si>
    <t>Amount of pledge, lien or collateral</t>
  </si>
  <si>
    <t>Guarantor if applicable</t>
  </si>
  <si>
    <t>Funding amount provided by any group entity</t>
  </si>
  <si>
    <t>Structured or other non-standard terms</t>
  </si>
  <si>
    <t>Amount meeting the conditions for MREL eligibility</t>
  </si>
  <si>
    <t>Qualifying as Own Funds</t>
  </si>
  <si>
    <t>Amount included in own funds, taking into account phase-out as applicable</t>
  </si>
  <si>
    <t>0030</t>
  </si>
  <si>
    <t>0040</t>
  </si>
  <si>
    <t>0050</t>
  </si>
  <si>
    <t>0055</t>
  </si>
  <si>
    <t>0060</t>
  </si>
  <si>
    <t>0065</t>
  </si>
  <si>
    <t>0070</t>
  </si>
  <si>
    <t>0075</t>
  </si>
  <si>
    <t>0080</t>
  </si>
  <si>
    <t>0090</t>
  </si>
  <si>
    <t>0100</t>
  </si>
  <si>
    <t>0110</t>
  </si>
  <si>
    <t>0120</t>
  </si>
  <si>
    <t>0130</t>
  </si>
  <si>
    <t>0140</t>
  </si>
  <si>
    <t>0150</t>
  </si>
  <si>
    <t>0160</t>
  </si>
  <si>
    <t>0170</t>
  </si>
  <si>
    <t>0180</t>
  </si>
  <si>
    <t>0190</t>
  </si>
  <si>
    <t>0200</t>
  </si>
  <si>
    <t>0205</t>
  </si>
  <si>
    <t>0210</t>
  </si>
  <si>
    <t>0220</t>
  </si>
  <si>
    <t>Rows</t>
  </si>
  <si>
    <t xml:space="preserve"> ID of liability</t>
  </si>
  <si>
    <t>999</t>
  </si>
  <si>
    <t>T 08.00 - Secured finance, excluding intragroup</t>
  </si>
  <si>
    <t>Secured Finance, excluding intragroup</t>
  </si>
  <si>
    <t>Master agreement ID</t>
  </si>
  <si>
    <t>Type of MA (e.g. GMRA)</t>
  </si>
  <si>
    <t>Entity name of lending entity</t>
  </si>
  <si>
    <t>Country of  counterparty</t>
  </si>
  <si>
    <t>Governing law of MA/single deal</t>
  </si>
  <si>
    <t>Number of transactions covered</t>
  </si>
  <si>
    <t>Net amount of funding received</t>
  </si>
  <si>
    <t>Net amount of collateral posted</t>
  </si>
  <si>
    <t>Secured financing arrangements</t>
  </si>
  <si>
    <t>T 04.00 - Securities (including CET1, AT1 &amp; Tier 2 instruments; excluding intragroup)</t>
  </si>
  <si>
    <t>Securities issued (Including CET1, AT1 &amp; Tier 2 instruments; excluding intragroup)</t>
  </si>
  <si>
    <t>ISIN</t>
  </si>
  <si>
    <t>Type of instrument</t>
  </si>
  <si>
    <t>Original amount issued</t>
  </si>
  <si>
    <t>Coupon type</t>
  </si>
  <si>
    <t>Current Coupon (%)</t>
  </si>
  <si>
    <t>Public/private placement</t>
  </si>
  <si>
    <t>Paying agent</t>
  </si>
  <si>
    <t>Trustee</t>
  </si>
  <si>
    <t>Creditor</t>
  </si>
  <si>
    <t>Exchanges securities are listed on</t>
  </si>
  <si>
    <t>Settlement systems</t>
  </si>
  <si>
    <t>Register holder</t>
  </si>
  <si>
    <t>Central securities depository</t>
  </si>
  <si>
    <t>Qualifying as own funds</t>
  </si>
  <si>
    <t>Amount Included in Own Funds, taking into account phase-out as applicable</t>
  </si>
  <si>
    <t>0215</t>
  </si>
  <si>
    <t>0230</t>
  </si>
  <si>
    <t>0240</t>
  </si>
  <si>
    <t>0260</t>
  </si>
  <si>
    <t>0270</t>
  </si>
  <si>
    <t>0280</t>
  </si>
  <si>
    <t>0290</t>
  </si>
  <si>
    <t>0300</t>
  </si>
  <si>
    <t>0305</t>
  </si>
  <si>
    <t>0310</t>
  </si>
  <si>
    <t>0320</t>
  </si>
  <si>
    <t>ID of security issued</t>
  </si>
  <si>
    <t>T 03.01 - Intragroup liabilities</t>
  </si>
  <si>
    <t>Intragroup liabilities</t>
  </si>
  <si>
    <t>Identifier of Lending Entity (preferably LEI)</t>
  </si>
  <si>
    <t>Relationship of lending entity with issuing entity</t>
  </si>
  <si>
    <t>Is lending entity included in the resolution group of reporting entity?</t>
  </si>
  <si>
    <t>If third country, contractual recognition</t>
  </si>
  <si>
    <t>Secured/unsecured</t>
  </si>
  <si>
    <t>Structured or other Non-Standard Terms</t>
  </si>
  <si>
    <t>Amount meeting the conditions for Internal MREL eligibility</t>
  </si>
  <si>
    <t>Amount Included in own funds, taking into account phase-out as applicable</t>
  </si>
  <si>
    <t>0021</t>
  </si>
  <si>
    <t>0045</t>
  </si>
  <si>
    <t>0053</t>
  </si>
  <si>
    <t>0057</t>
  </si>
  <si>
    <t>0175</t>
  </si>
  <si>
    <t>Row ID (Intragroup liability)</t>
  </si>
  <si>
    <t>T 01.00.a - Liability structure - outstanding amount</t>
  </si>
  <si>
    <t>Households</t>
  </si>
  <si>
    <t>Micro &amp; SME</t>
  </si>
  <si>
    <t>Corporates</t>
  </si>
  <si>
    <t>Institutions</t>
  </si>
  <si>
    <t>Other financial corporations</t>
  </si>
  <si>
    <t>Government, central banks &amp; supranationals</t>
  </si>
  <si>
    <t>Instruments listed on exchange platforms</t>
  </si>
  <si>
    <t>Others/non-identified</t>
  </si>
  <si>
    <t>Total</t>
  </si>
  <si>
    <t>Outstanding amount</t>
  </si>
  <si>
    <t>Of which Insurance firms &amp; pension funds</t>
  </si>
  <si>
    <t>Of which: intragroup</t>
  </si>
  <si>
    <t>Of which: issuances under non-EU MS jurisdiction/law, excluding intragroup</t>
  </si>
  <si>
    <t>0012</t>
  </si>
  <si>
    <t>0022</t>
  </si>
  <si>
    <t>0032</t>
  </si>
  <si>
    <t>0042</t>
  </si>
  <si>
    <t>0052</t>
  </si>
  <si>
    <t>0062</t>
  </si>
  <si>
    <t>0082</t>
  </si>
  <si>
    <t>0092</t>
  </si>
  <si>
    <t>0102</t>
  </si>
  <si>
    <t>0122</t>
  </si>
  <si>
    <t>0132</t>
  </si>
  <si>
    <t>0142</t>
  </si>
  <si>
    <t>Liabilities excluded from bail-in</t>
  </si>
  <si>
    <t>Covered deposits   (BRRD art. 44/2/a)</t>
  </si>
  <si>
    <t>Secured liabilities - collateralized part   (BRRD art. 44/2/b)</t>
  </si>
  <si>
    <t>Client liabilities, if protected in insolvency   (BRRD art. 44/2/c)</t>
  </si>
  <si>
    <t>Fiduciary liabilities, if protected in insolvency   (BRRD art. 44/2/d)</t>
  </si>
  <si>
    <t>Institution liabilities &lt; 7 days   (BRRD art. 44/2/e)</t>
  </si>
  <si>
    <t>System (operator) and CCP liabilities &lt; 7 days   (BRRD art. 44/2/f)</t>
  </si>
  <si>
    <t>0161</t>
  </si>
  <si>
    <t>Employee liabilities   (BRRD art. 44/2/g/i)</t>
  </si>
  <si>
    <t>Critical service liabilities   (BRRD art. 44/2/g/ii)</t>
  </si>
  <si>
    <t>Tax and social security authorities liabilities, if preferred   (BRRD art. 44/2/g/iii)</t>
  </si>
  <si>
    <t>DGS liabilities   (BRRD art. 44/2/g/iv)</t>
  </si>
  <si>
    <t>Liabilities towards other entities of the resolution group (BRRD art. 44/2/h)</t>
  </si>
  <si>
    <t>Liabilities not excluded from bail-in</t>
  </si>
  <si>
    <t>Deposits, not covered but preferential   (BRRD art. 108)</t>
  </si>
  <si>
    <t>o/w residual maturity &lt;= 1 month</t>
  </si>
  <si>
    <t>0311</t>
  </si>
  <si>
    <t>o/w residual maturity &gt; 1 month &lt; 1 year</t>
  </si>
  <si>
    <t>0312</t>
  </si>
  <si>
    <t>o/w residual maturity &gt;= 1 year and &lt; 2 years</t>
  </si>
  <si>
    <t>0313</t>
  </si>
  <si>
    <t>o/w residual maturity &gt;= 2 years</t>
  </si>
  <si>
    <t>0314</t>
  </si>
  <si>
    <t>Deposits, not covered and not preferential</t>
  </si>
  <si>
    <t>0321</t>
  </si>
  <si>
    <t>0322</t>
  </si>
  <si>
    <t>0323</t>
  </si>
  <si>
    <t>0324</t>
  </si>
  <si>
    <t>Sum of net liability positions taking into account contractual netting sets, after mark-to-market adjustments, prior to collateral offset</t>
  </si>
  <si>
    <t>0331</t>
  </si>
  <si>
    <t>Sum of net liability positions taking into account contractual netting sets, after mark-to-market adjustments, post collateral offset</t>
  </si>
  <si>
    <t>0332</t>
  </si>
  <si>
    <t>Sum of net liability positions taking into account contractual netting sets, after mark-to-market adjustments, post collateral offset, incorporating estimated close-out amounts</t>
  </si>
  <si>
    <t>0333</t>
  </si>
  <si>
    <t>Sum of net liability positions taking into account prudential netting rules</t>
  </si>
  <si>
    <t>0334</t>
  </si>
  <si>
    <t>Uncollateralized secured liabilities</t>
  </si>
  <si>
    <t>0340</t>
  </si>
  <si>
    <t>0341</t>
  </si>
  <si>
    <t>0342</t>
  </si>
  <si>
    <t>0343</t>
  </si>
  <si>
    <t>0344</t>
  </si>
  <si>
    <t>Structured notes</t>
  </si>
  <si>
    <t>0350</t>
  </si>
  <si>
    <t>0351</t>
  </si>
  <si>
    <t>0352</t>
  </si>
  <si>
    <t>0353</t>
  </si>
  <si>
    <t>0354</t>
  </si>
  <si>
    <t>Senior unsecured liabilities</t>
  </si>
  <si>
    <t>0360</t>
  </si>
  <si>
    <t>0361</t>
  </si>
  <si>
    <t>0362</t>
  </si>
  <si>
    <t>0363</t>
  </si>
  <si>
    <t>0364</t>
  </si>
  <si>
    <t>Senior non-preferred liabilities</t>
  </si>
  <si>
    <t>0365</t>
  </si>
  <si>
    <t>Of which: residual maturity &lt;= 1 month</t>
  </si>
  <si>
    <t>0366</t>
  </si>
  <si>
    <t>Of which: residual maturity &gt; 1 month &lt; 1 year</t>
  </si>
  <si>
    <t>0367</t>
  </si>
  <si>
    <t>Of which: residual maturity &gt;= 1 year and &lt; 2 years</t>
  </si>
  <si>
    <t>0368</t>
  </si>
  <si>
    <t>Of which: residual maturity &gt;= 2 years</t>
  </si>
  <si>
    <t>0369</t>
  </si>
  <si>
    <t>Subordinated liabilities (not recognised as own funds)</t>
  </si>
  <si>
    <t>0370</t>
  </si>
  <si>
    <t>0371</t>
  </si>
  <si>
    <t>0372</t>
  </si>
  <si>
    <t>0373</t>
  </si>
  <si>
    <t>0374</t>
  </si>
  <si>
    <t>Other MREL eligible liabilities</t>
  </si>
  <si>
    <t>0380</t>
  </si>
  <si>
    <t>0381</t>
  </si>
  <si>
    <t>0382</t>
  </si>
  <si>
    <t>Non-financial liabilities</t>
  </si>
  <si>
    <t>0390</t>
  </si>
  <si>
    <t>Residual liabilities</t>
  </si>
  <si>
    <t>0400</t>
  </si>
  <si>
    <t>Own funds</t>
  </si>
  <si>
    <t>0500</t>
  </si>
  <si>
    <t>Common Equity Tier 1 Capital</t>
  </si>
  <si>
    <t>0510</t>
  </si>
  <si>
    <t>o/w capital instruments/share capital</t>
  </si>
  <si>
    <t>0511</t>
  </si>
  <si>
    <t>o/w instruments ranking pari passu with ordinary shares</t>
  </si>
  <si>
    <t>0512</t>
  </si>
  <si>
    <t>Additional Tier 1 capital</t>
  </si>
  <si>
    <t>0520</t>
  </si>
  <si>
    <t>o/w (part of) subordinated liabilities recognised as own funds</t>
  </si>
  <si>
    <t>0521</t>
  </si>
  <si>
    <t>Tier 2 Capital</t>
  </si>
  <si>
    <t>0530</t>
  </si>
  <si>
    <t>0531</t>
  </si>
  <si>
    <t>Total liabilities &amp; own funds including derivative liabilities</t>
  </si>
  <si>
    <t>0600</t>
  </si>
  <si>
    <t>Leverage exposure</t>
  </si>
  <si>
    <t>1000</t>
  </si>
  <si>
    <t>T 03.03 - Intragroup guarantees - provided</t>
  </si>
  <si>
    <t>Intragroup guarantees - provided</t>
  </si>
  <si>
    <t>Entity name of beneficiary</t>
  </si>
  <si>
    <t>Identifier of beneficiary</t>
  </si>
  <si>
    <t>Is beneficiary included in the resolution group of reporting entity?</t>
  </si>
  <si>
    <t>Guarantee Type</t>
  </si>
  <si>
    <t>Potential maximum guaranteed amount</t>
  </si>
  <si>
    <t>Collateralised</t>
  </si>
  <si>
    <t>Amount of collateral provided</t>
  </si>
  <si>
    <t>Guarantee trigger</t>
  </si>
  <si>
    <t>0035</t>
  </si>
  <si>
    <t>0047</t>
  </si>
  <si>
    <t>T 09.00 - Other non-financial liabilities (not included in other tabs, excluding intragroup)</t>
  </si>
  <si>
    <t>Other Non-Financial liabilities (not included in other tabs, excluding intragroup)</t>
  </si>
  <si>
    <t>Insolvency Ranking</t>
  </si>
  <si>
    <t>Contract Identifier</t>
  </si>
  <si>
    <t>Governing Law</t>
  </si>
  <si>
    <t>Type of non-financial liabilities</t>
  </si>
  <si>
    <t>Outstanding Amount</t>
  </si>
  <si>
    <t>Date of Recognition</t>
  </si>
  <si>
    <t>Date of Maturity</t>
  </si>
  <si>
    <t>ID of liability</t>
  </si>
  <si>
    <t>T 12.00 - Major counterparties (derivatives, commitments received)</t>
  </si>
  <si>
    <t>Counterparty</t>
  </si>
  <si>
    <t>Entity name</t>
  </si>
  <si>
    <t>Group or individual</t>
  </si>
  <si>
    <t>Country of incorporation</t>
  </si>
  <si>
    <t>Sector</t>
  </si>
  <si>
    <t>Type of off-balance sheet Exposure</t>
  </si>
  <si>
    <t>Amount</t>
  </si>
  <si>
    <t>0025</t>
  </si>
  <si>
    <t>Major counterparties</t>
  </si>
  <si>
    <t>T 03.02 - Intragroup guarantees - received</t>
  </si>
  <si>
    <t>Intragroup guarantees - received</t>
  </si>
  <si>
    <t>Entity name of guaranteeing entity</t>
  </si>
  <si>
    <t>Identifier of Guaranteeing Entity (preferably LEI)</t>
  </si>
  <si>
    <t>Is Guaranteeing Entity included in the Resolution Group of Reporting Entity?</t>
  </si>
  <si>
    <t>Amount of collateral received</t>
  </si>
  <si>
    <t>Intragroup Guarantees - Received</t>
  </si>
  <si>
    <t>T 99.00 - Identification of entities and other reporting details</t>
  </si>
  <si>
    <t>Aditional reporting data</t>
  </si>
  <si>
    <t>Name of Legal Entity</t>
  </si>
  <si>
    <t>LEI of Legal Entity</t>
  </si>
  <si>
    <t>Member State reporting</t>
  </si>
  <si>
    <t>Name of the ultimate parent entity</t>
  </si>
  <si>
    <t>LEI of the ultimate parent entity</t>
  </si>
  <si>
    <t>Resolution Status</t>
  </si>
  <si>
    <t>Level of consolidation</t>
  </si>
  <si>
    <t>Accounting standard</t>
  </si>
  <si>
    <t>Art. 7 or 10 CRR waiver</t>
  </si>
  <si>
    <t>0091</t>
  </si>
  <si>
    <t>Reporting date</t>
  </si>
  <si>
    <t>T 02.00.a - Own funds - regulatory requirements excluding leverage ratio</t>
  </si>
  <si>
    <t>Total risk exposure amount (EUR)</t>
  </si>
  <si>
    <t>Contribution to total risk exposure amount (EUR)</t>
  </si>
  <si>
    <t>Total Exposure Measure</t>
  </si>
  <si>
    <t>Legal minimum capital requirements (EUR amount - CRD art.12 or national implementation)</t>
  </si>
  <si>
    <t>Other Pillar 1 specific (national) requirements (%)</t>
  </si>
  <si>
    <t>Pillar 2 requirement (% - Add-on in line with CRD art. 104/1/a)</t>
  </si>
  <si>
    <t>of which to be met with CET1</t>
  </si>
  <si>
    <t>of which to be met with Tier1</t>
  </si>
  <si>
    <t>Pillar 2 guidance (% - Add-on)</t>
  </si>
  <si>
    <t>Combined buffer requirement (EUR - CRD art.128/6)</t>
  </si>
  <si>
    <t>Capital Conservation Buffer (EUR - CRD art. 129)</t>
  </si>
  <si>
    <t>0410</t>
  </si>
  <si>
    <t>Conservation buffer due to macro-prudential or systemic risk identified at the level of a Member State</t>
  </si>
  <si>
    <t>0415</t>
  </si>
  <si>
    <t>Institution-specific countercyclical capital buffer (EUR - CRD art. 130)</t>
  </si>
  <si>
    <t>0420</t>
  </si>
  <si>
    <t>Systemic risk buffer (EUR - CRD art. 133)</t>
  </si>
  <si>
    <t>0430</t>
  </si>
  <si>
    <t>G-SII buffer (EUR - CRD art. 131/4)</t>
  </si>
  <si>
    <t>0440</t>
  </si>
  <si>
    <t>O-SII buffer (EUR - CRD art. 131/5)</t>
  </si>
  <si>
    <t>0450</t>
  </si>
  <si>
    <t>T 07.00 - Derivatives</t>
  </si>
  <si>
    <t>Derivatives</t>
  </si>
  <si>
    <t>Type of MA (e.g. ISDA 1992)</t>
  </si>
  <si>
    <t>ISDA Protocol Adherent - Entity</t>
  </si>
  <si>
    <t>Resolution Stay Recognition - Counterparty</t>
  </si>
  <si>
    <t>Intragroup transaction (yes/no)</t>
  </si>
  <si>
    <t>Net Mark-to-Market Value</t>
  </si>
  <si>
    <t>Value of net collateral posted</t>
  </si>
  <si>
    <t>Estimated Close-Out amount</t>
  </si>
  <si>
    <t>Estimated early termination amount</t>
  </si>
  <si>
    <t>0061</t>
  </si>
  <si>
    <t>0071</t>
  </si>
  <si>
    <t>0085</t>
  </si>
  <si>
    <t>0095</t>
  </si>
  <si>
    <t>Derivatives contract</t>
  </si>
  <si>
    <t>T 05.01 - All deposits (excluding intra-group)</t>
  </si>
  <si>
    <t>All deposits (excluding intra-group)</t>
  </si>
  <si>
    <t>Issuance date for term deposits</t>
  </si>
  <si>
    <t>0115</t>
  </si>
  <si>
    <t xml:space="preserve"> ID of deposit(or)</t>
  </si>
  <si>
    <t>T 01.00.b - Liability structure - carrying amount</t>
  </si>
  <si>
    <t>Carrying amount</t>
  </si>
  <si>
    <t>0011</t>
  </si>
  <si>
    <t>0031</t>
  </si>
  <si>
    <t>0041</t>
  </si>
  <si>
    <t>0051</t>
  </si>
  <si>
    <t>0081</t>
  </si>
  <si>
    <t>0101</t>
  </si>
  <si>
    <t>0121</t>
  </si>
  <si>
    <t>0131</t>
  </si>
  <si>
    <t>0141</t>
  </si>
  <si>
    <t>Balance sheet liabilities arising from derivatives</t>
  </si>
  <si>
    <t>0330</t>
  </si>
  <si>
    <t>Off-balance sheet exposures</t>
  </si>
  <si>
    <t>0700</t>
  </si>
  <si>
    <t>Loan commitments received</t>
  </si>
  <si>
    <t>0750</t>
  </si>
  <si>
    <t>Financial guarantees received</t>
  </si>
  <si>
    <t>0760</t>
  </si>
  <si>
    <t>Other commitments received</t>
  </si>
  <si>
    <t>0770</t>
  </si>
  <si>
    <t>0780</t>
  </si>
  <si>
    <t>Total equity</t>
  </si>
  <si>
    <t>0800</t>
  </si>
  <si>
    <t>Total assets</t>
  </si>
  <si>
    <t>0900</t>
  </si>
  <si>
    <t>Table of Contents</t>
  </si>
  <si>
    <t>r0320 - Deposits, not covered and not preferential</t>
  </si>
  <si>
    <t>c003x   - Corporates</t>
  </si>
  <si>
    <t>Rank 12 - Ranking in insolvency (master scale)</t>
  </si>
  <si>
    <t>000000000000000</t>
  </si>
  <si>
    <t>CONSULTEAM-CONSULTORES GESTAO,SA</t>
  </si>
  <si>
    <t>5100262318</t>
  </si>
  <si>
    <t>Type of identifier, other than LEI or MFI code</t>
  </si>
  <si>
    <t>Sister</t>
  </si>
  <si>
    <t>false</t>
  </si>
  <si>
    <t>Not applicable (Contractual recognition of bail-in powers)</t>
  </si>
  <si>
    <t>Euro</t>
  </si>
  <si>
    <t>2022-12-31</t>
  </si>
  <si>
    <t>Unsecured</t>
  </si>
  <si>
    <t>N/A</t>
  </si>
  <si>
    <t>Non-structured/Vanilla</t>
  </si>
  <si>
    <t>No</t>
  </si>
  <si>
    <t>GEOBAN SA SUCURSAL EM PORTUGAL</t>
  </si>
  <si>
    <t>7400315551</t>
  </si>
  <si>
    <t>ISBAN - SUC PORTUGAL</t>
  </si>
  <si>
    <t>7400456469</t>
  </si>
  <si>
    <t>GESBAN SERVICIOS A. GLOBALES SA - SUC PORTUGAL</t>
  </si>
  <si>
    <t>7400760971</t>
  </si>
  <si>
    <t>IBERICA DE COMPRAS CORPORATIVAS - SUC EM PORTUGAL</t>
  </si>
  <si>
    <t>7400939384</t>
  </si>
  <si>
    <t>Portal Universia</t>
  </si>
  <si>
    <t>8046273535</t>
  </si>
  <si>
    <t>r0310 - Deposits, not covered but preferential (BRRD art. 108)</t>
  </si>
  <si>
    <t>c002x   - Micro &amp; SME</t>
  </si>
  <si>
    <t>CCPT - COMPRARCASA REDE SERVICOS IMOBILIARIOS, S.A</t>
  </si>
  <si>
    <t>1700210720</t>
  </si>
  <si>
    <t>c004x   - Institutions</t>
  </si>
  <si>
    <t>BSCH-Banco Santander Central Hispano</t>
  </si>
  <si>
    <t>5493006QMFDDMYWIAM13</t>
  </si>
  <si>
    <t>LEI code</t>
  </si>
  <si>
    <t>c006x   - Insurance firms &amp; pension funds</t>
  </si>
  <si>
    <t>POPULAR SEGUROS - COMPANHIA DE SEGUROS, SA</t>
  </si>
  <si>
    <t>213800DS888O1NMGEJ90</t>
  </si>
  <si>
    <t>true</t>
  </si>
  <si>
    <t>Structured</t>
  </si>
  <si>
    <t>Banco Santander Brasil S.A.</t>
  </si>
  <si>
    <t>6511000505</t>
  </si>
  <si>
    <t>c005x   - Other financial corporations</t>
  </si>
  <si>
    <t>SANTANDER PENSOES</t>
  </si>
  <si>
    <t>5493006JZ38GITC0RV57</t>
  </si>
  <si>
    <t>000002000000000</t>
  </si>
  <si>
    <t>Totta Seguros - Comp. Seg. Vida, SA.</t>
  </si>
  <si>
    <t>54930006K2IUPA083C07</t>
  </si>
  <si>
    <t>00100S25210SC12</t>
  </si>
  <si>
    <t>100S25280SC1282</t>
  </si>
  <si>
    <t>UCI MEDIACAO DE SEGUROS, UNIPESSOAL LDA.</t>
  </si>
  <si>
    <t>7400781266</t>
  </si>
  <si>
    <t>US Dollar</t>
  </si>
  <si>
    <t>Santander  SGFIM</t>
  </si>
  <si>
    <t>549300VC136NI5Z05Q45</t>
  </si>
  <si>
    <t>GETNET EUROPE, ENTIDAD DE PAGO, S.L. UNIPERSONAL</t>
  </si>
  <si>
    <t>7402335893</t>
  </si>
  <si>
    <t>SANTANDER CONSUMER SERV(PSA GESTAO,ALUGUER VEICUL)</t>
  </si>
  <si>
    <t>8027891356</t>
  </si>
  <si>
    <t>r0390 - Non-financial liabilities</t>
  </si>
  <si>
    <t>Rank 9 - Ranking in insolvency (master scale)</t>
  </si>
  <si>
    <t>UNION DE CREDITOS INMOBILIARIOS, SA - SUC.PORTUGAL</t>
  </si>
  <si>
    <t>3481003857</t>
  </si>
  <si>
    <t>OPEN BANK SANTANDER CONSUMER, S.A.</t>
  </si>
  <si>
    <t>6511000031</t>
  </si>
  <si>
    <t>000005000000000</t>
  </si>
  <si>
    <t>0100C2531111SC1</t>
  </si>
  <si>
    <t>SANTANDER CENTRAL HISPANO MADRID</t>
  </si>
  <si>
    <t>0100S25948SC540</t>
  </si>
  <si>
    <t>100S25280SC1175</t>
  </si>
  <si>
    <t>ABBEY NATIONAL PLC</t>
  </si>
  <si>
    <t>7400507283</t>
  </si>
  <si>
    <t>AEGON SANTANDER VIDA PORTUGAL</t>
  </si>
  <si>
    <t>959800S4Y2DCN7EVAG59</t>
  </si>
  <si>
    <t>SANTANDER SECURITIES SERVICES</t>
  </si>
  <si>
    <t>95980020140005970915</t>
  </si>
  <si>
    <t>000003000000000</t>
  </si>
  <si>
    <t>CACEIS BANK, GERMANY BRANCH</t>
  </si>
  <si>
    <t>96950023SCR9X9F3L662</t>
  </si>
  <si>
    <t>100S25280SC4017</t>
  </si>
  <si>
    <t>AEGON SANTANDER NAO VIDA PORTUGAL</t>
  </si>
  <si>
    <t>9598001GSAW026UNLE02</t>
  </si>
  <si>
    <t>100S25280SC4016</t>
  </si>
  <si>
    <t>AEGON SANTANDER P V CIA SEGUROS VIDA SA</t>
  </si>
  <si>
    <t>100S25280SC5159</t>
  </si>
  <si>
    <t>000001000000000</t>
  </si>
  <si>
    <t>INTERBANCO SA</t>
  </si>
  <si>
    <t>9001910086</t>
  </si>
  <si>
    <t>000006000000000</t>
  </si>
  <si>
    <t>0100S25280SC110</t>
  </si>
  <si>
    <t>BANCO SANTANDER PARIS</t>
  </si>
  <si>
    <t>7400416227</t>
  </si>
  <si>
    <t>SANTANDER CONSUMER FINANCE, MADRID</t>
  </si>
  <si>
    <t>5493000LM0MZ4JPMGM90</t>
  </si>
  <si>
    <t>00S259880SC5159</t>
  </si>
  <si>
    <t>100S25280SC5362</t>
  </si>
  <si>
    <t>000100S25210SC1</t>
  </si>
  <si>
    <t>0100S25995SC540</t>
  </si>
  <si>
    <t>Santander Consumer Finance, S.A.</t>
  </si>
  <si>
    <t>8046556500</t>
  </si>
  <si>
    <t>SANTANDER GLOBAL THECHNOLOGY, S.L., SOCIEDAD UNIPE</t>
  </si>
  <si>
    <t>7400772356</t>
  </si>
  <si>
    <t>000004000000000</t>
  </si>
  <si>
    <t>r0365 - Senior non-preferred liabilities</t>
  </si>
  <si>
    <t>Rank 8 - Ranking in insolvency (master scale)</t>
  </si>
  <si>
    <t>PTSTODOM0006000</t>
  </si>
  <si>
    <t>2021-06-17</t>
  </si>
  <si>
    <t>2027-06-17</t>
  </si>
  <si>
    <t>r0350 - Structured notes</t>
  </si>
  <si>
    <t>PTBSRLOM0029000</t>
  </si>
  <si>
    <t>2019-12-20</t>
  </si>
  <si>
    <t>2024-12-23</t>
  </si>
  <si>
    <t>XS0412478199000</t>
  </si>
  <si>
    <t>2009-02-12</t>
  </si>
  <si>
    <t>2064-12-20</t>
  </si>
  <si>
    <t>PTSTOEOM0021000</t>
  </si>
  <si>
    <t>2022-06-03</t>
  </si>
  <si>
    <t>2028-06-03</t>
  </si>
  <si>
    <t>XS0395875999000</t>
  </si>
  <si>
    <t>2008-10-30</t>
  </si>
  <si>
    <t>2061-08-20</t>
  </si>
  <si>
    <t>r0521 - o/w (part of) subordinated liabilities recognised as own funds</t>
  </si>
  <si>
    <t>Rank 2 - Ranking in insolvency (master scale)</t>
  </si>
  <si>
    <t>PTSTOCOM0007000</t>
  </si>
  <si>
    <t>2021-01-14</t>
  </si>
  <si>
    <t>2099-01-31</t>
  </si>
  <si>
    <t>r0531 - o/w (part of) subordinated liabilities recognised as own funds</t>
  </si>
  <si>
    <t>Rank 3 - Ranking in insolvency (master scale)</t>
  </si>
  <si>
    <t>PTSTOFOM0004000</t>
  </si>
  <si>
    <t>2022-06-09</t>
  </si>
  <si>
    <t>2032-06-09</t>
  </si>
  <si>
    <t>r0511 - o/w capital instruments/share capital</t>
  </si>
  <si>
    <t>Rank 1 - Ranking in insolvency (master scale)</t>
  </si>
  <si>
    <t>PTSTO0AM0008000</t>
  </si>
  <si>
    <t>1990-01-01</t>
  </si>
  <si>
    <t>PTBSRIOE0024000</t>
  </si>
  <si>
    <t>2017-04-25</t>
  </si>
  <si>
    <t>2024-04-25</t>
  </si>
  <si>
    <t>XS0237370605000</t>
  </si>
  <si>
    <t>2005-12-09</t>
  </si>
  <si>
    <t>2048-09-30</t>
  </si>
  <si>
    <t>RETAMA REAL ESTATE</t>
  </si>
  <si>
    <t>7400886823</t>
  </si>
  <si>
    <t>000000000100000</t>
  </si>
  <si>
    <t>BANCO SANTANDER SA</t>
  </si>
  <si>
    <t>FALSE</t>
  </si>
  <si>
    <t>PORTUGAL</t>
  </si>
  <si>
    <t>Default</t>
  </si>
  <si>
    <t>962304820228590</t>
  </si>
  <si>
    <t>BANCO SANTANDER - MILANO</t>
  </si>
  <si>
    <t>6511003239</t>
  </si>
  <si>
    <t>False</t>
  </si>
  <si>
    <t>962304820307850</t>
  </si>
  <si>
    <t>BANCO SANTANDER BRASIL S.A.</t>
  </si>
  <si>
    <t>962304820307860</t>
  </si>
  <si>
    <t>962304820340060</t>
  </si>
  <si>
    <t>962304820340070</t>
  </si>
  <si>
    <t>962304820340080</t>
  </si>
  <si>
    <t>962304820340090</t>
  </si>
  <si>
    <t>962304820340110</t>
  </si>
  <si>
    <t>962304820340120</t>
  </si>
  <si>
    <t>962304820340130</t>
  </si>
  <si>
    <t>962304820340140</t>
  </si>
  <si>
    <t>962304820340160</t>
  </si>
  <si>
    <t>962304820340170</t>
  </si>
  <si>
    <t>962304820340410</t>
  </si>
  <si>
    <t>962304820340420</t>
  </si>
  <si>
    <t>962304820340440</t>
  </si>
  <si>
    <t>962304820341100</t>
  </si>
  <si>
    <t>962304820341340</t>
  </si>
  <si>
    <t>962304820346880</t>
  </si>
  <si>
    <t>962304820354640</t>
  </si>
  <si>
    <t>962304820358740</t>
  </si>
  <si>
    <t>962304820151190</t>
  </si>
  <si>
    <t>BANCO SANTANDER S.A.  SUCURSAL FRANKFURT</t>
  </si>
  <si>
    <t>0000046859</t>
  </si>
  <si>
    <t>962304820251290</t>
  </si>
  <si>
    <t>962304820307340</t>
  </si>
  <si>
    <t>962304820311040</t>
  </si>
  <si>
    <t>962304820311050</t>
  </si>
  <si>
    <t>962304820338160</t>
  </si>
  <si>
    <t>962304820386370</t>
  </si>
  <si>
    <t>962304870355340</t>
  </si>
  <si>
    <t>162304820739370</t>
  </si>
  <si>
    <t>162304840046380</t>
  </si>
  <si>
    <t>162304840071020</t>
  </si>
  <si>
    <t>162304840738540</t>
  </si>
  <si>
    <t>162304848005620</t>
  </si>
  <si>
    <t>162304880023020</t>
  </si>
  <si>
    <t>162304880044030</t>
  </si>
  <si>
    <t>162304880071650</t>
  </si>
  <si>
    <t>162304880071770</t>
  </si>
  <si>
    <t>162304888017770</t>
  </si>
  <si>
    <t>162304888017860</t>
  </si>
  <si>
    <t>262304820005540</t>
  </si>
  <si>
    <t>262304820008010</t>
  </si>
  <si>
    <t>262304820009380</t>
  </si>
  <si>
    <t>262304820009390</t>
  </si>
  <si>
    <t>262304820011790</t>
  </si>
  <si>
    <t>262304820019220</t>
  </si>
  <si>
    <t>262304820019340</t>
  </si>
  <si>
    <t>262304820019730</t>
  </si>
  <si>
    <t>262304820020190</t>
  </si>
  <si>
    <t>262304820021840</t>
  </si>
  <si>
    <t>262304820021910</t>
  </si>
  <si>
    <t>262304820022630</t>
  </si>
  <si>
    <t>262304820022810</t>
  </si>
  <si>
    <t>262304820022820</t>
  </si>
  <si>
    <t>262304820022840</t>
  </si>
  <si>
    <t>262304820022850</t>
  </si>
  <si>
    <t>262304820022860</t>
  </si>
  <si>
    <t>262304820023080</t>
  </si>
  <si>
    <t>262304820023840</t>
  </si>
  <si>
    <t>262304820023910</t>
  </si>
  <si>
    <t>262304820024790</t>
  </si>
  <si>
    <t>262304820024990</t>
  </si>
  <si>
    <t>262304820025250</t>
  </si>
  <si>
    <t>262304820025400</t>
  </si>
  <si>
    <t>262304820025410</t>
  </si>
  <si>
    <t>262304820025720</t>
  </si>
  <si>
    <t>262304820026620</t>
  </si>
  <si>
    <t>262304820026870</t>
  </si>
  <si>
    <t>262304820026980</t>
  </si>
  <si>
    <t>262304820027080</t>
  </si>
  <si>
    <t>262304820027220</t>
  </si>
  <si>
    <t>362304820767670</t>
  </si>
  <si>
    <t>362304820777020</t>
  </si>
  <si>
    <t>362304820798420</t>
  </si>
  <si>
    <t>362304820801370</t>
  </si>
  <si>
    <t>362304820812140</t>
  </si>
  <si>
    <t>362304820864440</t>
  </si>
  <si>
    <t>362304820908010</t>
  </si>
  <si>
    <t>362304820959710</t>
  </si>
  <si>
    <t>362304820963130</t>
  </si>
  <si>
    <t>962304820028010</t>
  </si>
  <si>
    <t>962304820037810</t>
  </si>
  <si>
    <t>962304820043570</t>
  </si>
  <si>
    <t>962304820072940</t>
  </si>
  <si>
    <t>962304820111240</t>
  </si>
  <si>
    <t>962304820131600</t>
  </si>
  <si>
    <t>962304820132350</t>
  </si>
  <si>
    <t>962304820139030</t>
  </si>
  <si>
    <t>962304820143820</t>
  </si>
  <si>
    <t>962304820150010</t>
  </si>
  <si>
    <t>962304820150970</t>
  </si>
  <si>
    <t>962304820153890</t>
  </si>
  <si>
    <t>962304820154140</t>
  </si>
  <si>
    <t>962304820163410</t>
  </si>
  <si>
    <t>962304820167570</t>
  </si>
  <si>
    <t>962304820174780</t>
  </si>
  <si>
    <t>962304820177650</t>
  </si>
  <si>
    <t>962304820179130</t>
  </si>
  <si>
    <t>962304820179730</t>
  </si>
  <si>
    <t>962304820200900</t>
  </si>
  <si>
    <t>962304820201320</t>
  </si>
  <si>
    <t>962304820205570</t>
  </si>
  <si>
    <t>962304820211210</t>
  </si>
  <si>
    <t>962304820216980</t>
  </si>
  <si>
    <t>962304820220280</t>
  </si>
  <si>
    <t>962304820225180</t>
  </si>
  <si>
    <t>962304820229380</t>
  </si>
  <si>
    <t>962304820232660</t>
  </si>
  <si>
    <t>962304820241980</t>
  </si>
  <si>
    <t>962304820242730</t>
  </si>
  <si>
    <t>962304820242890</t>
  </si>
  <si>
    <t>962304820246870</t>
  </si>
  <si>
    <t>962304820250510</t>
  </si>
  <si>
    <t>962304820250610</t>
  </si>
  <si>
    <t>962304820252950</t>
  </si>
  <si>
    <t>962304820260590</t>
  </si>
  <si>
    <t>962304820267450</t>
  </si>
  <si>
    <t>962304820268980</t>
  </si>
  <si>
    <t>962304820272510</t>
  </si>
  <si>
    <t>962304820272570</t>
  </si>
  <si>
    <t>962304820272590</t>
  </si>
  <si>
    <t>962304820272600</t>
  </si>
  <si>
    <t>962304820273560</t>
  </si>
  <si>
    <t>962304820273750</t>
  </si>
  <si>
    <t>962304820275080</t>
  </si>
  <si>
    <t>962304820276890</t>
  </si>
  <si>
    <t>962304820277500</t>
  </si>
  <si>
    <t>962304820280090</t>
  </si>
  <si>
    <t>962304820282740</t>
  </si>
  <si>
    <t>962304820287070</t>
  </si>
  <si>
    <t>962304820287830</t>
  </si>
  <si>
    <t>962304820288710</t>
  </si>
  <si>
    <t>962304820290020</t>
  </si>
  <si>
    <t>962304820291450</t>
  </si>
  <si>
    <t>962304820292740</t>
  </si>
  <si>
    <t>962304820295820</t>
  </si>
  <si>
    <t>962304820295900</t>
  </si>
  <si>
    <t>962304820300780</t>
  </si>
  <si>
    <t>962304820300790</t>
  </si>
  <si>
    <t>962304820302710</t>
  </si>
  <si>
    <t>962304820306080</t>
  </si>
  <si>
    <t>962304820306090</t>
  </si>
  <si>
    <t>962304820309020</t>
  </si>
  <si>
    <t>962304820309270</t>
  </si>
  <si>
    <t>962304820309470</t>
  </si>
  <si>
    <t>962304820309480</t>
  </si>
  <si>
    <t>962304820311230</t>
  </si>
  <si>
    <t>962304820317020</t>
  </si>
  <si>
    <t>962304820319600</t>
  </si>
  <si>
    <t>962304820320590</t>
  </si>
  <si>
    <t>962304820321330</t>
  </si>
  <si>
    <t>962304820324540</t>
  </si>
  <si>
    <t>962304820324550</t>
  </si>
  <si>
    <t>962304820325080</t>
  </si>
  <si>
    <t>962304820326030</t>
  </si>
  <si>
    <t>962304820336320</t>
  </si>
  <si>
    <t>962304820336330</t>
  </si>
  <si>
    <t>962304820338290</t>
  </si>
  <si>
    <t>962304820340800</t>
  </si>
  <si>
    <t>962304820358120</t>
  </si>
  <si>
    <t>962304820358420</t>
  </si>
  <si>
    <t>962304820359300</t>
  </si>
  <si>
    <t>962304820368340</t>
  </si>
  <si>
    <t>962304820369590</t>
  </si>
  <si>
    <t>962304820370880</t>
  </si>
  <si>
    <t>962304820372510</t>
  </si>
  <si>
    <t>962304820373100</t>
  </si>
  <si>
    <t>962304820373330</t>
  </si>
  <si>
    <t>962304820373340</t>
  </si>
  <si>
    <t>962304820373350</t>
  </si>
  <si>
    <t>962304820373360</t>
  </si>
  <si>
    <t>962304820376620</t>
  </si>
  <si>
    <t>962304820378990</t>
  </si>
  <si>
    <t>962304820379000</t>
  </si>
  <si>
    <t>962304820379540</t>
  </si>
  <si>
    <t>962304820380160</t>
  </si>
  <si>
    <t>962304820380720</t>
  </si>
  <si>
    <t>962304820381260</t>
  </si>
  <si>
    <t>962304820381270</t>
  </si>
  <si>
    <t>962304820381280</t>
  </si>
  <si>
    <t>962304820381290</t>
  </si>
  <si>
    <t>962304820382310</t>
  </si>
  <si>
    <t>962304820383100</t>
  </si>
  <si>
    <t>962304820383110</t>
  </si>
  <si>
    <t>962304820383640</t>
  </si>
  <si>
    <t>962304820384080</t>
  </si>
  <si>
    <t>962304820385020</t>
  </si>
  <si>
    <t>962304820389300</t>
  </si>
  <si>
    <t>962304820390930</t>
  </si>
  <si>
    <t>962304820393090</t>
  </si>
  <si>
    <t>962304820393140</t>
  </si>
  <si>
    <t>962304820393220</t>
  </si>
  <si>
    <t>962304820394290</t>
  </si>
  <si>
    <t>962304820395570</t>
  </si>
  <si>
    <t>962304820395580</t>
  </si>
  <si>
    <t>962304830362520</t>
  </si>
  <si>
    <t>962304830364570</t>
  </si>
  <si>
    <t>962304830371210</t>
  </si>
  <si>
    <t>962304830379180</t>
  </si>
  <si>
    <t>962304830386740</t>
  </si>
  <si>
    <t>962304830386760</t>
  </si>
  <si>
    <t>962304830389610</t>
  </si>
  <si>
    <t>962304870323050</t>
  </si>
  <si>
    <t>962304870326550</t>
  </si>
  <si>
    <t>962304870327990</t>
  </si>
  <si>
    <t>962304870343130</t>
  </si>
  <si>
    <t>962304870352020</t>
  </si>
  <si>
    <t>962304870356080</t>
  </si>
  <si>
    <t>962304870356900</t>
  </si>
  <si>
    <t>962304870370420</t>
  </si>
  <si>
    <t>962304820376940</t>
  </si>
  <si>
    <t>BANCO SANTANDER SA - SHANGHAI</t>
  </si>
  <si>
    <t>7401054355</t>
  </si>
  <si>
    <t>962304820255470</t>
  </si>
  <si>
    <t>BANCO SANTANDER, SA  SUCURSAL LONDRES</t>
  </si>
  <si>
    <t>7400930664</t>
  </si>
  <si>
    <t>962304820295750</t>
  </si>
  <si>
    <t>962304820309840</t>
  </si>
  <si>
    <t>962304820334350</t>
  </si>
  <si>
    <t>962304820341720</t>
  </si>
  <si>
    <t>962304820345580</t>
  </si>
  <si>
    <t>962304820345590</t>
  </si>
  <si>
    <t>962304820345600</t>
  </si>
  <si>
    <t>962304820345610</t>
  </si>
  <si>
    <t>962304820357170</t>
  </si>
  <si>
    <t>962304820374160</t>
  </si>
  <si>
    <t>962304820384930</t>
  </si>
  <si>
    <t>962304870364230</t>
  </si>
  <si>
    <t>262304840017920</t>
  </si>
  <si>
    <t>CONSULTEAM - CONSULTORES DE GESTAO, LDA</t>
  </si>
  <si>
    <t>262304840018240</t>
  </si>
  <si>
    <t>262304840018380</t>
  </si>
  <si>
    <t>262304840018430</t>
  </si>
  <si>
    <t>262304840018520</t>
  </si>
  <si>
    <t>262304840018720</t>
  </si>
  <si>
    <t>262304840018800</t>
  </si>
  <si>
    <t>262304840018860</t>
  </si>
  <si>
    <t>262304840018920</t>
  </si>
  <si>
    <t>262304840019020</t>
  </si>
  <si>
    <t>262304840019270</t>
  </si>
  <si>
    <t>262304840019410</t>
  </si>
  <si>
    <t>262304840019570</t>
  </si>
  <si>
    <t>262304840019610</t>
  </si>
  <si>
    <t>262304840019810</t>
  </si>
  <si>
    <t>262304840019830</t>
  </si>
  <si>
    <t>262304840019840</t>
  </si>
  <si>
    <t>262304840019910</t>
  </si>
  <si>
    <t>262304840020020</t>
  </si>
  <si>
    <t>262304840020050</t>
  </si>
  <si>
    <t>262304840020120</t>
  </si>
  <si>
    <t>262304840020780</t>
  </si>
  <si>
    <t>262304840021030</t>
  </si>
  <si>
    <t>262304840021200</t>
  </si>
  <si>
    <t>262304840022010</t>
  </si>
  <si>
    <t>262304840022210</t>
  </si>
  <si>
    <t>262304840022330</t>
  </si>
  <si>
    <t>262304840022960</t>
  </si>
  <si>
    <t>262304840025960</t>
  </si>
  <si>
    <t>262304840026320</t>
  </si>
  <si>
    <t>262304880020300</t>
  </si>
  <si>
    <t>262304880023930</t>
  </si>
  <si>
    <t>262304840015490</t>
  </si>
  <si>
    <t>MAPFRE SANTANDER PORTUGAL - COMPANHIA DE SEGUROS S.A.</t>
  </si>
  <si>
    <t>True</t>
  </si>
  <si>
    <t>962304820334150</t>
  </si>
  <si>
    <t>SANTANDER BANK POLSKA S A</t>
  </si>
  <si>
    <t>7401536276</t>
  </si>
  <si>
    <t>962304820252720</t>
  </si>
  <si>
    <t>SANTANDER CONSUMER BANK AG - MOENCHENGLADBACH</t>
  </si>
  <si>
    <t>0000235696</t>
  </si>
  <si>
    <t>962304820365800</t>
  </si>
  <si>
    <t>362304841016010</t>
  </si>
  <si>
    <t>SANTANDER CONSUMER FINANCE S.A. - SUCURSAL EM PORTUGAL</t>
  </si>
  <si>
    <t>962304880395500</t>
  </si>
  <si>
    <t>962304840171880</t>
  </si>
  <si>
    <t>SANTANDER TOTTA SEGUROS - COMPANHIA DE SEGUROS DE VIDA S.A</t>
  </si>
  <si>
    <t>962304820254330</t>
  </si>
  <si>
    <t>SANTANDER UK, PLC</t>
  </si>
  <si>
    <t>7400416271</t>
  </si>
  <si>
    <t>SONAE</t>
  </si>
  <si>
    <t>0000001124</t>
  </si>
  <si>
    <t>2 - Exposures to groups of connected clients</t>
  </si>
  <si>
    <t>Non-financial corporations</t>
  </si>
  <si>
    <t>OBS.02 - Financial guarantees received</t>
  </si>
  <si>
    <t>AMORIM</t>
  </si>
  <si>
    <t>8008751317</t>
  </si>
  <si>
    <t>ESTADO-RAM</t>
  </si>
  <si>
    <t>8046435017</t>
  </si>
  <si>
    <t>ALTRI</t>
  </si>
  <si>
    <t>8028841075</t>
  </si>
  <si>
    <t>GALPENERGIA</t>
  </si>
  <si>
    <t>8046324613</t>
  </si>
  <si>
    <t>VIOLAS</t>
  </si>
  <si>
    <t>7400154445</t>
  </si>
  <si>
    <t>CS MADEIRA</t>
  </si>
  <si>
    <t>5100288107</t>
  </si>
  <si>
    <t>BARRAQUEIRO</t>
  </si>
  <si>
    <t>8029429834</t>
  </si>
  <si>
    <t>BBI GLASS</t>
  </si>
  <si>
    <t>7400934390</t>
  </si>
  <si>
    <t>FUNDO DE RESOLUCAO</t>
  </si>
  <si>
    <t>7401230009</t>
  </si>
  <si>
    <t>1 - Exposures to individual clients</t>
  </si>
  <si>
    <t>Santander Totta SGPS</t>
  </si>
  <si>
    <t>5493005RLLC1P7VSVC58</t>
  </si>
  <si>
    <t>Banco Santander, S.A.</t>
  </si>
  <si>
    <t>Other Entity</t>
  </si>
  <si>
    <t>Consolidated</t>
  </si>
  <si>
    <t>IFRS</t>
  </si>
  <si>
    <t>No (Article 7 or 10 CRR Waiver)</t>
  </si>
  <si>
    <t>2023-01-02</t>
  </si>
  <si>
    <t>2099-12-31</t>
  </si>
  <si>
    <t>Yen</t>
  </si>
  <si>
    <t>Pound Sterling</t>
  </si>
  <si>
    <t>Fully Compliant AT1</t>
  </si>
  <si>
    <t>CET1</t>
  </si>
  <si>
    <t>Fully Compliant T2</t>
  </si>
  <si>
    <t>2026-01-14</t>
  </si>
  <si>
    <t>2027-06-09</t>
  </si>
  <si>
    <t>Parent</t>
  </si>
  <si>
    <t>Rank 13 - Ranking in insolvency (master scale)</t>
  </si>
  <si>
    <t>BANCO SANTANDER,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</si>
</sst>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33" x14ac:knownFonts="1">
    <font>
      <sz val="11"/>
      <color theme="1"/>
      <name val="Calibri"/>
      <family val="2"/>
      <scheme val="minor"/>
    </font>
    <font>
      <b/>
      <sz val="11"/>
      <color theme="1"/>
      <name val="Calibri"/>
      <family val="2"/>
      <scheme val="minor"/>
    </font>
    <font>
      <sz val="9"/>
      <color indexed="81"/>
      <name val="Tahoma"/>
      <family val="2"/>
    </font>
    <font>
      <b/>
      <sz val="9"/>
      <color theme="1"/>
      <name val="Calibri"/>
      <family val="2"/>
      <scheme val="minor"/>
    </font>
    <font>
      <sz val="9"/>
      <color theme="1"/>
      <name val="Calibri"/>
      <family val="2"/>
      <scheme val="minor"/>
    </font>
    <font>
      <sz val="9"/>
      <color indexed="11"/>
      <name val="Calibri"/>
      <family val="2"/>
      <scheme val="minor"/>
    </font>
    <font>
      <sz val="9"/>
      <color indexed="12"/>
      <name val="Calibri"/>
      <family val="2"/>
      <scheme val="minor"/>
    </font>
    <font>
      <sz val="9"/>
      <color indexed="58"/>
      <name val="Calibri"/>
      <family val="2"/>
      <scheme val="minor"/>
    </font>
    <font>
      <sz val="9"/>
      <color indexed="8"/>
      <name val="Tahoma"/>
      <family val="2"/>
    </font>
    <font>
      <sz val="9"/>
      <color indexed="60"/>
      <name val="Calibri"/>
      <family val="2"/>
      <scheme val="minor"/>
    </font>
    <font>
      <sz val="9"/>
      <color indexed="53"/>
      <name val="Calibri"/>
      <family val="2"/>
      <scheme val="minor"/>
    </font>
    <font>
      <sz val="9"/>
      <color indexed="38"/>
      <name val="Calibri"/>
      <family val="2"/>
      <scheme val="minor"/>
    </font>
    <font>
      <sz val="9"/>
      <color indexed="10"/>
      <name val="Calibri"/>
      <family val="2"/>
      <scheme val="minor"/>
    </font>
    <font>
      <sz val="9"/>
      <color indexed="29"/>
      <name val="Calibri"/>
      <family val="2"/>
      <scheme val="minor"/>
    </font>
    <font>
      <sz val="9"/>
      <color indexed="32"/>
      <name val="Calibri"/>
      <family val="2"/>
      <scheme val="minor"/>
    </font>
    <font>
      <sz val="9"/>
      <color indexed="19"/>
      <name val="Calibri"/>
      <family val="2"/>
      <scheme val="minor"/>
    </font>
    <font>
      <sz val="9"/>
      <color indexed="20"/>
      <name val="Calibri"/>
      <family val="2"/>
      <scheme val="minor"/>
    </font>
    <font>
      <sz val="9"/>
      <color indexed="24"/>
      <name val="Calibri"/>
      <family val="2"/>
      <scheme val="minor"/>
    </font>
    <font>
      <sz val="9"/>
      <color indexed="17"/>
      <name val="Calibri"/>
      <family val="2"/>
      <scheme val="minor"/>
    </font>
    <font>
      <sz val="9"/>
      <color indexed="25"/>
      <name val="Calibri"/>
      <family val="2"/>
      <scheme val="minor"/>
    </font>
    <font>
      <sz val="9"/>
      <color indexed="18"/>
      <name val="Calibri"/>
      <family val="2"/>
      <scheme val="minor"/>
    </font>
    <font>
      <sz val="9"/>
      <color indexed="28"/>
      <name val="Calibri"/>
      <family val="2"/>
      <scheme val="minor"/>
    </font>
    <font>
      <sz val="9"/>
      <color indexed="30"/>
      <name val="Calibri"/>
      <family val="2"/>
      <scheme val="minor"/>
    </font>
    <font>
      <sz val="9"/>
      <color indexed="21"/>
      <name val="Calibri"/>
      <family val="2"/>
      <scheme val="minor"/>
    </font>
    <font>
      <sz val="9"/>
      <color indexed="16"/>
      <name val="Calibri"/>
      <family val="2"/>
      <scheme val="minor"/>
    </font>
    <font>
      <sz val="9"/>
      <color indexed="48"/>
      <name val="Calibri"/>
      <family val="2"/>
      <scheme val="minor"/>
    </font>
    <font>
      <sz val="9"/>
      <color indexed="61"/>
      <name val="Calibri"/>
      <family val="2"/>
      <scheme val="minor"/>
    </font>
    <font>
      <sz val="9"/>
      <color indexed="62"/>
      <name val="Calibri"/>
      <family val="2"/>
      <scheme val="minor"/>
    </font>
    <font>
      <sz val="9"/>
      <color indexed="40"/>
      <name val="Calibri"/>
      <family val="2"/>
      <scheme val="minor"/>
    </font>
    <font>
      <sz val="9"/>
      <color indexed="59"/>
      <name val="Calibri"/>
      <family val="2"/>
      <scheme val="minor"/>
    </font>
    <font>
      <sz val="9"/>
      <color indexed="57"/>
      <name val="Calibri"/>
      <family val="2"/>
      <scheme val="minor"/>
    </font>
    <font>
      <b/>
      <sz val="15"/>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D8D8D8"/>
        <bgColor indexed="64"/>
      </patternFill>
    </fill>
    <fill>
      <patternFill patternType="solid">
        <fgColor indexed="55"/>
        <bgColor indexed="64"/>
      </patternFill>
    </fill>
    <fill>
      <patternFill patternType="solid">
        <fgColor rgb="FFFFFFFF"/>
        <bgColor indexed="64"/>
      </patternFill>
    </fill>
  </fills>
  <borders count="26">
    <border>
      <left/>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32" fillId="0" borderId="0" applyFont="0" applyFill="0" applyBorder="0" applyAlignment="0" applyProtection="0"/>
  </cellStyleXfs>
  <cellXfs count="111">
    <xf numFmtId="0" fontId="0" fillId="0" borderId="0" xfId="0"/>
    <xf numFmtId="0" fontId="0" fillId="0" borderId="0" xfId="0" applyAlignment="1">
      <alignment wrapText="1"/>
    </xf>
    <xf numFmtId="0" fontId="0" fillId="2" borderId="5" xfId="0" applyFill="1" applyBorder="1" applyAlignment="1">
      <alignment horizontal="left" vertical="top" wrapText="1"/>
    </xf>
    <xf numFmtId="0" fontId="0" fillId="2" borderId="5" xfId="0" quotePrefix="1" applyFill="1" applyBorder="1" applyAlignment="1">
      <alignment horizontal="left" vertical="top" wrapText="1"/>
    </xf>
    <xf numFmtId="0" fontId="0" fillId="2" borderId="4" xfId="0" applyFill="1" applyBorder="1" applyAlignment="1">
      <alignment horizontal="left" vertical="center" wrapText="1" indent="2"/>
    </xf>
    <xf numFmtId="0" fontId="0" fillId="2" borderId="5" xfId="0" quotePrefix="1" applyFill="1" applyBorder="1" applyAlignment="1">
      <alignment horizontal="left" vertical="center"/>
    </xf>
    <xf numFmtId="0" fontId="4" fillId="4" borderId="9" xfId="0" applyFont="1" applyFill="1" applyBorder="1" applyAlignment="1">
      <alignment horizontal="center" vertical="center" wrapText="1"/>
    </xf>
    <xf numFmtId="0" fontId="4" fillId="0" borderId="10" xfId="0" applyFont="1" applyBorder="1" applyAlignment="1">
      <alignment horizontal="center" vertical="center" wrapText="1"/>
    </xf>
    <xf numFmtId="0" fontId="5" fillId="0" borderId="0" xfId="0" applyFont="1" applyAlignment="1">
      <alignment horizontal="left" vertical="top" wrapText="1"/>
    </xf>
    <xf numFmtId="0" fontId="6" fillId="0" borderId="0" xfId="0" applyFont="1" applyAlignment="1">
      <alignment horizontal="left" vertical="top" wrapText="1"/>
    </xf>
    <xf numFmtId="0" fontId="0" fillId="2" borderId="2" xfId="0" applyFill="1" applyBorder="1" applyAlignment="1">
      <alignment horizontal="left" vertical="top" wrapText="1"/>
    </xf>
    <xf numFmtId="0" fontId="0" fillId="2" borderId="11" xfId="0" applyFill="1" applyBorder="1" applyAlignment="1">
      <alignment horizontal="left" vertical="top" wrapText="1"/>
    </xf>
    <xf numFmtId="0" fontId="1" fillId="2" borderId="3" xfId="0" applyFont="1" applyFill="1" applyBorder="1" applyAlignment="1">
      <alignment horizontal="center" vertical="center" textRotation="90"/>
    </xf>
    <xf numFmtId="0" fontId="0" fillId="2" borderId="4" xfId="0" applyFill="1" applyBorder="1" applyAlignment="1">
      <alignment horizontal="left"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7"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4" fillId="4" borderId="18" xfId="0" applyFont="1" applyFill="1" applyBorder="1" applyAlignment="1">
      <alignment horizontal="center" vertical="center" wrapText="1"/>
    </xf>
    <xf numFmtId="0" fontId="4" fillId="4" borderId="0" xfId="0" applyFont="1" applyFill="1" applyAlignment="1">
      <alignment horizontal="center" vertical="center" wrapText="1"/>
    </xf>
    <xf numFmtId="0" fontId="4" fillId="3" borderId="0" xfId="0" applyFont="1" applyFill="1" applyAlignment="1">
      <alignment horizontal="center" vertical="center" wrapText="1"/>
    </xf>
    <xf numFmtId="0" fontId="4" fillId="0" borderId="0" xfId="0" applyFont="1" applyAlignment="1">
      <alignment horizontal="center" vertical="center" wrapText="1"/>
    </xf>
    <xf numFmtId="0" fontId="4" fillId="4" borderId="19" xfId="0" applyFont="1" applyFill="1" applyBorder="1" applyAlignment="1">
      <alignment horizontal="center" vertical="center"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21" fillId="0" borderId="0" xfId="0" applyFont="1" applyAlignment="1">
      <alignment horizontal="left" vertical="top" wrapText="1"/>
    </xf>
    <xf numFmtId="0" fontId="4" fillId="3" borderId="18" xfId="0"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3" borderId="19" xfId="0" applyFont="1" applyFill="1" applyBorder="1" applyAlignment="1">
      <alignment horizontal="center" vertical="center" wrapText="1"/>
    </xf>
    <xf numFmtId="0" fontId="22" fillId="0" borderId="0" xfId="0" applyFont="1" applyAlignment="1">
      <alignment horizontal="left" vertical="top" wrapText="1"/>
    </xf>
    <xf numFmtId="0" fontId="0" fillId="2" borderId="4" xfId="0" applyFill="1" applyBorder="1" applyAlignment="1">
      <alignment horizontal="left" vertical="center" wrapText="1" indent="4"/>
    </xf>
    <xf numFmtId="0" fontId="23" fillId="0" borderId="0" xfId="0" applyFont="1" applyAlignment="1">
      <alignment horizontal="left" vertical="top" wrapText="1"/>
    </xf>
    <xf numFmtId="0" fontId="24" fillId="0" borderId="0" xfId="0" applyFont="1" applyAlignment="1">
      <alignment horizontal="left" vertical="top" wrapText="1"/>
    </xf>
    <xf numFmtId="0" fontId="4" fillId="3" borderId="9"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25" fillId="0" borderId="0" xfId="0" applyFont="1" applyAlignment="1">
      <alignment horizontal="left" vertical="top" wrapText="1"/>
    </xf>
    <xf numFmtId="0" fontId="26" fillId="0" borderId="0" xfId="0" applyFont="1" applyAlignment="1">
      <alignment horizontal="left" vertical="top" wrapText="1"/>
    </xf>
    <xf numFmtId="0" fontId="27" fillId="0" borderId="0" xfId="0" applyFont="1" applyAlignment="1">
      <alignment horizontal="left" vertical="top" wrapText="1"/>
    </xf>
    <xf numFmtId="0" fontId="28" fillId="0" borderId="0" xfId="0" applyFont="1" applyAlignment="1">
      <alignment horizontal="left" vertical="top" wrapText="1"/>
    </xf>
    <xf numFmtId="0" fontId="1" fillId="2" borderId="2" xfId="0" applyFont="1" applyFill="1" applyBorder="1" applyAlignment="1">
      <alignment horizontal="center" vertical="center"/>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4" borderId="24"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29" fillId="0" borderId="0" xfId="0" applyFont="1" applyAlignment="1">
      <alignment horizontal="left" vertical="top" wrapText="1"/>
    </xf>
    <xf numFmtId="0" fontId="30" fillId="0" borderId="0" xfId="0" applyFont="1" applyAlignment="1">
      <alignment horizontal="left" vertical="top" wrapText="1"/>
    </xf>
    <xf numFmtId="0" fontId="0" fillId="0" borderId="0" xfId="0"/>
    <xf numFmtId="4" fontId="4" fillId="4" borderId="15" xfId="0" applyNumberFormat="1" applyFont="1" applyFill="1" applyBorder="1" applyAlignment="1">
      <alignment horizontal="center" vertical="center" wrapText="1"/>
    </xf>
    <xf numFmtId="4" fontId="4" fillId="4" borderId="16" xfId="0" applyNumberFormat="1" applyFont="1" applyFill="1" applyBorder="1" applyAlignment="1">
      <alignment horizontal="center" vertical="center" wrapText="1"/>
    </xf>
    <xf numFmtId="4" fontId="4" fillId="0" borderId="16" xfId="0" applyNumberFormat="1" applyFont="1" applyBorder="1" applyAlignment="1">
      <alignment horizontal="center" vertical="center" wrapText="1"/>
    </xf>
    <xf numFmtId="4" fontId="4" fillId="4" borderId="17" xfId="0" applyNumberFormat="1" applyFont="1" applyFill="1" applyBorder="1" applyAlignment="1">
      <alignment horizontal="center" vertical="center" wrapText="1"/>
    </xf>
    <xf numFmtId="4" fontId="4" fillId="0" borderId="22" xfId="0" applyNumberFormat="1" applyFont="1" applyBorder="1" applyAlignment="1">
      <alignment horizontal="center" vertical="center" wrapText="1"/>
    </xf>
    <xf numFmtId="4" fontId="4" fillId="0" borderId="15" xfId="0" applyNumberFormat="1" applyFont="1" applyBorder="1" applyAlignment="1">
      <alignment horizontal="center" vertical="center" wrapText="1"/>
    </xf>
    <xf numFmtId="4" fontId="4" fillId="0" borderId="17" xfId="0" applyNumberFormat="1" applyFont="1" applyBorder="1" applyAlignment="1">
      <alignment horizontal="center" vertical="center" wrapText="1"/>
    </xf>
    <xf numFmtId="4" fontId="4" fillId="0" borderId="18" xfId="0" applyNumberFormat="1" applyFont="1" applyBorder="1" applyAlignment="1">
      <alignment horizontal="center" vertical="center" wrapText="1"/>
    </xf>
    <xf numFmtId="4" fontId="4" fillId="0" borderId="0" xfId="0" applyNumberFormat="1" applyFont="1" applyAlignment="1">
      <alignment horizontal="center" vertical="center" wrapText="1"/>
    </xf>
    <xf numFmtId="4" fontId="4" fillId="0" borderId="19" xfId="0" applyNumberFormat="1" applyFont="1" applyBorder="1" applyAlignment="1">
      <alignment horizontal="center" vertical="center" wrapText="1"/>
    </xf>
    <xf numFmtId="4" fontId="4" fillId="4" borderId="0" xfId="0" applyNumberFormat="1" applyFont="1" applyFill="1" applyAlignment="1">
      <alignment horizontal="center" vertical="center" wrapText="1"/>
    </xf>
    <xf numFmtId="4" fontId="0" fillId="0" borderId="0" xfId="0" applyNumberFormat="1"/>
    <xf numFmtId="4" fontId="4" fillId="4" borderId="18" xfId="0" applyNumberFormat="1" applyFont="1" applyFill="1" applyBorder="1" applyAlignment="1">
      <alignment horizontal="center" vertical="center" wrapText="1"/>
    </xf>
    <xf numFmtId="4" fontId="4" fillId="3" borderId="19" xfId="0" applyNumberFormat="1" applyFont="1" applyFill="1" applyBorder="1" applyAlignment="1">
      <alignment horizontal="center" vertical="center" wrapText="1"/>
    </xf>
    <xf numFmtId="0" fontId="0" fillId="0" borderId="0" xfId="0"/>
    <xf numFmtId="0" fontId="0" fillId="0" borderId="0" xfId="0"/>
    <xf numFmtId="0" fontId="0" fillId="0" borderId="0" xfId="0"/>
    <xf numFmtId="4" fontId="12" fillId="0" borderId="0" xfId="0" applyNumberFormat="1" applyFont="1" applyAlignment="1">
      <alignment horizontal="left" vertical="top" wrapText="1"/>
    </xf>
    <xf numFmtId="4" fontId="5" fillId="0" borderId="0" xfId="0" applyNumberFormat="1" applyFont="1" applyAlignment="1">
      <alignment horizontal="left" vertical="top" wrapText="1"/>
    </xf>
    <xf numFmtId="164" fontId="12" fillId="0" borderId="0" xfId="1" applyNumberFormat="1" applyFont="1" applyAlignment="1">
      <alignment horizontal="left" vertical="top" wrapText="1"/>
    </xf>
    <xf numFmtId="4" fontId="4" fillId="0" borderId="0" xfId="0" applyNumberFormat="1" applyFont="1" applyFill="1" applyBorder="1" applyAlignment="1">
      <alignment horizontal="center" vertical="center" wrapText="1"/>
    </xf>
    <xf numFmtId="4" fontId="0" fillId="2" borderId="5" xfId="0" applyNumberFormat="1" applyFill="1" applyBorder="1" applyAlignment="1">
      <alignment horizontal="left" vertical="top" wrapText="1"/>
    </xf>
    <xf numFmtId="4" fontId="0" fillId="2" borderId="5" xfId="0" quotePrefix="1" applyNumberFormat="1" applyFill="1" applyBorder="1" applyAlignment="1">
      <alignment horizontal="left" vertical="top" wrapText="1"/>
    </xf>
    <xf numFmtId="4" fontId="4" fillId="3" borderId="0" xfId="0" applyNumberFormat="1" applyFont="1" applyFill="1" applyAlignment="1">
      <alignment horizontal="center" vertical="center" wrapText="1"/>
    </xf>
    <xf numFmtId="4" fontId="4" fillId="3" borderId="22" xfId="0" applyNumberFormat="1"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14" fontId="4" fillId="0" borderId="13" xfId="0" applyNumberFormat="1" applyFont="1" applyFill="1" applyBorder="1" applyAlignment="1">
      <alignment horizontal="center" vertical="center" wrapText="1"/>
    </xf>
    <xf numFmtId="4" fontId="4" fillId="0" borderId="13" xfId="0" applyNumberFormat="1" applyFont="1" applyFill="1" applyBorder="1" applyAlignment="1">
      <alignment horizontal="center" vertical="center" wrapText="1"/>
    </xf>
    <xf numFmtId="4" fontId="4" fillId="0" borderId="14" xfId="0" applyNumberFormat="1" applyFont="1" applyFill="1" applyBorder="1" applyAlignment="1">
      <alignment horizontal="center" vertical="center" wrapText="1"/>
    </xf>
    <xf numFmtId="4" fontId="4" fillId="4" borderId="19" xfId="0" applyNumberFormat="1" applyFont="1" applyFill="1" applyBorder="1" applyAlignment="1">
      <alignment horizontal="center" vertical="center" wrapText="1"/>
    </xf>
    <xf numFmtId="4" fontId="6" fillId="0" borderId="0" xfId="0" applyNumberFormat="1" applyFont="1" applyAlignment="1">
      <alignment horizontal="left" vertical="top" wrapText="1"/>
    </xf>
    <xf numFmtId="0" fontId="31" fillId="0" borderId="0" xfId="0" applyFont="1"/>
    <xf numFmtId="0" fontId="0" fillId="0" borderId="0" xfId="0"/>
    <xf numFmtId="0" fontId="1" fillId="2" borderId="1" xfId="0" applyFont="1" applyFill="1" applyBorder="1" applyAlignment="1">
      <alignment horizontal="left" vertical="center"/>
    </xf>
    <xf numFmtId="0" fontId="1" fillId="2" borderId="0" xfId="0" applyFont="1" applyFill="1" applyAlignment="1">
      <alignment horizontal="left" vertical="center"/>
    </xf>
    <xf numFmtId="0" fontId="1" fillId="2" borderId="2" xfId="0" applyFont="1" applyFill="1" applyBorder="1" applyAlignment="1">
      <alignment horizontal="center" vertical="center"/>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1" fillId="3" borderId="6" xfId="0" applyFont="1" applyFill="1" applyBorder="1" applyAlignment="1">
      <alignment horizontal="left" vertical="center" wrapText="1" indent="2"/>
    </xf>
    <xf numFmtId="0" fontId="3" fillId="3" borderId="20" xfId="0" applyFont="1" applyFill="1" applyBorder="1" applyAlignment="1">
      <alignment horizontal="left" vertical="center" wrapText="1" indent="2"/>
    </xf>
    <xf numFmtId="0" fontId="3" fillId="3" borderId="6" xfId="0" applyFont="1" applyFill="1" applyBorder="1" applyAlignment="1">
      <alignment horizontal="left" vertical="center" wrapText="1" indent="2"/>
    </xf>
    <xf numFmtId="0" fontId="3" fillId="3" borderId="21" xfId="0" applyFont="1" applyFill="1" applyBorder="1" applyAlignment="1">
      <alignment horizontal="left" vertical="center" wrapText="1" indent="2"/>
    </xf>
    <xf numFmtId="0" fontId="1" fillId="3" borderId="6" xfId="0" applyFont="1" applyFill="1" applyBorder="1" applyAlignment="1">
      <alignment horizontal="left" vertical="center" wrapText="1"/>
    </xf>
    <xf numFmtId="0" fontId="3" fillId="3" borderId="20"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21"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8" xfId="0" applyFont="1" applyFill="1" applyBorder="1" applyAlignment="1">
      <alignment horizontal="left" vertical="center" wrapText="1"/>
    </xf>
    <xf numFmtId="4" fontId="0" fillId="0" borderId="0" xfId="0" applyNumberForma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ability%20Data%20Reporting%20202212_Santander%20Totta%20SG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REP_SGPS_DEZ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99.00"/>
      <sheetName val="T01.00"/>
      <sheetName val="T02.00"/>
      <sheetName val="T03.01"/>
      <sheetName val="T03.02"/>
      <sheetName val="T03.03"/>
      <sheetName val="T04.00"/>
      <sheetName val="T05.01"/>
      <sheetName val="T06.01"/>
      <sheetName val="T07.00"/>
      <sheetName val="T08.00"/>
      <sheetName val="T09.00"/>
      <sheetName val="T12.00"/>
      <sheetName val="Lists"/>
    </sheetNames>
    <sheetDataSet>
      <sheetData sheetId="0"/>
      <sheetData sheetId="1">
        <row r="5">
          <cell r="C5">
            <v>19953512555.832539</v>
          </cell>
          <cell r="D5">
            <v>19953512555.832539</v>
          </cell>
          <cell r="E5">
            <v>2407846366.8170595</v>
          </cell>
          <cell r="F5">
            <v>2407846366.8170595</v>
          </cell>
          <cell r="G5">
            <v>344009656.82928103</v>
          </cell>
          <cell r="H5">
            <v>344009656.82928103</v>
          </cell>
          <cell r="K5">
            <v>228505372.78226304</v>
          </cell>
          <cell r="L5">
            <v>228505372.78226304</v>
          </cell>
          <cell r="M5">
            <v>228505372.78226304</v>
          </cell>
          <cell r="N5">
            <v>228505372.78226304</v>
          </cell>
          <cell r="Q5">
            <v>0</v>
          </cell>
          <cell r="R5">
            <v>0</v>
          </cell>
          <cell r="S5">
            <v>0</v>
          </cell>
          <cell r="T5">
            <v>0</v>
          </cell>
          <cell r="U5">
            <v>32899591804.031799</v>
          </cell>
          <cell r="V5">
            <v>32899591804.031799</v>
          </cell>
          <cell r="W5">
            <v>228505372.78226304</v>
          </cell>
          <cell r="X5">
            <v>228505372.78226304</v>
          </cell>
          <cell r="Y5">
            <v>0</v>
          </cell>
          <cell r="Z5">
            <v>0</v>
          </cell>
        </row>
        <row r="6">
          <cell r="C6">
            <v>19686149648.378342</v>
          </cell>
          <cell r="D6">
            <v>19686149648.378342</v>
          </cell>
          <cell r="E6">
            <v>2407846366.8170595</v>
          </cell>
          <cell r="F6">
            <v>2407846366.8170595</v>
          </cell>
          <cell r="G6">
            <v>344009656.82928103</v>
          </cell>
          <cell r="H6">
            <v>344009656.82928103</v>
          </cell>
          <cell r="K6">
            <v>0</v>
          </cell>
          <cell r="L6">
            <v>0</v>
          </cell>
          <cell r="M6">
            <v>0</v>
          </cell>
          <cell r="N6">
            <v>0</v>
          </cell>
          <cell r="O6">
            <v>0</v>
          </cell>
          <cell r="P6">
            <v>0</v>
          </cell>
          <cell r="S6">
            <v>0</v>
          </cell>
          <cell r="T6">
            <v>0</v>
          </cell>
          <cell r="U6">
            <v>22438005672.024681</v>
          </cell>
          <cell r="V6">
            <v>22438005672.024681</v>
          </cell>
          <cell r="W6">
            <v>0</v>
          </cell>
          <cell r="X6">
            <v>0</v>
          </cell>
          <cell r="Y6">
            <v>0</v>
          </cell>
          <cell r="Z6">
            <v>0</v>
          </cell>
        </row>
        <row r="7">
          <cell r="C7">
            <v>0</v>
          </cell>
          <cell r="D7">
            <v>0</v>
          </cell>
          <cell r="E7">
            <v>0</v>
          </cell>
          <cell r="F7">
            <v>0</v>
          </cell>
          <cell r="G7">
            <v>0</v>
          </cell>
          <cell r="H7">
            <v>0</v>
          </cell>
          <cell r="J7">
            <v>5868375320.0723495</v>
          </cell>
          <cell r="K7">
            <v>0</v>
          </cell>
          <cell r="L7">
            <v>0</v>
          </cell>
          <cell r="M7">
            <v>0</v>
          </cell>
          <cell r="N7">
            <v>0</v>
          </cell>
          <cell r="P7">
            <v>3598436410.8400011</v>
          </cell>
          <cell r="R7">
            <v>0</v>
          </cell>
          <cell r="S7">
            <v>0</v>
          </cell>
          <cell r="T7">
            <v>0</v>
          </cell>
          <cell r="U7">
            <v>9466811730.9123497</v>
          </cell>
          <cell r="V7">
            <v>9466811730.9123497</v>
          </cell>
          <cell r="W7">
            <v>0</v>
          </cell>
          <cell r="X7">
            <v>0</v>
          </cell>
          <cell r="Y7">
            <v>0</v>
          </cell>
          <cell r="Z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row>
        <row r="10">
          <cell r="I10">
            <v>228824123.854909</v>
          </cell>
          <cell r="J10">
            <v>228824123.854909</v>
          </cell>
          <cell r="K10">
            <v>0</v>
          </cell>
          <cell r="L10">
            <v>0</v>
          </cell>
          <cell r="M10">
            <v>0</v>
          </cell>
          <cell r="N10">
            <v>0</v>
          </cell>
          <cell r="U10">
            <v>228824123.854909</v>
          </cell>
          <cell r="V10">
            <v>228824123.854909</v>
          </cell>
          <cell r="Y10">
            <v>0</v>
          </cell>
          <cell r="Z10">
            <v>0</v>
          </cell>
        </row>
        <row r="11">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row>
        <row r="12">
          <cell r="C12">
            <v>219563514.4593057</v>
          </cell>
          <cell r="D12">
            <v>219563514.4593057</v>
          </cell>
          <cell r="U12">
            <v>219563514.4593057</v>
          </cell>
          <cell r="V12">
            <v>219563514.4593057</v>
          </cell>
          <cell r="Y12">
            <v>0</v>
          </cell>
          <cell r="Z12">
            <v>0</v>
          </cell>
        </row>
        <row r="13">
          <cell r="C13">
            <v>47799392.994893998</v>
          </cell>
          <cell r="D13">
            <v>47799392.994893998</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47799392.994893998</v>
          </cell>
          <cell r="V13">
            <v>47799392.994893998</v>
          </cell>
          <cell r="W13">
            <v>0</v>
          </cell>
          <cell r="X13">
            <v>0</v>
          </cell>
          <cell r="Y13">
            <v>0</v>
          </cell>
          <cell r="Z13">
            <v>0</v>
          </cell>
        </row>
        <row r="14">
          <cell r="O14">
            <v>270081997.00340003</v>
          </cell>
          <cell r="P14">
            <v>270081997.00340003</v>
          </cell>
          <cell r="U14">
            <v>270081997.00340003</v>
          </cell>
          <cell r="V14">
            <v>270081997.00340003</v>
          </cell>
        </row>
        <row r="15">
          <cell r="E15">
            <v>0</v>
          </cell>
          <cell r="F15">
            <v>0</v>
          </cell>
          <cell r="G15">
            <v>0</v>
          </cell>
          <cell r="H15">
            <v>0</v>
          </cell>
          <cell r="I15">
            <v>0</v>
          </cell>
          <cell r="J15">
            <v>0</v>
          </cell>
          <cell r="K15">
            <v>0</v>
          </cell>
          <cell r="L15">
            <v>0</v>
          </cell>
          <cell r="M15">
            <v>0</v>
          </cell>
          <cell r="N15">
            <v>0</v>
          </cell>
          <cell r="O15">
            <v>0</v>
          </cell>
          <cell r="P15">
            <v>0</v>
          </cell>
          <cell r="U15">
            <v>0</v>
          </cell>
          <cell r="V15">
            <v>0</v>
          </cell>
          <cell r="W15">
            <v>0</v>
          </cell>
          <cell r="X15">
            <v>0</v>
          </cell>
          <cell r="Y15">
            <v>0</v>
          </cell>
          <cell r="Z15">
            <v>0</v>
          </cell>
        </row>
        <row r="16">
          <cell r="I16">
            <v>0</v>
          </cell>
          <cell r="J16">
            <v>0</v>
          </cell>
          <cell r="K16">
            <v>228505372.78226304</v>
          </cell>
          <cell r="L16">
            <v>228505372.78226304</v>
          </cell>
          <cell r="M16">
            <v>228505372.78226304</v>
          </cell>
          <cell r="N16">
            <v>228505372.78226304</v>
          </cell>
          <cell r="U16">
            <v>228505372.78226304</v>
          </cell>
          <cell r="V16">
            <v>228505372.78226304</v>
          </cell>
          <cell r="W16">
            <v>228505372.78226304</v>
          </cell>
          <cell r="X16">
            <v>228505372.78226304</v>
          </cell>
        </row>
        <row r="17">
          <cell r="C17">
            <v>5978392863.9835539</v>
          </cell>
          <cell r="D17">
            <v>5978392863.9835539</v>
          </cell>
          <cell r="E17">
            <v>4990596224.6980324</v>
          </cell>
          <cell r="F17">
            <v>4990596224.6980324</v>
          </cell>
          <cell r="G17">
            <v>3518425808.8592572</v>
          </cell>
          <cell r="H17">
            <v>3518425808.8592572</v>
          </cell>
          <cell r="I17">
            <v>2028049201.2009838</v>
          </cell>
          <cell r="J17">
            <v>2006597382.8082728</v>
          </cell>
          <cell r="K17">
            <v>964535393.60006523</v>
          </cell>
          <cell r="L17">
            <v>920741361.72006536</v>
          </cell>
          <cell r="M17">
            <v>9182714.2158279996</v>
          </cell>
          <cell r="N17">
            <v>9182714.2158279996</v>
          </cell>
          <cell r="O17">
            <v>1162641628.6545246</v>
          </cell>
          <cell r="P17">
            <v>1162641628.6545246</v>
          </cell>
          <cell r="Q17">
            <v>0</v>
          </cell>
          <cell r="R17">
            <v>0</v>
          </cell>
          <cell r="S17">
            <v>351815502.32178694</v>
          </cell>
          <cell r="T17">
            <v>351815502.32178694</v>
          </cell>
          <cell r="U17">
            <v>18994456623.318207</v>
          </cell>
          <cell r="V17">
            <v>18929210773.045494</v>
          </cell>
          <cell r="W17">
            <v>2339872705.8437243</v>
          </cell>
          <cell r="X17">
            <v>2282898282.8510132</v>
          </cell>
          <cell r="Y17">
            <v>0</v>
          </cell>
          <cell r="Z17">
            <v>0</v>
          </cell>
        </row>
        <row r="18">
          <cell r="C18">
            <v>5766070775.9333181</v>
          </cell>
          <cell r="D18">
            <v>5766070775.9333181</v>
          </cell>
          <cell r="E18">
            <v>4963670099.3780317</v>
          </cell>
          <cell r="F18">
            <v>4963670099.3780317</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10729740875.31135</v>
          </cell>
          <cell r="V18">
            <v>10729740875.31135</v>
          </cell>
          <cell r="W18">
            <v>228523254.88226306</v>
          </cell>
          <cell r="X18">
            <v>228523254.88226306</v>
          </cell>
          <cell r="Y18">
            <v>0</v>
          </cell>
          <cell r="Z18">
            <v>0</v>
          </cell>
        </row>
        <row r="19">
          <cell r="C19">
            <v>5766070775.9333181</v>
          </cell>
          <cell r="D19">
            <v>5766070775.9333181</v>
          </cell>
          <cell r="E19">
            <v>4963670099.3780317</v>
          </cell>
          <cell r="F19">
            <v>4963670099.3780317</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10729740875.31135</v>
          </cell>
          <cell r="V19">
            <v>10729740875.31135</v>
          </cell>
          <cell r="W19">
            <v>228523254.88226306</v>
          </cell>
          <cell r="X19">
            <v>228523254.88226306</v>
          </cell>
          <cell r="Y19">
            <v>0</v>
          </cell>
          <cell r="Z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row>
        <row r="23">
          <cell r="C23">
            <v>0</v>
          </cell>
          <cell r="D23">
            <v>0</v>
          </cell>
          <cell r="E23">
            <v>0</v>
          </cell>
          <cell r="F23">
            <v>0</v>
          </cell>
          <cell r="G23">
            <v>3385474704.2792525</v>
          </cell>
          <cell r="H23">
            <v>3385474704.2792525</v>
          </cell>
          <cell r="I23">
            <v>542757765.5609839</v>
          </cell>
          <cell r="J23">
            <v>542757765.5609839</v>
          </cell>
          <cell r="K23">
            <v>727128029.52939415</v>
          </cell>
          <cell r="L23">
            <v>727128029.52939415</v>
          </cell>
          <cell r="M23">
            <v>2.2200000000000002</v>
          </cell>
          <cell r="N23">
            <v>2.2200000000000002</v>
          </cell>
          <cell r="O23">
            <v>1161510872.4145246</v>
          </cell>
          <cell r="P23">
            <v>1161510872.4145246</v>
          </cell>
          <cell r="Q23">
            <v>0</v>
          </cell>
          <cell r="R23">
            <v>0</v>
          </cell>
          <cell r="S23">
            <v>0</v>
          </cell>
          <cell r="T23">
            <v>0</v>
          </cell>
          <cell r="U23">
            <v>5816871371.7841549</v>
          </cell>
          <cell r="V23">
            <v>5816871371.7841549</v>
          </cell>
          <cell r="W23">
            <v>582148639.00563323</v>
          </cell>
          <cell r="X23">
            <v>582148639.00563323</v>
          </cell>
          <cell r="Y23">
            <v>0</v>
          </cell>
          <cell r="Z23">
            <v>0</v>
          </cell>
        </row>
        <row r="24">
          <cell r="C24">
            <v>0</v>
          </cell>
          <cell r="D24">
            <v>0</v>
          </cell>
          <cell r="E24">
            <v>0</v>
          </cell>
          <cell r="F24">
            <v>0</v>
          </cell>
          <cell r="G24">
            <v>3385474704.2792525</v>
          </cell>
          <cell r="H24">
            <v>3385474704.2792525</v>
          </cell>
          <cell r="I24">
            <v>542757765.5609839</v>
          </cell>
          <cell r="J24">
            <v>542757765.5609839</v>
          </cell>
          <cell r="K24">
            <v>727128029.52939415</v>
          </cell>
          <cell r="L24">
            <v>727128029.52939415</v>
          </cell>
          <cell r="M24">
            <v>2.2200000000000002</v>
          </cell>
          <cell r="N24">
            <v>2.2200000000000002</v>
          </cell>
          <cell r="O24">
            <v>1161510872.4145246</v>
          </cell>
          <cell r="P24">
            <v>1161510872.4145246</v>
          </cell>
          <cell r="Q24">
            <v>0</v>
          </cell>
          <cell r="R24">
            <v>0</v>
          </cell>
          <cell r="S24">
            <v>0</v>
          </cell>
          <cell r="T24">
            <v>0</v>
          </cell>
          <cell r="U24">
            <v>5816871371.7841549</v>
          </cell>
          <cell r="V24">
            <v>5816871371.7841549</v>
          </cell>
          <cell r="W24">
            <v>582148639.00563323</v>
          </cell>
          <cell r="X24">
            <v>582148639.00563323</v>
          </cell>
          <cell r="Y24">
            <v>0</v>
          </cell>
          <cell r="Z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row>
        <row r="28">
          <cell r="C28">
            <v>635345.55999999994</v>
          </cell>
          <cell r="E28">
            <v>2880104.8200000003</v>
          </cell>
          <cell r="G28">
            <v>97764591.86999999</v>
          </cell>
          <cell r="I28">
            <v>372607354.50000006</v>
          </cell>
          <cell r="K28">
            <v>217940739.74000007</v>
          </cell>
          <cell r="M28">
            <v>0</v>
          </cell>
          <cell r="O28">
            <v>0</v>
          </cell>
          <cell r="Q28">
            <v>0</v>
          </cell>
          <cell r="S28">
            <v>0</v>
          </cell>
          <cell r="U28">
            <v>691828136.49000013</v>
          </cell>
          <cell r="W28">
            <v>407460658.86000007</v>
          </cell>
          <cell r="Y28">
            <v>0</v>
          </cell>
        </row>
        <row r="29">
          <cell r="D29">
            <v>635345.55999999994</v>
          </cell>
          <cell r="F29">
            <v>2880104.8200000003</v>
          </cell>
          <cell r="H29">
            <v>97764591.86999999</v>
          </cell>
          <cell r="J29">
            <v>372607354.50000006</v>
          </cell>
          <cell r="L29">
            <v>217940739.74000007</v>
          </cell>
          <cell r="N29">
            <v>0</v>
          </cell>
          <cell r="P29">
            <v>0</v>
          </cell>
          <cell r="R29">
            <v>0</v>
          </cell>
          <cell r="T29">
            <v>0</v>
          </cell>
          <cell r="V29">
            <v>691828136.49000013</v>
          </cell>
          <cell r="X29">
            <v>407460658.86000007</v>
          </cell>
          <cell r="Z29">
            <v>0</v>
          </cell>
        </row>
        <row r="30">
          <cell r="D30">
            <v>635345.55999999994</v>
          </cell>
          <cell r="F30">
            <v>2880104.8200000003</v>
          </cell>
          <cell r="H30">
            <v>97764591.86999999</v>
          </cell>
          <cell r="J30">
            <v>372607354.50000006</v>
          </cell>
          <cell r="L30">
            <v>217940739.74000007</v>
          </cell>
          <cell r="N30">
            <v>0</v>
          </cell>
          <cell r="P30">
            <v>0</v>
          </cell>
          <cell r="R30">
            <v>0</v>
          </cell>
          <cell r="T30">
            <v>0</v>
          </cell>
          <cell r="V30">
            <v>691828136.49000013</v>
          </cell>
          <cell r="X30">
            <v>407460658.86000007</v>
          </cell>
          <cell r="Z30">
            <v>0</v>
          </cell>
        </row>
        <row r="31">
          <cell r="D31">
            <v>635345.55999999994</v>
          </cell>
          <cell r="F31">
            <v>2880104.8200000003</v>
          </cell>
          <cell r="H31">
            <v>97764591.86999999</v>
          </cell>
          <cell r="J31">
            <v>372607354.50000006</v>
          </cell>
          <cell r="L31">
            <v>217940739.74000007</v>
          </cell>
          <cell r="N31">
            <v>0</v>
          </cell>
          <cell r="P31">
            <v>0</v>
          </cell>
          <cell r="R31">
            <v>0</v>
          </cell>
          <cell r="T31">
            <v>0</v>
          </cell>
          <cell r="V31">
            <v>691828136.49000013</v>
          </cell>
          <cell r="X31">
            <v>407460658.86000007</v>
          </cell>
          <cell r="Z31">
            <v>0</v>
          </cell>
        </row>
        <row r="32">
          <cell r="D32">
            <v>635345.55999999994</v>
          </cell>
          <cell r="F32">
            <v>2880104.8200000003</v>
          </cell>
          <cell r="H32">
            <v>97764591.86999999</v>
          </cell>
          <cell r="J32">
            <v>351155536.10728908</v>
          </cell>
          <cell r="L32">
            <v>174146707.86000007</v>
          </cell>
          <cell r="N32">
            <v>0</v>
          </cell>
          <cell r="P32">
            <v>0</v>
          </cell>
          <cell r="R32">
            <v>0</v>
          </cell>
          <cell r="T32">
            <v>0</v>
          </cell>
          <cell r="V32">
            <v>626582286.21728921</v>
          </cell>
          <cell r="X32">
            <v>350486235.86728907</v>
          </cell>
          <cell r="Z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row>
        <row r="38">
          <cell r="C38">
            <v>0</v>
          </cell>
          <cell r="D38">
            <v>0</v>
          </cell>
          <cell r="E38">
            <v>0</v>
          </cell>
          <cell r="F38">
            <v>0</v>
          </cell>
          <cell r="G38">
            <v>0</v>
          </cell>
          <cell r="H38">
            <v>0</v>
          </cell>
          <cell r="I38">
            <v>0</v>
          </cell>
          <cell r="J38">
            <v>0</v>
          </cell>
          <cell r="K38">
            <v>7728751.9969629999</v>
          </cell>
          <cell r="L38">
            <v>7728751.9969629999</v>
          </cell>
          <cell r="M38">
            <v>7728751.9969629999</v>
          </cell>
          <cell r="N38">
            <v>7728751.9969629999</v>
          </cell>
          <cell r="O38">
            <v>0</v>
          </cell>
          <cell r="P38">
            <v>0</v>
          </cell>
          <cell r="Q38">
            <v>0</v>
          </cell>
          <cell r="R38">
            <v>0</v>
          </cell>
          <cell r="S38">
            <v>0</v>
          </cell>
          <cell r="T38">
            <v>0</v>
          </cell>
          <cell r="U38">
            <v>7728751.9969629999</v>
          </cell>
          <cell r="V38">
            <v>7728751.9969629999</v>
          </cell>
          <cell r="W38">
            <v>7728751.9969629999</v>
          </cell>
          <cell r="X38">
            <v>7728751.9969629999</v>
          </cell>
          <cell r="Y38">
            <v>0</v>
          </cell>
          <cell r="Z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row>
        <row r="42">
          <cell r="C42">
            <v>0</v>
          </cell>
          <cell r="D42">
            <v>0</v>
          </cell>
          <cell r="E42">
            <v>0</v>
          </cell>
          <cell r="F42">
            <v>0</v>
          </cell>
          <cell r="G42">
            <v>0</v>
          </cell>
          <cell r="H42">
            <v>0</v>
          </cell>
          <cell r="I42">
            <v>0</v>
          </cell>
          <cell r="J42">
            <v>0</v>
          </cell>
          <cell r="K42">
            <v>7728751.9969629999</v>
          </cell>
          <cell r="L42">
            <v>7728751.9969629999</v>
          </cell>
          <cell r="M42">
            <v>7728751.9969629999</v>
          </cell>
          <cell r="N42">
            <v>7728751.9969629999</v>
          </cell>
          <cell r="O42">
            <v>0</v>
          </cell>
          <cell r="P42">
            <v>0</v>
          </cell>
          <cell r="Q42">
            <v>0</v>
          </cell>
          <cell r="R42">
            <v>0</v>
          </cell>
          <cell r="S42">
            <v>0</v>
          </cell>
          <cell r="T42">
            <v>0</v>
          </cell>
          <cell r="U42">
            <v>7728751.9969629999</v>
          </cell>
          <cell r="V42">
            <v>7728751.9969629999</v>
          </cell>
          <cell r="W42">
            <v>7728751.9969629999</v>
          </cell>
          <cell r="X42">
            <v>7728751.9969629999</v>
          </cell>
          <cell r="Y42">
            <v>0</v>
          </cell>
          <cell r="Z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C48">
            <v>0</v>
          </cell>
          <cell r="D48">
            <v>0</v>
          </cell>
          <cell r="E48">
            <v>0</v>
          </cell>
          <cell r="F48">
            <v>0</v>
          </cell>
          <cell r="G48">
            <v>0</v>
          </cell>
          <cell r="H48">
            <v>0</v>
          </cell>
          <cell r="I48">
            <v>1112557441.0999999</v>
          </cell>
          <cell r="J48">
            <v>1112557441.0999999</v>
          </cell>
          <cell r="K48">
            <v>0</v>
          </cell>
          <cell r="L48">
            <v>0</v>
          </cell>
          <cell r="M48">
            <v>0</v>
          </cell>
          <cell r="N48">
            <v>0</v>
          </cell>
          <cell r="O48">
            <v>0</v>
          </cell>
          <cell r="P48">
            <v>0</v>
          </cell>
          <cell r="Q48">
            <v>0</v>
          </cell>
          <cell r="R48">
            <v>0</v>
          </cell>
          <cell r="S48">
            <v>0</v>
          </cell>
          <cell r="T48">
            <v>0</v>
          </cell>
          <cell r="U48">
            <v>1112557441.0999999</v>
          </cell>
          <cell r="V48">
            <v>1112557441.0999999</v>
          </cell>
          <cell r="W48">
            <v>1112557441.0999999</v>
          </cell>
          <cell r="X48">
            <v>1112557441.0999999</v>
          </cell>
          <cell r="Y48">
            <v>0</v>
          </cell>
          <cell r="Z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row>
        <row r="52">
          <cell r="C52">
            <v>0</v>
          </cell>
          <cell r="D52">
            <v>0</v>
          </cell>
          <cell r="E52">
            <v>0</v>
          </cell>
          <cell r="F52">
            <v>0</v>
          </cell>
          <cell r="G52">
            <v>0</v>
          </cell>
          <cell r="H52">
            <v>0</v>
          </cell>
          <cell r="I52">
            <v>1112557441.0999999</v>
          </cell>
          <cell r="J52">
            <v>1112557441.0999999</v>
          </cell>
          <cell r="K52">
            <v>0</v>
          </cell>
          <cell r="L52">
            <v>0</v>
          </cell>
          <cell r="M52">
            <v>0</v>
          </cell>
          <cell r="N52">
            <v>0</v>
          </cell>
          <cell r="O52">
            <v>0</v>
          </cell>
          <cell r="P52">
            <v>0</v>
          </cell>
          <cell r="Q52">
            <v>0</v>
          </cell>
          <cell r="R52">
            <v>0</v>
          </cell>
          <cell r="S52">
            <v>0</v>
          </cell>
          <cell r="T52">
            <v>0</v>
          </cell>
          <cell r="U52">
            <v>1112557441.0999999</v>
          </cell>
          <cell r="V52">
            <v>1112557441.0999999</v>
          </cell>
          <cell r="W52">
            <v>1112557441.0999999</v>
          </cell>
          <cell r="X52">
            <v>1112557441.0999999</v>
          </cell>
          <cell r="Y52">
            <v>0</v>
          </cell>
          <cell r="Z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C61">
            <v>211686742.49023554</v>
          </cell>
          <cell r="D61">
            <v>211686742.49023554</v>
          </cell>
          <cell r="E61">
            <v>24046020.500001155</v>
          </cell>
          <cell r="F61">
            <v>24046020.500001155</v>
          </cell>
          <cell r="G61">
            <v>35186512.710004985</v>
          </cell>
          <cell r="H61">
            <v>35186512.710004985</v>
          </cell>
          <cell r="I61">
            <v>126640.03999999957</v>
          </cell>
          <cell r="J61">
            <v>126640.03999999957</v>
          </cell>
          <cell r="K61">
            <v>11737872.333708001</v>
          </cell>
          <cell r="L61">
            <v>11737872.333708001</v>
          </cell>
          <cell r="M61">
            <v>1453959.9988650002</v>
          </cell>
          <cell r="N61">
            <v>1453959.9988650002</v>
          </cell>
          <cell r="O61">
            <v>1130756.24</v>
          </cell>
          <cell r="P61">
            <v>1130756.24</v>
          </cell>
          <cell r="Q61">
            <v>0</v>
          </cell>
          <cell r="R61">
            <v>0</v>
          </cell>
          <cell r="S61">
            <v>351815502.32178694</v>
          </cell>
          <cell r="T61">
            <v>351815502.32178694</v>
          </cell>
          <cell r="U61">
            <v>635730046.6357367</v>
          </cell>
          <cell r="V61">
            <v>635730046.6357367</v>
          </cell>
          <cell r="W61">
            <v>1453959.9988650004</v>
          </cell>
          <cell r="X61">
            <v>1453959.9988650004</v>
          </cell>
          <cell r="Y61">
            <v>0</v>
          </cell>
          <cell r="Z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row>
        <row r="65">
          <cell r="C65">
            <v>0</v>
          </cell>
          <cell r="D65">
            <v>0</v>
          </cell>
          <cell r="E65">
            <v>0</v>
          </cell>
          <cell r="F65">
            <v>0</v>
          </cell>
          <cell r="G65">
            <v>0</v>
          </cell>
          <cell r="H65">
            <v>0</v>
          </cell>
          <cell r="I65">
            <v>1970351795</v>
          </cell>
          <cell r="J65">
            <v>1970351795</v>
          </cell>
          <cell r="K65">
            <v>0</v>
          </cell>
          <cell r="L65">
            <v>0</v>
          </cell>
          <cell r="M65">
            <v>0</v>
          </cell>
          <cell r="N65">
            <v>0</v>
          </cell>
          <cell r="O65">
            <v>0</v>
          </cell>
          <cell r="P65">
            <v>0</v>
          </cell>
          <cell r="Q65">
            <v>0</v>
          </cell>
          <cell r="R65">
            <v>0</v>
          </cell>
          <cell r="S65">
            <v>0</v>
          </cell>
          <cell r="T65">
            <v>0</v>
          </cell>
          <cell r="U65">
            <v>1970351795</v>
          </cell>
          <cell r="V65">
            <v>1970351795</v>
          </cell>
          <cell r="W65">
            <v>1970351795</v>
          </cell>
          <cell r="X65">
            <v>1970351795</v>
          </cell>
          <cell r="Y65">
            <v>0</v>
          </cell>
          <cell r="Z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row>
        <row r="68">
          <cell r="C68">
            <v>0</v>
          </cell>
          <cell r="D68">
            <v>0</v>
          </cell>
          <cell r="E68">
            <v>0</v>
          </cell>
          <cell r="F68">
            <v>0</v>
          </cell>
          <cell r="G68">
            <v>0</v>
          </cell>
          <cell r="H68">
            <v>0</v>
          </cell>
          <cell r="I68">
            <v>400000000</v>
          </cell>
          <cell r="J68">
            <v>400000000</v>
          </cell>
          <cell r="K68">
            <v>0</v>
          </cell>
          <cell r="L68">
            <v>0</v>
          </cell>
          <cell r="M68">
            <v>0</v>
          </cell>
          <cell r="N68">
            <v>0</v>
          </cell>
          <cell r="O68">
            <v>0</v>
          </cell>
          <cell r="P68">
            <v>0</v>
          </cell>
          <cell r="Q68">
            <v>0</v>
          </cell>
          <cell r="R68">
            <v>0</v>
          </cell>
          <cell r="S68">
            <v>0</v>
          </cell>
          <cell r="T68">
            <v>0</v>
          </cell>
          <cell r="U68">
            <v>400000000</v>
          </cell>
          <cell r="V68">
            <v>400000000</v>
          </cell>
          <cell r="W68">
            <v>400000000</v>
          </cell>
          <cell r="X68">
            <v>400000000</v>
          </cell>
          <cell r="Y68">
            <v>0</v>
          </cell>
          <cell r="Z68">
            <v>0</v>
          </cell>
        </row>
        <row r="70">
          <cell r="C70">
            <v>7734845.1399999997</v>
          </cell>
          <cell r="D70">
            <v>7734845.1399999997</v>
          </cell>
          <cell r="E70">
            <v>0</v>
          </cell>
          <cell r="F70">
            <v>0</v>
          </cell>
          <cell r="G70">
            <v>0</v>
          </cell>
          <cell r="H70">
            <v>0</v>
          </cell>
          <cell r="I70">
            <v>205321008</v>
          </cell>
          <cell r="J70">
            <v>205321008</v>
          </cell>
          <cell r="K70">
            <v>0</v>
          </cell>
          <cell r="L70">
            <v>0</v>
          </cell>
          <cell r="M70">
            <v>0</v>
          </cell>
          <cell r="N70">
            <v>0</v>
          </cell>
          <cell r="O70">
            <v>0</v>
          </cell>
          <cell r="P70">
            <v>0</v>
          </cell>
          <cell r="Q70">
            <v>0</v>
          </cell>
          <cell r="R70">
            <v>0</v>
          </cell>
          <cell r="S70">
            <v>0</v>
          </cell>
          <cell r="T70">
            <v>0</v>
          </cell>
          <cell r="U70">
            <v>213055853.13999999</v>
          </cell>
          <cell r="V70">
            <v>213055853.13999999</v>
          </cell>
          <cell r="W70">
            <v>205321008</v>
          </cell>
          <cell r="X70">
            <v>205321008</v>
          </cell>
          <cell r="Y70">
            <v>0</v>
          </cell>
          <cell r="Z70">
            <v>0</v>
          </cell>
        </row>
        <row r="72">
          <cell r="C72">
            <v>2001882721</v>
          </cell>
          <cell r="E72">
            <v>4000541686.2469144</v>
          </cell>
          <cell r="G72">
            <v>3041473699.7530851</v>
          </cell>
          <cell r="I72">
            <v>463208702</v>
          </cell>
          <cell r="K72">
            <v>292919673</v>
          </cell>
          <cell r="O72">
            <v>388732203</v>
          </cell>
          <cell r="U72">
            <v>10188758685</v>
          </cell>
          <cell r="W72">
            <v>325076269.58999997</v>
          </cell>
        </row>
        <row r="73">
          <cell r="C73">
            <v>0</v>
          </cell>
          <cell r="E73">
            <v>4688281.4820869248</v>
          </cell>
          <cell r="G73">
            <v>3564338.5179130747</v>
          </cell>
          <cell r="K73">
            <v>303035096</v>
          </cell>
          <cell r="O73">
            <v>130000000</v>
          </cell>
          <cell r="U73">
            <v>441287716</v>
          </cell>
          <cell r="W73">
            <v>1759713770.2677603</v>
          </cell>
        </row>
        <row r="74">
          <cell r="C74">
            <v>8463361602</v>
          </cell>
          <cell r="E74">
            <v>1565652391.7327411</v>
          </cell>
          <cell r="G74">
            <v>1190311449.2672586</v>
          </cell>
          <cell r="I74">
            <v>140972216</v>
          </cell>
          <cell r="K74">
            <v>2558912249</v>
          </cell>
          <cell r="O74">
            <v>638922801</v>
          </cell>
          <cell r="U74">
            <v>14558132709</v>
          </cell>
          <cell r="W74">
            <v>0</v>
          </cell>
        </row>
        <row r="75">
          <cell r="U75">
            <v>0</v>
          </cell>
          <cell r="W75">
            <v>0</v>
          </cell>
        </row>
        <row r="76">
          <cell r="C76">
            <v>389747240</v>
          </cell>
          <cell r="E76">
            <v>1013279892.2703751</v>
          </cell>
          <cell r="G76">
            <v>600000000</v>
          </cell>
          <cell r="I76">
            <v>13064116627.068466</v>
          </cell>
          <cell r="K76">
            <v>10066054678.960443</v>
          </cell>
          <cell r="M76">
            <v>10000000000</v>
          </cell>
          <cell r="O76">
            <v>0</v>
          </cell>
          <cell r="U76">
            <v>25133198438.299286</v>
          </cell>
          <cell r="W76">
            <v>22006548721.780636</v>
          </cell>
        </row>
        <row r="77">
          <cell r="U77">
            <v>3825068946</v>
          </cell>
        </row>
        <row r="78">
          <cell r="U78">
            <v>55932173227</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01"/>
      <sheetName val="C02"/>
      <sheetName val="C03"/>
      <sheetName val="C04"/>
      <sheetName val="C05"/>
      <sheetName val="C 47.00"/>
      <sheetName val="C 01.00"/>
      <sheetName val="C 02.00"/>
      <sheetName val="C 03.00"/>
    </sheetNames>
    <sheetDataSet>
      <sheetData sheetId="0">
        <row r="7">
          <cell r="D7">
            <v>3424222367.3299999</v>
          </cell>
        </row>
        <row r="8">
          <cell r="D8">
            <v>3149896277.0700002</v>
          </cell>
        </row>
        <row r="9">
          <cell r="D9">
            <v>2749896277.0700002</v>
          </cell>
        </row>
      </sheetData>
      <sheetData sheetId="1">
        <row r="7">
          <cell r="D7">
            <v>16258216573.253201</v>
          </cell>
        </row>
      </sheetData>
      <sheetData sheetId="2"/>
      <sheetData sheetId="3">
        <row r="113">
          <cell r="D113">
            <v>489701593.98938</v>
          </cell>
        </row>
      </sheetData>
      <sheetData sheetId="4">
        <row r="8">
          <cell r="G8">
            <v>738739559.67415905</v>
          </cell>
        </row>
      </sheetData>
      <sheetData sheetId="5">
        <row r="70">
          <cell r="D70">
            <v>57031036917.6828</v>
          </cell>
        </row>
        <row r="71">
          <cell r="D71">
            <v>57167849066.952797</v>
          </cell>
        </row>
      </sheetData>
      <sheetData sheetId="6">
        <row r="9">
          <cell r="D9">
            <v>2707748063.1788001</v>
          </cell>
        </row>
      </sheetData>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1"/>
  <sheetViews>
    <sheetView workbookViewId="0">
      <selection sqref="A1:C1"/>
    </sheetView>
  </sheetViews>
  <sheetFormatPr defaultRowHeight="15" x14ac:dyDescent="0.25"/>
  <sheetData>
    <row r="1" spans="1:3" ht="19.5" x14ac:dyDescent="0.3">
      <c r="A1" s="92" t="s">
        <v>365</v>
      </c>
      <c r="B1" s="93"/>
      <c r="C1" s="93"/>
    </row>
  </sheetData>
  <mergeCells count="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AG92"/>
  <sheetViews>
    <sheetView zoomScale="70" zoomScaleNormal="70" workbookViewId="0">
      <pane xSplit="3" ySplit="8" topLeftCell="L9" activePane="bottomRight" state="frozen"/>
      <selection pane="topRight" activeCell="D1" sqref="D1"/>
      <selection pane="bottomLeft" activeCell="A9" sqref="A9"/>
      <selection pane="bottomRight" activeCell="R2" sqref="R2"/>
    </sheetView>
  </sheetViews>
  <sheetFormatPr defaultRowHeight="15" outlineLevelRow="2" x14ac:dyDescent="0.25"/>
  <cols>
    <col min="1" max="1" width="5.7109375" customWidth="1"/>
    <col min="2" max="2" width="60.7109375" customWidth="1"/>
    <col min="3" max="3" width="5" bestFit="1" customWidth="1"/>
    <col min="4" max="13" width="20.7109375" customWidth="1"/>
    <col min="14" max="14" width="20.7109375" style="70" customWidth="1"/>
    <col min="15" max="15" width="20.7109375" customWidth="1"/>
    <col min="16" max="18" width="25.7109375" customWidth="1"/>
    <col min="19" max="19" width="18.140625" bestFit="1" customWidth="1"/>
    <col min="20" max="20" width="18.85546875" bestFit="1" customWidth="1"/>
    <col min="21" max="23" width="25.7109375" customWidth="1"/>
    <col min="24" max="24" width="19.5703125" bestFit="1" customWidth="1"/>
    <col min="25" max="26" width="25.7109375" customWidth="1"/>
    <col min="27" max="27" width="18.28515625" bestFit="1" customWidth="1"/>
    <col min="28" max="31" width="25.7109375" customWidth="1"/>
    <col min="32" max="32" width="20.5703125" bestFit="1" customWidth="1"/>
    <col min="33" max="33" width="25.7109375" customWidth="1"/>
  </cols>
  <sheetData>
    <row r="1" spans="1:33" ht="14.45" customHeight="1" x14ac:dyDescent="0.25">
      <c r="A1" s="94" t="s">
        <v>121</v>
      </c>
      <c r="B1" s="95"/>
      <c r="C1" s="95"/>
      <c r="D1" s="95"/>
      <c r="E1" s="95"/>
      <c r="F1" s="95"/>
      <c r="G1" s="95"/>
      <c r="H1" s="95"/>
      <c r="I1" s="95"/>
      <c r="J1" s="95"/>
      <c r="K1" s="95"/>
      <c r="L1" s="95"/>
      <c r="M1" s="95"/>
      <c r="N1" s="95"/>
      <c r="O1" s="95"/>
      <c r="P1" s="1"/>
      <c r="Q1" s="1"/>
      <c r="R1" s="1"/>
      <c r="S1" s="1"/>
      <c r="T1" s="1"/>
      <c r="U1" s="1"/>
      <c r="V1" s="1"/>
      <c r="W1" s="1"/>
      <c r="X1" s="1"/>
      <c r="Y1" s="1"/>
      <c r="Z1" s="1"/>
      <c r="AA1" s="1"/>
      <c r="AB1" s="1"/>
      <c r="AC1" s="1"/>
      <c r="AD1" s="1"/>
      <c r="AE1" s="1"/>
      <c r="AF1" s="1"/>
      <c r="AG1" s="1"/>
    </row>
    <row r="2" spans="1:33" ht="14.45" customHeight="1" x14ac:dyDescent="0.25">
      <c r="D2" s="70">
        <f>+SUM(D10:D20)</f>
        <v>19953512555.832539</v>
      </c>
      <c r="E2" s="70">
        <f t="shared" ref="E2:O2" si="0">+SUM(E10:E20)</f>
        <v>2407846366.8170595</v>
      </c>
      <c r="F2" s="70">
        <f t="shared" si="0"/>
        <v>344009656.82928103</v>
      </c>
      <c r="G2" s="70">
        <f t="shared" si="0"/>
        <v>5581921541.8672581</v>
      </c>
      <c r="H2" s="70">
        <f t="shared" si="0"/>
        <v>228505372.78226304</v>
      </c>
      <c r="I2" s="70">
        <f t="shared" si="0"/>
        <v>228505372.78226304</v>
      </c>
      <c r="J2" s="70">
        <f t="shared" si="0"/>
        <v>4383796309.9034014</v>
      </c>
      <c r="K2" s="70">
        <f t="shared" si="0"/>
        <v>0</v>
      </c>
      <c r="L2" s="70">
        <f t="shared" si="0"/>
        <v>0</v>
      </c>
      <c r="M2" s="70">
        <f t="shared" si="0"/>
        <v>32899591804.031799</v>
      </c>
      <c r="N2" s="70">
        <f t="shared" si="0"/>
        <v>228505372.78226304</v>
      </c>
      <c r="O2" s="70">
        <f t="shared" si="0"/>
        <v>0</v>
      </c>
      <c r="P2" s="110">
        <f>+M2+M3+M74</f>
        <v>52041858430.217293</v>
      </c>
      <c r="Q2" s="110">
        <v>52107104281</v>
      </c>
      <c r="R2" s="110">
        <f>+P2-Q2</f>
        <v>-65245850.782707214</v>
      </c>
      <c r="S2" s="1"/>
      <c r="T2" s="1"/>
      <c r="U2" s="1"/>
      <c r="V2" s="1"/>
      <c r="W2" s="1"/>
      <c r="X2" s="1"/>
      <c r="Y2" s="1"/>
      <c r="Z2" s="1"/>
      <c r="AA2" s="1"/>
      <c r="AB2" s="1"/>
      <c r="AC2" s="1"/>
      <c r="AD2" s="1"/>
      <c r="AE2" s="1"/>
      <c r="AF2" s="1"/>
      <c r="AG2" s="1"/>
    </row>
    <row r="3" spans="1:33" ht="14.45" customHeight="1" x14ac:dyDescent="0.25">
      <c r="D3" s="70">
        <f>+D22+D27+D36+D42+D47+D52+D57+D62+D65+D66</f>
        <v>5978392863.9835539</v>
      </c>
      <c r="E3" s="70">
        <f t="shared" ref="E3:O3" si="1">+E22+E27+E36+E42+E47+E52+E57+E62+E65+E66</f>
        <v>4990596224.6980324</v>
      </c>
      <c r="F3" s="70">
        <f t="shared" si="1"/>
        <v>3518425808.8592572</v>
      </c>
      <c r="G3" s="70">
        <f t="shared" si="1"/>
        <v>2006597382.8082728</v>
      </c>
      <c r="H3" s="70">
        <f t="shared" si="1"/>
        <v>920741361.72006536</v>
      </c>
      <c r="I3" s="70">
        <f t="shared" si="1"/>
        <v>9182714.2158279996</v>
      </c>
      <c r="J3" s="70">
        <f t="shared" si="1"/>
        <v>1162641628.6545246</v>
      </c>
      <c r="K3" s="70">
        <f t="shared" si="1"/>
        <v>0</v>
      </c>
      <c r="L3" s="70">
        <f t="shared" si="1"/>
        <v>351815502.32178694</v>
      </c>
      <c r="M3" s="70">
        <f t="shared" si="1"/>
        <v>18929210773.045494</v>
      </c>
      <c r="N3" s="70">
        <f t="shared" si="1"/>
        <v>2282898282.8510132</v>
      </c>
      <c r="O3" s="70">
        <f t="shared" si="1"/>
        <v>0</v>
      </c>
      <c r="P3" s="1"/>
      <c r="Q3" s="1"/>
      <c r="R3" s="1"/>
      <c r="S3" s="1"/>
      <c r="T3" s="1"/>
      <c r="U3" s="1"/>
      <c r="V3" s="1"/>
      <c r="W3" s="1"/>
      <c r="X3" s="1"/>
      <c r="Y3" s="1"/>
      <c r="Z3" s="1"/>
      <c r="AA3" s="1"/>
      <c r="AB3" s="1"/>
      <c r="AC3" s="1"/>
      <c r="AD3" s="1"/>
      <c r="AE3" s="1"/>
      <c r="AF3" s="1"/>
      <c r="AG3" s="1"/>
    </row>
    <row r="4" spans="1:33" ht="14.45" customHeight="1" x14ac:dyDescent="0.25">
      <c r="D4" s="96" t="s">
        <v>1</v>
      </c>
      <c r="E4" s="96"/>
      <c r="F4" s="96"/>
      <c r="G4" s="96"/>
      <c r="H4" s="96"/>
      <c r="I4" s="96"/>
      <c r="J4" s="96"/>
      <c r="K4" s="96"/>
      <c r="L4" s="96"/>
      <c r="M4" s="96"/>
      <c r="N4" s="96"/>
      <c r="O4" s="96"/>
      <c r="P4" s="1"/>
      <c r="Q4" s="1"/>
      <c r="R4" s="1"/>
      <c r="S4" s="1"/>
      <c r="T4" s="1"/>
      <c r="U4" s="1"/>
      <c r="V4" s="1"/>
      <c r="W4" s="1"/>
      <c r="X4" s="1"/>
      <c r="Y4" s="1"/>
      <c r="Z4" s="1"/>
      <c r="AA4" s="1"/>
      <c r="AB4" s="1"/>
      <c r="AC4" s="1"/>
      <c r="AD4" s="1"/>
      <c r="AE4" s="1"/>
      <c r="AF4" s="1"/>
      <c r="AG4" s="1"/>
    </row>
    <row r="5" spans="1:33" ht="28.9" customHeight="1" x14ac:dyDescent="0.25">
      <c r="D5" s="2" t="s">
        <v>122</v>
      </c>
      <c r="E5" s="2" t="s">
        <v>123</v>
      </c>
      <c r="F5" s="2" t="s">
        <v>124</v>
      </c>
      <c r="G5" s="2" t="s">
        <v>125</v>
      </c>
      <c r="H5" s="97" t="s">
        <v>126</v>
      </c>
      <c r="I5" s="98"/>
      <c r="J5" s="2" t="s">
        <v>127</v>
      </c>
      <c r="K5" s="2" t="s">
        <v>128</v>
      </c>
      <c r="L5" s="2" t="s">
        <v>129</v>
      </c>
      <c r="M5" s="97" t="s">
        <v>130</v>
      </c>
      <c r="N5" s="99"/>
      <c r="O5" s="98"/>
      <c r="P5" s="1"/>
      <c r="Q5" s="1"/>
      <c r="R5" s="1"/>
      <c r="S5" s="1"/>
      <c r="T5" s="1"/>
      <c r="U5" s="1"/>
      <c r="V5" s="1"/>
      <c r="W5" s="1"/>
      <c r="X5" s="1"/>
      <c r="Y5" s="1"/>
      <c r="Z5" s="1"/>
      <c r="AA5" s="1"/>
      <c r="AB5" s="1"/>
      <c r="AC5" s="1"/>
      <c r="AD5" s="1"/>
      <c r="AE5" s="1"/>
      <c r="AF5" s="1"/>
      <c r="AG5" s="1"/>
    </row>
    <row r="6" spans="1:33" ht="57.6" customHeight="1" x14ac:dyDescent="0.25">
      <c r="D6" s="10" t="s">
        <v>131</v>
      </c>
      <c r="E6" s="10" t="s">
        <v>131</v>
      </c>
      <c r="F6" s="10" t="s">
        <v>131</v>
      </c>
      <c r="G6" s="10" t="s">
        <v>131</v>
      </c>
      <c r="H6" s="10" t="s">
        <v>131</v>
      </c>
      <c r="I6" s="2" t="s">
        <v>132</v>
      </c>
      <c r="J6" s="10" t="s">
        <v>131</v>
      </c>
      <c r="K6" s="10" t="s">
        <v>131</v>
      </c>
      <c r="L6" s="10" t="s">
        <v>131</v>
      </c>
      <c r="M6" s="10" t="s">
        <v>131</v>
      </c>
      <c r="N6" s="80" t="s">
        <v>133</v>
      </c>
      <c r="O6" s="2" t="s">
        <v>134</v>
      </c>
    </row>
    <row r="7" spans="1:33" ht="14.45" customHeight="1" x14ac:dyDescent="0.25">
      <c r="D7" s="11"/>
      <c r="E7" s="11"/>
      <c r="F7" s="11"/>
      <c r="G7" s="11"/>
      <c r="H7" s="11"/>
      <c r="I7" s="2" t="s">
        <v>131</v>
      </c>
      <c r="J7" s="11"/>
      <c r="K7" s="11"/>
      <c r="L7" s="11"/>
      <c r="M7" s="11"/>
      <c r="N7" s="80" t="s">
        <v>131</v>
      </c>
      <c r="O7" s="2" t="s">
        <v>131</v>
      </c>
    </row>
    <row r="8" spans="1:33" ht="15" customHeight="1" thickBot="1" x14ac:dyDescent="0.3">
      <c r="D8" s="3" t="s">
        <v>135</v>
      </c>
      <c r="E8" s="3" t="s">
        <v>136</v>
      </c>
      <c r="F8" s="3" t="s">
        <v>137</v>
      </c>
      <c r="G8" s="3" t="s">
        <v>138</v>
      </c>
      <c r="H8" s="3" t="s">
        <v>139</v>
      </c>
      <c r="I8" s="3" t="s">
        <v>140</v>
      </c>
      <c r="J8" s="3" t="s">
        <v>141</v>
      </c>
      <c r="K8" s="3" t="s">
        <v>142</v>
      </c>
      <c r="L8" s="3" t="s">
        <v>143</v>
      </c>
      <c r="M8" s="3" t="s">
        <v>144</v>
      </c>
      <c r="N8" s="81" t="s">
        <v>145</v>
      </c>
      <c r="O8" s="3" t="s">
        <v>146</v>
      </c>
      <c r="P8" s="1"/>
      <c r="Q8" s="1"/>
      <c r="R8" s="1"/>
      <c r="S8" s="1"/>
      <c r="T8" s="1"/>
      <c r="U8" s="1"/>
      <c r="V8" s="1"/>
      <c r="W8" s="1"/>
      <c r="X8" s="1"/>
      <c r="Y8" s="1"/>
      <c r="Z8" s="1"/>
      <c r="AA8" s="1"/>
      <c r="AB8" s="1"/>
      <c r="AC8" s="1"/>
      <c r="AD8" s="1"/>
      <c r="AE8" s="1"/>
      <c r="AF8" s="1"/>
      <c r="AG8" s="1"/>
    </row>
    <row r="9" spans="1:33" ht="14.45" customHeight="1" x14ac:dyDescent="0.25">
      <c r="B9" s="13" t="s">
        <v>147</v>
      </c>
      <c r="C9" s="5" t="s">
        <v>48</v>
      </c>
      <c r="D9" s="59">
        <f>+'[1]T01.00'!D5</f>
        <v>19953512555.832539</v>
      </c>
      <c r="E9" s="60">
        <f>+'[1]T01.00'!F5</f>
        <v>2407846366.8170595</v>
      </c>
      <c r="F9" s="60">
        <f>+'[1]T01.00'!H5</f>
        <v>344009656.82928103</v>
      </c>
      <c r="G9" s="60">
        <f>+G11+G14</f>
        <v>5581921541.8672581</v>
      </c>
      <c r="H9" s="60">
        <f>+'[1]T01.00'!L5</f>
        <v>228505372.78226304</v>
      </c>
      <c r="I9" s="61">
        <f>+'[1]T01.00'!N5</f>
        <v>228505372.78226304</v>
      </c>
      <c r="J9" s="60">
        <f>+J11+J18</f>
        <v>4383796309.9034014</v>
      </c>
      <c r="K9" s="60">
        <f>+'[1]T01.00'!R5</f>
        <v>0</v>
      </c>
      <c r="L9" s="60">
        <f>+'[1]T01.00'!T5</f>
        <v>0</v>
      </c>
      <c r="M9" s="60">
        <f>+'[1]T01.00'!V5</f>
        <v>32899591804.031799</v>
      </c>
      <c r="N9" s="60">
        <f>+'[1]T01.00'!X5</f>
        <v>228505372.78226304</v>
      </c>
      <c r="O9" s="62">
        <f>+'[1]T01.00'!Z5</f>
        <v>0</v>
      </c>
      <c r="P9" s="76"/>
      <c r="Q9" s="77"/>
      <c r="R9" s="91"/>
      <c r="S9" s="1"/>
      <c r="T9" s="1"/>
      <c r="U9" s="1"/>
      <c r="V9" s="1"/>
      <c r="W9" s="1"/>
      <c r="X9" s="1"/>
      <c r="Y9" s="1"/>
      <c r="Z9" s="1"/>
      <c r="AA9" s="1"/>
      <c r="AB9" s="1"/>
      <c r="AC9" s="1"/>
      <c r="AD9" s="22"/>
      <c r="AE9" s="1"/>
      <c r="AF9" s="23"/>
      <c r="AG9" s="1"/>
    </row>
    <row r="10" spans="1:33" ht="14.45" customHeight="1" outlineLevel="1" x14ac:dyDescent="0.25">
      <c r="B10" s="4" t="s">
        <v>148</v>
      </c>
      <c r="C10" s="5" t="s">
        <v>49</v>
      </c>
      <c r="D10" s="24">
        <f>+'[1]T01.00'!D6</f>
        <v>19686149648.378342</v>
      </c>
      <c r="E10" s="25">
        <f>+'[1]T01.00'!F6</f>
        <v>2407846366.8170595</v>
      </c>
      <c r="F10" s="25">
        <f>+'[1]T01.00'!H6</f>
        <v>344009656.82928103</v>
      </c>
      <c r="G10" s="82"/>
      <c r="H10" s="25">
        <f>+'[1]T01.00'!L6</f>
        <v>0</v>
      </c>
      <c r="I10" s="27">
        <f>+'[1]T01.00'!N6</f>
        <v>0</v>
      </c>
      <c r="J10" s="25">
        <f>+'[1]T01.00'!P6</f>
        <v>0</v>
      </c>
      <c r="K10" s="26"/>
      <c r="L10" s="25">
        <f>+'[1]T01.00'!T6</f>
        <v>0</v>
      </c>
      <c r="M10" s="25">
        <f>+'[1]T01.00'!V6</f>
        <v>22438005672.024681</v>
      </c>
      <c r="N10" s="69">
        <f>+'[1]T01.00'!X6</f>
        <v>0</v>
      </c>
      <c r="O10" s="28">
        <f>+'[1]T01.00'!Z6</f>
        <v>0</v>
      </c>
      <c r="P10" s="76"/>
      <c r="Q10" s="77"/>
      <c r="R10" s="91"/>
      <c r="S10" s="1"/>
      <c r="T10" s="1"/>
      <c r="U10" s="1"/>
      <c r="V10" s="29"/>
      <c r="W10" s="30"/>
      <c r="X10" s="1"/>
      <c r="Y10" s="1"/>
      <c r="Z10" s="31"/>
      <c r="AA10" s="1"/>
      <c r="AB10" s="1"/>
      <c r="AC10" s="1"/>
      <c r="AD10" s="22"/>
      <c r="AE10" s="1"/>
      <c r="AF10" s="23"/>
      <c r="AG10" s="1"/>
    </row>
    <row r="11" spans="1:33" ht="14.45" customHeight="1" outlineLevel="1" x14ac:dyDescent="0.25">
      <c r="B11" s="4" t="s">
        <v>149</v>
      </c>
      <c r="C11" s="5" t="s">
        <v>50</v>
      </c>
      <c r="D11" s="24">
        <f>+'[1]T01.00'!D7</f>
        <v>0</v>
      </c>
      <c r="E11" s="25">
        <f>+'[1]T01.00'!F7</f>
        <v>0</v>
      </c>
      <c r="F11" s="25">
        <f>+'[1]T01.00'!H7</f>
        <v>0</v>
      </c>
      <c r="G11" s="69">
        <f>+'[1]T01.00'!J7-515277902.06</f>
        <v>5353097418.0123491</v>
      </c>
      <c r="H11" s="25">
        <f>+'[1]T01.00'!L7</f>
        <v>0</v>
      </c>
      <c r="I11" s="27">
        <f>+'[1]T01.00'!N7</f>
        <v>0</v>
      </c>
      <c r="J11" s="69">
        <f>+'[1]T01.00'!P7+515277902.06</f>
        <v>4113714312.900001</v>
      </c>
      <c r="K11" s="25">
        <f>+'[1]T01.00'!R7</f>
        <v>0</v>
      </c>
      <c r="L11" s="25">
        <f>+'[1]T01.00'!T7</f>
        <v>0</v>
      </c>
      <c r="M11" s="25">
        <f>+'[1]T01.00'!V7</f>
        <v>9466811730.9123497</v>
      </c>
      <c r="N11" s="69">
        <f>+'[1]T01.00'!X7</f>
        <v>0</v>
      </c>
      <c r="O11" s="28">
        <f>+'[1]T01.00'!Z7</f>
        <v>0</v>
      </c>
      <c r="P11" s="21"/>
      <c r="Q11" s="77"/>
      <c r="R11" s="91"/>
      <c r="S11" s="1"/>
      <c r="T11" s="32"/>
      <c r="U11" s="1"/>
      <c r="V11" s="1"/>
      <c r="W11" s="1"/>
      <c r="X11" s="1"/>
      <c r="Y11" s="1"/>
      <c r="Z11" s="1"/>
      <c r="AA11" s="1"/>
      <c r="AB11" s="1"/>
      <c r="AC11" s="1"/>
      <c r="AD11" s="22"/>
      <c r="AE11" s="1"/>
      <c r="AF11" s="23"/>
      <c r="AG11" s="33"/>
    </row>
    <row r="12" spans="1:33" ht="14.45" customHeight="1" outlineLevel="1" x14ac:dyDescent="0.25">
      <c r="B12" s="4" t="s">
        <v>150</v>
      </c>
      <c r="C12" s="5" t="s">
        <v>51</v>
      </c>
      <c r="D12" s="24">
        <f>+'[1]T01.00'!D8</f>
        <v>0</v>
      </c>
      <c r="E12" s="25">
        <f>+'[1]T01.00'!F8</f>
        <v>0</v>
      </c>
      <c r="F12" s="25">
        <f>+'[1]T01.00'!H8</f>
        <v>0</v>
      </c>
      <c r="G12" s="69">
        <f>+'[1]T01.00'!J8</f>
        <v>0</v>
      </c>
      <c r="H12" s="25">
        <f>+'[1]T01.00'!L8</f>
        <v>0</v>
      </c>
      <c r="I12" s="27">
        <f>+'[1]T01.00'!N8</f>
        <v>0</v>
      </c>
      <c r="J12" s="25">
        <f>+'[1]T01.00'!P8</f>
        <v>0</v>
      </c>
      <c r="K12" s="25">
        <f>+'[1]T01.00'!R8</f>
        <v>0</v>
      </c>
      <c r="L12" s="25">
        <f>+'[1]T01.00'!T8</f>
        <v>0</v>
      </c>
      <c r="M12" s="25">
        <f>+'[1]T01.00'!V8</f>
        <v>0</v>
      </c>
      <c r="N12" s="69">
        <f>+'[1]T01.00'!X8</f>
        <v>0</v>
      </c>
      <c r="O12" s="28">
        <f>+'[1]T01.00'!Z8</f>
        <v>0</v>
      </c>
      <c r="P12" s="21"/>
      <c r="Q12" s="77"/>
      <c r="R12" s="91"/>
      <c r="S12" s="1"/>
      <c r="T12" s="1"/>
      <c r="U12" s="34"/>
      <c r="V12" s="1"/>
      <c r="W12" s="1"/>
      <c r="X12" s="1"/>
      <c r="Y12" s="1"/>
      <c r="Z12" s="1"/>
      <c r="AA12" s="1"/>
      <c r="AB12" s="35"/>
      <c r="AC12" s="1"/>
      <c r="AD12" s="22"/>
      <c r="AE12" s="1"/>
      <c r="AF12" s="23"/>
      <c r="AG12" s="1"/>
    </row>
    <row r="13" spans="1:33" ht="14.45" customHeight="1" outlineLevel="1" x14ac:dyDescent="0.25">
      <c r="B13" s="4" t="s">
        <v>151</v>
      </c>
      <c r="C13" s="5" t="s">
        <v>52</v>
      </c>
      <c r="D13" s="24">
        <f>+'[1]T01.00'!D9</f>
        <v>0</v>
      </c>
      <c r="E13" s="25">
        <f>+'[1]T01.00'!F9</f>
        <v>0</v>
      </c>
      <c r="F13" s="25">
        <f>+'[1]T01.00'!H9</f>
        <v>0</v>
      </c>
      <c r="G13" s="69">
        <f>+'[1]T01.00'!J9</f>
        <v>0</v>
      </c>
      <c r="H13" s="25">
        <f>+'[1]T01.00'!L9</f>
        <v>0</v>
      </c>
      <c r="I13" s="27">
        <f>+'[1]T01.00'!N9</f>
        <v>0</v>
      </c>
      <c r="J13" s="25">
        <f>+'[1]T01.00'!P9</f>
        <v>0</v>
      </c>
      <c r="K13" s="25">
        <f>+'[1]T01.00'!R9</f>
        <v>0</v>
      </c>
      <c r="L13" s="25">
        <f>+'[1]T01.00'!T9</f>
        <v>0</v>
      </c>
      <c r="M13" s="25">
        <f>+'[1]T01.00'!V9</f>
        <v>0</v>
      </c>
      <c r="N13" s="69">
        <f>+'[1]T01.00'!X9</f>
        <v>0</v>
      </c>
      <c r="O13" s="28">
        <f>+'[1]T01.00'!Z9</f>
        <v>0</v>
      </c>
      <c r="P13" s="21"/>
      <c r="Q13" s="77"/>
      <c r="R13" s="91"/>
      <c r="S13" s="1"/>
      <c r="T13" s="1"/>
      <c r="U13" s="1"/>
      <c r="V13" s="1"/>
      <c r="W13" s="1"/>
      <c r="X13" s="1"/>
      <c r="Y13" s="1"/>
      <c r="Z13" s="1"/>
      <c r="AA13" s="1"/>
      <c r="AB13" s="35"/>
      <c r="AC13" s="29"/>
      <c r="AD13" s="22"/>
      <c r="AE13" s="1"/>
      <c r="AF13" s="23"/>
      <c r="AG13" s="1"/>
    </row>
    <row r="14" spans="1:33" ht="14.45" customHeight="1" outlineLevel="1" x14ac:dyDescent="0.25">
      <c r="B14" s="4" t="s">
        <v>152</v>
      </c>
      <c r="C14" s="5" t="s">
        <v>53</v>
      </c>
      <c r="D14" s="36"/>
      <c r="E14" s="26"/>
      <c r="F14" s="26"/>
      <c r="G14" s="69">
        <f>+'[1]T01.00'!J10</f>
        <v>228824123.854909</v>
      </c>
      <c r="H14" s="25">
        <f>+'[1]T01.00'!L10</f>
        <v>0</v>
      </c>
      <c r="I14" s="27">
        <f>+'[1]T01.00'!N10</f>
        <v>0</v>
      </c>
      <c r="J14" s="26"/>
      <c r="K14" s="26"/>
      <c r="L14" s="26"/>
      <c r="M14" s="25">
        <f>+'[1]T01.00'!V10</f>
        <v>228824123.854909</v>
      </c>
      <c r="N14" s="82"/>
      <c r="O14" s="28">
        <f>+'[1]T01.00'!Z10</f>
        <v>0</v>
      </c>
      <c r="P14" s="21"/>
      <c r="Q14" s="77"/>
      <c r="R14" s="91"/>
      <c r="S14" s="1"/>
      <c r="T14" s="1"/>
      <c r="U14" s="34"/>
      <c r="V14" s="1"/>
      <c r="W14" s="1"/>
      <c r="X14" s="1"/>
      <c r="Y14" s="1"/>
      <c r="Z14" s="1"/>
      <c r="AA14" s="33"/>
      <c r="AB14" s="1"/>
      <c r="AC14" s="1"/>
      <c r="AD14" s="22"/>
      <c r="AE14" s="1"/>
      <c r="AF14" s="23"/>
      <c r="AG14" s="1"/>
    </row>
    <row r="15" spans="1:33" ht="14.45" customHeight="1" outlineLevel="1" x14ac:dyDescent="0.25">
      <c r="B15" s="4" t="s">
        <v>153</v>
      </c>
      <c r="C15" s="5" t="s">
        <v>154</v>
      </c>
      <c r="D15" s="26"/>
      <c r="E15" s="27">
        <f>+'[1]T01.00'!G11</f>
        <v>0</v>
      </c>
      <c r="F15" s="27">
        <f>+'[1]T01.00'!H11</f>
        <v>0</v>
      </c>
      <c r="G15" s="67">
        <f>+'[1]T01.00'!J11</f>
        <v>0</v>
      </c>
      <c r="H15" s="27">
        <f>+'[1]T01.00'!L11</f>
        <v>0</v>
      </c>
      <c r="I15" s="27">
        <f>+'[1]T01.00'!N11</f>
        <v>0</v>
      </c>
      <c r="J15" s="27">
        <f>+'[1]T01.00'!P11</f>
        <v>0</v>
      </c>
      <c r="K15" s="27">
        <f>+'[1]T01.00'!R11</f>
        <v>0</v>
      </c>
      <c r="L15" s="27">
        <f>+'[1]T01.00'!T11</f>
        <v>0</v>
      </c>
      <c r="M15" s="27">
        <f>+'[1]T01.00'!V11</f>
        <v>0</v>
      </c>
      <c r="N15" s="67">
        <f>+'[1]T01.00'!X11</f>
        <v>0</v>
      </c>
      <c r="O15" s="38">
        <f>+'[1]T01.00'!Z11</f>
        <v>0</v>
      </c>
      <c r="P15" s="21"/>
      <c r="Q15" s="77"/>
      <c r="R15" s="91"/>
      <c r="S15" s="1"/>
      <c r="T15" s="1"/>
      <c r="U15" s="34"/>
      <c r="V15" s="1"/>
      <c r="W15" s="1"/>
      <c r="X15" s="1"/>
      <c r="Y15" s="1"/>
      <c r="Z15" s="1"/>
      <c r="AA15" s="33"/>
      <c r="AB15" s="1"/>
      <c r="AC15" s="1"/>
      <c r="AD15" s="22"/>
      <c r="AE15" s="1"/>
      <c r="AF15" s="23"/>
      <c r="AG15" s="1"/>
    </row>
    <row r="16" spans="1:33" ht="14.45" customHeight="1" outlineLevel="1" x14ac:dyDescent="0.25">
      <c r="B16" s="4" t="s">
        <v>155</v>
      </c>
      <c r="C16" s="5" t="s">
        <v>55</v>
      </c>
      <c r="D16" s="24">
        <f>+'[1]T01.00'!D12</f>
        <v>219563514.4593057</v>
      </c>
      <c r="E16" s="26"/>
      <c r="F16" s="26"/>
      <c r="G16" s="82"/>
      <c r="H16" s="26"/>
      <c r="I16" s="26"/>
      <c r="J16" s="26"/>
      <c r="K16" s="26"/>
      <c r="L16" s="26"/>
      <c r="M16" s="25">
        <f>+'[1]T01.00'!V12</f>
        <v>219563514.4593057</v>
      </c>
      <c r="N16" s="82"/>
      <c r="O16" s="28">
        <f>+'[1]T01.00'!Z12</f>
        <v>0</v>
      </c>
      <c r="P16" s="21"/>
      <c r="Q16" s="77"/>
      <c r="R16" s="91"/>
      <c r="S16" s="1"/>
      <c r="T16" s="1"/>
      <c r="U16" s="34"/>
      <c r="V16" s="1"/>
      <c r="W16" s="1"/>
      <c r="X16" s="1"/>
      <c r="Y16" s="1"/>
      <c r="Z16" s="1"/>
      <c r="AA16" s="1"/>
      <c r="AB16" s="1"/>
      <c r="AC16" s="1"/>
      <c r="AD16" s="22"/>
      <c r="AE16" s="1"/>
      <c r="AF16" s="23"/>
      <c r="AG16" s="1"/>
    </row>
    <row r="17" spans="2:33" ht="14.45" customHeight="1" outlineLevel="1" x14ac:dyDescent="0.25">
      <c r="B17" s="4" t="s">
        <v>156</v>
      </c>
      <c r="C17" s="5" t="s">
        <v>56</v>
      </c>
      <c r="D17" s="24">
        <f>+'[1]T01.00'!D13</f>
        <v>47799392.994893998</v>
      </c>
      <c r="E17" s="25">
        <f>+'[1]T01.00'!F13</f>
        <v>0</v>
      </c>
      <c r="F17" s="25">
        <f>+'[1]T01.00'!H13</f>
        <v>0</v>
      </c>
      <c r="G17" s="69">
        <f>+'[1]T01.00'!J13</f>
        <v>0</v>
      </c>
      <c r="H17" s="25">
        <f>+'[1]T01.00'!L13</f>
        <v>0</v>
      </c>
      <c r="I17" s="27">
        <f>+'[1]T01.00'!N13</f>
        <v>0</v>
      </c>
      <c r="J17" s="25">
        <f>+'[1]T01.00'!P13</f>
        <v>0</v>
      </c>
      <c r="K17" s="25">
        <f>+'[1]T01.00'!R13</f>
        <v>0</v>
      </c>
      <c r="L17" s="25">
        <f>+'[1]T01.00'!T13</f>
        <v>0</v>
      </c>
      <c r="M17" s="25">
        <f>+'[1]T01.00'!V13</f>
        <v>47799392.994893998</v>
      </c>
      <c r="N17" s="69">
        <f>+'[1]T01.00'!X13</f>
        <v>0</v>
      </c>
      <c r="O17" s="28">
        <f>+'[1]T01.00'!Z13</f>
        <v>0</v>
      </c>
      <c r="P17" s="21"/>
      <c r="Q17" s="77"/>
      <c r="R17" s="91"/>
      <c r="S17" s="1"/>
      <c r="T17" s="1"/>
      <c r="U17" s="1"/>
      <c r="V17" s="1"/>
      <c r="W17" s="1"/>
      <c r="X17" s="1"/>
      <c r="Y17" s="1"/>
      <c r="Z17" s="1"/>
      <c r="AA17" s="1"/>
      <c r="AB17" s="1"/>
      <c r="AC17" s="29"/>
      <c r="AD17" s="22"/>
      <c r="AE17" s="1"/>
      <c r="AF17" s="23"/>
      <c r="AG17" s="1"/>
    </row>
    <row r="18" spans="2:33" ht="28.9" customHeight="1" outlineLevel="1" x14ac:dyDescent="0.25">
      <c r="B18" s="4" t="s">
        <v>157</v>
      </c>
      <c r="C18" s="5" t="s">
        <v>57</v>
      </c>
      <c r="D18" s="36"/>
      <c r="E18" s="26"/>
      <c r="F18" s="26"/>
      <c r="G18" s="82"/>
      <c r="H18" s="26"/>
      <c r="I18" s="26"/>
      <c r="J18" s="25">
        <f>+'[1]T01.00'!P14</f>
        <v>270081997.00340003</v>
      </c>
      <c r="K18" s="26"/>
      <c r="L18" s="26"/>
      <c r="M18" s="25">
        <f>+'[1]T01.00'!V14</f>
        <v>270081997.00340003</v>
      </c>
      <c r="N18" s="82"/>
      <c r="O18" s="39"/>
      <c r="P18" s="21"/>
      <c r="Q18" s="77"/>
      <c r="R18" s="91"/>
      <c r="S18" s="1"/>
      <c r="T18" s="1"/>
      <c r="U18" s="34"/>
      <c r="V18" s="1"/>
      <c r="W18" s="1"/>
      <c r="X18" s="1"/>
      <c r="Y18" s="1"/>
      <c r="Z18" s="1"/>
      <c r="AA18" s="1"/>
      <c r="AB18" s="35"/>
      <c r="AC18" s="1"/>
      <c r="AD18" s="22"/>
      <c r="AE18" s="1"/>
      <c r="AF18" s="23"/>
      <c r="AG18" s="1"/>
    </row>
    <row r="19" spans="2:33" ht="14.45" customHeight="1" outlineLevel="1" x14ac:dyDescent="0.25">
      <c r="B19" s="4" t="s">
        <v>158</v>
      </c>
      <c r="C19" s="5" t="s">
        <v>58</v>
      </c>
      <c r="D19" s="36"/>
      <c r="E19" s="25">
        <f>+'[1]T01.00'!F15</f>
        <v>0</v>
      </c>
      <c r="F19" s="25">
        <f>+'[1]T01.00'!H15</f>
        <v>0</v>
      </c>
      <c r="G19" s="69">
        <f>+'[1]T01.00'!J15</f>
        <v>0</v>
      </c>
      <c r="H19" s="25">
        <f>+'[1]T01.00'!L15</f>
        <v>0</v>
      </c>
      <c r="I19" s="27">
        <f>+'[1]T01.00'!N15</f>
        <v>0</v>
      </c>
      <c r="J19" s="25">
        <f>+'[1]T01.00'!P15</f>
        <v>0</v>
      </c>
      <c r="K19" s="26"/>
      <c r="L19" s="26"/>
      <c r="M19" s="25">
        <f>+'[1]T01.00'!V15</f>
        <v>0</v>
      </c>
      <c r="N19" s="69">
        <f>+'[1]T01.00'!X15</f>
        <v>0</v>
      </c>
      <c r="O19" s="28">
        <f>+'[1]T01.00'!Z15</f>
        <v>0</v>
      </c>
      <c r="P19" s="21"/>
      <c r="Q19" s="77"/>
      <c r="R19" s="91"/>
      <c r="S19" s="1"/>
      <c r="T19" s="1"/>
      <c r="U19" s="34"/>
      <c r="V19" s="1"/>
      <c r="W19" s="1"/>
      <c r="X19" s="1"/>
      <c r="Y19" s="1"/>
      <c r="Z19" s="1"/>
      <c r="AA19" s="1"/>
      <c r="AB19" s="1"/>
      <c r="AC19" s="1"/>
      <c r="AD19" s="22"/>
      <c r="AE19" s="1"/>
      <c r="AF19" s="23"/>
      <c r="AG19" s="1"/>
    </row>
    <row r="20" spans="2:33" ht="28.9" customHeight="1" outlineLevel="1" x14ac:dyDescent="0.25">
      <c r="B20" s="4" t="s">
        <v>159</v>
      </c>
      <c r="C20" s="5" t="s">
        <v>60</v>
      </c>
      <c r="D20" s="36"/>
      <c r="E20" s="26"/>
      <c r="F20" s="26"/>
      <c r="G20" s="67">
        <f>+'[1]T01.00'!J16</f>
        <v>0</v>
      </c>
      <c r="H20" s="27">
        <f>+'[1]T01.00'!L16</f>
        <v>228505372.78226304</v>
      </c>
      <c r="I20" s="27">
        <f>+'[1]T01.00'!N16</f>
        <v>228505372.78226304</v>
      </c>
      <c r="J20" s="26"/>
      <c r="K20" s="26"/>
      <c r="L20" s="26"/>
      <c r="M20" s="27">
        <f>+'[1]T01.00'!V16</f>
        <v>228505372.78226304</v>
      </c>
      <c r="N20" s="67">
        <f>+'[1]T01.00'!X16</f>
        <v>228505372.78226304</v>
      </c>
      <c r="O20" s="39"/>
      <c r="P20" s="21"/>
      <c r="Q20" s="77"/>
      <c r="R20" s="91"/>
      <c r="S20" s="1"/>
      <c r="T20" s="1"/>
      <c r="U20" s="34"/>
      <c r="V20" s="1"/>
      <c r="W20" s="1"/>
      <c r="X20" s="1"/>
      <c r="Y20" s="20"/>
      <c r="Z20" s="1"/>
      <c r="AA20" s="1"/>
      <c r="AB20" s="1"/>
      <c r="AC20" s="1"/>
      <c r="AD20" s="22"/>
      <c r="AE20" s="40"/>
      <c r="AF20" s="23"/>
      <c r="AG20" s="1"/>
    </row>
    <row r="21" spans="2:33" ht="14.45" customHeight="1" x14ac:dyDescent="0.25">
      <c r="B21" s="13" t="s">
        <v>160</v>
      </c>
      <c r="C21" s="5" t="s">
        <v>100</v>
      </c>
      <c r="D21" s="24">
        <f>+'[1]T01.00'!D17</f>
        <v>5978392863.9835539</v>
      </c>
      <c r="E21" s="25">
        <f>+'[1]T01.00'!F17</f>
        <v>4990596224.6980324</v>
      </c>
      <c r="F21" s="25">
        <f>+'[1]T01.00'!H17</f>
        <v>3518425808.8592572</v>
      </c>
      <c r="G21" s="69">
        <f>+'[1]T01.00'!J17</f>
        <v>2006597382.8082728</v>
      </c>
      <c r="H21" s="25">
        <f>+'[1]T01.00'!L17</f>
        <v>920741361.72006536</v>
      </c>
      <c r="I21" s="27">
        <f>+'[1]T01.00'!N17</f>
        <v>9182714.2158279996</v>
      </c>
      <c r="J21" s="25">
        <f>+'[1]T01.00'!P17</f>
        <v>1162641628.6545246</v>
      </c>
      <c r="K21" s="25">
        <f>+'[1]T01.00'!R17</f>
        <v>0</v>
      </c>
      <c r="L21" s="25">
        <f>+'[1]T01.00'!T17</f>
        <v>351815502.32178694</v>
      </c>
      <c r="M21" s="69">
        <f>+'[1]T01.00'!V17</f>
        <v>18929210773.045494</v>
      </c>
      <c r="N21" s="69">
        <f>+'[1]T01.00'!X17</f>
        <v>2282898282.8510132</v>
      </c>
      <c r="O21" s="28">
        <f>+'[1]T01.00'!Z17</f>
        <v>0</v>
      </c>
      <c r="P21" s="21"/>
      <c r="Q21" s="77"/>
      <c r="R21" s="91"/>
      <c r="S21" s="1"/>
      <c r="T21" s="1"/>
      <c r="U21" s="1"/>
      <c r="V21" s="1"/>
      <c r="W21" s="1"/>
      <c r="X21" s="1"/>
      <c r="Y21" s="1"/>
      <c r="Z21" s="1"/>
      <c r="AA21" s="1"/>
      <c r="AB21" s="1"/>
      <c r="AC21" s="1"/>
      <c r="AD21" s="22"/>
      <c r="AE21" s="1"/>
      <c r="AF21" s="1"/>
      <c r="AG21" s="1"/>
    </row>
    <row r="22" spans="2:33" ht="14.45" customHeight="1" outlineLevel="1" x14ac:dyDescent="0.25">
      <c r="B22" s="4" t="s">
        <v>161</v>
      </c>
      <c r="C22" s="5" t="s">
        <v>102</v>
      </c>
      <c r="D22" s="24">
        <f>+'[1]T01.00'!D18</f>
        <v>5766070775.9333181</v>
      </c>
      <c r="E22" s="25">
        <f>+'[1]T01.00'!F18</f>
        <v>4963670099.3780317</v>
      </c>
      <c r="F22" s="25">
        <f>+'[1]T01.00'!H18</f>
        <v>0</v>
      </c>
      <c r="G22" s="69">
        <f>+'[1]T01.00'!J18</f>
        <v>0</v>
      </c>
      <c r="H22" s="25">
        <f>+'[1]T01.00'!L18</f>
        <v>0</v>
      </c>
      <c r="I22" s="27">
        <f>+'[1]T01.00'!N18</f>
        <v>0</v>
      </c>
      <c r="J22" s="25">
        <f>+'[1]T01.00'!P18</f>
        <v>0</v>
      </c>
      <c r="K22" s="25">
        <f>+'[1]T01.00'!R18</f>
        <v>0</v>
      </c>
      <c r="L22" s="25">
        <f>+'[1]T01.00'!T18</f>
        <v>0</v>
      </c>
      <c r="M22" s="25">
        <f>+'[1]T01.00'!V18</f>
        <v>10729740875.31135</v>
      </c>
      <c r="N22" s="69">
        <f>+'[1]T01.00'!X18</f>
        <v>228523254.88226306</v>
      </c>
      <c r="O22" s="28">
        <f>+'[1]T01.00'!Z18</f>
        <v>0</v>
      </c>
      <c r="P22" s="21"/>
      <c r="Q22" s="77"/>
      <c r="R22" s="91"/>
      <c r="S22" s="1"/>
      <c r="T22" s="1"/>
      <c r="U22" s="1"/>
      <c r="V22" s="1"/>
      <c r="W22" s="1"/>
      <c r="X22" s="1"/>
      <c r="Y22" s="1"/>
      <c r="Z22" s="1"/>
      <c r="AA22" s="1"/>
      <c r="AB22" s="35"/>
      <c r="AC22" s="29"/>
      <c r="AD22" s="22"/>
      <c r="AE22" s="1"/>
      <c r="AF22" s="23"/>
      <c r="AG22" s="1"/>
    </row>
    <row r="23" spans="2:33" ht="14.45" customHeight="1" outlineLevel="2" x14ac:dyDescent="0.25">
      <c r="B23" s="41" t="s">
        <v>162</v>
      </c>
      <c r="C23" s="5" t="s">
        <v>163</v>
      </c>
      <c r="D23" s="24">
        <f>+'[1]T01.00'!D19</f>
        <v>5766070775.9333181</v>
      </c>
      <c r="E23" s="25">
        <f>+'[1]T01.00'!F19</f>
        <v>4963670099.3780317</v>
      </c>
      <c r="F23" s="25">
        <f>+'[1]T01.00'!H19</f>
        <v>0</v>
      </c>
      <c r="G23" s="69">
        <f>+'[1]T01.00'!J19</f>
        <v>0</v>
      </c>
      <c r="H23" s="25">
        <f>+'[1]T01.00'!L19</f>
        <v>0</v>
      </c>
      <c r="I23" s="27">
        <f>+'[1]T01.00'!N19</f>
        <v>0</v>
      </c>
      <c r="J23" s="25">
        <f>+'[1]T01.00'!P19</f>
        <v>0</v>
      </c>
      <c r="K23" s="25">
        <f>+'[1]T01.00'!R19</f>
        <v>0</v>
      </c>
      <c r="L23" s="25">
        <f>+'[1]T01.00'!T19</f>
        <v>0</v>
      </c>
      <c r="M23" s="25">
        <f>+'[1]T01.00'!V19</f>
        <v>10729740875.31135</v>
      </c>
      <c r="N23" s="69">
        <f>+'[1]T01.00'!X19</f>
        <v>228523254.88226306</v>
      </c>
      <c r="O23" s="28">
        <f>+'[1]T01.00'!Z19</f>
        <v>0</v>
      </c>
      <c r="P23" s="21"/>
      <c r="Q23" s="77"/>
      <c r="R23" s="91"/>
      <c r="S23" s="1"/>
      <c r="T23" s="1"/>
      <c r="U23" s="1"/>
      <c r="V23" s="1"/>
      <c r="W23" s="1"/>
      <c r="X23" s="42"/>
      <c r="Y23" s="1"/>
      <c r="Z23" s="1"/>
      <c r="AA23" s="1"/>
      <c r="AB23" s="35"/>
      <c r="AC23" s="29"/>
      <c r="AD23" s="22"/>
      <c r="AE23" s="1"/>
      <c r="AF23" s="23"/>
      <c r="AG23" s="1"/>
    </row>
    <row r="24" spans="2:33" ht="14.45" customHeight="1" outlineLevel="2" x14ac:dyDescent="0.25">
      <c r="B24" s="41" t="s">
        <v>164</v>
      </c>
      <c r="C24" s="5" t="s">
        <v>165</v>
      </c>
      <c r="D24" s="24">
        <f>+'[1]T01.00'!D20</f>
        <v>0</v>
      </c>
      <c r="E24" s="25">
        <f>+'[1]T01.00'!F20</f>
        <v>0</v>
      </c>
      <c r="F24" s="25">
        <f>+'[1]T01.00'!H20</f>
        <v>0</v>
      </c>
      <c r="G24" s="69">
        <f>+'[1]T01.00'!J20</f>
        <v>0</v>
      </c>
      <c r="H24" s="25">
        <f>+'[1]T01.00'!L20</f>
        <v>0</v>
      </c>
      <c r="I24" s="27">
        <f>+'[1]T01.00'!N20</f>
        <v>0</v>
      </c>
      <c r="J24" s="25">
        <f>+'[1]T01.00'!P20</f>
        <v>0</v>
      </c>
      <c r="K24" s="25">
        <f>+'[1]T01.00'!R20</f>
        <v>0</v>
      </c>
      <c r="L24" s="25">
        <f>+'[1]T01.00'!T20</f>
        <v>0</v>
      </c>
      <c r="M24" s="25">
        <f>+'[1]T01.00'!V20</f>
        <v>0</v>
      </c>
      <c r="N24" s="69">
        <f>+'[1]T01.00'!X20</f>
        <v>0</v>
      </c>
      <c r="O24" s="28">
        <f>+'[1]T01.00'!Z20</f>
        <v>0</v>
      </c>
      <c r="P24" s="21"/>
      <c r="Q24" s="77"/>
      <c r="R24" s="91"/>
      <c r="S24" s="1"/>
      <c r="T24" s="1"/>
      <c r="U24" s="1"/>
      <c r="V24" s="1"/>
      <c r="W24" s="1"/>
      <c r="X24" s="42"/>
      <c r="Y24" s="1"/>
      <c r="Z24" s="1"/>
      <c r="AA24" s="1"/>
      <c r="AB24" s="35"/>
      <c r="AC24" s="29"/>
      <c r="AD24" s="22"/>
      <c r="AE24" s="1"/>
      <c r="AF24" s="23"/>
      <c r="AG24" s="1"/>
    </row>
    <row r="25" spans="2:33" ht="14.45" customHeight="1" outlineLevel="2" x14ac:dyDescent="0.25">
      <c r="B25" s="41" t="s">
        <v>166</v>
      </c>
      <c r="C25" s="5" t="s">
        <v>167</v>
      </c>
      <c r="D25" s="24">
        <f>+'[1]T01.00'!D21</f>
        <v>0</v>
      </c>
      <c r="E25" s="25">
        <f>+'[1]T01.00'!F21</f>
        <v>0</v>
      </c>
      <c r="F25" s="25">
        <f>+'[1]T01.00'!H21</f>
        <v>0</v>
      </c>
      <c r="G25" s="69">
        <f>+'[1]T01.00'!J21</f>
        <v>0</v>
      </c>
      <c r="H25" s="25">
        <f>+'[1]T01.00'!L21</f>
        <v>0</v>
      </c>
      <c r="I25" s="27">
        <f>+'[1]T01.00'!N21</f>
        <v>0</v>
      </c>
      <c r="J25" s="25">
        <f>+'[1]T01.00'!P21</f>
        <v>0</v>
      </c>
      <c r="K25" s="25">
        <f>+'[1]T01.00'!R21</f>
        <v>0</v>
      </c>
      <c r="L25" s="25">
        <f>+'[1]T01.00'!T21</f>
        <v>0</v>
      </c>
      <c r="M25" s="25">
        <f>+'[1]T01.00'!V21</f>
        <v>0</v>
      </c>
      <c r="N25" s="69">
        <f>+'[1]T01.00'!X21</f>
        <v>0</v>
      </c>
      <c r="O25" s="28">
        <f>+'[1]T01.00'!Z21</f>
        <v>0</v>
      </c>
      <c r="P25" s="21"/>
      <c r="Q25" s="77"/>
      <c r="R25" s="91"/>
      <c r="S25" s="1"/>
      <c r="T25" s="1"/>
      <c r="U25" s="1"/>
      <c r="V25" s="1"/>
      <c r="W25" s="1"/>
      <c r="X25" s="42"/>
      <c r="Y25" s="1"/>
      <c r="Z25" s="1"/>
      <c r="AA25" s="1"/>
      <c r="AB25" s="35"/>
      <c r="AC25" s="29"/>
      <c r="AD25" s="22"/>
      <c r="AE25" s="1"/>
      <c r="AF25" s="23"/>
      <c r="AG25" s="1"/>
    </row>
    <row r="26" spans="2:33" ht="14.45" customHeight="1" outlineLevel="2" x14ac:dyDescent="0.25">
      <c r="B26" s="41" t="s">
        <v>168</v>
      </c>
      <c r="C26" s="5" t="s">
        <v>169</v>
      </c>
      <c r="D26" s="24">
        <f>+'[1]T01.00'!D22</f>
        <v>0</v>
      </c>
      <c r="E26" s="25">
        <f>+'[1]T01.00'!F22</f>
        <v>0</v>
      </c>
      <c r="F26" s="25">
        <f>+'[1]T01.00'!H22</f>
        <v>0</v>
      </c>
      <c r="G26" s="69">
        <f>+'[1]T01.00'!J22</f>
        <v>0</v>
      </c>
      <c r="H26" s="25">
        <f>+'[1]T01.00'!L22</f>
        <v>0</v>
      </c>
      <c r="I26" s="27">
        <f>+'[1]T01.00'!N22</f>
        <v>0</v>
      </c>
      <c r="J26" s="25">
        <f>+'[1]T01.00'!P22</f>
        <v>0</v>
      </c>
      <c r="K26" s="25">
        <f>+'[1]T01.00'!R22</f>
        <v>0</v>
      </c>
      <c r="L26" s="25">
        <f>+'[1]T01.00'!T22</f>
        <v>0</v>
      </c>
      <c r="M26" s="25">
        <f>+'[1]T01.00'!V22</f>
        <v>0</v>
      </c>
      <c r="N26" s="69">
        <f>+'[1]T01.00'!X22</f>
        <v>0</v>
      </c>
      <c r="O26" s="28">
        <f>+'[1]T01.00'!Z22</f>
        <v>0</v>
      </c>
      <c r="P26" s="21"/>
      <c r="Q26" s="77"/>
      <c r="R26" s="91"/>
      <c r="S26" s="1"/>
      <c r="T26" s="1"/>
      <c r="U26" s="1"/>
      <c r="V26" s="1"/>
      <c r="W26" s="1"/>
      <c r="X26" s="42"/>
      <c r="Y26" s="1"/>
      <c r="Z26" s="1"/>
      <c r="AA26" s="1"/>
      <c r="AB26" s="35"/>
      <c r="AC26" s="29"/>
      <c r="AD26" s="22"/>
      <c r="AE26" s="1"/>
      <c r="AF26" s="23"/>
      <c r="AG26" s="1"/>
    </row>
    <row r="27" spans="2:33" ht="14.45" customHeight="1" outlineLevel="1" x14ac:dyDescent="0.25">
      <c r="B27" s="4" t="s">
        <v>170</v>
      </c>
      <c r="C27" s="5" t="s">
        <v>103</v>
      </c>
      <c r="D27" s="24">
        <f>+'[1]T01.00'!D23</f>
        <v>0</v>
      </c>
      <c r="E27" s="25">
        <f>+'[1]T01.00'!F23</f>
        <v>0</v>
      </c>
      <c r="F27" s="25">
        <f>+'[1]T01.00'!H23</f>
        <v>3385474704.2792525</v>
      </c>
      <c r="G27" s="69">
        <f>+'[1]T01.00'!J23</f>
        <v>542757765.5609839</v>
      </c>
      <c r="H27" s="25">
        <f>+'[1]T01.00'!L23</f>
        <v>727128029.52939415</v>
      </c>
      <c r="I27" s="27">
        <f>+'[1]T01.00'!N23</f>
        <v>2.2200000000000002</v>
      </c>
      <c r="J27" s="25">
        <f>+'[1]T01.00'!P23</f>
        <v>1161510872.4145246</v>
      </c>
      <c r="K27" s="25">
        <f>+'[1]T01.00'!R23</f>
        <v>0</v>
      </c>
      <c r="L27" s="25">
        <f>+'[1]T01.00'!T23</f>
        <v>0</v>
      </c>
      <c r="M27" s="25">
        <f>+'[1]T01.00'!V23</f>
        <v>5816871371.7841549</v>
      </c>
      <c r="N27" s="69">
        <f>+'[1]T01.00'!X23</f>
        <v>582148639.00563323</v>
      </c>
      <c r="O27" s="28">
        <f>+'[1]T01.00'!Z23</f>
        <v>0</v>
      </c>
      <c r="P27" s="21"/>
      <c r="Q27" s="77"/>
      <c r="R27" s="91"/>
      <c r="S27" s="1"/>
      <c r="T27" s="1"/>
      <c r="U27" s="1"/>
      <c r="V27" s="1"/>
      <c r="W27" s="1"/>
      <c r="X27" s="1"/>
      <c r="Y27" s="1"/>
      <c r="Z27" s="1"/>
      <c r="AA27" s="1"/>
      <c r="AB27" s="35"/>
      <c r="AC27" s="29"/>
      <c r="AD27" s="22"/>
      <c r="AE27" s="1"/>
      <c r="AF27" s="1"/>
      <c r="AG27" s="1"/>
    </row>
    <row r="28" spans="2:33" ht="14.45" customHeight="1" outlineLevel="2" x14ac:dyDescent="0.25">
      <c r="B28" s="41" t="s">
        <v>162</v>
      </c>
      <c r="C28" s="5" t="s">
        <v>171</v>
      </c>
      <c r="D28" s="24">
        <f>+'[1]T01.00'!D24</f>
        <v>0</v>
      </c>
      <c r="E28" s="25">
        <f>+'[1]T01.00'!F24</f>
        <v>0</v>
      </c>
      <c r="F28" s="25">
        <f>+'[1]T01.00'!H24</f>
        <v>3385474704.2792525</v>
      </c>
      <c r="G28" s="69">
        <f>+'[1]T01.00'!J24</f>
        <v>542757765.5609839</v>
      </c>
      <c r="H28" s="25">
        <f>+'[1]T01.00'!L24</f>
        <v>727128029.52939415</v>
      </c>
      <c r="I28" s="27">
        <f>+'[1]T01.00'!N24</f>
        <v>2.2200000000000002</v>
      </c>
      <c r="J28" s="25">
        <f>+'[1]T01.00'!P24</f>
        <v>1161510872.4145246</v>
      </c>
      <c r="K28" s="25">
        <f>+'[1]T01.00'!R24</f>
        <v>0</v>
      </c>
      <c r="L28" s="25">
        <f>+'[1]T01.00'!T24</f>
        <v>0</v>
      </c>
      <c r="M28" s="25">
        <f>+'[1]T01.00'!V24</f>
        <v>5816871371.7841549</v>
      </c>
      <c r="N28" s="69">
        <f>+'[1]T01.00'!X24</f>
        <v>582148639.00563323</v>
      </c>
      <c r="O28" s="28">
        <f>+'[1]T01.00'!Z24</f>
        <v>0</v>
      </c>
      <c r="P28" s="21"/>
      <c r="Q28" s="77"/>
      <c r="R28" s="91"/>
      <c r="S28" s="1"/>
      <c r="T28" s="1"/>
      <c r="U28" s="1"/>
      <c r="V28" s="1"/>
      <c r="W28" s="1"/>
      <c r="X28" s="42"/>
      <c r="Y28" s="1"/>
      <c r="Z28" s="1"/>
      <c r="AA28" s="1"/>
      <c r="AB28" s="35"/>
      <c r="AC28" s="29"/>
      <c r="AD28" s="22"/>
      <c r="AE28" s="1"/>
      <c r="AF28" s="23"/>
      <c r="AG28" s="1"/>
    </row>
    <row r="29" spans="2:33" ht="14.45" customHeight="1" outlineLevel="2" x14ac:dyDescent="0.25">
      <c r="B29" s="41" t="s">
        <v>164</v>
      </c>
      <c r="C29" s="5" t="s">
        <v>172</v>
      </c>
      <c r="D29" s="24">
        <f>+'[1]T01.00'!D25</f>
        <v>0</v>
      </c>
      <c r="E29" s="25">
        <f>+'[1]T01.00'!F25</f>
        <v>0</v>
      </c>
      <c r="F29" s="25">
        <f>+'[1]T01.00'!H25</f>
        <v>0</v>
      </c>
      <c r="G29" s="69">
        <f>+'[1]T01.00'!J25</f>
        <v>0</v>
      </c>
      <c r="H29" s="25">
        <f>+'[1]T01.00'!L25</f>
        <v>0</v>
      </c>
      <c r="I29" s="27">
        <f>+'[1]T01.00'!N25</f>
        <v>0</v>
      </c>
      <c r="J29" s="25">
        <f>+'[1]T01.00'!P25</f>
        <v>0</v>
      </c>
      <c r="K29" s="25">
        <f>+'[1]T01.00'!R25</f>
        <v>0</v>
      </c>
      <c r="L29" s="25">
        <f>+'[1]T01.00'!T25</f>
        <v>0</v>
      </c>
      <c r="M29" s="25">
        <f>+'[1]T01.00'!V25</f>
        <v>0</v>
      </c>
      <c r="N29" s="69">
        <f>+'[1]T01.00'!X25</f>
        <v>0</v>
      </c>
      <c r="O29" s="28">
        <f>+'[1]T01.00'!Z25</f>
        <v>0</v>
      </c>
      <c r="P29" s="21"/>
      <c r="Q29" s="77"/>
      <c r="R29" s="91"/>
      <c r="S29" s="1"/>
      <c r="T29" s="1"/>
      <c r="U29" s="1"/>
      <c r="V29" s="1"/>
      <c r="W29" s="1"/>
      <c r="X29" s="42"/>
      <c r="Y29" s="1"/>
      <c r="Z29" s="1"/>
      <c r="AA29" s="1"/>
      <c r="AB29" s="35"/>
      <c r="AC29" s="29"/>
      <c r="AD29" s="22"/>
      <c r="AE29" s="1"/>
      <c r="AF29" s="23"/>
      <c r="AG29" s="1"/>
    </row>
    <row r="30" spans="2:33" ht="14.45" customHeight="1" outlineLevel="2" x14ac:dyDescent="0.25">
      <c r="B30" s="41" t="s">
        <v>166</v>
      </c>
      <c r="C30" s="5" t="s">
        <v>173</v>
      </c>
      <c r="D30" s="24">
        <f>+'[1]T01.00'!D26</f>
        <v>0</v>
      </c>
      <c r="E30" s="25">
        <f>+'[1]T01.00'!F26</f>
        <v>0</v>
      </c>
      <c r="F30" s="25">
        <f>+'[1]T01.00'!H26</f>
        <v>0</v>
      </c>
      <c r="G30" s="69">
        <f>+'[1]T01.00'!J26</f>
        <v>0</v>
      </c>
      <c r="H30" s="25">
        <f>+'[1]T01.00'!L26</f>
        <v>0</v>
      </c>
      <c r="I30" s="27">
        <f>+'[1]T01.00'!N26</f>
        <v>0</v>
      </c>
      <c r="J30" s="25">
        <f>+'[1]T01.00'!P26</f>
        <v>0</v>
      </c>
      <c r="K30" s="25">
        <f>+'[1]T01.00'!R26</f>
        <v>0</v>
      </c>
      <c r="L30" s="25">
        <f>+'[1]T01.00'!T26</f>
        <v>0</v>
      </c>
      <c r="M30" s="25">
        <f>+'[1]T01.00'!V26</f>
        <v>0</v>
      </c>
      <c r="N30" s="69">
        <f>+'[1]T01.00'!X26</f>
        <v>0</v>
      </c>
      <c r="O30" s="28">
        <f>+'[1]T01.00'!Z26</f>
        <v>0</v>
      </c>
      <c r="P30" s="21"/>
      <c r="Q30" s="77"/>
      <c r="R30" s="91"/>
      <c r="S30" s="1"/>
      <c r="T30" s="1"/>
      <c r="U30" s="1"/>
      <c r="V30" s="1"/>
      <c r="W30" s="1"/>
      <c r="X30" s="42"/>
      <c r="Y30" s="1"/>
      <c r="Z30" s="1"/>
      <c r="AA30" s="1"/>
      <c r="AB30" s="35"/>
      <c r="AC30" s="29"/>
      <c r="AD30" s="22"/>
      <c r="AE30" s="1"/>
      <c r="AF30" s="1"/>
      <c r="AG30" s="1"/>
    </row>
    <row r="31" spans="2:33" ht="14.45" customHeight="1" outlineLevel="2" x14ac:dyDescent="0.25">
      <c r="B31" s="41" t="s">
        <v>168</v>
      </c>
      <c r="C31" s="5" t="s">
        <v>174</v>
      </c>
      <c r="D31" s="24">
        <f>+'[1]T01.00'!D27</f>
        <v>0</v>
      </c>
      <c r="E31" s="25">
        <f>+'[1]T01.00'!F27</f>
        <v>0</v>
      </c>
      <c r="F31" s="25">
        <f>+'[1]T01.00'!H27</f>
        <v>0</v>
      </c>
      <c r="G31" s="25">
        <f>+'[1]T01.00'!J27</f>
        <v>0</v>
      </c>
      <c r="H31" s="25">
        <f>+'[1]T01.00'!L27</f>
        <v>0</v>
      </c>
      <c r="I31" s="27">
        <f>+'[1]T01.00'!N27</f>
        <v>0</v>
      </c>
      <c r="J31" s="25">
        <f>+'[1]T01.00'!P27</f>
        <v>0</v>
      </c>
      <c r="K31" s="25">
        <f>+'[1]T01.00'!R27</f>
        <v>0</v>
      </c>
      <c r="L31" s="25">
        <f>+'[1]T01.00'!T27</f>
        <v>0</v>
      </c>
      <c r="M31" s="25">
        <f>+'[1]T01.00'!V27</f>
        <v>0</v>
      </c>
      <c r="N31" s="69">
        <f>+'[1]T01.00'!X27</f>
        <v>0</v>
      </c>
      <c r="O31" s="28">
        <f>+'[1]T01.00'!Z27</f>
        <v>0</v>
      </c>
      <c r="P31" s="21"/>
      <c r="Q31" s="77"/>
      <c r="R31" s="91"/>
      <c r="S31" s="1"/>
      <c r="T31" s="1"/>
      <c r="U31" s="1"/>
      <c r="V31" s="1"/>
      <c r="W31" s="1"/>
      <c r="X31" s="42"/>
      <c r="Y31" s="1"/>
      <c r="Z31" s="1"/>
      <c r="AA31" s="1"/>
      <c r="AB31" s="35"/>
      <c r="AC31" s="29"/>
      <c r="AD31" s="22"/>
      <c r="AE31" s="1"/>
      <c r="AF31" s="1"/>
      <c r="AG31" s="1"/>
    </row>
    <row r="32" spans="2:33" ht="14.45" customHeight="1" outlineLevel="1" x14ac:dyDescent="0.25">
      <c r="B32" s="100"/>
      <c r="C32" s="100"/>
      <c r="D32" s="101"/>
      <c r="E32" s="102"/>
      <c r="F32" s="102"/>
      <c r="G32" s="102"/>
      <c r="H32" s="102"/>
      <c r="I32" s="102"/>
      <c r="J32" s="102"/>
      <c r="K32" s="102"/>
      <c r="L32" s="102"/>
      <c r="M32" s="102"/>
      <c r="N32" s="102"/>
      <c r="O32" s="103"/>
      <c r="P32" s="1"/>
      <c r="Q32" s="77"/>
      <c r="R32" s="91"/>
      <c r="S32" s="1"/>
      <c r="T32" s="1"/>
      <c r="U32" s="1"/>
      <c r="V32" s="1"/>
      <c r="W32" s="1"/>
      <c r="X32" s="1"/>
      <c r="Y32" s="1"/>
      <c r="Z32" s="1"/>
      <c r="AA32" s="1"/>
      <c r="AB32" s="1"/>
      <c r="AC32" s="1"/>
      <c r="AD32" s="1"/>
      <c r="AE32" s="1"/>
      <c r="AF32" s="1"/>
      <c r="AG32" s="1"/>
    </row>
    <row r="33" spans="2:33" ht="43.15" customHeight="1" outlineLevel="2" x14ac:dyDescent="0.25">
      <c r="B33" s="41" t="s">
        <v>175</v>
      </c>
      <c r="C33" s="5" t="s">
        <v>176</v>
      </c>
      <c r="D33" s="37">
        <f>+'[1]T01.00'!D29</f>
        <v>635345.55999999994</v>
      </c>
      <c r="E33" s="27">
        <f>+'[1]T01.00'!F29</f>
        <v>2880104.8200000003</v>
      </c>
      <c r="F33" s="27">
        <f>+'[1]T01.00'!H29</f>
        <v>97764591.86999999</v>
      </c>
      <c r="G33" s="27">
        <f>+'[1]T01.00'!J29</f>
        <v>372607354.50000006</v>
      </c>
      <c r="H33" s="27">
        <f>+'[1]T01.00'!L29</f>
        <v>217940739.74000007</v>
      </c>
      <c r="I33" s="27">
        <f>+'[1]T01.00'!N29</f>
        <v>0</v>
      </c>
      <c r="J33" s="27">
        <f>+'[1]T01.00'!P29</f>
        <v>0</v>
      </c>
      <c r="K33" s="27">
        <f>+'[1]T01.00'!R29</f>
        <v>0</v>
      </c>
      <c r="L33" s="27">
        <f>+'[1]T01.00'!T29</f>
        <v>0</v>
      </c>
      <c r="M33" s="69">
        <f>+'[1]T01.00'!V29</f>
        <v>691828136.49000013</v>
      </c>
      <c r="N33" s="69">
        <f>+'[1]T01.00'!X29</f>
        <v>407460658.86000007</v>
      </c>
      <c r="O33" s="28">
        <f>+'[1]T01.00'!Z29</f>
        <v>0</v>
      </c>
      <c r="P33" s="21"/>
      <c r="Q33" s="77"/>
      <c r="R33" s="91"/>
      <c r="S33" s="1"/>
      <c r="T33" s="1"/>
      <c r="U33" s="1"/>
      <c r="V33" s="1"/>
      <c r="W33" s="1"/>
      <c r="X33" s="1"/>
      <c r="Y33" s="1"/>
      <c r="Z33" s="1"/>
      <c r="AA33" s="1"/>
      <c r="AB33" s="1"/>
      <c r="AC33" s="1"/>
      <c r="AD33" s="22"/>
      <c r="AE33" s="40"/>
      <c r="AF33" s="23"/>
      <c r="AG33" s="1"/>
    </row>
    <row r="34" spans="2:33" ht="43.15" customHeight="1" outlineLevel="2" x14ac:dyDescent="0.25">
      <c r="B34" s="41" t="s">
        <v>177</v>
      </c>
      <c r="C34" s="5" t="s">
        <v>178</v>
      </c>
      <c r="D34" s="37">
        <f>+'[1]T01.00'!D30</f>
        <v>635345.55999999994</v>
      </c>
      <c r="E34" s="27">
        <f>+'[1]T01.00'!F30</f>
        <v>2880104.8200000003</v>
      </c>
      <c r="F34" s="27">
        <f>+'[1]T01.00'!H30</f>
        <v>97764591.86999999</v>
      </c>
      <c r="G34" s="27">
        <f>+'[1]T01.00'!J30</f>
        <v>372607354.50000006</v>
      </c>
      <c r="H34" s="27">
        <f>+'[1]T01.00'!L30</f>
        <v>217940739.74000007</v>
      </c>
      <c r="I34" s="27">
        <f>+'[1]T01.00'!N30</f>
        <v>0</v>
      </c>
      <c r="J34" s="27">
        <f>+'[1]T01.00'!P30</f>
        <v>0</v>
      </c>
      <c r="K34" s="27">
        <f>+'[1]T01.00'!R30</f>
        <v>0</v>
      </c>
      <c r="L34" s="27">
        <f>+'[1]T01.00'!T30</f>
        <v>0</v>
      </c>
      <c r="M34" s="69">
        <f>+'[1]T01.00'!V30</f>
        <v>691828136.49000013</v>
      </c>
      <c r="N34" s="69">
        <f>+'[1]T01.00'!X30</f>
        <v>407460658.86000007</v>
      </c>
      <c r="O34" s="28">
        <f>+'[1]T01.00'!Z30</f>
        <v>0</v>
      </c>
      <c r="P34" s="76"/>
      <c r="Q34" s="76"/>
      <c r="R34" s="91"/>
      <c r="S34" s="1"/>
      <c r="T34" s="1"/>
      <c r="U34" s="1"/>
      <c r="V34" s="1"/>
      <c r="W34" s="1"/>
      <c r="X34" s="1"/>
      <c r="Y34" s="1"/>
      <c r="Z34" s="1"/>
      <c r="AA34" s="1"/>
      <c r="AB34" s="1"/>
      <c r="AC34" s="1"/>
      <c r="AD34" s="22"/>
      <c r="AE34" s="40"/>
      <c r="AF34" s="23"/>
      <c r="AG34" s="1"/>
    </row>
    <row r="35" spans="2:33" ht="43.15" customHeight="1" outlineLevel="2" x14ac:dyDescent="0.25">
      <c r="B35" s="41" t="s">
        <v>179</v>
      </c>
      <c r="C35" s="5" t="s">
        <v>180</v>
      </c>
      <c r="D35" s="37">
        <f>+'[1]T01.00'!D31</f>
        <v>635345.55999999994</v>
      </c>
      <c r="E35" s="27">
        <f>+'[1]T01.00'!F31</f>
        <v>2880104.8200000003</v>
      </c>
      <c r="F35" s="27">
        <f>+'[1]T01.00'!H31</f>
        <v>97764591.86999999</v>
      </c>
      <c r="G35" s="27">
        <f>+'[1]T01.00'!J31</f>
        <v>372607354.50000006</v>
      </c>
      <c r="H35" s="27">
        <f>+'[1]T01.00'!L31</f>
        <v>217940739.74000007</v>
      </c>
      <c r="I35" s="27">
        <f>+'[1]T01.00'!N31</f>
        <v>0</v>
      </c>
      <c r="J35" s="27">
        <f>+'[1]T01.00'!P31</f>
        <v>0</v>
      </c>
      <c r="K35" s="27">
        <f>+'[1]T01.00'!R31</f>
        <v>0</v>
      </c>
      <c r="L35" s="27">
        <f>+'[1]T01.00'!T31</f>
        <v>0</v>
      </c>
      <c r="M35" s="69">
        <f>+'[1]T01.00'!V31</f>
        <v>691828136.49000013</v>
      </c>
      <c r="N35" s="69">
        <f>+'[1]T01.00'!X31</f>
        <v>407460658.86000007</v>
      </c>
      <c r="O35" s="28">
        <f>+'[1]T01.00'!Z31</f>
        <v>0</v>
      </c>
      <c r="P35" s="21"/>
      <c r="Q35" s="77"/>
      <c r="R35" s="91"/>
      <c r="S35" s="1"/>
      <c r="T35" s="1"/>
      <c r="U35" s="1"/>
      <c r="V35" s="1"/>
      <c r="W35" s="1"/>
      <c r="X35" s="1"/>
      <c r="Y35" s="1"/>
      <c r="Z35" s="1"/>
      <c r="AA35" s="1"/>
      <c r="AB35" s="1"/>
      <c r="AC35" s="1"/>
      <c r="AD35" s="22"/>
      <c r="AE35" s="40"/>
      <c r="AF35" s="23"/>
      <c r="AG35" s="1"/>
    </row>
    <row r="36" spans="2:33" ht="28.9" customHeight="1" outlineLevel="2" x14ac:dyDescent="0.25">
      <c r="B36" s="41" t="s">
        <v>181</v>
      </c>
      <c r="C36" s="5" t="s">
        <v>182</v>
      </c>
      <c r="D36" s="71">
        <f>+'[1]T01.00'!D32</f>
        <v>635345.55999999994</v>
      </c>
      <c r="E36" s="69">
        <f>+'[1]T01.00'!F32</f>
        <v>2880104.8200000003</v>
      </c>
      <c r="F36" s="69">
        <f>+'[1]T01.00'!H32</f>
        <v>97764591.86999999</v>
      </c>
      <c r="G36" s="69">
        <f>+'[1]T01.00'!J32</f>
        <v>351155536.10728908</v>
      </c>
      <c r="H36" s="69">
        <f>+'[1]T01.00'!L32</f>
        <v>174146707.86000007</v>
      </c>
      <c r="I36" s="67">
        <f>+'[1]T01.00'!N32</f>
        <v>0</v>
      </c>
      <c r="J36" s="69">
        <f>+'[1]T01.00'!P32</f>
        <v>0</v>
      </c>
      <c r="K36" s="69">
        <f>+'[1]T01.00'!R32</f>
        <v>0</v>
      </c>
      <c r="L36" s="69">
        <f>+'[1]T01.00'!T32</f>
        <v>0</v>
      </c>
      <c r="M36" s="69">
        <f>+'[1]T01.00'!V32</f>
        <v>626582286.21728921</v>
      </c>
      <c r="N36" s="69">
        <f>+'[1]T01.00'!X32</f>
        <v>350486235.86728907</v>
      </c>
      <c r="O36" s="90">
        <f>+'[1]T01.00'!Z32</f>
        <v>0</v>
      </c>
      <c r="P36" s="21"/>
      <c r="Q36" s="77"/>
      <c r="R36" s="91"/>
      <c r="S36" s="1"/>
      <c r="T36" s="1"/>
      <c r="U36" s="1"/>
      <c r="V36" s="1"/>
      <c r="W36" s="1"/>
      <c r="X36" s="1"/>
      <c r="Y36" s="1"/>
      <c r="Z36" s="1"/>
      <c r="AA36" s="1"/>
      <c r="AB36" s="1"/>
      <c r="AC36" s="1"/>
      <c r="AD36" s="22"/>
      <c r="AE36" s="40"/>
      <c r="AF36" s="23"/>
      <c r="AG36" s="1"/>
    </row>
    <row r="37" spans="2:33" ht="14.45" customHeight="1" outlineLevel="1" x14ac:dyDescent="0.25">
      <c r="B37" s="4" t="s">
        <v>183</v>
      </c>
      <c r="C37" s="5" t="s">
        <v>184</v>
      </c>
      <c r="D37" s="24">
        <f>+'[1]T01.00'!D33</f>
        <v>0</v>
      </c>
      <c r="E37" s="25">
        <f>+'[1]T01.00'!F33</f>
        <v>0</v>
      </c>
      <c r="F37" s="25">
        <f>+'[1]T01.00'!H33</f>
        <v>0</v>
      </c>
      <c r="G37" s="25">
        <f>+'[1]T01.00'!J33</f>
        <v>0</v>
      </c>
      <c r="H37" s="25">
        <f>+'[1]T01.00'!L33</f>
        <v>0</v>
      </c>
      <c r="I37" s="27">
        <f>+'[1]T01.00'!N33</f>
        <v>0</v>
      </c>
      <c r="J37" s="25">
        <f>+'[1]T01.00'!P33</f>
        <v>0</v>
      </c>
      <c r="K37" s="25">
        <f>+'[1]T01.00'!R33</f>
        <v>0</v>
      </c>
      <c r="L37" s="25">
        <f>+'[1]T01.00'!T33</f>
        <v>0</v>
      </c>
      <c r="M37" s="25">
        <f>+'[1]T01.00'!V33</f>
        <v>0</v>
      </c>
      <c r="N37" s="69">
        <f>+'[1]T01.00'!X33</f>
        <v>0</v>
      </c>
      <c r="O37" s="28">
        <f>+'[1]T01.00'!Z33</f>
        <v>0</v>
      </c>
      <c r="P37" s="21"/>
      <c r="Q37" s="77"/>
      <c r="R37" s="91"/>
      <c r="S37" s="1"/>
      <c r="T37" s="32"/>
      <c r="U37" s="1"/>
      <c r="V37" s="1"/>
      <c r="W37" s="1"/>
      <c r="X37" s="1"/>
      <c r="Y37" s="1"/>
      <c r="Z37" s="1"/>
      <c r="AA37" s="1"/>
      <c r="AB37" s="1"/>
      <c r="AC37" s="1"/>
      <c r="AD37" s="22"/>
      <c r="AE37" s="1"/>
      <c r="AF37" s="1"/>
      <c r="AG37" s="33"/>
    </row>
    <row r="38" spans="2:33" ht="14.45" customHeight="1" outlineLevel="2" x14ac:dyDescent="0.25">
      <c r="B38" s="41" t="s">
        <v>162</v>
      </c>
      <c r="C38" s="5" t="s">
        <v>185</v>
      </c>
      <c r="D38" s="24">
        <f>+'[1]T01.00'!D34</f>
        <v>0</v>
      </c>
      <c r="E38" s="25">
        <f>+'[1]T01.00'!F34</f>
        <v>0</v>
      </c>
      <c r="F38" s="25">
        <f>+'[1]T01.00'!H34</f>
        <v>0</v>
      </c>
      <c r="G38" s="25">
        <f>+'[1]T01.00'!J34</f>
        <v>0</v>
      </c>
      <c r="H38" s="25">
        <f>+'[1]T01.00'!L34</f>
        <v>0</v>
      </c>
      <c r="I38" s="27">
        <f>+'[1]T01.00'!N34</f>
        <v>0</v>
      </c>
      <c r="J38" s="25">
        <f>+'[1]T01.00'!P34</f>
        <v>0</v>
      </c>
      <c r="K38" s="25">
        <f>+'[1]T01.00'!R34</f>
        <v>0</v>
      </c>
      <c r="L38" s="25">
        <f>+'[1]T01.00'!T34</f>
        <v>0</v>
      </c>
      <c r="M38" s="25">
        <f>+'[1]T01.00'!V34</f>
        <v>0</v>
      </c>
      <c r="N38" s="69">
        <f>+'[1]T01.00'!X34</f>
        <v>0</v>
      </c>
      <c r="O38" s="28">
        <f>+'[1]T01.00'!Z34</f>
        <v>0</v>
      </c>
      <c r="P38" s="21"/>
      <c r="Q38" s="77"/>
      <c r="R38" s="91"/>
      <c r="S38" s="1"/>
      <c r="T38" s="32"/>
      <c r="U38" s="1"/>
      <c r="V38" s="1"/>
      <c r="W38" s="1"/>
      <c r="X38" s="42"/>
      <c r="Y38" s="1"/>
      <c r="Z38" s="1"/>
      <c r="AA38" s="1"/>
      <c r="AB38" s="1"/>
      <c r="AC38" s="1"/>
      <c r="AD38" s="22"/>
      <c r="AE38" s="1"/>
      <c r="AF38" s="23"/>
      <c r="AG38" s="33"/>
    </row>
    <row r="39" spans="2:33" ht="14.45" customHeight="1" outlineLevel="2" x14ac:dyDescent="0.25">
      <c r="B39" s="41" t="s">
        <v>164</v>
      </c>
      <c r="C39" s="5" t="s">
        <v>186</v>
      </c>
      <c r="D39" s="24">
        <f>+'[1]T01.00'!D35</f>
        <v>0</v>
      </c>
      <c r="E39" s="25">
        <f>+'[1]T01.00'!F35</f>
        <v>0</v>
      </c>
      <c r="F39" s="25">
        <f>+'[1]T01.00'!H35</f>
        <v>0</v>
      </c>
      <c r="G39" s="25">
        <f>+'[1]T01.00'!J35</f>
        <v>0</v>
      </c>
      <c r="H39" s="25">
        <f>+'[1]T01.00'!L35</f>
        <v>0</v>
      </c>
      <c r="I39" s="27">
        <f>+'[1]T01.00'!N35</f>
        <v>0</v>
      </c>
      <c r="J39" s="25">
        <f>+'[1]T01.00'!P35</f>
        <v>0</v>
      </c>
      <c r="K39" s="25">
        <f>+'[1]T01.00'!R35</f>
        <v>0</v>
      </c>
      <c r="L39" s="25">
        <f>+'[1]T01.00'!T35</f>
        <v>0</v>
      </c>
      <c r="M39" s="25">
        <f>+'[1]T01.00'!V35</f>
        <v>0</v>
      </c>
      <c r="N39" s="69">
        <f>+'[1]T01.00'!X35</f>
        <v>0</v>
      </c>
      <c r="O39" s="28">
        <f>+'[1]T01.00'!Z35</f>
        <v>0</v>
      </c>
      <c r="P39" s="21"/>
      <c r="Q39" s="77"/>
      <c r="R39" s="91"/>
      <c r="S39" s="1"/>
      <c r="T39" s="32"/>
      <c r="U39" s="1"/>
      <c r="V39" s="1"/>
      <c r="W39" s="1"/>
      <c r="X39" s="42"/>
      <c r="Y39" s="1"/>
      <c r="Z39" s="1"/>
      <c r="AA39" s="1"/>
      <c r="AB39" s="1"/>
      <c r="AC39" s="1"/>
      <c r="AD39" s="22"/>
      <c r="AE39" s="1"/>
      <c r="AF39" s="23"/>
      <c r="AG39" s="33"/>
    </row>
    <row r="40" spans="2:33" ht="14.45" customHeight="1" outlineLevel="2" x14ac:dyDescent="0.25">
      <c r="B40" s="41" t="s">
        <v>166</v>
      </c>
      <c r="C40" s="5" t="s">
        <v>187</v>
      </c>
      <c r="D40" s="24">
        <f>+'[1]T01.00'!D36</f>
        <v>0</v>
      </c>
      <c r="E40" s="25">
        <f>+'[1]T01.00'!F36</f>
        <v>0</v>
      </c>
      <c r="F40" s="25">
        <f>+'[1]T01.00'!H36</f>
        <v>0</v>
      </c>
      <c r="G40" s="25">
        <f>+'[1]T01.00'!J36</f>
        <v>0</v>
      </c>
      <c r="H40" s="25">
        <f>+'[1]T01.00'!L36</f>
        <v>0</v>
      </c>
      <c r="I40" s="27">
        <f>+'[1]T01.00'!N36</f>
        <v>0</v>
      </c>
      <c r="J40" s="25">
        <f>+'[1]T01.00'!P36</f>
        <v>0</v>
      </c>
      <c r="K40" s="25">
        <f>+'[1]T01.00'!R36</f>
        <v>0</v>
      </c>
      <c r="L40" s="25">
        <f>+'[1]T01.00'!T36</f>
        <v>0</v>
      </c>
      <c r="M40" s="25">
        <f>+'[1]T01.00'!V36</f>
        <v>0</v>
      </c>
      <c r="N40" s="69">
        <f>+'[1]T01.00'!X36</f>
        <v>0</v>
      </c>
      <c r="O40" s="28">
        <f>+'[1]T01.00'!Z36</f>
        <v>0</v>
      </c>
      <c r="P40" s="21"/>
      <c r="Q40" s="77"/>
      <c r="R40" s="91"/>
      <c r="S40" s="1"/>
      <c r="T40" s="32"/>
      <c r="U40" s="1"/>
      <c r="V40" s="1"/>
      <c r="W40" s="1"/>
      <c r="X40" s="42"/>
      <c r="Y40" s="1"/>
      <c r="Z40" s="1"/>
      <c r="AA40" s="1"/>
      <c r="AB40" s="1"/>
      <c r="AC40" s="1"/>
      <c r="AD40" s="22"/>
      <c r="AE40" s="1"/>
      <c r="AF40" s="1"/>
      <c r="AG40" s="33"/>
    </row>
    <row r="41" spans="2:33" ht="14.45" customHeight="1" outlineLevel="2" x14ac:dyDescent="0.25">
      <c r="B41" s="41" t="s">
        <v>168</v>
      </c>
      <c r="C41" s="5" t="s">
        <v>188</v>
      </c>
      <c r="D41" s="24">
        <f>+'[1]T01.00'!D37</f>
        <v>0</v>
      </c>
      <c r="E41" s="25">
        <f>+'[1]T01.00'!F37</f>
        <v>0</v>
      </c>
      <c r="F41" s="25">
        <f>+'[1]T01.00'!H37</f>
        <v>0</v>
      </c>
      <c r="G41" s="25">
        <f>+'[1]T01.00'!J37</f>
        <v>0</v>
      </c>
      <c r="H41" s="25">
        <f>+'[1]T01.00'!L37</f>
        <v>0</v>
      </c>
      <c r="I41" s="27">
        <f>+'[1]T01.00'!N37</f>
        <v>0</v>
      </c>
      <c r="J41" s="25">
        <f>+'[1]T01.00'!P37</f>
        <v>0</v>
      </c>
      <c r="K41" s="25">
        <f>+'[1]T01.00'!R37</f>
        <v>0</v>
      </c>
      <c r="L41" s="25">
        <f>+'[1]T01.00'!T37</f>
        <v>0</v>
      </c>
      <c r="M41" s="25">
        <f>+'[1]T01.00'!V37</f>
        <v>0</v>
      </c>
      <c r="N41" s="69">
        <f>+'[1]T01.00'!X37</f>
        <v>0</v>
      </c>
      <c r="O41" s="28">
        <f>+'[1]T01.00'!Z37</f>
        <v>0</v>
      </c>
      <c r="P41" s="21"/>
      <c r="Q41" s="77"/>
      <c r="R41" s="91"/>
      <c r="S41" s="1"/>
      <c r="T41" s="32"/>
      <c r="U41" s="1"/>
      <c r="V41" s="1"/>
      <c r="W41" s="1"/>
      <c r="X41" s="42"/>
      <c r="Y41" s="1"/>
      <c r="Z41" s="1"/>
      <c r="AA41" s="1"/>
      <c r="AB41" s="1"/>
      <c r="AC41" s="1"/>
      <c r="AD41" s="22"/>
      <c r="AE41" s="1"/>
      <c r="AF41" s="1"/>
      <c r="AG41" s="33"/>
    </row>
    <row r="42" spans="2:33" ht="14.45" customHeight="1" outlineLevel="1" x14ac:dyDescent="0.25">
      <c r="B42" s="4" t="s">
        <v>189</v>
      </c>
      <c r="C42" s="5" t="s">
        <v>190</v>
      </c>
      <c r="D42" s="24">
        <f>+'[1]T01.00'!D38</f>
        <v>0</v>
      </c>
      <c r="E42" s="25">
        <f>+'[1]T01.00'!F38</f>
        <v>0</v>
      </c>
      <c r="F42" s="25">
        <f>+'[1]T01.00'!H38</f>
        <v>0</v>
      </c>
      <c r="G42" s="25">
        <f>+'[1]T01.00'!J38</f>
        <v>0</v>
      </c>
      <c r="H42" s="25">
        <f>+'[1]T01.00'!L38</f>
        <v>7728751.9969629999</v>
      </c>
      <c r="I42" s="27">
        <f>+'[1]T01.00'!N38</f>
        <v>7728751.9969629999</v>
      </c>
      <c r="J42" s="25">
        <f>+'[1]T01.00'!P38</f>
        <v>0</v>
      </c>
      <c r="K42" s="25">
        <f>+'[1]T01.00'!R38</f>
        <v>0</v>
      </c>
      <c r="L42" s="25">
        <f>+'[1]T01.00'!T38</f>
        <v>0</v>
      </c>
      <c r="M42" s="25">
        <f>+'[1]T01.00'!V38</f>
        <v>7728751.9969629999</v>
      </c>
      <c r="N42" s="69">
        <f>+'[1]T01.00'!X38</f>
        <v>7728751.9969629999</v>
      </c>
      <c r="O42" s="28">
        <f>+'[1]T01.00'!Z38</f>
        <v>0</v>
      </c>
      <c r="P42" s="21"/>
      <c r="Q42" s="77"/>
      <c r="R42" s="91"/>
      <c r="S42" s="1"/>
      <c r="T42" s="1"/>
      <c r="U42" s="1"/>
      <c r="V42" s="1"/>
      <c r="W42" s="1"/>
      <c r="X42" s="1"/>
      <c r="Y42" s="1"/>
      <c r="Z42" s="1"/>
      <c r="AA42" s="1"/>
      <c r="AB42" s="1"/>
      <c r="AC42" s="29"/>
      <c r="AD42" s="22"/>
      <c r="AE42" s="1"/>
      <c r="AF42" s="1"/>
      <c r="AG42" s="1"/>
    </row>
    <row r="43" spans="2:33" ht="14.45" customHeight="1" outlineLevel="2" x14ac:dyDescent="0.25">
      <c r="B43" s="41" t="s">
        <v>162</v>
      </c>
      <c r="C43" s="5" t="s">
        <v>191</v>
      </c>
      <c r="D43" s="24">
        <f>+'[1]T01.00'!D39</f>
        <v>0</v>
      </c>
      <c r="E43" s="25">
        <f>+'[1]T01.00'!F39</f>
        <v>0</v>
      </c>
      <c r="F43" s="25">
        <f>+'[1]T01.00'!H39</f>
        <v>0</v>
      </c>
      <c r="G43" s="25">
        <f>+'[1]T01.00'!J39</f>
        <v>0</v>
      </c>
      <c r="H43" s="25">
        <f>+'[1]T01.00'!L39</f>
        <v>0</v>
      </c>
      <c r="I43" s="27">
        <f>+'[1]T01.00'!N39</f>
        <v>0</v>
      </c>
      <c r="J43" s="25">
        <f>+'[1]T01.00'!P39</f>
        <v>0</v>
      </c>
      <c r="K43" s="25">
        <f>+'[1]T01.00'!R39</f>
        <v>0</v>
      </c>
      <c r="L43" s="25">
        <f>+'[1]T01.00'!T39</f>
        <v>0</v>
      </c>
      <c r="M43" s="25">
        <f>+'[1]T01.00'!V39</f>
        <v>0</v>
      </c>
      <c r="N43" s="69">
        <f>+'[1]T01.00'!X39</f>
        <v>0</v>
      </c>
      <c r="O43" s="28">
        <f>+'[1]T01.00'!Z39</f>
        <v>0</v>
      </c>
      <c r="P43" s="21"/>
      <c r="Q43" s="77"/>
      <c r="R43" s="91"/>
      <c r="S43" s="1"/>
      <c r="T43" s="1"/>
      <c r="U43" s="1"/>
      <c r="V43" s="1"/>
      <c r="W43" s="1"/>
      <c r="X43" s="42"/>
      <c r="Y43" s="1"/>
      <c r="Z43" s="1"/>
      <c r="AA43" s="1"/>
      <c r="AB43" s="1"/>
      <c r="AC43" s="29"/>
      <c r="AD43" s="22"/>
      <c r="AE43" s="1"/>
      <c r="AF43" s="23"/>
      <c r="AG43" s="1"/>
    </row>
    <row r="44" spans="2:33" ht="14.45" customHeight="1" outlineLevel="2" x14ac:dyDescent="0.25">
      <c r="B44" s="41" t="s">
        <v>164</v>
      </c>
      <c r="C44" s="5" t="s">
        <v>192</v>
      </c>
      <c r="D44" s="24">
        <f>+'[1]T01.00'!D40</f>
        <v>0</v>
      </c>
      <c r="E44" s="25">
        <f>+'[1]T01.00'!F40</f>
        <v>0</v>
      </c>
      <c r="F44" s="25">
        <f>+'[1]T01.00'!H40</f>
        <v>0</v>
      </c>
      <c r="G44" s="25">
        <f>+'[1]T01.00'!J40</f>
        <v>0</v>
      </c>
      <c r="H44" s="25">
        <f>+'[1]T01.00'!L40</f>
        <v>0</v>
      </c>
      <c r="I44" s="27">
        <f>+'[1]T01.00'!N40</f>
        <v>0</v>
      </c>
      <c r="J44" s="25">
        <f>+'[1]T01.00'!P40</f>
        <v>0</v>
      </c>
      <c r="K44" s="25">
        <f>+'[1]T01.00'!R40</f>
        <v>0</v>
      </c>
      <c r="L44" s="25">
        <f>+'[1]T01.00'!T40</f>
        <v>0</v>
      </c>
      <c r="M44" s="25">
        <f>+'[1]T01.00'!V40</f>
        <v>0</v>
      </c>
      <c r="N44" s="69">
        <f>+'[1]T01.00'!X40</f>
        <v>0</v>
      </c>
      <c r="O44" s="28">
        <f>+'[1]T01.00'!Z40</f>
        <v>0</v>
      </c>
      <c r="P44" s="21"/>
      <c r="Q44" s="77"/>
      <c r="R44" s="91"/>
      <c r="S44" s="1"/>
      <c r="T44" s="1"/>
      <c r="U44" s="1"/>
      <c r="V44" s="1"/>
      <c r="W44" s="1"/>
      <c r="X44" s="42"/>
      <c r="Y44" s="1"/>
      <c r="Z44" s="1"/>
      <c r="AA44" s="1"/>
      <c r="AB44" s="1"/>
      <c r="AC44" s="29"/>
      <c r="AD44" s="22"/>
      <c r="AE44" s="1"/>
      <c r="AF44" s="23"/>
      <c r="AG44" s="1"/>
    </row>
    <row r="45" spans="2:33" ht="14.45" customHeight="1" outlineLevel="2" x14ac:dyDescent="0.25">
      <c r="B45" s="41" t="s">
        <v>166</v>
      </c>
      <c r="C45" s="5" t="s">
        <v>193</v>
      </c>
      <c r="D45" s="24">
        <f>+'[1]T01.00'!D41</f>
        <v>0</v>
      </c>
      <c r="E45" s="25">
        <f>+'[1]T01.00'!F41</f>
        <v>0</v>
      </c>
      <c r="F45" s="25">
        <f>+'[1]T01.00'!H41</f>
        <v>0</v>
      </c>
      <c r="G45" s="25">
        <f>+'[1]T01.00'!J41</f>
        <v>0</v>
      </c>
      <c r="H45" s="25">
        <f>+'[1]T01.00'!L41</f>
        <v>0</v>
      </c>
      <c r="I45" s="27">
        <f>+'[1]T01.00'!N41</f>
        <v>0</v>
      </c>
      <c r="J45" s="25">
        <f>+'[1]T01.00'!P41</f>
        <v>0</v>
      </c>
      <c r="K45" s="25">
        <f>+'[1]T01.00'!R41</f>
        <v>0</v>
      </c>
      <c r="L45" s="25">
        <f>+'[1]T01.00'!T41</f>
        <v>0</v>
      </c>
      <c r="M45" s="25">
        <f>+'[1]T01.00'!V41</f>
        <v>0</v>
      </c>
      <c r="N45" s="69">
        <f>+'[1]T01.00'!X41</f>
        <v>0</v>
      </c>
      <c r="O45" s="28">
        <f>+'[1]T01.00'!Z41</f>
        <v>0</v>
      </c>
      <c r="P45" s="21"/>
      <c r="Q45" s="77"/>
      <c r="R45" s="91"/>
      <c r="S45" s="1"/>
      <c r="T45" s="1"/>
      <c r="U45" s="1"/>
      <c r="V45" s="1"/>
      <c r="W45" s="1"/>
      <c r="X45" s="42"/>
      <c r="Y45" s="1"/>
      <c r="Z45" s="1"/>
      <c r="AA45" s="1"/>
      <c r="AB45" s="1"/>
      <c r="AC45" s="29"/>
      <c r="AD45" s="22"/>
      <c r="AE45" s="1"/>
      <c r="AF45" s="1"/>
      <c r="AG45" s="1"/>
    </row>
    <row r="46" spans="2:33" ht="14.45" customHeight="1" outlineLevel="2" x14ac:dyDescent="0.25">
      <c r="B46" s="41" t="s">
        <v>168</v>
      </c>
      <c r="C46" s="5" t="s">
        <v>194</v>
      </c>
      <c r="D46" s="24">
        <f>+'[1]T01.00'!D42</f>
        <v>0</v>
      </c>
      <c r="E46" s="25">
        <f>+'[1]T01.00'!F42</f>
        <v>0</v>
      </c>
      <c r="F46" s="25">
        <f>+'[1]T01.00'!H42</f>
        <v>0</v>
      </c>
      <c r="G46" s="25">
        <f>+'[1]T01.00'!J42</f>
        <v>0</v>
      </c>
      <c r="H46" s="25">
        <f>+'[1]T01.00'!L42</f>
        <v>7728751.9969629999</v>
      </c>
      <c r="I46" s="27">
        <f>+'[1]T01.00'!N42</f>
        <v>7728751.9969629999</v>
      </c>
      <c r="J46" s="25">
        <f>+'[1]T01.00'!P42</f>
        <v>0</v>
      </c>
      <c r="K46" s="25">
        <f>+'[1]T01.00'!R42</f>
        <v>0</v>
      </c>
      <c r="L46" s="25">
        <f>+'[1]T01.00'!T42</f>
        <v>0</v>
      </c>
      <c r="M46" s="25">
        <f>+'[1]T01.00'!V42</f>
        <v>7728751.9969629999</v>
      </c>
      <c r="N46" s="69">
        <f>+'[1]T01.00'!X42</f>
        <v>7728751.9969629999</v>
      </c>
      <c r="O46" s="28">
        <f>+'[1]T01.00'!Z42</f>
        <v>0</v>
      </c>
      <c r="P46" s="21"/>
      <c r="Q46" s="77"/>
      <c r="R46" s="91"/>
      <c r="S46" s="1"/>
      <c r="T46" s="1"/>
      <c r="U46" s="1"/>
      <c r="V46" s="1"/>
      <c r="W46" s="1"/>
      <c r="X46" s="42"/>
      <c r="Y46" s="1"/>
      <c r="Z46" s="1"/>
      <c r="AA46" s="1"/>
      <c r="AB46" s="1"/>
      <c r="AC46" s="29"/>
      <c r="AD46" s="22"/>
      <c r="AE46" s="1"/>
      <c r="AF46" s="1"/>
      <c r="AG46" s="1"/>
    </row>
    <row r="47" spans="2:33" ht="14.45" customHeight="1" outlineLevel="1" x14ac:dyDescent="0.25">
      <c r="B47" s="4" t="s">
        <v>195</v>
      </c>
      <c r="C47" s="5" t="s">
        <v>196</v>
      </c>
      <c r="D47" s="24">
        <f>+'[1]T01.00'!D43</f>
        <v>0</v>
      </c>
      <c r="E47" s="25">
        <f>+'[1]T01.00'!F43</f>
        <v>0</v>
      </c>
      <c r="F47" s="25">
        <f>+'[1]T01.00'!H43</f>
        <v>0</v>
      </c>
      <c r="G47" s="25">
        <f>+'[1]T01.00'!J43</f>
        <v>0</v>
      </c>
      <c r="H47" s="25">
        <f>+'[1]T01.00'!L43</f>
        <v>0</v>
      </c>
      <c r="I47" s="27">
        <f>+'[1]T01.00'!N43</f>
        <v>0</v>
      </c>
      <c r="J47" s="25">
        <f>+'[1]T01.00'!P43</f>
        <v>0</v>
      </c>
      <c r="K47" s="25">
        <f>+'[1]T01.00'!R43</f>
        <v>0</v>
      </c>
      <c r="L47" s="25">
        <f>+'[1]T01.00'!T43</f>
        <v>0</v>
      </c>
      <c r="M47" s="25">
        <f>+'[1]T01.00'!V43</f>
        <v>0</v>
      </c>
      <c r="N47" s="69">
        <f>+'[1]T01.00'!X43</f>
        <v>0</v>
      </c>
      <c r="O47" s="28">
        <f>+'[1]T01.00'!Z43</f>
        <v>0</v>
      </c>
      <c r="P47" s="21"/>
      <c r="Q47" s="77"/>
      <c r="R47" s="91"/>
      <c r="S47" s="1"/>
      <c r="T47" s="32"/>
      <c r="U47" s="1"/>
      <c r="V47" s="1"/>
      <c r="W47" s="1"/>
      <c r="X47" s="1"/>
      <c r="Y47" s="20"/>
      <c r="Z47" s="1"/>
      <c r="AA47" s="1"/>
      <c r="AB47" s="35"/>
      <c r="AC47" s="1"/>
      <c r="AD47" s="22"/>
      <c r="AE47" s="1"/>
      <c r="AF47" s="1"/>
      <c r="AG47" s="1"/>
    </row>
    <row r="48" spans="2:33" ht="14.45" customHeight="1" outlineLevel="2" x14ac:dyDescent="0.25">
      <c r="B48" s="41" t="s">
        <v>162</v>
      </c>
      <c r="C48" s="5" t="s">
        <v>197</v>
      </c>
      <c r="D48" s="24">
        <f>+'[1]T01.00'!D44</f>
        <v>0</v>
      </c>
      <c r="E48" s="25">
        <f>+'[1]T01.00'!F44</f>
        <v>0</v>
      </c>
      <c r="F48" s="25">
        <f>+'[1]T01.00'!H44</f>
        <v>0</v>
      </c>
      <c r="G48" s="25">
        <f>+'[1]T01.00'!J44</f>
        <v>0</v>
      </c>
      <c r="H48" s="25">
        <f>+'[1]T01.00'!L44</f>
        <v>0</v>
      </c>
      <c r="I48" s="27">
        <f>+'[1]T01.00'!N44</f>
        <v>0</v>
      </c>
      <c r="J48" s="25">
        <f>+'[1]T01.00'!P44</f>
        <v>0</v>
      </c>
      <c r="K48" s="25">
        <f>+'[1]T01.00'!R44</f>
        <v>0</v>
      </c>
      <c r="L48" s="25">
        <f>+'[1]T01.00'!T44</f>
        <v>0</v>
      </c>
      <c r="M48" s="25">
        <f>+'[1]T01.00'!V44</f>
        <v>0</v>
      </c>
      <c r="N48" s="69">
        <f>+'[1]T01.00'!X44</f>
        <v>0</v>
      </c>
      <c r="O48" s="28">
        <f>+'[1]T01.00'!Z44</f>
        <v>0</v>
      </c>
      <c r="P48" s="21"/>
      <c r="Q48" s="77"/>
      <c r="R48" s="91"/>
      <c r="S48" s="1"/>
      <c r="T48" s="32"/>
      <c r="U48" s="1"/>
      <c r="V48" s="1"/>
      <c r="W48" s="1"/>
      <c r="X48" s="42"/>
      <c r="Y48" s="20"/>
      <c r="Z48" s="1"/>
      <c r="AA48" s="1"/>
      <c r="AB48" s="35"/>
      <c r="AC48" s="1"/>
      <c r="AD48" s="22"/>
      <c r="AE48" s="1"/>
      <c r="AF48" s="23"/>
      <c r="AG48" s="1"/>
    </row>
    <row r="49" spans="2:33" ht="14.45" customHeight="1" outlineLevel="2" x14ac:dyDescent="0.25">
      <c r="B49" s="41" t="s">
        <v>164</v>
      </c>
      <c r="C49" s="5" t="s">
        <v>198</v>
      </c>
      <c r="D49" s="24">
        <f>+'[1]T01.00'!D45</f>
        <v>0</v>
      </c>
      <c r="E49" s="25">
        <f>+'[1]T01.00'!F45</f>
        <v>0</v>
      </c>
      <c r="F49" s="25">
        <f>+'[1]T01.00'!H45</f>
        <v>0</v>
      </c>
      <c r="G49" s="25">
        <f>+'[1]T01.00'!J45</f>
        <v>0</v>
      </c>
      <c r="H49" s="25">
        <f>+'[1]T01.00'!L45</f>
        <v>0</v>
      </c>
      <c r="I49" s="27">
        <f>+'[1]T01.00'!N45</f>
        <v>0</v>
      </c>
      <c r="J49" s="25">
        <f>+'[1]T01.00'!P45</f>
        <v>0</v>
      </c>
      <c r="K49" s="25">
        <f>+'[1]T01.00'!R45</f>
        <v>0</v>
      </c>
      <c r="L49" s="25">
        <f>+'[1]T01.00'!T45</f>
        <v>0</v>
      </c>
      <c r="M49" s="25">
        <f>+'[1]T01.00'!V45</f>
        <v>0</v>
      </c>
      <c r="N49" s="69">
        <f>+'[1]T01.00'!X45</f>
        <v>0</v>
      </c>
      <c r="O49" s="28">
        <f>+'[1]T01.00'!Z45</f>
        <v>0</v>
      </c>
      <c r="P49" s="21"/>
      <c r="Q49" s="77"/>
      <c r="R49" s="91"/>
      <c r="S49" s="1"/>
      <c r="T49" s="32"/>
      <c r="U49" s="1"/>
      <c r="V49" s="1"/>
      <c r="W49" s="1"/>
      <c r="X49" s="42"/>
      <c r="Y49" s="20"/>
      <c r="Z49" s="1"/>
      <c r="AA49" s="1"/>
      <c r="AB49" s="35"/>
      <c r="AC49" s="1"/>
      <c r="AD49" s="22"/>
      <c r="AE49" s="1"/>
      <c r="AF49" s="23"/>
      <c r="AG49" s="1"/>
    </row>
    <row r="50" spans="2:33" ht="14.45" customHeight="1" outlineLevel="2" x14ac:dyDescent="0.25">
      <c r="B50" s="41" t="s">
        <v>166</v>
      </c>
      <c r="C50" s="5" t="s">
        <v>199</v>
      </c>
      <c r="D50" s="24">
        <f>+'[1]T01.00'!D46</f>
        <v>0</v>
      </c>
      <c r="E50" s="25">
        <f>+'[1]T01.00'!F46</f>
        <v>0</v>
      </c>
      <c r="F50" s="25">
        <f>+'[1]T01.00'!H46</f>
        <v>0</v>
      </c>
      <c r="G50" s="25">
        <f>+'[1]T01.00'!J46</f>
        <v>0</v>
      </c>
      <c r="H50" s="25">
        <f>+'[1]T01.00'!L46</f>
        <v>0</v>
      </c>
      <c r="I50" s="27">
        <f>+'[1]T01.00'!N46</f>
        <v>0</v>
      </c>
      <c r="J50" s="25">
        <f>+'[1]T01.00'!P46</f>
        <v>0</v>
      </c>
      <c r="K50" s="25">
        <f>+'[1]T01.00'!R46</f>
        <v>0</v>
      </c>
      <c r="L50" s="25">
        <f>+'[1]T01.00'!T46</f>
        <v>0</v>
      </c>
      <c r="M50" s="25">
        <f>+'[1]T01.00'!V46</f>
        <v>0</v>
      </c>
      <c r="N50" s="69">
        <f>+'[1]T01.00'!X46</f>
        <v>0</v>
      </c>
      <c r="O50" s="28">
        <f>+'[1]T01.00'!Z46</f>
        <v>0</v>
      </c>
      <c r="P50" s="21"/>
      <c r="Q50" s="77"/>
      <c r="R50" s="91"/>
      <c r="S50" s="1"/>
      <c r="T50" s="32"/>
      <c r="U50" s="1"/>
      <c r="V50" s="1"/>
      <c r="W50" s="1"/>
      <c r="X50" s="42"/>
      <c r="Y50" s="20"/>
      <c r="Z50" s="1"/>
      <c r="AA50" s="1"/>
      <c r="AB50" s="35"/>
      <c r="AC50" s="1"/>
      <c r="AD50" s="22"/>
      <c r="AE50" s="1"/>
      <c r="AF50" s="1"/>
      <c r="AG50" s="1"/>
    </row>
    <row r="51" spans="2:33" ht="14.45" customHeight="1" outlineLevel="2" x14ac:dyDescent="0.25">
      <c r="B51" s="41" t="s">
        <v>168</v>
      </c>
      <c r="C51" s="5" t="s">
        <v>200</v>
      </c>
      <c r="D51" s="24">
        <f>+'[1]T01.00'!D47</f>
        <v>0</v>
      </c>
      <c r="E51" s="25">
        <f>+'[1]T01.00'!F47</f>
        <v>0</v>
      </c>
      <c r="F51" s="25">
        <f>+'[1]T01.00'!H47</f>
        <v>0</v>
      </c>
      <c r="G51" s="25">
        <f>+'[1]T01.00'!J47</f>
        <v>0</v>
      </c>
      <c r="H51" s="25">
        <f>+'[1]T01.00'!L47</f>
        <v>0</v>
      </c>
      <c r="I51" s="27">
        <f>+'[1]T01.00'!N47</f>
        <v>0</v>
      </c>
      <c r="J51" s="25">
        <f>+'[1]T01.00'!P47</f>
        <v>0</v>
      </c>
      <c r="K51" s="25">
        <f>+'[1]T01.00'!R47</f>
        <v>0</v>
      </c>
      <c r="L51" s="25">
        <f>+'[1]T01.00'!T47</f>
        <v>0</v>
      </c>
      <c r="M51" s="25">
        <f>+'[1]T01.00'!V47</f>
        <v>0</v>
      </c>
      <c r="N51" s="69">
        <f>+'[1]T01.00'!X47</f>
        <v>0</v>
      </c>
      <c r="O51" s="28">
        <f>+'[1]T01.00'!Z47</f>
        <v>0</v>
      </c>
      <c r="P51" s="21"/>
      <c r="Q51" s="77"/>
      <c r="R51" s="91"/>
      <c r="S51" s="1"/>
      <c r="T51" s="32"/>
      <c r="U51" s="1"/>
      <c r="V51" s="1"/>
      <c r="W51" s="1"/>
      <c r="X51" s="42"/>
      <c r="Y51" s="20"/>
      <c r="Z51" s="1"/>
      <c r="AA51" s="1"/>
      <c r="AB51" s="35"/>
      <c r="AC51" s="1"/>
      <c r="AD51" s="22"/>
      <c r="AE51" s="1"/>
      <c r="AF51" s="1"/>
      <c r="AG51" s="1"/>
    </row>
    <row r="52" spans="2:33" ht="14.45" customHeight="1" outlineLevel="1" x14ac:dyDescent="0.25">
      <c r="B52" s="4" t="s">
        <v>201</v>
      </c>
      <c r="C52" s="5" t="s">
        <v>202</v>
      </c>
      <c r="D52" s="24">
        <f>+'[1]T01.00'!D48</f>
        <v>0</v>
      </c>
      <c r="E52" s="25">
        <f>+'[1]T01.00'!F48</f>
        <v>0</v>
      </c>
      <c r="F52" s="25">
        <f>+'[1]T01.00'!H48</f>
        <v>0</v>
      </c>
      <c r="G52" s="25">
        <f>+'[1]T01.00'!J48</f>
        <v>1112557441.0999999</v>
      </c>
      <c r="H52" s="25">
        <f>+'[1]T01.00'!L48</f>
        <v>0</v>
      </c>
      <c r="I52" s="27">
        <f>+'[1]T01.00'!N48</f>
        <v>0</v>
      </c>
      <c r="J52" s="25">
        <f>+'[1]T01.00'!P48</f>
        <v>0</v>
      </c>
      <c r="K52" s="25">
        <f>+'[1]T01.00'!R48</f>
        <v>0</v>
      </c>
      <c r="L52" s="25">
        <f>+'[1]T01.00'!T48</f>
        <v>0</v>
      </c>
      <c r="M52" s="25">
        <f>+'[1]T01.00'!V48</f>
        <v>1112557441.0999999</v>
      </c>
      <c r="N52" s="69">
        <f>+'[1]T01.00'!X48</f>
        <v>1112557441.0999999</v>
      </c>
      <c r="O52" s="28">
        <f>+'[1]T01.00'!Z48</f>
        <v>0</v>
      </c>
      <c r="P52" s="21"/>
      <c r="Q52" s="77"/>
      <c r="R52" s="91"/>
      <c r="S52" s="1"/>
      <c r="T52" s="32"/>
      <c r="U52" s="1"/>
      <c r="V52" s="1"/>
      <c r="W52" s="1"/>
      <c r="X52" s="1"/>
      <c r="Y52" s="20"/>
      <c r="Z52" s="1"/>
      <c r="AA52" s="1"/>
      <c r="AB52" s="35"/>
      <c r="AC52" s="1"/>
      <c r="AD52" s="22"/>
      <c r="AE52" s="1"/>
      <c r="AF52" s="1"/>
      <c r="AG52" s="1"/>
    </row>
    <row r="53" spans="2:33" ht="14.45" customHeight="1" outlineLevel="2" x14ac:dyDescent="0.25">
      <c r="B53" s="41" t="s">
        <v>203</v>
      </c>
      <c r="C53" s="5" t="s">
        <v>204</v>
      </c>
      <c r="D53" s="24">
        <f>+'[1]T01.00'!D49</f>
        <v>0</v>
      </c>
      <c r="E53" s="25">
        <f>+'[1]T01.00'!F49</f>
        <v>0</v>
      </c>
      <c r="F53" s="25">
        <f>+'[1]T01.00'!H49</f>
        <v>0</v>
      </c>
      <c r="G53" s="25">
        <f>+'[1]T01.00'!J49</f>
        <v>0</v>
      </c>
      <c r="H53" s="25">
        <f>+'[1]T01.00'!L49</f>
        <v>0</v>
      </c>
      <c r="I53" s="27">
        <f>+'[1]T01.00'!N49</f>
        <v>0</v>
      </c>
      <c r="J53" s="25">
        <f>+'[1]T01.00'!P49</f>
        <v>0</v>
      </c>
      <c r="K53" s="25">
        <f>+'[1]T01.00'!R49</f>
        <v>0</v>
      </c>
      <c r="L53" s="25">
        <f>+'[1]T01.00'!T49</f>
        <v>0</v>
      </c>
      <c r="M53" s="25">
        <f>+'[1]T01.00'!V49</f>
        <v>0</v>
      </c>
      <c r="N53" s="69">
        <f>+'[1]T01.00'!X49</f>
        <v>0</v>
      </c>
      <c r="O53" s="28">
        <f>+'[1]T01.00'!Z49</f>
        <v>0</v>
      </c>
      <c r="P53" s="21"/>
      <c r="Q53" s="77"/>
      <c r="R53" s="91"/>
      <c r="S53" s="1"/>
      <c r="T53" s="32"/>
      <c r="U53" s="1"/>
      <c r="V53" s="1"/>
      <c r="W53" s="1"/>
      <c r="X53" s="42"/>
      <c r="Y53" s="20"/>
      <c r="Z53" s="1"/>
      <c r="AA53" s="1"/>
      <c r="AB53" s="35"/>
      <c r="AC53" s="1"/>
      <c r="AD53" s="22"/>
      <c r="AE53" s="1"/>
      <c r="AF53" s="23"/>
      <c r="AG53" s="1"/>
    </row>
    <row r="54" spans="2:33" ht="14.45" customHeight="1" outlineLevel="2" x14ac:dyDescent="0.25">
      <c r="B54" s="41" t="s">
        <v>205</v>
      </c>
      <c r="C54" s="5" t="s">
        <v>206</v>
      </c>
      <c r="D54" s="24">
        <f>+'[1]T01.00'!D50</f>
        <v>0</v>
      </c>
      <c r="E54" s="25">
        <f>+'[1]T01.00'!F50</f>
        <v>0</v>
      </c>
      <c r="F54" s="25">
        <f>+'[1]T01.00'!H50</f>
        <v>0</v>
      </c>
      <c r="G54" s="25">
        <f>+'[1]T01.00'!J50</f>
        <v>0</v>
      </c>
      <c r="H54" s="25">
        <f>+'[1]T01.00'!L50</f>
        <v>0</v>
      </c>
      <c r="I54" s="27">
        <f>+'[1]T01.00'!N50</f>
        <v>0</v>
      </c>
      <c r="J54" s="25">
        <f>+'[1]T01.00'!P50</f>
        <v>0</v>
      </c>
      <c r="K54" s="25">
        <f>+'[1]T01.00'!R50</f>
        <v>0</v>
      </c>
      <c r="L54" s="25">
        <f>+'[1]T01.00'!T50</f>
        <v>0</v>
      </c>
      <c r="M54" s="25">
        <f>+'[1]T01.00'!V50</f>
        <v>0</v>
      </c>
      <c r="N54" s="69">
        <f>+'[1]T01.00'!X50</f>
        <v>0</v>
      </c>
      <c r="O54" s="28">
        <f>+'[1]T01.00'!Z50</f>
        <v>0</v>
      </c>
      <c r="P54" s="21"/>
      <c r="Q54" s="77"/>
      <c r="R54" s="91"/>
      <c r="S54" s="1"/>
      <c r="T54" s="32"/>
      <c r="U54" s="1"/>
      <c r="V54" s="1"/>
      <c r="W54" s="1"/>
      <c r="X54" s="42"/>
      <c r="Y54" s="20"/>
      <c r="Z54" s="1"/>
      <c r="AA54" s="1"/>
      <c r="AB54" s="35"/>
      <c r="AC54" s="1"/>
      <c r="AD54" s="22"/>
      <c r="AE54" s="1"/>
      <c r="AF54" s="23"/>
      <c r="AG54" s="1"/>
    </row>
    <row r="55" spans="2:33" ht="14.45" customHeight="1" outlineLevel="2" x14ac:dyDescent="0.25">
      <c r="B55" s="41" t="s">
        <v>207</v>
      </c>
      <c r="C55" s="5" t="s">
        <v>208</v>
      </c>
      <c r="D55" s="24">
        <f>+'[1]T01.00'!D51</f>
        <v>0</v>
      </c>
      <c r="E55" s="25">
        <f>+'[1]T01.00'!F51</f>
        <v>0</v>
      </c>
      <c r="F55" s="25">
        <f>+'[1]T01.00'!H51</f>
        <v>0</v>
      </c>
      <c r="G55" s="25">
        <f>+'[1]T01.00'!J51</f>
        <v>0</v>
      </c>
      <c r="H55" s="25">
        <f>+'[1]T01.00'!L51</f>
        <v>0</v>
      </c>
      <c r="I55" s="27">
        <f>+'[1]T01.00'!N51</f>
        <v>0</v>
      </c>
      <c r="J55" s="25">
        <f>+'[1]T01.00'!P51</f>
        <v>0</v>
      </c>
      <c r="K55" s="25">
        <f>+'[1]T01.00'!R51</f>
        <v>0</v>
      </c>
      <c r="L55" s="25">
        <f>+'[1]T01.00'!T51</f>
        <v>0</v>
      </c>
      <c r="M55" s="25">
        <f>+'[1]T01.00'!V51</f>
        <v>0</v>
      </c>
      <c r="N55" s="69">
        <f>+'[1]T01.00'!X51</f>
        <v>0</v>
      </c>
      <c r="O55" s="28">
        <f>+'[1]T01.00'!Z51</f>
        <v>0</v>
      </c>
      <c r="P55" s="21"/>
      <c r="Q55" s="77"/>
      <c r="R55" s="91"/>
      <c r="S55" s="1"/>
      <c r="T55" s="32"/>
      <c r="U55" s="1"/>
      <c r="V55" s="1"/>
      <c r="W55" s="1"/>
      <c r="X55" s="42"/>
      <c r="Y55" s="20"/>
      <c r="Z55" s="1"/>
      <c r="AA55" s="1"/>
      <c r="AB55" s="35"/>
      <c r="AC55" s="1"/>
      <c r="AD55" s="22"/>
      <c r="AE55" s="1"/>
      <c r="AF55" s="1"/>
      <c r="AG55" s="1"/>
    </row>
    <row r="56" spans="2:33" ht="14.45" customHeight="1" outlineLevel="2" x14ac:dyDescent="0.25">
      <c r="B56" s="41" t="s">
        <v>209</v>
      </c>
      <c r="C56" s="5" t="s">
        <v>210</v>
      </c>
      <c r="D56" s="24">
        <f>+'[1]T01.00'!D52</f>
        <v>0</v>
      </c>
      <c r="E56" s="25">
        <f>+'[1]T01.00'!F52</f>
        <v>0</v>
      </c>
      <c r="F56" s="25">
        <f>+'[1]T01.00'!H52</f>
        <v>0</v>
      </c>
      <c r="G56" s="25">
        <f>+'[1]T01.00'!J52</f>
        <v>1112557441.0999999</v>
      </c>
      <c r="H56" s="25">
        <f>+'[1]T01.00'!L52</f>
        <v>0</v>
      </c>
      <c r="I56" s="27">
        <f>+'[1]T01.00'!N52</f>
        <v>0</v>
      </c>
      <c r="J56" s="25">
        <f>+'[1]T01.00'!P52</f>
        <v>0</v>
      </c>
      <c r="K56" s="25">
        <f>+'[1]T01.00'!R52</f>
        <v>0</v>
      </c>
      <c r="L56" s="25">
        <f>+'[1]T01.00'!T52</f>
        <v>0</v>
      </c>
      <c r="M56" s="25">
        <f>+'[1]T01.00'!V52</f>
        <v>1112557441.0999999</v>
      </c>
      <c r="N56" s="69">
        <f>+'[1]T01.00'!X52</f>
        <v>1112557441.0999999</v>
      </c>
      <c r="O56" s="28">
        <f>+'[1]T01.00'!Z52</f>
        <v>0</v>
      </c>
      <c r="P56" s="21"/>
      <c r="Q56" s="77"/>
      <c r="R56" s="91"/>
      <c r="S56" s="1"/>
      <c r="T56" s="32"/>
      <c r="U56" s="1"/>
      <c r="V56" s="1"/>
      <c r="W56" s="1"/>
      <c r="X56" s="42"/>
      <c r="Y56" s="20"/>
      <c r="Z56" s="1"/>
      <c r="AA56" s="1"/>
      <c r="AB56" s="35"/>
      <c r="AC56" s="1"/>
      <c r="AD56" s="22"/>
      <c r="AE56" s="1"/>
      <c r="AF56" s="1"/>
      <c r="AG56" s="1"/>
    </row>
    <row r="57" spans="2:33" ht="14.45" customHeight="1" outlineLevel="1" x14ac:dyDescent="0.25">
      <c r="B57" s="4" t="s">
        <v>211</v>
      </c>
      <c r="C57" s="5" t="s">
        <v>212</v>
      </c>
      <c r="D57" s="24">
        <f>+'[1]T01.00'!D53</f>
        <v>0</v>
      </c>
      <c r="E57" s="25">
        <f>+'[1]T01.00'!F53</f>
        <v>0</v>
      </c>
      <c r="F57" s="25">
        <f>+'[1]T01.00'!H53</f>
        <v>0</v>
      </c>
      <c r="G57" s="25">
        <f>+'[1]T01.00'!J53</f>
        <v>0</v>
      </c>
      <c r="H57" s="25">
        <f>+'[1]T01.00'!L53</f>
        <v>0</v>
      </c>
      <c r="I57" s="27">
        <f>+'[1]T01.00'!N53</f>
        <v>0</v>
      </c>
      <c r="J57" s="25">
        <f>+'[1]T01.00'!P53</f>
        <v>0</v>
      </c>
      <c r="K57" s="25">
        <f>+'[1]T01.00'!R53</f>
        <v>0</v>
      </c>
      <c r="L57" s="25">
        <f>+'[1]T01.00'!T53</f>
        <v>0</v>
      </c>
      <c r="M57" s="25">
        <f>+'[1]T01.00'!V53</f>
        <v>0</v>
      </c>
      <c r="N57" s="69">
        <f>+'[1]T01.00'!X53</f>
        <v>0</v>
      </c>
      <c r="O57" s="28">
        <f>+'[1]T01.00'!Z53</f>
        <v>0</v>
      </c>
      <c r="P57" s="21"/>
      <c r="Q57" s="77"/>
      <c r="R57" s="91"/>
      <c r="S57" s="43"/>
      <c r="T57" s="1"/>
      <c r="U57" s="1"/>
      <c r="V57" s="1"/>
      <c r="W57" s="1"/>
      <c r="X57" s="1"/>
      <c r="Y57" s="20"/>
      <c r="Z57" s="1"/>
      <c r="AA57" s="1"/>
      <c r="AB57" s="1"/>
      <c r="AC57" s="1"/>
      <c r="AD57" s="22"/>
      <c r="AE57" s="1"/>
      <c r="AF57" s="1"/>
      <c r="AG57" s="1"/>
    </row>
    <row r="58" spans="2:33" ht="14.45" customHeight="1" outlineLevel="2" x14ac:dyDescent="0.25">
      <c r="B58" s="41" t="s">
        <v>162</v>
      </c>
      <c r="C58" s="5" t="s">
        <v>213</v>
      </c>
      <c r="D58" s="24">
        <f>+'[1]T01.00'!D54</f>
        <v>0</v>
      </c>
      <c r="E58" s="25">
        <f>+'[1]T01.00'!F54</f>
        <v>0</v>
      </c>
      <c r="F58" s="25">
        <f>+'[1]T01.00'!H54</f>
        <v>0</v>
      </c>
      <c r="G58" s="25">
        <f>+'[1]T01.00'!J54</f>
        <v>0</v>
      </c>
      <c r="H58" s="25">
        <f>+'[1]T01.00'!L54</f>
        <v>0</v>
      </c>
      <c r="I58" s="27">
        <f>+'[1]T01.00'!N54</f>
        <v>0</v>
      </c>
      <c r="J58" s="25">
        <f>+'[1]T01.00'!P54</f>
        <v>0</v>
      </c>
      <c r="K58" s="25">
        <f>+'[1]T01.00'!R54</f>
        <v>0</v>
      </c>
      <c r="L58" s="25">
        <f>+'[1]T01.00'!T54</f>
        <v>0</v>
      </c>
      <c r="M58" s="25">
        <f>+'[1]T01.00'!V54</f>
        <v>0</v>
      </c>
      <c r="N58" s="69">
        <f>+'[1]T01.00'!X54</f>
        <v>0</v>
      </c>
      <c r="O58" s="28">
        <f>+'[1]T01.00'!Z54</f>
        <v>0</v>
      </c>
      <c r="P58" s="21"/>
      <c r="Q58" s="77"/>
      <c r="R58" s="91"/>
      <c r="S58" s="43"/>
      <c r="T58" s="1"/>
      <c r="U58" s="1"/>
      <c r="V58" s="1"/>
      <c r="W58" s="1"/>
      <c r="X58" s="42"/>
      <c r="Y58" s="20"/>
      <c r="Z58" s="1"/>
      <c r="AA58" s="1"/>
      <c r="AB58" s="1"/>
      <c r="AC58" s="1"/>
      <c r="AD58" s="22"/>
      <c r="AE58" s="1"/>
      <c r="AF58" s="23"/>
      <c r="AG58" s="1"/>
    </row>
    <row r="59" spans="2:33" ht="14.45" customHeight="1" outlineLevel="2" x14ac:dyDescent="0.25">
      <c r="B59" s="41" t="s">
        <v>164</v>
      </c>
      <c r="C59" s="5" t="s">
        <v>214</v>
      </c>
      <c r="D59" s="24">
        <f>+'[1]T01.00'!D55</f>
        <v>0</v>
      </c>
      <c r="E59" s="25">
        <f>+'[1]T01.00'!F55</f>
        <v>0</v>
      </c>
      <c r="F59" s="25">
        <f>+'[1]T01.00'!H55</f>
        <v>0</v>
      </c>
      <c r="G59" s="25">
        <f>+'[1]T01.00'!J55</f>
        <v>0</v>
      </c>
      <c r="H59" s="25">
        <f>+'[1]T01.00'!L55</f>
        <v>0</v>
      </c>
      <c r="I59" s="27">
        <f>+'[1]T01.00'!N55</f>
        <v>0</v>
      </c>
      <c r="J59" s="25">
        <f>+'[1]T01.00'!P55</f>
        <v>0</v>
      </c>
      <c r="K59" s="25">
        <f>+'[1]T01.00'!R55</f>
        <v>0</v>
      </c>
      <c r="L59" s="25">
        <f>+'[1]T01.00'!T55</f>
        <v>0</v>
      </c>
      <c r="M59" s="25">
        <f>+'[1]T01.00'!V55</f>
        <v>0</v>
      </c>
      <c r="N59" s="69">
        <f>+'[1]T01.00'!X55</f>
        <v>0</v>
      </c>
      <c r="O59" s="28">
        <f>+'[1]T01.00'!Z55</f>
        <v>0</v>
      </c>
      <c r="P59" s="21"/>
      <c r="Q59" s="77"/>
      <c r="R59" s="91"/>
      <c r="S59" s="43"/>
      <c r="T59" s="1"/>
      <c r="U59" s="1"/>
      <c r="V59" s="1"/>
      <c r="W59" s="1"/>
      <c r="X59" s="42"/>
      <c r="Y59" s="20"/>
      <c r="Z59" s="1"/>
      <c r="AA59" s="1"/>
      <c r="AB59" s="1"/>
      <c r="AC59" s="1"/>
      <c r="AD59" s="22"/>
      <c r="AE59" s="1"/>
      <c r="AF59" s="23"/>
      <c r="AG59" s="1"/>
    </row>
    <row r="60" spans="2:33" ht="14.45" customHeight="1" outlineLevel="2" x14ac:dyDescent="0.25">
      <c r="B60" s="41" t="s">
        <v>166</v>
      </c>
      <c r="C60" s="5" t="s">
        <v>215</v>
      </c>
      <c r="D60" s="24">
        <f>+'[1]T01.00'!D56</f>
        <v>0</v>
      </c>
      <c r="E60" s="25">
        <f>+'[1]T01.00'!F56</f>
        <v>0</v>
      </c>
      <c r="F60" s="25">
        <f>+'[1]T01.00'!H56</f>
        <v>0</v>
      </c>
      <c r="G60" s="25">
        <f>+'[1]T01.00'!J56</f>
        <v>0</v>
      </c>
      <c r="H60" s="25">
        <f>+'[1]T01.00'!L56</f>
        <v>0</v>
      </c>
      <c r="I60" s="27">
        <f>+'[1]T01.00'!N56</f>
        <v>0</v>
      </c>
      <c r="J60" s="25">
        <f>+'[1]T01.00'!P56</f>
        <v>0</v>
      </c>
      <c r="K60" s="25">
        <f>+'[1]T01.00'!R56</f>
        <v>0</v>
      </c>
      <c r="L60" s="25">
        <f>+'[1]T01.00'!T56</f>
        <v>0</v>
      </c>
      <c r="M60" s="25">
        <f>+'[1]T01.00'!V56</f>
        <v>0</v>
      </c>
      <c r="N60" s="69">
        <f>+'[1]T01.00'!X56</f>
        <v>0</v>
      </c>
      <c r="O60" s="28">
        <f>+'[1]T01.00'!Z56</f>
        <v>0</v>
      </c>
      <c r="P60" s="21"/>
      <c r="Q60" s="77"/>
      <c r="R60" s="91"/>
      <c r="S60" s="43"/>
      <c r="T60" s="1"/>
      <c r="U60" s="1"/>
      <c r="V60" s="1"/>
      <c r="W60" s="1"/>
      <c r="X60" s="42"/>
      <c r="Y60" s="20"/>
      <c r="Z60" s="1"/>
      <c r="AA60" s="1"/>
      <c r="AB60" s="1"/>
      <c r="AC60" s="1"/>
      <c r="AD60" s="22"/>
      <c r="AE60" s="1"/>
      <c r="AF60" s="1"/>
      <c r="AG60" s="1"/>
    </row>
    <row r="61" spans="2:33" ht="14.45" customHeight="1" outlineLevel="2" x14ac:dyDescent="0.25">
      <c r="B61" s="41" t="s">
        <v>168</v>
      </c>
      <c r="C61" s="5" t="s">
        <v>216</v>
      </c>
      <c r="D61" s="24">
        <f>+'[1]T01.00'!D57</f>
        <v>0</v>
      </c>
      <c r="E61" s="25">
        <f>+'[1]T01.00'!F57</f>
        <v>0</v>
      </c>
      <c r="F61" s="25">
        <f>+'[1]T01.00'!H57</f>
        <v>0</v>
      </c>
      <c r="G61" s="25">
        <f>+'[1]T01.00'!J57</f>
        <v>0</v>
      </c>
      <c r="H61" s="25">
        <f>+'[1]T01.00'!L57</f>
        <v>0</v>
      </c>
      <c r="I61" s="27">
        <f>+'[1]T01.00'!N57</f>
        <v>0</v>
      </c>
      <c r="J61" s="25">
        <f>+'[1]T01.00'!P57</f>
        <v>0</v>
      </c>
      <c r="K61" s="25">
        <f>+'[1]T01.00'!R57</f>
        <v>0</v>
      </c>
      <c r="L61" s="25">
        <f>+'[1]T01.00'!T57</f>
        <v>0</v>
      </c>
      <c r="M61" s="25">
        <f>+'[1]T01.00'!V57</f>
        <v>0</v>
      </c>
      <c r="N61" s="69">
        <f>+'[1]T01.00'!X57</f>
        <v>0</v>
      </c>
      <c r="O61" s="28">
        <f>+'[1]T01.00'!Z57</f>
        <v>0</v>
      </c>
      <c r="P61" s="21"/>
      <c r="Q61" s="77"/>
      <c r="R61" s="91"/>
      <c r="S61" s="43"/>
      <c r="T61" s="1"/>
      <c r="U61" s="1"/>
      <c r="V61" s="1"/>
      <c r="W61" s="1"/>
      <c r="X61" s="42"/>
      <c r="Y61" s="20"/>
      <c r="Z61" s="1"/>
      <c r="AA61" s="1"/>
      <c r="AB61" s="1"/>
      <c r="AC61" s="1"/>
      <c r="AD61" s="22"/>
      <c r="AE61" s="1"/>
      <c r="AF61" s="1"/>
      <c r="AG61" s="1"/>
    </row>
    <row r="62" spans="2:33" ht="14.45" customHeight="1" outlineLevel="1" x14ac:dyDescent="0.25">
      <c r="B62" s="4" t="s">
        <v>217</v>
      </c>
      <c r="C62" s="5" t="s">
        <v>218</v>
      </c>
      <c r="D62" s="24">
        <f>+'[1]T01.00'!D58</f>
        <v>0</v>
      </c>
      <c r="E62" s="25">
        <f>+'[1]T01.00'!F58</f>
        <v>0</v>
      </c>
      <c r="F62" s="25">
        <f>+'[1]T01.00'!H58</f>
        <v>0</v>
      </c>
      <c r="G62" s="25">
        <f>+'[1]T01.00'!J58</f>
        <v>0</v>
      </c>
      <c r="H62" s="25">
        <f>+'[1]T01.00'!L58</f>
        <v>0</v>
      </c>
      <c r="I62" s="27">
        <f>+'[1]T01.00'!N58</f>
        <v>0</v>
      </c>
      <c r="J62" s="25">
        <f>+'[1]T01.00'!P58</f>
        <v>0</v>
      </c>
      <c r="K62" s="25">
        <f>+'[1]T01.00'!R58</f>
        <v>0</v>
      </c>
      <c r="L62" s="25">
        <f>+'[1]T01.00'!T58</f>
        <v>0</v>
      </c>
      <c r="M62" s="25">
        <f>+'[1]T01.00'!V58</f>
        <v>0</v>
      </c>
      <c r="N62" s="69">
        <f>+'[1]T01.00'!X58</f>
        <v>0</v>
      </c>
      <c r="O62" s="28">
        <f>+'[1]T01.00'!Z58</f>
        <v>0</v>
      </c>
      <c r="P62" s="21"/>
      <c r="Q62" s="77"/>
      <c r="R62" s="91"/>
      <c r="S62" s="1"/>
      <c r="T62" s="1"/>
      <c r="U62" s="1"/>
      <c r="V62" s="1"/>
      <c r="W62" s="1"/>
      <c r="X62" s="1"/>
      <c r="Y62" s="1"/>
      <c r="Z62" s="1"/>
      <c r="AA62" s="1"/>
      <c r="AB62" s="1"/>
      <c r="AC62" s="1"/>
      <c r="AD62" s="22"/>
      <c r="AE62" s="1"/>
      <c r="AF62" s="23"/>
      <c r="AG62" s="1"/>
    </row>
    <row r="63" spans="2:33" ht="14.45" customHeight="1" outlineLevel="2" x14ac:dyDescent="0.25">
      <c r="B63" s="41" t="s">
        <v>166</v>
      </c>
      <c r="C63" s="5" t="s">
        <v>219</v>
      </c>
      <c r="D63" s="24">
        <f>+'[1]T01.00'!D59</f>
        <v>0</v>
      </c>
      <c r="E63" s="25">
        <f>+'[1]T01.00'!F59</f>
        <v>0</v>
      </c>
      <c r="F63" s="25">
        <f>+'[1]T01.00'!H59</f>
        <v>0</v>
      </c>
      <c r="G63" s="25">
        <f>+'[1]T01.00'!J59</f>
        <v>0</v>
      </c>
      <c r="H63" s="25">
        <f>+'[1]T01.00'!L59</f>
        <v>0</v>
      </c>
      <c r="I63" s="27">
        <f>+'[1]T01.00'!N59</f>
        <v>0</v>
      </c>
      <c r="J63" s="25">
        <f>+'[1]T01.00'!P59</f>
        <v>0</v>
      </c>
      <c r="K63" s="25">
        <f>+'[1]T01.00'!R59</f>
        <v>0</v>
      </c>
      <c r="L63" s="25">
        <f>+'[1]T01.00'!T59</f>
        <v>0</v>
      </c>
      <c r="M63" s="25">
        <f>+'[1]T01.00'!V59</f>
        <v>0</v>
      </c>
      <c r="N63" s="69">
        <f>+'[1]T01.00'!X59</f>
        <v>0</v>
      </c>
      <c r="O63" s="28">
        <f>+'[1]T01.00'!Z59</f>
        <v>0</v>
      </c>
      <c r="P63" s="21"/>
      <c r="Q63" s="77"/>
      <c r="R63" s="91"/>
      <c r="S63" s="1"/>
      <c r="T63" s="1"/>
      <c r="U63" s="1"/>
      <c r="V63" s="1"/>
      <c r="W63" s="1"/>
      <c r="X63" s="42"/>
      <c r="Y63" s="1"/>
      <c r="Z63" s="1"/>
      <c r="AA63" s="1"/>
      <c r="AB63" s="1"/>
      <c r="AC63" s="1"/>
      <c r="AD63" s="22"/>
      <c r="AE63" s="1"/>
      <c r="AF63" s="23"/>
      <c r="AG63" s="1"/>
    </row>
    <row r="64" spans="2:33" ht="14.45" customHeight="1" outlineLevel="2" x14ac:dyDescent="0.25">
      <c r="B64" s="41" t="s">
        <v>168</v>
      </c>
      <c r="C64" s="5" t="s">
        <v>220</v>
      </c>
      <c r="D64" s="24">
        <f>+'[1]T01.00'!D60</f>
        <v>0</v>
      </c>
      <c r="E64" s="25">
        <f>+'[1]T01.00'!F60</f>
        <v>0</v>
      </c>
      <c r="F64" s="25">
        <f>+'[1]T01.00'!H60</f>
        <v>0</v>
      </c>
      <c r="G64" s="25">
        <f>+'[1]T01.00'!J60</f>
        <v>0</v>
      </c>
      <c r="H64" s="25">
        <f>+'[1]T01.00'!L60</f>
        <v>0</v>
      </c>
      <c r="I64" s="27">
        <f>+'[1]T01.00'!N60</f>
        <v>0</v>
      </c>
      <c r="J64" s="25">
        <f>+'[1]T01.00'!P60</f>
        <v>0</v>
      </c>
      <c r="K64" s="25">
        <f>+'[1]T01.00'!R60</f>
        <v>0</v>
      </c>
      <c r="L64" s="25">
        <f>+'[1]T01.00'!T60</f>
        <v>0</v>
      </c>
      <c r="M64" s="25">
        <f>+'[1]T01.00'!V60</f>
        <v>0</v>
      </c>
      <c r="N64" s="69">
        <f>+'[1]T01.00'!X60</f>
        <v>0</v>
      </c>
      <c r="O64" s="28">
        <f>+'[1]T01.00'!Z60</f>
        <v>0</v>
      </c>
      <c r="P64" s="21"/>
      <c r="Q64" s="77"/>
      <c r="R64" s="91"/>
      <c r="S64" s="1"/>
      <c r="T64" s="1"/>
      <c r="U64" s="1"/>
      <c r="V64" s="1"/>
      <c r="W64" s="1"/>
      <c r="X64" s="42"/>
      <c r="Y64" s="1"/>
      <c r="Z64" s="1"/>
      <c r="AA64" s="1"/>
      <c r="AB64" s="1"/>
      <c r="AC64" s="1"/>
      <c r="AD64" s="22"/>
      <c r="AE64" s="1"/>
      <c r="AF64" s="23"/>
      <c r="AG64" s="1"/>
    </row>
    <row r="65" spans="2:33" ht="14.45" customHeight="1" outlineLevel="1" x14ac:dyDescent="0.25">
      <c r="B65" s="4" t="s">
        <v>221</v>
      </c>
      <c r="C65" s="5" t="s">
        <v>222</v>
      </c>
      <c r="D65" s="24">
        <f>+'[1]T01.00'!D61</f>
        <v>211686742.49023554</v>
      </c>
      <c r="E65" s="25">
        <f>+'[1]T01.00'!F61</f>
        <v>24046020.500001155</v>
      </c>
      <c r="F65" s="25">
        <f>+'[1]T01.00'!H61</f>
        <v>35186512.710004985</v>
      </c>
      <c r="G65" s="25">
        <f>+'[1]T01.00'!J61</f>
        <v>126640.03999999957</v>
      </c>
      <c r="H65" s="25">
        <f>+'[1]T01.00'!L61</f>
        <v>11737872.333708001</v>
      </c>
      <c r="I65" s="27">
        <f>+'[1]T01.00'!N61</f>
        <v>1453959.9988650002</v>
      </c>
      <c r="J65" s="25">
        <f>+'[1]T01.00'!P61</f>
        <v>1130756.24</v>
      </c>
      <c r="K65" s="25">
        <f>+'[1]T01.00'!R61</f>
        <v>0</v>
      </c>
      <c r="L65" s="25">
        <f>+'[1]T01.00'!T61</f>
        <v>351815502.32178694</v>
      </c>
      <c r="M65" s="25">
        <f>+'[1]T01.00'!V61</f>
        <v>635730046.6357367</v>
      </c>
      <c r="N65" s="69">
        <f>+'[1]T01.00'!X61</f>
        <v>1453959.9988650004</v>
      </c>
      <c r="O65" s="28">
        <f>+'[1]T01.00'!Z61</f>
        <v>0</v>
      </c>
      <c r="P65" s="21"/>
      <c r="Q65" s="77"/>
      <c r="R65" s="91"/>
      <c r="S65" s="1"/>
      <c r="T65" s="1"/>
      <c r="U65" s="34"/>
      <c r="V65" s="1"/>
      <c r="W65" s="1"/>
      <c r="X65" s="1"/>
      <c r="Y65" s="1"/>
      <c r="Z65" s="1"/>
      <c r="AA65" s="1"/>
      <c r="AB65" s="1"/>
      <c r="AC65" s="1"/>
      <c r="AD65" s="22"/>
      <c r="AE65" s="1"/>
      <c r="AF65" s="1"/>
      <c r="AG65" s="1"/>
    </row>
    <row r="66" spans="2:33" ht="14.45" customHeight="1" outlineLevel="1" x14ac:dyDescent="0.25">
      <c r="B66" s="4" t="s">
        <v>223</v>
      </c>
      <c r="C66" s="5" t="s">
        <v>224</v>
      </c>
      <c r="D66" s="24">
        <f>+'[1]T01.00'!D62</f>
        <v>0</v>
      </c>
      <c r="E66" s="25">
        <f>+'[1]T01.00'!F62</f>
        <v>0</v>
      </c>
      <c r="F66" s="25">
        <f>+'[1]T01.00'!H62</f>
        <v>0</v>
      </c>
      <c r="G66" s="25">
        <f>+'[1]T01.00'!J62</f>
        <v>0</v>
      </c>
      <c r="H66" s="25">
        <f>+'[1]T01.00'!L62</f>
        <v>0</v>
      </c>
      <c r="I66" s="27">
        <f>+'[1]T01.00'!N62</f>
        <v>0</v>
      </c>
      <c r="J66" s="25">
        <f>+'[1]T01.00'!P62</f>
        <v>0</v>
      </c>
      <c r="K66" s="25">
        <f>+'[1]T01.00'!R62</f>
        <v>0</v>
      </c>
      <c r="L66" s="25">
        <f>+'[1]T01.00'!T62</f>
        <v>0</v>
      </c>
      <c r="M66" s="25">
        <f>+'[1]T01.00'!V62</f>
        <v>0</v>
      </c>
      <c r="N66" s="69">
        <f>+'[1]T01.00'!X62</f>
        <v>0</v>
      </c>
      <c r="O66" s="28">
        <f>+'[1]T01.00'!Z62</f>
        <v>0</v>
      </c>
      <c r="P66" s="21"/>
      <c r="Q66" s="77"/>
      <c r="R66" s="91"/>
      <c r="S66" s="43"/>
      <c r="T66" s="1"/>
      <c r="U66" s="1"/>
      <c r="V66" s="1"/>
      <c r="W66" s="1"/>
      <c r="X66" s="1"/>
      <c r="Y66" s="1"/>
      <c r="Z66" s="1"/>
      <c r="AA66" s="1"/>
      <c r="AB66" s="1"/>
      <c r="AC66" s="1"/>
      <c r="AD66" s="22"/>
      <c r="AE66" s="1"/>
      <c r="AF66" s="23"/>
      <c r="AG66" s="1"/>
    </row>
    <row r="67" spans="2:33" ht="14.45" customHeight="1" x14ac:dyDescent="0.25">
      <c r="B67" s="13" t="s">
        <v>225</v>
      </c>
      <c r="C67" s="5" t="s">
        <v>226</v>
      </c>
      <c r="D67" s="36"/>
      <c r="E67" s="26"/>
      <c r="F67" s="26"/>
      <c r="G67" s="26"/>
      <c r="H67" s="26"/>
      <c r="I67" s="26"/>
      <c r="J67" s="26"/>
      <c r="K67" s="26"/>
      <c r="L67" s="26"/>
      <c r="M67" s="69">
        <f>+M68+M71+M73</f>
        <v>3424222367.3299999</v>
      </c>
      <c r="N67" s="82"/>
      <c r="O67" s="39"/>
      <c r="P67" s="21"/>
      <c r="Q67" s="77"/>
      <c r="R67" s="91"/>
      <c r="S67" s="43"/>
      <c r="T67" s="1"/>
      <c r="U67" s="1"/>
      <c r="V67" s="1"/>
      <c r="W67" s="1"/>
      <c r="X67" s="1"/>
      <c r="Y67" s="1"/>
      <c r="Z67" s="1"/>
      <c r="AA67" s="1"/>
      <c r="AB67" s="1"/>
      <c r="AC67" s="1"/>
      <c r="AD67" s="1"/>
      <c r="AE67" s="1"/>
      <c r="AF67" s="1"/>
      <c r="AG67" s="1"/>
    </row>
    <row r="68" spans="2:33" ht="14.45" customHeight="1" outlineLevel="1" x14ac:dyDescent="0.25">
      <c r="B68" s="4" t="s">
        <v>227</v>
      </c>
      <c r="C68" s="5" t="s">
        <v>228</v>
      </c>
      <c r="D68" s="36"/>
      <c r="E68" s="26"/>
      <c r="F68" s="26"/>
      <c r="G68" s="26"/>
      <c r="H68" s="26"/>
      <c r="I68" s="26"/>
      <c r="J68" s="26"/>
      <c r="K68" s="26"/>
      <c r="L68" s="26"/>
      <c r="M68" s="69">
        <f>+[2]C01!$D$9</f>
        <v>2749896277.0700002</v>
      </c>
      <c r="N68" s="82"/>
      <c r="O68" s="39"/>
      <c r="P68" s="21"/>
      <c r="Q68" s="77"/>
      <c r="R68" s="91"/>
      <c r="S68" s="43"/>
      <c r="T68" s="1"/>
      <c r="U68" s="1"/>
      <c r="V68" s="1"/>
      <c r="W68" s="1"/>
      <c r="X68" s="1"/>
      <c r="Y68" s="1"/>
      <c r="Z68" s="1"/>
      <c r="AA68" s="1"/>
      <c r="AB68" s="1"/>
      <c r="AC68" s="1"/>
      <c r="AD68" s="1"/>
      <c r="AE68" s="1"/>
      <c r="AF68" s="1"/>
      <c r="AG68" s="1"/>
    </row>
    <row r="69" spans="2:33" ht="14.45" customHeight="1" outlineLevel="2" x14ac:dyDescent="0.25">
      <c r="B69" s="41" t="s">
        <v>229</v>
      </c>
      <c r="C69" s="5" t="s">
        <v>230</v>
      </c>
      <c r="D69" s="24">
        <f>+'[1]T01.00'!D65</f>
        <v>0</v>
      </c>
      <c r="E69" s="25">
        <f>+'[1]T01.00'!F65</f>
        <v>0</v>
      </c>
      <c r="F69" s="25">
        <f>+'[1]T01.00'!H65</f>
        <v>0</v>
      </c>
      <c r="G69" s="25">
        <f>+'[1]T01.00'!J65</f>
        <v>1970351795</v>
      </c>
      <c r="H69" s="25">
        <f>+'[1]T01.00'!L65</f>
        <v>0</v>
      </c>
      <c r="I69" s="27">
        <f>+'[1]T01.00'!N65</f>
        <v>0</v>
      </c>
      <c r="J69" s="25">
        <f>+'[1]T01.00'!P65</f>
        <v>0</v>
      </c>
      <c r="K69" s="25">
        <f>+'[1]T01.00'!R65</f>
        <v>0</v>
      </c>
      <c r="L69" s="25">
        <f>+'[1]T01.00'!T65</f>
        <v>0</v>
      </c>
      <c r="M69" s="69">
        <f>+'[1]T01.00'!V65</f>
        <v>1970351795</v>
      </c>
      <c r="N69" s="69">
        <f>+'[1]T01.00'!X65</f>
        <v>1970351795</v>
      </c>
      <c r="O69" s="28">
        <f>+'[1]T01.00'!Z65</f>
        <v>0</v>
      </c>
      <c r="P69" s="21"/>
      <c r="Q69" s="77"/>
      <c r="R69" s="91"/>
      <c r="S69" s="43"/>
      <c r="T69" s="1"/>
      <c r="U69" s="1"/>
      <c r="V69" s="1"/>
      <c r="W69" s="1"/>
      <c r="X69" s="1"/>
      <c r="Y69" s="1"/>
      <c r="Z69" s="1"/>
      <c r="AA69" s="1"/>
      <c r="AB69" s="1"/>
      <c r="AC69" s="29"/>
      <c r="AD69" s="1"/>
      <c r="AE69" s="1"/>
      <c r="AF69" s="23"/>
      <c r="AG69" s="1"/>
    </row>
    <row r="70" spans="2:33" ht="14.45" customHeight="1" outlineLevel="2" x14ac:dyDescent="0.25">
      <c r="B70" s="41" t="s">
        <v>231</v>
      </c>
      <c r="C70" s="5" t="s">
        <v>232</v>
      </c>
      <c r="D70" s="24">
        <f>+'[1]T01.00'!D66</f>
        <v>0</v>
      </c>
      <c r="E70" s="25">
        <f>+'[1]T01.00'!F66</f>
        <v>0</v>
      </c>
      <c r="F70" s="25">
        <f>+'[1]T01.00'!H66</f>
        <v>0</v>
      </c>
      <c r="G70" s="25">
        <f>+'[1]T01.00'!J66</f>
        <v>0</v>
      </c>
      <c r="H70" s="25">
        <f>+'[1]T01.00'!L66</f>
        <v>0</v>
      </c>
      <c r="I70" s="27">
        <f>+'[1]T01.00'!N66</f>
        <v>0</v>
      </c>
      <c r="J70" s="25">
        <f>+'[1]T01.00'!P66</f>
        <v>0</v>
      </c>
      <c r="K70" s="25">
        <f>+'[1]T01.00'!R66</f>
        <v>0</v>
      </c>
      <c r="L70" s="25">
        <f>+'[1]T01.00'!T66</f>
        <v>0</v>
      </c>
      <c r="M70" s="69">
        <f>+'[1]T01.00'!V66</f>
        <v>0</v>
      </c>
      <c r="N70" s="69">
        <f>+'[1]T01.00'!X66</f>
        <v>0</v>
      </c>
      <c r="O70" s="28">
        <f>+'[1]T01.00'!Z66</f>
        <v>0</v>
      </c>
      <c r="P70" s="21"/>
      <c r="Q70" s="77"/>
      <c r="R70" s="91"/>
      <c r="S70" s="43"/>
      <c r="T70" s="1"/>
      <c r="U70" s="1"/>
      <c r="V70" s="1"/>
      <c r="W70" s="1"/>
      <c r="X70" s="1"/>
      <c r="Y70" s="1"/>
      <c r="Z70" s="1"/>
      <c r="AA70" s="1"/>
      <c r="AB70" s="1"/>
      <c r="AC70" s="29"/>
      <c r="AD70" s="1"/>
      <c r="AE70" s="1"/>
      <c r="AF70" s="23"/>
      <c r="AG70" s="1"/>
    </row>
    <row r="71" spans="2:33" ht="14.45" customHeight="1" outlineLevel="1" x14ac:dyDescent="0.25">
      <c r="B71" s="4" t="s">
        <v>233</v>
      </c>
      <c r="C71" s="5" t="s">
        <v>234</v>
      </c>
      <c r="D71" s="36"/>
      <c r="E71" s="26"/>
      <c r="F71" s="26"/>
      <c r="G71" s="26"/>
      <c r="H71" s="26"/>
      <c r="I71" s="26"/>
      <c r="J71" s="26"/>
      <c r="K71" s="26"/>
      <c r="L71" s="26"/>
      <c r="M71" s="69">
        <f>+[2]C01!$D$8-[2]C01!$D$9</f>
        <v>400000000</v>
      </c>
      <c r="N71" s="82"/>
      <c r="O71" s="39"/>
      <c r="P71" s="21"/>
      <c r="Q71" s="77"/>
      <c r="R71" s="91"/>
      <c r="S71" s="43"/>
      <c r="T71" s="1"/>
      <c r="U71" s="1"/>
      <c r="V71" s="1"/>
      <c r="W71" s="1"/>
      <c r="X71" s="1"/>
      <c r="Y71" s="1"/>
      <c r="Z71" s="1"/>
      <c r="AA71" s="1"/>
      <c r="AB71" s="1"/>
      <c r="AC71" s="1"/>
      <c r="AD71" s="1"/>
      <c r="AE71" s="1"/>
      <c r="AF71" s="1"/>
      <c r="AG71" s="1"/>
    </row>
    <row r="72" spans="2:33" ht="14.45" customHeight="1" outlineLevel="2" x14ac:dyDescent="0.25">
      <c r="B72" s="41" t="s">
        <v>235</v>
      </c>
      <c r="C72" s="5" t="s">
        <v>236</v>
      </c>
      <c r="D72" s="24">
        <f>+'[1]T01.00'!D68</f>
        <v>0</v>
      </c>
      <c r="E72" s="25">
        <f>+'[1]T01.00'!F68</f>
        <v>0</v>
      </c>
      <c r="F72" s="25">
        <f>+'[1]T01.00'!H68</f>
        <v>0</v>
      </c>
      <c r="G72" s="25">
        <f>+'[1]T01.00'!J68</f>
        <v>400000000</v>
      </c>
      <c r="H72" s="25">
        <f>+'[1]T01.00'!L68</f>
        <v>0</v>
      </c>
      <c r="I72" s="27">
        <f>+'[1]T01.00'!N68</f>
        <v>0</v>
      </c>
      <c r="J72" s="25">
        <f>+'[1]T01.00'!P68</f>
        <v>0</v>
      </c>
      <c r="K72" s="25">
        <f>+'[1]T01.00'!R68</f>
        <v>0</v>
      </c>
      <c r="L72" s="25">
        <f>+'[1]T01.00'!T68</f>
        <v>0</v>
      </c>
      <c r="M72" s="69">
        <f>+'[1]T01.00'!V68</f>
        <v>400000000</v>
      </c>
      <c r="N72" s="69">
        <f>+'[1]T01.00'!X68</f>
        <v>400000000</v>
      </c>
      <c r="O72" s="28">
        <f>+'[1]T01.00'!Z68</f>
        <v>0</v>
      </c>
      <c r="P72" s="21"/>
      <c r="Q72" s="77"/>
      <c r="R72" s="91"/>
      <c r="S72" s="43"/>
      <c r="T72" s="1"/>
      <c r="U72" s="1"/>
      <c r="V72" s="1"/>
      <c r="W72" s="1"/>
      <c r="X72" s="1"/>
      <c r="Y72" s="20"/>
      <c r="Z72" s="1"/>
      <c r="AA72" s="1"/>
      <c r="AB72" s="1"/>
      <c r="AC72" s="1"/>
      <c r="AD72" s="1"/>
      <c r="AE72" s="1"/>
      <c r="AF72" s="23"/>
      <c r="AG72" s="1"/>
    </row>
    <row r="73" spans="2:33" ht="14.45" customHeight="1" outlineLevel="1" x14ac:dyDescent="0.25">
      <c r="B73" s="4" t="s">
        <v>237</v>
      </c>
      <c r="C73" s="5" t="s">
        <v>238</v>
      </c>
      <c r="D73" s="36"/>
      <c r="E73" s="26"/>
      <c r="F73" s="26"/>
      <c r="G73" s="26"/>
      <c r="H73" s="26"/>
      <c r="I73" s="26"/>
      <c r="J73" s="26"/>
      <c r="K73" s="26"/>
      <c r="L73" s="26"/>
      <c r="M73" s="69">
        <f>+[2]C01!$D$7-[2]C01!$D$8</f>
        <v>274326090.25999975</v>
      </c>
      <c r="N73" s="82"/>
      <c r="O73" s="39"/>
      <c r="P73" s="21"/>
      <c r="Q73" s="77"/>
      <c r="R73" s="91"/>
      <c r="S73" s="43"/>
      <c r="T73" s="1"/>
      <c r="U73" s="1"/>
      <c r="V73" s="1"/>
      <c r="W73" s="1"/>
      <c r="X73" s="1"/>
      <c r="Y73" s="1"/>
      <c r="Z73" s="1"/>
      <c r="AA73" s="1"/>
      <c r="AB73" s="1"/>
      <c r="AC73" s="1"/>
      <c r="AD73" s="1"/>
      <c r="AE73" s="1"/>
      <c r="AF73" s="1"/>
      <c r="AG73" s="1"/>
    </row>
    <row r="74" spans="2:33" ht="14.45" customHeight="1" outlineLevel="2" x14ac:dyDescent="0.25">
      <c r="B74" s="41" t="s">
        <v>235</v>
      </c>
      <c r="C74" s="5" t="s">
        <v>239</v>
      </c>
      <c r="D74" s="24">
        <f>+'[1]T01.00'!D70</f>
        <v>7734845.1399999997</v>
      </c>
      <c r="E74" s="25">
        <f>+'[1]T01.00'!F70</f>
        <v>0</v>
      </c>
      <c r="F74" s="25">
        <f>+'[1]T01.00'!H70</f>
        <v>0</v>
      </c>
      <c r="G74" s="25">
        <f>+'[1]T01.00'!J70</f>
        <v>205321008</v>
      </c>
      <c r="H74" s="25">
        <f>+'[1]T01.00'!L70</f>
        <v>0</v>
      </c>
      <c r="I74" s="27">
        <f>+'[1]T01.00'!N70</f>
        <v>0</v>
      </c>
      <c r="J74" s="25">
        <f>+'[1]T01.00'!P70</f>
        <v>0</v>
      </c>
      <c r="K74" s="25">
        <f>+'[1]T01.00'!R70</f>
        <v>0</v>
      </c>
      <c r="L74" s="25">
        <f>+'[1]T01.00'!T70</f>
        <v>0</v>
      </c>
      <c r="M74" s="69">
        <f>+'[1]T01.00'!V70</f>
        <v>213055853.13999999</v>
      </c>
      <c r="N74" s="69">
        <f>+'[1]T01.00'!X70</f>
        <v>205321008</v>
      </c>
      <c r="O74" s="28">
        <f>+'[1]T01.00'!Z70</f>
        <v>0</v>
      </c>
      <c r="P74" s="21"/>
      <c r="Q74" s="77"/>
      <c r="R74" s="91"/>
      <c r="S74" s="43"/>
      <c r="T74" s="1"/>
      <c r="U74" s="1"/>
      <c r="V74" s="1"/>
      <c r="W74" s="1"/>
      <c r="X74" s="1"/>
      <c r="Y74" s="20"/>
      <c r="Z74" s="1"/>
      <c r="AA74" s="1"/>
      <c r="AB74" s="1"/>
      <c r="AC74" s="1"/>
      <c r="AD74" s="1"/>
      <c r="AE74" s="1"/>
      <c r="AF74" s="23"/>
      <c r="AG74" s="1"/>
    </row>
    <row r="75" spans="2:33" ht="14.45" customHeight="1" x14ac:dyDescent="0.25">
      <c r="B75" s="13" t="s">
        <v>240</v>
      </c>
      <c r="C75" s="5" t="s">
        <v>241</v>
      </c>
      <c r="D75" s="36"/>
      <c r="E75" s="26"/>
      <c r="F75" s="26"/>
      <c r="G75" s="26"/>
      <c r="H75" s="26"/>
      <c r="I75" s="26"/>
      <c r="J75" s="26"/>
      <c r="K75" s="26"/>
      <c r="L75" s="26"/>
      <c r="M75" s="69">
        <f>+M9+M21+M67</f>
        <v>55253024944.407295</v>
      </c>
      <c r="N75" s="82"/>
      <c r="O75" s="39"/>
      <c r="P75" s="21"/>
      <c r="Q75" s="77"/>
      <c r="R75" s="91"/>
      <c r="S75" s="1"/>
      <c r="T75" s="1"/>
      <c r="U75" s="1"/>
      <c r="V75" s="1"/>
      <c r="W75" s="1"/>
      <c r="X75" s="1"/>
      <c r="Y75" s="1"/>
      <c r="Z75" s="1"/>
      <c r="AA75" s="1"/>
      <c r="AB75" s="1"/>
      <c r="AC75" s="1"/>
      <c r="AD75" s="1"/>
      <c r="AE75" s="1"/>
      <c r="AF75" s="1"/>
      <c r="AG75" s="1"/>
    </row>
    <row r="76" spans="2:33" ht="15" customHeight="1" thickBot="1" x14ac:dyDescent="0.3">
      <c r="B76" s="13" t="s">
        <v>242</v>
      </c>
      <c r="C76" s="5" t="s">
        <v>243</v>
      </c>
      <c r="D76" s="44"/>
      <c r="E76" s="45"/>
      <c r="F76" s="45"/>
      <c r="G76" s="45"/>
      <c r="H76" s="45"/>
      <c r="I76" s="45"/>
      <c r="J76" s="45"/>
      <c r="K76" s="45"/>
      <c r="L76" s="45"/>
      <c r="M76" s="63">
        <f>+'[2]C 47.00'!$D$70</f>
        <v>57031036917.6828</v>
      </c>
      <c r="N76" s="83"/>
      <c r="O76" s="46"/>
      <c r="P76" s="21"/>
      <c r="Q76" s="77"/>
      <c r="R76" s="91"/>
      <c r="S76" s="1"/>
      <c r="T76" s="1"/>
      <c r="U76" s="1"/>
      <c r="V76" s="1"/>
      <c r="W76" s="1"/>
      <c r="X76" s="1"/>
      <c r="Y76" s="1"/>
      <c r="Z76" s="1"/>
      <c r="AA76" s="1"/>
      <c r="AB76" s="1"/>
      <c r="AC76" s="1"/>
      <c r="AD76" s="1"/>
      <c r="AE76" s="1"/>
      <c r="AF76" s="1"/>
      <c r="AG76" s="1"/>
    </row>
    <row r="77" spans="2:33" x14ac:dyDescent="0.25">
      <c r="M77" s="70"/>
      <c r="Q77" s="77"/>
      <c r="R77" s="91"/>
    </row>
    <row r="78" spans="2:33" x14ac:dyDescent="0.25">
      <c r="Q78" s="77"/>
      <c r="R78" s="91"/>
    </row>
    <row r="79" spans="2:33" x14ac:dyDescent="0.25">
      <c r="Q79" s="77"/>
      <c r="R79" s="91"/>
    </row>
    <row r="80" spans="2:33" x14ac:dyDescent="0.25">
      <c r="M80" s="70">
        <f>+'[2]C 47.00'!$D$71</f>
        <v>57167849066.952797</v>
      </c>
      <c r="Q80" s="77"/>
      <c r="R80" s="91"/>
    </row>
    <row r="81" spans="13:18" x14ac:dyDescent="0.25">
      <c r="M81" s="70"/>
      <c r="Q81" s="77"/>
      <c r="R81" s="91"/>
    </row>
    <row r="82" spans="13:18" x14ac:dyDescent="0.25">
      <c r="M82" s="70"/>
      <c r="Q82" s="77"/>
      <c r="R82" s="91"/>
    </row>
    <row r="83" spans="13:18" x14ac:dyDescent="0.25">
      <c r="M83" s="70"/>
      <c r="Q83" s="77"/>
      <c r="R83" s="91"/>
    </row>
    <row r="84" spans="13:18" x14ac:dyDescent="0.25">
      <c r="Q84" s="77"/>
      <c r="R84" s="91"/>
    </row>
    <row r="85" spans="13:18" x14ac:dyDescent="0.25">
      <c r="Q85" s="77"/>
      <c r="R85" s="91"/>
    </row>
    <row r="86" spans="13:18" x14ac:dyDescent="0.25">
      <c r="Q86" s="77"/>
      <c r="R86" s="91"/>
    </row>
    <row r="87" spans="13:18" x14ac:dyDescent="0.25">
      <c r="Q87" s="77"/>
      <c r="R87" s="91"/>
    </row>
    <row r="88" spans="13:18" x14ac:dyDescent="0.25">
      <c r="Q88" s="77"/>
      <c r="R88" s="91"/>
    </row>
    <row r="89" spans="13:18" x14ac:dyDescent="0.25">
      <c r="Q89" s="77"/>
      <c r="R89" s="91"/>
    </row>
    <row r="90" spans="13:18" x14ac:dyDescent="0.25">
      <c r="Q90" s="77"/>
      <c r="R90" s="91"/>
    </row>
    <row r="91" spans="13:18" x14ac:dyDescent="0.25">
      <c r="Q91" s="77"/>
      <c r="R91" s="91"/>
    </row>
    <row r="92" spans="13:18" x14ac:dyDescent="0.25">
      <c r="Q92" s="77"/>
      <c r="R92" s="91"/>
    </row>
  </sheetData>
  <mergeCells count="5">
    <mergeCell ref="A1:O1"/>
    <mergeCell ref="D4:O4"/>
    <mergeCell ref="H5:I5"/>
    <mergeCell ref="M5:O5"/>
    <mergeCell ref="B32:O32"/>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AG100"/>
  <sheetViews>
    <sheetView tabSelected="1" zoomScale="70" zoomScaleNormal="70" workbookViewId="0">
      <pane xSplit="3" ySplit="8" topLeftCell="D9" activePane="bottomRight" state="frozen"/>
      <selection pane="topRight" activeCell="D1" sqref="D1"/>
      <selection pane="bottomLeft" activeCell="A9" sqref="A9"/>
      <selection pane="bottomRight" activeCell="D3" sqref="D3"/>
    </sheetView>
  </sheetViews>
  <sheetFormatPr defaultRowHeight="15" outlineLevelRow="2" x14ac:dyDescent="0.25"/>
  <cols>
    <col min="1" max="1" width="5.7109375" customWidth="1"/>
    <col min="2" max="2" width="59.7109375" customWidth="1"/>
    <col min="3" max="3" width="5" bestFit="1" customWidth="1"/>
    <col min="4" max="13" width="20.7109375" customWidth="1"/>
    <col min="14" max="14" width="20.7109375" style="70" customWidth="1"/>
    <col min="15" max="15" width="20.7109375" customWidth="1"/>
    <col min="16" max="16" width="21.5703125" bestFit="1" customWidth="1"/>
    <col min="17" max="17" width="23.5703125" bestFit="1" customWidth="1"/>
    <col min="18" max="18" width="25.7109375" customWidth="1"/>
    <col min="19" max="19" width="14.85546875" bestFit="1" customWidth="1"/>
    <col min="20" max="20" width="18.85546875" bestFit="1" customWidth="1"/>
    <col min="21" max="23" width="25.7109375" customWidth="1"/>
    <col min="24" max="24" width="19.5703125" bestFit="1" customWidth="1"/>
    <col min="25" max="26" width="25.7109375" customWidth="1"/>
    <col min="27" max="27" width="18.28515625" bestFit="1" customWidth="1"/>
    <col min="28" max="31" width="25.7109375" customWidth="1"/>
    <col min="32" max="32" width="20.5703125" bestFit="1" customWidth="1"/>
    <col min="33" max="33" width="25.7109375" customWidth="1"/>
  </cols>
  <sheetData>
    <row r="1" spans="1:33" ht="14.45" customHeight="1" x14ac:dyDescent="0.25">
      <c r="A1" s="94" t="s">
        <v>339</v>
      </c>
      <c r="B1" s="95"/>
      <c r="C1" s="95"/>
      <c r="D1" s="95"/>
      <c r="E1" s="95"/>
      <c r="F1" s="95"/>
      <c r="G1" s="95"/>
      <c r="H1" s="95"/>
      <c r="I1" s="95"/>
      <c r="J1" s="95"/>
      <c r="K1" s="95"/>
      <c r="L1" s="95"/>
      <c r="M1" s="95"/>
      <c r="N1" s="95"/>
      <c r="O1" s="95"/>
      <c r="P1" s="1"/>
      <c r="Q1" s="1"/>
      <c r="R1" s="1"/>
      <c r="S1" s="1"/>
      <c r="T1" s="1"/>
      <c r="U1" s="1"/>
      <c r="V1" s="1"/>
      <c r="W1" s="1"/>
      <c r="X1" s="1"/>
      <c r="Y1" s="1"/>
      <c r="Z1" s="1"/>
      <c r="AA1" s="1"/>
      <c r="AB1" s="1"/>
      <c r="AC1" s="1"/>
      <c r="AD1" s="1"/>
      <c r="AE1" s="1"/>
      <c r="AF1" s="1"/>
      <c r="AG1" s="1"/>
    </row>
    <row r="2" spans="1:33" ht="14.45" customHeight="1" x14ac:dyDescent="0.25">
      <c r="D2" s="70"/>
      <c r="E2" s="70"/>
      <c r="F2" s="70"/>
      <c r="G2" s="70"/>
      <c r="H2" s="70"/>
      <c r="I2" s="70"/>
      <c r="J2" s="70"/>
      <c r="K2" s="70"/>
      <c r="L2" s="70"/>
      <c r="M2" s="70"/>
      <c r="O2" s="70"/>
      <c r="P2" s="1"/>
      <c r="Q2" s="110"/>
      <c r="R2" s="110"/>
      <c r="S2" s="1"/>
      <c r="T2" s="1"/>
      <c r="U2" s="1"/>
      <c r="V2" s="1"/>
      <c r="W2" s="1"/>
      <c r="X2" s="1"/>
      <c r="Y2" s="1"/>
      <c r="Z2" s="1"/>
      <c r="AA2" s="1"/>
      <c r="AB2" s="1"/>
      <c r="AC2" s="1"/>
      <c r="AD2" s="1"/>
      <c r="AE2" s="1"/>
      <c r="AF2" s="1"/>
      <c r="AG2" s="1"/>
    </row>
    <row r="3" spans="1:33" ht="14.45" customHeight="1" x14ac:dyDescent="0.25">
      <c r="D3" s="70"/>
      <c r="E3" s="70"/>
      <c r="F3" s="70"/>
      <c r="G3" s="70"/>
      <c r="H3" s="70"/>
      <c r="I3" s="70"/>
      <c r="J3" s="70"/>
      <c r="K3" s="70"/>
      <c r="L3" s="70"/>
      <c r="M3" s="70"/>
      <c r="O3" s="70"/>
      <c r="P3" s="1"/>
      <c r="Q3" s="1"/>
      <c r="R3" s="110"/>
      <c r="S3" s="1"/>
      <c r="T3" s="1"/>
      <c r="U3" s="1"/>
      <c r="V3" s="1"/>
      <c r="W3" s="1"/>
      <c r="X3" s="1"/>
      <c r="Y3" s="1"/>
      <c r="Z3" s="1"/>
      <c r="AA3" s="1"/>
      <c r="AB3" s="1"/>
      <c r="AC3" s="1"/>
      <c r="AD3" s="1"/>
      <c r="AE3" s="1"/>
      <c r="AF3" s="1"/>
      <c r="AG3" s="1"/>
    </row>
    <row r="4" spans="1:33" ht="14.45" customHeight="1" x14ac:dyDescent="0.25">
      <c r="D4" s="96" t="s">
        <v>1</v>
      </c>
      <c r="E4" s="96"/>
      <c r="F4" s="96"/>
      <c r="G4" s="96"/>
      <c r="H4" s="96"/>
      <c r="I4" s="96"/>
      <c r="J4" s="96"/>
      <c r="K4" s="96"/>
      <c r="L4" s="96"/>
      <c r="M4" s="96"/>
      <c r="N4" s="96"/>
      <c r="O4" s="96"/>
      <c r="P4" s="1"/>
      <c r="Q4" s="1"/>
      <c r="R4" s="110"/>
      <c r="S4" s="1"/>
      <c r="T4" s="1"/>
      <c r="U4" s="1"/>
      <c r="V4" s="1"/>
      <c r="W4" s="1"/>
      <c r="X4" s="1"/>
      <c r="Y4" s="1"/>
      <c r="Z4" s="1"/>
      <c r="AA4" s="1"/>
      <c r="AB4" s="1"/>
      <c r="AC4" s="1"/>
      <c r="AD4" s="1"/>
      <c r="AE4" s="1"/>
      <c r="AF4" s="1"/>
      <c r="AG4" s="1"/>
    </row>
    <row r="5" spans="1:33" ht="28.9" customHeight="1" x14ac:dyDescent="0.25">
      <c r="D5" s="2" t="s">
        <v>122</v>
      </c>
      <c r="E5" s="2" t="s">
        <v>123</v>
      </c>
      <c r="F5" s="2" t="s">
        <v>124</v>
      </c>
      <c r="G5" s="2" t="s">
        <v>125</v>
      </c>
      <c r="H5" s="97" t="s">
        <v>126</v>
      </c>
      <c r="I5" s="98"/>
      <c r="J5" s="2" t="s">
        <v>127</v>
      </c>
      <c r="K5" s="2" t="s">
        <v>128</v>
      </c>
      <c r="L5" s="2" t="s">
        <v>129</v>
      </c>
      <c r="M5" s="97" t="s">
        <v>130</v>
      </c>
      <c r="N5" s="99"/>
      <c r="O5" s="98"/>
      <c r="P5" s="1"/>
      <c r="Q5" s="1"/>
      <c r="R5" s="1"/>
      <c r="S5" s="1"/>
      <c r="T5" s="1"/>
      <c r="U5" s="1"/>
      <c r="V5" s="1"/>
      <c r="W5" s="1"/>
      <c r="X5" s="1"/>
      <c r="Y5" s="1"/>
      <c r="Z5" s="1"/>
      <c r="AA5" s="1"/>
      <c r="AB5" s="1"/>
      <c r="AC5" s="1"/>
      <c r="AD5" s="1"/>
      <c r="AE5" s="1"/>
      <c r="AF5" s="1"/>
      <c r="AG5" s="1"/>
    </row>
    <row r="6" spans="1:33" ht="57.6" customHeight="1" x14ac:dyDescent="0.25">
      <c r="D6" s="10" t="s">
        <v>340</v>
      </c>
      <c r="E6" s="10" t="s">
        <v>340</v>
      </c>
      <c r="F6" s="10" t="s">
        <v>340</v>
      </c>
      <c r="G6" s="10" t="s">
        <v>340</v>
      </c>
      <c r="H6" s="10" t="s">
        <v>340</v>
      </c>
      <c r="I6" s="2" t="s">
        <v>132</v>
      </c>
      <c r="J6" s="10" t="s">
        <v>340</v>
      </c>
      <c r="K6" s="10" t="s">
        <v>340</v>
      </c>
      <c r="L6" s="10" t="s">
        <v>340</v>
      </c>
      <c r="M6" s="10" t="s">
        <v>340</v>
      </c>
      <c r="N6" s="80" t="s">
        <v>133</v>
      </c>
      <c r="O6" s="2" t="s">
        <v>134</v>
      </c>
    </row>
    <row r="7" spans="1:33" ht="14.45" customHeight="1" x14ac:dyDescent="0.25">
      <c r="D7" s="11"/>
      <c r="E7" s="11"/>
      <c r="F7" s="11"/>
      <c r="G7" s="11"/>
      <c r="H7" s="11"/>
      <c r="I7" s="2" t="s">
        <v>340</v>
      </c>
      <c r="J7" s="11"/>
      <c r="K7" s="11"/>
      <c r="L7" s="11"/>
      <c r="M7" s="11"/>
      <c r="N7" s="80" t="s">
        <v>340</v>
      </c>
      <c r="O7" s="2" t="s">
        <v>340</v>
      </c>
    </row>
    <row r="8" spans="1:33" ht="15" customHeight="1" thickBot="1" x14ac:dyDescent="0.3">
      <c r="D8" s="3" t="s">
        <v>341</v>
      </c>
      <c r="E8" s="3" t="s">
        <v>115</v>
      </c>
      <c r="F8" s="3" t="s">
        <v>342</v>
      </c>
      <c r="G8" s="3" t="s">
        <v>343</v>
      </c>
      <c r="H8" s="3" t="s">
        <v>344</v>
      </c>
      <c r="I8" s="3" t="s">
        <v>329</v>
      </c>
      <c r="J8" s="3" t="s">
        <v>345</v>
      </c>
      <c r="K8" s="3" t="s">
        <v>294</v>
      </c>
      <c r="L8" s="3" t="s">
        <v>346</v>
      </c>
      <c r="M8" s="3" t="s">
        <v>347</v>
      </c>
      <c r="N8" s="81" t="s">
        <v>348</v>
      </c>
      <c r="O8" s="3" t="s">
        <v>349</v>
      </c>
      <c r="P8" s="1"/>
      <c r="Q8" s="1"/>
      <c r="R8" s="1"/>
      <c r="S8" s="1"/>
      <c r="T8" s="1"/>
      <c r="U8" s="1"/>
      <c r="V8" s="1"/>
      <c r="W8" s="1"/>
      <c r="X8" s="1"/>
      <c r="Y8" s="1"/>
      <c r="Z8" s="1"/>
      <c r="AA8" s="1"/>
      <c r="AB8" s="1"/>
      <c r="AC8" s="1"/>
      <c r="AD8" s="1"/>
      <c r="AE8" s="1"/>
      <c r="AF8" s="1"/>
      <c r="AG8" s="1"/>
    </row>
    <row r="9" spans="1:33" ht="14.45" customHeight="1" x14ac:dyDescent="0.25">
      <c r="B9" s="13" t="s">
        <v>147</v>
      </c>
      <c r="C9" s="5" t="s">
        <v>48</v>
      </c>
      <c r="D9" s="64">
        <f>+'[1]T01.00'!C5</f>
        <v>19953512555.832539</v>
      </c>
      <c r="E9" s="61">
        <f>+'[1]T01.00'!E5</f>
        <v>2407846366.8170595</v>
      </c>
      <c r="F9" s="61">
        <f>+'[1]T01.00'!G5</f>
        <v>344009656.82928103</v>
      </c>
      <c r="G9" s="61">
        <f>+'T 01.00.a'!G9</f>
        <v>5581921541.8672581</v>
      </c>
      <c r="H9" s="61">
        <f>+'[1]T01.00'!K5</f>
        <v>228505372.78226304</v>
      </c>
      <c r="I9" s="61">
        <f>+'[1]T01.00'!M5</f>
        <v>228505372.78226304</v>
      </c>
      <c r="J9" s="61">
        <f>+'T 01.00.a'!J9</f>
        <v>4383796309.9034014</v>
      </c>
      <c r="K9" s="61">
        <f>+'[1]T01.00'!Q5</f>
        <v>0</v>
      </c>
      <c r="L9" s="61">
        <f>+'[1]T01.00'!S5</f>
        <v>0</v>
      </c>
      <c r="M9" s="61">
        <f>+'[1]T01.00'!U5</f>
        <v>32899591804.031799</v>
      </c>
      <c r="N9" s="61">
        <f>+'[1]T01.00'!W5</f>
        <v>228505372.78226304</v>
      </c>
      <c r="O9" s="65">
        <f>+'[1]T01.00'!Y5</f>
        <v>0</v>
      </c>
      <c r="P9" s="21"/>
      <c r="Q9" s="77"/>
      <c r="R9" s="91"/>
      <c r="S9" s="1"/>
      <c r="T9" s="1"/>
      <c r="U9" s="1"/>
      <c r="V9" s="1"/>
      <c r="W9" s="1"/>
      <c r="X9" s="1"/>
      <c r="Y9" s="1"/>
      <c r="Z9" s="1"/>
      <c r="AA9" s="1"/>
      <c r="AB9" s="1"/>
      <c r="AC9" s="1"/>
      <c r="AD9" s="22"/>
      <c r="AE9" s="1"/>
      <c r="AF9" s="23"/>
      <c r="AG9" s="1"/>
    </row>
    <row r="10" spans="1:33" ht="14.45" customHeight="1" outlineLevel="1" x14ac:dyDescent="0.25">
      <c r="B10" s="4" t="s">
        <v>148</v>
      </c>
      <c r="C10" s="5" t="s">
        <v>49</v>
      </c>
      <c r="D10" s="37">
        <f>+'[1]T01.00'!C6</f>
        <v>19686149648.378342</v>
      </c>
      <c r="E10" s="27">
        <f>+'[1]T01.00'!E6</f>
        <v>2407846366.8170595</v>
      </c>
      <c r="F10" s="27">
        <f>+'[1]T01.00'!G6</f>
        <v>344009656.82928103</v>
      </c>
      <c r="G10" s="26"/>
      <c r="H10" s="27">
        <f>+'[1]T01.00'!K6</f>
        <v>0</v>
      </c>
      <c r="I10" s="27">
        <f>+'[1]T01.00'!M6</f>
        <v>0</v>
      </c>
      <c r="J10" s="27">
        <f>+'[1]T01.00'!O6</f>
        <v>0</v>
      </c>
      <c r="K10" s="26"/>
      <c r="L10" s="27">
        <f>+'[1]T01.00'!S6</f>
        <v>0</v>
      </c>
      <c r="M10" s="27">
        <f>+'[1]T01.00'!U6</f>
        <v>22438005672.024681</v>
      </c>
      <c r="N10" s="67">
        <f>+'[1]T01.00'!W6</f>
        <v>0</v>
      </c>
      <c r="O10" s="38">
        <f>+'[1]T01.00'!Y6</f>
        <v>0</v>
      </c>
      <c r="P10" s="21"/>
      <c r="Q10" s="77"/>
      <c r="R10" s="91"/>
      <c r="S10" s="1"/>
      <c r="T10" s="1"/>
      <c r="U10" s="1"/>
      <c r="V10" s="29"/>
      <c r="W10" s="30"/>
      <c r="X10" s="1"/>
      <c r="Y10" s="1"/>
      <c r="Z10" s="31"/>
      <c r="AA10" s="1"/>
      <c r="AB10" s="1"/>
      <c r="AC10" s="1"/>
      <c r="AD10" s="22"/>
      <c r="AE10" s="1"/>
      <c r="AF10" s="23"/>
      <c r="AG10" s="1"/>
    </row>
    <row r="11" spans="1:33" ht="14.45" customHeight="1" outlineLevel="1" x14ac:dyDescent="0.25">
      <c r="B11" s="4" t="s">
        <v>149</v>
      </c>
      <c r="C11" s="5" t="s">
        <v>50</v>
      </c>
      <c r="D11" s="37">
        <f>+'[1]T01.00'!C7</f>
        <v>0</v>
      </c>
      <c r="E11" s="27">
        <f>+'[1]T01.00'!E7</f>
        <v>0</v>
      </c>
      <c r="F11" s="27">
        <f>+'[1]T01.00'!G7</f>
        <v>0</v>
      </c>
      <c r="G11" s="67">
        <f>+'T 01.00.a'!G11</f>
        <v>5353097418.0123491</v>
      </c>
      <c r="H11" s="27">
        <f>+'[1]T01.00'!K7</f>
        <v>0</v>
      </c>
      <c r="I11" s="27">
        <f>+'[1]T01.00'!M7</f>
        <v>0</v>
      </c>
      <c r="J11" s="67">
        <f>+'T 01.00.a'!J11</f>
        <v>4113714312.900001</v>
      </c>
      <c r="K11" s="27">
        <v>0</v>
      </c>
      <c r="L11" s="27">
        <f>+'[1]T01.00'!S7</f>
        <v>0</v>
      </c>
      <c r="M11" s="27">
        <f>+'[1]T01.00'!U7</f>
        <v>9466811730.9123497</v>
      </c>
      <c r="N11" s="67">
        <f>+'[1]T01.00'!W7</f>
        <v>0</v>
      </c>
      <c r="O11" s="38">
        <f>+'[1]T01.00'!Y7</f>
        <v>0</v>
      </c>
      <c r="P11" s="21"/>
      <c r="Q11" s="77"/>
      <c r="R11" s="91"/>
      <c r="S11" s="1"/>
      <c r="T11" s="32"/>
      <c r="U11" s="1"/>
      <c r="V11" s="1"/>
      <c r="W11" s="1"/>
      <c r="X11" s="1"/>
      <c r="Y11" s="1"/>
      <c r="Z11" s="1"/>
      <c r="AA11" s="1"/>
      <c r="AB11" s="1"/>
      <c r="AC11" s="1"/>
      <c r="AD11" s="22"/>
      <c r="AE11" s="1"/>
      <c r="AF11" s="23"/>
      <c r="AG11" s="33"/>
    </row>
    <row r="12" spans="1:33" ht="14.45" customHeight="1" outlineLevel="1" x14ac:dyDescent="0.25">
      <c r="B12" s="4" t="s">
        <v>150</v>
      </c>
      <c r="C12" s="5" t="s">
        <v>51</v>
      </c>
      <c r="D12" s="37">
        <f>+'[1]T01.00'!C8</f>
        <v>0</v>
      </c>
      <c r="E12" s="27">
        <f>+'[1]T01.00'!E8</f>
        <v>0</v>
      </c>
      <c r="F12" s="27">
        <f>+'[1]T01.00'!G8</f>
        <v>0</v>
      </c>
      <c r="G12" s="27">
        <f>+'[1]T01.00'!I8</f>
        <v>0</v>
      </c>
      <c r="H12" s="27">
        <f>+'[1]T01.00'!K8</f>
        <v>0</v>
      </c>
      <c r="I12" s="27">
        <f>+'[1]T01.00'!M8</f>
        <v>0</v>
      </c>
      <c r="J12" s="27">
        <f>+'[1]T01.00'!O8</f>
        <v>0</v>
      </c>
      <c r="K12" s="27">
        <f>+'[1]T01.00'!Q8</f>
        <v>0</v>
      </c>
      <c r="L12" s="27">
        <f>+'[1]T01.00'!S8</f>
        <v>0</v>
      </c>
      <c r="M12" s="27">
        <f>+'[1]T01.00'!U8</f>
        <v>0</v>
      </c>
      <c r="N12" s="67">
        <f>+'[1]T01.00'!W8</f>
        <v>0</v>
      </c>
      <c r="O12" s="38">
        <f>+'[1]T01.00'!Y8</f>
        <v>0</v>
      </c>
      <c r="P12" s="21"/>
      <c r="Q12" s="77"/>
      <c r="R12" s="91"/>
      <c r="S12" s="1"/>
      <c r="T12" s="1"/>
      <c r="U12" s="34"/>
      <c r="V12" s="1"/>
      <c r="W12" s="1"/>
      <c r="X12" s="1"/>
      <c r="Y12" s="1"/>
      <c r="Z12" s="1"/>
      <c r="AA12" s="1"/>
      <c r="AB12" s="35"/>
      <c r="AC12" s="1"/>
      <c r="AD12" s="22"/>
      <c r="AE12" s="1"/>
      <c r="AF12" s="23"/>
      <c r="AG12" s="1"/>
    </row>
    <row r="13" spans="1:33" ht="14.45" customHeight="1" outlineLevel="1" x14ac:dyDescent="0.25">
      <c r="B13" s="4" t="s">
        <v>151</v>
      </c>
      <c r="C13" s="5" t="s">
        <v>52</v>
      </c>
      <c r="D13" s="37">
        <f>+'[1]T01.00'!C9</f>
        <v>0</v>
      </c>
      <c r="E13" s="27">
        <f>+'[1]T01.00'!E9</f>
        <v>0</v>
      </c>
      <c r="F13" s="27">
        <f>+'[1]T01.00'!G9</f>
        <v>0</v>
      </c>
      <c r="G13" s="27">
        <f>+'[1]T01.00'!I9</f>
        <v>0</v>
      </c>
      <c r="H13" s="27">
        <f>+'[1]T01.00'!K9</f>
        <v>0</v>
      </c>
      <c r="I13" s="27">
        <f>+'[1]T01.00'!M9</f>
        <v>0</v>
      </c>
      <c r="J13" s="27">
        <f>+'[1]T01.00'!O9</f>
        <v>0</v>
      </c>
      <c r="K13" s="27">
        <f>+'[1]T01.00'!Q9</f>
        <v>0</v>
      </c>
      <c r="L13" s="27">
        <f>+'[1]T01.00'!S9</f>
        <v>0</v>
      </c>
      <c r="M13" s="27">
        <f>+'[1]T01.00'!U9</f>
        <v>0</v>
      </c>
      <c r="N13" s="67">
        <f>+'[1]T01.00'!W9</f>
        <v>0</v>
      </c>
      <c r="O13" s="38">
        <f>+'[1]T01.00'!Y9</f>
        <v>0</v>
      </c>
      <c r="P13" s="21"/>
      <c r="Q13" s="77"/>
      <c r="R13" s="91"/>
      <c r="S13" s="1"/>
      <c r="T13" s="1"/>
      <c r="U13" s="1"/>
      <c r="V13" s="1"/>
      <c r="W13" s="1"/>
      <c r="X13" s="1"/>
      <c r="Y13" s="1"/>
      <c r="Z13" s="1"/>
      <c r="AA13" s="1"/>
      <c r="AB13" s="1"/>
      <c r="AC13" s="29"/>
      <c r="AD13" s="22"/>
      <c r="AE13" s="1"/>
      <c r="AF13" s="23"/>
      <c r="AG13" s="1"/>
    </row>
    <row r="14" spans="1:33" ht="14.45" customHeight="1" outlineLevel="1" x14ac:dyDescent="0.25">
      <c r="B14" s="4" t="s">
        <v>152</v>
      </c>
      <c r="C14" s="5" t="s">
        <v>53</v>
      </c>
      <c r="D14" s="36"/>
      <c r="E14" s="26"/>
      <c r="F14" s="26"/>
      <c r="G14" s="27">
        <f>+'[1]T01.00'!I10</f>
        <v>228824123.854909</v>
      </c>
      <c r="H14" s="27">
        <f>+'[1]T01.00'!K10</f>
        <v>0</v>
      </c>
      <c r="I14" s="27">
        <f>+'[1]T01.00'!M10</f>
        <v>0</v>
      </c>
      <c r="J14" s="26"/>
      <c r="K14" s="26"/>
      <c r="L14" s="26"/>
      <c r="M14" s="27">
        <f>+'[1]T01.00'!U10</f>
        <v>228824123.854909</v>
      </c>
      <c r="N14" s="82"/>
      <c r="O14" s="38">
        <f>+'[1]T01.00'!Y10</f>
        <v>0</v>
      </c>
      <c r="P14" s="21"/>
      <c r="Q14" s="77"/>
      <c r="R14" s="91"/>
      <c r="S14" s="1"/>
      <c r="T14" s="1"/>
      <c r="U14" s="34"/>
      <c r="V14" s="1"/>
      <c r="W14" s="1"/>
      <c r="X14" s="1"/>
      <c r="Y14" s="1"/>
      <c r="Z14" s="1"/>
      <c r="AA14" s="33"/>
      <c r="AB14" s="1"/>
      <c r="AC14" s="1"/>
      <c r="AD14" s="22"/>
      <c r="AE14" s="1"/>
      <c r="AF14" s="23"/>
      <c r="AG14" s="1"/>
    </row>
    <row r="15" spans="1:33" ht="14.45" customHeight="1" outlineLevel="1" x14ac:dyDescent="0.25">
      <c r="B15" s="4" t="s">
        <v>153</v>
      </c>
      <c r="C15" s="5" t="s">
        <v>154</v>
      </c>
      <c r="D15" s="26"/>
      <c r="E15" s="27">
        <f>+'[1]T01.00'!F11</f>
        <v>0</v>
      </c>
      <c r="F15" s="27">
        <f>+'[1]T01.00'!G11</f>
        <v>0</v>
      </c>
      <c r="G15" s="27">
        <f>+'[1]T01.00'!I11</f>
        <v>0</v>
      </c>
      <c r="H15" s="27">
        <f>+'[1]T01.00'!K11</f>
        <v>0</v>
      </c>
      <c r="I15" s="27">
        <f>+'[1]T01.00'!M11</f>
        <v>0</v>
      </c>
      <c r="J15" s="27">
        <f>+'[1]T01.00'!O11</f>
        <v>0</v>
      </c>
      <c r="K15" s="27">
        <f>+'[1]T01.00'!Q11</f>
        <v>0</v>
      </c>
      <c r="L15" s="27">
        <f>+'[1]T01.00'!S11</f>
        <v>0</v>
      </c>
      <c r="M15" s="27">
        <f>+'[1]T01.00'!U11</f>
        <v>0</v>
      </c>
      <c r="N15" s="67">
        <f>+'[1]T01.00'!W11</f>
        <v>0</v>
      </c>
      <c r="O15" s="38">
        <f>+'[1]T01.00'!Y11</f>
        <v>0</v>
      </c>
      <c r="P15" s="21"/>
      <c r="Q15" s="77"/>
      <c r="R15" s="91"/>
      <c r="S15" s="1"/>
      <c r="T15" s="1"/>
      <c r="U15" s="34"/>
      <c r="V15" s="1"/>
      <c r="W15" s="1"/>
      <c r="X15" s="1"/>
      <c r="Y15" s="1"/>
      <c r="Z15" s="1"/>
      <c r="AA15" s="33"/>
      <c r="AB15" s="1"/>
      <c r="AC15" s="1"/>
      <c r="AD15" s="22"/>
      <c r="AE15" s="1"/>
      <c r="AF15" s="23"/>
      <c r="AG15" s="1"/>
    </row>
    <row r="16" spans="1:33" ht="14.45" customHeight="1" outlineLevel="1" x14ac:dyDescent="0.25">
      <c r="B16" s="4" t="s">
        <v>155</v>
      </c>
      <c r="C16" s="5" t="s">
        <v>55</v>
      </c>
      <c r="D16" s="37">
        <f>+'[1]T01.00'!C12</f>
        <v>219563514.4593057</v>
      </c>
      <c r="E16" s="26"/>
      <c r="F16" s="26"/>
      <c r="G16" s="26"/>
      <c r="H16" s="26"/>
      <c r="I16" s="26"/>
      <c r="J16" s="26"/>
      <c r="K16" s="26"/>
      <c r="L16" s="26"/>
      <c r="M16" s="27">
        <f>+'[1]T01.00'!U12</f>
        <v>219563514.4593057</v>
      </c>
      <c r="N16" s="82"/>
      <c r="O16" s="38">
        <f>+'[1]T01.00'!Y12</f>
        <v>0</v>
      </c>
      <c r="P16" s="21"/>
      <c r="Q16" s="77"/>
      <c r="R16" s="91"/>
      <c r="S16" s="1"/>
      <c r="T16" s="1"/>
      <c r="U16" s="34"/>
      <c r="V16" s="1"/>
      <c r="W16" s="1"/>
      <c r="X16" s="1"/>
      <c r="Y16" s="1"/>
      <c r="Z16" s="1"/>
      <c r="AA16" s="1"/>
      <c r="AB16" s="1"/>
      <c r="AC16" s="1"/>
      <c r="AD16" s="22"/>
      <c r="AE16" s="1"/>
      <c r="AF16" s="23"/>
      <c r="AG16" s="1"/>
    </row>
    <row r="17" spans="2:33" ht="14.45" customHeight="1" outlineLevel="1" x14ac:dyDescent="0.25">
      <c r="B17" s="4" t="s">
        <v>156</v>
      </c>
      <c r="C17" s="5" t="s">
        <v>56</v>
      </c>
      <c r="D17" s="37">
        <f>+'[1]T01.00'!C13</f>
        <v>47799392.994893998</v>
      </c>
      <c r="E17" s="27">
        <f>+'[1]T01.00'!E13</f>
        <v>0</v>
      </c>
      <c r="F17" s="27">
        <f>+'[1]T01.00'!G13</f>
        <v>0</v>
      </c>
      <c r="G17" s="27">
        <f>+'[1]T01.00'!I13</f>
        <v>0</v>
      </c>
      <c r="H17" s="27">
        <f>+'[1]T01.00'!K13</f>
        <v>0</v>
      </c>
      <c r="I17" s="27">
        <f>+'[1]T01.00'!M13</f>
        <v>0</v>
      </c>
      <c r="J17" s="27">
        <f>+'[1]T01.00'!O13</f>
        <v>0</v>
      </c>
      <c r="K17" s="27">
        <f>+'[1]T01.00'!Q13</f>
        <v>0</v>
      </c>
      <c r="L17" s="27">
        <f>+'[1]T01.00'!S13</f>
        <v>0</v>
      </c>
      <c r="M17" s="27">
        <f>+'[1]T01.00'!U13</f>
        <v>47799392.994893998</v>
      </c>
      <c r="N17" s="67">
        <f>+'[1]T01.00'!W13</f>
        <v>0</v>
      </c>
      <c r="O17" s="38">
        <f>+'[1]T01.00'!Y13</f>
        <v>0</v>
      </c>
      <c r="P17" s="21"/>
      <c r="Q17" s="77"/>
      <c r="R17" s="91"/>
      <c r="S17" s="1"/>
      <c r="T17" s="1"/>
      <c r="U17" s="1"/>
      <c r="V17" s="1"/>
      <c r="W17" s="1"/>
      <c r="X17" s="1"/>
      <c r="Y17" s="1"/>
      <c r="Z17" s="1"/>
      <c r="AA17" s="1"/>
      <c r="AB17" s="1"/>
      <c r="AC17" s="29"/>
      <c r="AD17" s="22"/>
      <c r="AE17" s="1"/>
      <c r="AF17" s="23"/>
      <c r="AG17" s="1"/>
    </row>
    <row r="18" spans="2:33" ht="28.9" customHeight="1" outlineLevel="1" x14ac:dyDescent="0.25">
      <c r="B18" s="4" t="s">
        <v>157</v>
      </c>
      <c r="C18" s="5" t="s">
        <v>57</v>
      </c>
      <c r="D18" s="36"/>
      <c r="E18" s="26"/>
      <c r="F18" s="26"/>
      <c r="G18" s="26"/>
      <c r="H18" s="26"/>
      <c r="I18" s="26"/>
      <c r="J18" s="27">
        <f>+'[1]T01.00'!O14</f>
        <v>270081997.00340003</v>
      </c>
      <c r="K18" s="26"/>
      <c r="L18" s="26"/>
      <c r="M18" s="27">
        <f>+'[1]T01.00'!U14</f>
        <v>270081997.00340003</v>
      </c>
      <c r="N18" s="82"/>
      <c r="O18" s="39"/>
      <c r="P18" s="21"/>
      <c r="Q18" s="77"/>
      <c r="R18" s="91"/>
      <c r="S18" s="1"/>
      <c r="T18" s="1"/>
      <c r="U18" s="34"/>
      <c r="V18" s="1"/>
      <c r="W18" s="1"/>
      <c r="X18" s="1"/>
      <c r="Y18" s="1"/>
      <c r="Z18" s="1"/>
      <c r="AA18" s="1"/>
      <c r="AB18" s="35"/>
      <c r="AC18" s="1"/>
      <c r="AD18" s="22"/>
      <c r="AE18" s="1"/>
      <c r="AF18" s="23"/>
      <c r="AG18" s="1"/>
    </row>
    <row r="19" spans="2:33" ht="14.45" customHeight="1" outlineLevel="1" x14ac:dyDescent="0.25">
      <c r="B19" s="4" t="s">
        <v>158</v>
      </c>
      <c r="C19" s="5" t="s">
        <v>58</v>
      </c>
      <c r="D19" s="36"/>
      <c r="E19" s="27">
        <f>+'[1]T01.00'!E15</f>
        <v>0</v>
      </c>
      <c r="F19" s="27">
        <f>+'[1]T01.00'!G15</f>
        <v>0</v>
      </c>
      <c r="G19" s="27">
        <f>+'[1]T01.00'!I15</f>
        <v>0</v>
      </c>
      <c r="H19" s="27">
        <f>+'[1]T01.00'!K15</f>
        <v>0</v>
      </c>
      <c r="I19" s="27">
        <f>+'[1]T01.00'!M15</f>
        <v>0</v>
      </c>
      <c r="J19" s="27">
        <f>+'[1]T01.00'!O15</f>
        <v>0</v>
      </c>
      <c r="K19" s="26"/>
      <c r="L19" s="26"/>
      <c r="M19" s="27">
        <f>+'[1]T01.00'!U15</f>
        <v>0</v>
      </c>
      <c r="N19" s="67">
        <f>+'[1]T01.00'!W15</f>
        <v>0</v>
      </c>
      <c r="O19" s="38">
        <f>+'[1]T01.00'!Y15</f>
        <v>0</v>
      </c>
      <c r="P19" s="21"/>
      <c r="Q19" s="77"/>
      <c r="R19" s="91"/>
      <c r="S19" s="1"/>
      <c r="T19" s="1"/>
      <c r="U19" s="34"/>
      <c r="V19" s="1"/>
      <c r="W19" s="1"/>
      <c r="X19" s="1"/>
      <c r="Y19" s="1"/>
      <c r="Z19" s="1"/>
      <c r="AA19" s="1"/>
      <c r="AB19" s="1"/>
      <c r="AC19" s="1"/>
      <c r="AD19" s="22"/>
      <c r="AE19" s="1"/>
      <c r="AF19" s="23"/>
      <c r="AG19" s="1"/>
    </row>
    <row r="20" spans="2:33" ht="28.9" customHeight="1" outlineLevel="1" x14ac:dyDescent="0.25">
      <c r="B20" s="4" t="s">
        <v>159</v>
      </c>
      <c r="C20" s="5" t="s">
        <v>60</v>
      </c>
      <c r="D20" s="36"/>
      <c r="E20" s="26"/>
      <c r="F20" s="26"/>
      <c r="G20" s="27">
        <f>+'[1]T01.00'!I16</f>
        <v>0</v>
      </c>
      <c r="H20" s="27">
        <f>+'[1]T01.00'!K16</f>
        <v>228505372.78226304</v>
      </c>
      <c r="I20" s="27">
        <f>+'[1]T01.00'!M16</f>
        <v>228505372.78226304</v>
      </c>
      <c r="J20" s="26"/>
      <c r="K20" s="26"/>
      <c r="L20" s="26"/>
      <c r="M20" s="27">
        <f>+'[1]T01.00'!U16</f>
        <v>228505372.78226304</v>
      </c>
      <c r="N20" s="67">
        <f>+'[1]T01.00'!W16</f>
        <v>228505372.78226304</v>
      </c>
      <c r="O20" s="39"/>
      <c r="P20" s="21"/>
      <c r="Q20" s="77"/>
      <c r="R20" s="91"/>
      <c r="S20" s="1"/>
      <c r="T20" s="1"/>
      <c r="U20" s="34"/>
      <c r="V20" s="1"/>
      <c r="W20" s="1"/>
      <c r="X20" s="1"/>
      <c r="Y20" s="20"/>
      <c r="Z20" s="1"/>
      <c r="AA20" s="1"/>
      <c r="AB20" s="1"/>
      <c r="AC20" s="1"/>
      <c r="AD20" s="22"/>
      <c r="AE20" s="40"/>
      <c r="AF20" s="23"/>
      <c r="AG20" s="1"/>
    </row>
    <row r="21" spans="2:33" ht="14.45" customHeight="1" x14ac:dyDescent="0.25">
      <c r="B21" s="13" t="s">
        <v>160</v>
      </c>
      <c r="C21" s="5" t="s">
        <v>100</v>
      </c>
      <c r="D21" s="37">
        <f>+'[1]T01.00'!C17</f>
        <v>5978392863.9835539</v>
      </c>
      <c r="E21" s="27">
        <f>+'[1]T01.00'!E17</f>
        <v>4990596224.6980324</v>
      </c>
      <c r="F21" s="27">
        <f>+'[1]T01.00'!G17</f>
        <v>3518425808.8592572</v>
      </c>
      <c r="G21" s="27">
        <f>+'[1]T01.00'!I17</f>
        <v>2028049201.2009838</v>
      </c>
      <c r="H21" s="27">
        <f>+'[1]T01.00'!K17</f>
        <v>964535393.60006523</v>
      </c>
      <c r="I21" s="27">
        <f>+'[1]T01.00'!M17</f>
        <v>9182714.2158279996</v>
      </c>
      <c r="J21" s="27">
        <f>+'[1]T01.00'!O17</f>
        <v>1162641628.6545246</v>
      </c>
      <c r="K21" s="27">
        <f>+'[1]T01.00'!Q17</f>
        <v>0</v>
      </c>
      <c r="L21" s="27">
        <f>+'[1]T01.00'!S17</f>
        <v>351815502.32178694</v>
      </c>
      <c r="M21" s="27">
        <f>+'[1]T01.00'!U17</f>
        <v>18994456623.318207</v>
      </c>
      <c r="N21" s="67">
        <f>+'[1]T01.00'!W17</f>
        <v>2339872705.8437243</v>
      </c>
      <c r="O21" s="38">
        <f>+'[1]T01.00'!Y17</f>
        <v>0</v>
      </c>
      <c r="P21" s="21"/>
      <c r="Q21" s="77"/>
      <c r="R21" s="91"/>
      <c r="S21" s="1"/>
      <c r="T21" s="1"/>
      <c r="U21" s="1"/>
      <c r="V21" s="1"/>
      <c r="W21" s="1"/>
      <c r="X21" s="1"/>
      <c r="Y21" s="1"/>
      <c r="Z21" s="1"/>
      <c r="AA21" s="1"/>
      <c r="AB21" s="1"/>
      <c r="AC21" s="1"/>
      <c r="AD21" s="22"/>
      <c r="AE21" s="1"/>
      <c r="AF21" s="1"/>
      <c r="AG21" s="1"/>
    </row>
    <row r="22" spans="2:33" ht="14.45" customHeight="1" outlineLevel="1" x14ac:dyDescent="0.25">
      <c r="B22" s="4" t="s">
        <v>161</v>
      </c>
      <c r="C22" s="5" t="s">
        <v>102</v>
      </c>
      <c r="D22" s="37">
        <f>+'[1]T01.00'!C18</f>
        <v>5766070775.9333181</v>
      </c>
      <c r="E22" s="27">
        <f>+'[1]T01.00'!E18</f>
        <v>4963670099.3780317</v>
      </c>
      <c r="F22" s="27">
        <f>+'[1]T01.00'!G18</f>
        <v>0</v>
      </c>
      <c r="G22" s="27">
        <f>+'[1]T01.00'!I18</f>
        <v>0</v>
      </c>
      <c r="H22" s="27">
        <f>+'[1]T01.00'!K18</f>
        <v>0</v>
      </c>
      <c r="I22" s="27">
        <f>+'[1]T01.00'!M18</f>
        <v>0</v>
      </c>
      <c r="J22" s="27">
        <f>+'[1]T01.00'!O18</f>
        <v>0</v>
      </c>
      <c r="K22" s="27">
        <f>+'[1]T01.00'!Q18</f>
        <v>0</v>
      </c>
      <c r="L22" s="27">
        <f>+'[1]T01.00'!S18</f>
        <v>0</v>
      </c>
      <c r="M22" s="27">
        <f>+'[1]T01.00'!U18</f>
        <v>10729740875.31135</v>
      </c>
      <c r="N22" s="67">
        <f>+'[1]T01.00'!W18</f>
        <v>228523254.88226306</v>
      </c>
      <c r="O22" s="38">
        <f>+'[1]T01.00'!Y18</f>
        <v>0</v>
      </c>
      <c r="P22" s="21"/>
      <c r="Q22" s="77"/>
      <c r="R22" s="91"/>
      <c r="S22" s="1"/>
      <c r="T22" s="1"/>
      <c r="U22" s="1"/>
      <c r="V22" s="1"/>
      <c r="W22" s="1"/>
      <c r="X22" s="1"/>
      <c r="Y22" s="1"/>
      <c r="Z22" s="1"/>
      <c r="AA22" s="1"/>
      <c r="AB22" s="35"/>
      <c r="AC22" s="29"/>
      <c r="AD22" s="22"/>
      <c r="AE22" s="1"/>
      <c r="AF22" s="23"/>
      <c r="AG22" s="1"/>
    </row>
    <row r="23" spans="2:33" ht="14.45" customHeight="1" outlineLevel="2" x14ac:dyDescent="0.25">
      <c r="B23" s="41" t="s">
        <v>162</v>
      </c>
      <c r="C23" s="5" t="s">
        <v>163</v>
      </c>
      <c r="D23" s="37">
        <f>+'[1]T01.00'!C19</f>
        <v>5766070775.9333181</v>
      </c>
      <c r="E23" s="27">
        <f>+'[1]T01.00'!E19</f>
        <v>4963670099.3780317</v>
      </c>
      <c r="F23" s="27">
        <f>+'[1]T01.00'!G19</f>
        <v>0</v>
      </c>
      <c r="G23" s="27">
        <f>+'[1]T01.00'!I19</f>
        <v>0</v>
      </c>
      <c r="H23" s="27">
        <f>+'[1]T01.00'!K19</f>
        <v>0</v>
      </c>
      <c r="I23" s="27">
        <f>+'[1]T01.00'!M19</f>
        <v>0</v>
      </c>
      <c r="J23" s="27">
        <f>+'[1]T01.00'!O19</f>
        <v>0</v>
      </c>
      <c r="K23" s="27">
        <f>+'[1]T01.00'!Q19</f>
        <v>0</v>
      </c>
      <c r="L23" s="27">
        <f>+'[1]T01.00'!S19</f>
        <v>0</v>
      </c>
      <c r="M23" s="27">
        <f>+'[1]T01.00'!U19</f>
        <v>10729740875.31135</v>
      </c>
      <c r="N23" s="67">
        <f>+'[1]T01.00'!W19</f>
        <v>228523254.88226306</v>
      </c>
      <c r="O23" s="38">
        <f>+'[1]T01.00'!Y19</f>
        <v>0</v>
      </c>
      <c r="P23" s="21"/>
      <c r="Q23" s="77"/>
      <c r="R23" s="91"/>
      <c r="S23" s="1"/>
      <c r="T23" s="1"/>
      <c r="U23" s="1"/>
      <c r="V23" s="1"/>
      <c r="W23" s="1"/>
      <c r="X23" s="42"/>
      <c r="Y23" s="1"/>
      <c r="Z23" s="1"/>
      <c r="AA23" s="1"/>
      <c r="AB23" s="35"/>
      <c r="AC23" s="29"/>
      <c r="AD23" s="22"/>
      <c r="AE23" s="1"/>
      <c r="AF23" s="23"/>
      <c r="AG23" s="1"/>
    </row>
    <row r="24" spans="2:33" ht="14.45" customHeight="1" outlineLevel="2" x14ac:dyDescent="0.25">
      <c r="B24" s="41" t="s">
        <v>164</v>
      </c>
      <c r="C24" s="5" t="s">
        <v>165</v>
      </c>
      <c r="D24" s="37">
        <f>+'[1]T01.00'!C20</f>
        <v>0</v>
      </c>
      <c r="E24" s="27">
        <f>+'[1]T01.00'!E20</f>
        <v>0</v>
      </c>
      <c r="F24" s="27">
        <f>+'[1]T01.00'!G20</f>
        <v>0</v>
      </c>
      <c r="G24" s="27">
        <f>+'[1]T01.00'!I20</f>
        <v>0</v>
      </c>
      <c r="H24" s="27">
        <f>+'[1]T01.00'!K20</f>
        <v>0</v>
      </c>
      <c r="I24" s="27">
        <f>+'[1]T01.00'!M20</f>
        <v>0</v>
      </c>
      <c r="J24" s="27">
        <f>+'[1]T01.00'!O20</f>
        <v>0</v>
      </c>
      <c r="K24" s="27">
        <f>+'[1]T01.00'!Q20</f>
        <v>0</v>
      </c>
      <c r="L24" s="27">
        <f>+'[1]T01.00'!S20</f>
        <v>0</v>
      </c>
      <c r="M24" s="27">
        <f>+'[1]T01.00'!U20</f>
        <v>0</v>
      </c>
      <c r="N24" s="67">
        <f>+'[1]T01.00'!W20</f>
        <v>0</v>
      </c>
      <c r="O24" s="38">
        <f>+'[1]T01.00'!Y20</f>
        <v>0</v>
      </c>
      <c r="P24" s="21"/>
      <c r="Q24" s="77"/>
      <c r="R24" s="91"/>
      <c r="S24" s="1"/>
      <c r="T24" s="1"/>
      <c r="U24" s="1"/>
      <c r="V24" s="1"/>
      <c r="W24" s="1"/>
      <c r="X24" s="42"/>
      <c r="Y24" s="1"/>
      <c r="Z24" s="1"/>
      <c r="AA24" s="1"/>
      <c r="AB24" s="35"/>
      <c r="AC24" s="29"/>
      <c r="AD24" s="22"/>
      <c r="AE24" s="1"/>
      <c r="AF24" s="23"/>
      <c r="AG24" s="1"/>
    </row>
    <row r="25" spans="2:33" ht="14.45" customHeight="1" outlineLevel="2" x14ac:dyDescent="0.25">
      <c r="B25" s="41" t="s">
        <v>166</v>
      </c>
      <c r="C25" s="5" t="s">
        <v>167</v>
      </c>
      <c r="D25" s="37">
        <f>+'[1]T01.00'!C21</f>
        <v>0</v>
      </c>
      <c r="E25" s="27">
        <f>+'[1]T01.00'!E21</f>
        <v>0</v>
      </c>
      <c r="F25" s="27">
        <f>+'[1]T01.00'!G21</f>
        <v>0</v>
      </c>
      <c r="G25" s="27">
        <f>+'[1]T01.00'!I21</f>
        <v>0</v>
      </c>
      <c r="H25" s="27">
        <f>+'[1]T01.00'!K21</f>
        <v>0</v>
      </c>
      <c r="I25" s="27">
        <f>+'[1]T01.00'!M21</f>
        <v>0</v>
      </c>
      <c r="J25" s="27">
        <f>+'[1]T01.00'!O21</f>
        <v>0</v>
      </c>
      <c r="K25" s="27">
        <f>+'[1]T01.00'!Q21</f>
        <v>0</v>
      </c>
      <c r="L25" s="27">
        <f>+'[1]T01.00'!S21</f>
        <v>0</v>
      </c>
      <c r="M25" s="27">
        <f>+'[1]T01.00'!U21</f>
        <v>0</v>
      </c>
      <c r="N25" s="67">
        <f>+'[1]T01.00'!W21</f>
        <v>0</v>
      </c>
      <c r="O25" s="38">
        <f>+'[1]T01.00'!Y21</f>
        <v>0</v>
      </c>
      <c r="P25" s="21"/>
      <c r="Q25" s="77"/>
      <c r="R25" s="91"/>
      <c r="S25" s="1"/>
      <c r="T25" s="1"/>
      <c r="U25" s="1"/>
      <c r="V25" s="1"/>
      <c r="W25" s="1"/>
      <c r="X25" s="42"/>
      <c r="Y25" s="1"/>
      <c r="Z25" s="1"/>
      <c r="AA25" s="1"/>
      <c r="AB25" s="35"/>
      <c r="AC25" s="29"/>
      <c r="AD25" s="22"/>
      <c r="AE25" s="1"/>
      <c r="AF25" s="23"/>
      <c r="AG25" s="1"/>
    </row>
    <row r="26" spans="2:33" ht="14.45" customHeight="1" outlineLevel="2" x14ac:dyDescent="0.25">
      <c r="B26" s="41" t="s">
        <v>168</v>
      </c>
      <c r="C26" s="5" t="s">
        <v>169</v>
      </c>
      <c r="D26" s="37">
        <f>+'[1]T01.00'!C22</f>
        <v>0</v>
      </c>
      <c r="E26" s="27">
        <f>+'[1]T01.00'!E22</f>
        <v>0</v>
      </c>
      <c r="F26" s="27">
        <f>+'[1]T01.00'!G22</f>
        <v>0</v>
      </c>
      <c r="G26" s="27">
        <f>+'[1]T01.00'!I22</f>
        <v>0</v>
      </c>
      <c r="H26" s="27">
        <f>+'[1]T01.00'!K22</f>
        <v>0</v>
      </c>
      <c r="I26" s="27">
        <f>+'[1]T01.00'!M22</f>
        <v>0</v>
      </c>
      <c r="J26" s="27">
        <f>+'[1]T01.00'!O22</f>
        <v>0</v>
      </c>
      <c r="K26" s="27">
        <f>+'[1]T01.00'!Q22</f>
        <v>0</v>
      </c>
      <c r="L26" s="27">
        <f>+'[1]T01.00'!S22</f>
        <v>0</v>
      </c>
      <c r="M26" s="27">
        <f>+'[1]T01.00'!U22</f>
        <v>0</v>
      </c>
      <c r="N26" s="67">
        <f>+'[1]T01.00'!W22</f>
        <v>0</v>
      </c>
      <c r="O26" s="38">
        <f>+'[1]T01.00'!Y22</f>
        <v>0</v>
      </c>
      <c r="P26" s="21"/>
      <c r="Q26" s="77"/>
      <c r="R26" s="91"/>
      <c r="S26" s="1"/>
      <c r="T26" s="1"/>
      <c r="U26" s="1"/>
      <c r="V26" s="1"/>
      <c r="W26" s="1"/>
      <c r="X26" s="42"/>
      <c r="Y26" s="1"/>
      <c r="Z26" s="1"/>
      <c r="AA26" s="1"/>
      <c r="AB26" s="35"/>
      <c r="AC26" s="29"/>
      <c r="AD26" s="22"/>
      <c r="AE26" s="1"/>
      <c r="AF26" s="23"/>
      <c r="AG26" s="1"/>
    </row>
    <row r="27" spans="2:33" ht="14.45" customHeight="1" outlineLevel="1" x14ac:dyDescent="0.25">
      <c r="B27" s="4" t="s">
        <v>170</v>
      </c>
      <c r="C27" s="5" t="s">
        <v>103</v>
      </c>
      <c r="D27" s="37">
        <f>+'[1]T01.00'!C23</f>
        <v>0</v>
      </c>
      <c r="E27" s="27">
        <f>+'[1]T01.00'!E23</f>
        <v>0</v>
      </c>
      <c r="F27" s="27">
        <f>+'[1]T01.00'!G23</f>
        <v>3385474704.2792525</v>
      </c>
      <c r="G27" s="27">
        <f>+'[1]T01.00'!I23</f>
        <v>542757765.5609839</v>
      </c>
      <c r="H27" s="27">
        <f>+'[1]T01.00'!K23</f>
        <v>727128029.52939415</v>
      </c>
      <c r="I27" s="27">
        <f>+'[1]T01.00'!M23</f>
        <v>2.2200000000000002</v>
      </c>
      <c r="J27" s="27">
        <f>+'[1]T01.00'!O23</f>
        <v>1161510872.4145246</v>
      </c>
      <c r="K27" s="27">
        <f>+'[1]T01.00'!Q23</f>
        <v>0</v>
      </c>
      <c r="L27" s="27">
        <f>+'[1]T01.00'!S23</f>
        <v>0</v>
      </c>
      <c r="M27" s="27">
        <f>+'[1]T01.00'!U23</f>
        <v>5816871371.7841549</v>
      </c>
      <c r="N27" s="67">
        <f>+'[1]T01.00'!W23</f>
        <v>582148639.00563323</v>
      </c>
      <c r="O27" s="38">
        <f>+'[1]T01.00'!Y23</f>
        <v>0</v>
      </c>
      <c r="P27" s="21"/>
      <c r="Q27" s="77"/>
      <c r="R27" s="91"/>
      <c r="S27" s="1"/>
      <c r="T27" s="1"/>
      <c r="U27" s="1"/>
      <c r="V27" s="1"/>
      <c r="W27" s="1"/>
      <c r="X27" s="1"/>
      <c r="Y27" s="1"/>
      <c r="Z27" s="1"/>
      <c r="AA27" s="1"/>
      <c r="AB27" s="35"/>
      <c r="AC27" s="29"/>
      <c r="AD27" s="22"/>
      <c r="AE27" s="1"/>
      <c r="AF27" s="1"/>
      <c r="AG27" s="1"/>
    </row>
    <row r="28" spans="2:33" ht="14.45" customHeight="1" outlineLevel="2" x14ac:dyDescent="0.25">
      <c r="B28" s="41" t="s">
        <v>162</v>
      </c>
      <c r="C28" s="5" t="s">
        <v>171</v>
      </c>
      <c r="D28" s="37">
        <f>+'[1]T01.00'!C24</f>
        <v>0</v>
      </c>
      <c r="E28" s="27">
        <f>+'[1]T01.00'!E24</f>
        <v>0</v>
      </c>
      <c r="F28" s="27">
        <f>+'[1]T01.00'!G24</f>
        <v>3385474704.2792525</v>
      </c>
      <c r="G28" s="27">
        <f>+'[1]T01.00'!I24</f>
        <v>542757765.5609839</v>
      </c>
      <c r="H28" s="27">
        <f>+'[1]T01.00'!K24</f>
        <v>727128029.52939415</v>
      </c>
      <c r="I28" s="27">
        <f>+'[1]T01.00'!M24</f>
        <v>2.2200000000000002</v>
      </c>
      <c r="J28" s="27">
        <f>+'[1]T01.00'!O24</f>
        <v>1161510872.4145246</v>
      </c>
      <c r="K28" s="27">
        <f>+'[1]T01.00'!Q24</f>
        <v>0</v>
      </c>
      <c r="L28" s="27">
        <f>+'[1]T01.00'!S24</f>
        <v>0</v>
      </c>
      <c r="M28" s="27">
        <f>+'[1]T01.00'!U24</f>
        <v>5816871371.7841549</v>
      </c>
      <c r="N28" s="67">
        <f>+'[1]T01.00'!W24</f>
        <v>582148639.00563323</v>
      </c>
      <c r="O28" s="38">
        <f>+'[1]T01.00'!Y24</f>
        <v>0</v>
      </c>
      <c r="P28" s="21"/>
      <c r="Q28" s="77"/>
      <c r="R28" s="91"/>
      <c r="S28" s="1"/>
      <c r="T28" s="1"/>
      <c r="U28" s="1"/>
      <c r="V28" s="1"/>
      <c r="W28" s="1"/>
      <c r="X28" s="42"/>
      <c r="Y28" s="1"/>
      <c r="Z28" s="1"/>
      <c r="AA28" s="1"/>
      <c r="AB28" s="35"/>
      <c r="AC28" s="29"/>
      <c r="AD28" s="22"/>
      <c r="AE28" s="1"/>
      <c r="AF28" s="23"/>
      <c r="AG28" s="1"/>
    </row>
    <row r="29" spans="2:33" ht="14.45" customHeight="1" outlineLevel="2" x14ac:dyDescent="0.25">
      <c r="B29" s="41" t="s">
        <v>164</v>
      </c>
      <c r="C29" s="5" t="s">
        <v>172</v>
      </c>
      <c r="D29" s="37">
        <f>+'[1]T01.00'!C25</f>
        <v>0</v>
      </c>
      <c r="E29" s="27">
        <f>+'[1]T01.00'!E25</f>
        <v>0</v>
      </c>
      <c r="F29" s="27">
        <f>+'[1]T01.00'!G25</f>
        <v>0</v>
      </c>
      <c r="G29" s="27">
        <f>+'[1]T01.00'!I25</f>
        <v>0</v>
      </c>
      <c r="H29" s="27">
        <f>+'[1]T01.00'!K25</f>
        <v>0</v>
      </c>
      <c r="I29" s="27">
        <f>+'[1]T01.00'!M25</f>
        <v>0</v>
      </c>
      <c r="J29" s="27">
        <f>+'[1]T01.00'!O25</f>
        <v>0</v>
      </c>
      <c r="K29" s="27">
        <f>+'[1]T01.00'!Q25</f>
        <v>0</v>
      </c>
      <c r="L29" s="27">
        <f>+'[1]T01.00'!S25</f>
        <v>0</v>
      </c>
      <c r="M29" s="27">
        <f>+'[1]T01.00'!U25</f>
        <v>0</v>
      </c>
      <c r="N29" s="67">
        <f>+'[1]T01.00'!W25</f>
        <v>0</v>
      </c>
      <c r="O29" s="38">
        <f>+'[1]T01.00'!Y25</f>
        <v>0</v>
      </c>
      <c r="P29" s="21"/>
      <c r="Q29" s="77"/>
      <c r="R29" s="91"/>
      <c r="S29" s="1"/>
      <c r="T29" s="1"/>
      <c r="U29" s="1"/>
      <c r="V29" s="1"/>
      <c r="W29" s="1"/>
      <c r="X29" s="42"/>
      <c r="Y29" s="1"/>
      <c r="Z29" s="1"/>
      <c r="AA29" s="1"/>
      <c r="AB29" s="35"/>
      <c r="AC29" s="29"/>
      <c r="AD29" s="22"/>
      <c r="AE29" s="1"/>
      <c r="AF29" s="23"/>
      <c r="AG29" s="1"/>
    </row>
    <row r="30" spans="2:33" ht="14.45" customHeight="1" outlineLevel="2" x14ac:dyDescent="0.25">
      <c r="B30" s="41" t="s">
        <v>166</v>
      </c>
      <c r="C30" s="5" t="s">
        <v>173</v>
      </c>
      <c r="D30" s="37">
        <f>+'[1]T01.00'!C26</f>
        <v>0</v>
      </c>
      <c r="E30" s="27">
        <f>+'[1]T01.00'!E26</f>
        <v>0</v>
      </c>
      <c r="F30" s="27">
        <f>+'[1]T01.00'!G26</f>
        <v>0</v>
      </c>
      <c r="G30" s="27">
        <f>+'[1]T01.00'!I26</f>
        <v>0</v>
      </c>
      <c r="H30" s="27">
        <f>+'[1]T01.00'!K26</f>
        <v>0</v>
      </c>
      <c r="I30" s="27">
        <f>+'[1]T01.00'!M26</f>
        <v>0</v>
      </c>
      <c r="J30" s="27">
        <f>+'[1]T01.00'!O26</f>
        <v>0</v>
      </c>
      <c r="K30" s="27">
        <f>+'[1]T01.00'!Q26</f>
        <v>0</v>
      </c>
      <c r="L30" s="27">
        <f>+'[1]T01.00'!S26</f>
        <v>0</v>
      </c>
      <c r="M30" s="27">
        <f>+'[1]T01.00'!U26</f>
        <v>0</v>
      </c>
      <c r="N30" s="67">
        <f>+'[1]T01.00'!W26</f>
        <v>0</v>
      </c>
      <c r="O30" s="38">
        <f>+'[1]T01.00'!Y26</f>
        <v>0</v>
      </c>
      <c r="P30" s="21"/>
      <c r="Q30" s="77"/>
      <c r="R30" s="91"/>
      <c r="S30" s="1"/>
      <c r="T30" s="1"/>
      <c r="U30" s="1"/>
      <c r="V30" s="1"/>
      <c r="W30" s="1"/>
      <c r="X30" s="42"/>
      <c r="Y30" s="1"/>
      <c r="Z30" s="1"/>
      <c r="AA30" s="1"/>
      <c r="AB30" s="35"/>
      <c r="AC30" s="29"/>
      <c r="AD30" s="22"/>
      <c r="AE30" s="1"/>
      <c r="AF30" s="1"/>
      <c r="AG30" s="1"/>
    </row>
    <row r="31" spans="2:33" ht="14.45" customHeight="1" outlineLevel="2" x14ac:dyDescent="0.25">
      <c r="B31" s="41" t="s">
        <v>168</v>
      </c>
      <c r="C31" s="5" t="s">
        <v>174</v>
      </c>
      <c r="D31" s="37">
        <f>+'[1]T01.00'!C27</f>
        <v>0</v>
      </c>
      <c r="E31" s="27">
        <f>+'[1]T01.00'!E27</f>
        <v>0</v>
      </c>
      <c r="F31" s="27">
        <f>+'[1]T01.00'!G27</f>
        <v>0</v>
      </c>
      <c r="G31" s="27">
        <f>+'[1]T01.00'!I27</f>
        <v>0</v>
      </c>
      <c r="H31" s="27">
        <f>+'[1]T01.00'!K27</f>
        <v>0</v>
      </c>
      <c r="I31" s="27">
        <f>+'[1]T01.00'!M27</f>
        <v>0</v>
      </c>
      <c r="J31" s="27">
        <f>+'[1]T01.00'!O27</f>
        <v>0</v>
      </c>
      <c r="K31" s="27">
        <f>+'[1]T01.00'!Q27</f>
        <v>0</v>
      </c>
      <c r="L31" s="27">
        <f>+'[1]T01.00'!S27</f>
        <v>0</v>
      </c>
      <c r="M31" s="27">
        <f>+'[1]T01.00'!U27</f>
        <v>0</v>
      </c>
      <c r="N31" s="67">
        <f>+'[1]T01.00'!W27</f>
        <v>0</v>
      </c>
      <c r="O31" s="38">
        <f>+'[1]T01.00'!Y27</f>
        <v>0</v>
      </c>
      <c r="P31" s="21"/>
      <c r="Q31" s="77"/>
      <c r="R31" s="91"/>
      <c r="S31" s="1"/>
      <c r="T31" s="1"/>
      <c r="U31" s="1"/>
      <c r="V31" s="1"/>
      <c r="W31" s="1"/>
      <c r="X31" s="42"/>
      <c r="Y31" s="1"/>
      <c r="Z31" s="1"/>
      <c r="AA31" s="1"/>
      <c r="AB31" s="35"/>
      <c r="AC31" s="29"/>
      <c r="AD31" s="22"/>
      <c r="AE31" s="1"/>
      <c r="AF31" s="1"/>
      <c r="AG31" s="1"/>
    </row>
    <row r="32" spans="2:33" ht="14.45" customHeight="1" outlineLevel="1" x14ac:dyDescent="0.25">
      <c r="B32" s="4" t="s">
        <v>350</v>
      </c>
      <c r="C32" s="5" t="s">
        <v>351</v>
      </c>
      <c r="D32" s="71">
        <f>+'[1]T01.00'!C28</f>
        <v>635345.55999999994</v>
      </c>
      <c r="E32" s="69">
        <f>+'[1]T01.00'!E28</f>
        <v>2880104.8200000003</v>
      </c>
      <c r="F32" s="69">
        <f>+'[1]T01.00'!G28</f>
        <v>97764591.86999999</v>
      </c>
      <c r="G32" s="69">
        <f>+'[1]T01.00'!I28</f>
        <v>372607354.50000006</v>
      </c>
      <c r="H32" s="69">
        <f>+'[1]T01.00'!K28</f>
        <v>217940739.74000007</v>
      </c>
      <c r="I32" s="67">
        <f>+'[1]T01.00'!M28</f>
        <v>0</v>
      </c>
      <c r="J32" s="69">
        <f>+'[1]T01.00'!O28</f>
        <v>0</v>
      </c>
      <c r="K32" s="69">
        <f>+'[1]T01.00'!Q28</f>
        <v>0</v>
      </c>
      <c r="L32" s="69">
        <f>+'[1]T01.00'!S28</f>
        <v>0</v>
      </c>
      <c r="M32" s="69">
        <f>+'[1]T01.00'!U28</f>
        <v>691828136.49000013</v>
      </c>
      <c r="N32" s="69">
        <f>+'[1]T01.00'!W28</f>
        <v>407460658.86000007</v>
      </c>
      <c r="O32" s="90">
        <f>+'[1]T01.00'!Y28</f>
        <v>0</v>
      </c>
      <c r="P32" s="21"/>
      <c r="Q32" s="77"/>
      <c r="R32" s="91"/>
      <c r="S32" s="1"/>
      <c r="T32" s="1"/>
      <c r="U32" s="1"/>
      <c r="V32" s="1"/>
      <c r="W32" s="1"/>
      <c r="X32" s="1"/>
      <c r="Y32" s="1"/>
      <c r="Z32" s="1"/>
      <c r="AA32" s="1"/>
      <c r="AB32" s="1"/>
      <c r="AC32" s="1"/>
      <c r="AD32" s="22"/>
      <c r="AE32" s="1"/>
      <c r="AF32" s="23"/>
      <c r="AG32" s="1"/>
    </row>
    <row r="33" spans="2:33" ht="14.45" customHeight="1" outlineLevel="1" x14ac:dyDescent="0.25">
      <c r="B33" s="4" t="s">
        <v>183</v>
      </c>
      <c r="C33" s="5" t="s">
        <v>184</v>
      </c>
      <c r="D33" s="66">
        <f>+'[1]T01.00'!C33</f>
        <v>0</v>
      </c>
      <c r="E33" s="67">
        <f>+'[1]T01.00'!E33</f>
        <v>0</v>
      </c>
      <c r="F33" s="67">
        <f>+'[1]T01.00'!G33</f>
        <v>0</v>
      </c>
      <c r="G33" s="67">
        <f>+'[1]T01.00'!I33</f>
        <v>0</v>
      </c>
      <c r="H33" s="67">
        <f>+'[1]T01.00'!K33</f>
        <v>0</v>
      </c>
      <c r="I33" s="67">
        <f>+'[1]T01.00'!M33</f>
        <v>0</v>
      </c>
      <c r="J33" s="67">
        <f>+'[1]T01.00'!O33</f>
        <v>0</v>
      </c>
      <c r="K33" s="67">
        <f>+'[1]T01.00'!Q33</f>
        <v>0</v>
      </c>
      <c r="L33" s="67">
        <f>+'[1]T01.00'!S33</f>
        <v>0</v>
      </c>
      <c r="M33" s="67">
        <f>+'[1]T01.00'!U33</f>
        <v>0</v>
      </c>
      <c r="N33" s="67">
        <f>+'[1]T01.00'!W33</f>
        <v>0</v>
      </c>
      <c r="O33" s="68">
        <f>+'[1]T01.00'!Y33</f>
        <v>0</v>
      </c>
      <c r="P33" s="21"/>
      <c r="Q33" s="77"/>
      <c r="R33" s="91"/>
      <c r="S33" s="1"/>
      <c r="T33" s="32"/>
      <c r="U33" s="1"/>
      <c r="V33" s="1"/>
      <c r="W33" s="1"/>
      <c r="X33" s="1"/>
      <c r="Y33" s="1"/>
      <c r="Z33" s="1"/>
      <c r="AA33" s="1"/>
      <c r="AB33" s="1"/>
      <c r="AC33" s="1"/>
      <c r="AD33" s="22"/>
      <c r="AE33" s="1"/>
      <c r="AF33" s="1"/>
      <c r="AG33" s="33"/>
    </row>
    <row r="34" spans="2:33" ht="14.45" customHeight="1" outlineLevel="2" x14ac:dyDescent="0.25">
      <c r="B34" s="41" t="s">
        <v>162</v>
      </c>
      <c r="C34" s="5" t="s">
        <v>185</v>
      </c>
      <c r="D34" s="37">
        <f>+'[1]T01.00'!C34</f>
        <v>0</v>
      </c>
      <c r="E34" s="27">
        <f>+'[1]T01.00'!E34</f>
        <v>0</v>
      </c>
      <c r="F34" s="27">
        <f>+'[1]T01.00'!G34</f>
        <v>0</v>
      </c>
      <c r="G34" s="27">
        <f>+'[1]T01.00'!I34</f>
        <v>0</v>
      </c>
      <c r="H34" s="27">
        <f>+'[1]T01.00'!K34</f>
        <v>0</v>
      </c>
      <c r="I34" s="27">
        <f>+'[1]T01.00'!M34</f>
        <v>0</v>
      </c>
      <c r="J34" s="27">
        <f>+'[1]T01.00'!O34</f>
        <v>0</v>
      </c>
      <c r="K34" s="27">
        <f>+'[1]T01.00'!Q34</f>
        <v>0</v>
      </c>
      <c r="L34" s="27">
        <f>+'[1]T01.00'!S34</f>
        <v>0</v>
      </c>
      <c r="M34" s="27">
        <f>+'[1]T01.00'!U34</f>
        <v>0</v>
      </c>
      <c r="N34" s="67">
        <f>+'[1]T01.00'!W34</f>
        <v>0</v>
      </c>
      <c r="O34" s="38">
        <f>+'[1]T01.00'!Y34</f>
        <v>0</v>
      </c>
      <c r="P34" s="21"/>
      <c r="Q34" s="77"/>
      <c r="R34" s="91"/>
      <c r="S34" s="1"/>
      <c r="T34" s="32"/>
      <c r="U34" s="1"/>
      <c r="V34" s="1"/>
      <c r="W34" s="1"/>
      <c r="X34" s="42"/>
      <c r="Y34" s="1"/>
      <c r="Z34" s="1"/>
      <c r="AA34" s="1"/>
      <c r="AB34" s="1"/>
      <c r="AC34" s="1"/>
      <c r="AD34" s="22"/>
      <c r="AE34" s="1"/>
      <c r="AF34" s="23"/>
      <c r="AG34" s="33"/>
    </row>
    <row r="35" spans="2:33" ht="14.45" customHeight="1" outlineLevel="2" x14ac:dyDescent="0.25">
      <c r="B35" s="41" t="s">
        <v>164</v>
      </c>
      <c r="C35" s="5" t="s">
        <v>186</v>
      </c>
      <c r="D35" s="37">
        <f>+'[1]T01.00'!C35</f>
        <v>0</v>
      </c>
      <c r="E35" s="27">
        <f>+'[1]T01.00'!E35</f>
        <v>0</v>
      </c>
      <c r="F35" s="27">
        <f>+'[1]T01.00'!G35</f>
        <v>0</v>
      </c>
      <c r="G35" s="27">
        <f>+'[1]T01.00'!I35</f>
        <v>0</v>
      </c>
      <c r="H35" s="27">
        <f>+'[1]T01.00'!K35</f>
        <v>0</v>
      </c>
      <c r="I35" s="27">
        <f>+'[1]T01.00'!M35</f>
        <v>0</v>
      </c>
      <c r="J35" s="27">
        <f>+'[1]T01.00'!O35</f>
        <v>0</v>
      </c>
      <c r="K35" s="27">
        <f>+'[1]T01.00'!Q35</f>
        <v>0</v>
      </c>
      <c r="L35" s="27">
        <f>+'[1]T01.00'!S35</f>
        <v>0</v>
      </c>
      <c r="M35" s="27">
        <f>+'[1]T01.00'!U35</f>
        <v>0</v>
      </c>
      <c r="N35" s="67">
        <f>+'[1]T01.00'!W35</f>
        <v>0</v>
      </c>
      <c r="O35" s="38">
        <f>+'[1]T01.00'!Y35</f>
        <v>0</v>
      </c>
      <c r="P35" s="21"/>
      <c r="Q35" s="77"/>
      <c r="R35" s="91"/>
      <c r="S35" s="1"/>
      <c r="T35" s="32"/>
      <c r="U35" s="1"/>
      <c r="V35" s="1"/>
      <c r="W35" s="1"/>
      <c r="X35" s="42"/>
      <c r="Y35" s="1"/>
      <c r="Z35" s="1"/>
      <c r="AA35" s="1"/>
      <c r="AB35" s="1"/>
      <c r="AC35" s="1"/>
      <c r="AD35" s="22"/>
      <c r="AE35" s="1"/>
      <c r="AF35" s="23"/>
      <c r="AG35" s="33"/>
    </row>
    <row r="36" spans="2:33" ht="14.45" customHeight="1" outlineLevel="2" x14ac:dyDescent="0.25">
      <c r="B36" s="41" t="s">
        <v>166</v>
      </c>
      <c r="C36" s="5" t="s">
        <v>187</v>
      </c>
      <c r="D36" s="37">
        <f>+'[1]T01.00'!C36</f>
        <v>0</v>
      </c>
      <c r="E36" s="27">
        <f>+'[1]T01.00'!E36</f>
        <v>0</v>
      </c>
      <c r="F36" s="27">
        <f>+'[1]T01.00'!G36</f>
        <v>0</v>
      </c>
      <c r="G36" s="27">
        <f>+'[1]T01.00'!I36</f>
        <v>0</v>
      </c>
      <c r="H36" s="27">
        <f>+'[1]T01.00'!K36</f>
        <v>0</v>
      </c>
      <c r="I36" s="27">
        <f>+'[1]T01.00'!M36</f>
        <v>0</v>
      </c>
      <c r="J36" s="27">
        <f>+'[1]T01.00'!O36</f>
        <v>0</v>
      </c>
      <c r="K36" s="27">
        <f>+'[1]T01.00'!Q36</f>
        <v>0</v>
      </c>
      <c r="L36" s="27">
        <f>+'[1]T01.00'!S36</f>
        <v>0</v>
      </c>
      <c r="M36" s="27">
        <f>+'[1]T01.00'!U36</f>
        <v>0</v>
      </c>
      <c r="N36" s="67">
        <f>+'[1]T01.00'!W36</f>
        <v>0</v>
      </c>
      <c r="O36" s="38">
        <f>+'[1]T01.00'!Y36</f>
        <v>0</v>
      </c>
      <c r="P36" s="21"/>
      <c r="Q36" s="77"/>
      <c r="R36" s="91"/>
      <c r="S36" s="1"/>
      <c r="T36" s="32"/>
      <c r="U36" s="1"/>
      <c r="V36" s="1"/>
      <c r="W36" s="1"/>
      <c r="X36" s="42"/>
      <c r="Y36" s="1"/>
      <c r="Z36" s="1"/>
      <c r="AA36" s="1"/>
      <c r="AB36" s="1"/>
      <c r="AC36" s="1"/>
      <c r="AD36" s="22"/>
      <c r="AE36" s="1"/>
      <c r="AF36" s="1"/>
      <c r="AG36" s="33"/>
    </row>
    <row r="37" spans="2:33" ht="14.45" customHeight="1" outlineLevel="2" x14ac:dyDescent="0.25">
      <c r="B37" s="41" t="s">
        <v>168</v>
      </c>
      <c r="C37" s="5" t="s">
        <v>188</v>
      </c>
      <c r="D37" s="37">
        <f>+'[1]T01.00'!C37</f>
        <v>0</v>
      </c>
      <c r="E37" s="27">
        <f>+'[1]T01.00'!E37</f>
        <v>0</v>
      </c>
      <c r="F37" s="27">
        <f>+'[1]T01.00'!G37</f>
        <v>0</v>
      </c>
      <c r="G37" s="27">
        <f>+'[1]T01.00'!I37</f>
        <v>0</v>
      </c>
      <c r="H37" s="27">
        <f>+'[1]T01.00'!K37</f>
        <v>0</v>
      </c>
      <c r="I37" s="27">
        <f>+'[1]T01.00'!M37</f>
        <v>0</v>
      </c>
      <c r="J37" s="27">
        <f>+'[1]T01.00'!O37</f>
        <v>0</v>
      </c>
      <c r="K37" s="27">
        <f>+'[1]T01.00'!Q37</f>
        <v>0</v>
      </c>
      <c r="L37" s="27">
        <f>+'[1]T01.00'!S37</f>
        <v>0</v>
      </c>
      <c r="M37" s="27">
        <f>+'[1]T01.00'!U37</f>
        <v>0</v>
      </c>
      <c r="N37" s="67">
        <f>+'[1]T01.00'!W37</f>
        <v>0</v>
      </c>
      <c r="O37" s="38">
        <f>+'[1]T01.00'!Y37</f>
        <v>0</v>
      </c>
      <c r="P37" s="21"/>
      <c r="Q37" s="77"/>
      <c r="R37" s="91"/>
      <c r="S37" s="1"/>
      <c r="T37" s="32"/>
      <c r="U37" s="1"/>
      <c r="V37" s="1"/>
      <c r="W37" s="1"/>
      <c r="X37" s="42"/>
      <c r="Y37" s="1"/>
      <c r="Z37" s="1"/>
      <c r="AA37" s="1"/>
      <c r="AB37" s="1"/>
      <c r="AC37" s="1"/>
      <c r="AD37" s="22"/>
      <c r="AE37" s="1"/>
      <c r="AF37" s="1"/>
      <c r="AG37" s="33"/>
    </row>
    <row r="38" spans="2:33" ht="14.45" customHeight="1" outlineLevel="1" x14ac:dyDescent="0.25">
      <c r="B38" s="4" t="s">
        <v>189</v>
      </c>
      <c r="C38" s="5" t="s">
        <v>190</v>
      </c>
      <c r="D38" s="37">
        <f>+'[1]T01.00'!C38</f>
        <v>0</v>
      </c>
      <c r="E38" s="27">
        <f>+'[1]T01.00'!E38</f>
        <v>0</v>
      </c>
      <c r="F38" s="27">
        <f>+'[1]T01.00'!G38</f>
        <v>0</v>
      </c>
      <c r="G38" s="27">
        <f>+'[1]T01.00'!I38</f>
        <v>0</v>
      </c>
      <c r="H38" s="27">
        <f>+'[1]T01.00'!K38</f>
        <v>7728751.9969629999</v>
      </c>
      <c r="I38" s="27">
        <f>+'[1]T01.00'!M38</f>
        <v>7728751.9969629999</v>
      </c>
      <c r="J38" s="27">
        <f>+'[1]T01.00'!O38</f>
        <v>0</v>
      </c>
      <c r="K38" s="27">
        <f>+'[1]T01.00'!Q38</f>
        <v>0</v>
      </c>
      <c r="L38" s="27">
        <f>+'[1]T01.00'!S38</f>
        <v>0</v>
      </c>
      <c r="M38" s="27">
        <f>+'[1]T01.00'!U38</f>
        <v>7728751.9969629999</v>
      </c>
      <c r="N38" s="67">
        <f>+'[1]T01.00'!W38</f>
        <v>7728751.9969629999</v>
      </c>
      <c r="O38" s="38">
        <f>+'[1]T01.00'!Y38</f>
        <v>0</v>
      </c>
      <c r="P38" s="21"/>
      <c r="Q38" s="77"/>
      <c r="R38" s="91"/>
      <c r="S38" s="1"/>
      <c r="T38" s="1"/>
      <c r="U38" s="1"/>
      <c r="V38" s="1"/>
      <c r="W38" s="1"/>
      <c r="X38" s="1"/>
      <c r="Y38" s="1"/>
      <c r="Z38" s="1"/>
      <c r="AA38" s="1"/>
      <c r="AB38" s="1"/>
      <c r="AC38" s="29"/>
      <c r="AD38" s="22"/>
      <c r="AE38" s="1"/>
      <c r="AF38" s="1"/>
      <c r="AG38" s="1"/>
    </row>
    <row r="39" spans="2:33" ht="14.45" customHeight="1" outlineLevel="2" x14ac:dyDescent="0.25">
      <c r="B39" s="41" t="s">
        <v>162</v>
      </c>
      <c r="C39" s="5" t="s">
        <v>191</v>
      </c>
      <c r="D39" s="37">
        <f>+'[1]T01.00'!C39</f>
        <v>0</v>
      </c>
      <c r="E39" s="27">
        <f>+'[1]T01.00'!E39</f>
        <v>0</v>
      </c>
      <c r="F39" s="27">
        <f>+'[1]T01.00'!G39</f>
        <v>0</v>
      </c>
      <c r="G39" s="27">
        <f>+'[1]T01.00'!I39</f>
        <v>0</v>
      </c>
      <c r="H39" s="27">
        <f>+'[1]T01.00'!K39</f>
        <v>0</v>
      </c>
      <c r="I39" s="27">
        <f>+'[1]T01.00'!M39</f>
        <v>0</v>
      </c>
      <c r="J39" s="27">
        <f>+'[1]T01.00'!O39</f>
        <v>0</v>
      </c>
      <c r="K39" s="27">
        <f>+'[1]T01.00'!Q39</f>
        <v>0</v>
      </c>
      <c r="L39" s="27">
        <f>+'[1]T01.00'!S39</f>
        <v>0</v>
      </c>
      <c r="M39" s="27">
        <f>+'[1]T01.00'!U39</f>
        <v>0</v>
      </c>
      <c r="N39" s="67">
        <f>+'[1]T01.00'!W39</f>
        <v>0</v>
      </c>
      <c r="O39" s="38">
        <f>+'[1]T01.00'!Y39</f>
        <v>0</v>
      </c>
      <c r="P39" s="21"/>
      <c r="Q39" s="77"/>
      <c r="R39" s="91"/>
      <c r="S39" s="1"/>
      <c r="T39" s="1"/>
      <c r="U39" s="1"/>
      <c r="V39" s="1"/>
      <c r="W39" s="1"/>
      <c r="X39" s="42"/>
      <c r="Y39" s="1"/>
      <c r="Z39" s="1"/>
      <c r="AA39" s="1"/>
      <c r="AB39" s="1"/>
      <c r="AC39" s="29"/>
      <c r="AD39" s="22"/>
      <c r="AE39" s="1"/>
      <c r="AF39" s="23"/>
      <c r="AG39" s="1"/>
    </row>
    <row r="40" spans="2:33" ht="14.45" customHeight="1" outlineLevel="2" x14ac:dyDescent="0.25">
      <c r="B40" s="41" t="s">
        <v>164</v>
      </c>
      <c r="C40" s="5" t="s">
        <v>192</v>
      </c>
      <c r="D40" s="37">
        <f>+'[1]T01.00'!C40</f>
        <v>0</v>
      </c>
      <c r="E40" s="27">
        <f>+'[1]T01.00'!E40</f>
        <v>0</v>
      </c>
      <c r="F40" s="27">
        <f>+'[1]T01.00'!G40</f>
        <v>0</v>
      </c>
      <c r="G40" s="27">
        <f>+'[1]T01.00'!I40</f>
        <v>0</v>
      </c>
      <c r="H40" s="27">
        <f>+'[1]T01.00'!K40</f>
        <v>0</v>
      </c>
      <c r="I40" s="27">
        <f>+'[1]T01.00'!M40</f>
        <v>0</v>
      </c>
      <c r="J40" s="27">
        <f>+'[1]T01.00'!O40</f>
        <v>0</v>
      </c>
      <c r="K40" s="27">
        <f>+'[1]T01.00'!Q40</f>
        <v>0</v>
      </c>
      <c r="L40" s="27">
        <f>+'[1]T01.00'!S40</f>
        <v>0</v>
      </c>
      <c r="M40" s="27">
        <f>+'[1]T01.00'!U40</f>
        <v>0</v>
      </c>
      <c r="N40" s="67">
        <f>+'[1]T01.00'!W40</f>
        <v>0</v>
      </c>
      <c r="O40" s="38">
        <f>+'[1]T01.00'!Y40</f>
        <v>0</v>
      </c>
      <c r="P40" s="21"/>
      <c r="Q40" s="77"/>
      <c r="R40" s="91"/>
      <c r="S40" s="1"/>
      <c r="T40" s="1"/>
      <c r="U40" s="1"/>
      <c r="V40" s="1"/>
      <c r="W40" s="1"/>
      <c r="X40" s="42"/>
      <c r="Y40" s="1"/>
      <c r="Z40" s="1"/>
      <c r="AA40" s="1"/>
      <c r="AB40" s="1"/>
      <c r="AC40" s="29"/>
      <c r="AD40" s="22"/>
      <c r="AE40" s="1"/>
      <c r="AF40" s="23"/>
      <c r="AG40" s="1"/>
    </row>
    <row r="41" spans="2:33" ht="14.45" customHeight="1" outlineLevel="2" x14ac:dyDescent="0.25">
      <c r="B41" s="41" t="s">
        <v>166</v>
      </c>
      <c r="C41" s="5" t="s">
        <v>193</v>
      </c>
      <c r="D41" s="37">
        <f>+'[1]T01.00'!C41</f>
        <v>0</v>
      </c>
      <c r="E41" s="27">
        <f>+'[1]T01.00'!E41</f>
        <v>0</v>
      </c>
      <c r="F41" s="27">
        <f>+'[1]T01.00'!G41</f>
        <v>0</v>
      </c>
      <c r="G41" s="27">
        <f>+'[1]T01.00'!I41</f>
        <v>0</v>
      </c>
      <c r="H41" s="27">
        <f>+'[1]T01.00'!K41</f>
        <v>0</v>
      </c>
      <c r="I41" s="27">
        <f>+'[1]T01.00'!M41</f>
        <v>0</v>
      </c>
      <c r="J41" s="27">
        <f>+'[1]T01.00'!O41</f>
        <v>0</v>
      </c>
      <c r="K41" s="27">
        <f>+'[1]T01.00'!Q41</f>
        <v>0</v>
      </c>
      <c r="L41" s="27">
        <f>+'[1]T01.00'!S41</f>
        <v>0</v>
      </c>
      <c r="M41" s="27">
        <f>+'[1]T01.00'!U41</f>
        <v>0</v>
      </c>
      <c r="N41" s="67">
        <f>+'[1]T01.00'!W41</f>
        <v>0</v>
      </c>
      <c r="O41" s="38">
        <f>+'[1]T01.00'!Y41</f>
        <v>0</v>
      </c>
      <c r="P41" s="21"/>
      <c r="Q41" s="77"/>
      <c r="R41" s="91"/>
      <c r="S41" s="1"/>
      <c r="T41" s="1"/>
      <c r="U41" s="1"/>
      <c r="V41" s="1"/>
      <c r="W41" s="1"/>
      <c r="X41" s="42"/>
      <c r="Y41" s="1"/>
      <c r="Z41" s="1"/>
      <c r="AA41" s="1"/>
      <c r="AB41" s="1"/>
      <c r="AC41" s="29"/>
      <c r="AD41" s="22"/>
      <c r="AE41" s="1"/>
      <c r="AF41" s="1"/>
      <c r="AG41" s="1"/>
    </row>
    <row r="42" spans="2:33" ht="14.45" customHeight="1" outlineLevel="2" x14ac:dyDescent="0.25">
      <c r="B42" s="41" t="s">
        <v>168</v>
      </c>
      <c r="C42" s="5" t="s">
        <v>194</v>
      </c>
      <c r="D42" s="37">
        <f>+'[1]T01.00'!C42</f>
        <v>0</v>
      </c>
      <c r="E42" s="27">
        <f>+'[1]T01.00'!E42</f>
        <v>0</v>
      </c>
      <c r="F42" s="27">
        <f>+'[1]T01.00'!G42</f>
        <v>0</v>
      </c>
      <c r="G42" s="27">
        <f>+'[1]T01.00'!I42</f>
        <v>0</v>
      </c>
      <c r="H42" s="27">
        <f>+'[1]T01.00'!K42</f>
        <v>7728751.9969629999</v>
      </c>
      <c r="I42" s="27">
        <f>+'[1]T01.00'!M42</f>
        <v>7728751.9969629999</v>
      </c>
      <c r="J42" s="27">
        <f>+'[1]T01.00'!O42</f>
        <v>0</v>
      </c>
      <c r="K42" s="27">
        <f>+'[1]T01.00'!Q42</f>
        <v>0</v>
      </c>
      <c r="L42" s="27">
        <f>+'[1]T01.00'!S42</f>
        <v>0</v>
      </c>
      <c r="M42" s="27">
        <f>+'[1]T01.00'!U42</f>
        <v>7728751.9969629999</v>
      </c>
      <c r="N42" s="67">
        <f>+'[1]T01.00'!W42</f>
        <v>7728751.9969629999</v>
      </c>
      <c r="O42" s="38">
        <f>+'[1]T01.00'!Y42</f>
        <v>0</v>
      </c>
      <c r="P42" s="21"/>
      <c r="Q42" s="77"/>
      <c r="R42" s="91"/>
      <c r="S42" s="1"/>
      <c r="T42" s="1"/>
      <c r="U42" s="1"/>
      <c r="V42" s="1"/>
      <c r="W42" s="1"/>
      <c r="X42" s="42"/>
      <c r="Y42" s="1"/>
      <c r="Z42" s="1"/>
      <c r="AA42" s="1"/>
      <c r="AB42" s="1"/>
      <c r="AC42" s="29"/>
      <c r="AD42" s="22"/>
      <c r="AE42" s="1"/>
      <c r="AF42" s="1"/>
      <c r="AG42" s="1"/>
    </row>
    <row r="43" spans="2:33" ht="14.45" customHeight="1" outlineLevel="1" x14ac:dyDescent="0.25">
      <c r="B43" s="4" t="s">
        <v>195</v>
      </c>
      <c r="C43" s="5" t="s">
        <v>196</v>
      </c>
      <c r="D43" s="37">
        <f>+'[1]T01.00'!C43</f>
        <v>0</v>
      </c>
      <c r="E43" s="27">
        <f>+'[1]T01.00'!E43</f>
        <v>0</v>
      </c>
      <c r="F43" s="27">
        <f>+'[1]T01.00'!G43</f>
        <v>0</v>
      </c>
      <c r="G43" s="27">
        <f>+'[1]T01.00'!I43</f>
        <v>0</v>
      </c>
      <c r="H43" s="27">
        <f>+'[1]T01.00'!K43</f>
        <v>0</v>
      </c>
      <c r="I43" s="27">
        <f>+'[1]T01.00'!M43</f>
        <v>0</v>
      </c>
      <c r="J43" s="27">
        <f>+'[1]T01.00'!O43</f>
        <v>0</v>
      </c>
      <c r="K43" s="27">
        <f>+'[1]T01.00'!Q43</f>
        <v>0</v>
      </c>
      <c r="L43" s="27">
        <f>+'[1]T01.00'!S43</f>
        <v>0</v>
      </c>
      <c r="M43" s="27">
        <f>+'[1]T01.00'!U43</f>
        <v>0</v>
      </c>
      <c r="N43" s="67">
        <f>+'[1]T01.00'!W43</f>
        <v>0</v>
      </c>
      <c r="O43" s="38">
        <f>+'[1]T01.00'!Y43</f>
        <v>0</v>
      </c>
      <c r="P43" s="21"/>
      <c r="Q43" s="77"/>
      <c r="R43" s="91"/>
      <c r="S43" s="1"/>
      <c r="T43" s="32"/>
      <c r="U43" s="1"/>
      <c r="V43" s="1"/>
      <c r="W43" s="1"/>
      <c r="X43" s="1"/>
      <c r="Y43" s="20"/>
      <c r="Z43" s="1"/>
      <c r="AA43" s="1"/>
      <c r="AB43" s="35"/>
      <c r="AC43" s="1"/>
      <c r="AD43" s="22"/>
      <c r="AE43" s="1"/>
      <c r="AF43" s="1"/>
      <c r="AG43" s="1"/>
    </row>
    <row r="44" spans="2:33" ht="14.45" customHeight="1" outlineLevel="2" x14ac:dyDescent="0.25">
      <c r="B44" s="41" t="s">
        <v>162</v>
      </c>
      <c r="C44" s="5" t="s">
        <v>197</v>
      </c>
      <c r="D44" s="37">
        <f>+'[1]T01.00'!C44</f>
        <v>0</v>
      </c>
      <c r="E44" s="27">
        <f>+'[1]T01.00'!E44</f>
        <v>0</v>
      </c>
      <c r="F44" s="27">
        <f>+'[1]T01.00'!G44</f>
        <v>0</v>
      </c>
      <c r="G44" s="27">
        <f>+'[1]T01.00'!I44</f>
        <v>0</v>
      </c>
      <c r="H44" s="27">
        <f>+'[1]T01.00'!K44</f>
        <v>0</v>
      </c>
      <c r="I44" s="27">
        <f>+'[1]T01.00'!M44</f>
        <v>0</v>
      </c>
      <c r="J44" s="27">
        <f>+'[1]T01.00'!O44</f>
        <v>0</v>
      </c>
      <c r="K44" s="27">
        <f>+'[1]T01.00'!Q44</f>
        <v>0</v>
      </c>
      <c r="L44" s="27">
        <f>+'[1]T01.00'!S44</f>
        <v>0</v>
      </c>
      <c r="M44" s="27">
        <f>+'[1]T01.00'!U44</f>
        <v>0</v>
      </c>
      <c r="N44" s="67">
        <f>+'[1]T01.00'!W44</f>
        <v>0</v>
      </c>
      <c r="O44" s="38">
        <f>+'[1]T01.00'!Y44</f>
        <v>0</v>
      </c>
      <c r="P44" s="21"/>
      <c r="Q44" s="77"/>
      <c r="R44" s="91"/>
      <c r="S44" s="1"/>
      <c r="T44" s="32"/>
      <c r="U44" s="1"/>
      <c r="V44" s="1"/>
      <c r="W44" s="1"/>
      <c r="X44" s="42"/>
      <c r="Y44" s="20"/>
      <c r="Z44" s="1"/>
      <c r="AA44" s="1"/>
      <c r="AB44" s="35"/>
      <c r="AC44" s="1"/>
      <c r="AD44" s="22"/>
      <c r="AE44" s="1"/>
      <c r="AF44" s="23"/>
      <c r="AG44" s="1"/>
    </row>
    <row r="45" spans="2:33" ht="14.45" customHeight="1" outlineLevel="2" x14ac:dyDescent="0.25">
      <c r="B45" s="41" t="s">
        <v>164</v>
      </c>
      <c r="C45" s="5" t="s">
        <v>198</v>
      </c>
      <c r="D45" s="37">
        <f>+'[1]T01.00'!C45</f>
        <v>0</v>
      </c>
      <c r="E45" s="27">
        <f>+'[1]T01.00'!E45</f>
        <v>0</v>
      </c>
      <c r="F45" s="27">
        <f>+'[1]T01.00'!G45</f>
        <v>0</v>
      </c>
      <c r="G45" s="27">
        <f>+'[1]T01.00'!I45</f>
        <v>0</v>
      </c>
      <c r="H45" s="27">
        <f>+'[1]T01.00'!K45</f>
        <v>0</v>
      </c>
      <c r="I45" s="27">
        <f>+'[1]T01.00'!M45</f>
        <v>0</v>
      </c>
      <c r="J45" s="27">
        <f>+'[1]T01.00'!O45</f>
        <v>0</v>
      </c>
      <c r="K45" s="27">
        <f>+'[1]T01.00'!Q45</f>
        <v>0</v>
      </c>
      <c r="L45" s="27">
        <f>+'[1]T01.00'!S45</f>
        <v>0</v>
      </c>
      <c r="M45" s="27">
        <f>+'[1]T01.00'!U45</f>
        <v>0</v>
      </c>
      <c r="N45" s="67">
        <f>+'[1]T01.00'!W45</f>
        <v>0</v>
      </c>
      <c r="O45" s="38">
        <f>+'[1]T01.00'!Y45</f>
        <v>0</v>
      </c>
      <c r="P45" s="21"/>
      <c r="Q45" s="77"/>
      <c r="R45" s="91"/>
      <c r="S45" s="1"/>
      <c r="T45" s="32"/>
      <c r="U45" s="1"/>
      <c r="V45" s="1"/>
      <c r="W45" s="1"/>
      <c r="X45" s="42"/>
      <c r="Y45" s="20"/>
      <c r="Z45" s="1"/>
      <c r="AA45" s="1"/>
      <c r="AB45" s="35"/>
      <c r="AC45" s="1"/>
      <c r="AD45" s="22"/>
      <c r="AE45" s="1"/>
      <c r="AF45" s="23"/>
      <c r="AG45" s="1"/>
    </row>
    <row r="46" spans="2:33" ht="14.45" customHeight="1" outlineLevel="2" x14ac:dyDescent="0.25">
      <c r="B46" s="41" t="s">
        <v>166</v>
      </c>
      <c r="C46" s="5" t="s">
        <v>199</v>
      </c>
      <c r="D46" s="37">
        <f>+'[1]T01.00'!C46</f>
        <v>0</v>
      </c>
      <c r="E46" s="27">
        <f>+'[1]T01.00'!E46</f>
        <v>0</v>
      </c>
      <c r="F46" s="27">
        <f>+'[1]T01.00'!G46</f>
        <v>0</v>
      </c>
      <c r="G46" s="27">
        <f>+'[1]T01.00'!I46</f>
        <v>0</v>
      </c>
      <c r="H46" s="27">
        <f>+'[1]T01.00'!K46</f>
        <v>0</v>
      </c>
      <c r="I46" s="27">
        <f>+'[1]T01.00'!M46</f>
        <v>0</v>
      </c>
      <c r="J46" s="27">
        <f>+'[1]T01.00'!O46</f>
        <v>0</v>
      </c>
      <c r="K46" s="27">
        <f>+'[1]T01.00'!Q46</f>
        <v>0</v>
      </c>
      <c r="L46" s="27">
        <f>+'[1]T01.00'!S46</f>
        <v>0</v>
      </c>
      <c r="M46" s="27">
        <f>+'[1]T01.00'!U46</f>
        <v>0</v>
      </c>
      <c r="N46" s="67">
        <f>+'[1]T01.00'!W46</f>
        <v>0</v>
      </c>
      <c r="O46" s="38">
        <f>+'[1]T01.00'!Y46</f>
        <v>0</v>
      </c>
      <c r="P46" s="21"/>
      <c r="Q46" s="77"/>
      <c r="R46" s="91"/>
      <c r="S46" s="1"/>
      <c r="T46" s="32"/>
      <c r="U46" s="1"/>
      <c r="V46" s="1"/>
      <c r="W46" s="1"/>
      <c r="X46" s="42"/>
      <c r="Y46" s="20"/>
      <c r="Z46" s="1"/>
      <c r="AA46" s="1"/>
      <c r="AB46" s="35"/>
      <c r="AC46" s="1"/>
      <c r="AD46" s="22"/>
      <c r="AE46" s="1"/>
      <c r="AF46" s="1"/>
      <c r="AG46" s="1"/>
    </row>
    <row r="47" spans="2:33" ht="14.45" customHeight="1" outlineLevel="2" x14ac:dyDescent="0.25">
      <c r="B47" s="41" t="s">
        <v>168</v>
      </c>
      <c r="C47" s="5" t="s">
        <v>200</v>
      </c>
      <c r="D47" s="37">
        <f>+'[1]T01.00'!C47</f>
        <v>0</v>
      </c>
      <c r="E47" s="27">
        <f>+'[1]T01.00'!E47</f>
        <v>0</v>
      </c>
      <c r="F47" s="27">
        <f>+'[1]T01.00'!G47</f>
        <v>0</v>
      </c>
      <c r="G47" s="27">
        <f>+'[1]T01.00'!I47</f>
        <v>0</v>
      </c>
      <c r="H47" s="27">
        <f>+'[1]T01.00'!K47</f>
        <v>0</v>
      </c>
      <c r="I47" s="27">
        <f>+'[1]T01.00'!M47</f>
        <v>0</v>
      </c>
      <c r="J47" s="27">
        <f>+'[1]T01.00'!O47</f>
        <v>0</v>
      </c>
      <c r="K47" s="27">
        <f>+'[1]T01.00'!Q47</f>
        <v>0</v>
      </c>
      <c r="L47" s="27">
        <f>+'[1]T01.00'!S47</f>
        <v>0</v>
      </c>
      <c r="M47" s="27">
        <f>+'[1]T01.00'!U47</f>
        <v>0</v>
      </c>
      <c r="N47" s="67">
        <f>+'[1]T01.00'!W47</f>
        <v>0</v>
      </c>
      <c r="O47" s="38">
        <f>+'[1]T01.00'!Y47</f>
        <v>0</v>
      </c>
      <c r="P47" s="21"/>
      <c r="Q47" s="77"/>
      <c r="R47" s="91"/>
      <c r="S47" s="1"/>
      <c r="T47" s="32"/>
      <c r="U47" s="1"/>
      <c r="V47" s="1"/>
      <c r="W47" s="1"/>
      <c r="X47" s="42"/>
      <c r="Y47" s="20"/>
      <c r="Z47" s="1"/>
      <c r="AA47" s="1"/>
      <c r="AB47" s="35"/>
      <c r="AC47" s="1"/>
      <c r="AD47" s="22"/>
      <c r="AE47" s="1"/>
      <c r="AF47" s="1"/>
      <c r="AG47" s="1"/>
    </row>
    <row r="48" spans="2:33" ht="14.45" customHeight="1" outlineLevel="1" x14ac:dyDescent="0.25">
      <c r="B48" s="4" t="s">
        <v>201</v>
      </c>
      <c r="C48" s="5" t="s">
        <v>202</v>
      </c>
      <c r="D48" s="37">
        <f>+'[1]T01.00'!C48</f>
        <v>0</v>
      </c>
      <c r="E48" s="27">
        <f>+'[1]T01.00'!E48</f>
        <v>0</v>
      </c>
      <c r="F48" s="27">
        <f>+'[1]T01.00'!G48</f>
        <v>0</v>
      </c>
      <c r="G48" s="27">
        <f>+'[1]T01.00'!I48</f>
        <v>1112557441.0999999</v>
      </c>
      <c r="H48" s="27">
        <f>+'[1]T01.00'!K48</f>
        <v>0</v>
      </c>
      <c r="I48" s="27">
        <f>+'[1]T01.00'!M48</f>
        <v>0</v>
      </c>
      <c r="J48" s="27">
        <f>+'[1]T01.00'!O48</f>
        <v>0</v>
      </c>
      <c r="K48" s="27">
        <f>+'[1]T01.00'!Q48</f>
        <v>0</v>
      </c>
      <c r="L48" s="27">
        <f>+'[1]T01.00'!S48</f>
        <v>0</v>
      </c>
      <c r="M48" s="27">
        <f>+'[1]T01.00'!U48</f>
        <v>1112557441.0999999</v>
      </c>
      <c r="N48" s="67">
        <f>+'[1]T01.00'!W48</f>
        <v>1112557441.0999999</v>
      </c>
      <c r="O48" s="38">
        <f>+'[1]T01.00'!Y48</f>
        <v>0</v>
      </c>
      <c r="P48" s="21"/>
      <c r="Q48" s="77"/>
      <c r="R48" s="91"/>
      <c r="S48" s="1"/>
      <c r="T48" s="32"/>
      <c r="U48" s="1"/>
      <c r="V48" s="1"/>
      <c r="W48" s="1"/>
      <c r="X48" s="1"/>
      <c r="Y48" s="20"/>
      <c r="Z48" s="1"/>
      <c r="AA48" s="1"/>
      <c r="AB48" s="35"/>
      <c r="AC48" s="1"/>
      <c r="AD48" s="22"/>
      <c r="AE48" s="1"/>
      <c r="AF48" s="1"/>
      <c r="AG48" s="1"/>
    </row>
    <row r="49" spans="2:33" ht="14.45" customHeight="1" outlineLevel="2" x14ac:dyDescent="0.25">
      <c r="B49" s="41" t="s">
        <v>203</v>
      </c>
      <c r="C49" s="5" t="s">
        <v>204</v>
      </c>
      <c r="D49" s="37">
        <f>+'[1]T01.00'!C49</f>
        <v>0</v>
      </c>
      <c r="E49" s="27">
        <f>+'[1]T01.00'!E49</f>
        <v>0</v>
      </c>
      <c r="F49" s="27">
        <f>+'[1]T01.00'!G49</f>
        <v>0</v>
      </c>
      <c r="G49" s="27">
        <f>+'[1]T01.00'!I49</f>
        <v>0</v>
      </c>
      <c r="H49" s="27">
        <f>+'[1]T01.00'!K49</f>
        <v>0</v>
      </c>
      <c r="I49" s="27">
        <f>+'[1]T01.00'!M49</f>
        <v>0</v>
      </c>
      <c r="J49" s="27">
        <f>+'[1]T01.00'!O49</f>
        <v>0</v>
      </c>
      <c r="K49" s="27">
        <f>+'[1]T01.00'!Q49</f>
        <v>0</v>
      </c>
      <c r="L49" s="27">
        <f>+'[1]T01.00'!S49</f>
        <v>0</v>
      </c>
      <c r="M49" s="27">
        <f>+'[1]T01.00'!U49</f>
        <v>0</v>
      </c>
      <c r="N49" s="67">
        <f>+'[1]T01.00'!W49</f>
        <v>0</v>
      </c>
      <c r="O49" s="38">
        <f>+'[1]T01.00'!Y49</f>
        <v>0</v>
      </c>
      <c r="P49" s="21"/>
      <c r="Q49" s="77"/>
      <c r="R49" s="91"/>
      <c r="S49" s="1"/>
      <c r="T49" s="32"/>
      <c r="U49" s="1"/>
      <c r="V49" s="1"/>
      <c r="W49" s="1"/>
      <c r="X49" s="42"/>
      <c r="Y49" s="20"/>
      <c r="Z49" s="1"/>
      <c r="AA49" s="1"/>
      <c r="AB49" s="35"/>
      <c r="AC49" s="1"/>
      <c r="AD49" s="22"/>
      <c r="AE49" s="1"/>
      <c r="AF49" s="23"/>
      <c r="AG49" s="1"/>
    </row>
    <row r="50" spans="2:33" ht="14.45" customHeight="1" outlineLevel="2" x14ac:dyDescent="0.25">
      <c r="B50" s="41" t="s">
        <v>205</v>
      </c>
      <c r="C50" s="5" t="s">
        <v>206</v>
      </c>
      <c r="D50" s="37">
        <f>+'[1]T01.00'!C50</f>
        <v>0</v>
      </c>
      <c r="E50" s="27">
        <f>+'[1]T01.00'!E50</f>
        <v>0</v>
      </c>
      <c r="F50" s="27">
        <f>+'[1]T01.00'!G50</f>
        <v>0</v>
      </c>
      <c r="G50" s="27">
        <f>+'[1]T01.00'!I50</f>
        <v>0</v>
      </c>
      <c r="H50" s="27">
        <f>+'[1]T01.00'!K50</f>
        <v>0</v>
      </c>
      <c r="I50" s="27">
        <f>+'[1]T01.00'!M50</f>
        <v>0</v>
      </c>
      <c r="J50" s="27">
        <f>+'[1]T01.00'!O50</f>
        <v>0</v>
      </c>
      <c r="K50" s="27">
        <f>+'[1]T01.00'!Q50</f>
        <v>0</v>
      </c>
      <c r="L50" s="27">
        <f>+'[1]T01.00'!S50</f>
        <v>0</v>
      </c>
      <c r="M50" s="27">
        <f>+'[1]T01.00'!U50</f>
        <v>0</v>
      </c>
      <c r="N50" s="67">
        <f>+'[1]T01.00'!W50</f>
        <v>0</v>
      </c>
      <c r="O50" s="38">
        <f>+'[1]T01.00'!Y50</f>
        <v>0</v>
      </c>
      <c r="P50" s="21"/>
      <c r="Q50" s="77"/>
      <c r="R50" s="91"/>
      <c r="S50" s="1"/>
      <c r="T50" s="32"/>
      <c r="U50" s="1"/>
      <c r="V50" s="1"/>
      <c r="W50" s="1"/>
      <c r="X50" s="42"/>
      <c r="Y50" s="20"/>
      <c r="Z50" s="1"/>
      <c r="AA50" s="1"/>
      <c r="AB50" s="35"/>
      <c r="AC50" s="1"/>
      <c r="AD50" s="22"/>
      <c r="AE50" s="1"/>
      <c r="AF50" s="23"/>
      <c r="AG50" s="1"/>
    </row>
    <row r="51" spans="2:33" ht="14.45" customHeight="1" outlineLevel="2" x14ac:dyDescent="0.25">
      <c r="B51" s="41" t="s">
        <v>207</v>
      </c>
      <c r="C51" s="5" t="s">
        <v>208</v>
      </c>
      <c r="D51" s="37">
        <f>+'[1]T01.00'!C51</f>
        <v>0</v>
      </c>
      <c r="E51" s="27">
        <f>+'[1]T01.00'!E51</f>
        <v>0</v>
      </c>
      <c r="F51" s="27">
        <f>+'[1]T01.00'!G51</f>
        <v>0</v>
      </c>
      <c r="G51" s="27">
        <f>+'[1]T01.00'!I51</f>
        <v>0</v>
      </c>
      <c r="H51" s="27">
        <f>+'[1]T01.00'!K51</f>
        <v>0</v>
      </c>
      <c r="I51" s="27">
        <f>+'[1]T01.00'!M51</f>
        <v>0</v>
      </c>
      <c r="J51" s="27">
        <f>+'[1]T01.00'!O51</f>
        <v>0</v>
      </c>
      <c r="K51" s="27">
        <f>+'[1]T01.00'!Q51</f>
        <v>0</v>
      </c>
      <c r="L51" s="27">
        <f>+'[1]T01.00'!S51</f>
        <v>0</v>
      </c>
      <c r="M51" s="27">
        <f>+'[1]T01.00'!U51</f>
        <v>0</v>
      </c>
      <c r="N51" s="67">
        <f>+'[1]T01.00'!W51</f>
        <v>0</v>
      </c>
      <c r="O51" s="38">
        <f>+'[1]T01.00'!Y51</f>
        <v>0</v>
      </c>
      <c r="P51" s="21"/>
      <c r="Q51" s="77"/>
      <c r="R51" s="91"/>
      <c r="S51" s="1"/>
      <c r="T51" s="32"/>
      <c r="U51" s="1"/>
      <c r="V51" s="1"/>
      <c r="W51" s="1"/>
      <c r="X51" s="42"/>
      <c r="Y51" s="20"/>
      <c r="Z51" s="1"/>
      <c r="AA51" s="1"/>
      <c r="AB51" s="35"/>
      <c r="AC51" s="1"/>
      <c r="AD51" s="22"/>
      <c r="AE51" s="1"/>
      <c r="AF51" s="1"/>
      <c r="AG51" s="1"/>
    </row>
    <row r="52" spans="2:33" ht="14.45" customHeight="1" outlineLevel="2" x14ac:dyDescent="0.25">
      <c r="B52" s="41" t="s">
        <v>209</v>
      </c>
      <c r="C52" s="5" t="s">
        <v>210</v>
      </c>
      <c r="D52" s="37">
        <f>+'[1]T01.00'!C52</f>
        <v>0</v>
      </c>
      <c r="E52" s="27">
        <f>+'[1]T01.00'!E52</f>
        <v>0</v>
      </c>
      <c r="F52" s="27">
        <f>+'[1]T01.00'!G52</f>
        <v>0</v>
      </c>
      <c r="G52" s="27">
        <f>+'[1]T01.00'!I52</f>
        <v>1112557441.0999999</v>
      </c>
      <c r="H52" s="27">
        <f>+'[1]T01.00'!K52</f>
        <v>0</v>
      </c>
      <c r="I52" s="27">
        <f>+'[1]T01.00'!M52</f>
        <v>0</v>
      </c>
      <c r="J52" s="27">
        <f>+'[1]T01.00'!O52</f>
        <v>0</v>
      </c>
      <c r="K52" s="27">
        <f>+'[1]T01.00'!Q52</f>
        <v>0</v>
      </c>
      <c r="L52" s="27">
        <f>+'[1]T01.00'!S52</f>
        <v>0</v>
      </c>
      <c r="M52" s="27">
        <f>+'[1]T01.00'!U52</f>
        <v>1112557441.0999999</v>
      </c>
      <c r="N52" s="67">
        <f>+'[1]T01.00'!W52</f>
        <v>1112557441.0999999</v>
      </c>
      <c r="O52" s="38">
        <f>+'[1]T01.00'!Y52</f>
        <v>0</v>
      </c>
      <c r="P52" s="21"/>
      <c r="Q52" s="77"/>
      <c r="R52" s="91"/>
      <c r="S52" s="1"/>
      <c r="T52" s="32"/>
      <c r="U52" s="1"/>
      <c r="V52" s="1"/>
      <c r="W52" s="1"/>
      <c r="X52" s="42"/>
      <c r="Y52" s="20"/>
      <c r="Z52" s="1"/>
      <c r="AA52" s="1"/>
      <c r="AB52" s="35"/>
      <c r="AC52" s="1"/>
      <c r="AD52" s="22"/>
      <c r="AE52" s="1"/>
      <c r="AF52" s="1"/>
      <c r="AG52" s="1"/>
    </row>
    <row r="53" spans="2:33" ht="14.45" customHeight="1" outlineLevel="1" x14ac:dyDescent="0.25">
      <c r="B53" s="4" t="s">
        <v>211</v>
      </c>
      <c r="C53" s="5" t="s">
        <v>212</v>
      </c>
      <c r="D53" s="37">
        <f>+'[1]T01.00'!C53</f>
        <v>0</v>
      </c>
      <c r="E53" s="27">
        <f>+'[1]T01.00'!E53</f>
        <v>0</v>
      </c>
      <c r="F53" s="27">
        <f>+'[1]T01.00'!G53</f>
        <v>0</v>
      </c>
      <c r="G53" s="27">
        <f>+'[1]T01.00'!I53</f>
        <v>0</v>
      </c>
      <c r="H53" s="27">
        <f>+'[1]T01.00'!K53</f>
        <v>0</v>
      </c>
      <c r="I53" s="27">
        <f>+'[1]T01.00'!M53</f>
        <v>0</v>
      </c>
      <c r="J53" s="27">
        <f>+'[1]T01.00'!O53</f>
        <v>0</v>
      </c>
      <c r="K53" s="27">
        <f>+'[1]T01.00'!Q53</f>
        <v>0</v>
      </c>
      <c r="L53" s="27">
        <f>+'[1]T01.00'!S53</f>
        <v>0</v>
      </c>
      <c r="M53" s="27">
        <f>+'[1]T01.00'!U53</f>
        <v>0</v>
      </c>
      <c r="N53" s="67">
        <f>+'[1]T01.00'!W53</f>
        <v>0</v>
      </c>
      <c r="O53" s="38">
        <f>+'[1]T01.00'!Y53</f>
        <v>0</v>
      </c>
      <c r="P53" s="21"/>
      <c r="Q53" s="77"/>
      <c r="R53" s="91"/>
      <c r="S53" s="43"/>
      <c r="T53" s="1"/>
      <c r="U53" s="1"/>
      <c r="V53" s="1"/>
      <c r="W53" s="1"/>
      <c r="X53" s="1"/>
      <c r="Y53" s="20"/>
      <c r="Z53" s="1"/>
      <c r="AA53" s="1"/>
      <c r="AB53" s="1"/>
      <c r="AC53" s="1"/>
      <c r="AD53" s="22"/>
      <c r="AE53" s="1"/>
      <c r="AF53" s="1"/>
      <c r="AG53" s="1"/>
    </row>
    <row r="54" spans="2:33" ht="14.45" customHeight="1" outlineLevel="2" x14ac:dyDescent="0.25">
      <c r="B54" s="41" t="s">
        <v>162</v>
      </c>
      <c r="C54" s="5" t="s">
        <v>213</v>
      </c>
      <c r="D54" s="37">
        <f>+'[1]T01.00'!C54</f>
        <v>0</v>
      </c>
      <c r="E54" s="27">
        <f>+'[1]T01.00'!E54</f>
        <v>0</v>
      </c>
      <c r="F54" s="27">
        <f>+'[1]T01.00'!G54</f>
        <v>0</v>
      </c>
      <c r="G54" s="27">
        <f>+'[1]T01.00'!I54</f>
        <v>0</v>
      </c>
      <c r="H54" s="27">
        <f>+'[1]T01.00'!K54</f>
        <v>0</v>
      </c>
      <c r="I54" s="27">
        <f>+'[1]T01.00'!M54</f>
        <v>0</v>
      </c>
      <c r="J54" s="27">
        <f>+'[1]T01.00'!O54</f>
        <v>0</v>
      </c>
      <c r="K54" s="27">
        <f>+'[1]T01.00'!Q54</f>
        <v>0</v>
      </c>
      <c r="L54" s="27">
        <f>+'[1]T01.00'!S54</f>
        <v>0</v>
      </c>
      <c r="M54" s="27">
        <f>+'[1]T01.00'!U54</f>
        <v>0</v>
      </c>
      <c r="N54" s="67">
        <f>+'[1]T01.00'!W54</f>
        <v>0</v>
      </c>
      <c r="O54" s="38">
        <f>+'[1]T01.00'!Y54</f>
        <v>0</v>
      </c>
      <c r="P54" s="21"/>
      <c r="Q54" s="77"/>
      <c r="R54" s="91"/>
      <c r="S54" s="43"/>
      <c r="T54" s="1"/>
      <c r="U54" s="1"/>
      <c r="V54" s="1"/>
      <c r="W54" s="1"/>
      <c r="X54" s="42"/>
      <c r="Y54" s="20"/>
      <c r="Z54" s="1"/>
      <c r="AA54" s="1"/>
      <c r="AB54" s="1"/>
      <c r="AC54" s="1"/>
      <c r="AD54" s="22"/>
      <c r="AE54" s="1"/>
      <c r="AF54" s="23"/>
      <c r="AG54" s="1"/>
    </row>
    <row r="55" spans="2:33" ht="14.45" customHeight="1" outlineLevel="2" x14ac:dyDescent="0.25">
      <c r="B55" s="41" t="s">
        <v>164</v>
      </c>
      <c r="C55" s="5" t="s">
        <v>214</v>
      </c>
      <c r="D55" s="37">
        <f>+'[1]T01.00'!C55</f>
        <v>0</v>
      </c>
      <c r="E55" s="27">
        <f>+'[1]T01.00'!E55</f>
        <v>0</v>
      </c>
      <c r="F55" s="27">
        <f>+'[1]T01.00'!G55</f>
        <v>0</v>
      </c>
      <c r="G55" s="27">
        <f>+'[1]T01.00'!I55</f>
        <v>0</v>
      </c>
      <c r="H55" s="27">
        <f>+'[1]T01.00'!K55</f>
        <v>0</v>
      </c>
      <c r="I55" s="27">
        <f>+'[1]T01.00'!M55</f>
        <v>0</v>
      </c>
      <c r="J55" s="27">
        <f>+'[1]T01.00'!O55</f>
        <v>0</v>
      </c>
      <c r="K55" s="27">
        <f>+'[1]T01.00'!Q55</f>
        <v>0</v>
      </c>
      <c r="L55" s="27">
        <f>+'[1]T01.00'!S55</f>
        <v>0</v>
      </c>
      <c r="M55" s="27">
        <f>+'[1]T01.00'!U55</f>
        <v>0</v>
      </c>
      <c r="N55" s="67">
        <f>+'[1]T01.00'!W55</f>
        <v>0</v>
      </c>
      <c r="O55" s="38">
        <f>+'[1]T01.00'!Y55</f>
        <v>0</v>
      </c>
      <c r="P55" s="21"/>
      <c r="Q55" s="77"/>
      <c r="R55" s="91"/>
      <c r="S55" s="43"/>
      <c r="T55" s="1"/>
      <c r="U55" s="1"/>
      <c r="V55" s="1"/>
      <c r="W55" s="1"/>
      <c r="X55" s="42"/>
      <c r="Y55" s="20"/>
      <c r="Z55" s="1"/>
      <c r="AA55" s="1"/>
      <c r="AB55" s="1"/>
      <c r="AC55" s="1"/>
      <c r="AD55" s="22"/>
      <c r="AE55" s="1"/>
      <c r="AF55" s="23"/>
      <c r="AG55" s="1"/>
    </row>
    <row r="56" spans="2:33" ht="14.45" customHeight="1" outlineLevel="2" x14ac:dyDescent="0.25">
      <c r="B56" s="41" t="s">
        <v>166</v>
      </c>
      <c r="C56" s="5" t="s">
        <v>215</v>
      </c>
      <c r="D56" s="37">
        <f>+'[1]T01.00'!C56</f>
        <v>0</v>
      </c>
      <c r="E56" s="27">
        <f>+'[1]T01.00'!E56</f>
        <v>0</v>
      </c>
      <c r="F56" s="27">
        <f>+'[1]T01.00'!G56</f>
        <v>0</v>
      </c>
      <c r="G56" s="27">
        <f>+'[1]T01.00'!I56</f>
        <v>0</v>
      </c>
      <c r="H56" s="27">
        <f>+'[1]T01.00'!K56</f>
        <v>0</v>
      </c>
      <c r="I56" s="27">
        <f>+'[1]T01.00'!M56</f>
        <v>0</v>
      </c>
      <c r="J56" s="27">
        <f>+'[1]T01.00'!O56</f>
        <v>0</v>
      </c>
      <c r="K56" s="27">
        <f>+'[1]T01.00'!Q56</f>
        <v>0</v>
      </c>
      <c r="L56" s="27">
        <f>+'[1]T01.00'!S56</f>
        <v>0</v>
      </c>
      <c r="M56" s="27">
        <f>+'[1]T01.00'!U56</f>
        <v>0</v>
      </c>
      <c r="N56" s="67">
        <f>+'[1]T01.00'!W56</f>
        <v>0</v>
      </c>
      <c r="O56" s="38">
        <f>+'[1]T01.00'!Y56</f>
        <v>0</v>
      </c>
      <c r="P56" s="21"/>
      <c r="Q56" s="77"/>
      <c r="R56" s="91"/>
      <c r="S56" s="43"/>
      <c r="T56" s="1"/>
      <c r="U56" s="1"/>
      <c r="V56" s="1"/>
      <c r="W56" s="1"/>
      <c r="X56" s="42"/>
      <c r="Y56" s="20"/>
      <c r="Z56" s="1"/>
      <c r="AA56" s="1"/>
      <c r="AB56" s="1"/>
      <c r="AC56" s="1"/>
      <c r="AD56" s="22"/>
      <c r="AE56" s="1"/>
      <c r="AF56" s="1"/>
      <c r="AG56" s="1"/>
    </row>
    <row r="57" spans="2:33" ht="14.45" customHeight="1" outlineLevel="2" x14ac:dyDescent="0.25">
      <c r="B57" s="41" t="s">
        <v>168</v>
      </c>
      <c r="C57" s="5" t="s">
        <v>216</v>
      </c>
      <c r="D57" s="37">
        <f>+'[1]T01.00'!C57</f>
        <v>0</v>
      </c>
      <c r="E57" s="27">
        <f>+'[1]T01.00'!E57</f>
        <v>0</v>
      </c>
      <c r="F57" s="27">
        <f>+'[1]T01.00'!G57</f>
        <v>0</v>
      </c>
      <c r="G57" s="27">
        <f>+'[1]T01.00'!I57</f>
        <v>0</v>
      </c>
      <c r="H57" s="27">
        <f>+'[1]T01.00'!K57</f>
        <v>0</v>
      </c>
      <c r="I57" s="27">
        <f>+'[1]T01.00'!M57</f>
        <v>0</v>
      </c>
      <c r="J57" s="27">
        <f>+'[1]T01.00'!O57</f>
        <v>0</v>
      </c>
      <c r="K57" s="27">
        <f>+'[1]T01.00'!Q57</f>
        <v>0</v>
      </c>
      <c r="L57" s="27">
        <f>+'[1]T01.00'!S57</f>
        <v>0</v>
      </c>
      <c r="M57" s="27">
        <f>+'[1]T01.00'!U57</f>
        <v>0</v>
      </c>
      <c r="N57" s="67">
        <f>+'[1]T01.00'!W57</f>
        <v>0</v>
      </c>
      <c r="O57" s="38">
        <f>+'[1]T01.00'!Y57</f>
        <v>0</v>
      </c>
      <c r="P57" s="21"/>
      <c r="Q57" s="77"/>
      <c r="R57" s="91"/>
      <c r="S57" s="43"/>
      <c r="T57" s="1"/>
      <c r="U57" s="1"/>
      <c r="V57" s="1"/>
      <c r="W57" s="1"/>
      <c r="X57" s="42"/>
      <c r="Y57" s="20"/>
      <c r="Z57" s="1"/>
      <c r="AA57" s="1"/>
      <c r="AB57" s="1"/>
      <c r="AC57" s="1"/>
      <c r="AD57" s="22"/>
      <c r="AE57" s="1"/>
      <c r="AF57" s="1"/>
      <c r="AG57" s="1"/>
    </row>
    <row r="58" spans="2:33" ht="14.45" customHeight="1" outlineLevel="1" x14ac:dyDescent="0.25">
      <c r="B58" s="4" t="s">
        <v>217</v>
      </c>
      <c r="C58" s="5" t="s">
        <v>218</v>
      </c>
      <c r="D58" s="37">
        <f>+'[1]T01.00'!C58</f>
        <v>0</v>
      </c>
      <c r="E58" s="27">
        <f>+'[1]T01.00'!E58</f>
        <v>0</v>
      </c>
      <c r="F58" s="27">
        <f>+'[1]T01.00'!G58</f>
        <v>0</v>
      </c>
      <c r="G58" s="27">
        <f>+'[1]T01.00'!I58</f>
        <v>0</v>
      </c>
      <c r="H58" s="27">
        <f>+'[1]T01.00'!K58</f>
        <v>0</v>
      </c>
      <c r="I58" s="27">
        <f>+'[1]T01.00'!M58</f>
        <v>0</v>
      </c>
      <c r="J58" s="27">
        <f>+'[1]T01.00'!O58</f>
        <v>0</v>
      </c>
      <c r="K58" s="27">
        <f>+'[1]T01.00'!Q58</f>
        <v>0</v>
      </c>
      <c r="L58" s="27">
        <f>+'[1]T01.00'!S58</f>
        <v>0</v>
      </c>
      <c r="M58" s="27">
        <f>+'[1]T01.00'!U58</f>
        <v>0</v>
      </c>
      <c r="N58" s="67">
        <f>+'[1]T01.00'!W58</f>
        <v>0</v>
      </c>
      <c r="O58" s="38">
        <f>+'[1]T01.00'!Y58</f>
        <v>0</v>
      </c>
      <c r="P58" s="21"/>
      <c r="Q58" s="77"/>
      <c r="R58" s="91"/>
      <c r="S58" s="1"/>
      <c r="T58" s="1"/>
      <c r="U58" s="1"/>
      <c r="V58" s="1"/>
      <c r="W58" s="1"/>
      <c r="X58" s="1"/>
      <c r="Y58" s="1"/>
      <c r="Z58" s="1"/>
      <c r="AA58" s="1"/>
      <c r="AB58" s="1"/>
      <c r="AC58" s="1"/>
      <c r="AD58" s="22"/>
      <c r="AE58" s="1"/>
      <c r="AF58" s="23"/>
      <c r="AG58" s="1"/>
    </row>
    <row r="59" spans="2:33" ht="14.45" customHeight="1" outlineLevel="2" x14ac:dyDescent="0.25">
      <c r="B59" s="41" t="s">
        <v>166</v>
      </c>
      <c r="C59" s="5" t="s">
        <v>219</v>
      </c>
      <c r="D59" s="37">
        <f>+'[1]T01.00'!C59</f>
        <v>0</v>
      </c>
      <c r="E59" s="27">
        <f>+'[1]T01.00'!E59</f>
        <v>0</v>
      </c>
      <c r="F59" s="27">
        <f>+'[1]T01.00'!G59</f>
        <v>0</v>
      </c>
      <c r="G59" s="27">
        <f>+'[1]T01.00'!I59</f>
        <v>0</v>
      </c>
      <c r="H59" s="27">
        <f>+'[1]T01.00'!K59</f>
        <v>0</v>
      </c>
      <c r="I59" s="27">
        <f>+'[1]T01.00'!M59</f>
        <v>0</v>
      </c>
      <c r="J59" s="27">
        <f>+'[1]T01.00'!O59</f>
        <v>0</v>
      </c>
      <c r="K59" s="27">
        <f>+'[1]T01.00'!Q59</f>
        <v>0</v>
      </c>
      <c r="L59" s="27">
        <f>+'[1]T01.00'!S59</f>
        <v>0</v>
      </c>
      <c r="M59" s="27">
        <f>+'[1]T01.00'!U59</f>
        <v>0</v>
      </c>
      <c r="N59" s="67">
        <f>+'[1]T01.00'!W59</f>
        <v>0</v>
      </c>
      <c r="O59" s="38">
        <f>+'[1]T01.00'!Y59</f>
        <v>0</v>
      </c>
      <c r="P59" s="21"/>
      <c r="Q59" s="77"/>
      <c r="R59" s="91"/>
      <c r="S59" s="1"/>
      <c r="T59" s="1"/>
      <c r="U59" s="1"/>
      <c r="V59" s="1"/>
      <c r="W59" s="1"/>
      <c r="X59" s="42"/>
      <c r="Y59" s="1"/>
      <c r="Z59" s="1"/>
      <c r="AA59" s="1"/>
      <c r="AB59" s="1"/>
      <c r="AC59" s="1"/>
      <c r="AD59" s="22"/>
      <c r="AE59" s="1"/>
      <c r="AF59" s="23"/>
      <c r="AG59" s="1"/>
    </row>
    <row r="60" spans="2:33" ht="14.45" customHeight="1" outlineLevel="2" x14ac:dyDescent="0.25">
      <c r="B60" s="41" t="s">
        <v>168</v>
      </c>
      <c r="C60" s="5" t="s">
        <v>220</v>
      </c>
      <c r="D60" s="37">
        <f>+'[1]T01.00'!C60</f>
        <v>0</v>
      </c>
      <c r="E60" s="27">
        <f>+'[1]T01.00'!E60</f>
        <v>0</v>
      </c>
      <c r="F60" s="27">
        <f>+'[1]T01.00'!G60</f>
        <v>0</v>
      </c>
      <c r="G60" s="27">
        <f>+'[1]T01.00'!I60</f>
        <v>0</v>
      </c>
      <c r="H60" s="27">
        <f>+'[1]T01.00'!K60</f>
        <v>0</v>
      </c>
      <c r="I60" s="27">
        <f>+'[1]T01.00'!M60</f>
        <v>0</v>
      </c>
      <c r="J60" s="27">
        <f>+'[1]T01.00'!O60</f>
        <v>0</v>
      </c>
      <c r="K60" s="27">
        <f>+'[1]T01.00'!Q60</f>
        <v>0</v>
      </c>
      <c r="L60" s="27">
        <f>+'[1]T01.00'!S60</f>
        <v>0</v>
      </c>
      <c r="M60" s="27">
        <f>+'[1]T01.00'!U60</f>
        <v>0</v>
      </c>
      <c r="N60" s="67">
        <f>+'[1]T01.00'!W60</f>
        <v>0</v>
      </c>
      <c r="O60" s="38">
        <f>+'[1]T01.00'!Y60</f>
        <v>0</v>
      </c>
      <c r="P60" s="21"/>
      <c r="Q60" s="77"/>
      <c r="R60" s="91"/>
      <c r="S60" s="1"/>
      <c r="T60" s="1"/>
      <c r="U60" s="1"/>
      <c r="V60" s="1"/>
      <c r="W60" s="1"/>
      <c r="X60" s="42"/>
      <c r="Y60" s="1"/>
      <c r="Z60" s="1"/>
      <c r="AA60" s="1"/>
      <c r="AB60" s="1"/>
      <c r="AC60" s="1"/>
      <c r="AD60" s="22"/>
      <c r="AE60" s="1"/>
      <c r="AF60" s="23"/>
      <c r="AG60" s="1"/>
    </row>
    <row r="61" spans="2:33" ht="14.45" customHeight="1" outlineLevel="1" x14ac:dyDescent="0.25">
      <c r="B61" s="4" t="s">
        <v>221</v>
      </c>
      <c r="C61" s="5" t="s">
        <v>222</v>
      </c>
      <c r="D61" s="37">
        <f>+'[1]T01.00'!C61</f>
        <v>211686742.49023554</v>
      </c>
      <c r="E61" s="27">
        <f>+'[1]T01.00'!E61</f>
        <v>24046020.500001155</v>
      </c>
      <c r="F61" s="27">
        <f>+'[1]T01.00'!G61</f>
        <v>35186512.710004985</v>
      </c>
      <c r="G61" s="27">
        <f>+'[1]T01.00'!I61</f>
        <v>126640.03999999957</v>
      </c>
      <c r="H61" s="27">
        <f>+'[1]T01.00'!K61</f>
        <v>11737872.333708001</v>
      </c>
      <c r="I61" s="27">
        <f>+'[1]T01.00'!M61</f>
        <v>1453959.9988650002</v>
      </c>
      <c r="J61" s="27">
        <f>+'[1]T01.00'!O61</f>
        <v>1130756.24</v>
      </c>
      <c r="K61" s="27">
        <f>+'[1]T01.00'!Q61</f>
        <v>0</v>
      </c>
      <c r="L61" s="27">
        <f>+'[1]T01.00'!S61</f>
        <v>351815502.32178694</v>
      </c>
      <c r="M61" s="27">
        <f>+'[1]T01.00'!U61</f>
        <v>635730046.6357367</v>
      </c>
      <c r="N61" s="67">
        <f>+'[1]T01.00'!W61</f>
        <v>1453959.9988650004</v>
      </c>
      <c r="O61" s="38">
        <f>+'[1]T01.00'!Y61</f>
        <v>0</v>
      </c>
      <c r="P61" s="21"/>
      <c r="Q61" s="77"/>
      <c r="R61" s="91"/>
      <c r="S61" s="1"/>
      <c r="T61" s="1"/>
      <c r="U61" s="34"/>
      <c r="V61" s="1"/>
      <c r="W61" s="1"/>
      <c r="X61" s="1"/>
      <c r="Y61" s="1"/>
      <c r="Z61" s="1"/>
      <c r="AA61" s="1"/>
      <c r="AB61" s="1"/>
      <c r="AC61" s="1"/>
      <c r="AD61" s="22"/>
      <c r="AE61" s="1"/>
      <c r="AF61" s="1"/>
      <c r="AG61" s="1"/>
    </row>
    <row r="62" spans="2:33" ht="14.45" customHeight="1" outlineLevel="1" x14ac:dyDescent="0.25">
      <c r="B62" s="4" t="s">
        <v>223</v>
      </c>
      <c r="C62" s="5" t="s">
        <v>224</v>
      </c>
      <c r="D62" s="37">
        <f>+'[1]T01.00'!C62</f>
        <v>0</v>
      </c>
      <c r="E62" s="27">
        <f>+'[1]T01.00'!E62</f>
        <v>0</v>
      </c>
      <c r="F62" s="27">
        <f>+'[1]T01.00'!G62</f>
        <v>0</v>
      </c>
      <c r="G62" s="27">
        <f>+'[1]T01.00'!I62</f>
        <v>0</v>
      </c>
      <c r="H62" s="27">
        <f>+'[1]T01.00'!K62</f>
        <v>0</v>
      </c>
      <c r="I62" s="27">
        <f>+'[1]T01.00'!M62</f>
        <v>0</v>
      </c>
      <c r="J62" s="27">
        <f>+'[1]T01.00'!O62</f>
        <v>0</v>
      </c>
      <c r="K62" s="27">
        <f>+'[1]T01.00'!Q62</f>
        <v>0</v>
      </c>
      <c r="L62" s="27">
        <f>+'[1]T01.00'!S62</f>
        <v>0</v>
      </c>
      <c r="M62" s="27">
        <f>+'[1]T01.00'!U62</f>
        <v>0</v>
      </c>
      <c r="N62" s="67">
        <f>+'[1]T01.00'!W62</f>
        <v>0</v>
      </c>
      <c r="O62" s="38">
        <f>+'[1]T01.00'!Y62</f>
        <v>0</v>
      </c>
      <c r="P62" s="21"/>
      <c r="Q62" s="77"/>
      <c r="R62" s="91"/>
      <c r="S62" s="43"/>
      <c r="T62" s="1"/>
      <c r="U62" s="1"/>
      <c r="V62" s="1"/>
      <c r="W62" s="1"/>
      <c r="X62" s="1"/>
      <c r="Y62" s="1"/>
      <c r="Z62" s="1"/>
      <c r="AA62" s="1"/>
      <c r="AB62" s="1"/>
      <c r="AC62" s="1"/>
      <c r="AD62" s="22"/>
      <c r="AE62" s="1"/>
      <c r="AF62" s="23"/>
      <c r="AG62" s="1"/>
    </row>
    <row r="63" spans="2:33" ht="14.45" customHeight="1" x14ac:dyDescent="0.25">
      <c r="B63" s="104"/>
      <c r="C63" s="104"/>
      <c r="D63" s="105"/>
      <c r="E63" s="106"/>
      <c r="F63" s="106"/>
      <c r="G63" s="106"/>
      <c r="H63" s="106"/>
      <c r="I63" s="106"/>
      <c r="J63" s="106"/>
      <c r="K63" s="106"/>
      <c r="L63" s="106"/>
      <c r="M63" s="106"/>
      <c r="N63" s="106"/>
      <c r="O63" s="107"/>
      <c r="P63" s="1"/>
      <c r="Q63" s="77"/>
      <c r="R63" s="91"/>
      <c r="S63" s="1"/>
      <c r="T63" s="1"/>
      <c r="U63" s="1"/>
      <c r="V63" s="1"/>
      <c r="W63" s="1"/>
      <c r="X63" s="1"/>
      <c r="Y63" s="1"/>
      <c r="Z63" s="1"/>
      <c r="AA63" s="1"/>
      <c r="AB63" s="1"/>
      <c r="AC63" s="1"/>
      <c r="AD63" s="1"/>
      <c r="AE63" s="1"/>
      <c r="AF63" s="1"/>
      <c r="AG63" s="1"/>
    </row>
    <row r="64" spans="2:33" ht="14.45" customHeight="1" outlineLevel="1" x14ac:dyDescent="0.25">
      <c r="B64" s="100"/>
      <c r="C64" s="100"/>
      <c r="D64" s="101"/>
      <c r="E64" s="102"/>
      <c r="F64" s="102"/>
      <c r="G64" s="102"/>
      <c r="H64" s="102"/>
      <c r="I64" s="102"/>
      <c r="J64" s="102"/>
      <c r="K64" s="102"/>
      <c r="L64" s="102"/>
      <c r="M64" s="102"/>
      <c r="N64" s="102"/>
      <c r="O64" s="103"/>
      <c r="P64" s="1"/>
      <c r="Q64" s="77"/>
      <c r="R64" s="91"/>
      <c r="S64" s="1"/>
      <c r="T64" s="1"/>
      <c r="U64" s="1"/>
      <c r="V64" s="1"/>
      <c r="W64" s="1"/>
      <c r="X64" s="1"/>
      <c r="Y64" s="1"/>
      <c r="Z64" s="1"/>
      <c r="AA64" s="1"/>
      <c r="AB64" s="1"/>
      <c r="AC64" s="1"/>
      <c r="AD64" s="1"/>
      <c r="AE64" s="1"/>
      <c r="AF64" s="1"/>
      <c r="AG64" s="1"/>
    </row>
    <row r="65" spans="2:33" ht="14.45" customHeight="1" outlineLevel="2" x14ac:dyDescent="0.25">
      <c r="B65" s="41" t="s">
        <v>229</v>
      </c>
      <c r="C65" s="5" t="s">
        <v>230</v>
      </c>
      <c r="D65" s="37">
        <f>+'[1]T01.00'!C65</f>
        <v>0</v>
      </c>
      <c r="E65" s="27">
        <f>+'[1]T01.00'!E65</f>
        <v>0</v>
      </c>
      <c r="F65" s="27">
        <f>+'[1]T01.00'!G65</f>
        <v>0</v>
      </c>
      <c r="G65" s="27">
        <f>+'[1]T01.00'!I65</f>
        <v>1970351795</v>
      </c>
      <c r="H65" s="27">
        <f>+'[1]T01.00'!K65</f>
        <v>0</v>
      </c>
      <c r="I65" s="27">
        <f>+'[1]T01.00'!M65</f>
        <v>0</v>
      </c>
      <c r="J65" s="27">
        <f>+'[1]T01.00'!O65</f>
        <v>0</v>
      </c>
      <c r="K65" s="27">
        <f>+'[1]T01.00'!Q65</f>
        <v>0</v>
      </c>
      <c r="L65" s="27">
        <f>+'[1]T01.00'!S65</f>
        <v>0</v>
      </c>
      <c r="M65" s="27">
        <f>+'[1]T01.00'!U65</f>
        <v>1970351795</v>
      </c>
      <c r="N65" s="67">
        <f>+'[1]T01.00'!W65</f>
        <v>1970351795</v>
      </c>
      <c r="O65" s="38">
        <f>+'[1]T01.00'!Y65</f>
        <v>0</v>
      </c>
      <c r="P65" s="21"/>
      <c r="Q65" s="77"/>
      <c r="R65" s="91"/>
      <c r="S65" s="43"/>
      <c r="T65" s="1"/>
      <c r="U65" s="1"/>
      <c r="V65" s="1"/>
      <c r="W65" s="1"/>
      <c r="X65" s="1"/>
      <c r="Y65" s="1"/>
      <c r="Z65" s="1"/>
      <c r="AA65" s="1"/>
      <c r="AB65" s="1"/>
      <c r="AC65" s="29"/>
      <c r="AD65" s="1"/>
      <c r="AE65" s="1"/>
      <c r="AF65" s="23"/>
      <c r="AG65" s="1"/>
    </row>
    <row r="66" spans="2:33" ht="14.45" customHeight="1" outlineLevel="2" x14ac:dyDescent="0.25">
      <c r="B66" s="41" t="s">
        <v>231</v>
      </c>
      <c r="C66" s="5" t="s">
        <v>232</v>
      </c>
      <c r="D66" s="37">
        <f>+'[1]T01.00'!C66</f>
        <v>0</v>
      </c>
      <c r="E66" s="27">
        <f>+'[1]T01.00'!E66</f>
        <v>0</v>
      </c>
      <c r="F66" s="27">
        <f>+'[1]T01.00'!G66</f>
        <v>0</v>
      </c>
      <c r="G66" s="27">
        <f>+'[1]T01.00'!I66</f>
        <v>0</v>
      </c>
      <c r="H66" s="27">
        <f>+'[1]T01.00'!K66</f>
        <v>0</v>
      </c>
      <c r="I66" s="27">
        <f>+'[1]T01.00'!M66</f>
        <v>0</v>
      </c>
      <c r="J66" s="27">
        <f>+'[1]T01.00'!O66</f>
        <v>0</v>
      </c>
      <c r="K66" s="27">
        <f>+'[1]T01.00'!Q66</f>
        <v>0</v>
      </c>
      <c r="L66" s="27">
        <f>+'[1]T01.00'!S66</f>
        <v>0</v>
      </c>
      <c r="M66" s="27">
        <f>+'[1]T01.00'!U66</f>
        <v>0</v>
      </c>
      <c r="N66" s="67">
        <f>+'[1]T01.00'!W66</f>
        <v>0</v>
      </c>
      <c r="O66" s="38">
        <f>+'[1]T01.00'!Y66</f>
        <v>0</v>
      </c>
      <c r="P66" s="21"/>
      <c r="Q66" s="77"/>
      <c r="R66" s="91"/>
      <c r="S66" s="43"/>
      <c r="T66" s="1"/>
      <c r="U66" s="1"/>
      <c r="V66" s="1"/>
      <c r="W66" s="1"/>
      <c r="X66" s="1"/>
      <c r="Y66" s="1"/>
      <c r="Z66" s="1"/>
      <c r="AA66" s="1"/>
      <c r="AB66" s="1"/>
      <c r="AC66" s="29"/>
      <c r="AD66" s="1"/>
      <c r="AE66" s="1"/>
      <c r="AF66" s="23"/>
      <c r="AG66" s="1"/>
    </row>
    <row r="67" spans="2:33" ht="14.45" customHeight="1" outlineLevel="1" x14ac:dyDescent="0.25">
      <c r="B67" s="100"/>
      <c r="C67" s="100"/>
      <c r="D67" s="101"/>
      <c r="E67" s="102"/>
      <c r="F67" s="102"/>
      <c r="G67" s="102"/>
      <c r="H67" s="102"/>
      <c r="I67" s="102"/>
      <c r="J67" s="102"/>
      <c r="K67" s="102"/>
      <c r="L67" s="102"/>
      <c r="M67" s="102"/>
      <c r="N67" s="102"/>
      <c r="O67" s="103"/>
      <c r="P67" s="1"/>
      <c r="Q67" s="77"/>
      <c r="R67" s="91"/>
      <c r="S67" s="1"/>
      <c r="T67" s="1"/>
      <c r="U67" s="1"/>
      <c r="V67" s="1"/>
      <c r="W67" s="1"/>
      <c r="X67" s="1"/>
      <c r="Y67" s="1"/>
      <c r="Z67" s="1"/>
      <c r="AA67" s="1"/>
      <c r="AB67" s="1"/>
      <c r="AC67" s="1"/>
      <c r="AD67" s="1"/>
      <c r="AE67" s="1"/>
      <c r="AF67" s="1"/>
      <c r="AG67" s="1"/>
    </row>
    <row r="68" spans="2:33" ht="14.45" customHeight="1" outlineLevel="2" x14ac:dyDescent="0.25">
      <c r="B68" s="41" t="s">
        <v>235</v>
      </c>
      <c r="C68" s="5" t="s">
        <v>236</v>
      </c>
      <c r="D68" s="37">
        <f>+'[1]T01.00'!C68</f>
        <v>0</v>
      </c>
      <c r="E68" s="27">
        <f>+'[1]T01.00'!E68</f>
        <v>0</v>
      </c>
      <c r="F68" s="27">
        <f>+'[1]T01.00'!G68</f>
        <v>0</v>
      </c>
      <c r="G68" s="27">
        <f>+'[1]T01.00'!I68</f>
        <v>400000000</v>
      </c>
      <c r="H68" s="27">
        <f>+'[1]T01.00'!K68</f>
        <v>0</v>
      </c>
      <c r="I68" s="27">
        <f>+'[1]T01.00'!M68</f>
        <v>0</v>
      </c>
      <c r="J68" s="27">
        <f>+'[1]T01.00'!O68</f>
        <v>0</v>
      </c>
      <c r="K68" s="27">
        <f>+'[1]T01.00'!Q68</f>
        <v>0</v>
      </c>
      <c r="L68" s="27">
        <f>+'[1]T01.00'!S68</f>
        <v>0</v>
      </c>
      <c r="M68" s="27">
        <f>+'[1]T01.00'!U68</f>
        <v>400000000</v>
      </c>
      <c r="N68" s="67">
        <f>+'[1]T01.00'!W68</f>
        <v>400000000</v>
      </c>
      <c r="O68" s="38">
        <f>+'[1]T01.00'!Y68</f>
        <v>0</v>
      </c>
      <c r="P68" s="21"/>
      <c r="Q68" s="77"/>
      <c r="R68" s="91"/>
      <c r="S68" s="43"/>
      <c r="T68" s="1"/>
      <c r="U68" s="1"/>
      <c r="V68" s="1"/>
      <c r="W68" s="1"/>
      <c r="X68" s="1"/>
      <c r="Y68" s="20"/>
      <c r="Z68" s="1"/>
      <c r="AA68" s="1"/>
      <c r="AB68" s="1"/>
      <c r="AC68" s="1"/>
      <c r="AD68" s="1"/>
      <c r="AE68" s="1"/>
      <c r="AF68" s="23"/>
      <c r="AG68" s="1"/>
    </row>
    <row r="69" spans="2:33" ht="14.45" customHeight="1" outlineLevel="1" x14ac:dyDescent="0.25">
      <c r="B69" s="100"/>
      <c r="C69" s="100"/>
      <c r="D69" s="101"/>
      <c r="E69" s="102"/>
      <c r="F69" s="102"/>
      <c r="G69" s="102"/>
      <c r="H69" s="102"/>
      <c r="I69" s="102"/>
      <c r="J69" s="102"/>
      <c r="K69" s="102"/>
      <c r="L69" s="102"/>
      <c r="M69" s="102"/>
      <c r="N69" s="102"/>
      <c r="O69" s="103"/>
      <c r="P69" s="1"/>
      <c r="Q69" s="77"/>
      <c r="R69" s="91"/>
      <c r="S69" s="1"/>
      <c r="T69" s="1"/>
      <c r="U69" s="1"/>
      <c r="V69" s="1"/>
      <c r="W69" s="1"/>
      <c r="X69" s="1"/>
      <c r="Y69" s="1"/>
      <c r="Z69" s="1"/>
      <c r="AA69" s="1"/>
      <c r="AB69" s="1"/>
      <c r="AC69" s="1"/>
      <c r="AD69" s="1"/>
      <c r="AE69" s="1"/>
      <c r="AF69" s="1"/>
      <c r="AG69" s="1"/>
    </row>
    <row r="70" spans="2:33" ht="14.45" customHeight="1" outlineLevel="2" x14ac:dyDescent="0.25">
      <c r="B70" s="41" t="s">
        <v>235</v>
      </c>
      <c r="C70" s="5" t="s">
        <v>239</v>
      </c>
      <c r="D70" s="37">
        <f>+'[1]T01.00'!C70</f>
        <v>7734845.1399999997</v>
      </c>
      <c r="E70" s="27">
        <f>+'[1]T01.00'!E70</f>
        <v>0</v>
      </c>
      <c r="F70" s="27">
        <f>+'[1]T01.00'!G70</f>
        <v>0</v>
      </c>
      <c r="G70" s="27">
        <f>+'[1]T01.00'!I70</f>
        <v>205321008</v>
      </c>
      <c r="H70" s="27">
        <f>+'[1]T01.00'!K70</f>
        <v>0</v>
      </c>
      <c r="I70" s="27">
        <f>+'[1]T01.00'!M70</f>
        <v>0</v>
      </c>
      <c r="J70" s="27">
        <f>+'[1]T01.00'!O70</f>
        <v>0</v>
      </c>
      <c r="K70" s="27">
        <f>+'[1]T01.00'!Q70</f>
        <v>0</v>
      </c>
      <c r="L70" s="27">
        <f>+'[1]T01.00'!S70</f>
        <v>0</v>
      </c>
      <c r="M70" s="27">
        <f>+'[1]T01.00'!U70</f>
        <v>213055853.13999999</v>
      </c>
      <c r="N70" s="67">
        <f>+'[1]T01.00'!W70</f>
        <v>205321008</v>
      </c>
      <c r="O70" s="38">
        <f>+'[1]T01.00'!Y70</f>
        <v>0</v>
      </c>
      <c r="P70" s="21"/>
      <c r="Q70" s="77"/>
      <c r="R70" s="91"/>
      <c r="S70" s="43"/>
      <c r="T70" s="1"/>
      <c r="U70" s="1"/>
      <c r="V70" s="1"/>
      <c r="W70" s="1"/>
      <c r="X70" s="1"/>
      <c r="Y70" s="20"/>
      <c r="Z70" s="1"/>
      <c r="AA70" s="1"/>
      <c r="AB70" s="1"/>
      <c r="AC70" s="1"/>
      <c r="AD70" s="1"/>
      <c r="AE70" s="1"/>
      <c r="AF70" s="23"/>
      <c r="AG70" s="1"/>
    </row>
    <row r="71" spans="2:33" ht="14.45" customHeight="1" x14ac:dyDescent="0.25">
      <c r="B71" s="13" t="s">
        <v>352</v>
      </c>
      <c r="C71" s="5" t="s">
        <v>353</v>
      </c>
      <c r="D71" s="66">
        <f>+'[1]T01.00'!C72</f>
        <v>2001882721</v>
      </c>
      <c r="E71" s="67">
        <f>+'[1]T01.00'!E72</f>
        <v>4000541686.2469144</v>
      </c>
      <c r="F71" s="67">
        <f>+'[1]T01.00'!G72</f>
        <v>3041473699.7530851</v>
      </c>
      <c r="G71" s="67">
        <f>+'[1]T01.00'!I72</f>
        <v>463208702</v>
      </c>
      <c r="H71" s="67">
        <f>+'[1]T01.00'!K72</f>
        <v>292919673</v>
      </c>
      <c r="I71" s="67">
        <f>+'[1]T01.00'!M72</f>
        <v>0</v>
      </c>
      <c r="J71" s="67">
        <f>+'[1]T01.00'!O72</f>
        <v>388732203</v>
      </c>
      <c r="K71" s="67">
        <f>+'[1]T01.00'!Q72</f>
        <v>0</v>
      </c>
      <c r="L71" s="67">
        <f>+'[1]T01.00'!S72</f>
        <v>0</v>
      </c>
      <c r="M71" s="67">
        <f>+'[1]T01.00'!U72</f>
        <v>10188758685</v>
      </c>
      <c r="N71" s="67">
        <f>+'[1]T01.00'!W72</f>
        <v>325076269.58999997</v>
      </c>
      <c r="O71" s="68">
        <f>+'[1]T01.00'!Y72</f>
        <v>0</v>
      </c>
      <c r="P71" s="76"/>
      <c r="Q71" s="77"/>
      <c r="R71" s="91"/>
      <c r="S71" s="1"/>
      <c r="T71" s="1"/>
      <c r="U71" s="1"/>
      <c r="V71" s="1"/>
      <c r="W71" s="1"/>
      <c r="X71" s="1"/>
      <c r="Y71" s="1"/>
      <c r="Z71" s="1"/>
      <c r="AA71" s="1"/>
      <c r="AB71" s="1"/>
      <c r="AC71" s="1"/>
      <c r="AD71" s="1"/>
      <c r="AE71" s="1"/>
      <c r="AF71" s="1"/>
      <c r="AG71" s="1"/>
    </row>
    <row r="72" spans="2:33" ht="14.45" customHeight="1" x14ac:dyDescent="0.25">
      <c r="B72" s="13" t="s">
        <v>354</v>
      </c>
      <c r="C72" s="5" t="s">
        <v>355</v>
      </c>
      <c r="D72" s="37">
        <f>+'[1]T01.00'!C73</f>
        <v>0</v>
      </c>
      <c r="E72" s="27">
        <f>+'[1]T01.00'!E73</f>
        <v>4688281.4820869248</v>
      </c>
      <c r="F72" s="27">
        <f>+'[1]T01.00'!G73</f>
        <v>3564338.5179130747</v>
      </c>
      <c r="G72" s="27">
        <f>+'[1]T01.00'!I73</f>
        <v>0</v>
      </c>
      <c r="H72" s="27">
        <f>+'[1]T01.00'!K73</f>
        <v>303035096</v>
      </c>
      <c r="I72" s="27">
        <f>+'[1]T01.00'!M73</f>
        <v>0</v>
      </c>
      <c r="J72" s="27">
        <f>+'[1]T01.00'!O73</f>
        <v>130000000</v>
      </c>
      <c r="K72" s="27">
        <f>+'[1]T01.00'!Q73</f>
        <v>0</v>
      </c>
      <c r="L72" s="27">
        <f>+'[1]T01.00'!S73</f>
        <v>0</v>
      </c>
      <c r="M72" s="67">
        <f>+'[1]T01.00'!U73</f>
        <v>441287716</v>
      </c>
      <c r="N72" s="67">
        <f>+'[1]T01.00'!W73</f>
        <v>1759713770.2677603</v>
      </c>
      <c r="O72" s="38">
        <f>+'[1]T01.00'!Y73</f>
        <v>0</v>
      </c>
      <c r="P72" s="21"/>
      <c r="Q72" s="77"/>
      <c r="R72" s="91"/>
      <c r="S72" s="1"/>
      <c r="T72" s="1"/>
      <c r="U72" s="1"/>
      <c r="V72" s="1"/>
      <c r="W72" s="1"/>
      <c r="X72" s="1"/>
      <c r="Y72" s="1"/>
      <c r="Z72" s="1"/>
      <c r="AA72" s="1"/>
      <c r="AB72" s="1"/>
      <c r="AC72" s="1"/>
      <c r="AD72" s="1"/>
      <c r="AE72" s="1"/>
      <c r="AF72" s="1"/>
      <c r="AG72" s="1"/>
    </row>
    <row r="73" spans="2:33" ht="14.45" customHeight="1" x14ac:dyDescent="0.25">
      <c r="B73" s="13" t="s">
        <v>356</v>
      </c>
      <c r="C73" s="5" t="s">
        <v>357</v>
      </c>
      <c r="D73" s="37">
        <f>+'[1]T01.00'!C74</f>
        <v>8463361602</v>
      </c>
      <c r="E73" s="27">
        <f>+'[1]T01.00'!E74</f>
        <v>1565652391.7327411</v>
      </c>
      <c r="F73" s="27">
        <f>+'[1]T01.00'!G74</f>
        <v>1190311449.2672586</v>
      </c>
      <c r="G73" s="27">
        <f>+'[1]T01.00'!I74</f>
        <v>140972216</v>
      </c>
      <c r="H73" s="27">
        <f>+'[1]T01.00'!K74</f>
        <v>2558912249</v>
      </c>
      <c r="I73" s="27">
        <f>+'[1]T01.00'!M74</f>
        <v>0</v>
      </c>
      <c r="J73" s="27">
        <f>+'[1]T01.00'!O74</f>
        <v>638922801</v>
      </c>
      <c r="K73" s="27">
        <f>+'[1]T01.00'!Q74</f>
        <v>0</v>
      </c>
      <c r="L73" s="27">
        <f>+'[1]T01.00'!S74</f>
        <v>0</v>
      </c>
      <c r="M73" s="67">
        <f>+'[1]T01.00'!U74</f>
        <v>14558132709</v>
      </c>
      <c r="N73" s="67">
        <f>+'[1]T01.00'!W74</f>
        <v>0</v>
      </c>
      <c r="O73" s="38">
        <f>+'[1]T01.00'!Y74</f>
        <v>0</v>
      </c>
      <c r="P73" s="21"/>
      <c r="Q73" s="77"/>
      <c r="R73" s="91"/>
      <c r="S73" s="1"/>
      <c r="T73" s="1"/>
      <c r="U73" s="1"/>
      <c r="V73" s="1"/>
      <c r="W73" s="1"/>
      <c r="X73" s="1"/>
      <c r="Y73" s="1"/>
      <c r="Z73" s="1"/>
      <c r="AA73" s="1"/>
      <c r="AB73" s="1"/>
      <c r="AC73" s="1"/>
      <c r="AD73" s="1"/>
      <c r="AE73" s="1"/>
      <c r="AF73" s="1"/>
      <c r="AG73" s="1"/>
    </row>
    <row r="74" spans="2:33" ht="14.45" customHeight="1" x14ac:dyDescent="0.25">
      <c r="B74" s="13" t="s">
        <v>358</v>
      </c>
      <c r="C74" s="5" t="s">
        <v>359</v>
      </c>
      <c r="D74" s="37">
        <f>+'[1]T01.00'!C75</f>
        <v>0</v>
      </c>
      <c r="E74" s="27">
        <f>+'[1]T01.00'!E75</f>
        <v>0</v>
      </c>
      <c r="F74" s="27">
        <f>+'[1]T01.00'!G75</f>
        <v>0</v>
      </c>
      <c r="G74" s="27">
        <f>+'[1]T01.00'!I75</f>
        <v>0</v>
      </c>
      <c r="H74" s="27">
        <f>+'[1]T01.00'!K75</f>
        <v>0</v>
      </c>
      <c r="I74" s="27">
        <f>+'[1]T01.00'!M75</f>
        <v>0</v>
      </c>
      <c r="J74" s="27">
        <f>+'[1]T01.00'!O75</f>
        <v>0</v>
      </c>
      <c r="K74" s="27">
        <f>+'[1]T01.00'!Q75</f>
        <v>0</v>
      </c>
      <c r="L74" s="27">
        <f>+'[1]T01.00'!S75</f>
        <v>0</v>
      </c>
      <c r="M74" s="27">
        <f>+'[1]T01.00'!U75</f>
        <v>0</v>
      </c>
      <c r="N74" s="67">
        <f>+'[1]T01.00'!W75</f>
        <v>0</v>
      </c>
      <c r="O74" s="38">
        <f>+'[1]T01.00'!Y75</f>
        <v>0</v>
      </c>
      <c r="P74" s="21"/>
      <c r="Q74" s="77"/>
      <c r="R74" s="91"/>
      <c r="S74" s="1"/>
      <c r="T74" s="1"/>
      <c r="U74" s="1"/>
      <c r="V74" s="1"/>
      <c r="W74" s="1"/>
      <c r="X74" s="1"/>
      <c r="Y74" s="1"/>
      <c r="Z74" s="1"/>
      <c r="AA74" s="1"/>
      <c r="AB74" s="1"/>
      <c r="AC74" s="1"/>
      <c r="AD74" s="1"/>
      <c r="AE74" s="1"/>
      <c r="AF74" s="1"/>
      <c r="AG74" s="1"/>
    </row>
    <row r="75" spans="2:33" ht="14.45" customHeight="1" x14ac:dyDescent="0.25">
      <c r="B75" s="13" t="s">
        <v>320</v>
      </c>
      <c r="C75" s="5" t="s">
        <v>360</v>
      </c>
      <c r="D75" s="37">
        <f>+'[1]T01.00'!C76</f>
        <v>389747240</v>
      </c>
      <c r="E75" s="27">
        <f>+'[1]T01.00'!E76</f>
        <v>1013279892.2703751</v>
      </c>
      <c r="F75" s="27">
        <f>+'[1]T01.00'!G76</f>
        <v>600000000</v>
      </c>
      <c r="G75" s="27">
        <f>+'[1]T01.00'!I76</f>
        <v>13064116627.068466</v>
      </c>
      <c r="H75" s="27">
        <f>+'[1]T01.00'!K76</f>
        <v>10066054678.960443</v>
      </c>
      <c r="I75" s="27">
        <f>+'[1]T01.00'!M76</f>
        <v>10000000000</v>
      </c>
      <c r="J75" s="27">
        <f>+'[1]T01.00'!O76</f>
        <v>0</v>
      </c>
      <c r="K75" s="27">
        <f>+'[1]T01.00'!Q76</f>
        <v>0</v>
      </c>
      <c r="L75" s="27">
        <f>+'[1]T01.00'!S76</f>
        <v>0</v>
      </c>
      <c r="M75" s="27">
        <f>+'[1]T01.00'!U76</f>
        <v>25133198438.299286</v>
      </c>
      <c r="N75" s="67">
        <f>+'[1]T01.00'!W76</f>
        <v>22006548721.780636</v>
      </c>
      <c r="O75" s="38">
        <f>+'[1]T01.00'!Y76</f>
        <v>0</v>
      </c>
      <c r="P75" s="21"/>
      <c r="Q75" s="77"/>
      <c r="R75" s="91"/>
      <c r="S75" s="1"/>
      <c r="T75" s="1"/>
      <c r="U75" s="1"/>
      <c r="V75" s="1"/>
      <c r="W75" s="1"/>
      <c r="X75" s="1"/>
      <c r="Y75" s="1"/>
      <c r="Z75" s="1"/>
      <c r="AA75" s="1"/>
      <c r="AB75" s="1"/>
      <c r="AC75" s="1"/>
      <c r="AD75" s="1"/>
      <c r="AE75" s="1"/>
      <c r="AF75" s="1"/>
      <c r="AG75" s="1"/>
    </row>
    <row r="76" spans="2:33" ht="14.45" customHeight="1" x14ac:dyDescent="0.25">
      <c r="B76" s="13" t="s">
        <v>361</v>
      </c>
      <c r="C76" s="5" t="s">
        <v>362</v>
      </c>
      <c r="D76" s="36"/>
      <c r="E76" s="26"/>
      <c r="F76" s="26"/>
      <c r="G76" s="26"/>
      <c r="H76" s="26"/>
      <c r="I76" s="26"/>
      <c r="J76" s="26"/>
      <c r="K76" s="26"/>
      <c r="L76" s="26"/>
      <c r="M76" s="67">
        <f>+'[1]T01.00'!$U$77</f>
        <v>3825068946</v>
      </c>
      <c r="N76" s="82"/>
      <c r="O76" s="39"/>
      <c r="P76" s="21"/>
      <c r="Q76" s="77"/>
      <c r="R76" s="91"/>
      <c r="S76" s="1"/>
      <c r="T76" s="1"/>
      <c r="U76" s="1"/>
      <c r="V76" s="1"/>
      <c r="W76" s="1"/>
      <c r="X76" s="1"/>
      <c r="Y76" s="1"/>
      <c r="Z76" s="1"/>
      <c r="AA76" s="1"/>
      <c r="AB76" s="1"/>
      <c r="AC76" s="1"/>
      <c r="AD76" s="1"/>
      <c r="AE76" s="1"/>
      <c r="AF76" s="1"/>
      <c r="AG76" s="1"/>
    </row>
    <row r="77" spans="2:33" ht="15" customHeight="1" thickBot="1" x14ac:dyDescent="0.3">
      <c r="B77" s="13" t="s">
        <v>363</v>
      </c>
      <c r="C77" s="5" t="s">
        <v>364</v>
      </c>
      <c r="D77" s="44"/>
      <c r="E77" s="45"/>
      <c r="F77" s="45"/>
      <c r="G77" s="45"/>
      <c r="H77" s="45"/>
      <c r="I77" s="45"/>
      <c r="J77" s="45"/>
      <c r="K77" s="45"/>
      <c r="L77" s="45"/>
      <c r="M77" s="63">
        <f>+'[1]T01.00'!$U$78</f>
        <v>55932173227</v>
      </c>
      <c r="N77" s="83"/>
      <c r="O77" s="46"/>
      <c r="P77" s="21"/>
      <c r="Q77" s="77"/>
      <c r="R77" s="91"/>
      <c r="S77" s="1"/>
      <c r="T77" s="1"/>
      <c r="U77" s="1"/>
      <c r="V77" s="1"/>
      <c r="W77" s="1"/>
      <c r="X77" s="1"/>
      <c r="Y77" s="1"/>
      <c r="Z77" s="1"/>
      <c r="AA77" s="1"/>
      <c r="AB77" s="1"/>
      <c r="AC77" s="1"/>
      <c r="AD77" s="1"/>
      <c r="AE77" s="1"/>
      <c r="AF77" s="1"/>
      <c r="AG77" s="1"/>
    </row>
    <row r="78" spans="2:33" x14ac:dyDescent="0.25">
      <c r="Q78" s="77"/>
      <c r="R78" s="91"/>
    </row>
    <row r="79" spans="2:33" x14ac:dyDescent="0.25">
      <c r="D79" s="75">
        <f>+'[1]T01.00'!C72</f>
        <v>2001882721</v>
      </c>
      <c r="Q79" s="77"/>
      <c r="R79" s="91"/>
    </row>
    <row r="80" spans="2:33" x14ac:dyDescent="0.25">
      <c r="M80" s="70"/>
      <c r="Q80" s="77"/>
      <c r="R80" s="91"/>
    </row>
    <row r="81" spans="13:18" x14ac:dyDescent="0.25">
      <c r="M81" s="70"/>
      <c r="Q81" s="77"/>
      <c r="R81" s="91"/>
    </row>
    <row r="82" spans="13:18" x14ac:dyDescent="0.25">
      <c r="Q82" s="77"/>
      <c r="R82" s="91"/>
    </row>
    <row r="83" spans="13:18" x14ac:dyDescent="0.25">
      <c r="Q83" s="77"/>
      <c r="R83" s="91"/>
    </row>
    <row r="84" spans="13:18" x14ac:dyDescent="0.25">
      <c r="Q84" s="77"/>
      <c r="R84" s="91"/>
    </row>
    <row r="85" spans="13:18" x14ac:dyDescent="0.25">
      <c r="Q85" s="77"/>
      <c r="R85" s="91"/>
    </row>
    <row r="86" spans="13:18" x14ac:dyDescent="0.25">
      <c r="Q86" s="77"/>
      <c r="R86" s="91"/>
    </row>
    <row r="87" spans="13:18" x14ac:dyDescent="0.25">
      <c r="Q87" s="77"/>
      <c r="R87" s="91"/>
    </row>
    <row r="88" spans="13:18" x14ac:dyDescent="0.25">
      <c r="Q88" s="77"/>
      <c r="R88" s="91"/>
    </row>
    <row r="89" spans="13:18" x14ac:dyDescent="0.25">
      <c r="Q89" s="77"/>
      <c r="R89" s="91"/>
    </row>
    <row r="90" spans="13:18" x14ac:dyDescent="0.25">
      <c r="Q90" s="77"/>
      <c r="R90" s="91"/>
    </row>
    <row r="91" spans="13:18" x14ac:dyDescent="0.25">
      <c r="Q91" s="77"/>
      <c r="R91" s="91"/>
    </row>
    <row r="92" spans="13:18" x14ac:dyDescent="0.25">
      <c r="Q92" s="77"/>
      <c r="R92" s="91"/>
    </row>
    <row r="93" spans="13:18" x14ac:dyDescent="0.25">
      <c r="Q93" s="77"/>
      <c r="R93" s="91"/>
    </row>
    <row r="94" spans="13:18" x14ac:dyDescent="0.25">
      <c r="Q94" s="77"/>
      <c r="R94" s="91"/>
    </row>
    <row r="95" spans="13:18" x14ac:dyDescent="0.25">
      <c r="Q95" s="77"/>
      <c r="R95" s="91"/>
    </row>
    <row r="96" spans="13:18" x14ac:dyDescent="0.25">
      <c r="Q96" s="77"/>
      <c r="R96" s="91"/>
    </row>
    <row r="97" spans="17:18" x14ac:dyDescent="0.25">
      <c r="Q97" s="77"/>
      <c r="R97" s="91"/>
    </row>
    <row r="98" spans="17:18" x14ac:dyDescent="0.25">
      <c r="Q98" s="77"/>
      <c r="R98" s="91"/>
    </row>
    <row r="99" spans="17:18" x14ac:dyDescent="0.25">
      <c r="Q99" s="77"/>
      <c r="R99" s="91"/>
    </row>
    <row r="100" spans="17:18" x14ac:dyDescent="0.25">
      <c r="Q100" s="77"/>
      <c r="R100" s="91"/>
    </row>
  </sheetData>
  <mergeCells count="8">
    <mergeCell ref="B67:O67"/>
    <mergeCell ref="B69:O69"/>
    <mergeCell ref="A1:O1"/>
    <mergeCell ref="D4:O4"/>
    <mergeCell ref="H5:I5"/>
    <mergeCell ref="M5:O5"/>
    <mergeCell ref="B63:O63"/>
    <mergeCell ref="B64:O64"/>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G9"/>
  <sheetViews>
    <sheetView workbookViewId="0">
      <selection activeCell="D9" sqref="D9"/>
    </sheetView>
  </sheetViews>
  <sheetFormatPr defaultRowHeight="15" outlineLevelRow="1" x14ac:dyDescent="0.25"/>
  <cols>
    <col min="1" max="1" width="5.7109375" customWidth="1"/>
    <col min="2" max="2" width="29.7109375" customWidth="1"/>
    <col min="3" max="3" width="5" bestFit="1" customWidth="1"/>
    <col min="4" max="5" width="20.7109375" customWidth="1"/>
    <col min="6" max="6" width="21.28515625" bestFit="1" customWidth="1"/>
    <col min="7" max="7" width="25.7109375" customWidth="1"/>
  </cols>
  <sheetData>
    <row r="1" spans="1:7" ht="14.45" customHeight="1" x14ac:dyDescent="0.25">
      <c r="A1" s="94" t="s">
        <v>0</v>
      </c>
      <c r="B1" s="95"/>
      <c r="C1" s="95"/>
      <c r="D1" s="95"/>
      <c r="E1" s="95"/>
      <c r="F1" s="1"/>
      <c r="G1" s="1"/>
    </row>
    <row r="2" spans="1:7" ht="14.45" customHeight="1" x14ac:dyDescent="0.25">
      <c r="F2" s="1"/>
      <c r="G2" s="1"/>
    </row>
    <row r="3" spans="1:7" ht="14.45" customHeight="1" x14ac:dyDescent="0.25">
      <c r="F3" s="1"/>
      <c r="G3" s="1"/>
    </row>
    <row r="4" spans="1:7" ht="14.45" customHeight="1" x14ac:dyDescent="0.25">
      <c r="D4" s="96" t="s">
        <v>1</v>
      </c>
      <c r="E4" s="96"/>
      <c r="F4" s="1"/>
      <c r="G4" s="1"/>
    </row>
    <row r="5" spans="1:7" ht="14.45" customHeight="1" x14ac:dyDescent="0.25">
      <c r="D5" s="97" t="s">
        <v>2</v>
      </c>
      <c r="E5" s="98"/>
    </row>
    <row r="6" spans="1:7" ht="14.45" customHeight="1" x14ac:dyDescent="0.25">
      <c r="D6" s="2" t="s">
        <v>3</v>
      </c>
      <c r="E6" s="2" t="s">
        <v>4</v>
      </c>
    </row>
    <row r="7" spans="1:7" ht="15" customHeight="1" thickBot="1" x14ac:dyDescent="0.3">
      <c r="D7" s="3" t="s">
        <v>5</v>
      </c>
      <c r="E7" s="3" t="s">
        <v>6</v>
      </c>
      <c r="F7" s="1"/>
      <c r="G7" s="1"/>
    </row>
    <row r="8" spans="1:7" ht="14.45" customHeight="1" x14ac:dyDescent="0.25">
      <c r="B8" s="104"/>
      <c r="C8" s="104"/>
      <c r="D8" s="108"/>
      <c r="E8" s="109"/>
      <c r="F8" s="1"/>
      <c r="G8" s="1"/>
    </row>
    <row r="9" spans="1:7" ht="29.45" customHeight="1" outlineLevel="1" thickBot="1" x14ac:dyDescent="0.3">
      <c r="B9" s="4" t="s">
        <v>7</v>
      </c>
      <c r="C9" s="5" t="s">
        <v>8</v>
      </c>
      <c r="D9" s="6">
        <v>0.03</v>
      </c>
      <c r="E9" s="7">
        <v>0.03</v>
      </c>
      <c r="F9" s="8"/>
      <c r="G9" s="9"/>
    </row>
  </sheetData>
  <mergeCells count="4">
    <mergeCell ref="A1:E1"/>
    <mergeCell ref="D4:E4"/>
    <mergeCell ref="D5:E5"/>
    <mergeCell ref="B8:E8"/>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I27"/>
  <sheetViews>
    <sheetView topLeftCell="C1" workbookViewId="0">
      <selection activeCell="F17" sqref="F17:G17"/>
    </sheetView>
  </sheetViews>
  <sheetFormatPr defaultRowHeight="15" outlineLevelRow="2" x14ac:dyDescent="0.25"/>
  <cols>
    <col min="1" max="1" width="5.7109375" customWidth="1"/>
    <col min="2" max="2" width="88.28515625" bestFit="1" customWidth="1"/>
    <col min="3" max="3" width="5" bestFit="1" customWidth="1"/>
    <col min="4" max="5" width="20.7109375" customWidth="1"/>
    <col min="6" max="6" width="25.7109375" customWidth="1"/>
    <col min="7" max="7" width="21.28515625" bestFit="1" customWidth="1"/>
    <col min="8" max="8" width="25.7109375" customWidth="1"/>
    <col min="9" max="9" width="18.140625" bestFit="1" customWidth="1"/>
  </cols>
  <sheetData>
    <row r="1" spans="1:9" ht="14.45" customHeight="1" x14ac:dyDescent="0.25">
      <c r="A1" s="94" t="s">
        <v>296</v>
      </c>
      <c r="B1" s="95"/>
      <c r="C1" s="95"/>
      <c r="D1" s="95"/>
      <c r="E1" s="95"/>
      <c r="F1" s="1"/>
      <c r="G1" s="1"/>
      <c r="H1" s="1"/>
      <c r="I1" s="1"/>
    </row>
    <row r="2" spans="1:9" ht="14.45" customHeight="1" x14ac:dyDescent="0.25">
      <c r="F2" s="1"/>
      <c r="G2" s="1"/>
      <c r="H2" s="1"/>
      <c r="I2" s="1"/>
    </row>
    <row r="3" spans="1:9" ht="14.45" customHeight="1" x14ac:dyDescent="0.25">
      <c r="F3" s="1"/>
      <c r="G3" s="1"/>
      <c r="H3" s="1"/>
      <c r="I3" s="1"/>
    </row>
    <row r="4" spans="1:9" ht="14.45" customHeight="1" x14ac:dyDescent="0.25">
      <c r="D4" s="96" t="s">
        <v>1</v>
      </c>
      <c r="E4" s="96"/>
      <c r="F4" s="1"/>
      <c r="G4" s="1"/>
      <c r="H4" s="1"/>
      <c r="I4" s="1"/>
    </row>
    <row r="5" spans="1:9" ht="14.45" customHeight="1" x14ac:dyDescent="0.25">
      <c r="D5" s="97" t="s">
        <v>2</v>
      </c>
      <c r="E5" s="98"/>
    </row>
    <row r="6" spans="1:9" ht="14.45" customHeight="1" x14ac:dyDescent="0.25">
      <c r="D6" s="2" t="s">
        <v>3</v>
      </c>
      <c r="E6" s="2" t="s">
        <v>4</v>
      </c>
    </row>
    <row r="7" spans="1:9" ht="15" customHeight="1" thickBot="1" x14ac:dyDescent="0.3">
      <c r="D7" s="3" t="s">
        <v>5</v>
      </c>
      <c r="E7" s="3" t="s">
        <v>6</v>
      </c>
      <c r="F7" s="1"/>
      <c r="G7" s="1"/>
      <c r="H7" s="1"/>
      <c r="I7" s="1"/>
    </row>
    <row r="8" spans="1:9" ht="14.45" customHeight="1" x14ac:dyDescent="0.25">
      <c r="B8" s="13" t="s">
        <v>297</v>
      </c>
      <c r="C8" s="5" t="s">
        <v>48</v>
      </c>
      <c r="D8" s="59">
        <v>16258216573.253201</v>
      </c>
      <c r="E8" s="65">
        <v>15519477013.579041</v>
      </c>
      <c r="F8" s="21"/>
      <c r="G8" s="8"/>
      <c r="H8" s="9"/>
      <c r="I8" s="1"/>
    </row>
    <row r="9" spans="1:9" ht="14.45" customHeight="1" x14ac:dyDescent="0.25">
      <c r="B9" s="13" t="s">
        <v>298</v>
      </c>
      <c r="C9" s="5" t="s">
        <v>49</v>
      </c>
      <c r="D9" s="71">
        <v>0</v>
      </c>
      <c r="E9" s="68">
        <v>0</v>
      </c>
      <c r="F9" s="21"/>
      <c r="G9" s="8"/>
      <c r="H9" s="9"/>
      <c r="I9" s="1"/>
    </row>
    <row r="10" spans="1:9" ht="14.45" customHeight="1" x14ac:dyDescent="0.25">
      <c r="B10" s="13" t="s">
        <v>299</v>
      </c>
      <c r="C10" s="5" t="s">
        <v>50</v>
      </c>
      <c r="D10" s="71">
        <v>57167849066.952797</v>
      </c>
      <c r="E10" s="72"/>
      <c r="F10" s="21"/>
      <c r="G10" s="8"/>
      <c r="H10" s="9"/>
      <c r="I10" s="1"/>
    </row>
    <row r="11" spans="1:9" ht="14.45" customHeight="1" x14ac:dyDescent="0.25">
      <c r="B11" s="104"/>
      <c r="C11" s="104"/>
      <c r="D11" s="105"/>
      <c r="E11" s="107"/>
      <c r="F11" s="1"/>
      <c r="G11" s="1"/>
      <c r="H11" s="1"/>
      <c r="I11" s="1"/>
    </row>
    <row r="12" spans="1:9" ht="14.45" customHeight="1" outlineLevel="1" x14ac:dyDescent="0.25">
      <c r="B12" s="4" t="s">
        <v>300</v>
      </c>
      <c r="C12" s="5" t="s">
        <v>94</v>
      </c>
      <c r="D12" s="24">
        <v>0</v>
      </c>
      <c r="E12" s="39"/>
      <c r="F12" s="21"/>
      <c r="G12" s="8"/>
      <c r="H12" s="9"/>
      <c r="I12" s="1"/>
    </row>
    <row r="13" spans="1:9" ht="14.45" customHeight="1" outlineLevel="1" x14ac:dyDescent="0.25">
      <c r="B13" s="4" t="s">
        <v>301</v>
      </c>
      <c r="C13" s="5" t="s">
        <v>95</v>
      </c>
      <c r="D13" s="37">
        <v>0</v>
      </c>
      <c r="E13" s="38">
        <v>0</v>
      </c>
      <c r="F13" s="21"/>
      <c r="G13" s="8"/>
      <c r="H13" s="9"/>
      <c r="I13" s="43"/>
    </row>
    <row r="14" spans="1:9" ht="14.45" customHeight="1" x14ac:dyDescent="0.25">
      <c r="B14" s="104"/>
      <c r="C14" s="104"/>
      <c r="D14" s="105"/>
      <c r="E14" s="107"/>
      <c r="F14" s="1"/>
      <c r="G14" s="1"/>
      <c r="H14" s="1"/>
      <c r="I14" s="1"/>
    </row>
    <row r="15" spans="1:9" ht="14.45" customHeight="1" outlineLevel="1" x14ac:dyDescent="0.25">
      <c r="B15" s="4" t="s">
        <v>302</v>
      </c>
      <c r="C15" s="5" t="s">
        <v>102</v>
      </c>
      <c r="D15" s="37">
        <v>1.4999999999999999E-2</v>
      </c>
      <c r="E15" s="38">
        <v>1.4999999999999999E-2</v>
      </c>
      <c r="F15" s="21"/>
      <c r="G15" s="8"/>
      <c r="H15" s="9"/>
      <c r="I15" s="43"/>
    </row>
    <row r="16" spans="1:9" ht="14.45" customHeight="1" outlineLevel="2" x14ac:dyDescent="0.25">
      <c r="B16" s="41" t="s">
        <v>303</v>
      </c>
      <c r="C16" s="5" t="s">
        <v>163</v>
      </c>
      <c r="D16" s="38">
        <v>8.4375000000000006E-3</v>
      </c>
      <c r="E16" s="38">
        <v>8.4375000000000006E-3</v>
      </c>
      <c r="F16" s="21"/>
      <c r="G16" s="8"/>
      <c r="H16" s="9"/>
      <c r="I16" s="43"/>
    </row>
    <row r="17" spans="2:9" ht="14.45" customHeight="1" outlineLevel="2" x14ac:dyDescent="0.25">
      <c r="B17" s="41" t="s">
        <v>304</v>
      </c>
      <c r="C17" s="5" t="s">
        <v>165</v>
      </c>
      <c r="D17" s="38">
        <v>1.125E-2</v>
      </c>
      <c r="E17" s="38">
        <v>1.125E-2</v>
      </c>
      <c r="F17" s="78"/>
      <c r="G17" s="78"/>
      <c r="H17" s="9"/>
      <c r="I17" s="43"/>
    </row>
    <row r="18" spans="2:9" ht="14.45" customHeight="1" outlineLevel="1" x14ac:dyDescent="0.25">
      <c r="B18" s="4" t="s">
        <v>305</v>
      </c>
      <c r="C18" s="5" t="s">
        <v>103</v>
      </c>
      <c r="D18" s="37">
        <v>0.01</v>
      </c>
      <c r="E18" s="38">
        <v>0.01</v>
      </c>
      <c r="F18" s="21"/>
      <c r="G18" s="8"/>
      <c r="H18" s="9"/>
      <c r="I18" s="43"/>
    </row>
    <row r="19" spans="2:9" ht="14.45" customHeight="1" outlineLevel="2" x14ac:dyDescent="0.25">
      <c r="B19" s="41" t="s">
        <v>303</v>
      </c>
      <c r="C19" s="5" t="s">
        <v>171</v>
      </c>
      <c r="D19" s="37">
        <v>0.01</v>
      </c>
      <c r="E19" s="38">
        <v>0.01</v>
      </c>
      <c r="F19" s="21"/>
      <c r="G19" s="8"/>
      <c r="H19" s="9"/>
      <c r="I19" s="43"/>
    </row>
    <row r="20" spans="2:9" ht="14.45" customHeight="1" outlineLevel="2" x14ac:dyDescent="0.25">
      <c r="B20" s="41" t="s">
        <v>304</v>
      </c>
      <c r="C20" s="5" t="s">
        <v>172</v>
      </c>
      <c r="D20" s="37">
        <v>0.01</v>
      </c>
      <c r="E20" s="38">
        <v>0.01</v>
      </c>
      <c r="F20" s="21"/>
      <c r="G20" s="8"/>
      <c r="H20" s="9"/>
      <c r="I20" s="43"/>
    </row>
    <row r="21" spans="2:9" ht="14.45" customHeight="1" x14ac:dyDescent="0.25">
      <c r="B21" s="13" t="s">
        <v>306</v>
      </c>
      <c r="C21" s="5" t="s">
        <v>224</v>
      </c>
      <c r="D21" s="24">
        <v>489701593.98938</v>
      </c>
      <c r="E21" s="38">
        <v>467539407.19675112</v>
      </c>
      <c r="F21" s="21"/>
      <c r="G21" s="8"/>
      <c r="H21" s="9"/>
      <c r="I21" s="1"/>
    </row>
    <row r="22" spans="2:9" ht="14.45" customHeight="1" outlineLevel="1" x14ac:dyDescent="0.25">
      <c r="B22" s="4" t="s">
        <v>307</v>
      </c>
      <c r="C22" s="5" t="s">
        <v>308</v>
      </c>
      <c r="D22" s="24">
        <v>406455414.32999998</v>
      </c>
      <c r="E22" s="38">
        <v>387986925.33947605</v>
      </c>
      <c r="F22" s="21"/>
      <c r="G22" s="8"/>
      <c r="H22" s="9"/>
      <c r="I22" s="1"/>
    </row>
    <row r="23" spans="2:9" ht="14.45" customHeight="1" outlineLevel="1" x14ac:dyDescent="0.25">
      <c r="B23" s="4" t="s">
        <v>309</v>
      </c>
      <c r="C23" s="5" t="s">
        <v>310</v>
      </c>
      <c r="D23" s="24">
        <v>0</v>
      </c>
      <c r="E23" s="38">
        <v>0</v>
      </c>
      <c r="F23" s="21"/>
      <c r="G23" s="8"/>
      <c r="H23" s="9"/>
      <c r="I23" s="1"/>
    </row>
    <row r="24" spans="2:9" ht="14.45" customHeight="1" outlineLevel="1" x14ac:dyDescent="0.25">
      <c r="B24" s="4" t="s">
        <v>311</v>
      </c>
      <c r="C24" s="5" t="s">
        <v>312</v>
      </c>
      <c r="D24" s="24">
        <v>1955096.7893799201</v>
      </c>
      <c r="E24" s="38">
        <v>1955096.7893799201</v>
      </c>
      <c r="F24" s="21"/>
      <c r="G24" s="8"/>
      <c r="H24" s="9"/>
      <c r="I24" s="1"/>
    </row>
    <row r="25" spans="2:9" ht="14.45" customHeight="1" outlineLevel="1" x14ac:dyDescent="0.25">
      <c r="B25" s="4" t="s">
        <v>313</v>
      </c>
      <c r="C25" s="5" t="s">
        <v>314</v>
      </c>
      <c r="D25" s="24">
        <v>0</v>
      </c>
      <c r="E25" s="38">
        <v>0</v>
      </c>
      <c r="F25" s="21"/>
      <c r="G25" s="8"/>
      <c r="H25" s="9"/>
      <c r="I25" s="1"/>
    </row>
    <row r="26" spans="2:9" ht="14.45" customHeight="1" outlineLevel="1" x14ac:dyDescent="0.25">
      <c r="B26" s="4" t="s">
        <v>315</v>
      </c>
      <c r="C26" s="5" t="s">
        <v>316</v>
      </c>
      <c r="D26" s="24">
        <v>0</v>
      </c>
      <c r="E26" s="38">
        <v>0</v>
      </c>
      <c r="F26" s="21"/>
      <c r="G26" s="8"/>
      <c r="H26" s="9"/>
      <c r="I26" s="1"/>
    </row>
    <row r="27" spans="2:9" ht="15" customHeight="1" outlineLevel="1" thickBot="1" x14ac:dyDescent="0.3">
      <c r="B27" s="4" t="s">
        <v>317</v>
      </c>
      <c r="C27" s="5" t="s">
        <v>318</v>
      </c>
      <c r="D27" s="6">
        <v>81291082.870000005</v>
      </c>
      <c r="E27" s="7">
        <v>77597385.067895204</v>
      </c>
      <c r="F27" s="21"/>
      <c r="G27" s="8"/>
      <c r="H27" s="9"/>
      <c r="I27" s="1"/>
    </row>
  </sheetData>
  <mergeCells count="5">
    <mergeCell ref="A1:E1"/>
    <mergeCell ref="D4:E4"/>
    <mergeCell ref="D5:E5"/>
    <mergeCell ref="B11:E11"/>
    <mergeCell ref="B14:E14"/>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AF102"/>
  <sheetViews>
    <sheetView topLeftCell="D7" zoomScale="85" zoomScaleNormal="85" workbookViewId="0">
      <selection activeCell="F19" sqref="F19"/>
    </sheetView>
  </sheetViews>
  <sheetFormatPr defaultRowHeight="15" x14ac:dyDescent="0.25"/>
  <cols>
    <col min="1" max="1" width="5.7109375" customWidth="1"/>
    <col min="2" max="2" width="25.28515625" bestFit="1" customWidth="1"/>
    <col min="3" max="3" width="4" bestFit="1" customWidth="1"/>
    <col min="4" max="28" width="20.7109375" customWidth="1"/>
    <col min="29" max="29" width="25.7109375" customWidth="1"/>
  </cols>
  <sheetData>
    <row r="1" spans="1:32" ht="14.45" customHeight="1" x14ac:dyDescent="0.25">
      <c r="A1" s="94" t="s">
        <v>105</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1"/>
    </row>
    <row r="2" spans="1:32" ht="14.45" customHeight="1" x14ac:dyDescent="0.25">
      <c r="AC2" s="1"/>
    </row>
    <row r="3" spans="1:32" ht="14.45" customHeight="1" x14ac:dyDescent="0.25">
      <c r="AC3" s="1"/>
    </row>
    <row r="4" spans="1:32" ht="14.45" customHeight="1" x14ac:dyDescent="0.25">
      <c r="D4" s="96" t="s">
        <v>1</v>
      </c>
      <c r="E4" s="96"/>
      <c r="F4" s="96"/>
      <c r="G4" s="96"/>
      <c r="H4" s="96"/>
      <c r="I4" s="96"/>
      <c r="J4" s="96"/>
      <c r="K4" s="96"/>
      <c r="L4" s="96"/>
      <c r="M4" s="96"/>
      <c r="N4" s="96"/>
      <c r="O4" s="96"/>
      <c r="P4" s="96"/>
      <c r="Q4" s="96"/>
      <c r="R4" s="96"/>
      <c r="S4" s="96"/>
      <c r="T4" s="96"/>
      <c r="U4" s="96"/>
      <c r="V4" s="96"/>
      <c r="W4" s="96"/>
      <c r="X4" s="96"/>
      <c r="Y4" s="96"/>
      <c r="Z4" s="96"/>
      <c r="AA4" s="96"/>
      <c r="AB4" s="96"/>
      <c r="AC4" s="1"/>
    </row>
    <row r="5" spans="1:32" ht="14.45" customHeight="1" x14ac:dyDescent="0.25">
      <c r="D5" s="10" t="s">
        <v>10</v>
      </c>
      <c r="E5" s="97" t="s">
        <v>11</v>
      </c>
      <c r="F5" s="98"/>
      <c r="G5" s="97" t="s">
        <v>106</v>
      </c>
      <c r="H5" s="99"/>
      <c r="I5" s="99"/>
      <c r="J5" s="99"/>
      <c r="K5" s="99"/>
      <c r="L5" s="99"/>
      <c r="M5" s="99"/>
      <c r="N5" s="99"/>
      <c r="O5" s="99"/>
      <c r="P5" s="99"/>
      <c r="Q5" s="99"/>
      <c r="R5" s="99"/>
      <c r="S5" s="99"/>
      <c r="T5" s="99"/>
      <c r="U5" s="99"/>
      <c r="V5" s="99"/>
      <c r="W5" s="99"/>
      <c r="X5" s="99"/>
      <c r="Y5" s="99"/>
      <c r="Z5" s="99"/>
      <c r="AA5" s="99"/>
      <c r="AB5" s="98"/>
    </row>
    <row r="6" spans="1:32" ht="57.6" customHeight="1" x14ac:dyDescent="0.25">
      <c r="D6" s="11"/>
      <c r="E6" s="2" t="s">
        <v>13</v>
      </c>
      <c r="F6" s="2" t="s">
        <v>14</v>
      </c>
      <c r="G6" s="2" t="s">
        <v>15</v>
      </c>
      <c r="H6" s="2" t="s">
        <v>16</v>
      </c>
      <c r="I6" s="2" t="s">
        <v>69</v>
      </c>
      <c r="J6" s="2" t="s">
        <v>107</v>
      </c>
      <c r="K6" s="2" t="s">
        <v>19</v>
      </c>
      <c r="L6" s="2" t="s">
        <v>108</v>
      </c>
      <c r="M6" s="2" t="s">
        <v>109</v>
      </c>
      <c r="N6" s="2" t="s">
        <v>20</v>
      </c>
      <c r="O6" s="2" t="s">
        <v>110</v>
      </c>
      <c r="P6" s="2" t="s">
        <v>23</v>
      </c>
      <c r="Q6" s="2" t="s">
        <v>24</v>
      </c>
      <c r="R6" s="2" t="s">
        <v>26</v>
      </c>
      <c r="S6" s="2" t="s">
        <v>27</v>
      </c>
      <c r="T6" s="2" t="s">
        <v>28</v>
      </c>
      <c r="U6" s="2" t="s">
        <v>29</v>
      </c>
      <c r="V6" s="2" t="s">
        <v>111</v>
      </c>
      <c r="W6" s="2" t="s">
        <v>31</v>
      </c>
      <c r="X6" s="2" t="s">
        <v>32</v>
      </c>
      <c r="Y6" s="2" t="s">
        <v>112</v>
      </c>
      <c r="Z6" s="2" t="s">
        <v>113</v>
      </c>
      <c r="AA6" s="2" t="s">
        <v>91</v>
      </c>
      <c r="AB6" s="2" t="s">
        <v>114</v>
      </c>
    </row>
    <row r="7" spans="1:32" ht="15" customHeight="1" thickBot="1" x14ac:dyDescent="0.3">
      <c r="D7" s="3" t="s">
        <v>5</v>
      </c>
      <c r="E7" s="3" t="s">
        <v>6</v>
      </c>
      <c r="F7" s="3" t="s">
        <v>115</v>
      </c>
      <c r="G7" s="3" t="s">
        <v>38</v>
      </c>
      <c r="H7" s="3" t="s">
        <v>39</v>
      </c>
      <c r="I7" s="3" t="s">
        <v>116</v>
      </c>
      <c r="J7" s="3" t="s">
        <v>40</v>
      </c>
      <c r="K7" s="3" t="s">
        <v>117</v>
      </c>
      <c r="L7" s="3" t="s">
        <v>41</v>
      </c>
      <c r="M7" s="3" t="s">
        <v>118</v>
      </c>
      <c r="N7" s="3" t="s">
        <v>42</v>
      </c>
      <c r="O7" s="3" t="s">
        <v>44</v>
      </c>
      <c r="P7" s="3" t="s">
        <v>46</v>
      </c>
      <c r="Q7" s="3" t="s">
        <v>47</v>
      </c>
      <c r="R7" s="3" t="s">
        <v>48</v>
      </c>
      <c r="S7" s="3" t="s">
        <v>49</v>
      </c>
      <c r="T7" s="3" t="s">
        <v>50</v>
      </c>
      <c r="U7" s="3" t="s">
        <v>51</v>
      </c>
      <c r="V7" s="3" t="s">
        <v>52</v>
      </c>
      <c r="W7" s="3" t="s">
        <v>53</v>
      </c>
      <c r="X7" s="3" t="s">
        <v>54</v>
      </c>
      <c r="Y7" s="3" t="s">
        <v>55</v>
      </c>
      <c r="Z7" s="3" t="s">
        <v>119</v>
      </c>
      <c r="AA7" s="3" t="s">
        <v>56</v>
      </c>
      <c r="AB7" s="3" t="s">
        <v>57</v>
      </c>
      <c r="AC7" s="1"/>
    </row>
    <row r="8" spans="1:32" ht="30" customHeight="1" thickBot="1" x14ac:dyDescent="0.3">
      <c r="A8" s="12" t="s">
        <v>62</v>
      </c>
      <c r="B8" s="13" t="s">
        <v>120</v>
      </c>
      <c r="C8" s="5" t="s">
        <v>64</v>
      </c>
      <c r="D8" s="84">
        <v>1</v>
      </c>
      <c r="E8" s="85" t="s">
        <v>366</v>
      </c>
      <c r="F8" s="85" t="s">
        <v>367</v>
      </c>
      <c r="G8" s="85" t="s">
        <v>368</v>
      </c>
      <c r="H8" s="85" t="s">
        <v>369</v>
      </c>
      <c r="I8" s="85" t="s">
        <v>370</v>
      </c>
      <c r="J8" s="85" t="s">
        <v>371</v>
      </c>
      <c r="K8" s="85" t="s">
        <v>372</v>
      </c>
      <c r="L8" s="85" t="s">
        <v>373</v>
      </c>
      <c r="M8" s="85" t="s">
        <v>374</v>
      </c>
      <c r="N8" s="85" t="s">
        <v>511</v>
      </c>
      <c r="O8" s="85" t="s">
        <v>375</v>
      </c>
      <c r="P8" s="85">
        <v>229549.43</v>
      </c>
      <c r="Q8" s="85">
        <v>0</v>
      </c>
      <c r="R8" s="85" t="s">
        <v>376</v>
      </c>
      <c r="S8" s="85" t="s">
        <v>377</v>
      </c>
      <c r="T8" s="85" t="s">
        <v>829</v>
      </c>
      <c r="U8" s="85" t="s">
        <v>829</v>
      </c>
      <c r="V8" s="85" t="s">
        <v>378</v>
      </c>
      <c r="W8" s="85">
        <v>0</v>
      </c>
      <c r="X8" s="85" t="s">
        <v>379</v>
      </c>
      <c r="Y8" s="85" t="s">
        <v>380</v>
      </c>
      <c r="Z8" s="85">
        <v>0</v>
      </c>
      <c r="AA8" s="85" t="s">
        <v>381</v>
      </c>
      <c r="AB8" s="86">
        <v>0</v>
      </c>
      <c r="AC8" s="20"/>
      <c r="AE8" s="58"/>
      <c r="AF8" s="58"/>
    </row>
    <row r="9" spans="1:32" ht="36.75" thickBot="1" x14ac:dyDescent="0.3">
      <c r="C9" s="5" t="s">
        <v>64</v>
      </c>
      <c r="D9" s="84">
        <v>2</v>
      </c>
      <c r="E9" s="85" t="s">
        <v>366</v>
      </c>
      <c r="F9" s="85" t="s">
        <v>367</v>
      </c>
      <c r="G9" s="85" t="s">
        <v>368</v>
      </c>
      <c r="H9" s="85" t="s">
        <v>369</v>
      </c>
      <c r="I9" s="85" t="s">
        <v>382</v>
      </c>
      <c r="J9" s="85" t="s">
        <v>383</v>
      </c>
      <c r="K9" s="85" t="s">
        <v>372</v>
      </c>
      <c r="L9" s="85" t="s">
        <v>373</v>
      </c>
      <c r="M9" s="85" t="s">
        <v>374</v>
      </c>
      <c r="N9" s="85" t="s">
        <v>511</v>
      </c>
      <c r="O9" s="85" t="s">
        <v>375</v>
      </c>
      <c r="P9" s="85">
        <v>1542756.36</v>
      </c>
      <c r="Q9" s="85">
        <v>0</v>
      </c>
      <c r="R9" s="85" t="s">
        <v>376</v>
      </c>
      <c r="S9" s="85" t="s">
        <v>377</v>
      </c>
      <c r="T9" s="85" t="s">
        <v>829</v>
      </c>
      <c r="U9" s="85" t="s">
        <v>829</v>
      </c>
      <c r="V9" s="85" t="s">
        <v>378</v>
      </c>
      <c r="W9" s="85">
        <v>0</v>
      </c>
      <c r="X9" s="85" t="s">
        <v>379</v>
      </c>
      <c r="Y9" s="85" t="s">
        <v>380</v>
      </c>
      <c r="Z9" s="85">
        <v>0</v>
      </c>
      <c r="AA9" s="85" t="s">
        <v>381</v>
      </c>
      <c r="AB9" s="86">
        <v>0</v>
      </c>
      <c r="AD9" s="58"/>
      <c r="AE9" s="58"/>
      <c r="AF9" s="58"/>
    </row>
    <row r="10" spans="1:32" ht="36.75" thickBot="1" x14ac:dyDescent="0.3">
      <c r="C10" s="5" t="s">
        <v>64</v>
      </c>
      <c r="D10" s="84">
        <v>3</v>
      </c>
      <c r="E10" s="85" t="s">
        <v>366</v>
      </c>
      <c r="F10" s="85" t="s">
        <v>367</v>
      </c>
      <c r="G10" s="85" t="s">
        <v>368</v>
      </c>
      <c r="H10" s="85" t="s">
        <v>369</v>
      </c>
      <c r="I10" s="85" t="s">
        <v>384</v>
      </c>
      <c r="J10" s="85" t="s">
        <v>385</v>
      </c>
      <c r="K10" s="85" t="s">
        <v>372</v>
      </c>
      <c r="L10" s="85" t="s">
        <v>373</v>
      </c>
      <c r="M10" s="85" t="s">
        <v>374</v>
      </c>
      <c r="N10" s="85" t="s">
        <v>511</v>
      </c>
      <c r="O10" s="85" t="s">
        <v>375</v>
      </c>
      <c r="P10" s="85">
        <v>5167202.87</v>
      </c>
      <c r="Q10" s="85">
        <v>0</v>
      </c>
      <c r="R10" s="85" t="s">
        <v>376</v>
      </c>
      <c r="S10" s="85" t="s">
        <v>377</v>
      </c>
      <c r="T10" s="85" t="s">
        <v>829</v>
      </c>
      <c r="U10" s="85" t="s">
        <v>829</v>
      </c>
      <c r="V10" s="85" t="s">
        <v>378</v>
      </c>
      <c r="W10" s="85">
        <v>0</v>
      </c>
      <c r="X10" s="85" t="s">
        <v>379</v>
      </c>
      <c r="Y10" s="85" t="s">
        <v>380</v>
      </c>
      <c r="Z10" s="85">
        <v>0</v>
      </c>
      <c r="AA10" s="85" t="s">
        <v>381</v>
      </c>
      <c r="AB10" s="86">
        <v>0</v>
      </c>
      <c r="AD10" s="58"/>
      <c r="AE10" s="58"/>
      <c r="AF10" s="58"/>
    </row>
    <row r="11" spans="1:32" ht="36.75" thickBot="1" x14ac:dyDescent="0.3">
      <c r="C11" s="5" t="s">
        <v>64</v>
      </c>
      <c r="D11" s="84">
        <v>4</v>
      </c>
      <c r="E11" s="85" t="s">
        <v>366</v>
      </c>
      <c r="F11" s="85" t="s">
        <v>367</v>
      </c>
      <c r="G11" s="85" t="s">
        <v>368</v>
      </c>
      <c r="H11" s="85" t="s">
        <v>369</v>
      </c>
      <c r="I11" s="85" t="s">
        <v>386</v>
      </c>
      <c r="J11" s="85" t="s">
        <v>387</v>
      </c>
      <c r="K11" s="85" t="s">
        <v>372</v>
      </c>
      <c r="L11" s="85" t="s">
        <v>373</v>
      </c>
      <c r="M11" s="85" t="s">
        <v>374</v>
      </c>
      <c r="N11" s="85" t="s">
        <v>511</v>
      </c>
      <c r="O11" s="85" t="s">
        <v>375</v>
      </c>
      <c r="P11" s="85">
        <v>682178.17</v>
      </c>
      <c r="Q11" s="85">
        <v>0</v>
      </c>
      <c r="R11" s="85" t="s">
        <v>376</v>
      </c>
      <c r="S11" s="85" t="s">
        <v>377</v>
      </c>
      <c r="T11" s="85" t="s">
        <v>829</v>
      </c>
      <c r="U11" s="85" t="s">
        <v>829</v>
      </c>
      <c r="V11" s="85" t="s">
        <v>378</v>
      </c>
      <c r="W11" s="85">
        <v>0</v>
      </c>
      <c r="X11" s="85" t="s">
        <v>379</v>
      </c>
      <c r="Y11" s="85" t="s">
        <v>380</v>
      </c>
      <c r="Z11" s="85">
        <v>0</v>
      </c>
      <c r="AA11" s="85" t="s">
        <v>381</v>
      </c>
      <c r="AB11" s="86">
        <v>0</v>
      </c>
      <c r="AD11" s="58"/>
      <c r="AE11" s="58"/>
      <c r="AF11" s="58"/>
    </row>
    <row r="12" spans="1:32" ht="36.75" thickBot="1" x14ac:dyDescent="0.3">
      <c r="C12" s="5" t="s">
        <v>64</v>
      </c>
      <c r="D12" s="84">
        <v>5</v>
      </c>
      <c r="E12" s="85" t="s">
        <v>366</v>
      </c>
      <c r="F12" s="85" t="s">
        <v>367</v>
      </c>
      <c r="G12" s="85" t="s">
        <v>368</v>
      </c>
      <c r="H12" s="85" t="s">
        <v>369</v>
      </c>
      <c r="I12" s="85" t="s">
        <v>388</v>
      </c>
      <c r="J12" s="85" t="s">
        <v>389</v>
      </c>
      <c r="K12" s="85" t="s">
        <v>372</v>
      </c>
      <c r="L12" s="85" t="s">
        <v>373</v>
      </c>
      <c r="M12" s="85" t="s">
        <v>374</v>
      </c>
      <c r="N12" s="85" t="s">
        <v>511</v>
      </c>
      <c r="O12" s="85" t="s">
        <v>375</v>
      </c>
      <c r="P12" s="85">
        <v>1107021.1099999996</v>
      </c>
      <c r="Q12" s="85">
        <v>0</v>
      </c>
      <c r="R12" s="85" t="s">
        <v>376</v>
      </c>
      <c r="S12" s="85" t="s">
        <v>377</v>
      </c>
      <c r="T12" s="85" t="s">
        <v>829</v>
      </c>
      <c r="U12" s="85" t="s">
        <v>829</v>
      </c>
      <c r="V12" s="85" t="s">
        <v>378</v>
      </c>
      <c r="W12" s="85">
        <v>0</v>
      </c>
      <c r="X12" s="85" t="s">
        <v>379</v>
      </c>
      <c r="Y12" s="85" t="s">
        <v>380</v>
      </c>
      <c r="Z12" s="85">
        <v>0</v>
      </c>
      <c r="AA12" s="85" t="s">
        <v>381</v>
      </c>
      <c r="AB12" s="86">
        <v>0</v>
      </c>
      <c r="AD12" s="58"/>
      <c r="AE12" s="58"/>
      <c r="AF12" s="58"/>
    </row>
    <row r="13" spans="1:32" ht="36.75" thickBot="1" x14ac:dyDescent="0.3">
      <c r="C13" s="5" t="s">
        <v>64</v>
      </c>
      <c r="D13" s="84">
        <v>6</v>
      </c>
      <c r="E13" s="85" t="s">
        <v>366</v>
      </c>
      <c r="F13" s="85" t="s">
        <v>367</v>
      </c>
      <c r="G13" s="85" t="s">
        <v>368</v>
      </c>
      <c r="H13" s="85" t="s">
        <v>369</v>
      </c>
      <c r="I13" s="85" t="s">
        <v>390</v>
      </c>
      <c r="J13" s="85" t="s">
        <v>391</v>
      </c>
      <c r="K13" s="85" t="s">
        <v>372</v>
      </c>
      <c r="L13" s="85" t="s">
        <v>373</v>
      </c>
      <c r="M13" s="85" t="s">
        <v>374</v>
      </c>
      <c r="N13" s="85" t="s">
        <v>511</v>
      </c>
      <c r="O13" s="85" t="s">
        <v>375</v>
      </c>
      <c r="P13" s="85">
        <v>218.25</v>
      </c>
      <c r="Q13" s="85">
        <v>0</v>
      </c>
      <c r="R13" s="85" t="s">
        <v>376</v>
      </c>
      <c r="S13" s="85" t="s">
        <v>377</v>
      </c>
      <c r="T13" s="85" t="s">
        <v>829</v>
      </c>
      <c r="U13" s="85" t="s">
        <v>829</v>
      </c>
      <c r="V13" s="85" t="s">
        <v>378</v>
      </c>
      <c r="W13" s="85">
        <v>0</v>
      </c>
      <c r="X13" s="85" t="s">
        <v>379</v>
      </c>
      <c r="Y13" s="85" t="s">
        <v>380</v>
      </c>
      <c r="Z13" s="85">
        <v>0</v>
      </c>
      <c r="AA13" s="85" t="s">
        <v>381</v>
      </c>
      <c r="AB13" s="86">
        <v>0</v>
      </c>
      <c r="AD13" s="58"/>
      <c r="AE13" s="58"/>
      <c r="AF13" s="58"/>
    </row>
    <row r="14" spans="1:32" ht="36.75" thickBot="1" x14ac:dyDescent="0.3">
      <c r="C14" s="5" t="s">
        <v>64</v>
      </c>
      <c r="D14" s="84">
        <v>7</v>
      </c>
      <c r="E14" s="85" t="s">
        <v>392</v>
      </c>
      <c r="F14" s="85" t="s">
        <v>393</v>
      </c>
      <c r="G14" s="85" t="s">
        <v>839</v>
      </c>
      <c r="H14" s="85" t="s">
        <v>369</v>
      </c>
      <c r="I14" s="85" t="s">
        <v>394</v>
      </c>
      <c r="J14" s="85" t="s">
        <v>395</v>
      </c>
      <c r="K14" s="85" t="s">
        <v>372</v>
      </c>
      <c r="L14" s="85" t="s">
        <v>373</v>
      </c>
      <c r="M14" s="85" t="s">
        <v>374</v>
      </c>
      <c r="N14" s="85" t="s">
        <v>511</v>
      </c>
      <c r="O14" s="85" t="s">
        <v>375</v>
      </c>
      <c r="P14" s="85">
        <v>1660.8499999999985</v>
      </c>
      <c r="Q14" s="85">
        <v>0</v>
      </c>
      <c r="R14" s="85" t="s">
        <v>376</v>
      </c>
      <c r="S14" s="85" t="s">
        <v>377</v>
      </c>
      <c r="T14" s="85" t="s">
        <v>829</v>
      </c>
      <c r="U14" s="85" t="s">
        <v>829</v>
      </c>
      <c r="V14" s="85" t="s">
        <v>378</v>
      </c>
      <c r="W14" s="85">
        <v>0</v>
      </c>
      <c r="X14" s="85" t="s">
        <v>379</v>
      </c>
      <c r="Y14" s="85" t="s">
        <v>380</v>
      </c>
      <c r="Z14" s="85">
        <v>0</v>
      </c>
      <c r="AA14" s="85" t="s">
        <v>381</v>
      </c>
      <c r="AB14" s="86">
        <v>0</v>
      </c>
      <c r="AD14" s="58"/>
      <c r="AE14" s="58"/>
      <c r="AF14" s="58"/>
    </row>
    <row r="15" spans="1:32" ht="36.75" thickBot="1" x14ac:dyDescent="0.3">
      <c r="C15" s="5" t="s">
        <v>64</v>
      </c>
      <c r="D15" s="84">
        <v>8</v>
      </c>
      <c r="E15" s="85" t="s">
        <v>366</v>
      </c>
      <c r="F15" s="85" t="s">
        <v>396</v>
      </c>
      <c r="G15" s="85" t="s">
        <v>368</v>
      </c>
      <c r="H15" s="85" t="s">
        <v>369</v>
      </c>
      <c r="I15" s="85" t="s">
        <v>840</v>
      </c>
      <c r="J15" s="85" t="s">
        <v>398</v>
      </c>
      <c r="K15" s="85" t="s">
        <v>399</v>
      </c>
      <c r="L15" s="85" t="s">
        <v>838</v>
      </c>
      <c r="M15" s="85" t="s">
        <v>374</v>
      </c>
      <c r="N15" s="85" t="s">
        <v>511</v>
      </c>
      <c r="O15" s="85" t="s">
        <v>375</v>
      </c>
      <c r="P15" s="85">
        <v>7376760.120000001</v>
      </c>
      <c r="Q15" s="85">
        <v>0</v>
      </c>
      <c r="R15" s="85" t="s">
        <v>376</v>
      </c>
      <c r="S15" s="85" t="s">
        <v>377</v>
      </c>
      <c r="T15" s="85" t="s">
        <v>829</v>
      </c>
      <c r="U15" s="85" t="s">
        <v>829</v>
      </c>
      <c r="V15" s="85" t="s">
        <v>378</v>
      </c>
      <c r="W15" s="85">
        <v>0</v>
      </c>
      <c r="X15" s="85" t="s">
        <v>379</v>
      </c>
      <c r="Y15" s="85" t="s">
        <v>380</v>
      </c>
      <c r="Z15" s="85">
        <v>0</v>
      </c>
      <c r="AA15" s="85" t="s">
        <v>381</v>
      </c>
      <c r="AB15" s="86">
        <v>0</v>
      </c>
      <c r="AD15" s="58"/>
      <c r="AE15" s="58"/>
      <c r="AF15" s="58"/>
    </row>
    <row r="16" spans="1:32" ht="36.75" thickBot="1" x14ac:dyDescent="0.3">
      <c r="C16" s="5" t="s">
        <v>64</v>
      </c>
      <c r="D16" s="84">
        <v>9</v>
      </c>
      <c r="E16" s="85" t="s">
        <v>392</v>
      </c>
      <c r="F16" s="85" t="s">
        <v>400</v>
      </c>
      <c r="G16" s="85" t="s">
        <v>368</v>
      </c>
      <c r="H16" s="85" t="s">
        <v>369</v>
      </c>
      <c r="I16" s="85" t="s">
        <v>401</v>
      </c>
      <c r="J16" s="85" t="s">
        <v>402</v>
      </c>
      <c r="K16" s="85" t="s">
        <v>399</v>
      </c>
      <c r="L16" s="85" t="s">
        <v>373</v>
      </c>
      <c r="M16" s="85" t="s">
        <v>403</v>
      </c>
      <c r="N16" s="85" t="s">
        <v>511</v>
      </c>
      <c r="O16" s="85" t="s">
        <v>375</v>
      </c>
      <c r="P16" s="85">
        <v>2086187.49</v>
      </c>
      <c r="Q16" s="85">
        <v>0</v>
      </c>
      <c r="R16" s="85" t="s">
        <v>376</v>
      </c>
      <c r="S16" s="85" t="s">
        <v>377</v>
      </c>
      <c r="T16" s="85" t="s">
        <v>829</v>
      </c>
      <c r="U16" s="85" t="s">
        <v>829</v>
      </c>
      <c r="V16" s="85" t="s">
        <v>378</v>
      </c>
      <c r="W16" s="85">
        <v>0</v>
      </c>
      <c r="X16" s="85" t="s">
        <v>379</v>
      </c>
      <c r="Y16" s="85" t="s">
        <v>404</v>
      </c>
      <c r="Z16" s="85">
        <v>0</v>
      </c>
      <c r="AA16" s="85" t="s">
        <v>381</v>
      </c>
      <c r="AB16" s="86">
        <v>0</v>
      </c>
      <c r="AD16" s="58"/>
      <c r="AE16" s="58"/>
      <c r="AF16" s="58"/>
    </row>
    <row r="17" spans="3:32" ht="36.75" thickBot="1" x14ac:dyDescent="0.3">
      <c r="C17" s="5" t="s">
        <v>64</v>
      </c>
      <c r="D17" s="84">
        <v>10</v>
      </c>
      <c r="E17" s="85" t="s">
        <v>366</v>
      </c>
      <c r="F17" s="85" t="s">
        <v>396</v>
      </c>
      <c r="G17" s="85" t="s">
        <v>368</v>
      </c>
      <c r="H17" s="85" t="s">
        <v>369</v>
      </c>
      <c r="I17" s="85" t="s">
        <v>405</v>
      </c>
      <c r="J17" s="85" t="s">
        <v>406</v>
      </c>
      <c r="K17" s="85" t="s">
        <v>372</v>
      </c>
      <c r="L17" s="85" t="s">
        <v>373</v>
      </c>
      <c r="M17" s="85" t="s">
        <v>374</v>
      </c>
      <c r="N17" s="85" t="s">
        <v>511</v>
      </c>
      <c r="O17" s="85" t="s">
        <v>375</v>
      </c>
      <c r="P17" s="85">
        <v>496544.65</v>
      </c>
      <c r="Q17" s="85">
        <v>0</v>
      </c>
      <c r="R17" s="85" t="s">
        <v>376</v>
      </c>
      <c r="S17" s="85" t="s">
        <v>377</v>
      </c>
      <c r="T17" s="85" t="s">
        <v>829</v>
      </c>
      <c r="U17" s="85" t="s">
        <v>829</v>
      </c>
      <c r="V17" s="85" t="s">
        <v>378</v>
      </c>
      <c r="W17" s="85">
        <v>0</v>
      </c>
      <c r="X17" s="85" t="s">
        <v>379</v>
      </c>
      <c r="Y17" s="85" t="s">
        <v>380</v>
      </c>
      <c r="Z17" s="85">
        <v>0</v>
      </c>
      <c r="AA17" s="85" t="s">
        <v>381</v>
      </c>
      <c r="AB17" s="86">
        <v>0</v>
      </c>
      <c r="AD17" s="58"/>
      <c r="AE17" s="58"/>
      <c r="AF17" s="58"/>
    </row>
    <row r="18" spans="3:32" ht="36.75" thickBot="1" x14ac:dyDescent="0.3">
      <c r="C18" s="5" t="s">
        <v>64</v>
      </c>
      <c r="D18" s="84">
        <v>11</v>
      </c>
      <c r="E18" s="85" t="s">
        <v>366</v>
      </c>
      <c r="F18" s="85" t="s">
        <v>407</v>
      </c>
      <c r="G18" s="85" t="s">
        <v>368</v>
      </c>
      <c r="H18" s="85" t="s">
        <v>369</v>
      </c>
      <c r="I18" s="85" t="s">
        <v>408</v>
      </c>
      <c r="J18" s="85" t="s">
        <v>409</v>
      </c>
      <c r="K18" s="85" t="s">
        <v>399</v>
      </c>
      <c r="L18" s="85" t="s">
        <v>373</v>
      </c>
      <c r="M18" s="85" t="s">
        <v>374</v>
      </c>
      <c r="N18" s="85" t="s">
        <v>511</v>
      </c>
      <c r="O18" s="85" t="s">
        <v>375</v>
      </c>
      <c r="P18" s="85">
        <v>2821368.36</v>
      </c>
      <c r="Q18" s="85">
        <v>0</v>
      </c>
      <c r="R18" s="85" t="s">
        <v>376</v>
      </c>
      <c r="S18" s="85" t="s">
        <v>377</v>
      </c>
      <c r="T18" s="85" t="s">
        <v>829</v>
      </c>
      <c r="U18" s="85" t="s">
        <v>829</v>
      </c>
      <c r="V18" s="85" t="s">
        <v>378</v>
      </c>
      <c r="W18" s="85">
        <v>0</v>
      </c>
      <c r="X18" s="85" t="s">
        <v>379</v>
      </c>
      <c r="Y18" s="85" t="s">
        <v>380</v>
      </c>
      <c r="Z18" s="85">
        <v>0</v>
      </c>
      <c r="AA18" s="85" t="s">
        <v>381</v>
      </c>
      <c r="AB18" s="86">
        <v>0</v>
      </c>
      <c r="AD18" s="58"/>
      <c r="AE18" s="58"/>
      <c r="AF18" s="58"/>
    </row>
    <row r="19" spans="3:32" ht="36.75" thickBot="1" x14ac:dyDescent="0.3">
      <c r="C19" s="5" t="s">
        <v>64</v>
      </c>
      <c r="D19" s="84">
        <v>12</v>
      </c>
      <c r="E19" s="85" t="s">
        <v>392</v>
      </c>
      <c r="F19" s="85" t="s">
        <v>400</v>
      </c>
      <c r="G19" s="85" t="s">
        <v>368</v>
      </c>
      <c r="H19" s="85" t="s">
        <v>410</v>
      </c>
      <c r="I19" s="85" t="s">
        <v>401</v>
      </c>
      <c r="J19" s="85" t="s">
        <v>402</v>
      </c>
      <c r="K19" s="85" t="s">
        <v>399</v>
      </c>
      <c r="L19" s="85" t="s">
        <v>373</v>
      </c>
      <c r="M19" s="85" t="s">
        <v>403</v>
      </c>
      <c r="N19" s="85" t="s">
        <v>511</v>
      </c>
      <c r="O19" s="85" t="s">
        <v>375</v>
      </c>
      <c r="P19" s="85">
        <v>2000138.33</v>
      </c>
      <c r="Q19" s="85">
        <v>0</v>
      </c>
      <c r="R19" s="85" t="s">
        <v>376</v>
      </c>
      <c r="S19" s="85" t="s">
        <v>377</v>
      </c>
      <c r="T19" s="85" t="s">
        <v>829</v>
      </c>
      <c r="U19" s="85" t="s">
        <v>829</v>
      </c>
      <c r="V19" s="85" t="s">
        <v>378</v>
      </c>
      <c r="W19" s="85">
        <v>0</v>
      </c>
      <c r="X19" s="85" t="s">
        <v>379</v>
      </c>
      <c r="Y19" s="85" t="s">
        <v>404</v>
      </c>
      <c r="Z19" s="85">
        <v>0</v>
      </c>
      <c r="AA19" s="85" t="s">
        <v>381</v>
      </c>
      <c r="AB19" s="86">
        <v>0</v>
      </c>
      <c r="AD19" s="58"/>
      <c r="AE19" s="58"/>
      <c r="AF19" s="58"/>
    </row>
    <row r="20" spans="3:32" ht="36.75" thickBot="1" x14ac:dyDescent="0.3">
      <c r="C20" s="5" t="s">
        <v>64</v>
      </c>
      <c r="D20" s="84">
        <v>13</v>
      </c>
      <c r="E20" s="85" t="s">
        <v>392</v>
      </c>
      <c r="F20" s="85" t="s">
        <v>400</v>
      </c>
      <c r="G20" s="85" t="s">
        <v>368</v>
      </c>
      <c r="H20" s="85" t="s">
        <v>410</v>
      </c>
      <c r="I20" s="85" t="s">
        <v>411</v>
      </c>
      <c r="J20" s="85" t="s">
        <v>412</v>
      </c>
      <c r="K20" s="85" t="s">
        <v>399</v>
      </c>
      <c r="L20" s="85" t="s">
        <v>373</v>
      </c>
      <c r="M20" s="85" t="s">
        <v>403</v>
      </c>
      <c r="N20" s="85" t="s">
        <v>511</v>
      </c>
      <c r="O20" s="85" t="s">
        <v>375</v>
      </c>
      <c r="P20" s="85">
        <v>6240050.4700000007</v>
      </c>
      <c r="Q20" s="85">
        <v>0</v>
      </c>
      <c r="R20" s="85" t="s">
        <v>376</v>
      </c>
      <c r="S20" s="85" t="s">
        <v>377</v>
      </c>
      <c r="T20" s="85" t="s">
        <v>829</v>
      </c>
      <c r="U20" s="85" t="s">
        <v>829</v>
      </c>
      <c r="V20" s="85" t="s">
        <v>378</v>
      </c>
      <c r="W20" s="85">
        <v>0</v>
      </c>
      <c r="X20" s="85" t="s">
        <v>379</v>
      </c>
      <c r="Y20" s="85" t="s">
        <v>404</v>
      </c>
      <c r="Z20" s="85">
        <v>0</v>
      </c>
      <c r="AA20" s="85" t="s">
        <v>381</v>
      </c>
      <c r="AB20" s="86">
        <v>0</v>
      </c>
      <c r="AD20" s="58"/>
      <c r="AE20" s="58"/>
      <c r="AF20" s="58"/>
    </row>
    <row r="21" spans="3:32" ht="36.75" thickBot="1" x14ac:dyDescent="0.3">
      <c r="C21" s="5" t="s">
        <v>64</v>
      </c>
      <c r="D21" s="84">
        <v>14</v>
      </c>
      <c r="E21" s="85" t="s">
        <v>366</v>
      </c>
      <c r="F21" s="85" t="s">
        <v>407</v>
      </c>
      <c r="G21" s="85" t="s">
        <v>368</v>
      </c>
      <c r="H21" s="85" t="s">
        <v>413</v>
      </c>
      <c r="I21" s="85" t="s">
        <v>405</v>
      </c>
      <c r="J21" s="85" t="s">
        <v>406</v>
      </c>
      <c r="K21" s="85" t="s">
        <v>372</v>
      </c>
      <c r="L21" s="85" t="s">
        <v>373</v>
      </c>
      <c r="M21" s="85" t="s">
        <v>374</v>
      </c>
      <c r="N21" s="85" t="s">
        <v>511</v>
      </c>
      <c r="O21" s="85" t="s">
        <v>375</v>
      </c>
      <c r="P21" s="85">
        <v>0.35</v>
      </c>
      <c r="Q21" s="85">
        <v>0</v>
      </c>
      <c r="R21" s="85" t="s">
        <v>376</v>
      </c>
      <c r="S21" s="85" t="s">
        <v>377</v>
      </c>
      <c r="T21" s="85" t="s">
        <v>829</v>
      </c>
      <c r="U21" s="85" t="s">
        <v>829</v>
      </c>
      <c r="V21" s="85" t="s">
        <v>378</v>
      </c>
      <c r="W21" s="85">
        <v>0</v>
      </c>
      <c r="X21" s="85" t="s">
        <v>379</v>
      </c>
      <c r="Y21" s="85" t="s">
        <v>380</v>
      </c>
      <c r="Z21" s="85">
        <v>0</v>
      </c>
      <c r="AA21" s="85" t="s">
        <v>381</v>
      </c>
      <c r="AB21" s="86">
        <v>0</v>
      </c>
      <c r="AD21" s="58"/>
      <c r="AE21" s="58"/>
      <c r="AF21" s="58"/>
    </row>
    <row r="22" spans="3:32" ht="36.75" thickBot="1" x14ac:dyDescent="0.3">
      <c r="C22" s="5" t="s">
        <v>64</v>
      </c>
      <c r="D22" s="84">
        <v>15</v>
      </c>
      <c r="E22" s="85" t="s">
        <v>392</v>
      </c>
      <c r="F22" s="85" t="s">
        <v>400</v>
      </c>
      <c r="G22" s="85" t="s">
        <v>368</v>
      </c>
      <c r="H22" s="85" t="s">
        <v>369</v>
      </c>
      <c r="I22" s="85" t="s">
        <v>411</v>
      </c>
      <c r="J22" s="85" t="s">
        <v>412</v>
      </c>
      <c r="K22" s="85" t="s">
        <v>399</v>
      </c>
      <c r="L22" s="85" t="s">
        <v>373</v>
      </c>
      <c r="M22" s="85" t="s">
        <v>403</v>
      </c>
      <c r="N22" s="85" t="s">
        <v>511</v>
      </c>
      <c r="O22" s="85" t="s">
        <v>375</v>
      </c>
      <c r="P22" s="85">
        <v>186463601.98000005</v>
      </c>
      <c r="Q22" s="85">
        <v>0</v>
      </c>
      <c r="R22" s="85" t="s">
        <v>376</v>
      </c>
      <c r="S22" s="85" t="s">
        <v>377</v>
      </c>
      <c r="T22" s="85" t="s">
        <v>829</v>
      </c>
      <c r="U22" s="85" t="s">
        <v>829</v>
      </c>
      <c r="V22" s="85" t="s">
        <v>378</v>
      </c>
      <c r="W22" s="85">
        <v>0</v>
      </c>
      <c r="X22" s="85" t="s">
        <v>379</v>
      </c>
      <c r="Y22" s="85" t="s">
        <v>404</v>
      </c>
      <c r="Z22" s="85">
        <v>0</v>
      </c>
      <c r="AA22" s="85" t="s">
        <v>381</v>
      </c>
      <c r="AB22" s="86">
        <v>0</v>
      </c>
      <c r="AD22" s="58"/>
      <c r="AE22" s="58"/>
      <c r="AF22" s="58"/>
    </row>
    <row r="23" spans="3:32" ht="36.75" thickBot="1" x14ac:dyDescent="0.3">
      <c r="C23" s="5" t="s">
        <v>64</v>
      </c>
      <c r="D23" s="84">
        <v>16</v>
      </c>
      <c r="E23" s="85" t="s">
        <v>366</v>
      </c>
      <c r="F23" s="85" t="s">
        <v>407</v>
      </c>
      <c r="G23" s="85" t="s">
        <v>368</v>
      </c>
      <c r="H23" s="85" t="s">
        <v>414</v>
      </c>
      <c r="I23" s="85" t="s">
        <v>415</v>
      </c>
      <c r="J23" s="85" t="s">
        <v>416</v>
      </c>
      <c r="K23" s="85" t="s">
        <v>372</v>
      </c>
      <c r="L23" s="85" t="s">
        <v>373</v>
      </c>
      <c r="M23" s="85" t="s">
        <v>374</v>
      </c>
      <c r="N23" s="85" t="s">
        <v>511</v>
      </c>
      <c r="O23" s="85" t="s">
        <v>375</v>
      </c>
      <c r="P23" s="85">
        <v>0.1</v>
      </c>
      <c r="Q23" s="85">
        <v>0</v>
      </c>
      <c r="R23" s="85" t="s">
        <v>376</v>
      </c>
      <c r="S23" s="85" t="s">
        <v>377</v>
      </c>
      <c r="T23" s="85" t="s">
        <v>829</v>
      </c>
      <c r="U23" s="85" t="s">
        <v>829</v>
      </c>
      <c r="V23" s="85" t="s">
        <v>378</v>
      </c>
      <c r="W23" s="85">
        <v>0</v>
      </c>
      <c r="X23" s="85" t="s">
        <v>379</v>
      </c>
      <c r="Y23" s="85" t="s">
        <v>380</v>
      </c>
      <c r="Z23" s="85">
        <v>0</v>
      </c>
      <c r="AA23" s="85" t="s">
        <v>381</v>
      </c>
      <c r="AB23" s="86">
        <v>0</v>
      </c>
      <c r="AD23" s="58"/>
      <c r="AE23" s="58"/>
      <c r="AF23" s="58"/>
    </row>
    <row r="24" spans="3:32" ht="36.75" thickBot="1" x14ac:dyDescent="0.3">
      <c r="C24" s="5" t="s">
        <v>64</v>
      </c>
      <c r="D24" s="84">
        <v>17</v>
      </c>
      <c r="E24" s="85" t="s">
        <v>392</v>
      </c>
      <c r="F24" s="85" t="s">
        <v>400</v>
      </c>
      <c r="G24" s="85" t="s">
        <v>368</v>
      </c>
      <c r="H24" s="85" t="s">
        <v>369</v>
      </c>
      <c r="I24" s="85" t="s">
        <v>411</v>
      </c>
      <c r="J24" s="85" t="s">
        <v>412</v>
      </c>
      <c r="K24" s="85" t="s">
        <v>399</v>
      </c>
      <c r="L24" s="85" t="s">
        <v>373</v>
      </c>
      <c r="M24" s="85" t="s">
        <v>403</v>
      </c>
      <c r="N24" s="85" t="s">
        <v>511</v>
      </c>
      <c r="O24" s="85" t="s">
        <v>375</v>
      </c>
      <c r="P24" s="85">
        <v>1883540.5681600003</v>
      </c>
      <c r="Q24" s="85">
        <v>0</v>
      </c>
      <c r="R24" s="85" t="s">
        <v>417</v>
      </c>
      <c r="S24" s="85" t="s">
        <v>377</v>
      </c>
      <c r="T24" s="85" t="s">
        <v>829</v>
      </c>
      <c r="U24" s="85" t="s">
        <v>829</v>
      </c>
      <c r="V24" s="85" t="s">
        <v>378</v>
      </c>
      <c r="W24" s="85">
        <v>0</v>
      </c>
      <c r="X24" s="85" t="s">
        <v>379</v>
      </c>
      <c r="Y24" s="85" t="s">
        <v>404</v>
      </c>
      <c r="Z24" s="85">
        <v>0</v>
      </c>
      <c r="AA24" s="85" t="s">
        <v>381</v>
      </c>
      <c r="AB24" s="86">
        <v>0</v>
      </c>
      <c r="AD24" s="58"/>
      <c r="AE24" s="58"/>
      <c r="AF24" s="58"/>
    </row>
    <row r="25" spans="3:32" ht="36.75" thickBot="1" x14ac:dyDescent="0.3">
      <c r="C25" s="5" t="s">
        <v>64</v>
      </c>
      <c r="D25" s="84">
        <v>18</v>
      </c>
      <c r="E25" s="85" t="s">
        <v>366</v>
      </c>
      <c r="F25" s="85" t="s">
        <v>407</v>
      </c>
      <c r="G25" s="85" t="s">
        <v>368</v>
      </c>
      <c r="H25" s="85" t="s">
        <v>369</v>
      </c>
      <c r="I25" s="85" t="s">
        <v>418</v>
      </c>
      <c r="J25" s="85" t="s">
        <v>419</v>
      </c>
      <c r="K25" s="85" t="s">
        <v>399</v>
      </c>
      <c r="L25" s="85" t="s">
        <v>373</v>
      </c>
      <c r="M25" s="85" t="s">
        <v>374</v>
      </c>
      <c r="N25" s="85" t="s">
        <v>511</v>
      </c>
      <c r="O25" s="85" t="s">
        <v>375</v>
      </c>
      <c r="P25" s="85">
        <v>12186.536657999999</v>
      </c>
      <c r="Q25" s="85">
        <v>0</v>
      </c>
      <c r="R25" s="85" t="s">
        <v>417</v>
      </c>
      <c r="S25" s="85" t="s">
        <v>377</v>
      </c>
      <c r="T25" s="85" t="s">
        <v>829</v>
      </c>
      <c r="U25" s="85" t="s">
        <v>829</v>
      </c>
      <c r="V25" s="85" t="s">
        <v>378</v>
      </c>
      <c r="W25" s="85">
        <v>0</v>
      </c>
      <c r="X25" s="85" t="s">
        <v>379</v>
      </c>
      <c r="Y25" s="85" t="s">
        <v>380</v>
      </c>
      <c r="Z25" s="85">
        <v>0</v>
      </c>
      <c r="AA25" s="85" t="s">
        <v>381</v>
      </c>
      <c r="AB25" s="86">
        <v>0</v>
      </c>
      <c r="AD25" s="58"/>
      <c r="AE25" s="58"/>
      <c r="AF25" s="58"/>
    </row>
    <row r="26" spans="3:32" ht="36.75" thickBot="1" x14ac:dyDescent="0.3">
      <c r="C26" s="5" t="s">
        <v>64</v>
      </c>
      <c r="D26" s="84">
        <v>19</v>
      </c>
      <c r="E26" s="85" t="s">
        <v>366</v>
      </c>
      <c r="F26" s="85" t="s">
        <v>407</v>
      </c>
      <c r="G26" s="85" t="s">
        <v>368</v>
      </c>
      <c r="H26" s="85" t="s">
        <v>369</v>
      </c>
      <c r="I26" s="85" t="s">
        <v>420</v>
      </c>
      <c r="J26" s="85" t="s">
        <v>421</v>
      </c>
      <c r="K26" s="85" t="s">
        <v>372</v>
      </c>
      <c r="L26" s="85" t="s">
        <v>373</v>
      </c>
      <c r="M26" s="85" t="s">
        <v>374</v>
      </c>
      <c r="N26" s="85" t="s">
        <v>511</v>
      </c>
      <c r="O26" s="85" t="s">
        <v>375</v>
      </c>
      <c r="P26" s="85">
        <v>10444054.547259994</v>
      </c>
      <c r="Q26" s="85">
        <v>0</v>
      </c>
      <c r="R26" s="85" t="s">
        <v>376</v>
      </c>
      <c r="S26" s="85" t="s">
        <v>377</v>
      </c>
      <c r="T26" s="85" t="s">
        <v>829</v>
      </c>
      <c r="U26" s="85" t="s">
        <v>829</v>
      </c>
      <c r="V26" s="85" t="s">
        <v>378</v>
      </c>
      <c r="W26" s="85">
        <v>0</v>
      </c>
      <c r="X26" s="85" t="s">
        <v>379</v>
      </c>
      <c r="Y26" s="85" t="s">
        <v>380</v>
      </c>
      <c r="Z26" s="85">
        <v>0</v>
      </c>
      <c r="AA26" s="85" t="s">
        <v>381</v>
      </c>
      <c r="AB26" s="86">
        <v>0</v>
      </c>
      <c r="AD26" s="58"/>
      <c r="AE26" s="58"/>
      <c r="AF26" s="58"/>
    </row>
    <row r="27" spans="3:32" ht="48.75" thickBot="1" x14ac:dyDescent="0.3">
      <c r="C27" s="5" t="s">
        <v>64</v>
      </c>
      <c r="D27" s="84">
        <v>20</v>
      </c>
      <c r="E27" s="85" t="s">
        <v>366</v>
      </c>
      <c r="F27" s="85" t="s">
        <v>407</v>
      </c>
      <c r="G27" s="85" t="s">
        <v>368</v>
      </c>
      <c r="H27" s="85" t="s">
        <v>369</v>
      </c>
      <c r="I27" s="85" t="s">
        <v>422</v>
      </c>
      <c r="J27" s="85" t="s">
        <v>423</v>
      </c>
      <c r="K27" s="85" t="s">
        <v>372</v>
      </c>
      <c r="L27" s="85" t="s">
        <v>373</v>
      </c>
      <c r="M27" s="85" t="s">
        <v>374</v>
      </c>
      <c r="N27" s="85" t="s">
        <v>511</v>
      </c>
      <c r="O27" s="85" t="s">
        <v>375</v>
      </c>
      <c r="P27" s="85">
        <v>3461325.93</v>
      </c>
      <c r="Q27" s="85">
        <v>0</v>
      </c>
      <c r="R27" s="85" t="s">
        <v>376</v>
      </c>
      <c r="S27" s="85" t="s">
        <v>377</v>
      </c>
      <c r="T27" s="85" t="s">
        <v>829</v>
      </c>
      <c r="U27" s="85" t="s">
        <v>829</v>
      </c>
      <c r="V27" s="85" t="s">
        <v>378</v>
      </c>
      <c r="W27" s="85">
        <v>0</v>
      </c>
      <c r="X27" s="85" t="s">
        <v>379</v>
      </c>
      <c r="Y27" s="85" t="s">
        <v>380</v>
      </c>
      <c r="Z27" s="85">
        <v>0</v>
      </c>
      <c r="AA27" s="85" t="s">
        <v>381</v>
      </c>
      <c r="AB27" s="86">
        <v>0</v>
      </c>
      <c r="AD27" s="58"/>
      <c r="AE27" s="58"/>
      <c r="AF27" s="58"/>
    </row>
    <row r="28" spans="3:32" ht="36.75" thickBot="1" x14ac:dyDescent="0.3">
      <c r="C28" s="5" t="s">
        <v>64</v>
      </c>
      <c r="D28" s="84">
        <v>21</v>
      </c>
      <c r="E28" s="85" t="s">
        <v>424</v>
      </c>
      <c r="F28" s="85" t="s">
        <v>400</v>
      </c>
      <c r="G28" s="85" t="s">
        <v>425</v>
      </c>
      <c r="H28" s="85" t="s">
        <v>369</v>
      </c>
      <c r="I28" s="85" t="s">
        <v>411</v>
      </c>
      <c r="J28" s="85" t="s">
        <v>412</v>
      </c>
      <c r="K28" s="85" t="s">
        <v>399</v>
      </c>
      <c r="L28" s="85" t="s">
        <v>373</v>
      </c>
      <c r="M28" s="85" t="s">
        <v>403</v>
      </c>
      <c r="N28" s="85" t="s">
        <v>511</v>
      </c>
      <c r="O28" s="85" t="s">
        <v>375</v>
      </c>
      <c r="P28" s="85">
        <v>180861.65221100001</v>
      </c>
      <c r="Q28" s="85">
        <v>0</v>
      </c>
      <c r="R28" s="85" t="s">
        <v>831</v>
      </c>
      <c r="S28" s="85" t="s">
        <v>377</v>
      </c>
      <c r="T28" s="85" t="s">
        <v>829</v>
      </c>
      <c r="U28" s="87" t="s">
        <v>830</v>
      </c>
      <c r="V28" s="85" t="s">
        <v>378</v>
      </c>
      <c r="W28" s="85">
        <v>0</v>
      </c>
      <c r="X28" s="85" t="s">
        <v>379</v>
      </c>
      <c r="Y28" s="85" t="s">
        <v>404</v>
      </c>
      <c r="Z28" s="85">
        <v>0</v>
      </c>
      <c r="AA28" s="85" t="s">
        <v>381</v>
      </c>
      <c r="AB28" s="86">
        <v>0</v>
      </c>
      <c r="AD28" s="58"/>
      <c r="AE28" s="58"/>
      <c r="AF28" s="58"/>
    </row>
    <row r="29" spans="3:32" ht="36.75" thickBot="1" x14ac:dyDescent="0.3">
      <c r="C29" s="5" t="s">
        <v>64</v>
      </c>
      <c r="D29" s="84">
        <v>22</v>
      </c>
      <c r="E29" s="85" t="s">
        <v>366</v>
      </c>
      <c r="F29" s="85" t="s">
        <v>407</v>
      </c>
      <c r="G29" s="85" t="s">
        <v>368</v>
      </c>
      <c r="H29" s="85" t="s">
        <v>369</v>
      </c>
      <c r="I29" s="85" t="s">
        <v>426</v>
      </c>
      <c r="J29" s="85" t="s">
        <v>427</v>
      </c>
      <c r="K29" s="85" t="s">
        <v>372</v>
      </c>
      <c r="L29" s="85" t="s">
        <v>373</v>
      </c>
      <c r="M29" s="85" t="s">
        <v>374</v>
      </c>
      <c r="N29" s="85" t="s">
        <v>511</v>
      </c>
      <c r="O29" s="85" t="s">
        <v>375</v>
      </c>
      <c r="P29" s="85">
        <v>5064880.0500000007</v>
      </c>
      <c r="Q29" s="85">
        <v>0</v>
      </c>
      <c r="R29" s="85" t="s">
        <v>376</v>
      </c>
      <c r="S29" s="85" t="s">
        <v>377</v>
      </c>
      <c r="T29" s="85" t="s">
        <v>829</v>
      </c>
      <c r="U29" s="85" t="s">
        <v>829</v>
      </c>
      <c r="V29" s="85" t="s">
        <v>378</v>
      </c>
      <c r="W29" s="85">
        <v>0</v>
      </c>
      <c r="X29" s="85" t="s">
        <v>379</v>
      </c>
      <c r="Y29" s="85" t="s">
        <v>380</v>
      </c>
      <c r="Z29" s="85">
        <v>0</v>
      </c>
      <c r="AA29" s="85" t="s">
        <v>381</v>
      </c>
      <c r="AB29" s="86">
        <v>0</v>
      </c>
      <c r="AD29" s="58"/>
      <c r="AE29" s="58"/>
      <c r="AF29" s="58"/>
    </row>
    <row r="30" spans="3:32" ht="36.75" thickBot="1" x14ac:dyDescent="0.3">
      <c r="C30" s="5" t="s">
        <v>64</v>
      </c>
      <c r="D30" s="84">
        <v>23</v>
      </c>
      <c r="E30" s="85" t="s">
        <v>366</v>
      </c>
      <c r="F30" s="85" t="s">
        <v>396</v>
      </c>
      <c r="G30" s="85" t="s">
        <v>368</v>
      </c>
      <c r="H30" s="85" t="s">
        <v>369</v>
      </c>
      <c r="I30" s="85" t="s">
        <v>428</v>
      </c>
      <c r="J30" s="85" t="s">
        <v>429</v>
      </c>
      <c r="K30" s="85" t="s">
        <v>372</v>
      </c>
      <c r="L30" s="85" t="s">
        <v>373</v>
      </c>
      <c r="M30" s="85" t="s">
        <v>374</v>
      </c>
      <c r="N30" s="85" t="s">
        <v>511</v>
      </c>
      <c r="O30" s="85" t="s">
        <v>375</v>
      </c>
      <c r="P30" s="85">
        <v>63320.28</v>
      </c>
      <c r="Q30" s="85">
        <v>0</v>
      </c>
      <c r="R30" s="85" t="s">
        <v>376</v>
      </c>
      <c r="S30" s="85" t="s">
        <v>377</v>
      </c>
      <c r="T30" s="85" t="s">
        <v>829</v>
      </c>
      <c r="U30" s="85" t="s">
        <v>829</v>
      </c>
      <c r="V30" s="85" t="s">
        <v>378</v>
      </c>
      <c r="W30" s="85">
        <v>0</v>
      </c>
      <c r="X30" s="85" t="s">
        <v>379</v>
      </c>
      <c r="Y30" s="85" t="s">
        <v>380</v>
      </c>
      <c r="Z30" s="85">
        <v>0</v>
      </c>
      <c r="AA30" s="85" t="s">
        <v>381</v>
      </c>
      <c r="AB30" s="86">
        <v>0</v>
      </c>
      <c r="AD30" s="58"/>
      <c r="AE30" s="58"/>
      <c r="AF30" s="58"/>
    </row>
    <row r="31" spans="3:32" ht="36.75" thickBot="1" x14ac:dyDescent="0.3">
      <c r="C31" s="5" t="s">
        <v>64</v>
      </c>
      <c r="D31" s="84">
        <v>24</v>
      </c>
      <c r="E31" s="85" t="s">
        <v>392</v>
      </c>
      <c r="F31" s="85" t="s">
        <v>400</v>
      </c>
      <c r="G31" s="85" t="s">
        <v>368</v>
      </c>
      <c r="H31" s="85" t="s">
        <v>430</v>
      </c>
      <c r="I31" s="85" t="s">
        <v>401</v>
      </c>
      <c r="J31" s="85" t="s">
        <v>402</v>
      </c>
      <c r="K31" s="85" t="s">
        <v>399</v>
      </c>
      <c r="L31" s="85" t="s">
        <v>373</v>
      </c>
      <c r="M31" s="85" t="s">
        <v>403</v>
      </c>
      <c r="N31" s="85" t="s">
        <v>511</v>
      </c>
      <c r="O31" s="85" t="s">
        <v>375</v>
      </c>
      <c r="P31" s="85">
        <v>1000049.17</v>
      </c>
      <c r="Q31" s="85">
        <v>0</v>
      </c>
      <c r="R31" s="85" t="s">
        <v>376</v>
      </c>
      <c r="S31" s="85" t="s">
        <v>377</v>
      </c>
      <c r="T31" s="85" t="s">
        <v>829</v>
      </c>
      <c r="U31" s="85" t="s">
        <v>829</v>
      </c>
      <c r="V31" s="85" t="s">
        <v>378</v>
      </c>
      <c r="W31" s="85">
        <v>0</v>
      </c>
      <c r="X31" s="85" t="s">
        <v>379</v>
      </c>
      <c r="Y31" s="85" t="s">
        <v>404</v>
      </c>
      <c r="Z31" s="85">
        <v>0</v>
      </c>
      <c r="AA31" s="85" t="s">
        <v>381</v>
      </c>
      <c r="AB31" s="86">
        <v>0</v>
      </c>
      <c r="AD31" s="58"/>
      <c r="AE31" s="58"/>
      <c r="AF31" s="58"/>
    </row>
    <row r="32" spans="3:32" ht="36.75" thickBot="1" x14ac:dyDescent="0.3">
      <c r="C32" s="5" t="s">
        <v>64</v>
      </c>
      <c r="D32" s="84">
        <v>25</v>
      </c>
      <c r="E32" s="85" t="s">
        <v>366</v>
      </c>
      <c r="F32" s="85" t="s">
        <v>396</v>
      </c>
      <c r="G32" s="85" t="s">
        <v>368</v>
      </c>
      <c r="H32" s="85" t="s">
        <v>431</v>
      </c>
      <c r="I32" s="85" t="s">
        <v>840</v>
      </c>
      <c r="J32" s="85" t="s">
        <v>398</v>
      </c>
      <c r="K32" s="85" t="s">
        <v>399</v>
      </c>
      <c r="L32" s="85" t="s">
        <v>838</v>
      </c>
      <c r="M32" s="85" t="s">
        <v>374</v>
      </c>
      <c r="N32" s="85" t="s">
        <v>511</v>
      </c>
      <c r="O32" s="85" t="s">
        <v>375</v>
      </c>
      <c r="P32" s="85">
        <v>6606.46</v>
      </c>
      <c r="Q32" s="85">
        <v>0</v>
      </c>
      <c r="R32" s="85" t="s">
        <v>376</v>
      </c>
      <c r="S32" s="85" t="s">
        <v>377</v>
      </c>
      <c r="T32" s="85" t="s">
        <v>829</v>
      </c>
      <c r="U32" s="85" t="s">
        <v>829</v>
      </c>
      <c r="V32" s="85" t="s">
        <v>378</v>
      </c>
      <c r="W32" s="85">
        <v>0</v>
      </c>
      <c r="X32" s="85" t="s">
        <v>379</v>
      </c>
      <c r="Y32" s="85" t="s">
        <v>380</v>
      </c>
      <c r="Z32" s="85">
        <v>0</v>
      </c>
      <c r="AA32" s="85" t="s">
        <v>381</v>
      </c>
      <c r="AB32" s="86">
        <v>0</v>
      </c>
      <c r="AD32" s="58"/>
      <c r="AE32" s="58"/>
      <c r="AF32" s="58"/>
    </row>
    <row r="33" spans="3:32" ht="36.75" thickBot="1" x14ac:dyDescent="0.3">
      <c r="C33" s="5" t="s">
        <v>64</v>
      </c>
      <c r="D33" s="84">
        <v>26</v>
      </c>
      <c r="E33" s="85" t="s">
        <v>366</v>
      </c>
      <c r="F33" s="85" t="s">
        <v>396</v>
      </c>
      <c r="G33" s="85" t="s">
        <v>368</v>
      </c>
      <c r="H33" s="85" t="s">
        <v>369</v>
      </c>
      <c r="I33" s="85" t="s">
        <v>432</v>
      </c>
      <c r="J33" s="85" t="s">
        <v>398</v>
      </c>
      <c r="K33" s="85" t="s">
        <v>399</v>
      </c>
      <c r="L33" s="85" t="s">
        <v>373</v>
      </c>
      <c r="M33" s="85" t="s">
        <v>374</v>
      </c>
      <c r="N33" s="85" t="s">
        <v>511</v>
      </c>
      <c r="O33" s="85" t="s">
        <v>375</v>
      </c>
      <c r="P33" s="85">
        <v>485217506.19000006</v>
      </c>
      <c r="Q33" s="85">
        <v>0</v>
      </c>
      <c r="R33" s="85" t="s">
        <v>376</v>
      </c>
      <c r="S33" s="85" t="s">
        <v>377</v>
      </c>
      <c r="T33" s="85" t="s">
        <v>829</v>
      </c>
      <c r="U33" s="85" t="s">
        <v>829</v>
      </c>
      <c r="V33" s="85" t="s">
        <v>378</v>
      </c>
      <c r="W33" s="85">
        <v>0</v>
      </c>
      <c r="X33" s="85" t="s">
        <v>379</v>
      </c>
      <c r="Y33" s="85" t="s">
        <v>380</v>
      </c>
      <c r="Z33" s="85">
        <v>0</v>
      </c>
      <c r="AA33" s="85" t="s">
        <v>381</v>
      </c>
      <c r="AB33" s="86">
        <v>0</v>
      </c>
      <c r="AD33" s="58"/>
      <c r="AE33" s="58"/>
      <c r="AF33" s="58"/>
    </row>
    <row r="34" spans="3:32" ht="36.75" thickBot="1" x14ac:dyDescent="0.3">
      <c r="C34" s="5" t="s">
        <v>64</v>
      </c>
      <c r="D34" s="84">
        <v>27</v>
      </c>
      <c r="E34" s="85" t="s">
        <v>424</v>
      </c>
      <c r="F34" s="85" t="s">
        <v>400</v>
      </c>
      <c r="G34" s="85" t="s">
        <v>425</v>
      </c>
      <c r="H34" s="85" t="s">
        <v>433</v>
      </c>
      <c r="I34" s="85" t="s">
        <v>411</v>
      </c>
      <c r="J34" s="85" t="s">
        <v>412</v>
      </c>
      <c r="K34" s="85" t="s">
        <v>399</v>
      </c>
      <c r="L34" s="85" t="s">
        <v>373</v>
      </c>
      <c r="M34" s="85" t="s">
        <v>403</v>
      </c>
      <c r="N34" s="85" t="s">
        <v>511</v>
      </c>
      <c r="O34" s="85" t="s">
        <v>375</v>
      </c>
      <c r="P34" s="85">
        <v>0.02</v>
      </c>
      <c r="Q34" s="85">
        <v>0</v>
      </c>
      <c r="R34" s="85" t="s">
        <v>376</v>
      </c>
      <c r="S34" s="85" t="s">
        <v>377</v>
      </c>
      <c r="T34" s="85" t="s">
        <v>829</v>
      </c>
      <c r="U34" s="85" t="s">
        <v>830</v>
      </c>
      <c r="V34" s="85" t="s">
        <v>378</v>
      </c>
      <c r="W34" s="85">
        <v>0</v>
      </c>
      <c r="X34" s="85" t="s">
        <v>379</v>
      </c>
      <c r="Y34" s="85" t="s">
        <v>404</v>
      </c>
      <c r="Z34" s="85">
        <v>0</v>
      </c>
      <c r="AA34" s="85" t="s">
        <v>381</v>
      </c>
      <c r="AB34" s="86">
        <v>0</v>
      </c>
      <c r="AD34" s="58"/>
      <c r="AE34" s="58"/>
      <c r="AF34" s="58"/>
    </row>
    <row r="35" spans="3:32" ht="36.75" thickBot="1" x14ac:dyDescent="0.3">
      <c r="C35" s="5" t="s">
        <v>64</v>
      </c>
      <c r="D35" s="84">
        <v>28</v>
      </c>
      <c r="E35" s="85" t="s">
        <v>366</v>
      </c>
      <c r="F35" s="85" t="s">
        <v>407</v>
      </c>
      <c r="G35" s="85" t="s">
        <v>368</v>
      </c>
      <c r="H35" s="85" t="s">
        <v>434</v>
      </c>
      <c r="I35" s="85" t="s">
        <v>386</v>
      </c>
      <c r="J35" s="85" t="s">
        <v>387</v>
      </c>
      <c r="K35" s="85" t="s">
        <v>372</v>
      </c>
      <c r="L35" s="85" t="s">
        <v>373</v>
      </c>
      <c r="M35" s="85" t="s">
        <v>374</v>
      </c>
      <c r="N35" s="85" t="s">
        <v>511</v>
      </c>
      <c r="O35" s="85" t="s">
        <v>375</v>
      </c>
      <c r="P35" s="85">
        <v>0.83</v>
      </c>
      <c r="Q35" s="85">
        <v>0</v>
      </c>
      <c r="R35" s="85" t="s">
        <v>376</v>
      </c>
      <c r="S35" s="85" t="s">
        <v>377</v>
      </c>
      <c r="T35" s="85" t="s">
        <v>829</v>
      </c>
      <c r="U35" s="85" t="s">
        <v>829</v>
      </c>
      <c r="V35" s="85" t="s">
        <v>378</v>
      </c>
      <c r="W35" s="85">
        <v>0</v>
      </c>
      <c r="X35" s="85" t="s">
        <v>379</v>
      </c>
      <c r="Y35" s="85" t="s">
        <v>380</v>
      </c>
      <c r="Z35" s="85">
        <v>0</v>
      </c>
      <c r="AA35" s="85" t="s">
        <v>381</v>
      </c>
      <c r="AB35" s="86">
        <v>0</v>
      </c>
      <c r="AD35" s="58"/>
      <c r="AE35" s="58"/>
      <c r="AF35" s="58"/>
    </row>
    <row r="36" spans="3:32" ht="36.75" thickBot="1" x14ac:dyDescent="0.3">
      <c r="C36" s="5" t="s">
        <v>64</v>
      </c>
      <c r="D36" s="84">
        <v>29</v>
      </c>
      <c r="E36" s="85" t="s">
        <v>366</v>
      </c>
      <c r="F36" s="85" t="s">
        <v>396</v>
      </c>
      <c r="G36" s="85" t="s">
        <v>368</v>
      </c>
      <c r="H36" s="85" t="s">
        <v>369</v>
      </c>
      <c r="I36" s="85" t="s">
        <v>435</v>
      </c>
      <c r="J36" s="85" t="s">
        <v>436</v>
      </c>
      <c r="K36" s="85" t="s">
        <v>372</v>
      </c>
      <c r="L36" s="85" t="s">
        <v>373</v>
      </c>
      <c r="M36" s="85" t="s">
        <v>374</v>
      </c>
      <c r="N36" s="85" t="s">
        <v>511</v>
      </c>
      <c r="O36" s="85" t="s">
        <v>375</v>
      </c>
      <c r="P36" s="85">
        <v>28790.560000000001</v>
      </c>
      <c r="Q36" s="85">
        <v>0</v>
      </c>
      <c r="R36" s="85" t="s">
        <v>376</v>
      </c>
      <c r="S36" s="85" t="s">
        <v>377</v>
      </c>
      <c r="T36" s="85" t="s">
        <v>829</v>
      </c>
      <c r="U36" s="85" t="s">
        <v>829</v>
      </c>
      <c r="V36" s="85" t="s">
        <v>378</v>
      </c>
      <c r="W36" s="85">
        <v>0</v>
      </c>
      <c r="X36" s="85" t="s">
        <v>379</v>
      </c>
      <c r="Y36" s="85" t="s">
        <v>380</v>
      </c>
      <c r="Z36" s="85">
        <v>0</v>
      </c>
      <c r="AA36" s="85" t="s">
        <v>381</v>
      </c>
      <c r="AB36" s="86">
        <v>0</v>
      </c>
      <c r="AD36" s="58"/>
      <c r="AE36" s="58"/>
      <c r="AF36" s="58"/>
    </row>
    <row r="37" spans="3:32" ht="36.75" thickBot="1" x14ac:dyDescent="0.3">
      <c r="C37" s="5" t="s">
        <v>64</v>
      </c>
      <c r="D37" s="84">
        <v>30</v>
      </c>
      <c r="E37" s="85" t="s">
        <v>392</v>
      </c>
      <c r="F37" s="85" t="s">
        <v>400</v>
      </c>
      <c r="G37" s="85" t="s">
        <v>368</v>
      </c>
      <c r="H37" s="85" t="s">
        <v>369</v>
      </c>
      <c r="I37" s="85" t="s">
        <v>437</v>
      </c>
      <c r="J37" s="85" t="s">
        <v>438</v>
      </c>
      <c r="K37" s="85" t="s">
        <v>399</v>
      </c>
      <c r="L37" s="85" t="s">
        <v>373</v>
      </c>
      <c r="M37" s="85" t="s">
        <v>403</v>
      </c>
      <c r="N37" s="85" t="s">
        <v>511</v>
      </c>
      <c r="O37" s="85" t="s">
        <v>375</v>
      </c>
      <c r="P37" s="85">
        <v>2634301.7800000003</v>
      </c>
      <c r="Q37" s="85">
        <v>0</v>
      </c>
      <c r="R37" s="85" t="s">
        <v>376</v>
      </c>
      <c r="S37" s="85" t="s">
        <v>377</v>
      </c>
      <c r="T37" s="85" t="s">
        <v>829</v>
      </c>
      <c r="U37" s="85" t="s">
        <v>829</v>
      </c>
      <c r="V37" s="85" t="s">
        <v>378</v>
      </c>
      <c r="W37" s="85">
        <v>0</v>
      </c>
      <c r="X37" s="85" t="s">
        <v>379</v>
      </c>
      <c r="Y37" s="85" t="s">
        <v>404</v>
      </c>
      <c r="Z37" s="85">
        <v>0</v>
      </c>
      <c r="AA37" s="85" t="s">
        <v>381</v>
      </c>
      <c r="AB37" s="86">
        <v>0</v>
      </c>
      <c r="AD37" s="58"/>
      <c r="AE37" s="58"/>
      <c r="AF37" s="58"/>
    </row>
    <row r="38" spans="3:32" ht="36.75" thickBot="1" x14ac:dyDescent="0.3">
      <c r="C38" s="5" t="s">
        <v>64</v>
      </c>
      <c r="D38" s="84">
        <v>31</v>
      </c>
      <c r="E38" s="85" t="s">
        <v>366</v>
      </c>
      <c r="F38" s="85" t="s">
        <v>396</v>
      </c>
      <c r="G38" s="85" t="s">
        <v>368</v>
      </c>
      <c r="H38" s="85" t="s">
        <v>369</v>
      </c>
      <c r="I38" s="85" t="s">
        <v>439</v>
      </c>
      <c r="J38" s="85" t="s">
        <v>440</v>
      </c>
      <c r="K38" s="85" t="s">
        <v>399</v>
      </c>
      <c r="L38" s="85" t="s">
        <v>373</v>
      </c>
      <c r="M38" s="85" t="s">
        <v>374</v>
      </c>
      <c r="N38" s="85" t="s">
        <v>511</v>
      </c>
      <c r="O38" s="85" t="s">
        <v>375</v>
      </c>
      <c r="P38" s="85">
        <v>48596.32</v>
      </c>
      <c r="Q38" s="85">
        <v>0</v>
      </c>
      <c r="R38" s="85" t="s">
        <v>376</v>
      </c>
      <c r="S38" s="85" t="s">
        <v>377</v>
      </c>
      <c r="T38" s="85" t="s">
        <v>829</v>
      </c>
      <c r="U38" s="85" t="s">
        <v>829</v>
      </c>
      <c r="V38" s="85" t="s">
        <v>378</v>
      </c>
      <c r="W38" s="85">
        <v>0</v>
      </c>
      <c r="X38" s="85" t="s">
        <v>379</v>
      </c>
      <c r="Y38" s="85" t="s">
        <v>380</v>
      </c>
      <c r="Z38" s="85">
        <v>0</v>
      </c>
      <c r="AA38" s="85" t="s">
        <v>381</v>
      </c>
      <c r="AB38" s="86">
        <v>0</v>
      </c>
      <c r="AD38" s="58"/>
      <c r="AE38" s="58"/>
      <c r="AF38" s="58"/>
    </row>
    <row r="39" spans="3:32" ht="36.75" thickBot="1" x14ac:dyDescent="0.3">
      <c r="C39" s="5" t="s">
        <v>64</v>
      </c>
      <c r="D39" s="84">
        <v>32</v>
      </c>
      <c r="E39" s="85" t="s">
        <v>392</v>
      </c>
      <c r="F39" s="85" t="s">
        <v>400</v>
      </c>
      <c r="G39" s="85" t="s">
        <v>368</v>
      </c>
      <c r="H39" s="85" t="s">
        <v>441</v>
      </c>
      <c r="I39" s="85" t="s">
        <v>401</v>
      </c>
      <c r="J39" s="85" t="s">
        <v>402</v>
      </c>
      <c r="K39" s="85" t="s">
        <v>399</v>
      </c>
      <c r="L39" s="85" t="s">
        <v>373</v>
      </c>
      <c r="M39" s="85" t="s">
        <v>403</v>
      </c>
      <c r="N39" s="85" t="s">
        <v>511</v>
      </c>
      <c r="O39" s="85" t="s">
        <v>375</v>
      </c>
      <c r="P39" s="85">
        <v>2000137.06</v>
      </c>
      <c r="Q39" s="85">
        <v>0</v>
      </c>
      <c r="R39" s="85" t="s">
        <v>376</v>
      </c>
      <c r="S39" s="85" t="s">
        <v>377</v>
      </c>
      <c r="T39" s="85" t="s">
        <v>829</v>
      </c>
      <c r="U39" s="85" t="s">
        <v>829</v>
      </c>
      <c r="V39" s="85" t="s">
        <v>378</v>
      </c>
      <c r="W39" s="85">
        <v>0</v>
      </c>
      <c r="X39" s="85" t="s">
        <v>379</v>
      </c>
      <c r="Y39" s="85" t="s">
        <v>404</v>
      </c>
      <c r="Z39" s="85">
        <v>0</v>
      </c>
      <c r="AA39" s="85" t="s">
        <v>381</v>
      </c>
      <c r="AB39" s="86">
        <v>0</v>
      </c>
      <c r="AD39" s="58"/>
      <c r="AE39" s="58"/>
      <c r="AF39" s="58"/>
    </row>
    <row r="40" spans="3:32" ht="36.75" thickBot="1" x14ac:dyDescent="0.3">
      <c r="C40" s="5" t="s">
        <v>64</v>
      </c>
      <c r="D40" s="84">
        <v>33</v>
      </c>
      <c r="E40" s="85" t="s">
        <v>366</v>
      </c>
      <c r="F40" s="85" t="s">
        <v>396</v>
      </c>
      <c r="G40" s="85" t="s">
        <v>368</v>
      </c>
      <c r="H40" s="85" t="s">
        <v>369</v>
      </c>
      <c r="I40" s="85" t="s">
        <v>442</v>
      </c>
      <c r="J40" s="85" t="s">
        <v>443</v>
      </c>
      <c r="K40" s="85" t="s">
        <v>399</v>
      </c>
      <c r="L40" s="85" t="s">
        <v>373</v>
      </c>
      <c r="M40" s="85" t="s">
        <v>374</v>
      </c>
      <c r="N40" s="85" t="s">
        <v>511</v>
      </c>
      <c r="O40" s="85" t="s">
        <v>375</v>
      </c>
      <c r="P40" s="85">
        <v>5235.93</v>
      </c>
      <c r="Q40" s="85">
        <v>0</v>
      </c>
      <c r="R40" s="85" t="s">
        <v>376</v>
      </c>
      <c r="S40" s="85" t="s">
        <v>377</v>
      </c>
      <c r="T40" s="85" t="s">
        <v>829</v>
      </c>
      <c r="U40" s="85" t="s">
        <v>829</v>
      </c>
      <c r="V40" s="85" t="s">
        <v>378</v>
      </c>
      <c r="W40" s="85">
        <v>0</v>
      </c>
      <c r="X40" s="85" t="s">
        <v>379</v>
      </c>
      <c r="Y40" s="85" t="s">
        <v>380</v>
      </c>
      <c r="Z40" s="85">
        <v>0</v>
      </c>
      <c r="AA40" s="85" t="s">
        <v>381</v>
      </c>
      <c r="AB40" s="86">
        <v>0</v>
      </c>
      <c r="AD40" s="58"/>
      <c r="AE40" s="58"/>
      <c r="AF40" s="58"/>
    </row>
    <row r="41" spans="3:32" ht="36.75" thickBot="1" x14ac:dyDescent="0.3">
      <c r="C41" s="5" t="s">
        <v>64</v>
      </c>
      <c r="D41" s="84">
        <v>34</v>
      </c>
      <c r="E41" s="85" t="s">
        <v>392</v>
      </c>
      <c r="F41" s="85" t="s">
        <v>400</v>
      </c>
      <c r="G41" s="85" t="s">
        <v>368</v>
      </c>
      <c r="H41" s="85" t="s">
        <v>369</v>
      </c>
      <c r="I41" s="85" t="s">
        <v>411</v>
      </c>
      <c r="J41" s="85" t="s">
        <v>412</v>
      </c>
      <c r="K41" s="85" t="s">
        <v>399</v>
      </c>
      <c r="L41" s="85" t="s">
        <v>373</v>
      </c>
      <c r="M41" s="85" t="s">
        <v>403</v>
      </c>
      <c r="N41" s="85" t="s">
        <v>511</v>
      </c>
      <c r="O41" s="85" t="s">
        <v>375</v>
      </c>
      <c r="P41" s="85">
        <v>18.998116999999997</v>
      </c>
      <c r="Q41" s="85">
        <v>0</v>
      </c>
      <c r="R41" s="85" t="s">
        <v>832</v>
      </c>
      <c r="S41" s="85" t="s">
        <v>377</v>
      </c>
      <c r="T41" s="85" t="s">
        <v>829</v>
      </c>
      <c r="U41" s="85" t="s">
        <v>829</v>
      </c>
      <c r="V41" s="85" t="s">
        <v>378</v>
      </c>
      <c r="W41" s="85">
        <v>0</v>
      </c>
      <c r="X41" s="85" t="s">
        <v>379</v>
      </c>
      <c r="Y41" s="85" t="s">
        <v>404</v>
      </c>
      <c r="Z41" s="85">
        <v>0</v>
      </c>
      <c r="AA41" s="85" t="s">
        <v>381</v>
      </c>
      <c r="AB41" s="86">
        <v>0</v>
      </c>
      <c r="AD41" s="58"/>
      <c r="AE41" s="58"/>
      <c r="AF41" s="58"/>
    </row>
    <row r="42" spans="3:32" ht="36.75" thickBot="1" x14ac:dyDescent="0.3">
      <c r="C42" s="5" t="s">
        <v>64</v>
      </c>
      <c r="D42" s="84">
        <v>35</v>
      </c>
      <c r="E42" s="85" t="s">
        <v>392</v>
      </c>
      <c r="F42" s="85" t="s">
        <v>400</v>
      </c>
      <c r="G42" s="85" t="s">
        <v>368</v>
      </c>
      <c r="H42" s="85" t="s">
        <v>444</v>
      </c>
      <c r="I42" s="85" t="s">
        <v>445</v>
      </c>
      <c r="J42" s="85" t="s">
        <v>446</v>
      </c>
      <c r="K42" s="85" t="s">
        <v>399</v>
      </c>
      <c r="L42" s="85" t="s">
        <v>373</v>
      </c>
      <c r="M42" s="85" t="s">
        <v>403</v>
      </c>
      <c r="N42" s="85" t="s">
        <v>511</v>
      </c>
      <c r="O42" s="85" t="s">
        <v>375</v>
      </c>
      <c r="P42" s="85">
        <v>0.56000000000000005</v>
      </c>
      <c r="Q42" s="85">
        <v>0</v>
      </c>
      <c r="R42" s="85" t="s">
        <v>376</v>
      </c>
      <c r="S42" s="85" t="s">
        <v>377</v>
      </c>
      <c r="T42" s="85" t="s">
        <v>829</v>
      </c>
      <c r="U42" s="85" t="s">
        <v>829</v>
      </c>
      <c r="V42" s="85" t="s">
        <v>378</v>
      </c>
      <c r="W42" s="85">
        <v>0</v>
      </c>
      <c r="X42" s="85" t="s">
        <v>379</v>
      </c>
      <c r="Y42" s="85" t="s">
        <v>404</v>
      </c>
      <c r="Z42" s="85">
        <v>0</v>
      </c>
      <c r="AA42" s="85" t="s">
        <v>381</v>
      </c>
      <c r="AB42" s="86">
        <v>0</v>
      </c>
      <c r="AD42" s="58"/>
      <c r="AE42" s="58"/>
      <c r="AF42" s="58"/>
    </row>
    <row r="43" spans="3:32" ht="36.75" thickBot="1" x14ac:dyDescent="0.3">
      <c r="C43" s="5" t="s">
        <v>64</v>
      </c>
      <c r="D43" s="84">
        <v>36</v>
      </c>
      <c r="E43" s="85" t="s">
        <v>366</v>
      </c>
      <c r="F43" s="85" t="s">
        <v>400</v>
      </c>
      <c r="G43" s="85" t="s">
        <v>368</v>
      </c>
      <c r="H43" s="85" t="s">
        <v>447</v>
      </c>
      <c r="I43" s="85" t="s">
        <v>448</v>
      </c>
      <c r="J43" s="85" t="s">
        <v>438</v>
      </c>
      <c r="K43" s="85" t="s">
        <v>399</v>
      </c>
      <c r="L43" s="85" t="s">
        <v>373</v>
      </c>
      <c r="M43" s="85" t="s">
        <v>403</v>
      </c>
      <c r="N43" s="85" t="s">
        <v>511</v>
      </c>
      <c r="O43" s="85" t="s">
        <v>375</v>
      </c>
      <c r="P43" s="85">
        <v>2.2200000000000002</v>
      </c>
      <c r="Q43" s="85">
        <v>0</v>
      </c>
      <c r="R43" s="85" t="s">
        <v>376</v>
      </c>
      <c r="S43" s="85" t="s">
        <v>377</v>
      </c>
      <c r="T43" s="85" t="s">
        <v>829</v>
      </c>
      <c r="U43" s="85" t="s">
        <v>829</v>
      </c>
      <c r="V43" s="85" t="s">
        <v>378</v>
      </c>
      <c r="W43" s="85">
        <v>0</v>
      </c>
      <c r="X43" s="85" t="s">
        <v>379</v>
      </c>
      <c r="Y43" s="85" t="s">
        <v>380</v>
      </c>
      <c r="Z43" s="85">
        <v>0</v>
      </c>
      <c r="AA43" s="85" t="s">
        <v>381</v>
      </c>
      <c r="AB43" s="86">
        <v>0</v>
      </c>
      <c r="AD43" s="58"/>
      <c r="AE43" s="58"/>
      <c r="AF43" s="58"/>
    </row>
    <row r="44" spans="3:32" ht="36.75" thickBot="1" x14ac:dyDescent="0.3">
      <c r="C44" s="5" t="s">
        <v>64</v>
      </c>
      <c r="D44" s="84">
        <v>37</v>
      </c>
      <c r="E44" s="85" t="s">
        <v>392</v>
      </c>
      <c r="F44" s="85" t="s">
        <v>400</v>
      </c>
      <c r="G44" s="85" t="s">
        <v>368</v>
      </c>
      <c r="H44" s="85" t="s">
        <v>449</v>
      </c>
      <c r="I44" s="85" t="s">
        <v>401</v>
      </c>
      <c r="J44" s="85" t="s">
        <v>402</v>
      </c>
      <c r="K44" s="85" t="s">
        <v>399</v>
      </c>
      <c r="L44" s="85" t="s">
        <v>373</v>
      </c>
      <c r="M44" s="85" t="s">
        <v>403</v>
      </c>
      <c r="N44" s="85" t="s">
        <v>511</v>
      </c>
      <c r="O44" s="85" t="s">
        <v>375</v>
      </c>
      <c r="P44" s="85">
        <v>0.51</v>
      </c>
      <c r="Q44" s="85">
        <v>0</v>
      </c>
      <c r="R44" s="85" t="s">
        <v>376</v>
      </c>
      <c r="S44" s="85" t="s">
        <v>377</v>
      </c>
      <c r="T44" s="85" t="s">
        <v>829</v>
      </c>
      <c r="U44" s="85" t="s">
        <v>829</v>
      </c>
      <c r="V44" s="85" t="s">
        <v>378</v>
      </c>
      <c r="W44" s="85">
        <v>0</v>
      </c>
      <c r="X44" s="85" t="s">
        <v>379</v>
      </c>
      <c r="Y44" s="85" t="s">
        <v>404</v>
      </c>
      <c r="Z44" s="85">
        <v>0</v>
      </c>
      <c r="AA44" s="85" t="s">
        <v>381</v>
      </c>
      <c r="AB44" s="86">
        <v>0</v>
      </c>
      <c r="AD44" s="58"/>
      <c r="AE44" s="58"/>
      <c r="AF44" s="58"/>
    </row>
    <row r="45" spans="3:32" ht="36.75" thickBot="1" x14ac:dyDescent="0.3">
      <c r="C45" s="5" t="s">
        <v>64</v>
      </c>
      <c r="D45" s="84">
        <v>38</v>
      </c>
      <c r="E45" s="85" t="s">
        <v>392</v>
      </c>
      <c r="F45" s="85" t="s">
        <v>400</v>
      </c>
      <c r="G45" s="85" t="s">
        <v>368</v>
      </c>
      <c r="H45" s="85" t="s">
        <v>450</v>
      </c>
      <c r="I45" s="85" t="s">
        <v>411</v>
      </c>
      <c r="J45" s="85" t="s">
        <v>412</v>
      </c>
      <c r="K45" s="85" t="s">
        <v>399</v>
      </c>
      <c r="L45" s="85" t="s">
        <v>373</v>
      </c>
      <c r="M45" s="85" t="s">
        <v>403</v>
      </c>
      <c r="N45" s="85" t="s">
        <v>511</v>
      </c>
      <c r="O45" s="85" t="s">
        <v>375</v>
      </c>
      <c r="P45" s="85">
        <v>8935396.0800000001</v>
      </c>
      <c r="Q45" s="85">
        <v>0</v>
      </c>
      <c r="R45" s="85" t="s">
        <v>376</v>
      </c>
      <c r="S45" s="85" t="s">
        <v>377</v>
      </c>
      <c r="T45" s="85" t="s">
        <v>829</v>
      </c>
      <c r="U45" s="85" t="s">
        <v>829</v>
      </c>
      <c r="V45" s="85" t="s">
        <v>378</v>
      </c>
      <c r="W45" s="85">
        <v>0</v>
      </c>
      <c r="X45" s="85" t="s">
        <v>379</v>
      </c>
      <c r="Y45" s="85" t="s">
        <v>404</v>
      </c>
      <c r="Z45" s="85">
        <v>0</v>
      </c>
      <c r="AA45" s="85" t="s">
        <v>381</v>
      </c>
      <c r="AB45" s="86">
        <v>0</v>
      </c>
      <c r="AD45" s="58"/>
      <c r="AE45" s="58"/>
      <c r="AF45" s="58"/>
    </row>
    <row r="46" spans="3:32" ht="36.75" thickBot="1" x14ac:dyDescent="0.3">
      <c r="C46" s="5" t="s">
        <v>64</v>
      </c>
      <c r="D46" s="84">
        <v>39</v>
      </c>
      <c r="E46" s="85" t="s">
        <v>392</v>
      </c>
      <c r="F46" s="85" t="s">
        <v>400</v>
      </c>
      <c r="G46" s="85" t="s">
        <v>368</v>
      </c>
      <c r="H46" s="85" t="s">
        <v>369</v>
      </c>
      <c r="I46" s="85" t="s">
        <v>445</v>
      </c>
      <c r="J46" s="85" t="s">
        <v>446</v>
      </c>
      <c r="K46" s="85" t="s">
        <v>399</v>
      </c>
      <c r="L46" s="85" t="s">
        <v>373</v>
      </c>
      <c r="M46" s="85" t="s">
        <v>403</v>
      </c>
      <c r="N46" s="85" t="s">
        <v>511</v>
      </c>
      <c r="O46" s="85" t="s">
        <v>375</v>
      </c>
      <c r="P46" s="85">
        <v>6239651.4399999995</v>
      </c>
      <c r="Q46" s="85">
        <v>0</v>
      </c>
      <c r="R46" s="85" t="s">
        <v>376</v>
      </c>
      <c r="S46" s="85" t="s">
        <v>377</v>
      </c>
      <c r="T46" s="85" t="s">
        <v>829</v>
      </c>
      <c r="U46" s="85" t="s">
        <v>829</v>
      </c>
      <c r="V46" s="85" t="s">
        <v>378</v>
      </c>
      <c r="W46" s="85">
        <v>0</v>
      </c>
      <c r="X46" s="85" t="s">
        <v>379</v>
      </c>
      <c r="Y46" s="85" t="s">
        <v>404</v>
      </c>
      <c r="Z46" s="85">
        <v>0</v>
      </c>
      <c r="AA46" s="85" t="s">
        <v>381</v>
      </c>
      <c r="AB46" s="86">
        <v>0</v>
      </c>
      <c r="AD46" s="58"/>
      <c r="AE46" s="58"/>
      <c r="AF46" s="58"/>
    </row>
    <row r="47" spans="3:32" ht="36.75" thickBot="1" x14ac:dyDescent="0.3">
      <c r="C47" s="5" t="s">
        <v>64</v>
      </c>
      <c r="D47" s="84">
        <v>40</v>
      </c>
      <c r="E47" s="85" t="s">
        <v>366</v>
      </c>
      <c r="F47" s="85" t="s">
        <v>396</v>
      </c>
      <c r="G47" s="85" t="s">
        <v>368</v>
      </c>
      <c r="H47" s="85" t="s">
        <v>369</v>
      </c>
      <c r="I47" s="85" t="s">
        <v>451</v>
      </c>
      <c r="J47" s="85" t="s">
        <v>452</v>
      </c>
      <c r="K47" s="85" t="s">
        <v>372</v>
      </c>
      <c r="L47" s="85" t="s">
        <v>373</v>
      </c>
      <c r="M47" s="85" t="s">
        <v>374</v>
      </c>
      <c r="N47" s="85" t="s">
        <v>511</v>
      </c>
      <c r="O47" s="85" t="s">
        <v>375</v>
      </c>
      <c r="P47" s="85">
        <v>4661216.6500000022</v>
      </c>
      <c r="Q47" s="85">
        <v>0</v>
      </c>
      <c r="R47" s="85" t="s">
        <v>376</v>
      </c>
      <c r="S47" s="85" t="s">
        <v>377</v>
      </c>
      <c r="T47" s="85" t="s">
        <v>829</v>
      </c>
      <c r="U47" s="85" t="s">
        <v>829</v>
      </c>
      <c r="V47" s="85" t="s">
        <v>378</v>
      </c>
      <c r="W47" s="85">
        <v>0</v>
      </c>
      <c r="X47" s="85" t="s">
        <v>379</v>
      </c>
      <c r="Y47" s="85" t="s">
        <v>380</v>
      </c>
      <c r="Z47" s="85">
        <v>0</v>
      </c>
      <c r="AA47" s="85" t="s">
        <v>381</v>
      </c>
      <c r="AB47" s="86">
        <v>0</v>
      </c>
      <c r="AD47" s="58"/>
      <c r="AE47" s="58"/>
      <c r="AF47" s="58"/>
    </row>
    <row r="48" spans="3:32" ht="36.75" thickBot="1" x14ac:dyDescent="0.3">
      <c r="C48" s="5" t="s">
        <v>64</v>
      </c>
      <c r="D48" s="84">
        <v>41</v>
      </c>
      <c r="E48" s="85" t="s">
        <v>392</v>
      </c>
      <c r="F48" s="85" t="s">
        <v>400</v>
      </c>
      <c r="G48" s="85" t="s">
        <v>368</v>
      </c>
      <c r="H48" s="85" t="s">
        <v>441</v>
      </c>
      <c r="I48" s="85" t="s">
        <v>411</v>
      </c>
      <c r="J48" s="85" t="s">
        <v>412</v>
      </c>
      <c r="K48" s="85" t="s">
        <v>399</v>
      </c>
      <c r="L48" s="85" t="s">
        <v>373</v>
      </c>
      <c r="M48" s="85" t="s">
        <v>403</v>
      </c>
      <c r="N48" s="85" t="s">
        <v>511</v>
      </c>
      <c r="O48" s="85" t="s">
        <v>375</v>
      </c>
      <c r="P48" s="85">
        <v>1488272.5999999999</v>
      </c>
      <c r="Q48" s="85">
        <v>0</v>
      </c>
      <c r="R48" s="85" t="s">
        <v>376</v>
      </c>
      <c r="S48" s="85" t="s">
        <v>377</v>
      </c>
      <c r="T48" s="85" t="s">
        <v>829</v>
      </c>
      <c r="U48" s="85" t="s">
        <v>829</v>
      </c>
      <c r="V48" s="85" t="s">
        <v>378</v>
      </c>
      <c r="W48" s="85">
        <v>0</v>
      </c>
      <c r="X48" s="85" t="s">
        <v>379</v>
      </c>
      <c r="Y48" s="85" t="s">
        <v>404</v>
      </c>
      <c r="Z48" s="85">
        <v>0</v>
      </c>
      <c r="AA48" s="85" t="s">
        <v>381</v>
      </c>
      <c r="AB48" s="86">
        <v>0</v>
      </c>
      <c r="AD48" s="58"/>
      <c r="AE48" s="58"/>
      <c r="AF48" s="58"/>
    </row>
    <row r="49" spans="3:32" ht="36.75" thickBot="1" x14ac:dyDescent="0.3">
      <c r="C49" s="5" t="s">
        <v>64</v>
      </c>
      <c r="D49" s="84">
        <v>42</v>
      </c>
      <c r="E49" s="85" t="s">
        <v>392</v>
      </c>
      <c r="F49" s="85" t="s">
        <v>400</v>
      </c>
      <c r="G49" s="85" t="s">
        <v>368</v>
      </c>
      <c r="H49" s="85" t="s">
        <v>453</v>
      </c>
      <c r="I49" s="85" t="s">
        <v>401</v>
      </c>
      <c r="J49" s="85" t="s">
        <v>402</v>
      </c>
      <c r="K49" s="85" t="s">
        <v>399</v>
      </c>
      <c r="L49" s="85" t="s">
        <v>373</v>
      </c>
      <c r="M49" s="85" t="s">
        <v>403</v>
      </c>
      <c r="N49" s="85" t="s">
        <v>511</v>
      </c>
      <c r="O49" s="85" t="s">
        <v>375</v>
      </c>
      <c r="P49" s="85">
        <v>2000082.78</v>
      </c>
      <c r="Q49" s="85">
        <v>0</v>
      </c>
      <c r="R49" s="85" t="s">
        <v>376</v>
      </c>
      <c r="S49" s="85" t="s">
        <v>377</v>
      </c>
      <c r="T49" s="85" t="s">
        <v>829</v>
      </c>
      <c r="U49" s="85" t="s">
        <v>829</v>
      </c>
      <c r="V49" s="85" t="s">
        <v>378</v>
      </c>
      <c r="W49" s="85">
        <v>0</v>
      </c>
      <c r="X49" s="85" t="s">
        <v>379</v>
      </c>
      <c r="Y49" s="85" t="s">
        <v>404</v>
      </c>
      <c r="Z49" s="85">
        <v>0</v>
      </c>
      <c r="AA49" s="85" t="s">
        <v>381</v>
      </c>
      <c r="AB49" s="86">
        <v>0</v>
      </c>
      <c r="AD49" s="58"/>
      <c r="AE49" s="58"/>
      <c r="AF49" s="58"/>
    </row>
    <row r="50" spans="3:32" ht="36.75" thickBot="1" x14ac:dyDescent="0.3">
      <c r="C50" s="5" t="s">
        <v>64</v>
      </c>
      <c r="D50" s="84">
        <v>43</v>
      </c>
      <c r="E50" s="85" t="s">
        <v>424</v>
      </c>
      <c r="F50" s="85" t="s">
        <v>400</v>
      </c>
      <c r="G50" s="85" t="s">
        <v>425</v>
      </c>
      <c r="H50" s="85" t="s">
        <v>369</v>
      </c>
      <c r="I50" s="85" t="s">
        <v>411</v>
      </c>
      <c r="J50" s="85" t="s">
        <v>412</v>
      </c>
      <c r="K50" s="85" t="s">
        <v>399</v>
      </c>
      <c r="L50" s="85" t="s">
        <v>373</v>
      </c>
      <c r="M50" s="85" t="s">
        <v>403</v>
      </c>
      <c r="N50" s="85" t="s">
        <v>511</v>
      </c>
      <c r="O50" s="85" t="s">
        <v>375</v>
      </c>
      <c r="P50" s="85">
        <v>462346.44665400003</v>
      </c>
      <c r="Q50" s="85">
        <v>0</v>
      </c>
      <c r="R50" s="85" t="s">
        <v>417</v>
      </c>
      <c r="S50" s="85" t="s">
        <v>377</v>
      </c>
      <c r="T50" s="85" t="s">
        <v>829</v>
      </c>
      <c r="U50" s="85" t="s">
        <v>830</v>
      </c>
      <c r="V50" s="85" t="s">
        <v>378</v>
      </c>
      <c r="W50" s="85">
        <v>0</v>
      </c>
      <c r="X50" s="85" t="s">
        <v>379</v>
      </c>
      <c r="Y50" s="85" t="s">
        <v>404</v>
      </c>
      <c r="Z50" s="85">
        <v>0</v>
      </c>
      <c r="AA50" s="85" t="s">
        <v>381</v>
      </c>
      <c r="AB50" s="86">
        <v>0</v>
      </c>
      <c r="AD50" s="58"/>
      <c r="AE50" s="58"/>
      <c r="AF50" s="58"/>
    </row>
    <row r="51" spans="3:32" ht="36.75" thickBot="1" x14ac:dyDescent="0.3">
      <c r="C51" s="5" t="s">
        <v>64</v>
      </c>
      <c r="D51" s="84">
        <v>44</v>
      </c>
      <c r="E51" s="85" t="s">
        <v>366</v>
      </c>
      <c r="F51" s="85" t="s">
        <v>407</v>
      </c>
      <c r="G51" s="85" t="s">
        <v>368</v>
      </c>
      <c r="H51" s="85" t="s">
        <v>454</v>
      </c>
      <c r="I51" s="85" t="s">
        <v>408</v>
      </c>
      <c r="J51" s="85" t="s">
        <v>409</v>
      </c>
      <c r="K51" s="85" t="s">
        <v>399</v>
      </c>
      <c r="L51" s="85" t="s">
        <v>373</v>
      </c>
      <c r="M51" s="85" t="s">
        <v>374</v>
      </c>
      <c r="N51" s="85" t="s">
        <v>511</v>
      </c>
      <c r="O51" s="85" t="s">
        <v>375</v>
      </c>
      <c r="P51" s="85">
        <v>0.64</v>
      </c>
      <c r="Q51" s="85">
        <v>0</v>
      </c>
      <c r="R51" s="85" t="s">
        <v>376</v>
      </c>
      <c r="S51" s="85" t="s">
        <v>377</v>
      </c>
      <c r="T51" s="85" t="s">
        <v>829</v>
      </c>
      <c r="U51" s="85" t="s">
        <v>829</v>
      </c>
      <c r="V51" s="85" t="s">
        <v>378</v>
      </c>
      <c r="W51" s="85">
        <v>0</v>
      </c>
      <c r="X51" s="85" t="s">
        <v>379</v>
      </c>
      <c r="Y51" s="85" t="s">
        <v>380</v>
      </c>
      <c r="Z51" s="85">
        <v>0</v>
      </c>
      <c r="AA51" s="85" t="s">
        <v>381</v>
      </c>
      <c r="AB51" s="86">
        <v>0</v>
      </c>
      <c r="AD51" s="58"/>
      <c r="AE51" s="58"/>
      <c r="AF51" s="58"/>
    </row>
    <row r="52" spans="3:32" ht="36.75" thickBot="1" x14ac:dyDescent="0.3">
      <c r="C52" s="5" t="s">
        <v>64</v>
      </c>
      <c r="D52" s="84">
        <v>45</v>
      </c>
      <c r="E52" s="85" t="s">
        <v>366</v>
      </c>
      <c r="F52" s="85" t="s">
        <v>396</v>
      </c>
      <c r="G52" s="85" t="s">
        <v>368</v>
      </c>
      <c r="H52" s="85" t="s">
        <v>369</v>
      </c>
      <c r="I52" s="85" t="s">
        <v>840</v>
      </c>
      <c r="J52" s="85" t="s">
        <v>398</v>
      </c>
      <c r="K52" s="85" t="s">
        <v>399</v>
      </c>
      <c r="L52" s="85" t="s">
        <v>838</v>
      </c>
      <c r="M52" s="85" t="s">
        <v>374</v>
      </c>
      <c r="N52" s="85" t="s">
        <v>511</v>
      </c>
      <c r="O52" s="85" t="s">
        <v>375</v>
      </c>
      <c r="P52" s="85">
        <v>10333638.58</v>
      </c>
      <c r="Q52" s="85">
        <v>0</v>
      </c>
      <c r="R52" s="85" t="s">
        <v>376</v>
      </c>
      <c r="S52" s="85" t="s">
        <v>377</v>
      </c>
      <c r="T52" s="85" t="s">
        <v>829</v>
      </c>
      <c r="U52" s="85" t="s">
        <v>829</v>
      </c>
      <c r="V52" s="85" t="s">
        <v>378</v>
      </c>
      <c r="W52" s="85">
        <v>0</v>
      </c>
      <c r="X52" s="85" t="s">
        <v>379</v>
      </c>
      <c r="Y52" s="85" t="s">
        <v>380</v>
      </c>
      <c r="Z52" s="85">
        <v>0</v>
      </c>
      <c r="AA52" s="85" t="s">
        <v>381</v>
      </c>
      <c r="AB52" s="86">
        <v>0</v>
      </c>
      <c r="AD52" s="58"/>
      <c r="AE52" s="58"/>
      <c r="AF52" s="58"/>
    </row>
    <row r="53" spans="3:32" ht="36.75" thickBot="1" x14ac:dyDescent="0.3">
      <c r="C53" s="5" t="s">
        <v>64</v>
      </c>
      <c r="D53" s="84">
        <v>46</v>
      </c>
      <c r="E53" s="85" t="s">
        <v>366</v>
      </c>
      <c r="F53" s="85" t="s">
        <v>396</v>
      </c>
      <c r="G53" s="85" t="s">
        <v>368</v>
      </c>
      <c r="H53" s="85" t="s">
        <v>369</v>
      </c>
      <c r="I53" s="85" t="s">
        <v>457</v>
      </c>
      <c r="J53" s="85" t="s">
        <v>458</v>
      </c>
      <c r="K53" s="85" t="s">
        <v>399</v>
      </c>
      <c r="L53" s="85" t="s">
        <v>373</v>
      </c>
      <c r="M53" s="85" t="s">
        <v>374</v>
      </c>
      <c r="N53" s="85" t="s">
        <v>511</v>
      </c>
      <c r="O53" s="85" t="s">
        <v>375</v>
      </c>
      <c r="P53" s="85">
        <v>474236.37</v>
      </c>
      <c r="Q53" s="85">
        <v>0</v>
      </c>
      <c r="R53" s="85" t="s">
        <v>376</v>
      </c>
      <c r="S53" s="85" t="s">
        <v>377</v>
      </c>
      <c r="T53" s="85" t="s">
        <v>829</v>
      </c>
      <c r="U53" s="85" t="s">
        <v>829</v>
      </c>
      <c r="V53" s="85" t="s">
        <v>378</v>
      </c>
      <c r="W53" s="85">
        <v>0</v>
      </c>
      <c r="X53" s="85" t="s">
        <v>379</v>
      </c>
      <c r="Y53" s="85" t="s">
        <v>380</v>
      </c>
      <c r="Z53" s="85">
        <v>0</v>
      </c>
      <c r="AA53" s="85" t="s">
        <v>381</v>
      </c>
      <c r="AB53" s="86">
        <v>0</v>
      </c>
      <c r="AD53" s="58"/>
      <c r="AE53" s="58"/>
      <c r="AF53" s="58"/>
    </row>
    <row r="54" spans="3:32" ht="36.75" thickBot="1" x14ac:dyDescent="0.3">
      <c r="C54" s="5" t="s">
        <v>64</v>
      </c>
      <c r="D54" s="84">
        <v>47</v>
      </c>
      <c r="E54" s="85" t="s">
        <v>424</v>
      </c>
      <c r="F54" s="85" t="s">
        <v>400</v>
      </c>
      <c r="G54" s="85" t="s">
        <v>425</v>
      </c>
      <c r="H54" s="85" t="s">
        <v>459</v>
      </c>
      <c r="I54" s="85" t="s">
        <v>401</v>
      </c>
      <c r="J54" s="85" t="s">
        <v>402</v>
      </c>
      <c r="K54" s="85" t="s">
        <v>399</v>
      </c>
      <c r="L54" s="85" t="s">
        <v>373</v>
      </c>
      <c r="M54" s="85" t="s">
        <v>403</v>
      </c>
      <c r="N54" s="85" t="s">
        <v>511</v>
      </c>
      <c r="O54" s="85" t="s">
        <v>375</v>
      </c>
      <c r="P54" s="85">
        <v>0.31</v>
      </c>
      <c r="Q54" s="85">
        <v>0</v>
      </c>
      <c r="R54" s="85" t="s">
        <v>376</v>
      </c>
      <c r="S54" s="85" t="s">
        <v>377</v>
      </c>
      <c r="T54" s="85" t="s">
        <v>829</v>
      </c>
      <c r="U54" s="85" t="s">
        <v>830</v>
      </c>
      <c r="V54" s="85" t="s">
        <v>378</v>
      </c>
      <c r="W54" s="85">
        <v>0</v>
      </c>
      <c r="X54" s="85" t="s">
        <v>379</v>
      </c>
      <c r="Y54" s="85" t="s">
        <v>404</v>
      </c>
      <c r="Z54" s="85">
        <v>0</v>
      </c>
      <c r="AA54" s="85" t="s">
        <v>381</v>
      </c>
      <c r="AB54" s="86">
        <v>0</v>
      </c>
      <c r="AD54" s="58"/>
      <c r="AE54" s="58"/>
      <c r="AF54" s="58"/>
    </row>
    <row r="55" spans="3:32" ht="36.75" thickBot="1" x14ac:dyDescent="0.3">
      <c r="C55" s="5" t="s">
        <v>64</v>
      </c>
      <c r="D55" s="84">
        <v>48</v>
      </c>
      <c r="E55" s="85" t="s">
        <v>366</v>
      </c>
      <c r="F55" s="85" t="s">
        <v>396</v>
      </c>
      <c r="G55" s="85" t="s">
        <v>368</v>
      </c>
      <c r="H55" s="85" t="s">
        <v>369</v>
      </c>
      <c r="I55" s="85" t="s">
        <v>840</v>
      </c>
      <c r="J55" s="85" t="s">
        <v>398</v>
      </c>
      <c r="K55" s="85" t="s">
        <v>399</v>
      </c>
      <c r="L55" s="85" t="s">
        <v>838</v>
      </c>
      <c r="M55" s="85" t="s">
        <v>374</v>
      </c>
      <c r="N55" s="85" t="s">
        <v>511</v>
      </c>
      <c r="O55" s="85" t="s">
        <v>375</v>
      </c>
      <c r="P55" s="85">
        <v>54315.03</v>
      </c>
      <c r="Q55" s="85">
        <v>0</v>
      </c>
      <c r="R55" s="85" t="s">
        <v>376</v>
      </c>
      <c r="S55" s="85" t="s">
        <v>377</v>
      </c>
      <c r="T55" s="85" t="s">
        <v>829</v>
      </c>
      <c r="U55" s="85" t="s">
        <v>829</v>
      </c>
      <c r="V55" s="85" t="s">
        <v>378</v>
      </c>
      <c r="W55" s="85">
        <v>0</v>
      </c>
      <c r="X55" s="85" t="s">
        <v>379</v>
      </c>
      <c r="Y55" s="85" t="s">
        <v>380</v>
      </c>
      <c r="Z55" s="85">
        <v>0</v>
      </c>
      <c r="AA55" s="85" t="s">
        <v>381</v>
      </c>
      <c r="AB55" s="86">
        <v>0</v>
      </c>
      <c r="AD55" s="58"/>
      <c r="AE55" s="58"/>
      <c r="AF55" s="58"/>
    </row>
    <row r="56" spans="3:32" ht="36.75" thickBot="1" x14ac:dyDescent="0.3">
      <c r="C56" s="5" t="s">
        <v>64</v>
      </c>
      <c r="D56" s="84">
        <v>49</v>
      </c>
      <c r="E56" s="85" t="s">
        <v>424</v>
      </c>
      <c r="F56" s="85" t="s">
        <v>400</v>
      </c>
      <c r="G56" s="85" t="s">
        <v>425</v>
      </c>
      <c r="H56" s="85" t="s">
        <v>369</v>
      </c>
      <c r="I56" s="85" t="s">
        <v>411</v>
      </c>
      <c r="J56" s="85" t="s">
        <v>412</v>
      </c>
      <c r="K56" s="85" t="s">
        <v>399</v>
      </c>
      <c r="L56" s="85" t="s">
        <v>373</v>
      </c>
      <c r="M56" s="85" t="s">
        <v>403</v>
      </c>
      <c r="N56" s="85" t="s">
        <v>511</v>
      </c>
      <c r="O56" s="85" t="s">
        <v>375</v>
      </c>
      <c r="P56" s="85">
        <v>809713.27</v>
      </c>
      <c r="Q56" s="85">
        <v>0</v>
      </c>
      <c r="R56" s="85" t="s">
        <v>376</v>
      </c>
      <c r="S56" s="85" t="s">
        <v>377</v>
      </c>
      <c r="T56" s="85" t="s">
        <v>829</v>
      </c>
      <c r="U56" s="85" t="s">
        <v>830</v>
      </c>
      <c r="V56" s="85" t="s">
        <v>378</v>
      </c>
      <c r="W56" s="85">
        <v>0</v>
      </c>
      <c r="X56" s="85" t="s">
        <v>379</v>
      </c>
      <c r="Y56" s="85" t="s">
        <v>404</v>
      </c>
      <c r="Z56" s="85">
        <v>0</v>
      </c>
      <c r="AA56" s="85" t="s">
        <v>381</v>
      </c>
      <c r="AB56" s="86">
        <v>0</v>
      </c>
      <c r="AD56" s="58"/>
      <c r="AE56" s="58"/>
      <c r="AF56" s="58"/>
    </row>
    <row r="57" spans="3:32" ht="36.75" thickBot="1" x14ac:dyDescent="0.3">
      <c r="C57" s="5" t="s">
        <v>64</v>
      </c>
      <c r="D57" s="84">
        <v>50</v>
      </c>
      <c r="E57" s="85" t="s">
        <v>392</v>
      </c>
      <c r="F57" s="85" t="s">
        <v>400</v>
      </c>
      <c r="G57" s="85" t="s">
        <v>368</v>
      </c>
      <c r="H57" s="85" t="s">
        <v>450</v>
      </c>
      <c r="I57" s="85" t="s">
        <v>401</v>
      </c>
      <c r="J57" s="85" t="s">
        <v>402</v>
      </c>
      <c r="K57" s="85" t="s">
        <v>399</v>
      </c>
      <c r="L57" s="85" t="s">
        <v>373</v>
      </c>
      <c r="M57" s="85" t="s">
        <v>403</v>
      </c>
      <c r="N57" s="85" t="s">
        <v>511</v>
      </c>
      <c r="O57" s="85" t="s">
        <v>375</v>
      </c>
      <c r="P57" s="85">
        <v>2000138.33</v>
      </c>
      <c r="Q57" s="85">
        <v>0</v>
      </c>
      <c r="R57" s="85" t="s">
        <v>376</v>
      </c>
      <c r="S57" s="85" t="s">
        <v>377</v>
      </c>
      <c r="T57" s="85" t="s">
        <v>829</v>
      </c>
      <c r="U57" s="85" t="s">
        <v>829</v>
      </c>
      <c r="V57" s="85" t="s">
        <v>378</v>
      </c>
      <c r="W57" s="85">
        <v>0</v>
      </c>
      <c r="X57" s="85" t="s">
        <v>379</v>
      </c>
      <c r="Y57" s="85" t="s">
        <v>404</v>
      </c>
      <c r="Z57" s="85">
        <v>0</v>
      </c>
      <c r="AA57" s="85" t="s">
        <v>381</v>
      </c>
      <c r="AB57" s="86">
        <v>0</v>
      </c>
      <c r="AD57" s="58"/>
      <c r="AE57" s="58"/>
      <c r="AF57" s="58"/>
    </row>
    <row r="58" spans="3:32" ht="36.75" thickBot="1" x14ac:dyDescent="0.3">
      <c r="C58" s="5" t="s">
        <v>64</v>
      </c>
      <c r="D58" s="84">
        <v>51</v>
      </c>
      <c r="E58" s="85" t="s">
        <v>366</v>
      </c>
      <c r="F58" s="85" t="s">
        <v>407</v>
      </c>
      <c r="G58" s="85" t="s">
        <v>368</v>
      </c>
      <c r="H58" s="85" t="s">
        <v>460</v>
      </c>
      <c r="I58" s="85" t="s">
        <v>370</v>
      </c>
      <c r="J58" s="85" t="s">
        <v>371</v>
      </c>
      <c r="K58" s="85" t="s">
        <v>372</v>
      </c>
      <c r="L58" s="85" t="s">
        <v>373</v>
      </c>
      <c r="M58" s="85" t="s">
        <v>374</v>
      </c>
      <c r="N58" s="85" t="s">
        <v>511</v>
      </c>
      <c r="O58" s="85" t="s">
        <v>375</v>
      </c>
      <c r="P58" s="85">
        <v>0.56999999999999995</v>
      </c>
      <c r="Q58" s="85">
        <v>0</v>
      </c>
      <c r="R58" s="85" t="s">
        <v>376</v>
      </c>
      <c r="S58" s="85" t="s">
        <v>377</v>
      </c>
      <c r="T58" s="85" t="s">
        <v>829</v>
      </c>
      <c r="U58" s="85" t="s">
        <v>829</v>
      </c>
      <c r="V58" s="85" t="s">
        <v>378</v>
      </c>
      <c r="W58" s="85">
        <v>0</v>
      </c>
      <c r="X58" s="85" t="s">
        <v>379</v>
      </c>
      <c r="Y58" s="85" t="s">
        <v>380</v>
      </c>
      <c r="Z58" s="85">
        <v>0</v>
      </c>
      <c r="AA58" s="85" t="s">
        <v>381</v>
      </c>
      <c r="AB58" s="86">
        <v>0</v>
      </c>
      <c r="AD58" s="58"/>
      <c r="AE58" s="58"/>
      <c r="AF58" s="58"/>
    </row>
    <row r="59" spans="3:32" ht="36.75" thickBot="1" x14ac:dyDescent="0.3">
      <c r="C59" s="5" t="s">
        <v>64</v>
      </c>
      <c r="D59" s="84">
        <v>52</v>
      </c>
      <c r="E59" s="85" t="s">
        <v>366</v>
      </c>
      <c r="F59" s="85" t="s">
        <v>396</v>
      </c>
      <c r="G59" s="85" t="s">
        <v>368</v>
      </c>
      <c r="H59" s="85" t="s">
        <v>461</v>
      </c>
      <c r="I59" s="85" t="s">
        <v>840</v>
      </c>
      <c r="J59" s="85" t="s">
        <v>398</v>
      </c>
      <c r="K59" s="85" t="s">
        <v>399</v>
      </c>
      <c r="L59" s="85" t="s">
        <v>838</v>
      </c>
      <c r="M59" s="85" t="s">
        <v>374</v>
      </c>
      <c r="N59" s="85" t="s">
        <v>511</v>
      </c>
      <c r="O59" s="85" t="s">
        <v>375</v>
      </c>
      <c r="P59" s="85">
        <v>0.11</v>
      </c>
      <c r="Q59" s="85">
        <v>0</v>
      </c>
      <c r="R59" s="85" t="s">
        <v>376</v>
      </c>
      <c r="S59" s="85" t="s">
        <v>377</v>
      </c>
      <c r="T59" s="85" t="s">
        <v>829</v>
      </c>
      <c r="U59" s="85" t="s">
        <v>829</v>
      </c>
      <c r="V59" s="85" t="s">
        <v>378</v>
      </c>
      <c r="W59" s="85">
        <v>0</v>
      </c>
      <c r="X59" s="85" t="s">
        <v>379</v>
      </c>
      <c r="Y59" s="85" t="s">
        <v>380</v>
      </c>
      <c r="Z59" s="85">
        <v>0</v>
      </c>
      <c r="AA59" s="85" t="s">
        <v>381</v>
      </c>
      <c r="AB59" s="86">
        <v>0</v>
      </c>
      <c r="AD59" s="58"/>
      <c r="AE59" s="58"/>
      <c r="AF59" s="58"/>
    </row>
    <row r="60" spans="3:32" ht="36.75" thickBot="1" x14ac:dyDescent="0.3">
      <c r="C60" s="5" t="s">
        <v>64</v>
      </c>
      <c r="D60" s="84">
        <v>53</v>
      </c>
      <c r="E60" s="85" t="s">
        <v>366</v>
      </c>
      <c r="F60" s="85" t="s">
        <v>407</v>
      </c>
      <c r="G60" s="85" t="s">
        <v>368</v>
      </c>
      <c r="H60" s="85" t="s">
        <v>369</v>
      </c>
      <c r="I60" s="85" t="s">
        <v>418</v>
      </c>
      <c r="J60" s="85" t="s">
        <v>419</v>
      </c>
      <c r="K60" s="85" t="s">
        <v>399</v>
      </c>
      <c r="L60" s="85" t="s">
        <v>373</v>
      </c>
      <c r="M60" s="85" t="s">
        <v>374</v>
      </c>
      <c r="N60" s="85" t="s">
        <v>511</v>
      </c>
      <c r="O60" s="85" t="s">
        <v>375</v>
      </c>
      <c r="P60" s="85">
        <v>13217628.689999999</v>
      </c>
      <c r="Q60" s="85">
        <v>0</v>
      </c>
      <c r="R60" s="85" t="s">
        <v>376</v>
      </c>
      <c r="S60" s="85" t="s">
        <v>377</v>
      </c>
      <c r="T60" s="85" t="s">
        <v>829</v>
      </c>
      <c r="U60" s="85" t="s">
        <v>829</v>
      </c>
      <c r="V60" s="85" t="s">
        <v>378</v>
      </c>
      <c r="W60" s="85">
        <v>0</v>
      </c>
      <c r="X60" s="85" t="s">
        <v>379</v>
      </c>
      <c r="Y60" s="85" t="s">
        <v>380</v>
      </c>
      <c r="Z60" s="85">
        <v>0</v>
      </c>
      <c r="AA60" s="85" t="s">
        <v>381</v>
      </c>
      <c r="AB60" s="86">
        <v>0</v>
      </c>
      <c r="AD60" s="58"/>
      <c r="AE60" s="58"/>
      <c r="AF60" s="58"/>
    </row>
    <row r="61" spans="3:32" ht="36.75" thickBot="1" x14ac:dyDescent="0.3">
      <c r="C61" s="5" t="s">
        <v>64</v>
      </c>
      <c r="D61" s="84">
        <v>54</v>
      </c>
      <c r="E61" s="85" t="s">
        <v>366</v>
      </c>
      <c r="F61" s="85" t="s">
        <v>407</v>
      </c>
      <c r="G61" s="85" t="s">
        <v>368</v>
      </c>
      <c r="H61" s="85" t="s">
        <v>369</v>
      </c>
      <c r="I61" s="85" t="s">
        <v>415</v>
      </c>
      <c r="J61" s="85" t="s">
        <v>416</v>
      </c>
      <c r="K61" s="85" t="s">
        <v>372</v>
      </c>
      <c r="L61" s="85" t="s">
        <v>373</v>
      </c>
      <c r="M61" s="85" t="s">
        <v>374</v>
      </c>
      <c r="N61" s="85" t="s">
        <v>511</v>
      </c>
      <c r="O61" s="85" t="s">
        <v>375</v>
      </c>
      <c r="P61" s="85">
        <v>12396.9</v>
      </c>
      <c r="Q61" s="85">
        <v>0</v>
      </c>
      <c r="R61" s="85" t="s">
        <v>376</v>
      </c>
      <c r="S61" s="85" t="s">
        <v>377</v>
      </c>
      <c r="T61" s="85" t="s">
        <v>829</v>
      </c>
      <c r="U61" s="85" t="s">
        <v>829</v>
      </c>
      <c r="V61" s="85" t="s">
        <v>378</v>
      </c>
      <c r="W61" s="85">
        <v>0</v>
      </c>
      <c r="X61" s="85" t="s">
        <v>379</v>
      </c>
      <c r="Y61" s="85" t="s">
        <v>380</v>
      </c>
      <c r="Z61" s="85">
        <v>0</v>
      </c>
      <c r="AA61" s="85" t="s">
        <v>381</v>
      </c>
      <c r="AB61" s="86">
        <v>0</v>
      </c>
      <c r="AD61" s="58"/>
      <c r="AE61" s="58"/>
      <c r="AF61" s="58"/>
    </row>
    <row r="62" spans="3:32" ht="36.75" thickBot="1" x14ac:dyDescent="0.3">
      <c r="C62" s="5" t="s">
        <v>64</v>
      </c>
      <c r="D62" s="84">
        <v>55</v>
      </c>
      <c r="E62" s="85" t="s">
        <v>424</v>
      </c>
      <c r="F62" s="85" t="s">
        <v>400</v>
      </c>
      <c r="G62" s="85" t="s">
        <v>425</v>
      </c>
      <c r="H62" s="85" t="s">
        <v>369</v>
      </c>
      <c r="I62" s="85" t="s">
        <v>401</v>
      </c>
      <c r="J62" s="85" t="s">
        <v>402</v>
      </c>
      <c r="K62" s="85" t="s">
        <v>399</v>
      </c>
      <c r="L62" s="85" t="s">
        <v>373</v>
      </c>
      <c r="M62" s="85" t="s">
        <v>403</v>
      </c>
      <c r="N62" s="85" t="s">
        <v>511</v>
      </c>
      <c r="O62" s="85" t="s">
        <v>375</v>
      </c>
      <c r="P62" s="85">
        <v>1037.69</v>
      </c>
      <c r="Q62" s="85">
        <v>0</v>
      </c>
      <c r="R62" s="85" t="s">
        <v>376</v>
      </c>
      <c r="S62" s="85" t="s">
        <v>377</v>
      </c>
      <c r="T62" s="85" t="s">
        <v>829</v>
      </c>
      <c r="U62" s="85" t="s">
        <v>830</v>
      </c>
      <c r="V62" s="85" t="s">
        <v>378</v>
      </c>
      <c r="W62" s="85">
        <v>0</v>
      </c>
      <c r="X62" s="85" t="s">
        <v>379</v>
      </c>
      <c r="Y62" s="85" t="s">
        <v>404</v>
      </c>
      <c r="Z62" s="85">
        <v>0</v>
      </c>
      <c r="AA62" s="85" t="s">
        <v>381</v>
      </c>
      <c r="AB62" s="86">
        <v>0</v>
      </c>
      <c r="AD62" s="58"/>
      <c r="AE62" s="58"/>
      <c r="AF62" s="58"/>
    </row>
    <row r="63" spans="3:32" ht="36.75" thickBot="1" x14ac:dyDescent="0.3">
      <c r="C63" s="5" t="s">
        <v>64</v>
      </c>
      <c r="D63" s="84">
        <v>56</v>
      </c>
      <c r="E63" s="85" t="s">
        <v>424</v>
      </c>
      <c r="F63" s="85" t="s">
        <v>400</v>
      </c>
      <c r="G63" s="85" t="s">
        <v>425</v>
      </c>
      <c r="H63" s="85" t="s">
        <v>462</v>
      </c>
      <c r="I63" s="85" t="s">
        <v>411</v>
      </c>
      <c r="J63" s="85" t="s">
        <v>412</v>
      </c>
      <c r="K63" s="85" t="s">
        <v>399</v>
      </c>
      <c r="L63" s="85" t="s">
        <v>373</v>
      </c>
      <c r="M63" s="85" t="s">
        <v>403</v>
      </c>
      <c r="N63" s="85" t="s">
        <v>511</v>
      </c>
      <c r="O63" s="85" t="s">
        <v>375</v>
      </c>
      <c r="P63" s="85">
        <v>0.61</v>
      </c>
      <c r="Q63" s="85">
        <v>0</v>
      </c>
      <c r="R63" s="85" t="s">
        <v>376</v>
      </c>
      <c r="S63" s="85" t="s">
        <v>377</v>
      </c>
      <c r="T63" s="85" t="s">
        <v>829</v>
      </c>
      <c r="U63" s="85" t="s">
        <v>830</v>
      </c>
      <c r="V63" s="85" t="s">
        <v>378</v>
      </c>
      <c r="W63" s="85">
        <v>0</v>
      </c>
      <c r="X63" s="85" t="s">
        <v>379</v>
      </c>
      <c r="Y63" s="85" t="s">
        <v>404</v>
      </c>
      <c r="Z63" s="85">
        <v>0</v>
      </c>
      <c r="AA63" s="85" t="s">
        <v>381</v>
      </c>
      <c r="AB63" s="86">
        <v>0</v>
      </c>
      <c r="AD63" s="58"/>
      <c r="AE63" s="58"/>
      <c r="AF63" s="58"/>
    </row>
    <row r="64" spans="3:32" ht="36.75" thickBot="1" x14ac:dyDescent="0.3">
      <c r="C64" s="5" t="s">
        <v>64</v>
      </c>
      <c r="D64" s="84">
        <v>57</v>
      </c>
      <c r="E64" s="85" t="s">
        <v>366</v>
      </c>
      <c r="F64" s="85" t="s">
        <v>396</v>
      </c>
      <c r="G64" s="85" t="s">
        <v>368</v>
      </c>
      <c r="H64" s="85" t="s">
        <v>369</v>
      </c>
      <c r="I64" s="85" t="s">
        <v>463</v>
      </c>
      <c r="J64" s="85" t="s">
        <v>464</v>
      </c>
      <c r="K64" s="85" t="s">
        <v>372</v>
      </c>
      <c r="L64" s="85" t="s">
        <v>373</v>
      </c>
      <c r="M64" s="85" t="s">
        <v>374</v>
      </c>
      <c r="N64" s="85" t="s">
        <v>511</v>
      </c>
      <c r="O64" s="85" t="s">
        <v>375</v>
      </c>
      <c r="P64" s="85">
        <v>1968.34</v>
      </c>
      <c r="Q64" s="85">
        <v>0</v>
      </c>
      <c r="R64" s="85" t="s">
        <v>376</v>
      </c>
      <c r="S64" s="85" t="s">
        <v>377</v>
      </c>
      <c r="T64" s="85" t="s">
        <v>829</v>
      </c>
      <c r="U64" s="85" t="s">
        <v>829</v>
      </c>
      <c r="V64" s="85" t="s">
        <v>378</v>
      </c>
      <c r="W64" s="85">
        <v>0</v>
      </c>
      <c r="X64" s="85" t="s">
        <v>379</v>
      </c>
      <c r="Y64" s="85" t="s">
        <v>380</v>
      </c>
      <c r="Z64" s="85">
        <v>0</v>
      </c>
      <c r="AA64" s="85" t="s">
        <v>381</v>
      </c>
      <c r="AB64" s="86">
        <v>0</v>
      </c>
      <c r="AD64" s="58"/>
      <c r="AE64" s="58"/>
      <c r="AF64" s="58"/>
    </row>
    <row r="65" spans="3:32" ht="36.75" thickBot="1" x14ac:dyDescent="0.3">
      <c r="C65" s="5" t="s">
        <v>64</v>
      </c>
      <c r="D65" s="84">
        <v>58</v>
      </c>
      <c r="E65" s="85" t="s">
        <v>392</v>
      </c>
      <c r="F65" s="85" t="s">
        <v>400</v>
      </c>
      <c r="G65" s="85" t="s">
        <v>368</v>
      </c>
      <c r="H65" s="85" t="s">
        <v>369</v>
      </c>
      <c r="I65" s="85" t="s">
        <v>411</v>
      </c>
      <c r="J65" s="85" t="s">
        <v>412</v>
      </c>
      <c r="K65" s="85" t="s">
        <v>399</v>
      </c>
      <c r="L65" s="85" t="s">
        <v>373</v>
      </c>
      <c r="M65" s="85" t="s">
        <v>403</v>
      </c>
      <c r="N65" s="85" t="s">
        <v>511</v>
      </c>
      <c r="O65" s="85" t="s">
        <v>375</v>
      </c>
      <c r="P65" s="85">
        <v>1533706.3059860002</v>
      </c>
      <c r="Q65" s="85">
        <v>0</v>
      </c>
      <c r="R65" s="85" t="s">
        <v>831</v>
      </c>
      <c r="S65" s="85" t="s">
        <v>377</v>
      </c>
      <c r="T65" s="85" t="s">
        <v>829</v>
      </c>
      <c r="U65" s="85" t="s">
        <v>829</v>
      </c>
      <c r="V65" s="85" t="s">
        <v>378</v>
      </c>
      <c r="W65" s="85">
        <v>0</v>
      </c>
      <c r="X65" s="85" t="s">
        <v>379</v>
      </c>
      <c r="Y65" s="85" t="s">
        <v>404</v>
      </c>
      <c r="Z65" s="85">
        <v>0</v>
      </c>
      <c r="AA65" s="85" t="s">
        <v>381</v>
      </c>
      <c r="AB65" s="86">
        <v>0</v>
      </c>
      <c r="AD65" s="58"/>
      <c r="AE65" s="58"/>
      <c r="AF65" s="58"/>
    </row>
    <row r="66" spans="3:32" ht="36.75" thickBot="1" x14ac:dyDescent="0.3">
      <c r="C66" s="5" t="s">
        <v>64</v>
      </c>
      <c r="D66" s="84">
        <v>59</v>
      </c>
      <c r="E66" s="85" t="s">
        <v>366</v>
      </c>
      <c r="F66" s="85" t="s">
        <v>367</v>
      </c>
      <c r="G66" s="85" t="s">
        <v>368</v>
      </c>
      <c r="H66" s="85" t="s">
        <v>369</v>
      </c>
      <c r="I66" s="85" t="s">
        <v>465</v>
      </c>
      <c r="J66" s="85" t="s">
        <v>466</v>
      </c>
      <c r="K66" s="85" t="s">
        <v>372</v>
      </c>
      <c r="L66" s="85" t="s">
        <v>373</v>
      </c>
      <c r="M66" s="85" t="s">
        <v>374</v>
      </c>
      <c r="N66" s="85" t="s">
        <v>511</v>
      </c>
      <c r="O66" s="85" t="s">
        <v>375</v>
      </c>
      <c r="P66" s="85">
        <v>6034.4</v>
      </c>
      <c r="Q66" s="85">
        <v>0</v>
      </c>
      <c r="R66" s="85" t="s">
        <v>376</v>
      </c>
      <c r="S66" s="85" t="s">
        <v>377</v>
      </c>
      <c r="T66" s="85" t="s">
        <v>829</v>
      </c>
      <c r="U66" s="85" t="s">
        <v>829</v>
      </c>
      <c r="V66" s="85" t="s">
        <v>378</v>
      </c>
      <c r="W66" s="85">
        <v>0</v>
      </c>
      <c r="X66" s="85" t="s">
        <v>379</v>
      </c>
      <c r="Y66" s="85" t="s">
        <v>380</v>
      </c>
      <c r="Z66" s="85">
        <v>0</v>
      </c>
      <c r="AA66" s="85" t="s">
        <v>381</v>
      </c>
      <c r="AB66" s="86">
        <v>0</v>
      </c>
      <c r="AD66" s="58"/>
      <c r="AE66" s="58"/>
      <c r="AF66" s="58"/>
    </row>
    <row r="67" spans="3:32" ht="36.75" thickBot="1" x14ac:dyDescent="0.3">
      <c r="C67" s="5" t="s">
        <v>64</v>
      </c>
      <c r="D67" s="84">
        <v>60</v>
      </c>
      <c r="E67" s="85" t="s">
        <v>392</v>
      </c>
      <c r="F67" s="85" t="s">
        <v>400</v>
      </c>
      <c r="G67" s="85" t="s">
        <v>368</v>
      </c>
      <c r="H67" s="85" t="s">
        <v>467</v>
      </c>
      <c r="I67" s="85" t="s">
        <v>401</v>
      </c>
      <c r="J67" s="85" t="s">
        <v>402</v>
      </c>
      <c r="K67" s="85" t="s">
        <v>399</v>
      </c>
      <c r="L67" s="85" t="s">
        <v>373</v>
      </c>
      <c r="M67" s="85" t="s">
        <v>403</v>
      </c>
      <c r="N67" s="85" t="s">
        <v>511</v>
      </c>
      <c r="O67" s="85" t="s">
        <v>375</v>
      </c>
      <c r="P67" s="85">
        <v>2000098.33</v>
      </c>
      <c r="Q67" s="85">
        <v>0</v>
      </c>
      <c r="R67" s="85" t="s">
        <v>376</v>
      </c>
      <c r="S67" s="85" t="s">
        <v>377</v>
      </c>
      <c r="T67" s="85" t="s">
        <v>829</v>
      </c>
      <c r="U67" s="85" t="s">
        <v>829</v>
      </c>
      <c r="V67" s="85" t="s">
        <v>378</v>
      </c>
      <c r="W67" s="85">
        <v>0</v>
      </c>
      <c r="X67" s="85" t="s">
        <v>379</v>
      </c>
      <c r="Y67" s="85" t="s">
        <v>404</v>
      </c>
      <c r="Z67" s="85">
        <v>0</v>
      </c>
      <c r="AA67" s="85" t="s">
        <v>381</v>
      </c>
      <c r="AB67" s="86">
        <v>0</v>
      </c>
      <c r="AD67" s="58"/>
      <c r="AE67" s="58"/>
      <c r="AF67" s="58"/>
    </row>
    <row r="68" spans="3:32" ht="36.75" thickBot="1" x14ac:dyDescent="0.3">
      <c r="C68" s="5" t="s">
        <v>64</v>
      </c>
      <c r="D68" s="84">
        <v>61</v>
      </c>
      <c r="E68" s="85" t="s">
        <v>468</v>
      </c>
      <c r="F68" s="85" t="s">
        <v>396</v>
      </c>
      <c r="G68" s="85" t="s">
        <v>469</v>
      </c>
      <c r="H68" s="85" t="s">
        <v>470</v>
      </c>
      <c r="I68" s="85" t="s">
        <v>840</v>
      </c>
      <c r="J68" s="85" t="s">
        <v>398</v>
      </c>
      <c r="K68" s="85" t="s">
        <v>399</v>
      </c>
      <c r="L68" s="85" t="s">
        <v>838</v>
      </c>
      <c r="M68" s="85" t="s">
        <v>374</v>
      </c>
      <c r="N68" s="85" t="s">
        <v>511</v>
      </c>
      <c r="O68" s="85" t="s">
        <v>375</v>
      </c>
      <c r="P68" s="88">
        <v>500000000</v>
      </c>
      <c r="Q68" s="85">
        <v>1830821.9200000167</v>
      </c>
      <c r="R68" s="85" t="s">
        <v>376</v>
      </c>
      <c r="S68" s="85" t="s">
        <v>471</v>
      </c>
      <c r="T68" s="85" t="s">
        <v>472</v>
      </c>
      <c r="U68" s="85" t="s">
        <v>472</v>
      </c>
      <c r="V68" s="85" t="s">
        <v>378</v>
      </c>
      <c r="W68" s="85">
        <v>0</v>
      </c>
      <c r="X68" s="85" t="s">
        <v>379</v>
      </c>
      <c r="Y68" s="85" t="s">
        <v>404</v>
      </c>
      <c r="Z68" s="85">
        <v>501830821.92000002</v>
      </c>
      <c r="AA68" s="85" t="s">
        <v>381</v>
      </c>
      <c r="AB68" s="86">
        <v>0</v>
      </c>
      <c r="AD68" s="58"/>
      <c r="AE68" s="58"/>
      <c r="AF68" s="58"/>
    </row>
    <row r="69" spans="3:32" ht="36.75" thickBot="1" x14ac:dyDescent="0.3">
      <c r="C69" s="5" t="s">
        <v>64</v>
      </c>
      <c r="D69" s="84">
        <v>62</v>
      </c>
      <c r="E69" s="85" t="s">
        <v>473</v>
      </c>
      <c r="F69" s="85" t="s">
        <v>400</v>
      </c>
      <c r="G69" s="85" t="s">
        <v>425</v>
      </c>
      <c r="H69" s="85" t="s">
        <v>474</v>
      </c>
      <c r="I69" s="85" t="s">
        <v>411</v>
      </c>
      <c r="J69" s="85" t="s">
        <v>412</v>
      </c>
      <c r="K69" s="85" t="s">
        <v>399</v>
      </c>
      <c r="L69" s="85" t="s">
        <v>373</v>
      </c>
      <c r="M69" s="85" t="s">
        <v>403</v>
      </c>
      <c r="N69" s="85" t="s">
        <v>511</v>
      </c>
      <c r="O69" s="85" t="s">
        <v>375</v>
      </c>
      <c r="P69" s="88">
        <v>7900758.8969630003</v>
      </c>
      <c r="Q69" s="85">
        <v>-172006.90000000037</v>
      </c>
      <c r="R69" s="85" t="s">
        <v>376</v>
      </c>
      <c r="S69" s="85" t="s">
        <v>475</v>
      </c>
      <c r="T69" s="85" t="s">
        <v>829</v>
      </c>
      <c r="U69" s="85" t="s">
        <v>476</v>
      </c>
      <c r="V69" s="85" t="s">
        <v>378</v>
      </c>
      <c r="W69" s="85">
        <v>0</v>
      </c>
      <c r="X69" s="85" t="s">
        <v>379</v>
      </c>
      <c r="Y69" s="85" t="s">
        <v>404</v>
      </c>
      <c r="Z69" s="85">
        <v>0</v>
      </c>
      <c r="AA69" s="85" t="s">
        <v>381</v>
      </c>
      <c r="AB69" s="86">
        <v>0</v>
      </c>
      <c r="AD69" s="58"/>
      <c r="AE69" s="58"/>
      <c r="AF69" s="58"/>
    </row>
    <row r="70" spans="3:32" ht="36.75" thickBot="1" x14ac:dyDescent="0.3">
      <c r="C70" s="5" t="s">
        <v>64</v>
      </c>
      <c r="D70" s="84">
        <v>63</v>
      </c>
      <c r="E70" s="85" t="s">
        <v>366</v>
      </c>
      <c r="F70" s="85" t="s">
        <v>396</v>
      </c>
      <c r="G70" s="85" t="s">
        <v>368</v>
      </c>
      <c r="H70" s="85" t="s">
        <v>477</v>
      </c>
      <c r="I70" s="85" t="s">
        <v>840</v>
      </c>
      <c r="J70" s="85" t="s">
        <v>398</v>
      </c>
      <c r="K70" s="85" t="s">
        <v>399</v>
      </c>
      <c r="L70" s="85" t="s">
        <v>838</v>
      </c>
      <c r="M70" s="85" t="s">
        <v>374</v>
      </c>
      <c r="N70" s="85" t="s">
        <v>511</v>
      </c>
      <c r="O70" s="85" t="s">
        <v>375</v>
      </c>
      <c r="P70" s="85">
        <v>11764647.339576999</v>
      </c>
      <c r="Q70" s="85">
        <v>0</v>
      </c>
      <c r="R70" s="85" t="s">
        <v>376</v>
      </c>
      <c r="S70" s="85" t="s">
        <v>478</v>
      </c>
      <c r="T70" s="85" t="s">
        <v>829</v>
      </c>
      <c r="U70" s="85" t="s">
        <v>479</v>
      </c>
      <c r="V70" s="85" t="s">
        <v>378</v>
      </c>
      <c r="W70" s="85">
        <v>0</v>
      </c>
      <c r="X70" s="85" t="s">
        <v>379</v>
      </c>
      <c r="Y70" s="85" t="s">
        <v>380</v>
      </c>
      <c r="Z70" s="85">
        <v>0</v>
      </c>
      <c r="AA70" s="85" t="s">
        <v>381</v>
      </c>
      <c r="AB70" s="86">
        <v>0</v>
      </c>
      <c r="AD70" s="58"/>
      <c r="AE70" s="58"/>
      <c r="AF70" s="58"/>
    </row>
    <row r="71" spans="3:32" ht="36.75" thickBot="1" x14ac:dyDescent="0.3">
      <c r="C71" s="5" t="s">
        <v>64</v>
      </c>
      <c r="D71" s="84">
        <v>64</v>
      </c>
      <c r="E71" s="85" t="s">
        <v>468</v>
      </c>
      <c r="F71" s="85" t="s">
        <v>396</v>
      </c>
      <c r="G71" s="85" t="s">
        <v>469</v>
      </c>
      <c r="H71" s="85" t="s">
        <v>480</v>
      </c>
      <c r="I71" s="85" t="s">
        <v>840</v>
      </c>
      <c r="J71" s="85" t="s">
        <v>398</v>
      </c>
      <c r="K71" s="85" t="s">
        <v>399</v>
      </c>
      <c r="L71" s="85" t="s">
        <v>838</v>
      </c>
      <c r="M71" s="85" t="s">
        <v>374</v>
      </c>
      <c r="N71" s="85" t="s">
        <v>511</v>
      </c>
      <c r="O71" s="85" t="s">
        <v>375</v>
      </c>
      <c r="P71" s="88">
        <v>600000000</v>
      </c>
      <c r="Q71" s="85">
        <v>10726619.179999948</v>
      </c>
      <c r="R71" s="85" t="s">
        <v>376</v>
      </c>
      <c r="S71" s="85" t="s">
        <v>481</v>
      </c>
      <c r="T71" s="85" t="s">
        <v>482</v>
      </c>
      <c r="U71" s="85" t="s">
        <v>482</v>
      </c>
      <c r="V71" s="85" t="s">
        <v>378</v>
      </c>
      <c r="W71" s="85">
        <v>0</v>
      </c>
      <c r="X71" s="85" t="s">
        <v>379</v>
      </c>
      <c r="Y71" s="85" t="s">
        <v>404</v>
      </c>
      <c r="Z71" s="85">
        <v>610726619.17999995</v>
      </c>
      <c r="AA71" s="85" t="s">
        <v>381</v>
      </c>
      <c r="AB71" s="86">
        <v>0</v>
      </c>
      <c r="AD71" s="58"/>
      <c r="AE71" s="58"/>
      <c r="AF71" s="58"/>
    </row>
    <row r="72" spans="3:32" ht="36.75" thickBot="1" x14ac:dyDescent="0.3">
      <c r="C72" s="5" t="s">
        <v>64</v>
      </c>
      <c r="D72" s="84">
        <v>65</v>
      </c>
      <c r="E72" s="85" t="s">
        <v>366</v>
      </c>
      <c r="F72" s="85" t="s">
        <v>396</v>
      </c>
      <c r="G72" s="85" t="s">
        <v>368</v>
      </c>
      <c r="H72" s="85" t="s">
        <v>483</v>
      </c>
      <c r="I72" s="85" t="s">
        <v>840</v>
      </c>
      <c r="J72" s="85" t="s">
        <v>398</v>
      </c>
      <c r="K72" s="85" t="s">
        <v>399</v>
      </c>
      <c r="L72" s="85" t="s">
        <v>838</v>
      </c>
      <c r="M72" s="85" t="s">
        <v>374</v>
      </c>
      <c r="N72" s="85" t="s">
        <v>511</v>
      </c>
      <c r="O72" s="85" t="s">
        <v>375</v>
      </c>
      <c r="P72" s="85">
        <v>6131753.6971890004</v>
      </c>
      <c r="Q72" s="85">
        <v>0</v>
      </c>
      <c r="R72" s="85" t="s">
        <v>376</v>
      </c>
      <c r="S72" s="85" t="s">
        <v>484</v>
      </c>
      <c r="T72" s="85" t="s">
        <v>829</v>
      </c>
      <c r="U72" s="85" t="s">
        <v>485</v>
      </c>
      <c r="V72" s="85" t="s">
        <v>378</v>
      </c>
      <c r="W72" s="85">
        <v>0</v>
      </c>
      <c r="X72" s="85" t="s">
        <v>379</v>
      </c>
      <c r="Y72" s="85" t="s">
        <v>380</v>
      </c>
      <c r="Z72" s="85">
        <v>0</v>
      </c>
      <c r="AA72" s="85" t="s">
        <v>381</v>
      </c>
      <c r="AB72" s="86">
        <v>0</v>
      </c>
      <c r="AD72" s="58"/>
      <c r="AE72" s="58"/>
      <c r="AF72" s="58"/>
    </row>
    <row r="73" spans="3:32" ht="48.75" thickBot="1" x14ac:dyDescent="0.3">
      <c r="C73" s="5" t="s">
        <v>64</v>
      </c>
      <c r="D73" s="84">
        <v>66</v>
      </c>
      <c r="E73" s="85" t="s">
        <v>486</v>
      </c>
      <c r="F73" s="85" t="s">
        <v>396</v>
      </c>
      <c r="G73" s="85" t="s">
        <v>487</v>
      </c>
      <c r="H73" s="85" t="s">
        <v>488</v>
      </c>
      <c r="I73" s="85" t="s">
        <v>840</v>
      </c>
      <c r="J73" s="85" t="s">
        <v>398</v>
      </c>
      <c r="K73" s="85" t="s">
        <v>399</v>
      </c>
      <c r="L73" s="85" t="s">
        <v>838</v>
      </c>
      <c r="M73" s="85" t="s">
        <v>374</v>
      </c>
      <c r="N73" s="85" t="s">
        <v>511</v>
      </c>
      <c r="O73" s="85" t="s">
        <v>375</v>
      </c>
      <c r="P73" s="88">
        <v>400000000</v>
      </c>
      <c r="Q73" s="85">
        <v>0</v>
      </c>
      <c r="R73" s="85" t="s">
        <v>376</v>
      </c>
      <c r="S73" s="85" t="s">
        <v>489</v>
      </c>
      <c r="T73" s="87" t="s">
        <v>836</v>
      </c>
      <c r="U73" s="85" t="s">
        <v>490</v>
      </c>
      <c r="V73" s="85" t="s">
        <v>378</v>
      </c>
      <c r="W73" s="85">
        <v>0</v>
      </c>
      <c r="X73" s="85" t="s">
        <v>379</v>
      </c>
      <c r="Y73" s="85" t="s">
        <v>404</v>
      </c>
      <c r="Z73" s="85">
        <v>400000000</v>
      </c>
      <c r="AA73" s="85" t="s">
        <v>833</v>
      </c>
      <c r="AB73" s="89">
        <v>400000000</v>
      </c>
      <c r="AD73" s="58"/>
      <c r="AE73" s="58"/>
      <c r="AF73" s="58"/>
    </row>
    <row r="74" spans="3:32" ht="48.75" thickBot="1" x14ac:dyDescent="0.3">
      <c r="C74" s="5" t="s">
        <v>64</v>
      </c>
      <c r="D74" s="84">
        <v>67</v>
      </c>
      <c r="E74" s="85" t="s">
        <v>491</v>
      </c>
      <c r="F74" s="85" t="s">
        <v>396</v>
      </c>
      <c r="G74" s="85" t="s">
        <v>492</v>
      </c>
      <c r="H74" s="85" t="s">
        <v>493</v>
      </c>
      <c r="I74" s="85" t="s">
        <v>840</v>
      </c>
      <c r="J74" s="85" t="s">
        <v>398</v>
      </c>
      <c r="K74" s="85" t="s">
        <v>399</v>
      </c>
      <c r="L74" s="85" t="s">
        <v>838</v>
      </c>
      <c r="M74" s="85" t="s">
        <v>374</v>
      </c>
      <c r="N74" s="85" t="s">
        <v>511</v>
      </c>
      <c r="O74" s="85" t="s">
        <v>375</v>
      </c>
      <c r="P74" s="88">
        <v>200000000</v>
      </c>
      <c r="Q74" s="88">
        <v>5321008</v>
      </c>
      <c r="R74" s="85" t="s">
        <v>376</v>
      </c>
      <c r="S74" s="85" t="s">
        <v>494</v>
      </c>
      <c r="T74" s="87" t="s">
        <v>837</v>
      </c>
      <c r="U74" s="85" t="s">
        <v>495</v>
      </c>
      <c r="V74" s="85" t="s">
        <v>378</v>
      </c>
      <c r="W74" s="85">
        <v>0</v>
      </c>
      <c r="X74" s="85" t="s">
        <v>379</v>
      </c>
      <c r="Y74" s="85" t="s">
        <v>404</v>
      </c>
      <c r="Z74" s="85">
        <v>205321008</v>
      </c>
      <c r="AA74" s="85" t="s">
        <v>835</v>
      </c>
      <c r="AB74" s="89">
        <v>205321008</v>
      </c>
      <c r="AD74" s="58"/>
      <c r="AE74" s="58"/>
      <c r="AF74" s="58"/>
    </row>
    <row r="75" spans="3:32" ht="36.75" thickBot="1" x14ac:dyDescent="0.3">
      <c r="C75" s="5" t="s">
        <v>64</v>
      </c>
      <c r="D75" s="84">
        <v>68</v>
      </c>
      <c r="E75" s="85" t="s">
        <v>496</v>
      </c>
      <c r="F75" s="85" t="s">
        <v>396</v>
      </c>
      <c r="G75" s="85" t="s">
        <v>497</v>
      </c>
      <c r="H75" s="85" t="s">
        <v>498</v>
      </c>
      <c r="I75" s="85" t="s">
        <v>840</v>
      </c>
      <c r="J75" s="85" t="s">
        <v>398</v>
      </c>
      <c r="K75" s="85" t="s">
        <v>399</v>
      </c>
      <c r="L75" s="85" t="s">
        <v>838</v>
      </c>
      <c r="M75" s="85" t="s">
        <v>374</v>
      </c>
      <c r="N75" s="85" t="s">
        <v>511</v>
      </c>
      <c r="O75" s="85" t="s">
        <v>375</v>
      </c>
      <c r="P75" s="88">
        <v>1970351795</v>
      </c>
      <c r="Q75" s="85">
        <v>0</v>
      </c>
      <c r="R75" s="85" t="s">
        <v>376</v>
      </c>
      <c r="S75" s="85" t="s">
        <v>499</v>
      </c>
      <c r="T75" s="85" t="s">
        <v>490</v>
      </c>
      <c r="U75" s="85" t="s">
        <v>490</v>
      </c>
      <c r="V75" s="85" t="s">
        <v>378</v>
      </c>
      <c r="W75" s="85">
        <v>0</v>
      </c>
      <c r="X75" s="85" t="s">
        <v>379</v>
      </c>
      <c r="Y75" s="85" t="s">
        <v>404</v>
      </c>
      <c r="Z75" s="85">
        <v>1970351795</v>
      </c>
      <c r="AA75" s="85" t="s">
        <v>834</v>
      </c>
      <c r="AB75" s="89">
        <v>1970351795</v>
      </c>
      <c r="AD75" s="58"/>
      <c r="AE75" s="58"/>
      <c r="AF75" s="58"/>
    </row>
    <row r="76" spans="3:32" ht="36.75" thickBot="1" x14ac:dyDescent="0.3">
      <c r="C76" s="5" t="s">
        <v>64</v>
      </c>
      <c r="D76" s="84">
        <v>69</v>
      </c>
      <c r="E76" s="85" t="s">
        <v>366</v>
      </c>
      <c r="F76" s="85" t="s">
        <v>396</v>
      </c>
      <c r="G76" s="85" t="s">
        <v>368</v>
      </c>
      <c r="H76" s="85" t="s">
        <v>500</v>
      </c>
      <c r="I76" s="85" t="s">
        <v>840</v>
      </c>
      <c r="J76" s="85" t="s">
        <v>398</v>
      </c>
      <c r="K76" s="85" t="s">
        <v>399</v>
      </c>
      <c r="L76" s="85" t="s">
        <v>838</v>
      </c>
      <c r="M76" s="85" t="s">
        <v>374</v>
      </c>
      <c r="N76" s="85" t="s">
        <v>511</v>
      </c>
      <c r="O76" s="85" t="s">
        <v>375</v>
      </c>
      <c r="P76" s="85">
        <v>2810241.435484</v>
      </c>
      <c r="Q76" s="85">
        <v>0</v>
      </c>
      <c r="R76" s="85" t="s">
        <v>376</v>
      </c>
      <c r="S76" s="85" t="s">
        <v>501</v>
      </c>
      <c r="T76" s="85" t="s">
        <v>829</v>
      </c>
      <c r="U76" s="85" t="s">
        <v>502</v>
      </c>
      <c r="V76" s="85" t="s">
        <v>378</v>
      </c>
      <c r="W76" s="85">
        <v>0</v>
      </c>
      <c r="X76" s="85" t="s">
        <v>379</v>
      </c>
      <c r="Y76" s="85" t="s">
        <v>380</v>
      </c>
      <c r="Z76" s="85">
        <v>0</v>
      </c>
      <c r="AA76" s="85" t="s">
        <v>381</v>
      </c>
      <c r="AB76" s="86">
        <v>0</v>
      </c>
      <c r="AD76" s="58"/>
      <c r="AE76" s="58"/>
      <c r="AF76" s="58"/>
    </row>
    <row r="77" spans="3:32" ht="36.75" thickBot="1" x14ac:dyDescent="0.3">
      <c r="C77" s="5" t="s">
        <v>64</v>
      </c>
      <c r="D77" s="84">
        <v>70</v>
      </c>
      <c r="E77" s="85" t="s">
        <v>366</v>
      </c>
      <c r="F77" s="85" t="s">
        <v>396</v>
      </c>
      <c r="G77" s="85" t="s">
        <v>368</v>
      </c>
      <c r="H77" s="85" t="s">
        <v>503</v>
      </c>
      <c r="I77" s="85" t="s">
        <v>840</v>
      </c>
      <c r="J77" s="85" t="s">
        <v>398</v>
      </c>
      <c r="K77" s="85" t="s">
        <v>399</v>
      </c>
      <c r="L77" s="85" t="s">
        <v>838</v>
      </c>
      <c r="M77" s="85" t="s">
        <v>374</v>
      </c>
      <c r="N77" s="85" t="s">
        <v>511</v>
      </c>
      <c r="O77" s="85" t="s">
        <v>375</v>
      </c>
      <c r="P77" s="85">
        <v>8357875.9594649998</v>
      </c>
      <c r="Q77" s="85">
        <v>0</v>
      </c>
      <c r="R77" s="85" t="s">
        <v>376</v>
      </c>
      <c r="S77" s="85" t="s">
        <v>504</v>
      </c>
      <c r="T77" s="85" t="s">
        <v>829</v>
      </c>
      <c r="U77" s="85" t="s">
        <v>505</v>
      </c>
      <c r="V77" s="85" t="s">
        <v>378</v>
      </c>
      <c r="W77" s="85">
        <v>0</v>
      </c>
      <c r="X77" s="85" t="s">
        <v>379</v>
      </c>
      <c r="Y77" s="85" t="s">
        <v>380</v>
      </c>
      <c r="Z77" s="85">
        <v>0</v>
      </c>
      <c r="AA77" s="85" t="s">
        <v>381</v>
      </c>
      <c r="AB77" s="86">
        <v>0</v>
      </c>
      <c r="AD77" s="58"/>
      <c r="AE77" s="58"/>
      <c r="AF77" s="58"/>
    </row>
    <row r="78" spans="3:32" ht="36.75" thickBot="1" x14ac:dyDescent="0.3">
      <c r="C78" s="5" t="s">
        <v>64</v>
      </c>
      <c r="D78" s="84">
        <v>71</v>
      </c>
      <c r="E78" s="85" t="s">
        <v>366</v>
      </c>
      <c r="F78" s="85" t="s">
        <v>367</v>
      </c>
      <c r="G78" s="85" t="s">
        <v>368</v>
      </c>
      <c r="H78" s="85" t="s">
        <v>369</v>
      </c>
      <c r="I78" s="85" t="s">
        <v>370</v>
      </c>
      <c r="J78" s="85" t="s">
        <v>371</v>
      </c>
      <c r="K78" s="85" t="s">
        <v>372</v>
      </c>
      <c r="L78" s="85" t="s">
        <v>373</v>
      </c>
      <c r="M78" s="85" t="s">
        <v>374</v>
      </c>
      <c r="N78" s="85" t="s">
        <v>511</v>
      </c>
      <c r="O78" s="85" t="s">
        <v>375</v>
      </c>
      <c r="P78" s="85">
        <v>100000</v>
      </c>
      <c r="Q78" s="85">
        <v>0</v>
      </c>
      <c r="R78" s="85" t="s">
        <v>376</v>
      </c>
      <c r="S78" s="85" t="s">
        <v>377</v>
      </c>
      <c r="T78" s="85" t="s">
        <v>829</v>
      </c>
      <c r="U78" s="85" t="s">
        <v>829</v>
      </c>
      <c r="V78" s="85" t="s">
        <v>378</v>
      </c>
      <c r="W78" s="85">
        <v>0</v>
      </c>
      <c r="X78" s="85" t="s">
        <v>379</v>
      </c>
      <c r="Y78" s="85" t="s">
        <v>380</v>
      </c>
      <c r="Z78" s="85">
        <v>0</v>
      </c>
      <c r="AA78" s="85" t="s">
        <v>381</v>
      </c>
      <c r="AB78" s="86">
        <v>0</v>
      </c>
      <c r="AD78" s="58"/>
      <c r="AE78" s="58"/>
      <c r="AF78" s="58"/>
    </row>
    <row r="79" spans="3:32" ht="36.75" thickBot="1" x14ac:dyDescent="0.3">
      <c r="C79" s="5" t="s">
        <v>64</v>
      </c>
      <c r="D79" s="84">
        <v>72</v>
      </c>
      <c r="E79" s="85" t="s">
        <v>366</v>
      </c>
      <c r="F79" s="85" t="s">
        <v>367</v>
      </c>
      <c r="G79" s="85" t="s">
        <v>368</v>
      </c>
      <c r="H79" s="85" t="s">
        <v>369</v>
      </c>
      <c r="I79" s="85" t="s">
        <v>382</v>
      </c>
      <c r="J79" s="85" t="s">
        <v>383</v>
      </c>
      <c r="K79" s="85" t="s">
        <v>372</v>
      </c>
      <c r="L79" s="85" t="s">
        <v>373</v>
      </c>
      <c r="M79" s="85" t="s">
        <v>374</v>
      </c>
      <c r="N79" s="85" t="s">
        <v>511</v>
      </c>
      <c r="O79" s="85" t="s">
        <v>375</v>
      </c>
      <c r="P79" s="85">
        <v>100000</v>
      </c>
      <c r="Q79" s="85">
        <v>0</v>
      </c>
      <c r="R79" s="85" t="s">
        <v>376</v>
      </c>
      <c r="S79" s="85" t="s">
        <v>377</v>
      </c>
      <c r="T79" s="85" t="s">
        <v>829</v>
      </c>
      <c r="U79" s="85" t="s">
        <v>829</v>
      </c>
      <c r="V79" s="85" t="s">
        <v>378</v>
      </c>
      <c r="W79" s="85">
        <v>0</v>
      </c>
      <c r="X79" s="85" t="s">
        <v>379</v>
      </c>
      <c r="Y79" s="85" t="s">
        <v>380</v>
      </c>
      <c r="Z79" s="85">
        <v>0</v>
      </c>
      <c r="AA79" s="85" t="s">
        <v>381</v>
      </c>
      <c r="AB79" s="86">
        <v>0</v>
      </c>
      <c r="AD79" s="58"/>
      <c r="AE79" s="58"/>
      <c r="AF79" s="58"/>
    </row>
    <row r="80" spans="3:32" ht="36.75" thickBot="1" x14ac:dyDescent="0.3">
      <c r="C80" s="5" t="s">
        <v>64</v>
      </c>
      <c r="D80" s="84">
        <v>73</v>
      </c>
      <c r="E80" s="85" t="s">
        <v>366</v>
      </c>
      <c r="F80" s="85" t="s">
        <v>367</v>
      </c>
      <c r="G80" s="85" t="s">
        <v>368</v>
      </c>
      <c r="H80" s="85" t="s">
        <v>369</v>
      </c>
      <c r="I80" s="85" t="s">
        <v>384</v>
      </c>
      <c r="J80" s="85" t="s">
        <v>385</v>
      </c>
      <c r="K80" s="85" t="s">
        <v>372</v>
      </c>
      <c r="L80" s="85" t="s">
        <v>373</v>
      </c>
      <c r="M80" s="85" t="s">
        <v>374</v>
      </c>
      <c r="N80" s="85" t="s">
        <v>511</v>
      </c>
      <c r="O80" s="85" t="s">
        <v>375</v>
      </c>
      <c r="P80" s="85">
        <v>100000</v>
      </c>
      <c r="Q80" s="85">
        <v>0</v>
      </c>
      <c r="R80" s="85" t="s">
        <v>376</v>
      </c>
      <c r="S80" s="85" t="s">
        <v>377</v>
      </c>
      <c r="T80" s="85" t="s">
        <v>829</v>
      </c>
      <c r="U80" s="85" t="s">
        <v>829</v>
      </c>
      <c r="V80" s="85" t="s">
        <v>378</v>
      </c>
      <c r="W80" s="85">
        <v>0</v>
      </c>
      <c r="X80" s="85" t="s">
        <v>379</v>
      </c>
      <c r="Y80" s="85" t="s">
        <v>380</v>
      </c>
      <c r="Z80" s="85">
        <v>0</v>
      </c>
      <c r="AA80" s="85" t="s">
        <v>381</v>
      </c>
      <c r="AB80" s="86">
        <v>0</v>
      </c>
      <c r="AD80" s="58"/>
      <c r="AE80" s="58"/>
      <c r="AF80" s="58"/>
    </row>
    <row r="81" spans="3:32" ht="36.75" thickBot="1" x14ac:dyDescent="0.3">
      <c r="C81" s="5" t="s">
        <v>64</v>
      </c>
      <c r="D81" s="84">
        <v>74</v>
      </c>
      <c r="E81" s="85" t="s">
        <v>366</v>
      </c>
      <c r="F81" s="85" t="s">
        <v>367</v>
      </c>
      <c r="G81" s="85" t="s">
        <v>368</v>
      </c>
      <c r="H81" s="85" t="s">
        <v>369</v>
      </c>
      <c r="I81" s="85" t="s">
        <v>386</v>
      </c>
      <c r="J81" s="85" t="s">
        <v>387</v>
      </c>
      <c r="K81" s="85" t="s">
        <v>372</v>
      </c>
      <c r="L81" s="85" t="s">
        <v>373</v>
      </c>
      <c r="M81" s="85" t="s">
        <v>374</v>
      </c>
      <c r="N81" s="85" t="s">
        <v>511</v>
      </c>
      <c r="O81" s="85" t="s">
        <v>375</v>
      </c>
      <c r="P81" s="85">
        <v>100000</v>
      </c>
      <c r="Q81" s="85">
        <v>0</v>
      </c>
      <c r="R81" s="85" t="s">
        <v>376</v>
      </c>
      <c r="S81" s="85" t="s">
        <v>377</v>
      </c>
      <c r="T81" s="85" t="s">
        <v>829</v>
      </c>
      <c r="U81" s="85" t="s">
        <v>829</v>
      </c>
      <c r="V81" s="85" t="s">
        <v>378</v>
      </c>
      <c r="W81" s="85">
        <v>0</v>
      </c>
      <c r="X81" s="85" t="s">
        <v>379</v>
      </c>
      <c r="Y81" s="85" t="s">
        <v>380</v>
      </c>
      <c r="Z81" s="85">
        <v>0</v>
      </c>
      <c r="AA81" s="85" t="s">
        <v>381</v>
      </c>
      <c r="AB81" s="86">
        <v>0</v>
      </c>
      <c r="AD81" s="58"/>
      <c r="AE81" s="58"/>
      <c r="AF81" s="58"/>
    </row>
    <row r="82" spans="3:32" ht="36.75" thickBot="1" x14ac:dyDescent="0.3">
      <c r="C82" s="5" t="s">
        <v>64</v>
      </c>
      <c r="D82" s="84">
        <v>75</v>
      </c>
      <c r="E82" s="85" t="s">
        <v>366</v>
      </c>
      <c r="F82" s="85" t="s">
        <v>367</v>
      </c>
      <c r="G82" s="85" t="s">
        <v>368</v>
      </c>
      <c r="H82" s="85" t="s">
        <v>369</v>
      </c>
      <c r="I82" s="85" t="s">
        <v>388</v>
      </c>
      <c r="J82" s="85" t="s">
        <v>389</v>
      </c>
      <c r="K82" s="85" t="s">
        <v>372</v>
      </c>
      <c r="L82" s="85" t="s">
        <v>373</v>
      </c>
      <c r="M82" s="85" t="s">
        <v>374</v>
      </c>
      <c r="N82" s="85" t="s">
        <v>511</v>
      </c>
      <c r="O82" s="85" t="s">
        <v>375</v>
      </c>
      <c r="P82" s="85">
        <v>100000</v>
      </c>
      <c r="Q82" s="85">
        <v>0</v>
      </c>
      <c r="R82" s="85" t="s">
        <v>376</v>
      </c>
      <c r="S82" s="85" t="s">
        <v>377</v>
      </c>
      <c r="T82" s="85" t="s">
        <v>829</v>
      </c>
      <c r="U82" s="85" t="s">
        <v>829</v>
      </c>
      <c r="V82" s="85" t="s">
        <v>378</v>
      </c>
      <c r="W82" s="85">
        <v>0</v>
      </c>
      <c r="X82" s="85" t="s">
        <v>379</v>
      </c>
      <c r="Y82" s="85" t="s">
        <v>380</v>
      </c>
      <c r="Z82" s="85">
        <v>0</v>
      </c>
      <c r="AA82" s="85" t="s">
        <v>381</v>
      </c>
      <c r="AB82" s="86">
        <v>0</v>
      </c>
      <c r="AD82" s="58"/>
      <c r="AE82" s="58"/>
      <c r="AF82" s="58"/>
    </row>
    <row r="83" spans="3:32" ht="36.75" thickBot="1" x14ac:dyDescent="0.3">
      <c r="C83" s="5" t="s">
        <v>64</v>
      </c>
      <c r="D83" s="84">
        <v>76</v>
      </c>
      <c r="E83" s="85" t="s">
        <v>366</v>
      </c>
      <c r="F83" s="85" t="s">
        <v>367</v>
      </c>
      <c r="G83" s="85" t="s">
        <v>368</v>
      </c>
      <c r="H83" s="85" t="s">
        <v>369</v>
      </c>
      <c r="I83" s="85" t="s">
        <v>390</v>
      </c>
      <c r="J83" s="85" t="s">
        <v>391</v>
      </c>
      <c r="K83" s="85" t="s">
        <v>372</v>
      </c>
      <c r="L83" s="85" t="s">
        <v>373</v>
      </c>
      <c r="M83" s="85" t="s">
        <v>374</v>
      </c>
      <c r="N83" s="85" t="s">
        <v>511</v>
      </c>
      <c r="O83" s="85" t="s">
        <v>375</v>
      </c>
      <c r="P83" s="85">
        <v>28890.45</v>
      </c>
      <c r="Q83" s="85">
        <v>0</v>
      </c>
      <c r="R83" s="85" t="s">
        <v>376</v>
      </c>
      <c r="S83" s="85" t="s">
        <v>377</v>
      </c>
      <c r="T83" s="85" t="s">
        <v>829</v>
      </c>
      <c r="U83" s="85" t="s">
        <v>829</v>
      </c>
      <c r="V83" s="85" t="s">
        <v>378</v>
      </c>
      <c r="W83" s="85">
        <v>0</v>
      </c>
      <c r="X83" s="85" t="s">
        <v>379</v>
      </c>
      <c r="Y83" s="85" t="s">
        <v>380</v>
      </c>
      <c r="Z83" s="85">
        <v>0</v>
      </c>
      <c r="AA83" s="85" t="s">
        <v>381</v>
      </c>
      <c r="AB83" s="86">
        <v>0</v>
      </c>
      <c r="AD83" s="58"/>
      <c r="AE83" s="58"/>
      <c r="AF83" s="58"/>
    </row>
    <row r="84" spans="3:32" ht="36.75" thickBot="1" x14ac:dyDescent="0.3">
      <c r="C84" s="5" t="s">
        <v>64</v>
      </c>
      <c r="D84" s="84">
        <v>77</v>
      </c>
      <c r="E84" s="85" t="s">
        <v>366</v>
      </c>
      <c r="F84" s="85" t="s">
        <v>367</v>
      </c>
      <c r="G84" s="85" t="s">
        <v>368</v>
      </c>
      <c r="H84" s="85" t="s">
        <v>369</v>
      </c>
      <c r="I84" s="85" t="s">
        <v>506</v>
      </c>
      <c r="J84" s="85" t="s">
        <v>507</v>
      </c>
      <c r="K84" s="85" t="s">
        <v>372</v>
      </c>
      <c r="L84" s="85" t="s">
        <v>373</v>
      </c>
      <c r="M84" s="85" t="s">
        <v>374</v>
      </c>
      <c r="N84" s="85" t="s">
        <v>511</v>
      </c>
      <c r="O84" s="85" t="s">
        <v>375</v>
      </c>
      <c r="P84" s="85">
        <v>17688.22</v>
      </c>
      <c r="Q84" s="85">
        <v>0</v>
      </c>
      <c r="R84" s="85" t="s">
        <v>376</v>
      </c>
      <c r="S84" s="85" t="s">
        <v>377</v>
      </c>
      <c r="T84" s="85" t="s">
        <v>829</v>
      </c>
      <c r="U84" s="85" t="s">
        <v>829</v>
      </c>
      <c r="V84" s="85" t="s">
        <v>378</v>
      </c>
      <c r="W84" s="85">
        <v>0</v>
      </c>
      <c r="X84" s="85" t="s">
        <v>379</v>
      </c>
      <c r="Y84" s="85" t="s">
        <v>380</v>
      </c>
      <c r="Z84" s="85">
        <v>0</v>
      </c>
      <c r="AA84" s="85" t="s">
        <v>381</v>
      </c>
      <c r="AB84" s="86">
        <v>0</v>
      </c>
      <c r="AD84" s="58"/>
      <c r="AE84" s="58"/>
      <c r="AF84" s="58"/>
    </row>
    <row r="85" spans="3:32" ht="36.75" thickBot="1" x14ac:dyDescent="0.3">
      <c r="C85" s="5" t="s">
        <v>64</v>
      </c>
      <c r="D85" s="84">
        <v>78</v>
      </c>
      <c r="E85" s="85" t="s">
        <v>392</v>
      </c>
      <c r="F85" s="85" t="s">
        <v>393</v>
      </c>
      <c r="G85" s="85" t="s">
        <v>839</v>
      </c>
      <c r="H85" s="85" t="s">
        <v>369</v>
      </c>
      <c r="I85" s="85" t="s">
        <v>394</v>
      </c>
      <c r="J85" s="85" t="s">
        <v>395</v>
      </c>
      <c r="K85" s="85" t="s">
        <v>372</v>
      </c>
      <c r="L85" s="85" t="s">
        <v>373</v>
      </c>
      <c r="M85" s="85" t="s">
        <v>374</v>
      </c>
      <c r="N85" s="85" t="s">
        <v>511</v>
      </c>
      <c r="O85" s="85" t="s">
        <v>375</v>
      </c>
      <c r="P85" s="85">
        <v>16221.25</v>
      </c>
      <c r="Q85" s="85">
        <v>0</v>
      </c>
      <c r="R85" s="85" t="s">
        <v>376</v>
      </c>
      <c r="S85" s="85" t="s">
        <v>377</v>
      </c>
      <c r="T85" s="85" t="s">
        <v>829</v>
      </c>
      <c r="U85" s="85" t="s">
        <v>829</v>
      </c>
      <c r="V85" s="85" t="s">
        <v>378</v>
      </c>
      <c r="W85" s="85">
        <v>0</v>
      </c>
      <c r="X85" s="85" t="s">
        <v>379</v>
      </c>
      <c r="Y85" s="85" t="s">
        <v>380</v>
      </c>
      <c r="Z85" s="85">
        <v>0</v>
      </c>
      <c r="AA85" s="85" t="s">
        <v>381</v>
      </c>
      <c r="AB85" s="86">
        <v>0</v>
      </c>
      <c r="AD85" s="58"/>
      <c r="AE85" s="58"/>
      <c r="AF85" s="58"/>
    </row>
    <row r="87" spans="3:32" x14ac:dyDescent="0.25">
      <c r="P87" s="79"/>
    </row>
    <row r="88" spans="3:32" x14ac:dyDescent="0.25">
      <c r="E88" s="74"/>
      <c r="P88" s="70"/>
      <c r="AA88" s="73"/>
    </row>
    <row r="89" spans="3:32" x14ac:dyDescent="0.25">
      <c r="P89" s="70"/>
      <c r="AA89" s="73"/>
    </row>
    <row r="90" spans="3:32" ht="15.75" thickBot="1" x14ac:dyDescent="0.3">
      <c r="AA90" s="73"/>
    </row>
    <row r="91" spans="3:32" ht="24.75" thickBot="1" x14ac:dyDescent="0.3">
      <c r="I91" s="15" t="s">
        <v>397</v>
      </c>
      <c r="J91" s="15" t="s">
        <v>398</v>
      </c>
      <c r="K91" s="15" t="s">
        <v>399</v>
      </c>
      <c r="L91" s="15" t="s">
        <v>838</v>
      </c>
      <c r="AA91" s="73"/>
    </row>
    <row r="92" spans="3:32" x14ac:dyDescent="0.25">
      <c r="AA92" s="73"/>
    </row>
    <row r="93" spans="3:32" x14ac:dyDescent="0.25">
      <c r="AA93" s="73"/>
    </row>
    <row r="94" spans="3:32" x14ac:dyDescent="0.25">
      <c r="AA94" s="73"/>
    </row>
    <row r="95" spans="3:32" x14ac:dyDescent="0.25">
      <c r="AA95" s="73"/>
    </row>
    <row r="96" spans="3:32" x14ac:dyDescent="0.25">
      <c r="AA96" s="73"/>
    </row>
    <row r="97" spans="27:27" x14ac:dyDescent="0.25">
      <c r="AA97" s="73"/>
    </row>
    <row r="98" spans="27:27" x14ac:dyDescent="0.25">
      <c r="AA98" s="73"/>
    </row>
    <row r="99" spans="27:27" x14ac:dyDescent="0.25">
      <c r="AA99" s="73"/>
    </row>
    <row r="100" spans="27:27" x14ac:dyDescent="0.25">
      <c r="AA100" s="73"/>
    </row>
    <row r="101" spans="27:27" x14ac:dyDescent="0.25">
      <c r="AA101" s="73"/>
    </row>
    <row r="102" spans="27:27" x14ac:dyDescent="0.25">
      <c r="AA102" s="73"/>
    </row>
  </sheetData>
  <autoFilter ref="A7:AF85"/>
  <mergeCells count="4">
    <mergeCell ref="A1:AB1"/>
    <mergeCell ref="D4:AB4"/>
    <mergeCell ref="E5:F5"/>
    <mergeCell ref="G5:AB5"/>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Q8"/>
  <sheetViews>
    <sheetView workbookViewId="0">
      <selection activeCell="A8" sqref="A8"/>
    </sheetView>
  </sheetViews>
  <sheetFormatPr defaultRowHeight="15" x14ac:dyDescent="0.25"/>
  <cols>
    <col min="1" max="1" width="5.7109375" customWidth="1"/>
    <col min="2" max="2" width="28.7109375" bestFit="1" customWidth="1"/>
    <col min="3" max="3" width="4" bestFit="1" customWidth="1"/>
    <col min="4" max="16" width="20.7109375" customWidth="1"/>
    <col min="17" max="17" width="25.7109375" customWidth="1"/>
  </cols>
  <sheetData>
    <row r="1" spans="1:17" ht="14.45" customHeight="1" x14ac:dyDescent="0.25">
      <c r="A1" s="94" t="s">
        <v>276</v>
      </c>
      <c r="B1" s="95"/>
      <c r="C1" s="95"/>
      <c r="D1" s="95"/>
      <c r="E1" s="95"/>
      <c r="F1" s="95"/>
      <c r="G1" s="95"/>
      <c r="H1" s="95"/>
      <c r="I1" s="95"/>
      <c r="J1" s="95"/>
      <c r="K1" s="95"/>
      <c r="L1" s="95"/>
      <c r="M1" s="95"/>
      <c r="N1" s="95"/>
      <c r="O1" s="95"/>
      <c r="P1" s="95"/>
      <c r="Q1" s="1"/>
    </row>
    <row r="2" spans="1:17" ht="14.45" customHeight="1" x14ac:dyDescent="0.25">
      <c r="Q2" s="1"/>
    </row>
    <row r="3" spans="1:17" ht="14.45" customHeight="1" x14ac:dyDescent="0.25">
      <c r="Q3" s="1"/>
    </row>
    <row r="4" spans="1:17" ht="14.45" customHeight="1" x14ac:dyDescent="0.25">
      <c r="D4" s="96" t="s">
        <v>1</v>
      </c>
      <c r="E4" s="96"/>
      <c r="F4" s="96"/>
      <c r="G4" s="96"/>
      <c r="H4" s="96"/>
      <c r="I4" s="96"/>
      <c r="J4" s="96"/>
      <c r="K4" s="96"/>
      <c r="L4" s="96"/>
      <c r="M4" s="96"/>
      <c r="N4" s="96"/>
      <c r="O4" s="96"/>
      <c r="P4" s="96"/>
      <c r="Q4" s="1"/>
    </row>
    <row r="5" spans="1:17" ht="14.45" customHeight="1" x14ac:dyDescent="0.25">
      <c r="D5" s="10" t="s">
        <v>10</v>
      </c>
      <c r="E5" s="97" t="s">
        <v>277</v>
      </c>
      <c r="F5" s="99"/>
      <c r="G5" s="99"/>
      <c r="H5" s="99"/>
      <c r="I5" s="99"/>
      <c r="J5" s="99"/>
      <c r="K5" s="99"/>
      <c r="L5" s="99"/>
      <c r="M5" s="99"/>
      <c r="N5" s="99"/>
      <c r="O5" s="99"/>
      <c r="P5" s="98"/>
    </row>
    <row r="6" spans="1:17" ht="57.6" customHeight="1" x14ac:dyDescent="0.25">
      <c r="D6" s="11"/>
      <c r="E6" s="2" t="s">
        <v>15</v>
      </c>
      <c r="F6" s="2" t="s">
        <v>16</v>
      </c>
      <c r="G6" s="2" t="s">
        <v>278</v>
      </c>
      <c r="H6" s="2" t="s">
        <v>279</v>
      </c>
      <c r="I6" s="2" t="s">
        <v>19</v>
      </c>
      <c r="J6" s="2" t="s">
        <v>280</v>
      </c>
      <c r="K6" s="2" t="s">
        <v>20</v>
      </c>
      <c r="L6" s="2" t="s">
        <v>249</v>
      </c>
      <c r="M6" s="2" t="s">
        <v>250</v>
      </c>
      <c r="N6" s="2" t="s">
        <v>251</v>
      </c>
      <c r="O6" s="2" t="s">
        <v>281</v>
      </c>
      <c r="P6" s="2" t="s">
        <v>253</v>
      </c>
    </row>
    <row r="7" spans="1:17" ht="15" customHeight="1" thickBot="1" x14ac:dyDescent="0.3">
      <c r="D7" s="3" t="s">
        <v>5</v>
      </c>
      <c r="E7" s="3" t="s">
        <v>6</v>
      </c>
      <c r="F7" s="3" t="s">
        <v>38</v>
      </c>
      <c r="G7" s="3" t="s">
        <v>254</v>
      </c>
      <c r="H7" s="3" t="s">
        <v>39</v>
      </c>
      <c r="I7" s="3" t="s">
        <v>116</v>
      </c>
      <c r="J7" s="3" t="s">
        <v>255</v>
      </c>
      <c r="K7" s="3" t="s">
        <v>40</v>
      </c>
      <c r="L7" s="3" t="s">
        <v>42</v>
      </c>
      <c r="M7" s="3" t="s">
        <v>44</v>
      </c>
      <c r="N7" s="3" t="s">
        <v>46</v>
      </c>
      <c r="O7" s="3" t="s">
        <v>47</v>
      </c>
      <c r="P7" s="3" t="s">
        <v>48</v>
      </c>
      <c r="Q7" s="1"/>
    </row>
    <row r="8" spans="1:17" ht="30" customHeight="1" thickBot="1" x14ac:dyDescent="0.3">
      <c r="A8" s="12" t="s">
        <v>62</v>
      </c>
      <c r="B8" s="13" t="s">
        <v>282</v>
      </c>
      <c r="C8" s="5" t="s">
        <v>64</v>
      </c>
      <c r="D8" s="14">
        <v>1</v>
      </c>
      <c r="E8" s="15" t="s">
        <v>425</v>
      </c>
      <c r="F8" s="15" t="s">
        <v>508</v>
      </c>
      <c r="G8" s="15" t="s">
        <v>509</v>
      </c>
      <c r="H8" s="15" t="s">
        <v>398</v>
      </c>
      <c r="I8" s="15" t="s">
        <v>399</v>
      </c>
      <c r="J8" s="15" t="s">
        <v>510</v>
      </c>
      <c r="K8" s="15" t="s">
        <v>511</v>
      </c>
      <c r="L8" s="15" t="s">
        <v>267</v>
      </c>
      <c r="M8" s="15">
        <v>1066.44</v>
      </c>
      <c r="N8" s="15" t="s">
        <v>381</v>
      </c>
      <c r="O8" s="15">
        <v>0</v>
      </c>
      <c r="P8" s="16" t="s">
        <v>512</v>
      </c>
      <c r="Q8" s="50"/>
    </row>
  </sheetData>
  <mergeCells count="3">
    <mergeCell ref="A1:P1"/>
    <mergeCell ref="D4:P4"/>
    <mergeCell ref="E5:P5"/>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Q271"/>
  <sheetViews>
    <sheetView workbookViewId="0">
      <selection activeCell="D8" sqref="D8"/>
    </sheetView>
  </sheetViews>
  <sheetFormatPr defaultRowHeight="15" x14ac:dyDescent="0.25"/>
  <cols>
    <col min="1" max="1" width="5.7109375" customWidth="1"/>
    <col min="2" max="2" width="25.28515625" bestFit="1" customWidth="1"/>
    <col min="3" max="3" width="4" bestFit="1" customWidth="1"/>
    <col min="4" max="16" width="20.7109375" customWidth="1"/>
    <col min="17" max="17" width="25.7109375" customWidth="1"/>
  </cols>
  <sheetData>
    <row r="1" spans="1:17" ht="14.45" customHeight="1" x14ac:dyDescent="0.25">
      <c r="A1" s="94" t="s">
        <v>244</v>
      </c>
      <c r="B1" s="95"/>
      <c r="C1" s="95"/>
      <c r="D1" s="95"/>
      <c r="E1" s="95"/>
      <c r="F1" s="95"/>
      <c r="G1" s="95"/>
      <c r="H1" s="95"/>
      <c r="I1" s="95"/>
      <c r="J1" s="95"/>
      <c r="K1" s="95"/>
      <c r="L1" s="95"/>
      <c r="M1" s="95"/>
      <c r="N1" s="95"/>
      <c r="O1" s="95"/>
      <c r="P1" s="95"/>
      <c r="Q1" s="1"/>
    </row>
    <row r="2" spans="1:17" ht="14.45" customHeight="1" x14ac:dyDescent="0.25">
      <c r="Q2" s="1"/>
    </row>
    <row r="3" spans="1:17" ht="14.45" customHeight="1" x14ac:dyDescent="0.25">
      <c r="Q3" s="1"/>
    </row>
    <row r="4" spans="1:17" ht="14.45" customHeight="1" x14ac:dyDescent="0.25">
      <c r="D4" s="96" t="s">
        <v>1</v>
      </c>
      <c r="E4" s="96"/>
      <c r="F4" s="96"/>
      <c r="G4" s="96"/>
      <c r="H4" s="96"/>
      <c r="I4" s="96"/>
      <c r="J4" s="96"/>
      <c r="K4" s="96"/>
      <c r="L4" s="96"/>
      <c r="M4" s="96"/>
      <c r="N4" s="96"/>
      <c r="O4" s="96"/>
      <c r="P4" s="96"/>
      <c r="Q4" s="1"/>
    </row>
    <row r="5" spans="1:17" ht="14.45" customHeight="1" x14ac:dyDescent="0.25">
      <c r="D5" s="10" t="s">
        <v>10</v>
      </c>
      <c r="E5" s="97" t="s">
        <v>245</v>
      </c>
      <c r="F5" s="99"/>
      <c r="G5" s="99"/>
      <c r="H5" s="99"/>
      <c r="I5" s="99"/>
      <c r="J5" s="99"/>
      <c r="K5" s="99"/>
      <c r="L5" s="99"/>
      <c r="M5" s="99"/>
      <c r="N5" s="99"/>
      <c r="O5" s="99"/>
      <c r="P5" s="98"/>
    </row>
    <row r="6" spans="1:17" ht="43.15" customHeight="1" x14ac:dyDescent="0.25">
      <c r="D6" s="11"/>
      <c r="E6" s="2" t="s">
        <v>15</v>
      </c>
      <c r="F6" s="2" t="s">
        <v>16</v>
      </c>
      <c r="G6" s="2" t="s">
        <v>246</v>
      </c>
      <c r="H6" s="2" t="s">
        <v>247</v>
      </c>
      <c r="I6" s="2" t="s">
        <v>19</v>
      </c>
      <c r="J6" s="2" t="s">
        <v>248</v>
      </c>
      <c r="K6" s="2" t="s">
        <v>20</v>
      </c>
      <c r="L6" s="2" t="s">
        <v>249</v>
      </c>
      <c r="M6" s="2" t="s">
        <v>250</v>
      </c>
      <c r="N6" s="2" t="s">
        <v>251</v>
      </c>
      <c r="O6" s="2" t="s">
        <v>252</v>
      </c>
      <c r="P6" s="2" t="s">
        <v>253</v>
      </c>
    </row>
    <row r="7" spans="1:17" ht="15" customHeight="1" thickBot="1" x14ac:dyDescent="0.3">
      <c r="D7" s="3" t="s">
        <v>5</v>
      </c>
      <c r="E7" s="3" t="s">
        <v>6</v>
      </c>
      <c r="F7" s="3" t="s">
        <v>38</v>
      </c>
      <c r="G7" s="3" t="s">
        <v>254</v>
      </c>
      <c r="H7" s="3" t="s">
        <v>39</v>
      </c>
      <c r="I7" s="3" t="s">
        <v>116</v>
      </c>
      <c r="J7" s="3" t="s">
        <v>255</v>
      </c>
      <c r="K7" s="3" t="s">
        <v>40</v>
      </c>
      <c r="L7" s="3" t="s">
        <v>42</v>
      </c>
      <c r="M7" s="3" t="s">
        <v>44</v>
      </c>
      <c r="N7" s="3" t="s">
        <v>46</v>
      </c>
      <c r="O7" s="3" t="s">
        <v>47</v>
      </c>
      <c r="P7" s="3" t="s">
        <v>48</v>
      </c>
      <c r="Q7" s="1"/>
    </row>
    <row r="8" spans="1:17" ht="30" customHeight="1" thickBot="1" x14ac:dyDescent="0.3">
      <c r="A8" s="12" t="s">
        <v>62</v>
      </c>
      <c r="B8" s="13" t="s">
        <v>245</v>
      </c>
      <c r="C8" s="5" t="s">
        <v>64</v>
      </c>
      <c r="D8" s="14">
        <v>1</v>
      </c>
      <c r="E8" s="15" t="s">
        <v>425</v>
      </c>
      <c r="F8" s="15" t="s">
        <v>513</v>
      </c>
      <c r="G8" s="15" t="s">
        <v>514</v>
      </c>
      <c r="H8" s="15" t="s">
        <v>515</v>
      </c>
      <c r="I8" s="15" t="s">
        <v>372</v>
      </c>
      <c r="J8" s="15" t="s">
        <v>516</v>
      </c>
      <c r="K8" s="15" t="s">
        <v>511</v>
      </c>
      <c r="L8" s="15" t="s">
        <v>267</v>
      </c>
      <c r="M8" s="15">
        <v>35000</v>
      </c>
      <c r="N8" s="15" t="s">
        <v>381</v>
      </c>
      <c r="O8" s="15">
        <v>0</v>
      </c>
      <c r="P8" s="16" t="s">
        <v>512</v>
      </c>
      <c r="Q8" s="47"/>
    </row>
    <row r="9" spans="1:17" ht="36.75" thickBot="1" x14ac:dyDescent="0.3">
      <c r="C9" s="5" t="s">
        <v>64</v>
      </c>
      <c r="D9" s="14">
        <v>2</v>
      </c>
      <c r="E9" s="15" t="s">
        <v>425</v>
      </c>
      <c r="F9" s="15" t="s">
        <v>517</v>
      </c>
      <c r="G9" s="15" t="s">
        <v>518</v>
      </c>
      <c r="H9" s="15" t="s">
        <v>406</v>
      </c>
      <c r="I9" s="15" t="s">
        <v>372</v>
      </c>
      <c r="J9" s="15" t="s">
        <v>516</v>
      </c>
      <c r="K9" s="15" t="s">
        <v>511</v>
      </c>
      <c r="L9" s="15" t="s">
        <v>267</v>
      </c>
      <c r="M9" s="15">
        <v>10597483.358335</v>
      </c>
      <c r="N9" s="15" t="s">
        <v>381</v>
      </c>
      <c r="O9" s="15">
        <v>0</v>
      </c>
      <c r="P9" s="16" t="s">
        <v>512</v>
      </c>
    </row>
    <row r="10" spans="1:17" ht="36.75" thickBot="1" x14ac:dyDescent="0.3">
      <c r="C10" s="5" t="s">
        <v>64</v>
      </c>
      <c r="D10" s="14">
        <v>3</v>
      </c>
      <c r="E10" s="15" t="s">
        <v>425</v>
      </c>
      <c r="F10" s="15" t="s">
        <v>519</v>
      </c>
      <c r="G10" s="15" t="s">
        <v>518</v>
      </c>
      <c r="H10" s="15" t="s">
        <v>406</v>
      </c>
      <c r="I10" s="15" t="s">
        <v>372</v>
      </c>
      <c r="J10" s="15" t="s">
        <v>516</v>
      </c>
      <c r="K10" s="15" t="s">
        <v>511</v>
      </c>
      <c r="L10" s="15" t="s">
        <v>267</v>
      </c>
      <c r="M10" s="15">
        <v>21552524.376524001</v>
      </c>
      <c r="N10" s="15" t="s">
        <v>381</v>
      </c>
      <c r="O10" s="15">
        <v>0</v>
      </c>
      <c r="P10" s="16" t="s">
        <v>512</v>
      </c>
    </row>
    <row r="11" spans="1:17" ht="36.75" thickBot="1" x14ac:dyDescent="0.3">
      <c r="C11" s="5" t="s">
        <v>64</v>
      </c>
      <c r="D11" s="14">
        <v>4</v>
      </c>
      <c r="E11" s="15" t="s">
        <v>425</v>
      </c>
      <c r="F11" s="15" t="s">
        <v>520</v>
      </c>
      <c r="G11" s="15" t="s">
        <v>455</v>
      </c>
      <c r="H11" s="15" t="s">
        <v>456</v>
      </c>
      <c r="I11" s="15" t="s">
        <v>372</v>
      </c>
      <c r="J11" s="15" t="s">
        <v>516</v>
      </c>
      <c r="K11" s="15" t="s">
        <v>511</v>
      </c>
      <c r="L11" s="15" t="s">
        <v>267</v>
      </c>
      <c r="M11" s="15">
        <v>12707.5</v>
      </c>
      <c r="N11" s="15" t="s">
        <v>381</v>
      </c>
      <c r="O11" s="15">
        <v>0</v>
      </c>
      <c r="P11" s="16" t="s">
        <v>512</v>
      </c>
    </row>
    <row r="12" spans="1:17" ht="36.75" thickBot="1" x14ac:dyDescent="0.3">
      <c r="C12" s="5" t="s">
        <v>64</v>
      </c>
      <c r="D12" s="14">
        <v>5</v>
      </c>
      <c r="E12" s="15" t="s">
        <v>425</v>
      </c>
      <c r="F12" s="15" t="s">
        <v>521</v>
      </c>
      <c r="G12" s="15" t="s">
        <v>455</v>
      </c>
      <c r="H12" s="15" t="s">
        <v>456</v>
      </c>
      <c r="I12" s="15" t="s">
        <v>372</v>
      </c>
      <c r="J12" s="15" t="s">
        <v>516</v>
      </c>
      <c r="K12" s="15" t="s">
        <v>511</v>
      </c>
      <c r="L12" s="15" t="s">
        <v>267</v>
      </c>
      <c r="M12" s="15">
        <v>12970</v>
      </c>
      <c r="N12" s="15" t="s">
        <v>381</v>
      </c>
      <c r="O12" s="15">
        <v>0</v>
      </c>
      <c r="P12" s="16" t="s">
        <v>512</v>
      </c>
    </row>
    <row r="13" spans="1:17" ht="36.75" thickBot="1" x14ac:dyDescent="0.3">
      <c r="C13" s="5" t="s">
        <v>64</v>
      </c>
      <c r="D13" s="14">
        <v>6</v>
      </c>
      <c r="E13" s="15" t="s">
        <v>425</v>
      </c>
      <c r="F13" s="15" t="s">
        <v>522</v>
      </c>
      <c r="G13" s="15" t="s">
        <v>455</v>
      </c>
      <c r="H13" s="15" t="s">
        <v>456</v>
      </c>
      <c r="I13" s="15" t="s">
        <v>372</v>
      </c>
      <c r="J13" s="15" t="s">
        <v>516</v>
      </c>
      <c r="K13" s="15" t="s">
        <v>511</v>
      </c>
      <c r="L13" s="15" t="s">
        <v>267</v>
      </c>
      <c r="M13" s="15">
        <v>182159.86</v>
      </c>
      <c r="N13" s="15" t="s">
        <v>381</v>
      </c>
      <c r="O13" s="15">
        <v>0</v>
      </c>
      <c r="P13" s="16" t="s">
        <v>512</v>
      </c>
    </row>
    <row r="14" spans="1:17" ht="36.75" thickBot="1" x14ac:dyDescent="0.3">
      <c r="C14" s="5" t="s">
        <v>64</v>
      </c>
      <c r="D14" s="14">
        <v>7</v>
      </c>
      <c r="E14" s="15" t="s">
        <v>425</v>
      </c>
      <c r="F14" s="15" t="s">
        <v>523</v>
      </c>
      <c r="G14" s="15" t="s">
        <v>455</v>
      </c>
      <c r="H14" s="15" t="s">
        <v>456</v>
      </c>
      <c r="I14" s="15" t="s">
        <v>372</v>
      </c>
      <c r="J14" s="15" t="s">
        <v>516</v>
      </c>
      <c r="K14" s="15" t="s">
        <v>511</v>
      </c>
      <c r="L14" s="15" t="s">
        <v>267</v>
      </c>
      <c r="M14" s="15">
        <v>93990.5</v>
      </c>
      <c r="N14" s="15" t="s">
        <v>381</v>
      </c>
      <c r="O14" s="15">
        <v>0</v>
      </c>
      <c r="P14" s="16" t="s">
        <v>512</v>
      </c>
    </row>
    <row r="15" spans="1:17" ht="36.75" thickBot="1" x14ac:dyDescent="0.3">
      <c r="C15" s="5" t="s">
        <v>64</v>
      </c>
      <c r="D15" s="14">
        <v>8</v>
      </c>
      <c r="E15" s="15" t="s">
        <v>425</v>
      </c>
      <c r="F15" s="15" t="s">
        <v>524</v>
      </c>
      <c r="G15" s="15" t="s">
        <v>455</v>
      </c>
      <c r="H15" s="15" t="s">
        <v>456</v>
      </c>
      <c r="I15" s="15" t="s">
        <v>372</v>
      </c>
      <c r="J15" s="15" t="s">
        <v>516</v>
      </c>
      <c r="K15" s="15" t="s">
        <v>511</v>
      </c>
      <c r="L15" s="15" t="s">
        <v>267</v>
      </c>
      <c r="M15" s="15">
        <v>56790</v>
      </c>
      <c r="N15" s="15" t="s">
        <v>381</v>
      </c>
      <c r="O15" s="15">
        <v>0</v>
      </c>
      <c r="P15" s="16" t="s">
        <v>512</v>
      </c>
    </row>
    <row r="16" spans="1:17" ht="36.75" thickBot="1" x14ac:dyDescent="0.3">
      <c r="C16" s="5" t="s">
        <v>64</v>
      </c>
      <c r="D16" s="14">
        <v>9</v>
      </c>
      <c r="E16" s="15" t="s">
        <v>425</v>
      </c>
      <c r="F16" s="15" t="s">
        <v>525</v>
      </c>
      <c r="G16" s="15" t="s">
        <v>455</v>
      </c>
      <c r="H16" s="15" t="s">
        <v>456</v>
      </c>
      <c r="I16" s="15" t="s">
        <v>372</v>
      </c>
      <c r="J16" s="15" t="s">
        <v>516</v>
      </c>
      <c r="K16" s="15" t="s">
        <v>511</v>
      </c>
      <c r="L16" s="15" t="s">
        <v>267</v>
      </c>
      <c r="M16" s="15">
        <v>78200</v>
      </c>
      <c r="N16" s="15" t="s">
        <v>381</v>
      </c>
      <c r="O16" s="15">
        <v>0</v>
      </c>
      <c r="P16" s="16" t="s">
        <v>512</v>
      </c>
    </row>
    <row r="17" spans="3:16" ht="36.75" thickBot="1" x14ac:dyDescent="0.3">
      <c r="C17" s="5" t="s">
        <v>64</v>
      </c>
      <c r="D17" s="14">
        <v>10</v>
      </c>
      <c r="E17" s="15" t="s">
        <v>425</v>
      </c>
      <c r="F17" s="15" t="s">
        <v>526</v>
      </c>
      <c r="G17" s="15" t="s">
        <v>455</v>
      </c>
      <c r="H17" s="15" t="s">
        <v>456</v>
      </c>
      <c r="I17" s="15" t="s">
        <v>372</v>
      </c>
      <c r="J17" s="15" t="s">
        <v>516</v>
      </c>
      <c r="K17" s="15" t="s">
        <v>511</v>
      </c>
      <c r="L17" s="15" t="s">
        <v>267</v>
      </c>
      <c r="M17" s="15">
        <v>126698.5</v>
      </c>
      <c r="N17" s="15" t="s">
        <v>381</v>
      </c>
      <c r="O17" s="15">
        <v>0</v>
      </c>
      <c r="P17" s="16" t="s">
        <v>512</v>
      </c>
    </row>
    <row r="18" spans="3:16" ht="36.75" thickBot="1" x14ac:dyDescent="0.3">
      <c r="C18" s="5" t="s">
        <v>64</v>
      </c>
      <c r="D18" s="14">
        <v>11</v>
      </c>
      <c r="E18" s="15" t="s">
        <v>425</v>
      </c>
      <c r="F18" s="15" t="s">
        <v>527</v>
      </c>
      <c r="G18" s="15" t="s">
        <v>455</v>
      </c>
      <c r="H18" s="15" t="s">
        <v>456</v>
      </c>
      <c r="I18" s="15" t="s">
        <v>372</v>
      </c>
      <c r="J18" s="15" t="s">
        <v>516</v>
      </c>
      <c r="K18" s="15" t="s">
        <v>511</v>
      </c>
      <c r="L18" s="15" t="s">
        <v>267</v>
      </c>
      <c r="M18" s="15">
        <v>36816.75</v>
      </c>
      <c r="N18" s="15" t="s">
        <v>381</v>
      </c>
      <c r="O18" s="15">
        <v>0</v>
      </c>
      <c r="P18" s="16" t="s">
        <v>512</v>
      </c>
    </row>
    <row r="19" spans="3:16" ht="36.75" thickBot="1" x14ac:dyDescent="0.3">
      <c r="C19" s="5" t="s">
        <v>64</v>
      </c>
      <c r="D19" s="14">
        <v>12</v>
      </c>
      <c r="E19" s="15" t="s">
        <v>425</v>
      </c>
      <c r="F19" s="15" t="s">
        <v>528</v>
      </c>
      <c r="G19" s="15" t="s">
        <v>455</v>
      </c>
      <c r="H19" s="15" t="s">
        <v>456</v>
      </c>
      <c r="I19" s="15" t="s">
        <v>372</v>
      </c>
      <c r="J19" s="15" t="s">
        <v>516</v>
      </c>
      <c r="K19" s="15" t="s">
        <v>511</v>
      </c>
      <c r="L19" s="15" t="s">
        <v>267</v>
      </c>
      <c r="M19" s="15">
        <v>18394</v>
      </c>
      <c r="N19" s="15" t="s">
        <v>381</v>
      </c>
      <c r="O19" s="15">
        <v>0</v>
      </c>
      <c r="P19" s="16" t="s">
        <v>512</v>
      </c>
    </row>
    <row r="20" spans="3:16" ht="36.75" thickBot="1" x14ac:dyDescent="0.3">
      <c r="C20" s="5" t="s">
        <v>64</v>
      </c>
      <c r="D20" s="14">
        <v>13</v>
      </c>
      <c r="E20" s="15" t="s">
        <v>425</v>
      </c>
      <c r="F20" s="15" t="s">
        <v>529</v>
      </c>
      <c r="G20" s="15" t="s">
        <v>455</v>
      </c>
      <c r="H20" s="15" t="s">
        <v>456</v>
      </c>
      <c r="I20" s="15" t="s">
        <v>372</v>
      </c>
      <c r="J20" s="15" t="s">
        <v>516</v>
      </c>
      <c r="K20" s="15" t="s">
        <v>511</v>
      </c>
      <c r="L20" s="15" t="s">
        <v>267</v>
      </c>
      <c r="M20" s="15">
        <v>37043.65</v>
      </c>
      <c r="N20" s="15" t="s">
        <v>381</v>
      </c>
      <c r="O20" s="15">
        <v>0</v>
      </c>
      <c r="P20" s="16" t="s">
        <v>512</v>
      </c>
    </row>
    <row r="21" spans="3:16" ht="36.75" thickBot="1" x14ac:dyDescent="0.3">
      <c r="C21" s="5" t="s">
        <v>64</v>
      </c>
      <c r="D21" s="14">
        <v>14</v>
      </c>
      <c r="E21" s="15" t="s">
        <v>425</v>
      </c>
      <c r="F21" s="15" t="s">
        <v>530</v>
      </c>
      <c r="G21" s="15" t="s">
        <v>455</v>
      </c>
      <c r="H21" s="15" t="s">
        <v>456</v>
      </c>
      <c r="I21" s="15" t="s">
        <v>372</v>
      </c>
      <c r="J21" s="15" t="s">
        <v>516</v>
      </c>
      <c r="K21" s="15" t="s">
        <v>511</v>
      </c>
      <c r="L21" s="15" t="s">
        <v>267</v>
      </c>
      <c r="M21" s="15">
        <v>30343.3</v>
      </c>
      <c r="N21" s="15" t="s">
        <v>381</v>
      </c>
      <c r="O21" s="15">
        <v>0</v>
      </c>
      <c r="P21" s="16" t="s">
        <v>512</v>
      </c>
    </row>
    <row r="22" spans="3:16" ht="36.75" thickBot="1" x14ac:dyDescent="0.3">
      <c r="C22" s="5" t="s">
        <v>64</v>
      </c>
      <c r="D22" s="14">
        <v>15</v>
      </c>
      <c r="E22" s="15" t="s">
        <v>425</v>
      </c>
      <c r="F22" s="15" t="s">
        <v>531</v>
      </c>
      <c r="G22" s="15" t="s">
        <v>455</v>
      </c>
      <c r="H22" s="15" t="s">
        <v>456</v>
      </c>
      <c r="I22" s="15" t="s">
        <v>372</v>
      </c>
      <c r="J22" s="15" t="s">
        <v>516</v>
      </c>
      <c r="K22" s="15" t="s">
        <v>511</v>
      </c>
      <c r="L22" s="15" t="s">
        <v>267</v>
      </c>
      <c r="M22" s="15">
        <v>7000</v>
      </c>
      <c r="N22" s="15" t="s">
        <v>381</v>
      </c>
      <c r="O22" s="15">
        <v>0</v>
      </c>
      <c r="P22" s="16" t="s">
        <v>512</v>
      </c>
    </row>
    <row r="23" spans="3:16" ht="36.75" thickBot="1" x14ac:dyDescent="0.3">
      <c r="C23" s="5" t="s">
        <v>64</v>
      </c>
      <c r="D23" s="14">
        <v>16</v>
      </c>
      <c r="E23" s="15" t="s">
        <v>425</v>
      </c>
      <c r="F23" s="15" t="s">
        <v>532</v>
      </c>
      <c r="G23" s="15" t="s">
        <v>455</v>
      </c>
      <c r="H23" s="15" t="s">
        <v>456</v>
      </c>
      <c r="I23" s="15" t="s">
        <v>372</v>
      </c>
      <c r="J23" s="15" t="s">
        <v>516</v>
      </c>
      <c r="K23" s="15" t="s">
        <v>511</v>
      </c>
      <c r="L23" s="15" t="s">
        <v>267</v>
      </c>
      <c r="M23" s="15">
        <v>74837.5</v>
      </c>
      <c r="N23" s="15" t="s">
        <v>381</v>
      </c>
      <c r="O23" s="15">
        <v>0</v>
      </c>
      <c r="P23" s="16" t="s">
        <v>512</v>
      </c>
    </row>
    <row r="24" spans="3:16" ht="36.75" thickBot="1" x14ac:dyDescent="0.3">
      <c r="C24" s="5" t="s">
        <v>64</v>
      </c>
      <c r="D24" s="14">
        <v>17</v>
      </c>
      <c r="E24" s="15" t="s">
        <v>425</v>
      </c>
      <c r="F24" s="15" t="s">
        <v>533</v>
      </c>
      <c r="G24" s="15" t="s">
        <v>455</v>
      </c>
      <c r="H24" s="15" t="s">
        <v>456</v>
      </c>
      <c r="I24" s="15" t="s">
        <v>372</v>
      </c>
      <c r="J24" s="15" t="s">
        <v>516</v>
      </c>
      <c r="K24" s="15" t="s">
        <v>511</v>
      </c>
      <c r="L24" s="15" t="s">
        <v>267</v>
      </c>
      <c r="M24" s="15">
        <v>5194</v>
      </c>
      <c r="N24" s="15" t="s">
        <v>381</v>
      </c>
      <c r="O24" s="15">
        <v>0</v>
      </c>
      <c r="P24" s="16" t="s">
        <v>512</v>
      </c>
    </row>
    <row r="25" spans="3:16" ht="36.75" thickBot="1" x14ac:dyDescent="0.3">
      <c r="C25" s="5" t="s">
        <v>64</v>
      </c>
      <c r="D25" s="14">
        <v>18</v>
      </c>
      <c r="E25" s="15" t="s">
        <v>425</v>
      </c>
      <c r="F25" s="15" t="s">
        <v>534</v>
      </c>
      <c r="G25" s="15" t="s">
        <v>455</v>
      </c>
      <c r="H25" s="15" t="s">
        <v>456</v>
      </c>
      <c r="I25" s="15" t="s">
        <v>372</v>
      </c>
      <c r="J25" s="15" t="s">
        <v>516</v>
      </c>
      <c r="K25" s="15" t="s">
        <v>511</v>
      </c>
      <c r="L25" s="15" t="s">
        <v>267</v>
      </c>
      <c r="M25" s="15">
        <v>43699</v>
      </c>
      <c r="N25" s="15" t="s">
        <v>381</v>
      </c>
      <c r="O25" s="15">
        <v>0</v>
      </c>
      <c r="P25" s="16" t="s">
        <v>512</v>
      </c>
    </row>
    <row r="26" spans="3:16" ht="36.75" thickBot="1" x14ac:dyDescent="0.3">
      <c r="C26" s="5" t="s">
        <v>64</v>
      </c>
      <c r="D26" s="14">
        <v>19</v>
      </c>
      <c r="E26" s="15" t="s">
        <v>425</v>
      </c>
      <c r="F26" s="15" t="s">
        <v>535</v>
      </c>
      <c r="G26" s="15" t="s">
        <v>455</v>
      </c>
      <c r="H26" s="15" t="s">
        <v>456</v>
      </c>
      <c r="I26" s="15" t="s">
        <v>372</v>
      </c>
      <c r="J26" s="15" t="s">
        <v>516</v>
      </c>
      <c r="K26" s="15" t="s">
        <v>511</v>
      </c>
      <c r="L26" s="15" t="s">
        <v>267</v>
      </c>
      <c r="M26" s="15">
        <v>12143.8</v>
      </c>
      <c r="N26" s="15" t="s">
        <v>381</v>
      </c>
      <c r="O26" s="15">
        <v>0</v>
      </c>
      <c r="P26" s="16" t="s">
        <v>512</v>
      </c>
    </row>
    <row r="27" spans="3:16" ht="36.75" thickBot="1" x14ac:dyDescent="0.3">
      <c r="C27" s="5" t="s">
        <v>64</v>
      </c>
      <c r="D27" s="14">
        <v>20</v>
      </c>
      <c r="E27" s="15" t="s">
        <v>425</v>
      </c>
      <c r="F27" s="15" t="s">
        <v>536</v>
      </c>
      <c r="G27" s="15" t="s">
        <v>455</v>
      </c>
      <c r="H27" s="15" t="s">
        <v>456</v>
      </c>
      <c r="I27" s="15" t="s">
        <v>372</v>
      </c>
      <c r="J27" s="15" t="s">
        <v>516</v>
      </c>
      <c r="K27" s="15" t="s">
        <v>511</v>
      </c>
      <c r="L27" s="15" t="s">
        <v>267</v>
      </c>
      <c r="M27" s="15">
        <v>100602.5</v>
      </c>
      <c r="N27" s="15" t="s">
        <v>381</v>
      </c>
      <c r="O27" s="15">
        <v>0</v>
      </c>
      <c r="P27" s="16" t="s">
        <v>512</v>
      </c>
    </row>
    <row r="28" spans="3:16" ht="36.75" thickBot="1" x14ac:dyDescent="0.3">
      <c r="C28" s="5" t="s">
        <v>64</v>
      </c>
      <c r="D28" s="14">
        <v>21</v>
      </c>
      <c r="E28" s="15" t="s">
        <v>425</v>
      </c>
      <c r="F28" s="15" t="s">
        <v>537</v>
      </c>
      <c r="G28" s="15" t="s">
        <v>455</v>
      </c>
      <c r="H28" s="15" t="s">
        <v>456</v>
      </c>
      <c r="I28" s="15" t="s">
        <v>372</v>
      </c>
      <c r="J28" s="15" t="s">
        <v>516</v>
      </c>
      <c r="K28" s="15" t="s">
        <v>511</v>
      </c>
      <c r="L28" s="15" t="s">
        <v>267</v>
      </c>
      <c r="M28" s="15">
        <v>95602.5</v>
      </c>
      <c r="N28" s="15" t="s">
        <v>381</v>
      </c>
      <c r="O28" s="15">
        <v>0</v>
      </c>
      <c r="P28" s="16" t="s">
        <v>512</v>
      </c>
    </row>
    <row r="29" spans="3:16" ht="36.75" thickBot="1" x14ac:dyDescent="0.3">
      <c r="C29" s="5" t="s">
        <v>64</v>
      </c>
      <c r="D29" s="14">
        <v>22</v>
      </c>
      <c r="E29" s="15" t="s">
        <v>425</v>
      </c>
      <c r="F29" s="15" t="s">
        <v>538</v>
      </c>
      <c r="G29" s="15" t="s">
        <v>539</v>
      </c>
      <c r="H29" s="15" t="s">
        <v>540</v>
      </c>
      <c r="I29" s="15" t="s">
        <v>372</v>
      </c>
      <c r="J29" s="15" t="s">
        <v>516</v>
      </c>
      <c r="K29" s="15" t="s">
        <v>511</v>
      </c>
      <c r="L29" s="15" t="s">
        <v>267</v>
      </c>
      <c r="M29" s="15">
        <v>176462</v>
      </c>
      <c r="N29" s="15" t="s">
        <v>381</v>
      </c>
      <c r="O29" s="15">
        <v>0</v>
      </c>
      <c r="P29" s="16" t="s">
        <v>512</v>
      </c>
    </row>
    <row r="30" spans="3:16" ht="36.75" thickBot="1" x14ac:dyDescent="0.3">
      <c r="C30" s="5" t="s">
        <v>64</v>
      </c>
      <c r="D30" s="14">
        <v>23</v>
      </c>
      <c r="E30" s="15" t="s">
        <v>425</v>
      </c>
      <c r="F30" s="15" t="s">
        <v>541</v>
      </c>
      <c r="G30" s="15" t="s">
        <v>539</v>
      </c>
      <c r="H30" s="15" t="s">
        <v>540</v>
      </c>
      <c r="I30" s="15" t="s">
        <v>372</v>
      </c>
      <c r="J30" s="15" t="s">
        <v>516</v>
      </c>
      <c r="K30" s="15" t="s">
        <v>511</v>
      </c>
      <c r="L30" s="15" t="s">
        <v>267</v>
      </c>
      <c r="M30" s="15">
        <v>2500000</v>
      </c>
      <c r="N30" s="15" t="s">
        <v>381</v>
      </c>
      <c r="O30" s="15">
        <v>0</v>
      </c>
      <c r="P30" s="16" t="s">
        <v>512</v>
      </c>
    </row>
    <row r="31" spans="3:16" ht="36.75" thickBot="1" x14ac:dyDescent="0.3">
      <c r="C31" s="5" t="s">
        <v>64</v>
      </c>
      <c r="D31" s="14">
        <v>24</v>
      </c>
      <c r="E31" s="15" t="s">
        <v>425</v>
      </c>
      <c r="F31" s="15" t="s">
        <v>542</v>
      </c>
      <c r="G31" s="15" t="s">
        <v>539</v>
      </c>
      <c r="H31" s="15" t="s">
        <v>540</v>
      </c>
      <c r="I31" s="15" t="s">
        <v>372</v>
      </c>
      <c r="J31" s="15" t="s">
        <v>516</v>
      </c>
      <c r="K31" s="15" t="s">
        <v>511</v>
      </c>
      <c r="L31" s="15" t="s">
        <v>267</v>
      </c>
      <c r="M31" s="15">
        <v>489000</v>
      </c>
      <c r="N31" s="15" t="s">
        <v>381</v>
      </c>
      <c r="O31" s="15">
        <v>0</v>
      </c>
      <c r="P31" s="16" t="s">
        <v>512</v>
      </c>
    </row>
    <row r="32" spans="3:16" ht="36.75" thickBot="1" x14ac:dyDescent="0.3">
      <c r="C32" s="5" t="s">
        <v>64</v>
      </c>
      <c r="D32" s="14">
        <v>25</v>
      </c>
      <c r="E32" s="15" t="s">
        <v>425</v>
      </c>
      <c r="F32" s="15" t="s">
        <v>543</v>
      </c>
      <c r="G32" s="15" t="s">
        <v>539</v>
      </c>
      <c r="H32" s="15" t="s">
        <v>540</v>
      </c>
      <c r="I32" s="15" t="s">
        <v>372</v>
      </c>
      <c r="J32" s="15" t="s">
        <v>516</v>
      </c>
      <c r="K32" s="15" t="s">
        <v>511</v>
      </c>
      <c r="L32" s="15" t="s">
        <v>267</v>
      </c>
      <c r="M32" s="15">
        <v>110191.36</v>
      </c>
      <c r="N32" s="15" t="s">
        <v>381</v>
      </c>
      <c r="O32" s="15">
        <v>0</v>
      </c>
      <c r="P32" s="16" t="s">
        <v>512</v>
      </c>
    </row>
    <row r="33" spans="3:16" ht="36.75" thickBot="1" x14ac:dyDescent="0.3">
      <c r="C33" s="5" t="s">
        <v>64</v>
      </c>
      <c r="D33" s="14">
        <v>26</v>
      </c>
      <c r="E33" s="15" t="s">
        <v>425</v>
      </c>
      <c r="F33" s="15" t="s">
        <v>544</v>
      </c>
      <c r="G33" s="15" t="s">
        <v>539</v>
      </c>
      <c r="H33" s="15" t="s">
        <v>540</v>
      </c>
      <c r="I33" s="15" t="s">
        <v>372</v>
      </c>
      <c r="J33" s="15" t="s">
        <v>516</v>
      </c>
      <c r="K33" s="15" t="s">
        <v>511</v>
      </c>
      <c r="L33" s="15" t="s">
        <v>267</v>
      </c>
      <c r="M33" s="15">
        <v>15000</v>
      </c>
      <c r="N33" s="15" t="s">
        <v>381</v>
      </c>
      <c r="O33" s="15">
        <v>0</v>
      </c>
      <c r="P33" s="16" t="s">
        <v>512</v>
      </c>
    </row>
    <row r="34" spans="3:16" ht="36.75" thickBot="1" x14ac:dyDescent="0.3">
      <c r="C34" s="5" t="s">
        <v>64</v>
      </c>
      <c r="D34" s="14">
        <v>27</v>
      </c>
      <c r="E34" s="15" t="s">
        <v>425</v>
      </c>
      <c r="F34" s="15" t="s">
        <v>545</v>
      </c>
      <c r="G34" s="15" t="s">
        <v>539</v>
      </c>
      <c r="H34" s="15" t="s">
        <v>540</v>
      </c>
      <c r="I34" s="15" t="s">
        <v>372</v>
      </c>
      <c r="J34" s="15" t="s">
        <v>516</v>
      </c>
      <c r="K34" s="15" t="s">
        <v>511</v>
      </c>
      <c r="L34" s="15" t="s">
        <v>267</v>
      </c>
      <c r="M34" s="15">
        <v>123353.57</v>
      </c>
      <c r="N34" s="15" t="s">
        <v>381</v>
      </c>
      <c r="O34" s="15">
        <v>0</v>
      </c>
      <c r="P34" s="16" t="s">
        <v>512</v>
      </c>
    </row>
    <row r="35" spans="3:16" ht="36.75" thickBot="1" x14ac:dyDescent="0.3">
      <c r="C35" s="5" t="s">
        <v>64</v>
      </c>
      <c r="D35" s="14">
        <v>28</v>
      </c>
      <c r="E35" s="15" t="s">
        <v>425</v>
      </c>
      <c r="F35" s="15" t="s">
        <v>546</v>
      </c>
      <c r="G35" s="15" t="s">
        <v>539</v>
      </c>
      <c r="H35" s="15" t="s">
        <v>540</v>
      </c>
      <c r="I35" s="15" t="s">
        <v>372</v>
      </c>
      <c r="J35" s="15" t="s">
        <v>516</v>
      </c>
      <c r="K35" s="15" t="s">
        <v>511</v>
      </c>
      <c r="L35" s="15" t="s">
        <v>267</v>
      </c>
      <c r="M35" s="15">
        <v>2146580</v>
      </c>
      <c r="N35" s="15" t="s">
        <v>381</v>
      </c>
      <c r="O35" s="15">
        <v>0</v>
      </c>
      <c r="P35" s="16" t="s">
        <v>512</v>
      </c>
    </row>
    <row r="36" spans="3:16" ht="36.75" thickBot="1" x14ac:dyDescent="0.3">
      <c r="C36" s="5" t="s">
        <v>64</v>
      </c>
      <c r="D36" s="14">
        <v>29</v>
      </c>
      <c r="E36" s="15" t="s">
        <v>425</v>
      </c>
      <c r="F36" s="15" t="s">
        <v>547</v>
      </c>
      <c r="G36" s="15" t="s">
        <v>539</v>
      </c>
      <c r="H36" s="15" t="s">
        <v>540</v>
      </c>
      <c r="I36" s="15" t="s">
        <v>372</v>
      </c>
      <c r="J36" s="15" t="s">
        <v>516</v>
      </c>
      <c r="K36" s="15" t="s">
        <v>511</v>
      </c>
      <c r="L36" s="15" t="s">
        <v>267</v>
      </c>
      <c r="M36" s="15">
        <v>78095</v>
      </c>
      <c r="N36" s="15" t="s">
        <v>381</v>
      </c>
      <c r="O36" s="15">
        <v>0</v>
      </c>
      <c r="P36" s="16" t="s">
        <v>512</v>
      </c>
    </row>
    <row r="37" spans="3:16" ht="36.75" thickBot="1" x14ac:dyDescent="0.3">
      <c r="C37" s="5" t="s">
        <v>64</v>
      </c>
      <c r="D37" s="14">
        <v>30</v>
      </c>
      <c r="E37" s="15" t="s">
        <v>425</v>
      </c>
      <c r="F37" s="15" t="s">
        <v>548</v>
      </c>
      <c r="G37" s="15" t="s">
        <v>509</v>
      </c>
      <c r="H37" s="15" t="s">
        <v>398</v>
      </c>
      <c r="I37" s="15" t="s">
        <v>399</v>
      </c>
      <c r="J37" s="15" t="s">
        <v>516</v>
      </c>
      <c r="K37" s="15" t="s">
        <v>511</v>
      </c>
      <c r="L37" s="15" t="s">
        <v>267</v>
      </c>
      <c r="M37" s="15">
        <v>34895.839999999997</v>
      </c>
      <c r="N37" s="15" t="s">
        <v>381</v>
      </c>
      <c r="O37" s="15">
        <v>0</v>
      </c>
      <c r="P37" s="16" t="s">
        <v>512</v>
      </c>
    </row>
    <row r="38" spans="3:16" ht="36.75" thickBot="1" x14ac:dyDescent="0.3">
      <c r="C38" s="5" t="s">
        <v>64</v>
      </c>
      <c r="D38" s="14">
        <v>31</v>
      </c>
      <c r="E38" s="15" t="s">
        <v>425</v>
      </c>
      <c r="F38" s="15" t="s">
        <v>549</v>
      </c>
      <c r="G38" s="15" t="s">
        <v>509</v>
      </c>
      <c r="H38" s="15" t="s">
        <v>398</v>
      </c>
      <c r="I38" s="15" t="s">
        <v>399</v>
      </c>
      <c r="J38" s="15" t="s">
        <v>516</v>
      </c>
      <c r="K38" s="15" t="s">
        <v>511</v>
      </c>
      <c r="L38" s="15" t="s">
        <v>267</v>
      </c>
      <c r="M38" s="15">
        <v>1458.43</v>
      </c>
      <c r="N38" s="15" t="s">
        <v>381</v>
      </c>
      <c r="O38" s="15">
        <v>0</v>
      </c>
      <c r="P38" s="16" t="s">
        <v>512</v>
      </c>
    </row>
    <row r="39" spans="3:16" ht="36.75" thickBot="1" x14ac:dyDescent="0.3">
      <c r="C39" s="5" t="s">
        <v>64</v>
      </c>
      <c r="D39" s="14">
        <v>32</v>
      </c>
      <c r="E39" s="15" t="s">
        <v>425</v>
      </c>
      <c r="F39" s="15" t="s">
        <v>550</v>
      </c>
      <c r="G39" s="15" t="s">
        <v>509</v>
      </c>
      <c r="H39" s="15" t="s">
        <v>398</v>
      </c>
      <c r="I39" s="15" t="s">
        <v>399</v>
      </c>
      <c r="J39" s="15" t="s">
        <v>516</v>
      </c>
      <c r="K39" s="15" t="s">
        <v>511</v>
      </c>
      <c r="L39" s="15" t="s">
        <v>267</v>
      </c>
      <c r="M39" s="15">
        <v>24000</v>
      </c>
      <c r="N39" s="15" t="s">
        <v>381</v>
      </c>
      <c r="O39" s="15">
        <v>0</v>
      </c>
      <c r="P39" s="16" t="s">
        <v>512</v>
      </c>
    </row>
    <row r="40" spans="3:16" ht="36.75" thickBot="1" x14ac:dyDescent="0.3">
      <c r="C40" s="5" t="s">
        <v>64</v>
      </c>
      <c r="D40" s="14">
        <v>33</v>
      </c>
      <c r="E40" s="15" t="s">
        <v>425</v>
      </c>
      <c r="F40" s="15" t="s">
        <v>551</v>
      </c>
      <c r="G40" s="15" t="s">
        <v>509</v>
      </c>
      <c r="H40" s="15" t="s">
        <v>398</v>
      </c>
      <c r="I40" s="15" t="s">
        <v>399</v>
      </c>
      <c r="J40" s="15" t="s">
        <v>516</v>
      </c>
      <c r="K40" s="15" t="s">
        <v>511</v>
      </c>
      <c r="L40" s="15" t="s">
        <v>267</v>
      </c>
      <c r="M40" s="15">
        <v>6500</v>
      </c>
      <c r="N40" s="15" t="s">
        <v>381</v>
      </c>
      <c r="O40" s="15">
        <v>0</v>
      </c>
      <c r="P40" s="16" t="s">
        <v>512</v>
      </c>
    </row>
    <row r="41" spans="3:16" ht="36.75" thickBot="1" x14ac:dyDescent="0.3">
      <c r="C41" s="5" t="s">
        <v>64</v>
      </c>
      <c r="D41" s="14">
        <v>34</v>
      </c>
      <c r="E41" s="15" t="s">
        <v>425</v>
      </c>
      <c r="F41" s="15" t="s">
        <v>552</v>
      </c>
      <c r="G41" s="15" t="s">
        <v>509</v>
      </c>
      <c r="H41" s="15" t="s">
        <v>398</v>
      </c>
      <c r="I41" s="15" t="s">
        <v>399</v>
      </c>
      <c r="J41" s="15" t="s">
        <v>516</v>
      </c>
      <c r="K41" s="15" t="s">
        <v>511</v>
      </c>
      <c r="L41" s="15" t="s">
        <v>267</v>
      </c>
      <c r="M41" s="15">
        <v>83520.78</v>
      </c>
      <c r="N41" s="15" t="s">
        <v>381</v>
      </c>
      <c r="O41" s="15">
        <v>0</v>
      </c>
      <c r="P41" s="16" t="s">
        <v>512</v>
      </c>
    </row>
    <row r="42" spans="3:16" ht="36.75" thickBot="1" x14ac:dyDescent="0.3">
      <c r="C42" s="5" t="s">
        <v>64</v>
      </c>
      <c r="D42" s="14">
        <v>35</v>
      </c>
      <c r="E42" s="15" t="s">
        <v>425</v>
      </c>
      <c r="F42" s="15" t="s">
        <v>553</v>
      </c>
      <c r="G42" s="15" t="s">
        <v>509</v>
      </c>
      <c r="H42" s="15" t="s">
        <v>398</v>
      </c>
      <c r="I42" s="15" t="s">
        <v>399</v>
      </c>
      <c r="J42" s="15" t="s">
        <v>516</v>
      </c>
      <c r="K42" s="15" t="s">
        <v>511</v>
      </c>
      <c r="L42" s="15" t="s">
        <v>267</v>
      </c>
      <c r="M42" s="15">
        <v>106218.01</v>
      </c>
      <c r="N42" s="15" t="s">
        <v>381</v>
      </c>
      <c r="O42" s="15">
        <v>0</v>
      </c>
      <c r="P42" s="16" t="s">
        <v>512</v>
      </c>
    </row>
    <row r="43" spans="3:16" ht="36.75" thickBot="1" x14ac:dyDescent="0.3">
      <c r="C43" s="5" t="s">
        <v>64</v>
      </c>
      <c r="D43" s="14">
        <v>36</v>
      </c>
      <c r="E43" s="15" t="s">
        <v>425</v>
      </c>
      <c r="F43" s="15" t="s">
        <v>554</v>
      </c>
      <c r="G43" s="15" t="s">
        <v>509</v>
      </c>
      <c r="H43" s="15" t="s">
        <v>398</v>
      </c>
      <c r="I43" s="15" t="s">
        <v>399</v>
      </c>
      <c r="J43" s="15" t="s">
        <v>516</v>
      </c>
      <c r="K43" s="15" t="s">
        <v>511</v>
      </c>
      <c r="L43" s="15" t="s">
        <v>267</v>
      </c>
      <c r="M43" s="15">
        <v>4278.93</v>
      </c>
      <c r="N43" s="15" t="s">
        <v>381</v>
      </c>
      <c r="O43" s="15">
        <v>0</v>
      </c>
      <c r="P43" s="16" t="s">
        <v>512</v>
      </c>
    </row>
    <row r="44" spans="3:16" ht="36.75" thickBot="1" x14ac:dyDescent="0.3">
      <c r="C44" s="5" t="s">
        <v>64</v>
      </c>
      <c r="D44" s="14">
        <v>37</v>
      </c>
      <c r="E44" s="15" t="s">
        <v>425</v>
      </c>
      <c r="F44" s="15" t="s">
        <v>555</v>
      </c>
      <c r="G44" s="15" t="s">
        <v>509</v>
      </c>
      <c r="H44" s="15" t="s">
        <v>398</v>
      </c>
      <c r="I44" s="15" t="s">
        <v>399</v>
      </c>
      <c r="J44" s="15" t="s">
        <v>516</v>
      </c>
      <c r="K44" s="15" t="s">
        <v>511</v>
      </c>
      <c r="L44" s="15" t="s">
        <v>267</v>
      </c>
      <c r="M44" s="15">
        <v>1819.99</v>
      </c>
      <c r="N44" s="15" t="s">
        <v>381</v>
      </c>
      <c r="O44" s="15">
        <v>0</v>
      </c>
      <c r="P44" s="16" t="s">
        <v>512</v>
      </c>
    </row>
    <row r="45" spans="3:16" ht="36.75" thickBot="1" x14ac:dyDescent="0.3">
      <c r="C45" s="5" t="s">
        <v>64</v>
      </c>
      <c r="D45" s="14">
        <v>38</v>
      </c>
      <c r="E45" s="15" t="s">
        <v>425</v>
      </c>
      <c r="F45" s="15" t="s">
        <v>556</v>
      </c>
      <c r="G45" s="15" t="s">
        <v>509</v>
      </c>
      <c r="H45" s="15" t="s">
        <v>398</v>
      </c>
      <c r="I45" s="15" t="s">
        <v>399</v>
      </c>
      <c r="J45" s="15" t="s">
        <v>516</v>
      </c>
      <c r="K45" s="15" t="s">
        <v>511</v>
      </c>
      <c r="L45" s="15" t="s">
        <v>267</v>
      </c>
      <c r="M45" s="15">
        <v>8762.34</v>
      </c>
      <c r="N45" s="15" t="s">
        <v>381</v>
      </c>
      <c r="O45" s="15">
        <v>0</v>
      </c>
      <c r="P45" s="16" t="s">
        <v>512</v>
      </c>
    </row>
    <row r="46" spans="3:16" ht="36.75" thickBot="1" x14ac:dyDescent="0.3">
      <c r="C46" s="5" t="s">
        <v>64</v>
      </c>
      <c r="D46" s="14">
        <v>39</v>
      </c>
      <c r="E46" s="15" t="s">
        <v>425</v>
      </c>
      <c r="F46" s="15" t="s">
        <v>557</v>
      </c>
      <c r="G46" s="15" t="s">
        <v>509</v>
      </c>
      <c r="H46" s="15" t="s">
        <v>398</v>
      </c>
      <c r="I46" s="15" t="s">
        <v>399</v>
      </c>
      <c r="J46" s="15" t="s">
        <v>516</v>
      </c>
      <c r="K46" s="15" t="s">
        <v>511</v>
      </c>
      <c r="L46" s="15" t="s">
        <v>267</v>
      </c>
      <c r="M46" s="15">
        <v>131297.35999999999</v>
      </c>
      <c r="N46" s="15" t="s">
        <v>381</v>
      </c>
      <c r="O46" s="15">
        <v>0</v>
      </c>
      <c r="P46" s="16" t="s">
        <v>512</v>
      </c>
    </row>
    <row r="47" spans="3:16" ht="36.75" thickBot="1" x14ac:dyDescent="0.3">
      <c r="C47" s="5" t="s">
        <v>64</v>
      </c>
      <c r="D47" s="14">
        <v>40</v>
      </c>
      <c r="E47" s="15" t="s">
        <v>425</v>
      </c>
      <c r="F47" s="15" t="s">
        <v>558</v>
      </c>
      <c r="G47" s="15" t="s">
        <v>509</v>
      </c>
      <c r="H47" s="15" t="s">
        <v>398</v>
      </c>
      <c r="I47" s="15" t="s">
        <v>399</v>
      </c>
      <c r="J47" s="15" t="s">
        <v>516</v>
      </c>
      <c r="K47" s="15" t="s">
        <v>511</v>
      </c>
      <c r="L47" s="15" t="s">
        <v>267</v>
      </c>
      <c r="M47" s="15">
        <v>3942.03</v>
      </c>
      <c r="N47" s="15" t="s">
        <v>381</v>
      </c>
      <c r="O47" s="15">
        <v>0</v>
      </c>
      <c r="P47" s="16" t="s">
        <v>512</v>
      </c>
    </row>
    <row r="48" spans="3:16" ht="36.75" thickBot="1" x14ac:dyDescent="0.3">
      <c r="C48" s="5" t="s">
        <v>64</v>
      </c>
      <c r="D48" s="14">
        <v>41</v>
      </c>
      <c r="E48" s="15" t="s">
        <v>425</v>
      </c>
      <c r="F48" s="15" t="s">
        <v>559</v>
      </c>
      <c r="G48" s="15" t="s">
        <v>509</v>
      </c>
      <c r="H48" s="15" t="s">
        <v>398</v>
      </c>
      <c r="I48" s="15" t="s">
        <v>399</v>
      </c>
      <c r="J48" s="15" t="s">
        <v>516</v>
      </c>
      <c r="K48" s="15" t="s">
        <v>511</v>
      </c>
      <c r="L48" s="15" t="s">
        <v>267</v>
      </c>
      <c r="M48" s="15">
        <v>14500</v>
      </c>
      <c r="N48" s="15" t="s">
        <v>381</v>
      </c>
      <c r="O48" s="15">
        <v>0</v>
      </c>
      <c r="P48" s="16" t="s">
        <v>512</v>
      </c>
    </row>
    <row r="49" spans="3:16" ht="36.75" thickBot="1" x14ac:dyDescent="0.3">
      <c r="C49" s="5" t="s">
        <v>64</v>
      </c>
      <c r="D49" s="14">
        <v>42</v>
      </c>
      <c r="E49" s="15" t="s">
        <v>425</v>
      </c>
      <c r="F49" s="15" t="s">
        <v>560</v>
      </c>
      <c r="G49" s="15" t="s">
        <v>509</v>
      </c>
      <c r="H49" s="15" t="s">
        <v>398</v>
      </c>
      <c r="I49" s="15" t="s">
        <v>399</v>
      </c>
      <c r="J49" s="15" t="s">
        <v>516</v>
      </c>
      <c r="K49" s="15" t="s">
        <v>511</v>
      </c>
      <c r="L49" s="15" t="s">
        <v>267</v>
      </c>
      <c r="M49" s="15">
        <v>4762</v>
      </c>
      <c r="N49" s="15" t="s">
        <v>381</v>
      </c>
      <c r="O49" s="15">
        <v>0</v>
      </c>
      <c r="P49" s="16" t="s">
        <v>512</v>
      </c>
    </row>
    <row r="50" spans="3:16" ht="36.75" thickBot="1" x14ac:dyDescent="0.3">
      <c r="C50" s="5" t="s">
        <v>64</v>
      </c>
      <c r="D50" s="14">
        <v>43</v>
      </c>
      <c r="E50" s="15" t="s">
        <v>425</v>
      </c>
      <c r="F50" s="15" t="s">
        <v>561</v>
      </c>
      <c r="G50" s="15" t="s">
        <v>509</v>
      </c>
      <c r="H50" s="15" t="s">
        <v>398</v>
      </c>
      <c r="I50" s="15" t="s">
        <v>399</v>
      </c>
      <c r="J50" s="15" t="s">
        <v>516</v>
      </c>
      <c r="K50" s="15" t="s">
        <v>511</v>
      </c>
      <c r="L50" s="15" t="s">
        <v>267</v>
      </c>
      <c r="M50" s="15">
        <v>64000</v>
      </c>
      <c r="N50" s="15" t="s">
        <v>381</v>
      </c>
      <c r="O50" s="15">
        <v>0</v>
      </c>
      <c r="P50" s="16" t="s">
        <v>512</v>
      </c>
    </row>
    <row r="51" spans="3:16" ht="36.75" thickBot="1" x14ac:dyDescent="0.3">
      <c r="C51" s="5" t="s">
        <v>64</v>
      </c>
      <c r="D51" s="14">
        <v>44</v>
      </c>
      <c r="E51" s="15" t="s">
        <v>425</v>
      </c>
      <c r="F51" s="15" t="s">
        <v>562</v>
      </c>
      <c r="G51" s="15" t="s">
        <v>509</v>
      </c>
      <c r="H51" s="15" t="s">
        <v>398</v>
      </c>
      <c r="I51" s="15" t="s">
        <v>399</v>
      </c>
      <c r="J51" s="15" t="s">
        <v>516</v>
      </c>
      <c r="K51" s="15" t="s">
        <v>511</v>
      </c>
      <c r="L51" s="15" t="s">
        <v>267</v>
      </c>
      <c r="M51" s="15">
        <v>10600</v>
      </c>
      <c r="N51" s="15" t="s">
        <v>381</v>
      </c>
      <c r="O51" s="15">
        <v>0</v>
      </c>
      <c r="P51" s="16" t="s">
        <v>512</v>
      </c>
    </row>
    <row r="52" spans="3:16" ht="36.75" thickBot="1" x14ac:dyDescent="0.3">
      <c r="C52" s="5" t="s">
        <v>64</v>
      </c>
      <c r="D52" s="14">
        <v>45</v>
      </c>
      <c r="E52" s="15" t="s">
        <v>425</v>
      </c>
      <c r="F52" s="15" t="s">
        <v>563</v>
      </c>
      <c r="G52" s="15" t="s">
        <v>509</v>
      </c>
      <c r="H52" s="15" t="s">
        <v>398</v>
      </c>
      <c r="I52" s="15" t="s">
        <v>399</v>
      </c>
      <c r="J52" s="15" t="s">
        <v>516</v>
      </c>
      <c r="K52" s="15" t="s">
        <v>511</v>
      </c>
      <c r="L52" s="15" t="s">
        <v>267</v>
      </c>
      <c r="M52" s="15">
        <v>400000</v>
      </c>
      <c r="N52" s="15" t="s">
        <v>381</v>
      </c>
      <c r="O52" s="15">
        <v>0</v>
      </c>
      <c r="P52" s="16" t="s">
        <v>512</v>
      </c>
    </row>
    <row r="53" spans="3:16" ht="36.75" thickBot="1" x14ac:dyDescent="0.3">
      <c r="C53" s="5" t="s">
        <v>64</v>
      </c>
      <c r="D53" s="14">
        <v>46</v>
      </c>
      <c r="E53" s="15" t="s">
        <v>425</v>
      </c>
      <c r="F53" s="15" t="s">
        <v>564</v>
      </c>
      <c r="G53" s="15" t="s">
        <v>509</v>
      </c>
      <c r="H53" s="15" t="s">
        <v>398</v>
      </c>
      <c r="I53" s="15" t="s">
        <v>399</v>
      </c>
      <c r="J53" s="15" t="s">
        <v>516</v>
      </c>
      <c r="K53" s="15" t="s">
        <v>511</v>
      </c>
      <c r="L53" s="15" t="s">
        <v>267</v>
      </c>
      <c r="M53" s="15">
        <v>3852.53</v>
      </c>
      <c r="N53" s="15" t="s">
        <v>381</v>
      </c>
      <c r="O53" s="15">
        <v>0</v>
      </c>
      <c r="P53" s="16" t="s">
        <v>512</v>
      </c>
    </row>
    <row r="54" spans="3:16" ht="36.75" thickBot="1" x14ac:dyDescent="0.3">
      <c r="C54" s="5" t="s">
        <v>64</v>
      </c>
      <c r="D54" s="14">
        <v>47</v>
      </c>
      <c r="E54" s="15" t="s">
        <v>425</v>
      </c>
      <c r="F54" s="15" t="s">
        <v>565</v>
      </c>
      <c r="G54" s="15" t="s">
        <v>509</v>
      </c>
      <c r="H54" s="15" t="s">
        <v>398</v>
      </c>
      <c r="I54" s="15" t="s">
        <v>399</v>
      </c>
      <c r="J54" s="15" t="s">
        <v>516</v>
      </c>
      <c r="K54" s="15" t="s">
        <v>511</v>
      </c>
      <c r="L54" s="15" t="s">
        <v>267</v>
      </c>
      <c r="M54" s="15">
        <v>10000</v>
      </c>
      <c r="N54" s="15" t="s">
        <v>381</v>
      </c>
      <c r="O54" s="15">
        <v>0</v>
      </c>
      <c r="P54" s="16" t="s">
        <v>512</v>
      </c>
    </row>
    <row r="55" spans="3:16" ht="36.75" thickBot="1" x14ac:dyDescent="0.3">
      <c r="C55" s="5" t="s">
        <v>64</v>
      </c>
      <c r="D55" s="14">
        <v>48</v>
      </c>
      <c r="E55" s="15" t="s">
        <v>425</v>
      </c>
      <c r="F55" s="15" t="s">
        <v>566</v>
      </c>
      <c r="G55" s="15" t="s">
        <v>509</v>
      </c>
      <c r="H55" s="15" t="s">
        <v>398</v>
      </c>
      <c r="I55" s="15" t="s">
        <v>399</v>
      </c>
      <c r="J55" s="15" t="s">
        <v>516</v>
      </c>
      <c r="K55" s="15" t="s">
        <v>511</v>
      </c>
      <c r="L55" s="15" t="s">
        <v>267</v>
      </c>
      <c r="M55" s="15">
        <v>93411.25</v>
      </c>
      <c r="N55" s="15" t="s">
        <v>381</v>
      </c>
      <c r="O55" s="15">
        <v>0</v>
      </c>
      <c r="P55" s="16" t="s">
        <v>512</v>
      </c>
    </row>
    <row r="56" spans="3:16" ht="36.75" thickBot="1" x14ac:dyDescent="0.3">
      <c r="C56" s="5" t="s">
        <v>64</v>
      </c>
      <c r="D56" s="14">
        <v>49</v>
      </c>
      <c r="E56" s="15" t="s">
        <v>425</v>
      </c>
      <c r="F56" s="15" t="s">
        <v>567</v>
      </c>
      <c r="G56" s="15" t="s">
        <v>509</v>
      </c>
      <c r="H56" s="15" t="s">
        <v>398</v>
      </c>
      <c r="I56" s="15" t="s">
        <v>399</v>
      </c>
      <c r="J56" s="15" t="s">
        <v>516</v>
      </c>
      <c r="K56" s="15" t="s">
        <v>511</v>
      </c>
      <c r="L56" s="15" t="s">
        <v>267</v>
      </c>
      <c r="M56" s="15">
        <v>50000</v>
      </c>
      <c r="N56" s="15" t="s">
        <v>381</v>
      </c>
      <c r="O56" s="15">
        <v>0</v>
      </c>
      <c r="P56" s="16" t="s">
        <v>512</v>
      </c>
    </row>
    <row r="57" spans="3:16" ht="36.75" thickBot="1" x14ac:dyDescent="0.3">
      <c r="C57" s="5" t="s">
        <v>64</v>
      </c>
      <c r="D57" s="14">
        <v>50</v>
      </c>
      <c r="E57" s="15" t="s">
        <v>425</v>
      </c>
      <c r="F57" s="15" t="s">
        <v>568</v>
      </c>
      <c r="G57" s="15" t="s">
        <v>509</v>
      </c>
      <c r="H57" s="15" t="s">
        <v>398</v>
      </c>
      <c r="I57" s="15" t="s">
        <v>399</v>
      </c>
      <c r="J57" s="15" t="s">
        <v>516</v>
      </c>
      <c r="K57" s="15" t="s">
        <v>511</v>
      </c>
      <c r="L57" s="15" t="s">
        <v>267</v>
      </c>
      <c r="M57" s="15">
        <v>289.05</v>
      </c>
      <c r="N57" s="15" t="s">
        <v>381</v>
      </c>
      <c r="O57" s="15">
        <v>0</v>
      </c>
      <c r="P57" s="16" t="s">
        <v>512</v>
      </c>
    </row>
    <row r="58" spans="3:16" ht="36.75" thickBot="1" x14ac:dyDescent="0.3">
      <c r="C58" s="5" t="s">
        <v>64</v>
      </c>
      <c r="D58" s="14">
        <v>51</v>
      </c>
      <c r="E58" s="15" t="s">
        <v>425</v>
      </c>
      <c r="F58" s="15" t="s">
        <v>569</v>
      </c>
      <c r="G58" s="15" t="s">
        <v>509</v>
      </c>
      <c r="H58" s="15" t="s">
        <v>398</v>
      </c>
      <c r="I58" s="15" t="s">
        <v>399</v>
      </c>
      <c r="J58" s="15" t="s">
        <v>516</v>
      </c>
      <c r="K58" s="15" t="s">
        <v>511</v>
      </c>
      <c r="L58" s="15" t="s">
        <v>267</v>
      </c>
      <c r="M58" s="15">
        <v>401.13</v>
      </c>
      <c r="N58" s="15" t="s">
        <v>381</v>
      </c>
      <c r="O58" s="15">
        <v>0</v>
      </c>
      <c r="P58" s="16" t="s">
        <v>512</v>
      </c>
    </row>
    <row r="59" spans="3:16" ht="36.75" thickBot="1" x14ac:dyDescent="0.3">
      <c r="C59" s="5" t="s">
        <v>64</v>
      </c>
      <c r="D59" s="14">
        <v>52</v>
      </c>
      <c r="E59" s="15" t="s">
        <v>425</v>
      </c>
      <c r="F59" s="15" t="s">
        <v>570</v>
      </c>
      <c r="G59" s="15" t="s">
        <v>509</v>
      </c>
      <c r="H59" s="15" t="s">
        <v>398</v>
      </c>
      <c r="I59" s="15" t="s">
        <v>399</v>
      </c>
      <c r="J59" s="15" t="s">
        <v>516</v>
      </c>
      <c r="K59" s="15" t="s">
        <v>511</v>
      </c>
      <c r="L59" s="15" t="s">
        <v>267</v>
      </c>
      <c r="M59" s="15">
        <v>17544.07</v>
      </c>
      <c r="N59" s="15" t="s">
        <v>381</v>
      </c>
      <c r="O59" s="15">
        <v>0</v>
      </c>
      <c r="P59" s="16" t="s">
        <v>512</v>
      </c>
    </row>
    <row r="60" spans="3:16" ht="36.75" thickBot="1" x14ac:dyDescent="0.3">
      <c r="C60" s="5" t="s">
        <v>64</v>
      </c>
      <c r="D60" s="14">
        <v>53</v>
      </c>
      <c r="E60" s="15" t="s">
        <v>425</v>
      </c>
      <c r="F60" s="15" t="s">
        <v>571</v>
      </c>
      <c r="G60" s="15" t="s">
        <v>509</v>
      </c>
      <c r="H60" s="15" t="s">
        <v>398</v>
      </c>
      <c r="I60" s="15" t="s">
        <v>399</v>
      </c>
      <c r="J60" s="15" t="s">
        <v>516</v>
      </c>
      <c r="K60" s="15" t="s">
        <v>511</v>
      </c>
      <c r="L60" s="15" t="s">
        <v>267</v>
      </c>
      <c r="M60" s="15">
        <v>831977.2</v>
      </c>
      <c r="N60" s="15" t="s">
        <v>381</v>
      </c>
      <c r="O60" s="15">
        <v>0</v>
      </c>
      <c r="P60" s="16" t="s">
        <v>512</v>
      </c>
    </row>
    <row r="61" spans="3:16" ht="36.75" thickBot="1" x14ac:dyDescent="0.3">
      <c r="C61" s="5" t="s">
        <v>64</v>
      </c>
      <c r="D61" s="14">
        <v>54</v>
      </c>
      <c r="E61" s="15" t="s">
        <v>425</v>
      </c>
      <c r="F61" s="15" t="s">
        <v>572</v>
      </c>
      <c r="G61" s="15" t="s">
        <v>509</v>
      </c>
      <c r="H61" s="15" t="s">
        <v>398</v>
      </c>
      <c r="I61" s="15" t="s">
        <v>399</v>
      </c>
      <c r="J61" s="15" t="s">
        <v>516</v>
      </c>
      <c r="K61" s="15" t="s">
        <v>511</v>
      </c>
      <c r="L61" s="15" t="s">
        <v>267</v>
      </c>
      <c r="M61" s="15">
        <v>548087.1</v>
      </c>
      <c r="N61" s="15" t="s">
        <v>381</v>
      </c>
      <c r="O61" s="15">
        <v>0</v>
      </c>
      <c r="P61" s="16" t="s">
        <v>512</v>
      </c>
    </row>
    <row r="62" spans="3:16" ht="36.75" thickBot="1" x14ac:dyDescent="0.3">
      <c r="C62" s="5" t="s">
        <v>64</v>
      </c>
      <c r="D62" s="14">
        <v>55</v>
      </c>
      <c r="E62" s="15" t="s">
        <v>425</v>
      </c>
      <c r="F62" s="15" t="s">
        <v>573</v>
      </c>
      <c r="G62" s="15" t="s">
        <v>509</v>
      </c>
      <c r="H62" s="15" t="s">
        <v>398</v>
      </c>
      <c r="I62" s="15" t="s">
        <v>399</v>
      </c>
      <c r="J62" s="15" t="s">
        <v>516</v>
      </c>
      <c r="K62" s="15" t="s">
        <v>511</v>
      </c>
      <c r="L62" s="15" t="s">
        <v>267</v>
      </c>
      <c r="M62" s="15">
        <v>7774.54</v>
      </c>
      <c r="N62" s="15" t="s">
        <v>381</v>
      </c>
      <c r="O62" s="15">
        <v>0</v>
      </c>
      <c r="P62" s="16" t="s">
        <v>512</v>
      </c>
    </row>
    <row r="63" spans="3:16" ht="36.75" thickBot="1" x14ac:dyDescent="0.3">
      <c r="C63" s="5" t="s">
        <v>64</v>
      </c>
      <c r="D63" s="14">
        <v>56</v>
      </c>
      <c r="E63" s="15" t="s">
        <v>425</v>
      </c>
      <c r="F63" s="15" t="s">
        <v>574</v>
      </c>
      <c r="G63" s="15" t="s">
        <v>509</v>
      </c>
      <c r="H63" s="15" t="s">
        <v>398</v>
      </c>
      <c r="I63" s="15" t="s">
        <v>399</v>
      </c>
      <c r="J63" s="15" t="s">
        <v>516</v>
      </c>
      <c r="K63" s="15" t="s">
        <v>511</v>
      </c>
      <c r="L63" s="15" t="s">
        <v>267</v>
      </c>
      <c r="M63" s="15">
        <v>2407128.2999999998</v>
      </c>
      <c r="N63" s="15" t="s">
        <v>381</v>
      </c>
      <c r="O63" s="15">
        <v>0</v>
      </c>
      <c r="P63" s="16" t="s">
        <v>512</v>
      </c>
    </row>
    <row r="64" spans="3:16" ht="36.75" thickBot="1" x14ac:dyDescent="0.3">
      <c r="C64" s="5" t="s">
        <v>64</v>
      </c>
      <c r="D64" s="14">
        <v>57</v>
      </c>
      <c r="E64" s="15" t="s">
        <v>425</v>
      </c>
      <c r="F64" s="15" t="s">
        <v>575</v>
      </c>
      <c r="G64" s="15" t="s">
        <v>509</v>
      </c>
      <c r="H64" s="15" t="s">
        <v>398</v>
      </c>
      <c r="I64" s="15" t="s">
        <v>399</v>
      </c>
      <c r="J64" s="15" t="s">
        <v>516</v>
      </c>
      <c r="K64" s="15" t="s">
        <v>511</v>
      </c>
      <c r="L64" s="15" t="s">
        <v>267</v>
      </c>
      <c r="M64" s="15">
        <v>94010.87</v>
      </c>
      <c r="N64" s="15" t="s">
        <v>381</v>
      </c>
      <c r="O64" s="15">
        <v>0</v>
      </c>
      <c r="P64" s="16" t="s">
        <v>512</v>
      </c>
    </row>
    <row r="65" spans="3:16" ht="36.75" thickBot="1" x14ac:dyDescent="0.3">
      <c r="C65" s="5" t="s">
        <v>64</v>
      </c>
      <c r="D65" s="14">
        <v>58</v>
      </c>
      <c r="E65" s="15" t="s">
        <v>425</v>
      </c>
      <c r="F65" s="15" t="s">
        <v>576</v>
      </c>
      <c r="G65" s="15" t="s">
        <v>509</v>
      </c>
      <c r="H65" s="15" t="s">
        <v>398</v>
      </c>
      <c r="I65" s="15" t="s">
        <v>399</v>
      </c>
      <c r="J65" s="15" t="s">
        <v>516</v>
      </c>
      <c r="K65" s="15" t="s">
        <v>511</v>
      </c>
      <c r="L65" s="15" t="s">
        <v>267</v>
      </c>
      <c r="M65" s="15">
        <v>177407.97</v>
      </c>
      <c r="N65" s="15" t="s">
        <v>381</v>
      </c>
      <c r="O65" s="15">
        <v>0</v>
      </c>
      <c r="P65" s="16" t="s">
        <v>512</v>
      </c>
    </row>
    <row r="66" spans="3:16" ht="36.75" thickBot="1" x14ac:dyDescent="0.3">
      <c r="C66" s="5" t="s">
        <v>64</v>
      </c>
      <c r="D66" s="14">
        <v>59</v>
      </c>
      <c r="E66" s="15" t="s">
        <v>425</v>
      </c>
      <c r="F66" s="15" t="s">
        <v>577</v>
      </c>
      <c r="G66" s="15" t="s">
        <v>509</v>
      </c>
      <c r="H66" s="15" t="s">
        <v>398</v>
      </c>
      <c r="I66" s="15" t="s">
        <v>399</v>
      </c>
      <c r="J66" s="15" t="s">
        <v>516</v>
      </c>
      <c r="K66" s="15" t="s">
        <v>511</v>
      </c>
      <c r="L66" s="15" t="s">
        <v>267</v>
      </c>
      <c r="M66" s="15">
        <v>403793</v>
      </c>
      <c r="N66" s="15" t="s">
        <v>381</v>
      </c>
      <c r="O66" s="15">
        <v>0</v>
      </c>
      <c r="P66" s="16" t="s">
        <v>512</v>
      </c>
    </row>
    <row r="67" spans="3:16" ht="36.75" thickBot="1" x14ac:dyDescent="0.3">
      <c r="C67" s="5" t="s">
        <v>64</v>
      </c>
      <c r="D67" s="14">
        <v>60</v>
      </c>
      <c r="E67" s="15" t="s">
        <v>425</v>
      </c>
      <c r="F67" s="15" t="s">
        <v>578</v>
      </c>
      <c r="G67" s="15" t="s">
        <v>509</v>
      </c>
      <c r="H67" s="15" t="s">
        <v>398</v>
      </c>
      <c r="I67" s="15" t="s">
        <v>399</v>
      </c>
      <c r="J67" s="15" t="s">
        <v>516</v>
      </c>
      <c r="K67" s="15" t="s">
        <v>511</v>
      </c>
      <c r="L67" s="15" t="s">
        <v>267</v>
      </c>
      <c r="M67" s="15">
        <v>492098.24</v>
      </c>
      <c r="N67" s="15" t="s">
        <v>381</v>
      </c>
      <c r="O67" s="15">
        <v>0</v>
      </c>
      <c r="P67" s="16" t="s">
        <v>512</v>
      </c>
    </row>
    <row r="68" spans="3:16" ht="36.75" thickBot="1" x14ac:dyDescent="0.3">
      <c r="C68" s="5" t="s">
        <v>64</v>
      </c>
      <c r="D68" s="14">
        <v>61</v>
      </c>
      <c r="E68" s="15" t="s">
        <v>425</v>
      </c>
      <c r="F68" s="15" t="s">
        <v>579</v>
      </c>
      <c r="G68" s="15" t="s">
        <v>509</v>
      </c>
      <c r="H68" s="15" t="s">
        <v>398</v>
      </c>
      <c r="I68" s="15" t="s">
        <v>399</v>
      </c>
      <c r="J68" s="15" t="s">
        <v>516</v>
      </c>
      <c r="K68" s="15" t="s">
        <v>511</v>
      </c>
      <c r="L68" s="15" t="s">
        <v>267</v>
      </c>
      <c r="M68" s="15">
        <v>59966.67</v>
      </c>
      <c r="N68" s="15" t="s">
        <v>381</v>
      </c>
      <c r="O68" s="15">
        <v>0</v>
      </c>
      <c r="P68" s="16" t="s">
        <v>512</v>
      </c>
    </row>
    <row r="69" spans="3:16" ht="36.75" thickBot="1" x14ac:dyDescent="0.3">
      <c r="C69" s="5" t="s">
        <v>64</v>
      </c>
      <c r="D69" s="14">
        <v>62</v>
      </c>
      <c r="E69" s="15" t="s">
        <v>425</v>
      </c>
      <c r="F69" s="15" t="s">
        <v>580</v>
      </c>
      <c r="G69" s="15" t="s">
        <v>509</v>
      </c>
      <c r="H69" s="15" t="s">
        <v>398</v>
      </c>
      <c r="I69" s="15" t="s">
        <v>399</v>
      </c>
      <c r="J69" s="15" t="s">
        <v>516</v>
      </c>
      <c r="K69" s="15" t="s">
        <v>511</v>
      </c>
      <c r="L69" s="15" t="s">
        <v>267</v>
      </c>
      <c r="M69" s="15">
        <v>131288.62</v>
      </c>
      <c r="N69" s="15" t="s">
        <v>381</v>
      </c>
      <c r="O69" s="15">
        <v>0</v>
      </c>
      <c r="P69" s="16" t="s">
        <v>512</v>
      </c>
    </row>
    <row r="70" spans="3:16" ht="36.75" thickBot="1" x14ac:dyDescent="0.3">
      <c r="C70" s="5" t="s">
        <v>64</v>
      </c>
      <c r="D70" s="14">
        <v>63</v>
      </c>
      <c r="E70" s="15" t="s">
        <v>425</v>
      </c>
      <c r="F70" s="15" t="s">
        <v>581</v>
      </c>
      <c r="G70" s="15" t="s">
        <v>509</v>
      </c>
      <c r="H70" s="15" t="s">
        <v>398</v>
      </c>
      <c r="I70" s="15" t="s">
        <v>399</v>
      </c>
      <c r="J70" s="15" t="s">
        <v>516</v>
      </c>
      <c r="K70" s="15" t="s">
        <v>511</v>
      </c>
      <c r="L70" s="15" t="s">
        <v>267</v>
      </c>
      <c r="M70" s="15">
        <v>4680.8900000000003</v>
      </c>
      <c r="N70" s="15" t="s">
        <v>381</v>
      </c>
      <c r="O70" s="15">
        <v>0</v>
      </c>
      <c r="P70" s="16" t="s">
        <v>512</v>
      </c>
    </row>
    <row r="71" spans="3:16" ht="36.75" thickBot="1" x14ac:dyDescent="0.3">
      <c r="C71" s="5" t="s">
        <v>64</v>
      </c>
      <c r="D71" s="14">
        <v>64</v>
      </c>
      <c r="E71" s="15" t="s">
        <v>425</v>
      </c>
      <c r="F71" s="15" t="s">
        <v>582</v>
      </c>
      <c r="G71" s="15" t="s">
        <v>509</v>
      </c>
      <c r="H71" s="15" t="s">
        <v>398</v>
      </c>
      <c r="I71" s="15" t="s">
        <v>399</v>
      </c>
      <c r="J71" s="15" t="s">
        <v>516</v>
      </c>
      <c r="K71" s="15" t="s">
        <v>511</v>
      </c>
      <c r="L71" s="15" t="s">
        <v>267</v>
      </c>
      <c r="M71" s="15">
        <v>200</v>
      </c>
      <c r="N71" s="15" t="s">
        <v>381</v>
      </c>
      <c r="O71" s="15">
        <v>0</v>
      </c>
      <c r="P71" s="16" t="s">
        <v>512</v>
      </c>
    </row>
    <row r="72" spans="3:16" ht="36.75" thickBot="1" x14ac:dyDescent="0.3">
      <c r="C72" s="5" t="s">
        <v>64</v>
      </c>
      <c r="D72" s="14">
        <v>65</v>
      </c>
      <c r="E72" s="15" t="s">
        <v>425</v>
      </c>
      <c r="F72" s="15" t="s">
        <v>583</v>
      </c>
      <c r="G72" s="15" t="s">
        <v>509</v>
      </c>
      <c r="H72" s="15" t="s">
        <v>398</v>
      </c>
      <c r="I72" s="15" t="s">
        <v>399</v>
      </c>
      <c r="J72" s="15" t="s">
        <v>516</v>
      </c>
      <c r="K72" s="15" t="s">
        <v>511</v>
      </c>
      <c r="L72" s="15" t="s">
        <v>267</v>
      </c>
      <c r="M72" s="15">
        <v>1750</v>
      </c>
      <c r="N72" s="15" t="s">
        <v>381</v>
      </c>
      <c r="O72" s="15">
        <v>0</v>
      </c>
      <c r="P72" s="16" t="s">
        <v>512</v>
      </c>
    </row>
    <row r="73" spans="3:16" ht="36.75" thickBot="1" x14ac:dyDescent="0.3">
      <c r="C73" s="5" t="s">
        <v>64</v>
      </c>
      <c r="D73" s="14">
        <v>66</v>
      </c>
      <c r="E73" s="15" t="s">
        <v>425</v>
      </c>
      <c r="F73" s="15" t="s">
        <v>584</v>
      </c>
      <c r="G73" s="15" t="s">
        <v>509</v>
      </c>
      <c r="H73" s="15" t="s">
        <v>398</v>
      </c>
      <c r="I73" s="15" t="s">
        <v>399</v>
      </c>
      <c r="J73" s="15" t="s">
        <v>516</v>
      </c>
      <c r="K73" s="15" t="s">
        <v>511</v>
      </c>
      <c r="L73" s="15" t="s">
        <v>267</v>
      </c>
      <c r="M73" s="15">
        <v>21935.66</v>
      </c>
      <c r="N73" s="15" t="s">
        <v>381</v>
      </c>
      <c r="O73" s="15">
        <v>0</v>
      </c>
      <c r="P73" s="16" t="s">
        <v>512</v>
      </c>
    </row>
    <row r="74" spans="3:16" ht="36.75" thickBot="1" x14ac:dyDescent="0.3">
      <c r="C74" s="5" t="s">
        <v>64</v>
      </c>
      <c r="D74" s="14">
        <v>67</v>
      </c>
      <c r="E74" s="15" t="s">
        <v>425</v>
      </c>
      <c r="F74" s="15" t="s">
        <v>585</v>
      </c>
      <c r="G74" s="15" t="s">
        <v>509</v>
      </c>
      <c r="H74" s="15" t="s">
        <v>398</v>
      </c>
      <c r="I74" s="15" t="s">
        <v>399</v>
      </c>
      <c r="J74" s="15" t="s">
        <v>516</v>
      </c>
      <c r="K74" s="15" t="s">
        <v>511</v>
      </c>
      <c r="L74" s="15" t="s">
        <v>267</v>
      </c>
      <c r="M74" s="15">
        <v>131735.04000000001</v>
      </c>
      <c r="N74" s="15" t="s">
        <v>381</v>
      </c>
      <c r="O74" s="15">
        <v>0</v>
      </c>
      <c r="P74" s="16" t="s">
        <v>512</v>
      </c>
    </row>
    <row r="75" spans="3:16" ht="36.75" thickBot="1" x14ac:dyDescent="0.3">
      <c r="C75" s="5" t="s">
        <v>64</v>
      </c>
      <c r="D75" s="14">
        <v>68</v>
      </c>
      <c r="E75" s="15" t="s">
        <v>425</v>
      </c>
      <c r="F75" s="15" t="s">
        <v>586</v>
      </c>
      <c r="G75" s="15" t="s">
        <v>509</v>
      </c>
      <c r="H75" s="15" t="s">
        <v>398</v>
      </c>
      <c r="I75" s="15" t="s">
        <v>399</v>
      </c>
      <c r="J75" s="15" t="s">
        <v>516</v>
      </c>
      <c r="K75" s="15" t="s">
        <v>511</v>
      </c>
      <c r="L75" s="15" t="s">
        <v>267</v>
      </c>
      <c r="M75" s="15">
        <v>51065.91</v>
      </c>
      <c r="N75" s="15" t="s">
        <v>381</v>
      </c>
      <c r="O75" s="15">
        <v>0</v>
      </c>
      <c r="P75" s="16" t="s">
        <v>512</v>
      </c>
    </row>
    <row r="76" spans="3:16" ht="36.75" thickBot="1" x14ac:dyDescent="0.3">
      <c r="C76" s="5" t="s">
        <v>64</v>
      </c>
      <c r="D76" s="14">
        <v>69</v>
      </c>
      <c r="E76" s="15" t="s">
        <v>425</v>
      </c>
      <c r="F76" s="15" t="s">
        <v>587</v>
      </c>
      <c r="G76" s="15" t="s">
        <v>509</v>
      </c>
      <c r="H76" s="15" t="s">
        <v>398</v>
      </c>
      <c r="I76" s="15" t="s">
        <v>399</v>
      </c>
      <c r="J76" s="15" t="s">
        <v>516</v>
      </c>
      <c r="K76" s="15" t="s">
        <v>511</v>
      </c>
      <c r="L76" s="15" t="s">
        <v>267</v>
      </c>
      <c r="M76" s="15">
        <v>51610.1</v>
      </c>
      <c r="N76" s="15" t="s">
        <v>381</v>
      </c>
      <c r="O76" s="15">
        <v>0</v>
      </c>
      <c r="P76" s="16" t="s">
        <v>512</v>
      </c>
    </row>
    <row r="77" spans="3:16" ht="36.75" thickBot="1" x14ac:dyDescent="0.3">
      <c r="C77" s="5" t="s">
        <v>64</v>
      </c>
      <c r="D77" s="14">
        <v>70</v>
      </c>
      <c r="E77" s="15" t="s">
        <v>425</v>
      </c>
      <c r="F77" s="15" t="s">
        <v>588</v>
      </c>
      <c r="G77" s="15" t="s">
        <v>509</v>
      </c>
      <c r="H77" s="15" t="s">
        <v>398</v>
      </c>
      <c r="I77" s="15" t="s">
        <v>399</v>
      </c>
      <c r="J77" s="15" t="s">
        <v>516</v>
      </c>
      <c r="K77" s="15" t="s">
        <v>511</v>
      </c>
      <c r="L77" s="15" t="s">
        <v>267</v>
      </c>
      <c r="M77" s="15">
        <v>66663.97</v>
      </c>
      <c r="N77" s="15" t="s">
        <v>381</v>
      </c>
      <c r="O77" s="15">
        <v>0</v>
      </c>
      <c r="P77" s="16" t="s">
        <v>512</v>
      </c>
    </row>
    <row r="78" spans="3:16" ht="36.75" thickBot="1" x14ac:dyDescent="0.3">
      <c r="C78" s="5" t="s">
        <v>64</v>
      </c>
      <c r="D78" s="14">
        <v>71</v>
      </c>
      <c r="E78" s="15" t="s">
        <v>425</v>
      </c>
      <c r="F78" s="15" t="s">
        <v>589</v>
      </c>
      <c r="G78" s="15" t="s">
        <v>509</v>
      </c>
      <c r="H78" s="15" t="s">
        <v>398</v>
      </c>
      <c r="I78" s="15" t="s">
        <v>399</v>
      </c>
      <c r="J78" s="15" t="s">
        <v>516</v>
      </c>
      <c r="K78" s="15" t="s">
        <v>511</v>
      </c>
      <c r="L78" s="15" t="s">
        <v>267</v>
      </c>
      <c r="M78" s="15">
        <v>7966.67</v>
      </c>
      <c r="N78" s="15" t="s">
        <v>381</v>
      </c>
      <c r="O78" s="15">
        <v>0</v>
      </c>
      <c r="P78" s="16" t="s">
        <v>512</v>
      </c>
    </row>
    <row r="79" spans="3:16" ht="36.75" thickBot="1" x14ac:dyDescent="0.3">
      <c r="C79" s="5" t="s">
        <v>64</v>
      </c>
      <c r="D79" s="14">
        <v>72</v>
      </c>
      <c r="E79" s="15" t="s">
        <v>425</v>
      </c>
      <c r="F79" s="15" t="s">
        <v>590</v>
      </c>
      <c r="G79" s="15" t="s">
        <v>509</v>
      </c>
      <c r="H79" s="15" t="s">
        <v>398</v>
      </c>
      <c r="I79" s="15" t="s">
        <v>399</v>
      </c>
      <c r="J79" s="15" t="s">
        <v>516</v>
      </c>
      <c r="K79" s="15" t="s">
        <v>511</v>
      </c>
      <c r="L79" s="15" t="s">
        <v>267</v>
      </c>
      <c r="M79" s="15">
        <v>1066.44</v>
      </c>
      <c r="N79" s="15" t="s">
        <v>381</v>
      </c>
      <c r="O79" s="15">
        <v>0</v>
      </c>
      <c r="P79" s="16" t="s">
        <v>512</v>
      </c>
    </row>
    <row r="80" spans="3:16" ht="36.75" thickBot="1" x14ac:dyDescent="0.3">
      <c r="C80" s="5" t="s">
        <v>64</v>
      </c>
      <c r="D80" s="14">
        <v>73</v>
      </c>
      <c r="E80" s="15" t="s">
        <v>425</v>
      </c>
      <c r="F80" s="15" t="s">
        <v>591</v>
      </c>
      <c r="G80" s="15" t="s">
        <v>509</v>
      </c>
      <c r="H80" s="15" t="s">
        <v>398</v>
      </c>
      <c r="I80" s="15" t="s">
        <v>399</v>
      </c>
      <c r="J80" s="15" t="s">
        <v>516</v>
      </c>
      <c r="K80" s="15" t="s">
        <v>511</v>
      </c>
      <c r="L80" s="15" t="s">
        <v>267</v>
      </c>
      <c r="M80" s="15">
        <v>122513.44</v>
      </c>
      <c r="N80" s="15" t="s">
        <v>381</v>
      </c>
      <c r="O80" s="15">
        <v>0</v>
      </c>
      <c r="P80" s="16" t="s">
        <v>512</v>
      </c>
    </row>
    <row r="81" spans="3:16" ht="36.75" thickBot="1" x14ac:dyDescent="0.3">
      <c r="C81" s="5" t="s">
        <v>64</v>
      </c>
      <c r="D81" s="14">
        <v>74</v>
      </c>
      <c r="E81" s="15" t="s">
        <v>425</v>
      </c>
      <c r="F81" s="15" t="s">
        <v>592</v>
      </c>
      <c r="G81" s="15" t="s">
        <v>509</v>
      </c>
      <c r="H81" s="15" t="s">
        <v>398</v>
      </c>
      <c r="I81" s="15" t="s">
        <v>399</v>
      </c>
      <c r="J81" s="15" t="s">
        <v>516</v>
      </c>
      <c r="K81" s="15" t="s">
        <v>511</v>
      </c>
      <c r="L81" s="15" t="s">
        <v>267</v>
      </c>
      <c r="M81" s="15">
        <v>5714.29</v>
      </c>
      <c r="N81" s="15" t="s">
        <v>381</v>
      </c>
      <c r="O81" s="15">
        <v>0</v>
      </c>
      <c r="P81" s="16" t="s">
        <v>512</v>
      </c>
    </row>
    <row r="82" spans="3:16" ht="36.75" thickBot="1" x14ac:dyDescent="0.3">
      <c r="C82" s="5" t="s">
        <v>64</v>
      </c>
      <c r="D82" s="14">
        <v>75</v>
      </c>
      <c r="E82" s="15" t="s">
        <v>425</v>
      </c>
      <c r="F82" s="15" t="s">
        <v>593</v>
      </c>
      <c r="G82" s="15" t="s">
        <v>509</v>
      </c>
      <c r="H82" s="15" t="s">
        <v>398</v>
      </c>
      <c r="I82" s="15" t="s">
        <v>399</v>
      </c>
      <c r="J82" s="15" t="s">
        <v>516</v>
      </c>
      <c r="K82" s="15" t="s">
        <v>511</v>
      </c>
      <c r="L82" s="15" t="s">
        <v>267</v>
      </c>
      <c r="M82" s="15">
        <v>11097.88</v>
      </c>
      <c r="N82" s="15" t="s">
        <v>381</v>
      </c>
      <c r="O82" s="15">
        <v>0</v>
      </c>
      <c r="P82" s="16" t="s">
        <v>512</v>
      </c>
    </row>
    <row r="83" spans="3:16" ht="36.75" thickBot="1" x14ac:dyDescent="0.3">
      <c r="C83" s="5" t="s">
        <v>64</v>
      </c>
      <c r="D83" s="14">
        <v>76</v>
      </c>
      <c r="E83" s="15" t="s">
        <v>425</v>
      </c>
      <c r="F83" s="15" t="s">
        <v>594</v>
      </c>
      <c r="G83" s="15" t="s">
        <v>509</v>
      </c>
      <c r="H83" s="15" t="s">
        <v>398</v>
      </c>
      <c r="I83" s="15" t="s">
        <v>399</v>
      </c>
      <c r="J83" s="15" t="s">
        <v>516</v>
      </c>
      <c r="K83" s="15" t="s">
        <v>511</v>
      </c>
      <c r="L83" s="15" t="s">
        <v>267</v>
      </c>
      <c r="M83" s="15">
        <v>25000</v>
      </c>
      <c r="N83" s="15" t="s">
        <v>381</v>
      </c>
      <c r="O83" s="15">
        <v>0</v>
      </c>
      <c r="P83" s="16" t="s">
        <v>512</v>
      </c>
    </row>
    <row r="84" spans="3:16" ht="36.75" thickBot="1" x14ac:dyDescent="0.3">
      <c r="C84" s="5" t="s">
        <v>64</v>
      </c>
      <c r="D84" s="14">
        <v>77</v>
      </c>
      <c r="E84" s="15" t="s">
        <v>425</v>
      </c>
      <c r="F84" s="15" t="s">
        <v>595</v>
      </c>
      <c r="G84" s="15" t="s">
        <v>509</v>
      </c>
      <c r="H84" s="15" t="s">
        <v>398</v>
      </c>
      <c r="I84" s="15" t="s">
        <v>399</v>
      </c>
      <c r="J84" s="15" t="s">
        <v>516</v>
      </c>
      <c r="K84" s="15" t="s">
        <v>511</v>
      </c>
      <c r="L84" s="15" t="s">
        <v>267</v>
      </c>
      <c r="M84" s="15">
        <v>19686</v>
      </c>
      <c r="N84" s="15" t="s">
        <v>381</v>
      </c>
      <c r="O84" s="15">
        <v>0</v>
      </c>
      <c r="P84" s="16" t="s">
        <v>512</v>
      </c>
    </row>
    <row r="85" spans="3:16" ht="36.75" thickBot="1" x14ac:dyDescent="0.3">
      <c r="C85" s="5" t="s">
        <v>64</v>
      </c>
      <c r="D85" s="14">
        <v>78</v>
      </c>
      <c r="E85" s="15" t="s">
        <v>425</v>
      </c>
      <c r="F85" s="15" t="s">
        <v>596</v>
      </c>
      <c r="G85" s="15" t="s">
        <v>509</v>
      </c>
      <c r="H85" s="15" t="s">
        <v>398</v>
      </c>
      <c r="I85" s="15" t="s">
        <v>399</v>
      </c>
      <c r="J85" s="15" t="s">
        <v>516</v>
      </c>
      <c r="K85" s="15" t="s">
        <v>511</v>
      </c>
      <c r="L85" s="15" t="s">
        <v>267</v>
      </c>
      <c r="M85" s="15">
        <v>900000</v>
      </c>
      <c r="N85" s="15" t="s">
        <v>381</v>
      </c>
      <c r="O85" s="15">
        <v>0</v>
      </c>
      <c r="P85" s="16" t="s">
        <v>512</v>
      </c>
    </row>
    <row r="86" spans="3:16" ht="36.75" thickBot="1" x14ac:dyDescent="0.3">
      <c r="C86" s="5" t="s">
        <v>64</v>
      </c>
      <c r="D86" s="14">
        <v>79</v>
      </c>
      <c r="E86" s="15" t="s">
        <v>425</v>
      </c>
      <c r="F86" s="15" t="s">
        <v>597</v>
      </c>
      <c r="G86" s="15" t="s">
        <v>509</v>
      </c>
      <c r="H86" s="15" t="s">
        <v>398</v>
      </c>
      <c r="I86" s="15" t="s">
        <v>399</v>
      </c>
      <c r="J86" s="15" t="s">
        <v>516</v>
      </c>
      <c r="K86" s="15" t="s">
        <v>511</v>
      </c>
      <c r="L86" s="15" t="s">
        <v>267</v>
      </c>
      <c r="M86" s="15">
        <v>1800000</v>
      </c>
      <c r="N86" s="15" t="s">
        <v>381</v>
      </c>
      <c r="O86" s="15">
        <v>0</v>
      </c>
      <c r="P86" s="16" t="s">
        <v>512</v>
      </c>
    </row>
    <row r="87" spans="3:16" ht="36.75" thickBot="1" x14ac:dyDescent="0.3">
      <c r="C87" s="5" t="s">
        <v>64</v>
      </c>
      <c r="D87" s="14">
        <v>80</v>
      </c>
      <c r="E87" s="15" t="s">
        <v>425</v>
      </c>
      <c r="F87" s="15" t="s">
        <v>598</v>
      </c>
      <c r="G87" s="15" t="s">
        <v>509</v>
      </c>
      <c r="H87" s="15" t="s">
        <v>398</v>
      </c>
      <c r="I87" s="15" t="s">
        <v>399</v>
      </c>
      <c r="J87" s="15" t="s">
        <v>516</v>
      </c>
      <c r="K87" s="15" t="s">
        <v>511</v>
      </c>
      <c r="L87" s="15" t="s">
        <v>267</v>
      </c>
      <c r="M87" s="15">
        <v>4052.81</v>
      </c>
      <c r="N87" s="15" t="s">
        <v>381</v>
      </c>
      <c r="O87" s="15">
        <v>0</v>
      </c>
      <c r="P87" s="16" t="s">
        <v>512</v>
      </c>
    </row>
    <row r="88" spans="3:16" ht="36.75" thickBot="1" x14ac:dyDescent="0.3">
      <c r="C88" s="5" t="s">
        <v>64</v>
      </c>
      <c r="D88" s="14">
        <v>81</v>
      </c>
      <c r="E88" s="15" t="s">
        <v>425</v>
      </c>
      <c r="F88" s="15" t="s">
        <v>599</v>
      </c>
      <c r="G88" s="15" t="s">
        <v>509</v>
      </c>
      <c r="H88" s="15" t="s">
        <v>398</v>
      </c>
      <c r="I88" s="15" t="s">
        <v>399</v>
      </c>
      <c r="J88" s="15" t="s">
        <v>516</v>
      </c>
      <c r="K88" s="15" t="s">
        <v>511</v>
      </c>
      <c r="L88" s="15" t="s">
        <v>267</v>
      </c>
      <c r="M88" s="15">
        <v>30000</v>
      </c>
      <c r="N88" s="15" t="s">
        <v>381</v>
      </c>
      <c r="O88" s="15">
        <v>0</v>
      </c>
      <c r="P88" s="16" t="s">
        <v>512</v>
      </c>
    </row>
    <row r="89" spans="3:16" ht="36.75" thickBot="1" x14ac:dyDescent="0.3">
      <c r="C89" s="5" t="s">
        <v>64</v>
      </c>
      <c r="D89" s="14">
        <v>82</v>
      </c>
      <c r="E89" s="15" t="s">
        <v>425</v>
      </c>
      <c r="F89" s="15" t="s">
        <v>600</v>
      </c>
      <c r="G89" s="15" t="s">
        <v>509</v>
      </c>
      <c r="H89" s="15" t="s">
        <v>398</v>
      </c>
      <c r="I89" s="15" t="s">
        <v>399</v>
      </c>
      <c r="J89" s="15" t="s">
        <v>516</v>
      </c>
      <c r="K89" s="15" t="s">
        <v>511</v>
      </c>
      <c r="L89" s="15" t="s">
        <v>267</v>
      </c>
      <c r="M89" s="15">
        <v>35836.379999999997</v>
      </c>
      <c r="N89" s="15" t="s">
        <v>381</v>
      </c>
      <c r="O89" s="15">
        <v>0</v>
      </c>
      <c r="P89" s="16" t="s">
        <v>512</v>
      </c>
    </row>
    <row r="90" spans="3:16" ht="36.75" thickBot="1" x14ac:dyDescent="0.3">
      <c r="C90" s="5" t="s">
        <v>64</v>
      </c>
      <c r="D90" s="14">
        <v>83</v>
      </c>
      <c r="E90" s="15" t="s">
        <v>425</v>
      </c>
      <c r="F90" s="15" t="s">
        <v>601</v>
      </c>
      <c r="G90" s="15" t="s">
        <v>509</v>
      </c>
      <c r="H90" s="15" t="s">
        <v>398</v>
      </c>
      <c r="I90" s="15" t="s">
        <v>399</v>
      </c>
      <c r="J90" s="15" t="s">
        <v>516</v>
      </c>
      <c r="K90" s="15" t="s">
        <v>511</v>
      </c>
      <c r="L90" s="15" t="s">
        <v>267</v>
      </c>
      <c r="M90" s="15">
        <v>35450.36</v>
      </c>
      <c r="N90" s="15" t="s">
        <v>381</v>
      </c>
      <c r="O90" s="15">
        <v>0</v>
      </c>
      <c r="P90" s="16" t="s">
        <v>512</v>
      </c>
    </row>
    <row r="91" spans="3:16" ht="36.75" thickBot="1" x14ac:dyDescent="0.3">
      <c r="C91" s="5" t="s">
        <v>64</v>
      </c>
      <c r="D91" s="14">
        <v>84</v>
      </c>
      <c r="E91" s="15" t="s">
        <v>425</v>
      </c>
      <c r="F91" s="15" t="s">
        <v>602</v>
      </c>
      <c r="G91" s="15" t="s">
        <v>509</v>
      </c>
      <c r="H91" s="15" t="s">
        <v>398</v>
      </c>
      <c r="I91" s="15" t="s">
        <v>399</v>
      </c>
      <c r="J91" s="15" t="s">
        <v>516</v>
      </c>
      <c r="K91" s="15" t="s">
        <v>511</v>
      </c>
      <c r="L91" s="15" t="s">
        <v>267</v>
      </c>
      <c r="M91" s="15">
        <v>120000</v>
      </c>
      <c r="N91" s="15" t="s">
        <v>381</v>
      </c>
      <c r="O91" s="15">
        <v>0</v>
      </c>
      <c r="P91" s="16" t="s">
        <v>512</v>
      </c>
    </row>
    <row r="92" spans="3:16" ht="36.75" thickBot="1" x14ac:dyDescent="0.3">
      <c r="C92" s="5" t="s">
        <v>64</v>
      </c>
      <c r="D92" s="14">
        <v>85</v>
      </c>
      <c r="E92" s="15" t="s">
        <v>425</v>
      </c>
      <c r="F92" s="15" t="s">
        <v>603</v>
      </c>
      <c r="G92" s="15" t="s">
        <v>509</v>
      </c>
      <c r="H92" s="15" t="s">
        <v>398</v>
      </c>
      <c r="I92" s="15" t="s">
        <v>399</v>
      </c>
      <c r="J92" s="15" t="s">
        <v>516</v>
      </c>
      <c r="K92" s="15" t="s">
        <v>511</v>
      </c>
      <c r="L92" s="15" t="s">
        <v>267</v>
      </c>
      <c r="M92" s="15">
        <v>10000</v>
      </c>
      <c r="N92" s="15" t="s">
        <v>381</v>
      </c>
      <c r="O92" s="15">
        <v>0</v>
      </c>
      <c r="P92" s="16" t="s">
        <v>512</v>
      </c>
    </row>
    <row r="93" spans="3:16" ht="36.75" thickBot="1" x14ac:dyDescent="0.3">
      <c r="C93" s="5" t="s">
        <v>64</v>
      </c>
      <c r="D93" s="14">
        <v>86</v>
      </c>
      <c r="E93" s="15" t="s">
        <v>425</v>
      </c>
      <c r="F93" s="15" t="s">
        <v>604</v>
      </c>
      <c r="G93" s="15" t="s">
        <v>509</v>
      </c>
      <c r="H93" s="15" t="s">
        <v>398</v>
      </c>
      <c r="I93" s="15" t="s">
        <v>399</v>
      </c>
      <c r="J93" s="15" t="s">
        <v>516</v>
      </c>
      <c r="K93" s="15" t="s">
        <v>511</v>
      </c>
      <c r="L93" s="15" t="s">
        <v>267</v>
      </c>
      <c r="M93" s="15">
        <v>3000</v>
      </c>
      <c r="N93" s="15" t="s">
        <v>381</v>
      </c>
      <c r="O93" s="15">
        <v>0</v>
      </c>
      <c r="P93" s="16" t="s">
        <v>512</v>
      </c>
    </row>
    <row r="94" spans="3:16" ht="36.75" thickBot="1" x14ac:dyDescent="0.3">
      <c r="C94" s="5" t="s">
        <v>64</v>
      </c>
      <c r="D94" s="14">
        <v>87</v>
      </c>
      <c r="E94" s="15" t="s">
        <v>425</v>
      </c>
      <c r="F94" s="15" t="s">
        <v>605</v>
      </c>
      <c r="G94" s="15" t="s">
        <v>509</v>
      </c>
      <c r="H94" s="15" t="s">
        <v>398</v>
      </c>
      <c r="I94" s="15" t="s">
        <v>399</v>
      </c>
      <c r="J94" s="15" t="s">
        <v>516</v>
      </c>
      <c r="K94" s="15" t="s">
        <v>511</v>
      </c>
      <c r="L94" s="15" t="s">
        <v>267</v>
      </c>
      <c r="M94" s="15">
        <v>15000</v>
      </c>
      <c r="N94" s="15" t="s">
        <v>381</v>
      </c>
      <c r="O94" s="15">
        <v>0</v>
      </c>
      <c r="P94" s="16" t="s">
        <v>512</v>
      </c>
    </row>
    <row r="95" spans="3:16" ht="36.75" thickBot="1" x14ac:dyDescent="0.3">
      <c r="C95" s="5" t="s">
        <v>64</v>
      </c>
      <c r="D95" s="14">
        <v>88</v>
      </c>
      <c r="E95" s="15" t="s">
        <v>425</v>
      </c>
      <c r="F95" s="15" t="s">
        <v>606</v>
      </c>
      <c r="G95" s="15" t="s">
        <v>509</v>
      </c>
      <c r="H95" s="15" t="s">
        <v>398</v>
      </c>
      <c r="I95" s="15" t="s">
        <v>399</v>
      </c>
      <c r="J95" s="15" t="s">
        <v>516</v>
      </c>
      <c r="K95" s="15" t="s">
        <v>511</v>
      </c>
      <c r="L95" s="15" t="s">
        <v>267</v>
      </c>
      <c r="M95" s="15">
        <v>36226.58</v>
      </c>
      <c r="N95" s="15" t="s">
        <v>381</v>
      </c>
      <c r="O95" s="15">
        <v>0</v>
      </c>
      <c r="P95" s="16" t="s">
        <v>512</v>
      </c>
    </row>
    <row r="96" spans="3:16" ht="36.75" thickBot="1" x14ac:dyDescent="0.3">
      <c r="C96" s="5" t="s">
        <v>64</v>
      </c>
      <c r="D96" s="14">
        <v>89</v>
      </c>
      <c r="E96" s="15" t="s">
        <v>425</v>
      </c>
      <c r="F96" s="15" t="s">
        <v>607</v>
      </c>
      <c r="G96" s="15" t="s">
        <v>509</v>
      </c>
      <c r="H96" s="15" t="s">
        <v>398</v>
      </c>
      <c r="I96" s="15" t="s">
        <v>399</v>
      </c>
      <c r="J96" s="15" t="s">
        <v>516</v>
      </c>
      <c r="K96" s="15" t="s">
        <v>511</v>
      </c>
      <c r="L96" s="15" t="s">
        <v>267</v>
      </c>
      <c r="M96" s="15">
        <v>11900</v>
      </c>
      <c r="N96" s="15" t="s">
        <v>381</v>
      </c>
      <c r="O96" s="15">
        <v>0</v>
      </c>
      <c r="P96" s="16" t="s">
        <v>512</v>
      </c>
    </row>
    <row r="97" spans="3:16" ht="36.75" thickBot="1" x14ac:dyDescent="0.3">
      <c r="C97" s="5" t="s">
        <v>64</v>
      </c>
      <c r="D97" s="14">
        <v>90</v>
      </c>
      <c r="E97" s="15" t="s">
        <v>425</v>
      </c>
      <c r="F97" s="15" t="s">
        <v>608</v>
      </c>
      <c r="G97" s="15" t="s">
        <v>509</v>
      </c>
      <c r="H97" s="15" t="s">
        <v>398</v>
      </c>
      <c r="I97" s="15" t="s">
        <v>399</v>
      </c>
      <c r="J97" s="15" t="s">
        <v>516</v>
      </c>
      <c r="K97" s="15" t="s">
        <v>511</v>
      </c>
      <c r="L97" s="15" t="s">
        <v>267</v>
      </c>
      <c r="M97" s="15">
        <v>9000</v>
      </c>
      <c r="N97" s="15" t="s">
        <v>381</v>
      </c>
      <c r="O97" s="15">
        <v>0</v>
      </c>
      <c r="P97" s="16" t="s">
        <v>512</v>
      </c>
    </row>
    <row r="98" spans="3:16" ht="36.75" thickBot="1" x14ac:dyDescent="0.3">
      <c r="C98" s="5" t="s">
        <v>64</v>
      </c>
      <c r="D98" s="14">
        <v>91</v>
      </c>
      <c r="E98" s="15" t="s">
        <v>425</v>
      </c>
      <c r="F98" s="15" t="s">
        <v>609</v>
      </c>
      <c r="G98" s="15" t="s">
        <v>509</v>
      </c>
      <c r="H98" s="15" t="s">
        <v>398</v>
      </c>
      <c r="I98" s="15" t="s">
        <v>399</v>
      </c>
      <c r="J98" s="15" t="s">
        <v>516</v>
      </c>
      <c r="K98" s="15" t="s">
        <v>511</v>
      </c>
      <c r="L98" s="15" t="s">
        <v>267</v>
      </c>
      <c r="M98" s="15">
        <v>18260.41</v>
      </c>
      <c r="N98" s="15" t="s">
        <v>381</v>
      </c>
      <c r="O98" s="15">
        <v>0</v>
      </c>
      <c r="P98" s="16" t="s">
        <v>512</v>
      </c>
    </row>
    <row r="99" spans="3:16" ht="36.75" thickBot="1" x14ac:dyDescent="0.3">
      <c r="C99" s="5" t="s">
        <v>64</v>
      </c>
      <c r="D99" s="14">
        <v>92</v>
      </c>
      <c r="E99" s="15" t="s">
        <v>425</v>
      </c>
      <c r="F99" s="15" t="s">
        <v>610</v>
      </c>
      <c r="G99" s="15" t="s">
        <v>509</v>
      </c>
      <c r="H99" s="15" t="s">
        <v>398</v>
      </c>
      <c r="I99" s="15" t="s">
        <v>399</v>
      </c>
      <c r="J99" s="15" t="s">
        <v>516</v>
      </c>
      <c r="K99" s="15" t="s">
        <v>511</v>
      </c>
      <c r="L99" s="15" t="s">
        <v>267</v>
      </c>
      <c r="M99" s="15">
        <v>15000</v>
      </c>
      <c r="N99" s="15" t="s">
        <v>381</v>
      </c>
      <c r="O99" s="15">
        <v>0</v>
      </c>
      <c r="P99" s="16" t="s">
        <v>512</v>
      </c>
    </row>
    <row r="100" spans="3:16" ht="36.75" thickBot="1" x14ac:dyDescent="0.3">
      <c r="C100" s="5" t="s">
        <v>64</v>
      </c>
      <c r="D100" s="14">
        <v>93</v>
      </c>
      <c r="E100" s="15" t="s">
        <v>425</v>
      </c>
      <c r="F100" s="15" t="s">
        <v>611</v>
      </c>
      <c r="G100" s="15" t="s">
        <v>509</v>
      </c>
      <c r="H100" s="15" t="s">
        <v>398</v>
      </c>
      <c r="I100" s="15" t="s">
        <v>399</v>
      </c>
      <c r="J100" s="15" t="s">
        <v>516</v>
      </c>
      <c r="K100" s="15" t="s">
        <v>511</v>
      </c>
      <c r="L100" s="15" t="s">
        <v>267</v>
      </c>
      <c r="M100" s="15">
        <v>374945.01</v>
      </c>
      <c r="N100" s="15" t="s">
        <v>381</v>
      </c>
      <c r="O100" s="15">
        <v>0</v>
      </c>
      <c r="P100" s="16" t="s">
        <v>512</v>
      </c>
    </row>
    <row r="101" spans="3:16" ht="36.75" thickBot="1" x14ac:dyDescent="0.3">
      <c r="C101" s="5" t="s">
        <v>64</v>
      </c>
      <c r="D101" s="14">
        <v>94</v>
      </c>
      <c r="E101" s="15" t="s">
        <v>425</v>
      </c>
      <c r="F101" s="15" t="s">
        <v>612</v>
      </c>
      <c r="G101" s="15" t="s">
        <v>509</v>
      </c>
      <c r="H101" s="15" t="s">
        <v>398</v>
      </c>
      <c r="I101" s="15" t="s">
        <v>399</v>
      </c>
      <c r="J101" s="15" t="s">
        <v>516</v>
      </c>
      <c r="K101" s="15" t="s">
        <v>511</v>
      </c>
      <c r="L101" s="15" t="s">
        <v>267</v>
      </c>
      <c r="M101" s="15">
        <v>1722035</v>
      </c>
      <c r="N101" s="15" t="s">
        <v>381</v>
      </c>
      <c r="O101" s="15">
        <v>0</v>
      </c>
      <c r="P101" s="16" t="s">
        <v>512</v>
      </c>
    </row>
    <row r="102" spans="3:16" ht="36.75" thickBot="1" x14ac:dyDescent="0.3">
      <c r="C102" s="5" t="s">
        <v>64</v>
      </c>
      <c r="D102" s="14">
        <v>95</v>
      </c>
      <c r="E102" s="15" t="s">
        <v>425</v>
      </c>
      <c r="F102" s="15" t="s">
        <v>613</v>
      </c>
      <c r="G102" s="15" t="s">
        <v>509</v>
      </c>
      <c r="H102" s="15" t="s">
        <v>398</v>
      </c>
      <c r="I102" s="15" t="s">
        <v>399</v>
      </c>
      <c r="J102" s="15" t="s">
        <v>516</v>
      </c>
      <c r="K102" s="15" t="s">
        <v>511</v>
      </c>
      <c r="L102" s="15" t="s">
        <v>267</v>
      </c>
      <c r="M102" s="15">
        <v>24294.36</v>
      </c>
      <c r="N102" s="15" t="s">
        <v>381</v>
      </c>
      <c r="O102" s="15">
        <v>0</v>
      </c>
      <c r="P102" s="16" t="s">
        <v>512</v>
      </c>
    </row>
    <row r="103" spans="3:16" ht="36.75" thickBot="1" x14ac:dyDescent="0.3">
      <c r="C103" s="5" t="s">
        <v>64</v>
      </c>
      <c r="D103" s="14">
        <v>96</v>
      </c>
      <c r="E103" s="15" t="s">
        <v>425</v>
      </c>
      <c r="F103" s="15" t="s">
        <v>614</v>
      </c>
      <c r="G103" s="15" t="s">
        <v>509</v>
      </c>
      <c r="H103" s="15" t="s">
        <v>398</v>
      </c>
      <c r="I103" s="15" t="s">
        <v>399</v>
      </c>
      <c r="J103" s="15" t="s">
        <v>516</v>
      </c>
      <c r="K103" s="15" t="s">
        <v>511</v>
      </c>
      <c r="L103" s="15" t="s">
        <v>267</v>
      </c>
      <c r="M103" s="15">
        <v>92769.77</v>
      </c>
      <c r="N103" s="15" t="s">
        <v>381</v>
      </c>
      <c r="O103" s="15">
        <v>0</v>
      </c>
      <c r="P103" s="16" t="s">
        <v>512</v>
      </c>
    </row>
    <row r="104" spans="3:16" ht="36.75" thickBot="1" x14ac:dyDescent="0.3">
      <c r="C104" s="5" t="s">
        <v>64</v>
      </c>
      <c r="D104" s="14">
        <v>97</v>
      </c>
      <c r="E104" s="15" t="s">
        <v>425</v>
      </c>
      <c r="F104" s="15" t="s">
        <v>615</v>
      </c>
      <c r="G104" s="15" t="s">
        <v>509</v>
      </c>
      <c r="H104" s="15" t="s">
        <v>398</v>
      </c>
      <c r="I104" s="15" t="s">
        <v>399</v>
      </c>
      <c r="J104" s="15" t="s">
        <v>516</v>
      </c>
      <c r="K104" s="15" t="s">
        <v>511</v>
      </c>
      <c r="L104" s="15" t="s">
        <v>267</v>
      </c>
      <c r="M104" s="15">
        <v>71930.92</v>
      </c>
      <c r="N104" s="15" t="s">
        <v>381</v>
      </c>
      <c r="O104" s="15">
        <v>0</v>
      </c>
      <c r="P104" s="16" t="s">
        <v>512</v>
      </c>
    </row>
    <row r="105" spans="3:16" ht="36.75" thickBot="1" x14ac:dyDescent="0.3">
      <c r="C105" s="5" t="s">
        <v>64</v>
      </c>
      <c r="D105" s="14">
        <v>98</v>
      </c>
      <c r="E105" s="15" t="s">
        <v>425</v>
      </c>
      <c r="F105" s="15" t="s">
        <v>616</v>
      </c>
      <c r="G105" s="15" t="s">
        <v>509</v>
      </c>
      <c r="H105" s="15" t="s">
        <v>398</v>
      </c>
      <c r="I105" s="15" t="s">
        <v>399</v>
      </c>
      <c r="J105" s="15" t="s">
        <v>516</v>
      </c>
      <c r="K105" s="15" t="s">
        <v>511</v>
      </c>
      <c r="L105" s="15" t="s">
        <v>267</v>
      </c>
      <c r="M105" s="15">
        <v>13063.49</v>
      </c>
      <c r="N105" s="15" t="s">
        <v>381</v>
      </c>
      <c r="O105" s="15">
        <v>0</v>
      </c>
      <c r="P105" s="16" t="s">
        <v>512</v>
      </c>
    </row>
    <row r="106" spans="3:16" ht="36.75" thickBot="1" x14ac:dyDescent="0.3">
      <c r="C106" s="5" t="s">
        <v>64</v>
      </c>
      <c r="D106" s="14">
        <v>99</v>
      </c>
      <c r="E106" s="15" t="s">
        <v>425</v>
      </c>
      <c r="F106" s="15" t="s">
        <v>617</v>
      </c>
      <c r="G106" s="15" t="s">
        <v>509</v>
      </c>
      <c r="H106" s="15" t="s">
        <v>398</v>
      </c>
      <c r="I106" s="15" t="s">
        <v>399</v>
      </c>
      <c r="J106" s="15" t="s">
        <v>516</v>
      </c>
      <c r="K106" s="15" t="s">
        <v>511</v>
      </c>
      <c r="L106" s="15" t="s">
        <v>267</v>
      </c>
      <c r="M106" s="15">
        <v>1549800</v>
      </c>
      <c r="N106" s="15" t="s">
        <v>381</v>
      </c>
      <c r="O106" s="15">
        <v>0</v>
      </c>
      <c r="P106" s="16" t="s">
        <v>512</v>
      </c>
    </row>
    <row r="107" spans="3:16" ht="36.75" thickBot="1" x14ac:dyDescent="0.3">
      <c r="C107" s="5" t="s">
        <v>64</v>
      </c>
      <c r="D107" s="14">
        <v>100</v>
      </c>
      <c r="E107" s="15" t="s">
        <v>425</v>
      </c>
      <c r="F107" s="15" t="s">
        <v>618</v>
      </c>
      <c r="G107" s="15" t="s">
        <v>509</v>
      </c>
      <c r="H107" s="15" t="s">
        <v>398</v>
      </c>
      <c r="I107" s="15" t="s">
        <v>399</v>
      </c>
      <c r="J107" s="15" t="s">
        <v>516</v>
      </c>
      <c r="K107" s="15" t="s">
        <v>511</v>
      </c>
      <c r="L107" s="15" t="s">
        <v>267</v>
      </c>
      <c r="M107" s="15">
        <v>20000</v>
      </c>
      <c r="N107" s="15" t="s">
        <v>381</v>
      </c>
      <c r="O107" s="15">
        <v>0</v>
      </c>
      <c r="P107" s="16" t="s">
        <v>512</v>
      </c>
    </row>
    <row r="108" spans="3:16" ht="36.75" thickBot="1" x14ac:dyDescent="0.3">
      <c r="C108" s="5" t="s">
        <v>64</v>
      </c>
      <c r="D108" s="14">
        <v>101</v>
      </c>
      <c r="E108" s="15" t="s">
        <v>425</v>
      </c>
      <c r="F108" s="15" t="s">
        <v>619</v>
      </c>
      <c r="G108" s="15" t="s">
        <v>509</v>
      </c>
      <c r="H108" s="15" t="s">
        <v>398</v>
      </c>
      <c r="I108" s="15" t="s">
        <v>399</v>
      </c>
      <c r="J108" s="15" t="s">
        <v>516</v>
      </c>
      <c r="K108" s="15" t="s">
        <v>511</v>
      </c>
      <c r="L108" s="15" t="s">
        <v>267</v>
      </c>
      <c r="M108" s="15">
        <v>40690.44</v>
      </c>
      <c r="N108" s="15" t="s">
        <v>381</v>
      </c>
      <c r="O108" s="15">
        <v>0</v>
      </c>
      <c r="P108" s="16" t="s">
        <v>512</v>
      </c>
    </row>
    <row r="109" spans="3:16" ht="36.75" thickBot="1" x14ac:dyDescent="0.3">
      <c r="C109" s="5" t="s">
        <v>64</v>
      </c>
      <c r="D109" s="14">
        <v>102</v>
      </c>
      <c r="E109" s="15" t="s">
        <v>425</v>
      </c>
      <c r="F109" s="15" t="s">
        <v>620</v>
      </c>
      <c r="G109" s="15" t="s">
        <v>509</v>
      </c>
      <c r="H109" s="15" t="s">
        <v>398</v>
      </c>
      <c r="I109" s="15" t="s">
        <v>399</v>
      </c>
      <c r="J109" s="15" t="s">
        <v>516</v>
      </c>
      <c r="K109" s="15" t="s">
        <v>511</v>
      </c>
      <c r="L109" s="15" t="s">
        <v>267</v>
      </c>
      <c r="M109" s="15">
        <v>120175.08</v>
      </c>
      <c r="N109" s="15" t="s">
        <v>381</v>
      </c>
      <c r="O109" s="15">
        <v>0</v>
      </c>
      <c r="P109" s="16" t="s">
        <v>512</v>
      </c>
    </row>
    <row r="110" spans="3:16" ht="36.75" thickBot="1" x14ac:dyDescent="0.3">
      <c r="C110" s="5" t="s">
        <v>64</v>
      </c>
      <c r="D110" s="14">
        <v>103</v>
      </c>
      <c r="E110" s="15" t="s">
        <v>425</v>
      </c>
      <c r="F110" s="15" t="s">
        <v>621</v>
      </c>
      <c r="G110" s="15" t="s">
        <v>509</v>
      </c>
      <c r="H110" s="15" t="s">
        <v>398</v>
      </c>
      <c r="I110" s="15" t="s">
        <v>399</v>
      </c>
      <c r="J110" s="15" t="s">
        <v>516</v>
      </c>
      <c r="K110" s="15" t="s">
        <v>511</v>
      </c>
      <c r="L110" s="15" t="s">
        <v>267</v>
      </c>
      <c r="M110" s="15">
        <v>34505.120000000003</v>
      </c>
      <c r="N110" s="15" t="s">
        <v>381</v>
      </c>
      <c r="O110" s="15">
        <v>0</v>
      </c>
      <c r="P110" s="16" t="s">
        <v>512</v>
      </c>
    </row>
    <row r="111" spans="3:16" ht="36.75" thickBot="1" x14ac:dyDescent="0.3">
      <c r="C111" s="5" t="s">
        <v>64</v>
      </c>
      <c r="D111" s="14">
        <v>104</v>
      </c>
      <c r="E111" s="15" t="s">
        <v>425</v>
      </c>
      <c r="F111" s="15" t="s">
        <v>622</v>
      </c>
      <c r="G111" s="15" t="s">
        <v>509</v>
      </c>
      <c r="H111" s="15" t="s">
        <v>398</v>
      </c>
      <c r="I111" s="15" t="s">
        <v>399</v>
      </c>
      <c r="J111" s="15" t="s">
        <v>516</v>
      </c>
      <c r="K111" s="15" t="s">
        <v>511</v>
      </c>
      <c r="L111" s="15" t="s">
        <v>267</v>
      </c>
      <c r="M111" s="15">
        <v>11283</v>
      </c>
      <c r="N111" s="15" t="s">
        <v>381</v>
      </c>
      <c r="O111" s="15">
        <v>0</v>
      </c>
      <c r="P111" s="16" t="s">
        <v>512</v>
      </c>
    </row>
    <row r="112" spans="3:16" ht="36.75" thickBot="1" x14ac:dyDescent="0.3">
      <c r="C112" s="5" t="s">
        <v>64</v>
      </c>
      <c r="D112" s="14">
        <v>105</v>
      </c>
      <c r="E112" s="15" t="s">
        <v>425</v>
      </c>
      <c r="F112" s="15" t="s">
        <v>623</v>
      </c>
      <c r="G112" s="15" t="s">
        <v>509</v>
      </c>
      <c r="H112" s="15" t="s">
        <v>398</v>
      </c>
      <c r="I112" s="15" t="s">
        <v>399</v>
      </c>
      <c r="J112" s="15" t="s">
        <v>516</v>
      </c>
      <c r="K112" s="15" t="s">
        <v>511</v>
      </c>
      <c r="L112" s="15" t="s">
        <v>267</v>
      </c>
      <c r="M112" s="15">
        <v>22596.98</v>
      </c>
      <c r="N112" s="15" t="s">
        <v>381</v>
      </c>
      <c r="O112" s="15">
        <v>0</v>
      </c>
      <c r="P112" s="16" t="s">
        <v>512</v>
      </c>
    </row>
    <row r="113" spans="3:16" ht="36.75" thickBot="1" x14ac:dyDescent="0.3">
      <c r="C113" s="5" t="s">
        <v>64</v>
      </c>
      <c r="D113" s="14">
        <v>106</v>
      </c>
      <c r="E113" s="15" t="s">
        <v>425</v>
      </c>
      <c r="F113" s="15" t="s">
        <v>624</v>
      </c>
      <c r="G113" s="15" t="s">
        <v>509</v>
      </c>
      <c r="H113" s="15" t="s">
        <v>398</v>
      </c>
      <c r="I113" s="15" t="s">
        <v>399</v>
      </c>
      <c r="J113" s="15" t="s">
        <v>516</v>
      </c>
      <c r="K113" s="15" t="s">
        <v>511</v>
      </c>
      <c r="L113" s="15" t="s">
        <v>267</v>
      </c>
      <c r="M113" s="15">
        <v>50000</v>
      </c>
      <c r="N113" s="15" t="s">
        <v>381</v>
      </c>
      <c r="O113" s="15">
        <v>0</v>
      </c>
      <c r="P113" s="16" t="s">
        <v>512</v>
      </c>
    </row>
    <row r="114" spans="3:16" ht="36.75" thickBot="1" x14ac:dyDescent="0.3">
      <c r="C114" s="5" t="s">
        <v>64</v>
      </c>
      <c r="D114" s="14">
        <v>107</v>
      </c>
      <c r="E114" s="15" t="s">
        <v>425</v>
      </c>
      <c r="F114" s="15" t="s">
        <v>625</v>
      </c>
      <c r="G114" s="15" t="s">
        <v>509</v>
      </c>
      <c r="H114" s="15" t="s">
        <v>398</v>
      </c>
      <c r="I114" s="15" t="s">
        <v>399</v>
      </c>
      <c r="J114" s="15" t="s">
        <v>516</v>
      </c>
      <c r="K114" s="15" t="s">
        <v>511</v>
      </c>
      <c r="L114" s="15" t="s">
        <v>267</v>
      </c>
      <c r="M114" s="15">
        <v>34750</v>
      </c>
      <c r="N114" s="15" t="s">
        <v>381</v>
      </c>
      <c r="O114" s="15">
        <v>0</v>
      </c>
      <c r="P114" s="16" t="s">
        <v>512</v>
      </c>
    </row>
    <row r="115" spans="3:16" ht="36.75" thickBot="1" x14ac:dyDescent="0.3">
      <c r="C115" s="5" t="s">
        <v>64</v>
      </c>
      <c r="D115" s="14">
        <v>108</v>
      </c>
      <c r="E115" s="15" t="s">
        <v>425</v>
      </c>
      <c r="F115" s="15" t="s">
        <v>626</v>
      </c>
      <c r="G115" s="15" t="s">
        <v>509</v>
      </c>
      <c r="H115" s="15" t="s">
        <v>398</v>
      </c>
      <c r="I115" s="15" t="s">
        <v>399</v>
      </c>
      <c r="J115" s="15" t="s">
        <v>516</v>
      </c>
      <c r="K115" s="15" t="s">
        <v>511</v>
      </c>
      <c r="L115" s="15" t="s">
        <v>267</v>
      </c>
      <c r="M115" s="15">
        <v>36000</v>
      </c>
      <c r="N115" s="15" t="s">
        <v>381</v>
      </c>
      <c r="O115" s="15">
        <v>0</v>
      </c>
      <c r="P115" s="16" t="s">
        <v>512</v>
      </c>
    </row>
    <row r="116" spans="3:16" ht="36.75" thickBot="1" x14ac:dyDescent="0.3">
      <c r="C116" s="5" t="s">
        <v>64</v>
      </c>
      <c r="D116" s="14">
        <v>109</v>
      </c>
      <c r="E116" s="15" t="s">
        <v>425</v>
      </c>
      <c r="F116" s="15" t="s">
        <v>627</v>
      </c>
      <c r="G116" s="15" t="s">
        <v>509</v>
      </c>
      <c r="H116" s="15" t="s">
        <v>398</v>
      </c>
      <c r="I116" s="15" t="s">
        <v>399</v>
      </c>
      <c r="J116" s="15" t="s">
        <v>516</v>
      </c>
      <c r="K116" s="15" t="s">
        <v>511</v>
      </c>
      <c r="L116" s="15" t="s">
        <v>267</v>
      </c>
      <c r="M116" s="15">
        <v>12500</v>
      </c>
      <c r="N116" s="15" t="s">
        <v>381</v>
      </c>
      <c r="O116" s="15">
        <v>0</v>
      </c>
      <c r="P116" s="16" t="s">
        <v>512</v>
      </c>
    </row>
    <row r="117" spans="3:16" ht="36.75" thickBot="1" x14ac:dyDescent="0.3">
      <c r="C117" s="5" t="s">
        <v>64</v>
      </c>
      <c r="D117" s="14">
        <v>110</v>
      </c>
      <c r="E117" s="15" t="s">
        <v>425</v>
      </c>
      <c r="F117" s="15" t="s">
        <v>628</v>
      </c>
      <c r="G117" s="15" t="s">
        <v>509</v>
      </c>
      <c r="H117" s="15" t="s">
        <v>398</v>
      </c>
      <c r="I117" s="15" t="s">
        <v>399</v>
      </c>
      <c r="J117" s="15" t="s">
        <v>516</v>
      </c>
      <c r="K117" s="15" t="s">
        <v>511</v>
      </c>
      <c r="L117" s="15" t="s">
        <v>267</v>
      </c>
      <c r="M117" s="15">
        <v>135823.88</v>
      </c>
      <c r="N117" s="15" t="s">
        <v>381</v>
      </c>
      <c r="O117" s="15">
        <v>0</v>
      </c>
      <c r="P117" s="16" t="s">
        <v>512</v>
      </c>
    </row>
    <row r="118" spans="3:16" ht="36.75" thickBot="1" x14ac:dyDescent="0.3">
      <c r="C118" s="5" t="s">
        <v>64</v>
      </c>
      <c r="D118" s="14">
        <v>111</v>
      </c>
      <c r="E118" s="15" t="s">
        <v>425</v>
      </c>
      <c r="F118" s="15" t="s">
        <v>629</v>
      </c>
      <c r="G118" s="15" t="s">
        <v>509</v>
      </c>
      <c r="H118" s="15" t="s">
        <v>398</v>
      </c>
      <c r="I118" s="15" t="s">
        <v>399</v>
      </c>
      <c r="J118" s="15" t="s">
        <v>516</v>
      </c>
      <c r="K118" s="15" t="s">
        <v>511</v>
      </c>
      <c r="L118" s="15" t="s">
        <v>267</v>
      </c>
      <c r="M118" s="15">
        <v>17188.099999999999</v>
      </c>
      <c r="N118" s="15" t="s">
        <v>381</v>
      </c>
      <c r="O118" s="15">
        <v>0</v>
      </c>
      <c r="P118" s="16" t="s">
        <v>512</v>
      </c>
    </row>
    <row r="119" spans="3:16" ht="36.75" thickBot="1" x14ac:dyDescent="0.3">
      <c r="C119" s="5" t="s">
        <v>64</v>
      </c>
      <c r="D119" s="14">
        <v>112</v>
      </c>
      <c r="E119" s="15" t="s">
        <v>425</v>
      </c>
      <c r="F119" s="15" t="s">
        <v>630</v>
      </c>
      <c r="G119" s="15" t="s">
        <v>509</v>
      </c>
      <c r="H119" s="15" t="s">
        <v>398</v>
      </c>
      <c r="I119" s="15" t="s">
        <v>399</v>
      </c>
      <c r="J119" s="15" t="s">
        <v>516</v>
      </c>
      <c r="K119" s="15" t="s">
        <v>511</v>
      </c>
      <c r="L119" s="15" t="s">
        <v>267</v>
      </c>
      <c r="M119" s="15">
        <v>22094.880000000001</v>
      </c>
      <c r="N119" s="15" t="s">
        <v>381</v>
      </c>
      <c r="O119" s="15">
        <v>0</v>
      </c>
      <c r="P119" s="16" t="s">
        <v>512</v>
      </c>
    </row>
    <row r="120" spans="3:16" ht="36.75" thickBot="1" x14ac:dyDescent="0.3">
      <c r="C120" s="5" t="s">
        <v>64</v>
      </c>
      <c r="D120" s="14">
        <v>113</v>
      </c>
      <c r="E120" s="15" t="s">
        <v>425</v>
      </c>
      <c r="F120" s="15" t="s">
        <v>631</v>
      </c>
      <c r="G120" s="15" t="s">
        <v>509</v>
      </c>
      <c r="H120" s="15" t="s">
        <v>398</v>
      </c>
      <c r="I120" s="15" t="s">
        <v>399</v>
      </c>
      <c r="J120" s="15" t="s">
        <v>516</v>
      </c>
      <c r="K120" s="15" t="s">
        <v>511</v>
      </c>
      <c r="L120" s="15" t="s">
        <v>267</v>
      </c>
      <c r="M120" s="15">
        <v>19247</v>
      </c>
      <c r="N120" s="15" t="s">
        <v>381</v>
      </c>
      <c r="O120" s="15">
        <v>0</v>
      </c>
      <c r="P120" s="16" t="s">
        <v>512</v>
      </c>
    </row>
    <row r="121" spans="3:16" ht="36.75" thickBot="1" x14ac:dyDescent="0.3">
      <c r="C121" s="5" t="s">
        <v>64</v>
      </c>
      <c r="D121" s="14">
        <v>114</v>
      </c>
      <c r="E121" s="15" t="s">
        <v>425</v>
      </c>
      <c r="F121" s="15" t="s">
        <v>632</v>
      </c>
      <c r="G121" s="15" t="s">
        <v>509</v>
      </c>
      <c r="H121" s="15" t="s">
        <v>398</v>
      </c>
      <c r="I121" s="15" t="s">
        <v>399</v>
      </c>
      <c r="J121" s="15" t="s">
        <v>516</v>
      </c>
      <c r="K121" s="15" t="s">
        <v>511</v>
      </c>
      <c r="L121" s="15" t="s">
        <v>267</v>
      </c>
      <c r="M121" s="15">
        <v>18000</v>
      </c>
      <c r="N121" s="15" t="s">
        <v>381</v>
      </c>
      <c r="O121" s="15">
        <v>0</v>
      </c>
      <c r="P121" s="16" t="s">
        <v>512</v>
      </c>
    </row>
    <row r="122" spans="3:16" ht="36.75" thickBot="1" x14ac:dyDescent="0.3">
      <c r="C122" s="5" t="s">
        <v>64</v>
      </c>
      <c r="D122" s="14">
        <v>115</v>
      </c>
      <c r="E122" s="15" t="s">
        <v>425</v>
      </c>
      <c r="F122" s="15" t="s">
        <v>633</v>
      </c>
      <c r="G122" s="15" t="s">
        <v>509</v>
      </c>
      <c r="H122" s="15" t="s">
        <v>398</v>
      </c>
      <c r="I122" s="15" t="s">
        <v>399</v>
      </c>
      <c r="J122" s="15" t="s">
        <v>516</v>
      </c>
      <c r="K122" s="15" t="s">
        <v>511</v>
      </c>
      <c r="L122" s="15" t="s">
        <v>267</v>
      </c>
      <c r="M122" s="15">
        <v>23523.74</v>
      </c>
      <c r="N122" s="15" t="s">
        <v>381</v>
      </c>
      <c r="O122" s="15">
        <v>0</v>
      </c>
      <c r="P122" s="16" t="s">
        <v>512</v>
      </c>
    </row>
    <row r="123" spans="3:16" ht="36.75" thickBot="1" x14ac:dyDescent="0.3">
      <c r="C123" s="5" t="s">
        <v>64</v>
      </c>
      <c r="D123" s="14">
        <v>116</v>
      </c>
      <c r="E123" s="15" t="s">
        <v>425</v>
      </c>
      <c r="F123" s="15" t="s">
        <v>634</v>
      </c>
      <c r="G123" s="15" t="s">
        <v>509</v>
      </c>
      <c r="H123" s="15" t="s">
        <v>398</v>
      </c>
      <c r="I123" s="15" t="s">
        <v>399</v>
      </c>
      <c r="J123" s="15" t="s">
        <v>516</v>
      </c>
      <c r="K123" s="15" t="s">
        <v>511</v>
      </c>
      <c r="L123" s="15" t="s">
        <v>267</v>
      </c>
      <c r="M123" s="15">
        <v>14100</v>
      </c>
      <c r="N123" s="15" t="s">
        <v>381</v>
      </c>
      <c r="O123" s="15">
        <v>0</v>
      </c>
      <c r="P123" s="16" t="s">
        <v>512</v>
      </c>
    </row>
    <row r="124" spans="3:16" ht="36.75" thickBot="1" x14ac:dyDescent="0.3">
      <c r="C124" s="5" t="s">
        <v>64</v>
      </c>
      <c r="D124" s="14">
        <v>117</v>
      </c>
      <c r="E124" s="15" t="s">
        <v>425</v>
      </c>
      <c r="F124" s="15" t="s">
        <v>635</v>
      </c>
      <c r="G124" s="15" t="s">
        <v>509</v>
      </c>
      <c r="H124" s="15" t="s">
        <v>398</v>
      </c>
      <c r="I124" s="15" t="s">
        <v>399</v>
      </c>
      <c r="J124" s="15" t="s">
        <v>516</v>
      </c>
      <c r="K124" s="15" t="s">
        <v>511</v>
      </c>
      <c r="L124" s="15" t="s">
        <v>267</v>
      </c>
      <c r="M124" s="15">
        <v>20633.830000000002</v>
      </c>
      <c r="N124" s="15" t="s">
        <v>381</v>
      </c>
      <c r="O124" s="15">
        <v>0</v>
      </c>
      <c r="P124" s="16" t="s">
        <v>512</v>
      </c>
    </row>
    <row r="125" spans="3:16" ht="36.75" thickBot="1" x14ac:dyDescent="0.3">
      <c r="C125" s="5" t="s">
        <v>64</v>
      </c>
      <c r="D125" s="14">
        <v>118</v>
      </c>
      <c r="E125" s="15" t="s">
        <v>425</v>
      </c>
      <c r="F125" s="15" t="s">
        <v>636</v>
      </c>
      <c r="G125" s="15" t="s">
        <v>509</v>
      </c>
      <c r="H125" s="15" t="s">
        <v>398</v>
      </c>
      <c r="I125" s="15" t="s">
        <v>399</v>
      </c>
      <c r="J125" s="15" t="s">
        <v>516</v>
      </c>
      <c r="K125" s="15" t="s">
        <v>511</v>
      </c>
      <c r="L125" s="15" t="s">
        <v>267</v>
      </c>
      <c r="M125" s="15">
        <v>18900.59</v>
      </c>
      <c r="N125" s="15" t="s">
        <v>381</v>
      </c>
      <c r="O125" s="15">
        <v>0</v>
      </c>
      <c r="P125" s="16" t="s">
        <v>512</v>
      </c>
    </row>
    <row r="126" spans="3:16" ht="36.75" thickBot="1" x14ac:dyDescent="0.3">
      <c r="C126" s="5" t="s">
        <v>64</v>
      </c>
      <c r="D126" s="14">
        <v>119</v>
      </c>
      <c r="E126" s="15" t="s">
        <v>425</v>
      </c>
      <c r="F126" s="15" t="s">
        <v>637</v>
      </c>
      <c r="G126" s="15" t="s">
        <v>509</v>
      </c>
      <c r="H126" s="15" t="s">
        <v>398</v>
      </c>
      <c r="I126" s="15" t="s">
        <v>399</v>
      </c>
      <c r="J126" s="15" t="s">
        <v>516</v>
      </c>
      <c r="K126" s="15" t="s">
        <v>511</v>
      </c>
      <c r="L126" s="15" t="s">
        <v>267</v>
      </c>
      <c r="M126" s="15">
        <v>33939.660000000003</v>
      </c>
      <c r="N126" s="15" t="s">
        <v>381</v>
      </c>
      <c r="O126" s="15">
        <v>0</v>
      </c>
      <c r="P126" s="16" t="s">
        <v>512</v>
      </c>
    </row>
    <row r="127" spans="3:16" ht="36.75" thickBot="1" x14ac:dyDescent="0.3">
      <c r="C127" s="5" t="s">
        <v>64</v>
      </c>
      <c r="D127" s="14">
        <v>120</v>
      </c>
      <c r="E127" s="15" t="s">
        <v>425</v>
      </c>
      <c r="F127" s="15" t="s">
        <v>638</v>
      </c>
      <c r="G127" s="15" t="s">
        <v>509</v>
      </c>
      <c r="H127" s="15" t="s">
        <v>398</v>
      </c>
      <c r="I127" s="15" t="s">
        <v>399</v>
      </c>
      <c r="J127" s="15" t="s">
        <v>516</v>
      </c>
      <c r="K127" s="15" t="s">
        <v>511</v>
      </c>
      <c r="L127" s="15" t="s">
        <v>267</v>
      </c>
      <c r="M127" s="15">
        <v>990000</v>
      </c>
      <c r="N127" s="15" t="s">
        <v>381</v>
      </c>
      <c r="O127" s="15">
        <v>0</v>
      </c>
      <c r="P127" s="16" t="s">
        <v>512</v>
      </c>
    </row>
    <row r="128" spans="3:16" ht="36.75" thickBot="1" x14ac:dyDescent="0.3">
      <c r="C128" s="5" t="s">
        <v>64</v>
      </c>
      <c r="D128" s="14">
        <v>121</v>
      </c>
      <c r="E128" s="15" t="s">
        <v>425</v>
      </c>
      <c r="F128" s="15" t="s">
        <v>639</v>
      </c>
      <c r="G128" s="15" t="s">
        <v>509</v>
      </c>
      <c r="H128" s="15" t="s">
        <v>398</v>
      </c>
      <c r="I128" s="15" t="s">
        <v>399</v>
      </c>
      <c r="J128" s="15" t="s">
        <v>516</v>
      </c>
      <c r="K128" s="15" t="s">
        <v>511</v>
      </c>
      <c r="L128" s="15" t="s">
        <v>267</v>
      </c>
      <c r="M128" s="15">
        <v>794000</v>
      </c>
      <c r="N128" s="15" t="s">
        <v>381</v>
      </c>
      <c r="O128" s="15">
        <v>0</v>
      </c>
      <c r="P128" s="16" t="s">
        <v>512</v>
      </c>
    </row>
    <row r="129" spans="3:16" ht="36.75" thickBot="1" x14ac:dyDescent="0.3">
      <c r="C129" s="5" t="s">
        <v>64</v>
      </c>
      <c r="D129" s="14">
        <v>122</v>
      </c>
      <c r="E129" s="15" t="s">
        <v>425</v>
      </c>
      <c r="F129" s="15" t="s">
        <v>640</v>
      </c>
      <c r="G129" s="15" t="s">
        <v>509</v>
      </c>
      <c r="H129" s="15" t="s">
        <v>398</v>
      </c>
      <c r="I129" s="15" t="s">
        <v>399</v>
      </c>
      <c r="J129" s="15" t="s">
        <v>516</v>
      </c>
      <c r="K129" s="15" t="s">
        <v>511</v>
      </c>
      <c r="L129" s="15" t="s">
        <v>267</v>
      </c>
      <c r="M129" s="15">
        <v>346000</v>
      </c>
      <c r="N129" s="15" t="s">
        <v>381</v>
      </c>
      <c r="O129" s="15">
        <v>0</v>
      </c>
      <c r="P129" s="16" t="s">
        <v>512</v>
      </c>
    </row>
    <row r="130" spans="3:16" ht="36.75" thickBot="1" x14ac:dyDescent="0.3">
      <c r="C130" s="5" t="s">
        <v>64</v>
      </c>
      <c r="D130" s="14">
        <v>123</v>
      </c>
      <c r="E130" s="15" t="s">
        <v>425</v>
      </c>
      <c r="F130" s="15" t="s">
        <v>641</v>
      </c>
      <c r="G130" s="15" t="s">
        <v>509</v>
      </c>
      <c r="H130" s="15" t="s">
        <v>398</v>
      </c>
      <c r="I130" s="15" t="s">
        <v>399</v>
      </c>
      <c r="J130" s="15" t="s">
        <v>516</v>
      </c>
      <c r="K130" s="15" t="s">
        <v>511</v>
      </c>
      <c r="L130" s="15" t="s">
        <v>267</v>
      </c>
      <c r="M130" s="15">
        <v>45500</v>
      </c>
      <c r="N130" s="15" t="s">
        <v>381</v>
      </c>
      <c r="O130" s="15">
        <v>0</v>
      </c>
      <c r="P130" s="16" t="s">
        <v>512</v>
      </c>
    </row>
    <row r="131" spans="3:16" ht="36.75" thickBot="1" x14ac:dyDescent="0.3">
      <c r="C131" s="5" t="s">
        <v>64</v>
      </c>
      <c r="D131" s="14">
        <v>124</v>
      </c>
      <c r="E131" s="15" t="s">
        <v>425</v>
      </c>
      <c r="F131" s="15" t="s">
        <v>642</v>
      </c>
      <c r="G131" s="15" t="s">
        <v>509</v>
      </c>
      <c r="H131" s="15" t="s">
        <v>398</v>
      </c>
      <c r="I131" s="15" t="s">
        <v>399</v>
      </c>
      <c r="J131" s="15" t="s">
        <v>516</v>
      </c>
      <c r="K131" s="15" t="s">
        <v>511</v>
      </c>
      <c r="L131" s="15" t="s">
        <v>267</v>
      </c>
      <c r="M131" s="15">
        <v>33452.75</v>
      </c>
      <c r="N131" s="15" t="s">
        <v>381</v>
      </c>
      <c r="O131" s="15">
        <v>0</v>
      </c>
      <c r="P131" s="16" t="s">
        <v>512</v>
      </c>
    </row>
    <row r="132" spans="3:16" ht="36.75" thickBot="1" x14ac:dyDescent="0.3">
      <c r="C132" s="5" t="s">
        <v>64</v>
      </c>
      <c r="D132" s="14">
        <v>125</v>
      </c>
      <c r="E132" s="15" t="s">
        <v>425</v>
      </c>
      <c r="F132" s="15" t="s">
        <v>643</v>
      </c>
      <c r="G132" s="15" t="s">
        <v>509</v>
      </c>
      <c r="H132" s="15" t="s">
        <v>398</v>
      </c>
      <c r="I132" s="15" t="s">
        <v>399</v>
      </c>
      <c r="J132" s="15" t="s">
        <v>516</v>
      </c>
      <c r="K132" s="15" t="s">
        <v>511</v>
      </c>
      <c r="L132" s="15" t="s">
        <v>267</v>
      </c>
      <c r="M132" s="15">
        <v>22804.84</v>
      </c>
      <c r="N132" s="15" t="s">
        <v>381</v>
      </c>
      <c r="O132" s="15">
        <v>0</v>
      </c>
      <c r="P132" s="16" t="s">
        <v>512</v>
      </c>
    </row>
    <row r="133" spans="3:16" ht="36.75" thickBot="1" x14ac:dyDescent="0.3">
      <c r="C133" s="5" t="s">
        <v>64</v>
      </c>
      <c r="D133" s="14">
        <v>126</v>
      </c>
      <c r="E133" s="15" t="s">
        <v>425</v>
      </c>
      <c r="F133" s="15" t="s">
        <v>644</v>
      </c>
      <c r="G133" s="15" t="s">
        <v>509</v>
      </c>
      <c r="H133" s="15" t="s">
        <v>398</v>
      </c>
      <c r="I133" s="15" t="s">
        <v>399</v>
      </c>
      <c r="J133" s="15" t="s">
        <v>516</v>
      </c>
      <c r="K133" s="15" t="s">
        <v>511</v>
      </c>
      <c r="L133" s="15" t="s">
        <v>267</v>
      </c>
      <c r="M133" s="15">
        <v>30000</v>
      </c>
      <c r="N133" s="15" t="s">
        <v>381</v>
      </c>
      <c r="O133" s="15">
        <v>0</v>
      </c>
      <c r="P133" s="16" t="s">
        <v>512</v>
      </c>
    </row>
    <row r="134" spans="3:16" ht="36.75" thickBot="1" x14ac:dyDescent="0.3">
      <c r="C134" s="5" t="s">
        <v>64</v>
      </c>
      <c r="D134" s="14">
        <v>127</v>
      </c>
      <c r="E134" s="15" t="s">
        <v>425</v>
      </c>
      <c r="F134" s="15" t="s">
        <v>645</v>
      </c>
      <c r="G134" s="15" t="s">
        <v>509</v>
      </c>
      <c r="H134" s="15" t="s">
        <v>398</v>
      </c>
      <c r="I134" s="15" t="s">
        <v>399</v>
      </c>
      <c r="J134" s="15" t="s">
        <v>516</v>
      </c>
      <c r="K134" s="15" t="s">
        <v>511</v>
      </c>
      <c r="L134" s="15" t="s">
        <v>267</v>
      </c>
      <c r="M134" s="15">
        <v>1104.17</v>
      </c>
      <c r="N134" s="15" t="s">
        <v>381</v>
      </c>
      <c r="O134" s="15">
        <v>0</v>
      </c>
      <c r="P134" s="16" t="s">
        <v>512</v>
      </c>
    </row>
    <row r="135" spans="3:16" ht="36.75" thickBot="1" x14ac:dyDescent="0.3">
      <c r="C135" s="5" t="s">
        <v>64</v>
      </c>
      <c r="D135" s="14">
        <v>128</v>
      </c>
      <c r="E135" s="15" t="s">
        <v>425</v>
      </c>
      <c r="F135" s="15" t="s">
        <v>646</v>
      </c>
      <c r="G135" s="15" t="s">
        <v>509</v>
      </c>
      <c r="H135" s="15" t="s">
        <v>398</v>
      </c>
      <c r="I135" s="15" t="s">
        <v>399</v>
      </c>
      <c r="J135" s="15" t="s">
        <v>516</v>
      </c>
      <c r="K135" s="15" t="s">
        <v>511</v>
      </c>
      <c r="L135" s="15" t="s">
        <v>267</v>
      </c>
      <c r="M135" s="15">
        <v>25500</v>
      </c>
      <c r="N135" s="15" t="s">
        <v>381</v>
      </c>
      <c r="O135" s="15">
        <v>0</v>
      </c>
      <c r="P135" s="16" t="s">
        <v>512</v>
      </c>
    </row>
    <row r="136" spans="3:16" ht="36.75" thickBot="1" x14ac:dyDescent="0.3">
      <c r="C136" s="5" t="s">
        <v>64</v>
      </c>
      <c r="D136" s="14">
        <v>129</v>
      </c>
      <c r="E136" s="15" t="s">
        <v>425</v>
      </c>
      <c r="F136" s="15" t="s">
        <v>647</v>
      </c>
      <c r="G136" s="15" t="s">
        <v>509</v>
      </c>
      <c r="H136" s="15" t="s">
        <v>398</v>
      </c>
      <c r="I136" s="15" t="s">
        <v>399</v>
      </c>
      <c r="J136" s="15" t="s">
        <v>516</v>
      </c>
      <c r="K136" s="15" t="s">
        <v>511</v>
      </c>
      <c r="L136" s="15" t="s">
        <v>267</v>
      </c>
      <c r="M136" s="15">
        <v>550000</v>
      </c>
      <c r="N136" s="15" t="s">
        <v>381</v>
      </c>
      <c r="O136" s="15">
        <v>0</v>
      </c>
      <c r="P136" s="16" t="s">
        <v>512</v>
      </c>
    </row>
    <row r="137" spans="3:16" ht="36.75" thickBot="1" x14ac:dyDescent="0.3">
      <c r="C137" s="5" t="s">
        <v>64</v>
      </c>
      <c r="D137" s="14">
        <v>130</v>
      </c>
      <c r="E137" s="15" t="s">
        <v>425</v>
      </c>
      <c r="F137" s="15" t="s">
        <v>648</v>
      </c>
      <c r="G137" s="15" t="s">
        <v>509</v>
      </c>
      <c r="H137" s="15" t="s">
        <v>398</v>
      </c>
      <c r="I137" s="15" t="s">
        <v>399</v>
      </c>
      <c r="J137" s="15" t="s">
        <v>516</v>
      </c>
      <c r="K137" s="15" t="s">
        <v>511</v>
      </c>
      <c r="L137" s="15" t="s">
        <v>267</v>
      </c>
      <c r="M137" s="15">
        <v>38115</v>
      </c>
      <c r="N137" s="15" t="s">
        <v>381</v>
      </c>
      <c r="O137" s="15">
        <v>0</v>
      </c>
      <c r="P137" s="16" t="s">
        <v>512</v>
      </c>
    </row>
    <row r="138" spans="3:16" ht="36.75" thickBot="1" x14ac:dyDescent="0.3">
      <c r="C138" s="5" t="s">
        <v>64</v>
      </c>
      <c r="D138" s="14">
        <v>131</v>
      </c>
      <c r="E138" s="15" t="s">
        <v>425</v>
      </c>
      <c r="F138" s="15" t="s">
        <v>649</v>
      </c>
      <c r="G138" s="15" t="s">
        <v>509</v>
      </c>
      <c r="H138" s="15" t="s">
        <v>398</v>
      </c>
      <c r="I138" s="15" t="s">
        <v>399</v>
      </c>
      <c r="J138" s="15" t="s">
        <v>516</v>
      </c>
      <c r="K138" s="15" t="s">
        <v>511</v>
      </c>
      <c r="L138" s="15" t="s">
        <v>267</v>
      </c>
      <c r="M138" s="15">
        <v>18165.150000000001</v>
      </c>
      <c r="N138" s="15" t="s">
        <v>381</v>
      </c>
      <c r="O138" s="15">
        <v>0</v>
      </c>
      <c r="P138" s="16" t="s">
        <v>512</v>
      </c>
    </row>
    <row r="139" spans="3:16" ht="36.75" thickBot="1" x14ac:dyDescent="0.3">
      <c r="C139" s="5" t="s">
        <v>64</v>
      </c>
      <c r="D139" s="14">
        <v>132</v>
      </c>
      <c r="E139" s="15" t="s">
        <v>425</v>
      </c>
      <c r="F139" s="15" t="s">
        <v>650</v>
      </c>
      <c r="G139" s="15" t="s">
        <v>509</v>
      </c>
      <c r="H139" s="15" t="s">
        <v>398</v>
      </c>
      <c r="I139" s="15" t="s">
        <v>399</v>
      </c>
      <c r="J139" s="15" t="s">
        <v>516</v>
      </c>
      <c r="K139" s="15" t="s">
        <v>511</v>
      </c>
      <c r="L139" s="15" t="s">
        <v>267</v>
      </c>
      <c r="M139" s="15">
        <v>81816.899999999994</v>
      </c>
      <c r="N139" s="15" t="s">
        <v>381</v>
      </c>
      <c r="O139" s="15">
        <v>0</v>
      </c>
      <c r="P139" s="16" t="s">
        <v>512</v>
      </c>
    </row>
    <row r="140" spans="3:16" ht="36.75" thickBot="1" x14ac:dyDescent="0.3">
      <c r="C140" s="5" t="s">
        <v>64</v>
      </c>
      <c r="D140" s="14">
        <v>133</v>
      </c>
      <c r="E140" s="15" t="s">
        <v>425</v>
      </c>
      <c r="F140" s="15" t="s">
        <v>651</v>
      </c>
      <c r="G140" s="15" t="s">
        <v>509</v>
      </c>
      <c r="H140" s="15" t="s">
        <v>398</v>
      </c>
      <c r="I140" s="15" t="s">
        <v>399</v>
      </c>
      <c r="J140" s="15" t="s">
        <v>516</v>
      </c>
      <c r="K140" s="15" t="s">
        <v>511</v>
      </c>
      <c r="L140" s="15" t="s">
        <v>267</v>
      </c>
      <c r="M140" s="15">
        <v>1457.7</v>
      </c>
      <c r="N140" s="15" t="s">
        <v>381</v>
      </c>
      <c r="O140" s="15">
        <v>0</v>
      </c>
      <c r="P140" s="16" t="s">
        <v>512</v>
      </c>
    </row>
    <row r="141" spans="3:16" ht="36.75" thickBot="1" x14ac:dyDescent="0.3">
      <c r="C141" s="5" t="s">
        <v>64</v>
      </c>
      <c r="D141" s="14">
        <v>134</v>
      </c>
      <c r="E141" s="15" t="s">
        <v>425</v>
      </c>
      <c r="F141" s="15" t="s">
        <v>652</v>
      </c>
      <c r="G141" s="15" t="s">
        <v>509</v>
      </c>
      <c r="H141" s="15" t="s">
        <v>398</v>
      </c>
      <c r="I141" s="15" t="s">
        <v>399</v>
      </c>
      <c r="J141" s="15" t="s">
        <v>516</v>
      </c>
      <c r="K141" s="15" t="s">
        <v>511</v>
      </c>
      <c r="L141" s="15" t="s">
        <v>267</v>
      </c>
      <c r="M141" s="15">
        <v>542339.29</v>
      </c>
      <c r="N141" s="15" t="s">
        <v>381</v>
      </c>
      <c r="O141" s="15">
        <v>0</v>
      </c>
      <c r="P141" s="16" t="s">
        <v>512</v>
      </c>
    </row>
    <row r="142" spans="3:16" ht="36.75" thickBot="1" x14ac:dyDescent="0.3">
      <c r="C142" s="5" t="s">
        <v>64</v>
      </c>
      <c r="D142" s="14">
        <v>135</v>
      </c>
      <c r="E142" s="15" t="s">
        <v>425</v>
      </c>
      <c r="F142" s="15" t="s">
        <v>653</v>
      </c>
      <c r="G142" s="15" t="s">
        <v>509</v>
      </c>
      <c r="H142" s="15" t="s">
        <v>398</v>
      </c>
      <c r="I142" s="15" t="s">
        <v>399</v>
      </c>
      <c r="J142" s="15" t="s">
        <v>516</v>
      </c>
      <c r="K142" s="15" t="s">
        <v>511</v>
      </c>
      <c r="L142" s="15" t="s">
        <v>267</v>
      </c>
      <c r="M142" s="15">
        <v>122180</v>
      </c>
      <c r="N142" s="15" t="s">
        <v>381</v>
      </c>
      <c r="O142" s="15">
        <v>0</v>
      </c>
      <c r="P142" s="16" t="s">
        <v>512</v>
      </c>
    </row>
    <row r="143" spans="3:16" ht="36.75" thickBot="1" x14ac:dyDescent="0.3">
      <c r="C143" s="5" t="s">
        <v>64</v>
      </c>
      <c r="D143" s="14">
        <v>136</v>
      </c>
      <c r="E143" s="15" t="s">
        <v>425</v>
      </c>
      <c r="F143" s="15" t="s">
        <v>654</v>
      </c>
      <c r="G143" s="15" t="s">
        <v>509</v>
      </c>
      <c r="H143" s="15" t="s">
        <v>398</v>
      </c>
      <c r="I143" s="15" t="s">
        <v>399</v>
      </c>
      <c r="J143" s="15" t="s">
        <v>516</v>
      </c>
      <c r="K143" s="15" t="s">
        <v>511</v>
      </c>
      <c r="L143" s="15" t="s">
        <v>267</v>
      </c>
      <c r="M143" s="15">
        <v>8500</v>
      </c>
      <c r="N143" s="15" t="s">
        <v>381</v>
      </c>
      <c r="O143" s="15">
        <v>0</v>
      </c>
      <c r="P143" s="16" t="s">
        <v>512</v>
      </c>
    </row>
    <row r="144" spans="3:16" ht="36.75" thickBot="1" x14ac:dyDescent="0.3">
      <c r="C144" s="5" t="s">
        <v>64</v>
      </c>
      <c r="D144" s="14">
        <v>137</v>
      </c>
      <c r="E144" s="15" t="s">
        <v>425</v>
      </c>
      <c r="F144" s="15" t="s">
        <v>655</v>
      </c>
      <c r="G144" s="15" t="s">
        <v>509</v>
      </c>
      <c r="H144" s="15" t="s">
        <v>398</v>
      </c>
      <c r="I144" s="15" t="s">
        <v>399</v>
      </c>
      <c r="J144" s="15" t="s">
        <v>516</v>
      </c>
      <c r="K144" s="15" t="s">
        <v>511</v>
      </c>
      <c r="L144" s="15" t="s">
        <v>267</v>
      </c>
      <c r="M144" s="15">
        <v>60000</v>
      </c>
      <c r="N144" s="15" t="s">
        <v>381</v>
      </c>
      <c r="O144" s="15">
        <v>0</v>
      </c>
      <c r="P144" s="16" t="s">
        <v>512</v>
      </c>
    </row>
    <row r="145" spans="3:16" ht="36.75" thickBot="1" x14ac:dyDescent="0.3">
      <c r="C145" s="5" t="s">
        <v>64</v>
      </c>
      <c r="D145" s="14">
        <v>138</v>
      </c>
      <c r="E145" s="15" t="s">
        <v>425</v>
      </c>
      <c r="F145" s="15" t="s">
        <v>656</v>
      </c>
      <c r="G145" s="15" t="s">
        <v>509</v>
      </c>
      <c r="H145" s="15" t="s">
        <v>398</v>
      </c>
      <c r="I145" s="15" t="s">
        <v>399</v>
      </c>
      <c r="J145" s="15" t="s">
        <v>516</v>
      </c>
      <c r="K145" s="15" t="s">
        <v>511</v>
      </c>
      <c r="L145" s="15" t="s">
        <v>267</v>
      </c>
      <c r="M145" s="15">
        <v>196823</v>
      </c>
      <c r="N145" s="15" t="s">
        <v>381</v>
      </c>
      <c r="O145" s="15">
        <v>0</v>
      </c>
      <c r="P145" s="16" t="s">
        <v>512</v>
      </c>
    </row>
    <row r="146" spans="3:16" ht="36.75" thickBot="1" x14ac:dyDescent="0.3">
      <c r="C146" s="5" t="s">
        <v>64</v>
      </c>
      <c r="D146" s="14">
        <v>139</v>
      </c>
      <c r="E146" s="15" t="s">
        <v>425</v>
      </c>
      <c r="F146" s="15" t="s">
        <v>657</v>
      </c>
      <c r="G146" s="15" t="s">
        <v>509</v>
      </c>
      <c r="H146" s="15" t="s">
        <v>398</v>
      </c>
      <c r="I146" s="15" t="s">
        <v>399</v>
      </c>
      <c r="J146" s="15" t="s">
        <v>516</v>
      </c>
      <c r="K146" s="15" t="s">
        <v>511</v>
      </c>
      <c r="L146" s="15" t="s">
        <v>267</v>
      </c>
      <c r="M146" s="15">
        <v>49205.75</v>
      </c>
      <c r="N146" s="15" t="s">
        <v>381</v>
      </c>
      <c r="O146" s="15">
        <v>0</v>
      </c>
      <c r="P146" s="16" t="s">
        <v>512</v>
      </c>
    </row>
    <row r="147" spans="3:16" ht="36.75" thickBot="1" x14ac:dyDescent="0.3">
      <c r="C147" s="5" t="s">
        <v>64</v>
      </c>
      <c r="D147" s="14">
        <v>140</v>
      </c>
      <c r="E147" s="15" t="s">
        <v>425</v>
      </c>
      <c r="F147" s="15" t="s">
        <v>658</v>
      </c>
      <c r="G147" s="15" t="s">
        <v>509</v>
      </c>
      <c r="H147" s="15" t="s">
        <v>398</v>
      </c>
      <c r="I147" s="15" t="s">
        <v>399</v>
      </c>
      <c r="J147" s="15" t="s">
        <v>516</v>
      </c>
      <c r="K147" s="15" t="s">
        <v>511</v>
      </c>
      <c r="L147" s="15" t="s">
        <v>267</v>
      </c>
      <c r="M147" s="15">
        <v>23182.560000000001</v>
      </c>
      <c r="N147" s="15" t="s">
        <v>381</v>
      </c>
      <c r="O147" s="15">
        <v>0</v>
      </c>
      <c r="P147" s="16" t="s">
        <v>512</v>
      </c>
    </row>
    <row r="148" spans="3:16" ht="36.75" thickBot="1" x14ac:dyDescent="0.3">
      <c r="C148" s="5" t="s">
        <v>64</v>
      </c>
      <c r="D148" s="14">
        <v>141</v>
      </c>
      <c r="E148" s="15" t="s">
        <v>425</v>
      </c>
      <c r="F148" s="15" t="s">
        <v>659</v>
      </c>
      <c r="G148" s="15" t="s">
        <v>509</v>
      </c>
      <c r="H148" s="15" t="s">
        <v>398</v>
      </c>
      <c r="I148" s="15" t="s">
        <v>399</v>
      </c>
      <c r="J148" s="15" t="s">
        <v>516</v>
      </c>
      <c r="K148" s="15" t="s">
        <v>511</v>
      </c>
      <c r="L148" s="15" t="s">
        <v>267</v>
      </c>
      <c r="M148" s="15">
        <v>9314.65</v>
      </c>
      <c r="N148" s="15" t="s">
        <v>381</v>
      </c>
      <c r="O148" s="15">
        <v>0</v>
      </c>
      <c r="P148" s="16" t="s">
        <v>512</v>
      </c>
    </row>
    <row r="149" spans="3:16" ht="36.75" thickBot="1" x14ac:dyDescent="0.3">
      <c r="C149" s="5" t="s">
        <v>64</v>
      </c>
      <c r="D149" s="14">
        <v>142</v>
      </c>
      <c r="E149" s="15" t="s">
        <v>425</v>
      </c>
      <c r="F149" s="15" t="s">
        <v>660</v>
      </c>
      <c r="G149" s="15" t="s">
        <v>509</v>
      </c>
      <c r="H149" s="15" t="s">
        <v>398</v>
      </c>
      <c r="I149" s="15" t="s">
        <v>399</v>
      </c>
      <c r="J149" s="15" t="s">
        <v>516</v>
      </c>
      <c r="K149" s="15" t="s">
        <v>511</v>
      </c>
      <c r="L149" s="15" t="s">
        <v>267</v>
      </c>
      <c r="M149" s="15">
        <v>16098.1</v>
      </c>
      <c r="N149" s="15" t="s">
        <v>381</v>
      </c>
      <c r="O149" s="15">
        <v>0</v>
      </c>
      <c r="P149" s="16" t="s">
        <v>512</v>
      </c>
    </row>
    <row r="150" spans="3:16" ht="36.75" thickBot="1" x14ac:dyDescent="0.3">
      <c r="C150" s="5" t="s">
        <v>64</v>
      </c>
      <c r="D150" s="14">
        <v>143</v>
      </c>
      <c r="E150" s="15" t="s">
        <v>425</v>
      </c>
      <c r="F150" s="15" t="s">
        <v>661</v>
      </c>
      <c r="G150" s="15" t="s">
        <v>509</v>
      </c>
      <c r="H150" s="15" t="s">
        <v>398</v>
      </c>
      <c r="I150" s="15" t="s">
        <v>399</v>
      </c>
      <c r="J150" s="15" t="s">
        <v>516</v>
      </c>
      <c r="K150" s="15" t="s">
        <v>511</v>
      </c>
      <c r="L150" s="15" t="s">
        <v>267</v>
      </c>
      <c r="M150" s="15">
        <v>30000</v>
      </c>
      <c r="N150" s="15" t="s">
        <v>381</v>
      </c>
      <c r="O150" s="15">
        <v>0</v>
      </c>
      <c r="P150" s="16" t="s">
        <v>512</v>
      </c>
    </row>
    <row r="151" spans="3:16" ht="36.75" thickBot="1" x14ac:dyDescent="0.3">
      <c r="C151" s="5" t="s">
        <v>64</v>
      </c>
      <c r="D151" s="14">
        <v>144</v>
      </c>
      <c r="E151" s="15" t="s">
        <v>425</v>
      </c>
      <c r="F151" s="15" t="s">
        <v>662</v>
      </c>
      <c r="G151" s="15" t="s">
        <v>509</v>
      </c>
      <c r="H151" s="15" t="s">
        <v>398</v>
      </c>
      <c r="I151" s="15" t="s">
        <v>399</v>
      </c>
      <c r="J151" s="15" t="s">
        <v>516</v>
      </c>
      <c r="K151" s="15" t="s">
        <v>511</v>
      </c>
      <c r="L151" s="15" t="s">
        <v>267</v>
      </c>
      <c r="M151" s="15">
        <v>137855.19</v>
      </c>
      <c r="N151" s="15" t="s">
        <v>381</v>
      </c>
      <c r="O151" s="15">
        <v>0</v>
      </c>
      <c r="P151" s="16" t="s">
        <v>512</v>
      </c>
    </row>
    <row r="152" spans="3:16" ht="36.75" thickBot="1" x14ac:dyDescent="0.3">
      <c r="C152" s="5" t="s">
        <v>64</v>
      </c>
      <c r="D152" s="14">
        <v>145</v>
      </c>
      <c r="E152" s="15" t="s">
        <v>425</v>
      </c>
      <c r="F152" s="15" t="s">
        <v>663</v>
      </c>
      <c r="G152" s="15" t="s">
        <v>509</v>
      </c>
      <c r="H152" s="15" t="s">
        <v>398</v>
      </c>
      <c r="I152" s="15" t="s">
        <v>399</v>
      </c>
      <c r="J152" s="15" t="s">
        <v>516</v>
      </c>
      <c r="K152" s="15" t="s">
        <v>511</v>
      </c>
      <c r="L152" s="15" t="s">
        <v>267</v>
      </c>
      <c r="M152" s="15">
        <v>61590</v>
      </c>
      <c r="N152" s="15" t="s">
        <v>381</v>
      </c>
      <c r="O152" s="15">
        <v>0</v>
      </c>
      <c r="P152" s="16" t="s">
        <v>512</v>
      </c>
    </row>
    <row r="153" spans="3:16" ht="36.75" thickBot="1" x14ac:dyDescent="0.3">
      <c r="C153" s="5" t="s">
        <v>64</v>
      </c>
      <c r="D153" s="14">
        <v>146</v>
      </c>
      <c r="E153" s="15" t="s">
        <v>425</v>
      </c>
      <c r="F153" s="15" t="s">
        <v>664</v>
      </c>
      <c r="G153" s="15" t="s">
        <v>509</v>
      </c>
      <c r="H153" s="15" t="s">
        <v>398</v>
      </c>
      <c r="I153" s="15" t="s">
        <v>399</v>
      </c>
      <c r="J153" s="15" t="s">
        <v>516</v>
      </c>
      <c r="K153" s="15" t="s">
        <v>511</v>
      </c>
      <c r="L153" s="15" t="s">
        <v>267</v>
      </c>
      <c r="M153" s="15">
        <v>61590</v>
      </c>
      <c r="N153" s="15" t="s">
        <v>381</v>
      </c>
      <c r="O153" s="15">
        <v>0</v>
      </c>
      <c r="P153" s="16" t="s">
        <v>512</v>
      </c>
    </row>
    <row r="154" spans="3:16" ht="36.75" thickBot="1" x14ac:dyDescent="0.3">
      <c r="C154" s="5" t="s">
        <v>64</v>
      </c>
      <c r="D154" s="14">
        <v>147</v>
      </c>
      <c r="E154" s="15" t="s">
        <v>425</v>
      </c>
      <c r="F154" s="15" t="s">
        <v>665</v>
      </c>
      <c r="G154" s="15" t="s">
        <v>509</v>
      </c>
      <c r="H154" s="15" t="s">
        <v>398</v>
      </c>
      <c r="I154" s="15" t="s">
        <v>399</v>
      </c>
      <c r="J154" s="15" t="s">
        <v>516</v>
      </c>
      <c r="K154" s="15" t="s">
        <v>511</v>
      </c>
      <c r="L154" s="15" t="s">
        <v>267</v>
      </c>
      <c r="M154" s="15">
        <v>32563.06</v>
      </c>
      <c r="N154" s="15" t="s">
        <v>381</v>
      </c>
      <c r="O154" s="15">
        <v>0</v>
      </c>
      <c r="P154" s="16" t="s">
        <v>512</v>
      </c>
    </row>
    <row r="155" spans="3:16" ht="36.75" thickBot="1" x14ac:dyDescent="0.3">
      <c r="C155" s="5" t="s">
        <v>64</v>
      </c>
      <c r="D155" s="14">
        <v>148</v>
      </c>
      <c r="E155" s="15" t="s">
        <v>425</v>
      </c>
      <c r="F155" s="15" t="s">
        <v>666</v>
      </c>
      <c r="G155" s="15" t="s">
        <v>509</v>
      </c>
      <c r="H155" s="15" t="s">
        <v>398</v>
      </c>
      <c r="I155" s="15" t="s">
        <v>399</v>
      </c>
      <c r="J155" s="15" t="s">
        <v>516</v>
      </c>
      <c r="K155" s="15" t="s">
        <v>511</v>
      </c>
      <c r="L155" s="15" t="s">
        <v>267</v>
      </c>
      <c r="M155" s="15">
        <v>6289.15</v>
      </c>
      <c r="N155" s="15" t="s">
        <v>381</v>
      </c>
      <c r="O155" s="15">
        <v>0</v>
      </c>
      <c r="P155" s="16" t="s">
        <v>512</v>
      </c>
    </row>
    <row r="156" spans="3:16" ht="36.75" thickBot="1" x14ac:dyDescent="0.3">
      <c r="C156" s="5" t="s">
        <v>64</v>
      </c>
      <c r="D156" s="14">
        <v>149</v>
      </c>
      <c r="E156" s="15" t="s">
        <v>425</v>
      </c>
      <c r="F156" s="15" t="s">
        <v>667</v>
      </c>
      <c r="G156" s="15" t="s">
        <v>509</v>
      </c>
      <c r="H156" s="15" t="s">
        <v>398</v>
      </c>
      <c r="I156" s="15" t="s">
        <v>399</v>
      </c>
      <c r="J156" s="15" t="s">
        <v>516</v>
      </c>
      <c r="K156" s="15" t="s">
        <v>511</v>
      </c>
      <c r="L156" s="15" t="s">
        <v>267</v>
      </c>
      <c r="M156" s="15">
        <v>20000</v>
      </c>
      <c r="N156" s="15" t="s">
        <v>381</v>
      </c>
      <c r="O156" s="15">
        <v>0</v>
      </c>
      <c r="P156" s="16" t="s">
        <v>512</v>
      </c>
    </row>
    <row r="157" spans="3:16" ht="36.75" thickBot="1" x14ac:dyDescent="0.3">
      <c r="C157" s="5" t="s">
        <v>64</v>
      </c>
      <c r="D157" s="14">
        <v>150</v>
      </c>
      <c r="E157" s="15" t="s">
        <v>425</v>
      </c>
      <c r="F157" s="15" t="s">
        <v>668</v>
      </c>
      <c r="G157" s="15" t="s">
        <v>509</v>
      </c>
      <c r="H157" s="15" t="s">
        <v>398</v>
      </c>
      <c r="I157" s="15" t="s">
        <v>399</v>
      </c>
      <c r="J157" s="15" t="s">
        <v>516</v>
      </c>
      <c r="K157" s="15" t="s">
        <v>511</v>
      </c>
      <c r="L157" s="15" t="s">
        <v>267</v>
      </c>
      <c r="M157" s="15">
        <v>19304.919999999998</v>
      </c>
      <c r="N157" s="15" t="s">
        <v>381</v>
      </c>
      <c r="O157" s="15">
        <v>0</v>
      </c>
      <c r="P157" s="16" t="s">
        <v>512</v>
      </c>
    </row>
    <row r="158" spans="3:16" ht="36.75" thickBot="1" x14ac:dyDescent="0.3">
      <c r="C158" s="5" t="s">
        <v>64</v>
      </c>
      <c r="D158" s="14">
        <v>151</v>
      </c>
      <c r="E158" s="15" t="s">
        <v>425</v>
      </c>
      <c r="F158" s="15" t="s">
        <v>669</v>
      </c>
      <c r="G158" s="15" t="s">
        <v>509</v>
      </c>
      <c r="H158" s="15" t="s">
        <v>398</v>
      </c>
      <c r="I158" s="15" t="s">
        <v>399</v>
      </c>
      <c r="J158" s="15" t="s">
        <v>516</v>
      </c>
      <c r="K158" s="15" t="s">
        <v>511</v>
      </c>
      <c r="L158" s="15" t="s">
        <v>267</v>
      </c>
      <c r="M158" s="15">
        <v>26286.959999999999</v>
      </c>
      <c r="N158" s="15" t="s">
        <v>381</v>
      </c>
      <c r="O158" s="15">
        <v>0</v>
      </c>
      <c r="P158" s="16" t="s">
        <v>512</v>
      </c>
    </row>
    <row r="159" spans="3:16" ht="36.75" thickBot="1" x14ac:dyDescent="0.3">
      <c r="C159" s="5" t="s">
        <v>64</v>
      </c>
      <c r="D159" s="14">
        <v>152</v>
      </c>
      <c r="E159" s="15" t="s">
        <v>425</v>
      </c>
      <c r="F159" s="15" t="s">
        <v>670</v>
      </c>
      <c r="G159" s="15" t="s">
        <v>509</v>
      </c>
      <c r="H159" s="15" t="s">
        <v>398</v>
      </c>
      <c r="I159" s="15" t="s">
        <v>399</v>
      </c>
      <c r="J159" s="15" t="s">
        <v>516</v>
      </c>
      <c r="K159" s="15" t="s">
        <v>511</v>
      </c>
      <c r="L159" s="15" t="s">
        <v>267</v>
      </c>
      <c r="M159" s="15">
        <v>12725</v>
      </c>
      <c r="N159" s="15" t="s">
        <v>381</v>
      </c>
      <c r="O159" s="15">
        <v>0</v>
      </c>
      <c r="P159" s="16" t="s">
        <v>512</v>
      </c>
    </row>
    <row r="160" spans="3:16" ht="36.75" thickBot="1" x14ac:dyDescent="0.3">
      <c r="C160" s="5" t="s">
        <v>64</v>
      </c>
      <c r="D160" s="14">
        <v>153</v>
      </c>
      <c r="E160" s="15" t="s">
        <v>425</v>
      </c>
      <c r="F160" s="15" t="s">
        <v>671</v>
      </c>
      <c r="G160" s="15" t="s">
        <v>509</v>
      </c>
      <c r="H160" s="15" t="s">
        <v>398</v>
      </c>
      <c r="I160" s="15" t="s">
        <v>399</v>
      </c>
      <c r="J160" s="15" t="s">
        <v>516</v>
      </c>
      <c r="K160" s="15" t="s">
        <v>511</v>
      </c>
      <c r="L160" s="15" t="s">
        <v>267</v>
      </c>
      <c r="M160" s="15">
        <v>76350</v>
      </c>
      <c r="N160" s="15" t="s">
        <v>381</v>
      </c>
      <c r="O160" s="15">
        <v>0</v>
      </c>
      <c r="P160" s="16" t="s">
        <v>512</v>
      </c>
    </row>
    <row r="161" spans="3:16" ht="36.75" thickBot="1" x14ac:dyDescent="0.3">
      <c r="C161" s="5" t="s">
        <v>64</v>
      </c>
      <c r="D161" s="14">
        <v>154</v>
      </c>
      <c r="E161" s="15" t="s">
        <v>425</v>
      </c>
      <c r="F161" s="15" t="s">
        <v>672</v>
      </c>
      <c r="G161" s="15" t="s">
        <v>509</v>
      </c>
      <c r="H161" s="15" t="s">
        <v>398</v>
      </c>
      <c r="I161" s="15" t="s">
        <v>399</v>
      </c>
      <c r="J161" s="15" t="s">
        <v>516</v>
      </c>
      <c r="K161" s="15" t="s">
        <v>511</v>
      </c>
      <c r="L161" s="15" t="s">
        <v>267</v>
      </c>
      <c r="M161" s="15">
        <v>100509.73</v>
      </c>
      <c r="N161" s="15" t="s">
        <v>381</v>
      </c>
      <c r="O161" s="15">
        <v>0</v>
      </c>
      <c r="P161" s="16" t="s">
        <v>512</v>
      </c>
    </row>
    <row r="162" spans="3:16" ht="36.75" thickBot="1" x14ac:dyDescent="0.3">
      <c r="C162" s="5" t="s">
        <v>64</v>
      </c>
      <c r="D162" s="14">
        <v>155</v>
      </c>
      <c r="E162" s="15" t="s">
        <v>425</v>
      </c>
      <c r="F162" s="15" t="s">
        <v>673</v>
      </c>
      <c r="G162" s="15" t="s">
        <v>509</v>
      </c>
      <c r="H162" s="15" t="s">
        <v>398</v>
      </c>
      <c r="I162" s="15" t="s">
        <v>399</v>
      </c>
      <c r="J162" s="15" t="s">
        <v>516</v>
      </c>
      <c r="K162" s="15" t="s">
        <v>511</v>
      </c>
      <c r="L162" s="15" t="s">
        <v>267</v>
      </c>
      <c r="M162" s="15">
        <v>41400</v>
      </c>
      <c r="N162" s="15" t="s">
        <v>381</v>
      </c>
      <c r="O162" s="15">
        <v>0</v>
      </c>
      <c r="P162" s="16" t="s">
        <v>512</v>
      </c>
    </row>
    <row r="163" spans="3:16" ht="36.75" thickBot="1" x14ac:dyDescent="0.3">
      <c r="C163" s="5" t="s">
        <v>64</v>
      </c>
      <c r="D163" s="14">
        <v>156</v>
      </c>
      <c r="E163" s="15" t="s">
        <v>425</v>
      </c>
      <c r="F163" s="15" t="s">
        <v>674</v>
      </c>
      <c r="G163" s="15" t="s">
        <v>509</v>
      </c>
      <c r="H163" s="15" t="s">
        <v>398</v>
      </c>
      <c r="I163" s="15" t="s">
        <v>399</v>
      </c>
      <c r="J163" s="15" t="s">
        <v>516</v>
      </c>
      <c r="K163" s="15" t="s">
        <v>511</v>
      </c>
      <c r="L163" s="15" t="s">
        <v>267</v>
      </c>
      <c r="M163" s="15">
        <v>400000</v>
      </c>
      <c r="N163" s="15" t="s">
        <v>381</v>
      </c>
      <c r="O163" s="15">
        <v>0</v>
      </c>
      <c r="P163" s="16" t="s">
        <v>512</v>
      </c>
    </row>
    <row r="164" spans="3:16" ht="36.75" thickBot="1" x14ac:dyDescent="0.3">
      <c r="C164" s="5" t="s">
        <v>64</v>
      </c>
      <c r="D164" s="14">
        <v>157</v>
      </c>
      <c r="E164" s="15" t="s">
        <v>425</v>
      </c>
      <c r="F164" s="15" t="s">
        <v>675</v>
      </c>
      <c r="G164" s="15" t="s">
        <v>509</v>
      </c>
      <c r="H164" s="15" t="s">
        <v>398</v>
      </c>
      <c r="I164" s="15" t="s">
        <v>399</v>
      </c>
      <c r="J164" s="15" t="s">
        <v>516</v>
      </c>
      <c r="K164" s="15" t="s">
        <v>511</v>
      </c>
      <c r="L164" s="15" t="s">
        <v>267</v>
      </c>
      <c r="M164" s="15">
        <v>100000</v>
      </c>
      <c r="N164" s="15" t="s">
        <v>381</v>
      </c>
      <c r="O164" s="15">
        <v>0</v>
      </c>
      <c r="P164" s="16" t="s">
        <v>512</v>
      </c>
    </row>
    <row r="165" spans="3:16" ht="36.75" thickBot="1" x14ac:dyDescent="0.3">
      <c r="C165" s="5" t="s">
        <v>64</v>
      </c>
      <c r="D165" s="14">
        <v>158</v>
      </c>
      <c r="E165" s="15" t="s">
        <v>425</v>
      </c>
      <c r="F165" s="15" t="s">
        <v>676</v>
      </c>
      <c r="G165" s="15" t="s">
        <v>509</v>
      </c>
      <c r="H165" s="15" t="s">
        <v>398</v>
      </c>
      <c r="I165" s="15" t="s">
        <v>399</v>
      </c>
      <c r="J165" s="15" t="s">
        <v>516</v>
      </c>
      <c r="K165" s="15" t="s">
        <v>511</v>
      </c>
      <c r="L165" s="15" t="s">
        <v>267</v>
      </c>
      <c r="M165" s="15">
        <v>11000</v>
      </c>
      <c r="N165" s="15" t="s">
        <v>381</v>
      </c>
      <c r="O165" s="15">
        <v>0</v>
      </c>
      <c r="P165" s="16" t="s">
        <v>512</v>
      </c>
    </row>
    <row r="166" spans="3:16" ht="36.75" thickBot="1" x14ac:dyDescent="0.3">
      <c r="C166" s="5" t="s">
        <v>64</v>
      </c>
      <c r="D166" s="14">
        <v>159</v>
      </c>
      <c r="E166" s="15" t="s">
        <v>425</v>
      </c>
      <c r="F166" s="15" t="s">
        <v>677</v>
      </c>
      <c r="G166" s="15" t="s">
        <v>509</v>
      </c>
      <c r="H166" s="15" t="s">
        <v>398</v>
      </c>
      <c r="I166" s="15" t="s">
        <v>399</v>
      </c>
      <c r="J166" s="15" t="s">
        <v>516</v>
      </c>
      <c r="K166" s="15" t="s">
        <v>511</v>
      </c>
      <c r="L166" s="15" t="s">
        <v>267</v>
      </c>
      <c r="M166" s="15">
        <v>130650</v>
      </c>
      <c r="N166" s="15" t="s">
        <v>381</v>
      </c>
      <c r="O166" s="15">
        <v>0</v>
      </c>
      <c r="P166" s="16" t="s">
        <v>512</v>
      </c>
    </row>
    <row r="167" spans="3:16" ht="36.75" thickBot="1" x14ac:dyDescent="0.3">
      <c r="C167" s="5" t="s">
        <v>64</v>
      </c>
      <c r="D167" s="14">
        <v>160</v>
      </c>
      <c r="E167" s="15" t="s">
        <v>425</v>
      </c>
      <c r="F167" s="15" t="s">
        <v>678</v>
      </c>
      <c r="G167" s="15" t="s">
        <v>509</v>
      </c>
      <c r="H167" s="15" t="s">
        <v>398</v>
      </c>
      <c r="I167" s="15" t="s">
        <v>399</v>
      </c>
      <c r="J167" s="15" t="s">
        <v>516</v>
      </c>
      <c r="K167" s="15" t="s">
        <v>511</v>
      </c>
      <c r="L167" s="15" t="s">
        <v>267</v>
      </c>
      <c r="M167" s="15">
        <v>30248.14</v>
      </c>
      <c r="N167" s="15" t="s">
        <v>381</v>
      </c>
      <c r="O167" s="15">
        <v>0</v>
      </c>
      <c r="P167" s="16" t="s">
        <v>512</v>
      </c>
    </row>
    <row r="168" spans="3:16" ht="36.75" thickBot="1" x14ac:dyDescent="0.3">
      <c r="C168" s="5" t="s">
        <v>64</v>
      </c>
      <c r="D168" s="14">
        <v>161</v>
      </c>
      <c r="E168" s="15" t="s">
        <v>425</v>
      </c>
      <c r="F168" s="15" t="s">
        <v>679</v>
      </c>
      <c r="G168" s="15" t="s">
        <v>509</v>
      </c>
      <c r="H168" s="15" t="s">
        <v>398</v>
      </c>
      <c r="I168" s="15" t="s">
        <v>399</v>
      </c>
      <c r="J168" s="15" t="s">
        <v>516</v>
      </c>
      <c r="K168" s="15" t="s">
        <v>511</v>
      </c>
      <c r="L168" s="15" t="s">
        <v>267</v>
      </c>
      <c r="M168" s="15">
        <v>19740</v>
      </c>
      <c r="N168" s="15" t="s">
        <v>381</v>
      </c>
      <c r="O168" s="15">
        <v>0</v>
      </c>
      <c r="P168" s="16" t="s">
        <v>512</v>
      </c>
    </row>
    <row r="169" spans="3:16" ht="36.75" thickBot="1" x14ac:dyDescent="0.3">
      <c r="C169" s="5" t="s">
        <v>64</v>
      </c>
      <c r="D169" s="14">
        <v>162</v>
      </c>
      <c r="E169" s="15" t="s">
        <v>425</v>
      </c>
      <c r="F169" s="15" t="s">
        <v>680</v>
      </c>
      <c r="G169" s="15" t="s">
        <v>509</v>
      </c>
      <c r="H169" s="15" t="s">
        <v>398</v>
      </c>
      <c r="I169" s="15" t="s">
        <v>399</v>
      </c>
      <c r="J169" s="15" t="s">
        <v>516</v>
      </c>
      <c r="K169" s="15" t="s">
        <v>511</v>
      </c>
      <c r="L169" s="15" t="s">
        <v>267</v>
      </c>
      <c r="M169" s="15">
        <v>6366.2</v>
      </c>
      <c r="N169" s="15" t="s">
        <v>381</v>
      </c>
      <c r="O169" s="15">
        <v>0</v>
      </c>
      <c r="P169" s="16" t="s">
        <v>512</v>
      </c>
    </row>
    <row r="170" spans="3:16" ht="36.75" thickBot="1" x14ac:dyDescent="0.3">
      <c r="C170" s="5" t="s">
        <v>64</v>
      </c>
      <c r="D170" s="14">
        <v>163</v>
      </c>
      <c r="E170" s="15" t="s">
        <v>425</v>
      </c>
      <c r="F170" s="15" t="s">
        <v>681</v>
      </c>
      <c r="G170" s="15" t="s">
        <v>509</v>
      </c>
      <c r="H170" s="15" t="s">
        <v>398</v>
      </c>
      <c r="I170" s="15" t="s">
        <v>399</v>
      </c>
      <c r="J170" s="15" t="s">
        <v>516</v>
      </c>
      <c r="K170" s="15" t="s">
        <v>511</v>
      </c>
      <c r="L170" s="15" t="s">
        <v>267</v>
      </c>
      <c r="M170" s="15">
        <v>35877.120000000003</v>
      </c>
      <c r="N170" s="15" t="s">
        <v>381</v>
      </c>
      <c r="O170" s="15">
        <v>0</v>
      </c>
      <c r="P170" s="16" t="s">
        <v>512</v>
      </c>
    </row>
    <row r="171" spans="3:16" ht="36.75" thickBot="1" x14ac:dyDescent="0.3">
      <c r="C171" s="5" t="s">
        <v>64</v>
      </c>
      <c r="D171" s="14">
        <v>164</v>
      </c>
      <c r="E171" s="15" t="s">
        <v>425</v>
      </c>
      <c r="F171" s="15" t="s">
        <v>682</v>
      </c>
      <c r="G171" s="15" t="s">
        <v>509</v>
      </c>
      <c r="H171" s="15" t="s">
        <v>398</v>
      </c>
      <c r="I171" s="15" t="s">
        <v>399</v>
      </c>
      <c r="J171" s="15" t="s">
        <v>516</v>
      </c>
      <c r="K171" s="15" t="s">
        <v>511</v>
      </c>
      <c r="L171" s="15" t="s">
        <v>267</v>
      </c>
      <c r="M171" s="15">
        <v>24152</v>
      </c>
      <c r="N171" s="15" t="s">
        <v>381</v>
      </c>
      <c r="O171" s="15">
        <v>0</v>
      </c>
      <c r="P171" s="16" t="s">
        <v>512</v>
      </c>
    </row>
    <row r="172" spans="3:16" ht="36.75" thickBot="1" x14ac:dyDescent="0.3">
      <c r="C172" s="5" t="s">
        <v>64</v>
      </c>
      <c r="D172" s="14">
        <v>165</v>
      </c>
      <c r="E172" s="15" t="s">
        <v>425</v>
      </c>
      <c r="F172" s="15" t="s">
        <v>683</v>
      </c>
      <c r="G172" s="15" t="s">
        <v>509</v>
      </c>
      <c r="H172" s="15" t="s">
        <v>398</v>
      </c>
      <c r="I172" s="15" t="s">
        <v>399</v>
      </c>
      <c r="J172" s="15" t="s">
        <v>516</v>
      </c>
      <c r="K172" s="15" t="s">
        <v>511</v>
      </c>
      <c r="L172" s="15" t="s">
        <v>267</v>
      </c>
      <c r="M172" s="15">
        <v>72500</v>
      </c>
      <c r="N172" s="15" t="s">
        <v>381</v>
      </c>
      <c r="O172" s="15">
        <v>0</v>
      </c>
      <c r="P172" s="16" t="s">
        <v>512</v>
      </c>
    </row>
    <row r="173" spans="3:16" ht="36.75" thickBot="1" x14ac:dyDescent="0.3">
      <c r="C173" s="5" t="s">
        <v>64</v>
      </c>
      <c r="D173" s="14">
        <v>166</v>
      </c>
      <c r="E173" s="15" t="s">
        <v>425</v>
      </c>
      <c r="F173" s="15" t="s">
        <v>684</v>
      </c>
      <c r="G173" s="15" t="s">
        <v>509</v>
      </c>
      <c r="H173" s="15" t="s">
        <v>398</v>
      </c>
      <c r="I173" s="15" t="s">
        <v>399</v>
      </c>
      <c r="J173" s="15" t="s">
        <v>516</v>
      </c>
      <c r="K173" s="15" t="s">
        <v>511</v>
      </c>
      <c r="L173" s="15" t="s">
        <v>267</v>
      </c>
      <c r="M173" s="15">
        <v>15000</v>
      </c>
      <c r="N173" s="15" t="s">
        <v>381</v>
      </c>
      <c r="O173" s="15">
        <v>0</v>
      </c>
      <c r="P173" s="16" t="s">
        <v>512</v>
      </c>
    </row>
    <row r="174" spans="3:16" ht="36.75" thickBot="1" x14ac:dyDescent="0.3">
      <c r="C174" s="5" t="s">
        <v>64</v>
      </c>
      <c r="D174" s="14">
        <v>167</v>
      </c>
      <c r="E174" s="15" t="s">
        <v>425</v>
      </c>
      <c r="F174" s="15" t="s">
        <v>685</v>
      </c>
      <c r="G174" s="15" t="s">
        <v>509</v>
      </c>
      <c r="H174" s="15" t="s">
        <v>398</v>
      </c>
      <c r="I174" s="15" t="s">
        <v>399</v>
      </c>
      <c r="J174" s="15" t="s">
        <v>516</v>
      </c>
      <c r="K174" s="15" t="s">
        <v>511</v>
      </c>
      <c r="L174" s="15" t="s">
        <v>267</v>
      </c>
      <c r="M174" s="15">
        <v>63635.3</v>
      </c>
      <c r="N174" s="15" t="s">
        <v>381</v>
      </c>
      <c r="O174" s="15">
        <v>0</v>
      </c>
      <c r="P174" s="16" t="s">
        <v>512</v>
      </c>
    </row>
    <row r="175" spans="3:16" ht="36.75" thickBot="1" x14ac:dyDescent="0.3">
      <c r="C175" s="5" t="s">
        <v>64</v>
      </c>
      <c r="D175" s="14">
        <v>168</v>
      </c>
      <c r="E175" s="15" t="s">
        <v>425</v>
      </c>
      <c r="F175" s="15" t="s">
        <v>686</v>
      </c>
      <c r="G175" s="15" t="s">
        <v>509</v>
      </c>
      <c r="H175" s="15" t="s">
        <v>398</v>
      </c>
      <c r="I175" s="15" t="s">
        <v>399</v>
      </c>
      <c r="J175" s="15" t="s">
        <v>516</v>
      </c>
      <c r="K175" s="15" t="s">
        <v>511</v>
      </c>
      <c r="L175" s="15" t="s">
        <v>267</v>
      </c>
      <c r="M175" s="15">
        <v>240867.27</v>
      </c>
      <c r="N175" s="15" t="s">
        <v>381</v>
      </c>
      <c r="O175" s="15">
        <v>0</v>
      </c>
      <c r="P175" s="16" t="s">
        <v>512</v>
      </c>
    </row>
    <row r="176" spans="3:16" ht="36.75" thickBot="1" x14ac:dyDescent="0.3">
      <c r="C176" s="5" t="s">
        <v>64</v>
      </c>
      <c r="D176" s="14">
        <v>169</v>
      </c>
      <c r="E176" s="15" t="s">
        <v>425</v>
      </c>
      <c r="F176" s="15" t="s">
        <v>687</v>
      </c>
      <c r="G176" s="15" t="s">
        <v>509</v>
      </c>
      <c r="H176" s="15" t="s">
        <v>398</v>
      </c>
      <c r="I176" s="15" t="s">
        <v>399</v>
      </c>
      <c r="J176" s="15" t="s">
        <v>516</v>
      </c>
      <c r="K176" s="15" t="s">
        <v>511</v>
      </c>
      <c r="L176" s="15" t="s">
        <v>267</v>
      </c>
      <c r="M176" s="15">
        <v>3183.04</v>
      </c>
      <c r="N176" s="15" t="s">
        <v>381</v>
      </c>
      <c r="O176" s="15">
        <v>0</v>
      </c>
      <c r="P176" s="16" t="s">
        <v>512</v>
      </c>
    </row>
    <row r="177" spans="3:16" ht="36.75" thickBot="1" x14ac:dyDescent="0.3">
      <c r="C177" s="5" t="s">
        <v>64</v>
      </c>
      <c r="D177" s="14">
        <v>170</v>
      </c>
      <c r="E177" s="15" t="s">
        <v>425</v>
      </c>
      <c r="F177" s="15" t="s">
        <v>688</v>
      </c>
      <c r="G177" s="15" t="s">
        <v>509</v>
      </c>
      <c r="H177" s="15" t="s">
        <v>398</v>
      </c>
      <c r="I177" s="15" t="s">
        <v>399</v>
      </c>
      <c r="J177" s="15" t="s">
        <v>516</v>
      </c>
      <c r="K177" s="15" t="s">
        <v>511</v>
      </c>
      <c r="L177" s="15" t="s">
        <v>267</v>
      </c>
      <c r="M177" s="15">
        <v>61699.99</v>
      </c>
      <c r="N177" s="15" t="s">
        <v>381</v>
      </c>
      <c r="O177" s="15">
        <v>0</v>
      </c>
      <c r="P177" s="16" t="s">
        <v>512</v>
      </c>
    </row>
    <row r="178" spans="3:16" ht="36.75" thickBot="1" x14ac:dyDescent="0.3">
      <c r="C178" s="5" t="s">
        <v>64</v>
      </c>
      <c r="D178" s="14">
        <v>171</v>
      </c>
      <c r="E178" s="15" t="s">
        <v>425</v>
      </c>
      <c r="F178" s="15" t="s">
        <v>689</v>
      </c>
      <c r="G178" s="15" t="s">
        <v>509</v>
      </c>
      <c r="H178" s="15" t="s">
        <v>398</v>
      </c>
      <c r="I178" s="15" t="s">
        <v>399</v>
      </c>
      <c r="J178" s="15" t="s">
        <v>516</v>
      </c>
      <c r="K178" s="15" t="s">
        <v>511</v>
      </c>
      <c r="L178" s="15" t="s">
        <v>267</v>
      </c>
      <c r="M178" s="15">
        <v>222363.28</v>
      </c>
      <c r="N178" s="15" t="s">
        <v>381</v>
      </c>
      <c r="O178" s="15">
        <v>0</v>
      </c>
      <c r="P178" s="16" t="s">
        <v>512</v>
      </c>
    </row>
    <row r="179" spans="3:16" ht="36.75" thickBot="1" x14ac:dyDescent="0.3">
      <c r="C179" s="5" t="s">
        <v>64</v>
      </c>
      <c r="D179" s="14">
        <v>172</v>
      </c>
      <c r="E179" s="15" t="s">
        <v>425</v>
      </c>
      <c r="F179" s="15" t="s">
        <v>690</v>
      </c>
      <c r="G179" s="15" t="s">
        <v>509</v>
      </c>
      <c r="H179" s="15" t="s">
        <v>398</v>
      </c>
      <c r="I179" s="15" t="s">
        <v>399</v>
      </c>
      <c r="J179" s="15" t="s">
        <v>516</v>
      </c>
      <c r="K179" s="15" t="s">
        <v>511</v>
      </c>
      <c r="L179" s="15" t="s">
        <v>267</v>
      </c>
      <c r="M179" s="15">
        <v>2505.6</v>
      </c>
      <c r="N179" s="15" t="s">
        <v>381</v>
      </c>
      <c r="O179" s="15">
        <v>0</v>
      </c>
      <c r="P179" s="16" t="s">
        <v>512</v>
      </c>
    </row>
    <row r="180" spans="3:16" ht="36.75" thickBot="1" x14ac:dyDescent="0.3">
      <c r="C180" s="5" t="s">
        <v>64</v>
      </c>
      <c r="D180" s="14">
        <v>173</v>
      </c>
      <c r="E180" s="15" t="s">
        <v>425</v>
      </c>
      <c r="F180" s="15" t="s">
        <v>691</v>
      </c>
      <c r="G180" s="15" t="s">
        <v>509</v>
      </c>
      <c r="H180" s="15" t="s">
        <v>398</v>
      </c>
      <c r="I180" s="15" t="s">
        <v>399</v>
      </c>
      <c r="J180" s="15" t="s">
        <v>516</v>
      </c>
      <c r="K180" s="15" t="s">
        <v>511</v>
      </c>
      <c r="L180" s="15" t="s">
        <v>267</v>
      </c>
      <c r="M180" s="15">
        <v>1013587.27</v>
      </c>
      <c r="N180" s="15" t="s">
        <v>381</v>
      </c>
      <c r="O180" s="15">
        <v>0</v>
      </c>
      <c r="P180" s="16" t="s">
        <v>512</v>
      </c>
    </row>
    <row r="181" spans="3:16" ht="36.75" thickBot="1" x14ac:dyDescent="0.3">
      <c r="C181" s="5" t="s">
        <v>64</v>
      </c>
      <c r="D181" s="14">
        <v>174</v>
      </c>
      <c r="E181" s="15" t="s">
        <v>425</v>
      </c>
      <c r="F181" s="15" t="s">
        <v>692</v>
      </c>
      <c r="G181" s="15" t="s">
        <v>509</v>
      </c>
      <c r="H181" s="15" t="s">
        <v>398</v>
      </c>
      <c r="I181" s="15" t="s">
        <v>399</v>
      </c>
      <c r="J181" s="15" t="s">
        <v>516</v>
      </c>
      <c r="K181" s="15" t="s">
        <v>511</v>
      </c>
      <c r="L181" s="15" t="s">
        <v>267</v>
      </c>
      <c r="M181" s="15">
        <v>8204.6200000000008</v>
      </c>
      <c r="N181" s="15" t="s">
        <v>381</v>
      </c>
      <c r="O181" s="15">
        <v>0</v>
      </c>
      <c r="P181" s="16" t="s">
        <v>512</v>
      </c>
    </row>
    <row r="182" spans="3:16" ht="36.75" thickBot="1" x14ac:dyDescent="0.3">
      <c r="C182" s="5" t="s">
        <v>64</v>
      </c>
      <c r="D182" s="14">
        <v>175</v>
      </c>
      <c r="E182" s="15" t="s">
        <v>425</v>
      </c>
      <c r="F182" s="15" t="s">
        <v>693</v>
      </c>
      <c r="G182" s="15" t="s">
        <v>509</v>
      </c>
      <c r="H182" s="15" t="s">
        <v>398</v>
      </c>
      <c r="I182" s="15" t="s">
        <v>399</v>
      </c>
      <c r="J182" s="15" t="s">
        <v>516</v>
      </c>
      <c r="K182" s="15" t="s">
        <v>511</v>
      </c>
      <c r="L182" s="15" t="s">
        <v>267</v>
      </c>
      <c r="M182" s="15">
        <v>26769.34</v>
      </c>
      <c r="N182" s="15" t="s">
        <v>381</v>
      </c>
      <c r="O182" s="15">
        <v>0</v>
      </c>
      <c r="P182" s="16" t="s">
        <v>512</v>
      </c>
    </row>
    <row r="183" spans="3:16" ht="36.75" thickBot="1" x14ac:dyDescent="0.3">
      <c r="C183" s="5" t="s">
        <v>64</v>
      </c>
      <c r="D183" s="14">
        <v>176</v>
      </c>
      <c r="E183" s="15" t="s">
        <v>425</v>
      </c>
      <c r="F183" s="15" t="s">
        <v>694</v>
      </c>
      <c r="G183" s="15" t="s">
        <v>509</v>
      </c>
      <c r="H183" s="15" t="s">
        <v>398</v>
      </c>
      <c r="I183" s="15" t="s">
        <v>399</v>
      </c>
      <c r="J183" s="15" t="s">
        <v>516</v>
      </c>
      <c r="K183" s="15" t="s">
        <v>511</v>
      </c>
      <c r="L183" s="15" t="s">
        <v>267</v>
      </c>
      <c r="M183" s="15">
        <v>17500</v>
      </c>
      <c r="N183" s="15" t="s">
        <v>381</v>
      </c>
      <c r="O183" s="15">
        <v>0</v>
      </c>
      <c r="P183" s="16" t="s">
        <v>512</v>
      </c>
    </row>
    <row r="184" spans="3:16" ht="36.75" thickBot="1" x14ac:dyDescent="0.3">
      <c r="C184" s="5" t="s">
        <v>64</v>
      </c>
      <c r="D184" s="14">
        <v>177</v>
      </c>
      <c r="E184" s="15" t="s">
        <v>425</v>
      </c>
      <c r="F184" s="15" t="s">
        <v>695</v>
      </c>
      <c r="G184" s="15" t="s">
        <v>509</v>
      </c>
      <c r="H184" s="15" t="s">
        <v>398</v>
      </c>
      <c r="I184" s="15" t="s">
        <v>399</v>
      </c>
      <c r="J184" s="15" t="s">
        <v>516</v>
      </c>
      <c r="K184" s="15" t="s">
        <v>511</v>
      </c>
      <c r="L184" s="15" t="s">
        <v>267</v>
      </c>
      <c r="M184" s="15">
        <v>438501.81</v>
      </c>
      <c r="N184" s="15" t="s">
        <v>381</v>
      </c>
      <c r="O184" s="15">
        <v>0</v>
      </c>
      <c r="P184" s="16" t="s">
        <v>512</v>
      </c>
    </row>
    <row r="185" spans="3:16" ht="36.75" thickBot="1" x14ac:dyDescent="0.3">
      <c r="C185" s="5" t="s">
        <v>64</v>
      </c>
      <c r="D185" s="14">
        <v>178</v>
      </c>
      <c r="E185" s="15" t="s">
        <v>425</v>
      </c>
      <c r="F185" s="15" t="s">
        <v>696</v>
      </c>
      <c r="G185" s="15" t="s">
        <v>509</v>
      </c>
      <c r="H185" s="15" t="s">
        <v>398</v>
      </c>
      <c r="I185" s="15" t="s">
        <v>399</v>
      </c>
      <c r="J185" s="15" t="s">
        <v>516</v>
      </c>
      <c r="K185" s="15" t="s">
        <v>511</v>
      </c>
      <c r="L185" s="15" t="s">
        <v>267</v>
      </c>
      <c r="M185" s="15">
        <v>2000000</v>
      </c>
      <c r="N185" s="15" t="s">
        <v>381</v>
      </c>
      <c r="O185" s="15">
        <v>0</v>
      </c>
      <c r="P185" s="16" t="s">
        <v>512</v>
      </c>
    </row>
    <row r="186" spans="3:16" ht="36.75" thickBot="1" x14ac:dyDescent="0.3">
      <c r="C186" s="5" t="s">
        <v>64</v>
      </c>
      <c r="D186" s="14">
        <v>179</v>
      </c>
      <c r="E186" s="15" t="s">
        <v>425</v>
      </c>
      <c r="F186" s="15" t="s">
        <v>697</v>
      </c>
      <c r="G186" s="15" t="s">
        <v>509</v>
      </c>
      <c r="H186" s="15" t="s">
        <v>398</v>
      </c>
      <c r="I186" s="15" t="s">
        <v>399</v>
      </c>
      <c r="J186" s="15" t="s">
        <v>516</v>
      </c>
      <c r="K186" s="15" t="s">
        <v>511</v>
      </c>
      <c r="L186" s="15" t="s">
        <v>267</v>
      </c>
      <c r="M186" s="15">
        <v>3000000</v>
      </c>
      <c r="N186" s="15" t="s">
        <v>381</v>
      </c>
      <c r="O186" s="15">
        <v>0</v>
      </c>
      <c r="P186" s="16" t="s">
        <v>512</v>
      </c>
    </row>
    <row r="187" spans="3:16" ht="36.75" thickBot="1" x14ac:dyDescent="0.3">
      <c r="C187" s="5" t="s">
        <v>64</v>
      </c>
      <c r="D187" s="14">
        <v>180</v>
      </c>
      <c r="E187" s="15" t="s">
        <v>425</v>
      </c>
      <c r="F187" s="15" t="s">
        <v>698</v>
      </c>
      <c r="G187" s="15" t="s">
        <v>509</v>
      </c>
      <c r="H187" s="15" t="s">
        <v>398</v>
      </c>
      <c r="I187" s="15" t="s">
        <v>399</v>
      </c>
      <c r="J187" s="15" t="s">
        <v>516</v>
      </c>
      <c r="K187" s="15" t="s">
        <v>511</v>
      </c>
      <c r="L187" s="15" t="s">
        <v>267</v>
      </c>
      <c r="M187" s="15">
        <v>2294554.7000000002</v>
      </c>
      <c r="N187" s="15" t="s">
        <v>381</v>
      </c>
      <c r="O187" s="15">
        <v>0</v>
      </c>
      <c r="P187" s="16" t="s">
        <v>512</v>
      </c>
    </row>
    <row r="188" spans="3:16" ht="36.75" thickBot="1" x14ac:dyDescent="0.3">
      <c r="C188" s="5" t="s">
        <v>64</v>
      </c>
      <c r="D188" s="14">
        <v>181</v>
      </c>
      <c r="E188" s="15" t="s">
        <v>425</v>
      </c>
      <c r="F188" s="15" t="s">
        <v>699</v>
      </c>
      <c r="G188" s="15" t="s">
        <v>509</v>
      </c>
      <c r="H188" s="15" t="s">
        <v>398</v>
      </c>
      <c r="I188" s="15" t="s">
        <v>399</v>
      </c>
      <c r="J188" s="15" t="s">
        <v>516</v>
      </c>
      <c r="K188" s="15" t="s">
        <v>511</v>
      </c>
      <c r="L188" s="15" t="s">
        <v>267</v>
      </c>
      <c r="M188" s="15">
        <v>182650.8</v>
      </c>
      <c r="N188" s="15" t="s">
        <v>381</v>
      </c>
      <c r="O188" s="15">
        <v>0</v>
      </c>
      <c r="P188" s="16" t="s">
        <v>512</v>
      </c>
    </row>
    <row r="189" spans="3:16" ht="36.75" thickBot="1" x14ac:dyDescent="0.3">
      <c r="C189" s="5" t="s">
        <v>64</v>
      </c>
      <c r="D189" s="14">
        <v>182</v>
      </c>
      <c r="E189" s="15" t="s">
        <v>425</v>
      </c>
      <c r="F189" s="15" t="s">
        <v>700</v>
      </c>
      <c r="G189" s="15" t="s">
        <v>509</v>
      </c>
      <c r="H189" s="15" t="s">
        <v>398</v>
      </c>
      <c r="I189" s="15" t="s">
        <v>399</v>
      </c>
      <c r="J189" s="15" t="s">
        <v>516</v>
      </c>
      <c r="K189" s="15" t="s">
        <v>511</v>
      </c>
      <c r="L189" s="15" t="s">
        <v>267</v>
      </c>
      <c r="M189" s="15">
        <v>30000</v>
      </c>
      <c r="N189" s="15" t="s">
        <v>381</v>
      </c>
      <c r="O189" s="15">
        <v>0</v>
      </c>
      <c r="P189" s="16" t="s">
        <v>512</v>
      </c>
    </row>
    <row r="190" spans="3:16" ht="36.75" thickBot="1" x14ac:dyDescent="0.3">
      <c r="C190" s="5" t="s">
        <v>64</v>
      </c>
      <c r="D190" s="14">
        <v>183</v>
      </c>
      <c r="E190" s="15" t="s">
        <v>425</v>
      </c>
      <c r="F190" s="15" t="s">
        <v>701</v>
      </c>
      <c r="G190" s="15" t="s">
        <v>509</v>
      </c>
      <c r="H190" s="15" t="s">
        <v>398</v>
      </c>
      <c r="I190" s="15" t="s">
        <v>399</v>
      </c>
      <c r="J190" s="15" t="s">
        <v>516</v>
      </c>
      <c r="K190" s="15" t="s">
        <v>511</v>
      </c>
      <c r="L190" s="15" t="s">
        <v>267</v>
      </c>
      <c r="M190" s="15">
        <v>9180.2000000000007</v>
      </c>
      <c r="N190" s="15" t="s">
        <v>381</v>
      </c>
      <c r="O190" s="15">
        <v>0</v>
      </c>
      <c r="P190" s="16" t="s">
        <v>512</v>
      </c>
    </row>
    <row r="191" spans="3:16" ht="36.75" thickBot="1" x14ac:dyDescent="0.3">
      <c r="C191" s="5" t="s">
        <v>64</v>
      </c>
      <c r="D191" s="14">
        <v>184</v>
      </c>
      <c r="E191" s="15" t="s">
        <v>425</v>
      </c>
      <c r="F191" s="15" t="s">
        <v>702</v>
      </c>
      <c r="G191" s="15" t="s">
        <v>509</v>
      </c>
      <c r="H191" s="15" t="s">
        <v>398</v>
      </c>
      <c r="I191" s="15" t="s">
        <v>399</v>
      </c>
      <c r="J191" s="15" t="s">
        <v>516</v>
      </c>
      <c r="K191" s="15" t="s">
        <v>511</v>
      </c>
      <c r="L191" s="15" t="s">
        <v>267</v>
      </c>
      <c r="M191" s="15">
        <v>112500</v>
      </c>
      <c r="N191" s="15" t="s">
        <v>381</v>
      </c>
      <c r="O191" s="15">
        <v>0</v>
      </c>
      <c r="P191" s="16" t="s">
        <v>512</v>
      </c>
    </row>
    <row r="192" spans="3:16" ht="36.75" thickBot="1" x14ac:dyDescent="0.3">
      <c r="C192" s="5" t="s">
        <v>64</v>
      </c>
      <c r="D192" s="14">
        <v>185</v>
      </c>
      <c r="E192" s="15" t="s">
        <v>425</v>
      </c>
      <c r="F192" s="15" t="s">
        <v>703</v>
      </c>
      <c r="G192" s="15" t="s">
        <v>509</v>
      </c>
      <c r="H192" s="15" t="s">
        <v>398</v>
      </c>
      <c r="I192" s="15" t="s">
        <v>399</v>
      </c>
      <c r="J192" s="15" t="s">
        <v>516</v>
      </c>
      <c r="K192" s="15" t="s">
        <v>511</v>
      </c>
      <c r="L192" s="15" t="s">
        <v>267</v>
      </c>
      <c r="M192" s="15">
        <v>6097210.1100000003</v>
      </c>
      <c r="N192" s="15" t="s">
        <v>381</v>
      </c>
      <c r="O192" s="15">
        <v>0</v>
      </c>
      <c r="P192" s="16" t="s">
        <v>512</v>
      </c>
    </row>
    <row r="193" spans="3:16" ht="36.75" thickBot="1" x14ac:dyDescent="0.3">
      <c r="C193" s="5" t="s">
        <v>64</v>
      </c>
      <c r="D193" s="14">
        <v>186</v>
      </c>
      <c r="E193" s="15" t="s">
        <v>425</v>
      </c>
      <c r="F193" s="15" t="s">
        <v>704</v>
      </c>
      <c r="G193" s="15" t="s">
        <v>509</v>
      </c>
      <c r="H193" s="15" t="s">
        <v>398</v>
      </c>
      <c r="I193" s="15" t="s">
        <v>399</v>
      </c>
      <c r="J193" s="15" t="s">
        <v>516</v>
      </c>
      <c r="K193" s="15" t="s">
        <v>511</v>
      </c>
      <c r="L193" s="15" t="s">
        <v>267</v>
      </c>
      <c r="M193" s="15">
        <v>112898.17</v>
      </c>
      <c r="N193" s="15" t="s">
        <v>381</v>
      </c>
      <c r="O193" s="15">
        <v>0</v>
      </c>
      <c r="P193" s="16" t="s">
        <v>512</v>
      </c>
    </row>
    <row r="194" spans="3:16" ht="36.75" thickBot="1" x14ac:dyDescent="0.3">
      <c r="C194" s="5" t="s">
        <v>64</v>
      </c>
      <c r="D194" s="14">
        <v>187</v>
      </c>
      <c r="E194" s="15" t="s">
        <v>425</v>
      </c>
      <c r="F194" s="15" t="s">
        <v>705</v>
      </c>
      <c r="G194" s="15" t="s">
        <v>509</v>
      </c>
      <c r="H194" s="15" t="s">
        <v>398</v>
      </c>
      <c r="I194" s="15" t="s">
        <v>399</v>
      </c>
      <c r="J194" s="15" t="s">
        <v>516</v>
      </c>
      <c r="K194" s="15" t="s">
        <v>511</v>
      </c>
      <c r="L194" s="15" t="s">
        <v>267</v>
      </c>
      <c r="M194" s="15">
        <v>237496.88</v>
      </c>
      <c r="N194" s="15" t="s">
        <v>381</v>
      </c>
      <c r="O194" s="15">
        <v>0</v>
      </c>
      <c r="P194" s="16" t="s">
        <v>512</v>
      </c>
    </row>
    <row r="195" spans="3:16" ht="36.75" thickBot="1" x14ac:dyDescent="0.3">
      <c r="C195" s="5" t="s">
        <v>64</v>
      </c>
      <c r="D195" s="14">
        <v>188</v>
      </c>
      <c r="E195" s="15" t="s">
        <v>425</v>
      </c>
      <c r="F195" s="15" t="s">
        <v>706</v>
      </c>
      <c r="G195" s="15" t="s">
        <v>509</v>
      </c>
      <c r="H195" s="15" t="s">
        <v>398</v>
      </c>
      <c r="I195" s="15" t="s">
        <v>399</v>
      </c>
      <c r="J195" s="15" t="s">
        <v>516</v>
      </c>
      <c r="K195" s="15" t="s">
        <v>511</v>
      </c>
      <c r="L195" s="15" t="s">
        <v>267</v>
      </c>
      <c r="M195" s="15">
        <v>5081956.6100000003</v>
      </c>
      <c r="N195" s="15" t="s">
        <v>381</v>
      </c>
      <c r="O195" s="15">
        <v>0</v>
      </c>
      <c r="P195" s="16" t="s">
        <v>512</v>
      </c>
    </row>
    <row r="196" spans="3:16" ht="36.75" thickBot="1" x14ac:dyDescent="0.3">
      <c r="C196" s="5" t="s">
        <v>64</v>
      </c>
      <c r="D196" s="14">
        <v>189</v>
      </c>
      <c r="E196" s="15" t="s">
        <v>425</v>
      </c>
      <c r="F196" s="15" t="s">
        <v>707</v>
      </c>
      <c r="G196" s="15" t="s">
        <v>509</v>
      </c>
      <c r="H196" s="15" t="s">
        <v>398</v>
      </c>
      <c r="I196" s="15" t="s">
        <v>399</v>
      </c>
      <c r="J196" s="15" t="s">
        <v>516</v>
      </c>
      <c r="K196" s="15" t="s">
        <v>511</v>
      </c>
      <c r="L196" s="15" t="s">
        <v>267</v>
      </c>
      <c r="M196" s="15">
        <v>111000</v>
      </c>
      <c r="N196" s="15" t="s">
        <v>381</v>
      </c>
      <c r="O196" s="15">
        <v>0</v>
      </c>
      <c r="P196" s="16" t="s">
        <v>512</v>
      </c>
    </row>
    <row r="197" spans="3:16" ht="36.75" thickBot="1" x14ac:dyDescent="0.3">
      <c r="C197" s="5" t="s">
        <v>64</v>
      </c>
      <c r="D197" s="14">
        <v>190</v>
      </c>
      <c r="E197" s="15" t="s">
        <v>425</v>
      </c>
      <c r="F197" s="15" t="s">
        <v>708</v>
      </c>
      <c r="G197" s="15" t="s">
        <v>509</v>
      </c>
      <c r="H197" s="15" t="s">
        <v>398</v>
      </c>
      <c r="I197" s="15" t="s">
        <v>399</v>
      </c>
      <c r="J197" s="15" t="s">
        <v>516</v>
      </c>
      <c r="K197" s="15" t="s">
        <v>511</v>
      </c>
      <c r="L197" s="15" t="s">
        <v>267</v>
      </c>
      <c r="M197" s="15">
        <v>22400</v>
      </c>
      <c r="N197" s="15" t="s">
        <v>381</v>
      </c>
      <c r="O197" s="15">
        <v>0</v>
      </c>
      <c r="P197" s="16" t="s">
        <v>512</v>
      </c>
    </row>
    <row r="198" spans="3:16" ht="36.75" thickBot="1" x14ac:dyDescent="0.3">
      <c r="C198" s="5" t="s">
        <v>64</v>
      </c>
      <c r="D198" s="14">
        <v>191</v>
      </c>
      <c r="E198" s="15" t="s">
        <v>425</v>
      </c>
      <c r="F198" s="15" t="s">
        <v>709</v>
      </c>
      <c r="G198" s="15" t="s">
        <v>509</v>
      </c>
      <c r="H198" s="15" t="s">
        <v>398</v>
      </c>
      <c r="I198" s="15" t="s">
        <v>399</v>
      </c>
      <c r="J198" s="15" t="s">
        <v>516</v>
      </c>
      <c r="K198" s="15" t="s">
        <v>511</v>
      </c>
      <c r="L198" s="15" t="s">
        <v>267</v>
      </c>
      <c r="M198" s="15">
        <v>37494.75</v>
      </c>
      <c r="N198" s="15" t="s">
        <v>381</v>
      </c>
      <c r="O198" s="15">
        <v>0</v>
      </c>
      <c r="P198" s="16" t="s">
        <v>512</v>
      </c>
    </row>
    <row r="199" spans="3:16" ht="36.75" thickBot="1" x14ac:dyDescent="0.3">
      <c r="C199" s="5" t="s">
        <v>64</v>
      </c>
      <c r="D199" s="14">
        <v>192</v>
      </c>
      <c r="E199" s="15" t="s">
        <v>425</v>
      </c>
      <c r="F199" s="15" t="s">
        <v>710</v>
      </c>
      <c r="G199" s="15" t="s">
        <v>509</v>
      </c>
      <c r="H199" s="15" t="s">
        <v>398</v>
      </c>
      <c r="I199" s="15" t="s">
        <v>399</v>
      </c>
      <c r="J199" s="15" t="s">
        <v>516</v>
      </c>
      <c r="K199" s="15" t="s">
        <v>511</v>
      </c>
      <c r="L199" s="15" t="s">
        <v>267</v>
      </c>
      <c r="M199" s="15">
        <v>9445869.8300000001</v>
      </c>
      <c r="N199" s="15" t="s">
        <v>381</v>
      </c>
      <c r="O199" s="15">
        <v>0</v>
      </c>
      <c r="P199" s="16" t="s">
        <v>512</v>
      </c>
    </row>
    <row r="200" spans="3:16" ht="36.75" thickBot="1" x14ac:dyDescent="0.3">
      <c r="C200" s="5" t="s">
        <v>64</v>
      </c>
      <c r="D200" s="14">
        <v>193</v>
      </c>
      <c r="E200" s="15" t="s">
        <v>425</v>
      </c>
      <c r="F200" s="15" t="s">
        <v>711</v>
      </c>
      <c r="G200" s="15" t="s">
        <v>509</v>
      </c>
      <c r="H200" s="15" t="s">
        <v>398</v>
      </c>
      <c r="I200" s="15" t="s">
        <v>399</v>
      </c>
      <c r="J200" s="15" t="s">
        <v>516</v>
      </c>
      <c r="K200" s="15" t="s">
        <v>511</v>
      </c>
      <c r="L200" s="15" t="s">
        <v>267</v>
      </c>
      <c r="M200" s="15">
        <v>62265</v>
      </c>
      <c r="N200" s="15" t="s">
        <v>381</v>
      </c>
      <c r="O200" s="15">
        <v>0</v>
      </c>
      <c r="P200" s="16" t="s">
        <v>512</v>
      </c>
    </row>
    <row r="201" spans="3:16" ht="36.75" thickBot="1" x14ac:dyDescent="0.3">
      <c r="C201" s="5" t="s">
        <v>64</v>
      </c>
      <c r="D201" s="14">
        <v>194</v>
      </c>
      <c r="E201" s="15" t="s">
        <v>425</v>
      </c>
      <c r="F201" s="15" t="s">
        <v>712</v>
      </c>
      <c r="G201" s="15" t="s">
        <v>509</v>
      </c>
      <c r="H201" s="15" t="s">
        <v>398</v>
      </c>
      <c r="I201" s="15" t="s">
        <v>399</v>
      </c>
      <c r="J201" s="15" t="s">
        <v>516</v>
      </c>
      <c r="K201" s="15" t="s">
        <v>511</v>
      </c>
      <c r="L201" s="15" t="s">
        <v>267</v>
      </c>
      <c r="M201" s="15">
        <v>78779.5</v>
      </c>
      <c r="N201" s="15" t="s">
        <v>381</v>
      </c>
      <c r="O201" s="15">
        <v>0</v>
      </c>
      <c r="P201" s="16" t="s">
        <v>512</v>
      </c>
    </row>
    <row r="202" spans="3:16" ht="36.75" thickBot="1" x14ac:dyDescent="0.3">
      <c r="C202" s="5" t="s">
        <v>64</v>
      </c>
      <c r="D202" s="14">
        <v>195</v>
      </c>
      <c r="E202" s="15" t="s">
        <v>425</v>
      </c>
      <c r="F202" s="15" t="s">
        <v>713</v>
      </c>
      <c r="G202" s="15" t="s">
        <v>509</v>
      </c>
      <c r="H202" s="15" t="s">
        <v>398</v>
      </c>
      <c r="I202" s="15" t="s">
        <v>399</v>
      </c>
      <c r="J202" s="15" t="s">
        <v>516</v>
      </c>
      <c r="K202" s="15" t="s">
        <v>511</v>
      </c>
      <c r="L202" s="15" t="s">
        <v>267</v>
      </c>
      <c r="M202" s="15">
        <v>202854.49</v>
      </c>
      <c r="N202" s="15" t="s">
        <v>381</v>
      </c>
      <c r="O202" s="15">
        <v>0</v>
      </c>
      <c r="P202" s="16" t="s">
        <v>512</v>
      </c>
    </row>
    <row r="203" spans="3:16" ht="36.75" thickBot="1" x14ac:dyDescent="0.3">
      <c r="C203" s="5" t="s">
        <v>64</v>
      </c>
      <c r="D203" s="14">
        <v>196</v>
      </c>
      <c r="E203" s="15" t="s">
        <v>425</v>
      </c>
      <c r="F203" s="15" t="s">
        <v>714</v>
      </c>
      <c r="G203" s="15" t="s">
        <v>509</v>
      </c>
      <c r="H203" s="15" t="s">
        <v>398</v>
      </c>
      <c r="I203" s="15" t="s">
        <v>399</v>
      </c>
      <c r="J203" s="15" t="s">
        <v>516</v>
      </c>
      <c r="K203" s="15" t="s">
        <v>511</v>
      </c>
      <c r="L203" s="15" t="s">
        <v>267</v>
      </c>
      <c r="M203" s="15">
        <v>234971.63</v>
      </c>
      <c r="N203" s="15" t="s">
        <v>381</v>
      </c>
      <c r="O203" s="15">
        <v>0</v>
      </c>
      <c r="P203" s="16" t="s">
        <v>512</v>
      </c>
    </row>
    <row r="204" spans="3:16" ht="36.75" thickBot="1" x14ac:dyDescent="0.3">
      <c r="C204" s="5" t="s">
        <v>64</v>
      </c>
      <c r="D204" s="14">
        <v>197</v>
      </c>
      <c r="E204" s="15" t="s">
        <v>425</v>
      </c>
      <c r="F204" s="15" t="s">
        <v>715</v>
      </c>
      <c r="G204" s="15" t="s">
        <v>509</v>
      </c>
      <c r="H204" s="15" t="s">
        <v>398</v>
      </c>
      <c r="I204" s="15" t="s">
        <v>399</v>
      </c>
      <c r="J204" s="15" t="s">
        <v>516</v>
      </c>
      <c r="K204" s="15" t="s">
        <v>511</v>
      </c>
      <c r="L204" s="15" t="s">
        <v>267</v>
      </c>
      <c r="M204" s="15">
        <v>112755.52</v>
      </c>
      <c r="N204" s="15" t="s">
        <v>381</v>
      </c>
      <c r="O204" s="15">
        <v>0</v>
      </c>
      <c r="P204" s="16" t="s">
        <v>512</v>
      </c>
    </row>
    <row r="205" spans="3:16" ht="36.75" thickBot="1" x14ac:dyDescent="0.3">
      <c r="C205" s="5" t="s">
        <v>64</v>
      </c>
      <c r="D205" s="14">
        <v>198</v>
      </c>
      <c r="E205" s="15" t="s">
        <v>425</v>
      </c>
      <c r="F205" s="15" t="s">
        <v>716</v>
      </c>
      <c r="G205" s="15" t="s">
        <v>509</v>
      </c>
      <c r="H205" s="15" t="s">
        <v>398</v>
      </c>
      <c r="I205" s="15" t="s">
        <v>399</v>
      </c>
      <c r="J205" s="15" t="s">
        <v>516</v>
      </c>
      <c r="K205" s="15" t="s">
        <v>511</v>
      </c>
      <c r="L205" s="15" t="s">
        <v>267</v>
      </c>
      <c r="M205" s="15">
        <v>20000</v>
      </c>
      <c r="N205" s="15" t="s">
        <v>381</v>
      </c>
      <c r="O205" s="15">
        <v>0</v>
      </c>
      <c r="P205" s="16" t="s">
        <v>512</v>
      </c>
    </row>
    <row r="206" spans="3:16" ht="36.75" thickBot="1" x14ac:dyDescent="0.3">
      <c r="C206" s="5" t="s">
        <v>64</v>
      </c>
      <c r="D206" s="14">
        <v>199</v>
      </c>
      <c r="E206" s="15" t="s">
        <v>425</v>
      </c>
      <c r="F206" s="15" t="s">
        <v>717</v>
      </c>
      <c r="G206" s="15" t="s">
        <v>509</v>
      </c>
      <c r="H206" s="15" t="s">
        <v>398</v>
      </c>
      <c r="I206" s="15" t="s">
        <v>399</v>
      </c>
      <c r="J206" s="15" t="s">
        <v>516</v>
      </c>
      <c r="K206" s="15" t="s">
        <v>511</v>
      </c>
      <c r="L206" s="15" t="s">
        <v>267</v>
      </c>
      <c r="M206" s="15">
        <v>150000</v>
      </c>
      <c r="N206" s="15" t="s">
        <v>381</v>
      </c>
      <c r="O206" s="15">
        <v>0</v>
      </c>
      <c r="P206" s="16" t="s">
        <v>512</v>
      </c>
    </row>
    <row r="207" spans="3:16" ht="36.75" thickBot="1" x14ac:dyDescent="0.3">
      <c r="C207" s="5" t="s">
        <v>64</v>
      </c>
      <c r="D207" s="14">
        <v>200</v>
      </c>
      <c r="E207" s="15" t="s">
        <v>425</v>
      </c>
      <c r="F207" s="15" t="s">
        <v>718</v>
      </c>
      <c r="G207" s="15" t="s">
        <v>509</v>
      </c>
      <c r="H207" s="15" t="s">
        <v>398</v>
      </c>
      <c r="I207" s="15" t="s">
        <v>399</v>
      </c>
      <c r="J207" s="15" t="s">
        <v>516</v>
      </c>
      <c r="K207" s="15" t="s">
        <v>511</v>
      </c>
      <c r="L207" s="15" t="s">
        <v>267</v>
      </c>
      <c r="M207" s="15">
        <v>113917.2</v>
      </c>
      <c r="N207" s="15" t="s">
        <v>381</v>
      </c>
      <c r="O207" s="15">
        <v>0</v>
      </c>
      <c r="P207" s="16" t="s">
        <v>512</v>
      </c>
    </row>
    <row r="208" spans="3:16" ht="36.75" thickBot="1" x14ac:dyDescent="0.3">
      <c r="C208" s="5" t="s">
        <v>64</v>
      </c>
      <c r="D208" s="14">
        <v>201</v>
      </c>
      <c r="E208" s="15" t="s">
        <v>425</v>
      </c>
      <c r="F208" s="15" t="s">
        <v>719</v>
      </c>
      <c r="G208" s="15" t="s">
        <v>509</v>
      </c>
      <c r="H208" s="15" t="s">
        <v>398</v>
      </c>
      <c r="I208" s="15" t="s">
        <v>399</v>
      </c>
      <c r="J208" s="15" t="s">
        <v>516</v>
      </c>
      <c r="K208" s="15" t="s">
        <v>511</v>
      </c>
      <c r="L208" s="15" t="s">
        <v>267</v>
      </c>
      <c r="M208" s="15">
        <v>138082.79999999999</v>
      </c>
      <c r="N208" s="15" t="s">
        <v>381</v>
      </c>
      <c r="O208" s="15">
        <v>0</v>
      </c>
      <c r="P208" s="16" t="s">
        <v>512</v>
      </c>
    </row>
    <row r="209" spans="3:16" ht="36.75" thickBot="1" x14ac:dyDescent="0.3">
      <c r="C209" s="5" t="s">
        <v>64</v>
      </c>
      <c r="D209" s="14">
        <v>202</v>
      </c>
      <c r="E209" s="15" t="s">
        <v>425</v>
      </c>
      <c r="F209" s="15" t="s">
        <v>720</v>
      </c>
      <c r="G209" s="15" t="s">
        <v>509</v>
      </c>
      <c r="H209" s="15" t="s">
        <v>398</v>
      </c>
      <c r="I209" s="15" t="s">
        <v>399</v>
      </c>
      <c r="J209" s="15" t="s">
        <v>516</v>
      </c>
      <c r="K209" s="15" t="s">
        <v>511</v>
      </c>
      <c r="L209" s="15" t="s">
        <v>267</v>
      </c>
      <c r="M209" s="15">
        <v>96000</v>
      </c>
      <c r="N209" s="15" t="s">
        <v>381</v>
      </c>
      <c r="O209" s="15">
        <v>0</v>
      </c>
      <c r="P209" s="16" t="s">
        <v>512</v>
      </c>
    </row>
    <row r="210" spans="3:16" ht="36.75" thickBot="1" x14ac:dyDescent="0.3">
      <c r="C210" s="5" t="s">
        <v>64</v>
      </c>
      <c r="D210" s="14">
        <v>203</v>
      </c>
      <c r="E210" s="15" t="s">
        <v>425</v>
      </c>
      <c r="F210" s="15" t="s">
        <v>721</v>
      </c>
      <c r="G210" s="15" t="s">
        <v>509</v>
      </c>
      <c r="H210" s="15" t="s">
        <v>398</v>
      </c>
      <c r="I210" s="15" t="s">
        <v>399</v>
      </c>
      <c r="J210" s="15" t="s">
        <v>516</v>
      </c>
      <c r="K210" s="15" t="s">
        <v>511</v>
      </c>
      <c r="L210" s="15" t="s">
        <v>267</v>
      </c>
      <c r="M210" s="15">
        <v>86527.21</v>
      </c>
      <c r="N210" s="15" t="s">
        <v>381</v>
      </c>
      <c r="O210" s="15">
        <v>0</v>
      </c>
      <c r="P210" s="16" t="s">
        <v>512</v>
      </c>
    </row>
    <row r="211" spans="3:16" ht="36.75" thickBot="1" x14ac:dyDescent="0.3">
      <c r="C211" s="5" t="s">
        <v>64</v>
      </c>
      <c r="D211" s="14">
        <v>204</v>
      </c>
      <c r="E211" s="15" t="s">
        <v>425</v>
      </c>
      <c r="F211" s="15" t="s">
        <v>722</v>
      </c>
      <c r="G211" s="15" t="s">
        <v>509</v>
      </c>
      <c r="H211" s="15" t="s">
        <v>398</v>
      </c>
      <c r="I211" s="15" t="s">
        <v>399</v>
      </c>
      <c r="J211" s="15" t="s">
        <v>516</v>
      </c>
      <c r="K211" s="15" t="s">
        <v>511</v>
      </c>
      <c r="L211" s="15" t="s">
        <v>267</v>
      </c>
      <c r="M211" s="15">
        <v>49034.78</v>
      </c>
      <c r="N211" s="15" t="s">
        <v>381</v>
      </c>
      <c r="O211" s="15">
        <v>0</v>
      </c>
      <c r="P211" s="16" t="s">
        <v>512</v>
      </c>
    </row>
    <row r="212" spans="3:16" ht="36.75" thickBot="1" x14ac:dyDescent="0.3">
      <c r="C212" s="5" t="s">
        <v>64</v>
      </c>
      <c r="D212" s="14">
        <v>205</v>
      </c>
      <c r="E212" s="15" t="s">
        <v>425</v>
      </c>
      <c r="F212" s="15" t="s">
        <v>723</v>
      </c>
      <c r="G212" s="15" t="s">
        <v>509</v>
      </c>
      <c r="H212" s="15" t="s">
        <v>398</v>
      </c>
      <c r="I212" s="15" t="s">
        <v>399</v>
      </c>
      <c r="J212" s="15" t="s">
        <v>516</v>
      </c>
      <c r="K212" s="15" t="s">
        <v>511</v>
      </c>
      <c r="L212" s="15" t="s">
        <v>267</v>
      </c>
      <c r="M212" s="15">
        <v>1829</v>
      </c>
      <c r="N212" s="15" t="s">
        <v>381</v>
      </c>
      <c r="O212" s="15">
        <v>0</v>
      </c>
      <c r="P212" s="16" t="s">
        <v>512</v>
      </c>
    </row>
    <row r="213" spans="3:16" ht="36.75" thickBot="1" x14ac:dyDescent="0.3">
      <c r="C213" s="5" t="s">
        <v>64</v>
      </c>
      <c r="D213" s="14">
        <v>206</v>
      </c>
      <c r="E213" s="15" t="s">
        <v>425</v>
      </c>
      <c r="F213" s="15" t="s">
        <v>724</v>
      </c>
      <c r="G213" s="15" t="s">
        <v>509</v>
      </c>
      <c r="H213" s="15" t="s">
        <v>398</v>
      </c>
      <c r="I213" s="15" t="s">
        <v>399</v>
      </c>
      <c r="J213" s="15" t="s">
        <v>516</v>
      </c>
      <c r="K213" s="15" t="s">
        <v>511</v>
      </c>
      <c r="L213" s="15" t="s">
        <v>267</v>
      </c>
      <c r="M213" s="15">
        <v>50000</v>
      </c>
      <c r="N213" s="15" t="s">
        <v>381</v>
      </c>
      <c r="O213" s="15">
        <v>0</v>
      </c>
      <c r="P213" s="16" t="s">
        <v>512</v>
      </c>
    </row>
    <row r="214" spans="3:16" ht="36.75" thickBot="1" x14ac:dyDescent="0.3">
      <c r="C214" s="5" t="s">
        <v>64</v>
      </c>
      <c r="D214" s="14">
        <v>207</v>
      </c>
      <c r="E214" s="15" t="s">
        <v>425</v>
      </c>
      <c r="F214" s="15" t="s">
        <v>725</v>
      </c>
      <c r="G214" s="15" t="s">
        <v>509</v>
      </c>
      <c r="H214" s="15" t="s">
        <v>398</v>
      </c>
      <c r="I214" s="15" t="s">
        <v>399</v>
      </c>
      <c r="J214" s="15" t="s">
        <v>516</v>
      </c>
      <c r="K214" s="15" t="s">
        <v>511</v>
      </c>
      <c r="L214" s="15" t="s">
        <v>267</v>
      </c>
      <c r="M214" s="15">
        <v>40000</v>
      </c>
      <c r="N214" s="15" t="s">
        <v>381</v>
      </c>
      <c r="O214" s="15">
        <v>0</v>
      </c>
      <c r="P214" s="16" t="s">
        <v>512</v>
      </c>
    </row>
    <row r="215" spans="3:16" ht="36.75" thickBot="1" x14ac:dyDescent="0.3">
      <c r="C215" s="5" t="s">
        <v>64</v>
      </c>
      <c r="D215" s="14">
        <v>208</v>
      </c>
      <c r="E215" s="15" t="s">
        <v>425</v>
      </c>
      <c r="F215" s="15" t="s">
        <v>726</v>
      </c>
      <c r="G215" s="15" t="s">
        <v>509</v>
      </c>
      <c r="H215" s="15" t="s">
        <v>398</v>
      </c>
      <c r="I215" s="15" t="s">
        <v>399</v>
      </c>
      <c r="J215" s="15" t="s">
        <v>516</v>
      </c>
      <c r="K215" s="15" t="s">
        <v>511</v>
      </c>
      <c r="L215" s="15" t="s">
        <v>267</v>
      </c>
      <c r="M215" s="15">
        <v>30492.240000000002</v>
      </c>
      <c r="N215" s="15" t="s">
        <v>381</v>
      </c>
      <c r="O215" s="15">
        <v>0</v>
      </c>
      <c r="P215" s="16" t="s">
        <v>512</v>
      </c>
    </row>
    <row r="216" spans="3:16" ht="36.75" thickBot="1" x14ac:dyDescent="0.3">
      <c r="C216" s="5" t="s">
        <v>64</v>
      </c>
      <c r="D216" s="14">
        <v>209</v>
      </c>
      <c r="E216" s="15" t="s">
        <v>425</v>
      </c>
      <c r="F216" s="15" t="s">
        <v>727</v>
      </c>
      <c r="G216" s="15" t="s">
        <v>509</v>
      </c>
      <c r="H216" s="15" t="s">
        <v>398</v>
      </c>
      <c r="I216" s="15" t="s">
        <v>399</v>
      </c>
      <c r="J216" s="15" t="s">
        <v>516</v>
      </c>
      <c r="K216" s="15" t="s">
        <v>511</v>
      </c>
      <c r="L216" s="15" t="s">
        <v>267</v>
      </c>
      <c r="M216" s="15">
        <v>142500</v>
      </c>
      <c r="N216" s="15" t="s">
        <v>381</v>
      </c>
      <c r="O216" s="15">
        <v>0</v>
      </c>
      <c r="P216" s="16" t="s">
        <v>512</v>
      </c>
    </row>
    <row r="217" spans="3:16" ht="36.75" thickBot="1" x14ac:dyDescent="0.3">
      <c r="C217" s="5" t="s">
        <v>64</v>
      </c>
      <c r="D217" s="14">
        <v>210</v>
      </c>
      <c r="E217" s="15" t="s">
        <v>425</v>
      </c>
      <c r="F217" s="15" t="s">
        <v>728</v>
      </c>
      <c r="G217" s="15" t="s">
        <v>509</v>
      </c>
      <c r="H217" s="15" t="s">
        <v>398</v>
      </c>
      <c r="I217" s="15" t="s">
        <v>399</v>
      </c>
      <c r="J217" s="15" t="s">
        <v>516</v>
      </c>
      <c r="K217" s="15" t="s">
        <v>511</v>
      </c>
      <c r="L217" s="15" t="s">
        <v>267</v>
      </c>
      <c r="M217" s="15">
        <v>506039.28</v>
      </c>
      <c r="N217" s="15" t="s">
        <v>381</v>
      </c>
      <c r="O217" s="15">
        <v>0</v>
      </c>
      <c r="P217" s="16" t="s">
        <v>512</v>
      </c>
    </row>
    <row r="218" spans="3:16" ht="36.75" thickBot="1" x14ac:dyDescent="0.3">
      <c r="C218" s="5" t="s">
        <v>64</v>
      </c>
      <c r="D218" s="14">
        <v>211</v>
      </c>
      <c r="E218" s="15" t="s">
        <v>425</v>
      </c>
      <c r="F218" s="15" t="s">
        <v>729</v>
      </c>
      <c r="G218" s="15" t="s">
        <v>730</v>
      </c>
      <c r="H218" s="15" t="s">
        <v>731</v>
      </c>
      <c r="I218" s="15" t="s">
        <v>372</v>
      </c>
      <c r="J218" s="15" t="s">
        <v>516</v>
      </c>
      <c r="K218" s="15" t="s">
        <v>511</v>
      </c>
      <c r="L218" s="15" t="s">
        <v>267</v>
      </c>
      <c r="M218" s="15">
        <v>429084.66154100001</v>
      </c>
      <c r="N218" s="15" t="s">
        <v>381</v>
      </c>
      <c r="O218" s="15">
        <v>0</v>
      </c>
      <c r="P218" s="16" t="s">
        <v>512</v>
      </c>
    </row>
    <row r="219" spans="3:16" ht="36.75" thickBot="1" x14ac:dyDescent="0.3">
      <c r="C219" s="5" t="s">
        <v>64</v>
      </c>
      <c r="D219" s="14">
        <v>212</v>
      </c>
      <c r="E219" s="15" t="s">
        <v>425</v>
      </c>
      <c r="F219" s="15" t="s">
        <v>732</v>
      </c>
      <c r="G219" s="15" t="s">
        <v>733</v>
      </c>
      <c r="H219" s="15" t="s">
        <v>734</v>
      </c>
      <c r="I219" s="15" t="s">
        <v>372</v>
      </c>
      <c r="J219" s="15" t="s">
        <v>516</v>
      </c>
      <c r="K219" s="15" t="s">
        <v>511</v>
      </c>
      <c r="L219" s="15" t="s">
        <v>267</v>
      </c>
      <c r="M219" s="15">
        <v>1937500</v>
      </c>
      <c r="N219" s="15" t="s">
        <v>381</v>
      </c>
      <c r="O219" s="15">
        <v>0</v>
      </c>
      <c r="P219" s="16" t="s">
        <v>512</v>
      </c>
    </row>
    <row r="220" spans="3:16" ht="36.75" thickBot="1" x14ac:dyDescent="0.3">
      <c r="C220" s="5" t="s">
        <v>64</v>
      </c>
      <c r="D220" s="14">
        <v>213</v>
      </c>
      <c r="E220" s="15" t="s">
        <v>425</v>
      </c>
      <c r="F220" s="15" t="s">
        <v>735</v>
      </c>
      <c r="G220" s="15" t="s">
        <v>733</v>
      </c>
      <c r="H220" s="15" t="s">
        <v>734</v>
      </c>
      <c r="I220" s="15" t="s">
        <v>372</v>
      </c>
      <c r="J220" s="15" t="s">
        <v>516</v>
      </c>
      <c r="K220" s="15" t="s">
        <v>511</v>
      </c>
      <c r="L220" s="15" t="s">
        <v>267</v>
      </c>
      <c r="M220" s="15">
        <v>500000</v>
      </c>
      <c r="N220" s="15" t="s">
        <v>381</v>
      </c>
      <c r="O220" s="15">
        <v>0</v>
      </c>
      <c r="P220" s="16" t="s">
        <v>512</v>
      </c>
    </row>
    <row r="221" spans="3:16" ht="36.75" thickBot="1" x14ac:dyDescent="0.3">
      <c r="C221" s="5" t="s">
        <v>64</v>
      </c>
      <c r="D221" s="14">
        <v>214</v>
      </c>
      <c r="E221" s="15" t="s">
        <v>425</v>
      </c>
      <c r="F221" s="15" t="s">
        <v>736</v>
      </c>
      <c r="G221" s="15" t="s">
        <v>733</v>
      </c>
      <c r="H221" s="15" t="s">
        <v>734</v>
      </c>
      <c r="I221" s="15" t="s">
        <v>372</v>
      </c>
      <c r="J221" s="15" t="s">
        <v>516</v>
      </c>
      <c r="K221" s="15" t="s">
        <v>511</v>
      </c>
      <c r="L221" s="15" t="s">
        <v>267</v>
      </c>
      <c r="M221" s="15">
        <v>990000</v>
      </c>
      <c r="N221" s="15" t="s">
        <v>381</v>
      </c>
      <c r="O221" s="15">
        <v>0</v>
      </c>
      <c r="P221" s="16" t="s">
        <v>512</v>
      </c>
    </row>
    <row r="222" spans="3:16" ht="36.75" thickBot="1" x14ac:dyDescent="0.3">
      <c r="C222" s="5" t="s">
        <v>64</v>
      </c>
      <c r="D222" s="14">
        <v>215</v>
      </c>
      <c r="E222" s="15" t="s">
        <v>425</v>
      </c>
      <c r="F222" s="15" t="s">
        <v>737</v>
      </c>
      <c r="G222" s="15" t="s">
        <v>733</v>
      </c>
      <c r="H222" s="15" t="s">
        <v>734</v>
      </c>
      <c r="I222" s="15" t="s">
        <v>372</v>
      </c>
      <c r="J222" s="15" t="s">
        <v>516</v>
      </c>
      <c r="K222" s="15" t="s">
        <v>511</v>
      </c>
      <c r="L222" s="15" t="s">
        <v>267</v>
      </c>
      <c r="M222" s="15">
        <v>2200000</v>
      </c>
      <c r="N222" s="15" t="s">
        <v>381</v>
      </c>
      <c r="O222" s="15">
        <v>0</v>
      </c>
      <c r="P222" s="16" t="s">
        <v>512</v>
      </c>
    </row>
    <row r="223" spans="3:16" ht="36.75" thickBot="1" x14ac:dyDescent="0.3">
      <c r="C223" s="5" t="s">
        <v>64</v>
      </c>
      <c r="D223" s="14">
        <v>216</v>
      </c>
      <c r="E223" s="15" t="s">
        <v>425</v>
      </c>
      <c r="F223" s="15" t="s">
        <v>738</v>
      </c>
      <c r="G223" s="15" t="s">
        <v>733</v>
      </c>
      <c r="H223" s="15" t="s">
        <v>734</v>
      </c>
      <c r="I223" s="15" t="s">
        <v>372</v>
      </c>
      <c r="J223" s="15" t="s">
        <v>516</v>
      </c>
      <c r="K223" s="15" t="s">
        <v>511</v>
      </c>
      <c r="L223" s="15" t="s">
        <v>267</v>
      </c>
      <c r="M223" s="15">
        <v>1695760</v>
      </c>
      <c r="N223" s="15" t="s">
        <v>381</v>
      </c>
      <c r="O223" s="15">
        <v>0</v>
      </c>
      <c r="P223" s="16" t="s">
        <v>512</v>
      </c>
    </row>
    <row r="224" spans="3:16" ht="36.75" thickBot="1" x14ac:dyDescent="0.3">
      <c r="C224" s="5" t="s">
        <v>64</v>
      </c>
      <c r="D224" s="14">
        <v>217</v>
      </c>
      <c r="E224" s="15" t="s">
        <v>425</v>
      </c>
      <c r="F224" s="15" t="s">
        <v>739</v>
      </c>
      <c r="G224" s="15" t="s">
        <v>733</v>
      </c>
      <c r="H224" s="15" t="s">
        <v>734</v>
      </c>
      <c r="I224" s="15" t="s">
        <v>372</v>
      </c>
      <c r="J224" s="15" t="s">
        <v>516</v>
      </c>
      <c r="K224" s="15" t="s">
        <v>511</v>
      </c>
      <c r="L224" s="15" t="s">
        <v>267</v>
      </c>
      <c r="M224" s="15">
        <v>3540000</v>
      </c>
      <c r="N224" s="15" t="s">
        <v>381</v>
      </c>
      <c r="O224" s="15">
        <v>0</v>
      </c>
      <c r="P224" s="16" t="s">
        <v>512</v>
      </c>
    </row>
    <row r="225" spans="3:16" ht="36.75" thickBot="1" x14ac:dyDescent="0.3">
      <c r="C225" s="5" t="s">
        <v>64</v>
      </c>
      <c r="D225" s="14">
        <v>218</v>
      </c>
      <c r="E225" s="15" t="s">
        <v>425</v>
      </c>
      <c r="F225" s="15" t="s">
        <v>740</v>
      </c>
      <c r="G225" s="15" t="s">
        <v>733</v>
      </c>
      <c r="H225" s="15" t="s">
        <v>734</v>
      </c>
      <c r="I225" s="15" t="s">
        <v>372</v>
      </c>
      <c r="J225" s="15" t="s">
        <v>516</v>
      </c>
      <c r="K225" s="15" t="s">
        <v>511</v>
      </c>
      <c r="L225" s="15" t="s">
        <v>267</v>
      </c>
      <c r="M225" s="15">
        <v>2200000</v>
      </c>
      <c r="N225" s="15" t="s">
        <v>381</v>
      </c>
      <c r="O225" s="15">
        <v>0</v>
      </c>
      <c r="P225" s="16" t="s">
        <v>512</v>
      </c>
    </row>
    <row r="226" spans="3:16" ht="36.75" thickBot="1" x14ac:dyDescent="0.3">
      <c r="C226" s="5" t="s">
        <v>64</v>
      </c>
      <c r="D226" s="14">
        <v>219</v>
      </c>
      <c r="E226" s="15" t="s">
        <v>425</v>
      </c>
      <c r="F226" s="15" t="s">
        <v>741</v>
      </c>
      <c r="G226" s="15" t="s">
        <v>733</v>
      </c>
      <c r="H226" s="15" t="s">
        <v>734</v>
      </c>
      <c r="I226" s="15" t="s">
        <v>372</v>
      </c>
      <c r="J226" s="15" t="s">
        <v>516</v>
      </c>
      <c r="K226" s="15" t="s">
        <v>511</v>
      </c>
      <c r="L226" s="15" t="s">
        <v>267</v>
      </c>
      <c r="M226" s="15">
        <v>2200000</v>
      </c>
      <c r="N226" s="15" t="s">
        <v>381</v>
      </c>
      <c r="O226" s="15">
        <v>0</v>
      </c>
      <c r="P226" s="16" t="s">
        <v>512</v>
      </c>
    </row>
    <row r="227" spans="3:16" ht="36.75" thickBot="1" x14ac:dyDescent="0.3">
      <c r="C227" s="5" t="s">
        <v>64</v>
      </c>
      <c r="D227" s="14">
        <v>220</v>
      </c>
      <c r="E227" s="15" t="s">
        <v>425</v>
      </c>
      <c r="F227" s="15" t="s">
        <v>742</v>
      </c>
      <c r="G227" s="15" t="s">
        <v>733</v>
      </c>
      <c r="H227" s="15" t="s">
        <v>734</v>
      </c>
      <c r="I227" s="15" t="s">
        <v>372</v>
      </c>
      <c r="J227" s="15" t="s">
        <v>516</v>
      </c>
      <c r="K227" s="15" t="s">
        <v>511</v>
      </c>
      <c r="L227" s="15" t="s">
        <v>267</v>
      </c>
      <c r="M227" s="15">
        <v>1000000</v>
      </c>
      <c r="N227" s="15" t="s">
        <v>381</v>
      </c>
      <c r="O227" s="15">
        <v>0</v>
      </c>
      <c r="P227" s="16" t="s">
        <v>512</v>
      </c>
    </row>
    <row r="228" spans="3:16" ht="36.75" thickBot="1" x14ac:dyDescent="0.3">
      <c r="C228" s="5" t="s">
        <v>64</v>
      </c>
      <c r="D228" s="14">
        <v>221</v>
      </c>
      <c r="E228" s="15" t="s">
        <v>425</v>
      </c>
      <c r="F228" s="15" t="s">
        <v>743</v>
      </c>
      <c r="G228" s="15" t="s">
        <v>733</v>
      </c>
      <c r="H228" s="15" t="s">
        <v>734</v>
      </c>
      <c r="I228" s="15" t="s">
        <v>372</v>
      </c>
      <c r="J228" s="15" t="s">
        <v>516</v>
      </c>
      <c r="K228" s="15" t="s">
        <v>511</v>
      </c>
      <c r="L228" s="15" t="s">
        <v>267</v>
      </c>
      <c r="M228" s="15">
        <v>12784.45</v>
      </c>
      <c r="N228" s="15" t="s">
        <v>381</v>
      </c>
      <c r="O228" s="15">
        <v>0</v>
      </c>
      <c r="P228" s="16" t="s">
        <v>512</v>
      </c>
    </row>
    <row r="229" spans="3:16" ht="36.75" thickBot="1" x14ac:dyDescent="0.3">
      <c r="C229" s="5" t="s">
        <v>64</v>
      </c>
      <c r="D229" s="14">
        <v>222</v>
      </c>
      <c r="E229" s="15" t="s">
        <v>425</v>
      </c>
      <c r="F229" s="15" t="s">
        <v>744</v>
      </c>
      <c r="G229" s="15" t="s">
        <v>733</v>
      </c>
      <c r="H229" s="15" t="s">
        <v>734</v>
      </c>
      <c r="I229" s="15" t="s">
        <v>372</v>
      </c>
      <c r="J229" s="15" t="s">
        <v>516</v>
      </c>
      <c r="K229" s="15" t="s">
        <v>511</v>
      </c>
      <c r="L229" s="15" t="s">
        <v>267</v>
      </c>
      <c r="M229" s="15">
        <v>129495</v>
      </c>
      <c r="N229" s="15" t="s">
        <v>381</v>
      </c>
      <c r="O229" s="15">
        <v>0</v>
      </c>
      <c r="P229" s="16" t="s">
        <v>512</v>
      </c>
    </row>
    <row r="230" spans="3:16" ht="36.75" thickBot="1" x14ac:dyDescent="0.3">
      <c r="C230" s="5" t="s">
        <v>64</v>
      </c>
      <c r="D230" s="14">
        <v>223</v>
      </c>
      <c r="E230" s="15" t="s">
        <v>425</v>
      </c>
      <c r="F230" s="15" t="s">
        <v>745</v>
      </c>
      <c r="G230" s="15" t="s">
        <v>733</v>
      </c>
      <c r="H230" s="15" t="s">
        <v>734</v>
      </c>
      <c r="I230" s="15" t="s">
        <v>372</v>
      </c>
      <c r="J230" s="15" t="s">
        <v>516</v>
      </c>
      <c r="K230" s="15" t="s">
        <v>511</v>
      </c>
      <c r="L230" s="15" t="s">
        <v>267</v>
      </c>
      <c r="M230" s="15">
        <v>348378.1</v>
      </c>
      <c r="N230" s="15" t="s">
        <v>381</v>
      </c>
      <c r="O230" s="15">
        <v>0</v>
      </c>
      <c r="P230" s="16" t="s">
        <v>512</v>
      </c>
    </row>
    <row r="231" spans="3:16" ht="36.75" thickBot="1" x14ac:dyDescent="0.3">
      <c r="C231" s="5" t="s">
        <v>64</v>
      </c>
      <c r="D231" s="14">
        <v>224</v>
      </c>
      <c r="E231" s="15" t="s">
        <v>425</v>
      </c>
      <c r="F231" s="15" t="s">
        <v>746</v>
      </c>
      <c r="G231" s="15" t="s">
        <v>733</v>
      </c>
      <c r="H231" s="15" t="s">
        <v>734</v>
      </c>
      <c r="I231" s="15" t="s">
        <v>372</v>
      </c>
      <c r="J231" s="15" t="s">
        <v>516</v>
      </c>
      <c r="K231" s="15" t="s">
        <v>511</v>
      </c>
      <c r="L231" s="15" t="s">
        <v>267</v>
      </c>
      <c r="M231" s="15">
        <v>82850.7</v>
      </c>
      <c r="N231" s="15" t="s">
        <v>381</v>
      </c>
      <c r="O231" s="15">
        <v>0</v>
      </c>
      <c r="P231" s="16" t="s">
        <v>512</v>
      </c>
    </row>
    <row r="232" spans="3:16" ht="36.75" thickBot="1" x14ac:dyDescent="0.3">
      <c r="C232" s="5" t="s">
        <v>64</v>
      </c>
      <c r="D232" s="14">
        <v>225</v>
      </c>
      <c r="E232" s="15" t="s">
        <v>425</v>
      </c>
      <c r="F232" s="15" t="s">
        <v>747</v>
      </c>
      <c r="G232" s="15" t="s">
        <v>748</v>
      </c>
      <c r="H232" s="15" t="s">
        <v>371</v>
      </c>
      <c r="I232" s="15" t="s">
        <v>372</v>
      </c>
      <c r="J232" s="15" t="s">
        <v>516</v>
      </c>
      <c r="K232" s="15" t="s">
        <v>511</v>
      </c>
      <c r="L232" s="15" t="s">
        <v>267</v>
      </c>
      <c r="M232" s="15">
        <v>836960</v>
      </c>
      <c r="N232" s="15" t="s">
        <v>381</v>
      </c>
      <c r="O232" s="15">
        <v>0</v>
      </c>
      <c r="P232" s="16" t="s">
        <v>512</v>
      </c>
    </row>
    <row r="233" spans="3:16" ht="36.75" thickBot="1" x14ac:dyDescent="0.3">
      <c r="C233" s="5" t="s">
        <v>64</v>
      </c>
      <c r="D233" s="14">
        <v>226</v>
      </c>
      <c r="E233" s="15" t="s">
        <v>425</v>
      </c>
      <c r="F233" s="15" t="s">
        <v>749</v>
      </c>
      <c r="G233" s="15" t="s">
        <v>748</v>
      </c>
      <c r="H233" s="15" t="s">
        <v>371</v>
      </c>
      <c r="I233" s="15" t="s">
        <v>372</v>
      </c>
      <c r="J233" s="15" t="s">
        <v>516</v>
      </c>
      <c r="K233" s="15" t="s">
        <v>511</v>
      </c>
      <c r="L233" s="15" t="s">
        <v>267</v>
      </c>
      <c r="M233" s="15">
        <v>625360</v>
      </c>
      <c r="N233" s="15" t="s">
        <v>381</v>
      </c>
      <c r="O233" s="15">
        <v>0</v>
      </c>
      <c r="P233" s="16" t="s">
        <v>512</v>
      </c>
    </row>
    <row r="234" spans="3:16" ht="36.75" thickBot="1" x14ac:dyDescent="0.3">
      <c r="C234" s="5" t="s">
        <v>64</v>
      </c>
      <c r="D234" s="14">
        <v>227</v>
      </c>
      <c r="E234" s="15" t="s">
        <v>425</v>
      </c>
      <c r="F234" s="15" t="s">
        <v>750</v>
      </c>
      <c r="G234" s="15" t="s">
        <v>748</v>
      </c>
      <c r="H234" s="15" t="s">
        <v>371</v>
      </c>
      <c r="I234" s="15" t="s">
        <v>372</v>
      </c>
      <c r="J234" s="15" t="s">
        <v>516</v>
      </c>
      <c r="K234" s="15" t="s">
        <v>511</v>
      </c>
      <c r="L234" s="15" t="s">
        <v>267</v>
      </c>
      <c r="M234" s="15">
        <v>598400</v>
      </c>
      <c r="N234" s="15" t="s">
        <v>381</v>
      </c>
      <c r="O234" s="15">
        <v>0</v>
      </c>
      <c r="P234" s="16" t="s">
        <v>512</v>
      </c>
    </row>
    <row r="235" spans="3:16" ht="36.75" thickBot="1" x14ac:dyDescent="0.3">
      <c r="C235" s="5" t="s">
        <v>64</v>
      </c>
      <c r="D235" s="14">
        <v>228</v>
      </c>
      <c r="E235" s="15" t="s">
        <v>425</v>
      </c>
      <c r="F235" s="15" t="s">
        <v>751</v>
      </c>
      <c r="G235" s="15" t="s">
        <v>748</v>
      </c>
      <c r="H235" s="15" t="s">
        <v>371</v>
      </c>
      <c r="I235" s="15" t="s">
        <v>372</v>
      </c>
      <c r="J235" s="15" t="s">
        <v>516</v>
      </c>
      <c r="K235" s="15" t="s">
        <v>511</v>
      </c>
      <c r="L235" s="15" t="s">
        <v>267</v>
      </c>
      <c r="M235" s="15">
        <v>3319696.15</v>
      </c>
      <c r="N235" s="15" t="s">
        <v>381</v>
      </c>
      <c r="O235" s="15">
        <v>0</v>
      </c>
      <c r="P235" s="16" t="s">
        <v>512</v>
      </c>
    </row>
    <row r="236" spans="3:16" ht="36.75" thickBot="1" x14ac:dyDescent="0.3">
      <c r="C236" s="5" t="s">
        <v>64</v>
      </c>
      <c r="D236" s="14">
        <v>229</v>
      </c>
      <c r="E236" s="15" t="s">
        <v>425</v>
      </c>
      <c r="F236" s="15" t="s">
        <v>752</v>
      </c>
      <c r="G236" s="15" t="s">
        <v>748</v>
      </c>
      <c r="H236" s="15" t="s">
        <v>371</v>
      </c>
      <c r="I236" s="15" t="s">
        <v>372</v>
      </c>
      <c r="J236" s="15" t="s">
        <v>516</v>
      </c>
      <c r="K236" s="15" t="s">
        <v>511</v>
      </c>
      <c r="L236" s="15" t="s">
        <v>267</v>
      </c>
      <c r="M236" s="15">
        <v>1021060</v>
      </c>
      <c r="N236" s="15" t="s">
        <v>381</v>
      </c>
      <c r="O236" s="15">
        <v>0</v>
      </c>
      <c r="P236" s="16" t="s">
        <v>512</v>
      </c>
    </row>
    <row r="237" spans="3:16" ht="36.75" thickBot="1" x14ac:dyDescent="0.3">
      <c r="C237" s="5" t="s">
        <v>64</v>
      </c>
      <c r="D237" s="14">
        <v>230</v>
      </c>
      <c r="E237" s="15" t="s">
        <v>425</v>
      </c>
      <c r="F237" s="15" t="s">
        <v>753</v>
      </c>
      <c r="G237" s="15" t="s">
        <v>748</v>
      </c>
      <c r="H237" s="15" t="s">
        <v>371</v>
      </c>
      <c r="I237" s="15" t="s">
        <v>372</v>
      </c>
      <c r="J237" s="15" t="s">
        <v>516</v>
      </c>
      <c r="K237" s="15" t="s">
        <v>511</v>
      </c>
      <c r="L237" s="15" t="s">
        <v>267</v>
      </c>
      <c r="M237" s="15">
        <v>988160</v>
      </c>
      <c r="N237" s="15" t="s">
        <v>381</v>
      </c>
      <c r="O237" s="15">
        <v>0</v>
      </c>
      <c r="P237" s="16" t="s">
        <v>512</v>
      </c>
    </row>
    <row r="238" spans="3:16" ht="36.75" thickBot="1" x14ac:dyDescent="0.3">
      <c r="C238" s="5" t="s">
        <v>64</v>
      </c>
      <c r="D238" s="14">
        <v>231</v>
      </c>
      <c r="E238" s="15" t="s">
        <v>425</v>
      </c>
      <c r="F238" s="15" t="s">
        <v>754</v>
      </c>
      <c r="G238" s="15" t="s">
        <v>748</v>
      </c>
      <c r="H238" s="15" t="s">
        <v>371</v>
      </c>
      <c r="I238" s="15" t="s">
        <v>372</v>
      </c>
      <c r="J238" s="15" t="s">
        <v>516</v>
      </c>
      <c r="K238" s="15" t="s">
        <v>511</v>
      </c>
      <c r="L238" s="15" t="s">
        <v>267</v>
      </c>
      <c r="M238" s="15">
        <v>330640</v>
      </c>
      <c r="N238" s="15" t="s">
        <v>381</v>
      </c>
      <c r="O238" s="15">
        <v>0</v>
      </c>
      <c r="P238" s="16" t="s">
        <v>512</v>
      </c>
    </row>
    <row r="239" spans="3:16" ht="36.75" thickBot="1" x14ac:dyDescent="0.3">
      <c r="C239" s="5" t="s">
        <v>64</v>
      </c>
      <c r="D239" s="14">
        <v>232</v>
      </c>
      <c r="E239" s="15" t="s">
        <v>425</v>
      </c>
      <c r="F239" s="15" t="s">
        <v>755</v>
      </c>
      <c r="G239" s="15" t="s">
        <v>748</v>
      </c>
      <c r="H239" s="15" t="s">
        <v>371</v>
      </c>
      <c r="I239" s="15" t="s">
        <v>372</v>
      </c>
      <c r="J239" s="15" t="s">
        <v>516</v>
      </c>
      <c r="K239" s="15" t="s">
        <v>511</v>
      </c>
      <c r="L239" s="15" t="s">
        <v>267</v>
      </c>
      <c r="M239" s="15">
        <v>1011960</v>
      </c>
      <c r="N239" s="15" t="s">
        <v>381</v>
      </c>
      <c r="O239" s="15">
        <v>0</v>
      </c>
      <c r="P239" s="16" t="s">
        <v>512</v>
      </c>
    </row>
    <row r="240" spans="3:16" ht="36.75" thickBot="1" x14ac:dyDescent="0.3">
      <c r="C240" s="5" t="s">
        <v>64</v>
      </c>
      <c r="D240" s="14">
        <v>233</v>
      </c>
      <c r="E240" s="15" t="s">
        <v>425</v>
      </c>
      <c r="F240" s="15" t="s">
        <v>756</v>
      </c>
      <c r="G240" s="15" t="s">
        <v>748</v>
      </c>
      <c r="H240" s="15" t="s">
        <v>371</v>
      </c>
      <c r="I240" s="15" t="s">
        <v>372</v>
      </c>
      <c r="J240" s="15" t="s">
        <v>516</v>
      </c>
      <c r="K240" s="15" t="s">
        <v>511</v>
      </c>
      <c r="L240" s="15" t="s">
        <v>267</v>
      </c>
      <c r="M240" s="15">
        <v>1829436.3</v>
      </c>
      <c r="N240" s="15" t="s">
        <v>381</v>
      </c>
      <c r="O240" s="15">
        <v>0</v>
      </c>
      <c r="P240" s="16" t="s">
        <v>512</v>
      </c>
    </row>
    <row r="241" spans="3:16" ht="36.75" thickBot="1" x14ac:dyDescent="0.3">
      <c r="C241" s="5" t="s">
        <v>64</v>
      </c>
      <c r="D241" s="14">
        <v>234</v>
      </c>
      <c r="E241" s="15" t="s">
        <v>425</v>
      </c>
      <c r="F241" s="15" t="s">
        <v>757</v>
      </c>
      <c r="G241" s="15" t="s">
        <v>748</v>
      </c>
      <c r="H241" s="15" t="s">
        <v>371</v>
      </c>
      <c r="I241" s="15" t="s">
        <v>372</v>
      </c>
      <c r="J241" s="15" t="s">
        <v>516</v>
      </c>
      <c r="K241" s="15" t="s">
        <v>511</v>
      </c>
      <c r="L241" s="15" t="s">
        <v>267</v>
      </c>
      <c r="M241" s="15">
        <v>4010029.83</v>
      </c>
      <c r="N241" s="15" t="s">
        <v>381</v>
      </c>
      <c r="O241" s="15">
        <v>0</v>
      </c>
      <c r="P241" s="16" t="s">
        <v>512</v>
      </c>
    </row>
    <row r="242" spans="3:16" ht="36.75" thickBot="1" x14ac:dyDescent="0.3">
      <c r="C242" s="5" t="s">
        <v>64</v>
      </c>
      <c r="D242" s="14">
        <v>235</v>
      </c>
      <c r="E242" s="15" t="s">
        <v>425</v>
      </c>
      <c r="F242" s="15" t="s">
        <v>758</v>
      </c>
      <c r="G242" s="15" t="s">
        <v>748</v>
      </c>
      <c r="H242" s="15" t="s">
        <v>371</v>
      </c>
      <c r="I242" s="15" t="s">
        <v>372</v>
      </c>
      <c r="J242" s="15" t="s">
        <v>516</v>
      </c>
      <c r="K242" s="15" t="s">
        <v>511</v>
      </c>
      <c r="L242" s="15" t="s">
        <v>267</v>
      </c>
      <c r="M242" s="15">
        <v>1414613.7</v>
      </c>
      <c r="N242" s="15" t="s">
        <v>381</v>
      </c>
      <c r="O242" s="15">
        <v>0</v>
      </c>
      <c r="P242" s="16" t="s">
        <v>512</v>
      </c>
    </row>
    <row r="243" spans="3:16" ht="36.75" thickBot="1" x14ac:dyDescent="0.3">
      <c r="C243" s="5" t="s">
        <v>64</v>
      </c>
      <c r="D243" s="14">
        <v>236</v>
      </c>
      <c r="E243" s="15" t="s">
        <v>425</v>
      </c>
      <c r="F243" s="15" t="s">
        <v>759</v>
      </c>
      <c r="G243" s="15" t="s">
        <v>748</v>
      </c>
      <c r="H243" s="15" t="s">
        <v>371</v>
      </c>
      <c r="I243" s="15" t="s">
        <v>372</v>
      </c>
      <c r="J243" s="15" t="s">
        <v>516</v>
      </c>
      <c r="K243" s="15" t="s">
        <v>511</v>
      </c>
      <c r="L243" s="15" t="s">
        <v>267</v>
      </c>
      <c r="M243" s="15">
        <v>1676940</v>
      </c>
      <c r="N243" s="15" t="s">
        <v>381</v>
      </c>
      <c r="O243" s="15">
        <v>0</v>
      </c>
      <c r="P243" s="16" t="s">
        <v>512</v>
      </c>
    </row>
    <row r="244" spans="3:16" ht="36.75" thickBot="1" x14ac:dyDescent="0.3">
      <c r="C244" s="5" t="s">
        <v>64</v>
      </c>
      <c r="D244" s="14">
        <v>237</v>
      </c>
      <c r="E244" s="15" t="s">
        <v>425</v>
      </c>
      <c r="F244" s="15" t="s">
        <v>760</v>
      </c>
      <c r="G244" s="15" t="s">
        <v>748</v>
      </c>
      <c r="H244" s="15" t="s">
        <v>371</v>
      </c>
      <c r="I244" s="15" t="s">
        <v>372</v>
      </c>
      <c r="J244" s="15" t="s">
        <v>516</v>
      </c>
      <c r="K244" s="15" t="s">
        <v>511</v>
      </c>
      <c r="L244" s="15" t="s">
        <v>267</v>
      </c>
      <c r="M244" s="15">
        <v>469057.4</v>
      </c>
      <c r="N244" s="15" t="s">
        <v>381</v>
      </c>
      <c r="O244" s="15">
        <v>0</v>
      </c>
      <c r="P244" s="16" t="s">
        <v>512</v>
      </c>
    </row>
    <row r="245" spans="3:16" ht="36.75" thickBot="1" x14ac:dyDescent="0.3">
      <c r="C245" s="5" t="s">
        <v>64</v>
      </c>
      <c r="D245" s="14">
        <v>238</v>
      </c>
      <c r="E245" s="15" t="s">
        <v>425</v>
      </c>
      <c r="F245" s="15" t="s">
        <v>761</v>
      </c>
      <c r="G245" s="15" t="s">
        <v>748</v>
      </c>
      <c r="H245" s="15" t="s">
        <v>371</v>
      </c>
      <c r="I245" s="15" t="s">
        <v>372</v>
      </c>
      <c r="J245" s="15" t="s">
        <v>516</v>
      </c>
      <c r="K245" s="15" t="s">
        <v>511</v>
      </c>
      <c r="L245" s="15" t="s">
        <v>267</v>
      </c>
      <c r="M245" s="15">
        <v>58050</v>
      </c>
      <c r="N245" s="15" t="s">
        <v>381</v>
      </c>
      <c r="O245" s="15">
        <v>0</v>
      </c>
      <c r="P245" s="16" t="s">
        <v>512</v>
      </c>
    </row>
    <row r="246" spans="3:16" ht="36.75" thickBot="1" x14ac:dyDescent="0.3">
      <c r="C246" s="5" t="s">
        <v>64</v>
      </c>
      <c r="D246" s="14">
        <v>239</v>
      </c>
      <c r="E246" s="15" t="s">
        <v>425</v>
      </c>
      <c r="F246" s="15" t="s">
        <v>762</v>
      </c>
      <c r="G246" s="15" t="s">
        <v>748</v>
      </c>
      <c r="H246" s="15" t="s">
        <v>371</v>
      </c>
      <c r="I246" s="15" t="s">
        <v>372</v>
      </c>
      <c r="J246" s="15" t="s">
        <v>516</v>
      </c>
      <c r="K246" s="15" t="s">
        <v>511</v>
      </c>
      <c r="L246" s="15" t="s">
        <v>267</v>
      </c>
      <c r="M246" s="15">
        <v>1274010.46</v>
      </c>
      <c r="N246" s="15" t="s">
        <v>381</v>
      </c>
      <c r="O246" s="15">
        <v>0</v>
      </c>
      <c r="P246" s="16" t="s">
        <v>512</v>
      </c>
    </row>
    <row r="247" spans="3:16" ht="36.75" thickBot="1" x14ac:dyDescent="0.3">
      <c r="C247" s="5" t="s">
        <v>64</v>
      </c>
      <c r="D247" s="14">
        <v>240</v>
      </c>
      <c r="E247" s="15" t="s">
        <v>425</v>
      </c>
      <c r="F247" s="15" t="s">
        <v>763</v>
      </c>
      <c r="G247" s="15" t="s">
        <v>748</v>
      </c>
      <c r="H247" s="15" t="s">
        <v>371</v>
      </c>
      <c r="I247" s="15" t="s">
        <v>372</v>
      </c>
      <c r="J247" s="15" t="s">
        <v>516</v>
      </c>
      <c r="K247" s="15" t="s">
        <v>511</v>
      </c>
      <c r="L247" s="15" t="s">
        <v>267</v>
      </c>
      <c r="M247" s="15">
        <v>1902712.5</v>
      </c>
      <c r="N247" s="15" t="s">
        <v>381</v>
      </c>
      <c r="O247" s="15">
        <v>0</v>
      </c>
      <c r="P247" s="16" t="s">
        <v>512</v>
      </c>
    </row>
    <row r="248" spans="3:16" ht="36.75" thickBot="1" x14ac:dyDescent="0.3">
      <c r="C248" s="5" t="s">
        <v>64</v>
      </c>
      <c r="D248" s="14">
        <v>241</v>
      </c>
      <c r="E248" s="15" t="s">
        <v>425</v>
      </c>
      <c r="F248" s="15" t="s">
        <v>764</v>
      </c>
      <c r="G248" s="15" t="s">
        <v>748</v>
      </c>
      <c r="H248" s="15" t="s">
        <v>371</v>
      </c>
      <c r="I248" s="15" t="s">
        <v>372</v>
      </c>
      <c r="J248" s="15" t="s">
        <v>516</v>
      </c>
      <c r="K248" s="15" t="s">
        <v>511</v>
      </c>
      <c r="L248" s="15" t="s">
        <v>267</v>
      </c>
      <c r="M248" s="15">
        <v>123680</v>
      </c>
      <c r="N248" s="15" t="s">
        <v>381</v>
      </c>
      <c r="O248" s="15">
        <v>0</v>
      </c>
      <c r="P248" s="16" t="s">
        <v>512</v>
      </c>
    </row>
    <row r="249" spans="3:16" ht="36.75" thickBot="1" x14ac:dyDescent="0.3">
      <c r="C249" s="5" t="s">
        <v>64</v>
      </c>
      <c r="D249" s="14">
        <v>242</v>
      </c>
      <c r="E249" s="15" t="s">
        <v>425</v>
      </c>
      <c r="F249" s="15" t="s">
        <v>765</v>
      </c>
      <c r="G249" s="15" t="s">
        <v>748</v>
      </c>
      <c r="H249" s="15" t="s">
        <v>371</v>
      </c>
      <c r="I249" s="15" t="s">
        <v>372</v>
      </c>
      <c r="J249" s="15" t="s">
        <v>516</v>
      </c>
      <c r="K249" s="15" t="s">
        <v>511</v>
      </c>
      <c r="L249" s="15" t="s">
        <v>267</v>
      </c>
      <c r="M249" s="15">
        <v>67560</v>
      </c>
      <c r="N249" s="15" t="s">
        <v>381</v>
      </c>
      <c r="O249" s="15">
        <v>0</v>
      </c>
      <c r="P249" s="16" t="s">
        <v>512</v>
      </c>
    </row>
    <row r="250" spans="3:16" ht="36.75" thickBot="1" x14ac:dyDescent="0.3">
      <c r="C250" s="5" t="s">
        <v>64</v>
      </c>
      <c r="D250" s="14">
        <v>243</v>
      </c>
      <c r="E250" s="15" t="s">
        <v>425</v>
      </c>
      <c r="F250" s="15" t="s">
        <v>766</v>
      </c>
      <c r="G250" s="15" t="s">
        <v>748</v>
      </c>
      <c r="H250" s="15" t="s">
        <v>371</v>
      </c>
      <c r="I250" s="15" t="s">
        <v>372</v>
      </c>
      <c r="J250" s="15" t="s">
        <v>516</v>
      </c>
      <c r="K250" s="15" t="s">
        <v>511</v>
      </c>
      <c r="L250" s="15" t="s">
        <v>267</v>
      </c>
      <c r="M250" s="15">
        <v>761021.25</v>
      </c>
      <c r="N250" s="15" t="s">
        <v>381</v>
      </c>
      <c r="O250" s="15">
        <v>0</v>
      </c>
      <c r="P250" s="16" t="s">
        <v>512</v>
      </c>
    </row>
    <row r="251" spans="3:16" ht="36.75" thickBot="1" x14ac:dyDescent="0.3">
      <c r="C251" s="5" t="s">
        <v>64</v>
      </c>
      <c r="D251" s="14">
        <v>244</v>
      </c>
      <c r="E251" s="15" t="s">
        <v>425</v>
      </c>
      <c r="F251" s="15" t="s">
        <v>767</v>
      </c>
      <c r="G251" s="15" t="s">
        <v>748</v>
      </c>
      <c r="H251" s="15" t="s">
        <v>371</v>
      </c>
      <c r="I251" s="15" t="s">
        <v>372</v>
      </c>
      <c r="J251" s="15" t="s">
        <v>516</v>
      </c>
      <c r="K251" s="15" t="s">
        <v>511</v>
      </c>
      <c r="L251" s="15" t="s">
        <v>267</v>
      </c>
      <c r="M251" s="15">
        <v>113430.39999999999</v>
      </c>
      <c r="N251" s="15" t="s">
        <v>381</v>
      </c>
      <c r="O251" s="15">
        <v>0</v>
      </c>
      <c r="P251" s="16" t="s">
        <v>512</v>
      </c>
    </row>
    <row r="252" spans="3:16" ht="36.75" thickBot="1" x14ac:dyDescent="0.3">
      <c r="C252" s="5" t="s">
        <v>64</v>
      </c>
      <c r="D252" s="14">
        <v>245</v>
      </c>
      <c r="E252" s="15" t="s">
        <v>425</v>
      </c>
      <c r="F252" s="15" t="s">
        <v>768</v>
      </c>
      <c r="G252" s="15" t="s">
        <v>748</v>
      </c>
      <c r="H252" s="15" t="s">
        <v>371</v>
      </c>
      <c r="I252" s="15" t="s">
        <v>372</v>
      </c>
      <c r="J252" s="15" t="s">
        <v>516</v>
      </c>
      <c r="K252" s="15" t="s">
        <v>511</v>
      </c>
      <c r="L252" s="15" t="s">
        <v>267</v>
      </c>
      <c r="M252" s="15">
        <v>1665520</v>
      </c>
      <c r="N252" s="15" t="s">
        <v>381</v>
      </c>
      <c r="O252" s="15">
        <v>0</v>
      </c>
      <c r="P252" s="16" t="s">
        <v>512</v>
      </c>
    </row>
    <row r="253" spans="3:16" ht="36.75" thickBot="1" x14ac:dyDescent="0.3">
      <c r="C253" s="5" t="s">
        <v>64</v>
      </c>
      <c r="D253" s="14">
        <v>246</v>
      </c>
      <c r="E253" s="15" t="s">
        <v>425</v>
      </c>
      <c r="F253" s="15" t="s">
        <v>769</v>
      </c>
      <c r="G253" s="15" t="s">
        <v>748</v>
      </c>
      <c r="H253" s="15" t="s">
        <v>371</v>
      </c>
      <c r="I253" s="15" t="s">
        <v>372</v>
      </c>
      <c r="J253" s="15" t="s">
        <v>516</v>
      </c>
      <c r="K253" s="15" t="s">
        <v>511</v>
      </c>
      <c r="L253" s="15" t="s">
        <v>267</v>
      </c>
      <c r="M253" s="15">
        <v>126400</v>
      </c>
      <c r="N253" s="15" t="s">
        <v>381</v>
      </c>
      <c r="O253" s="15">
        <v>0</v>
      </c>
      <c r="P253" s="16" t="s">
        <v>512</v>
      </c>
    </row>
    <row r="254" spans="3:16" ht="36.75" thickBot="1" x14ac:dyDescent="0.3">
      <c r="C254" s="5" t="s">
        <v>64</v>
      </c>
      <c r="D254" s="14">
        <v>247</v>
      </c>
      <c r="E254" s="15" t="s">
        <v>425</v>
      </c>
      <c r="F254" s="15" t="s">
        <v>770</v>
      </c>
      <c r="G254" s="15" t="s">
        <v>748</v>
      </c>
      <c r="H254" s="15" t="s">
        <v>371</v>
      </c>
      <c r="I254" s="15" t="s">
        <v>372</v>
      </c>
      <c r="J254" s="15" t="s">
        <v>516</v>
      </c>
      <c r="K254" s="15" t="s">
        <v>511</v>
      </c>
      <c r="L254" s="15" t="s">
        <v>267</v>
      </c>
      <c r="M254" s="15">
        <v>48977.29</v>
      </c>
      <c r="N254" s="15" t="s">
        <v>381</v>
      </c>
      <c r="O254" s="15">
        <v>0</v>
      </c>
      <c r="P254" s="16" t="s">
        <v>512</v>
      </c>
    </row>
    <row r="255" spans="3:16" ht="36.75" thickBot="1" x14ac:dyDescent="0.3">
      <c r="C255" s="5" t="s">
        <v>64</v>
      </c>
      <c r="D255" s="14">
        <v>248</v>
      </c>
      <c r="E255" s="15" t="s">
        <v>425</v>
      </c>
      <c r="F255" s="15" t="s">
        <v>771</v>
      </c>
      <c r="G255" s="15" t="s">
        <v>748</v>
      </c>
      <c r="H255" s="15" t="s">
        <v>371</v>
      </c>
      <c r="I255" s="15" t="s">
        <v>372</v>
      </c>
      <c r="J255" s="15" t="s">
        <v>516</v>
      </c>
      <c r="K255" s="15" t="s">
        <v>511</v>
      </c>
      <c r="L255" s="15" t="s">
        <v>267</v>
      </c>
      <c r="M255" s="15">
        <v>6695913.5</v>
      </c>
      <c r="N255" s="15" t="s">
        <v>381</v>
      </c>
      <c r="O255" s="15">
        <v>0</v>
      </c>
      <c r="P255" s="16" t="s">
        <v>512</v>
      </c>
    </row>
    <row r="256" spans="3:16" ht="36.75" thickBot="1" x14ac:dyDescent="0.3">
      <c r="C256" s="5" t="s">
        <v>64</v>
      </c>
      <c r="D256" s="14">
        <v>249</v>
      </c>
      <c r="E256" s="15" t="s">
        <v>425</v>
      </c>
      <c r="F256" s="15" t="s">
        <v>772</v>
      </c>
      <c r="G256" s="15" t="s">
        <v>748</v>
      </c>
      <c r="H256" s="15" t="s">
        <v>371</v>
      </c>
      <c r="I256" s="15" t="s">
        <v>372</v>
      </c>
      <c r="J256" s="15" t="s">
        <v>516</v>
      </c>
      <c r="K256" s="15" t="s">
        <v>511</v>
      </c>
      <c r="L256" s="15" t="s">
        <v>267</v>
      </c>
      <c r="M256" s="15">
        <v>393600</v>
      </c>
      <c r="N256" s="15" t="s">
        <v>381</v>
      </c>
      <c r="O256" s="15">
        <v>0</v>
      </c>
      <c r="P256" s="16" t="s">
        <v>512</v>
      </c>
    </row>
    <row r="257" spans="3:16" ht="36.75" thickBot="1" x14ac:dyDescent="0.3">
      <c r="C257" s="5" t="s">
        <v>64</v>
      </c>
      <c r="D257" s="14">
        <v>250</v>
      </c>
      <c r="E257" s="15" t="s">
        <v>425</v>
      </c>
      <c r="F257" s="15" t="s">
        <v>773</v>
      </c>
      <c r="G257" s="15" t="s">
        <v>748</v>
      </c>
      <c r="H257" s="15" t="s">
        <v>371</v>
      </c>
      <c r="I257" s="15" t="s">
        <v>372</v>
      </c>
      <c r="J257" s="15" t="s">
        <v>516</v>
      </c>
      <c r="K257" s="15" t="s">
        <v>511</v>
      </c>
      <c r="L257" s="15" t="s">
        <v>267</v>
      </c>
      <c r="M257" s="15">
        <v>1607762.4</v>
      </c>
      <c r="N257" s="15" t="s">
        <v>381</v>
      </c>
      <c r="O257" s="15">
        <v>0</v>
      </c>
      <c r="P257" s="16" t="s">
        <v>512</v>
      </c>
    </row>
    <row r="258" spans="3:16" ht="36.75" thickBot="1" x14ac:dyDescent="0.3">
      <c r="C258" s="5" t="s">
        <v>64</v>
      </c>
      <c r="D258" s="14">
        <v>251</v>
      </c>
      <c r="E258" s="15" t="s">
        <v>425</v>
      </c>
      <c r="F258" s="15" t="s">
        <v>774</v>
      </c>
      <c r="G258" s="15" t="s">
        <v>748</v>
      </c>
      <c r="H258" s="15" t="s">
        <v>371</v>
      </c>
      <c r="I258" s="15" t="s">
        <v>372</v>
      </c>
      <c r="J258" s="15" t="s">
        <v>516</v>
      </c>
      <c r="K258" s="15" t="s">
        <v>511</v>
      </c>
      <c r="L258" s="15" t="s">
        <v>267</v>
      </c>
      <c r="M258" s="15">
        <v>976500</v>
      </c>
      <c r="N258" s="15" t="s">
        <v>381</v>
      </c>
      <c r="O258" s="15">
        <v>0</v>
      </c>
      <c r="P258" s="16" t="s">
        <v>512</v>
      </c>
    </row>
    <row r="259" spans="3:16" ht="36.75" thickBot="1" x14ac:dyDescent="0.3">
      <c r="C259" s="5" t="s">
        <v>64</v>
      </c>
      <c r="D259" s="14">
        <v>252</v>
      </c>
      <c r="E259" s="15" t="s">
        <v>425</v>
      </c>
      <c r="F259" s="15" t="s">
        <v>775</v>
      </c>
      <c r="G259" s="15" t="s">
        <v>748</v>
      </c>
      <c r="H259" s="15" t="s">
        <v>371</v>
      </c>
      <c r="I259" s="15" t="s">
        <v>372</v>
      </c>
      <c r="J259" s="15" t="s">
        <v>516</v>
      </c>
      <c r="K259" s="15" t="s">
        <v>511</v>
      </c>
      <c r="L259" s="15" t="s">
        <v>267</v>
      </c>
      <c r="M259" s="15">
        <v>90400</v>
      </c>
      <c r="N259" s="15" t="s">
        <v>381</v>
      </c>
      <c r="O259" s="15">
        <v>0</v>
      </c>
      <c r="P259" s="16" t="s">
        <v>512</v>
      </c>
    </row>
    <row r="260" spans="3:16" ht="36.75" thickBot="1" x14ac:dyDescent="0.3">
      <c r="C260" s="5" t="s">
        <v>64</v>
      </c>
      <c r="D260" s="14">
        <v>253</v>
      </c>
      <c r="E260" s="15" t="s">
        <v>425</v>
      </c>
      <c r="F260" s="15" t="s">
        <v>776</v>
      </c>
      <c r="G260" s="15" t="s">
        <v>748</v>
      </c>
      <c r="H260" s="15" t="s">
        <v>371</v>
      </c>
      <c r="I260" s="15" t="s">
        <v>372</v>
      </c>
      <c r="J260" s="15" t="s">
        <v>516</v>
      </c>
      <c r="K260" s="15" t="s">
        <v>511</v>
      </c>
      <c r="L260" s="15" t="s">
        <v>267</v>
      </c>
      <c r="M260" s="15">
        <v>341257.5</v>
      </c>
      <c r="N260" s="15" t="s">
        <v>381</v>
      </c>
      <c r="O260" s="15">
        <v>0</v>
      </c>
      <c r="P260" s="16" t="s">
        <v>512</v>
      </c>
    </row>
    <row r="261" spans="3:16" ht="36.75" thickBot="1" x14ac:dyDescent="0.3">
      <c r="C261" s="5" t="s">
        <v>64</v>
      </c>
      <c r="D261" s="14">
        <v>254</v>
      </c>
      <c r="E261" s="15" t="s">
        <v>425</v>
      </c>
      <c r="F261" s="15" t="s">
        <v>777</v>
      </c>
      <c r="G261" s="15" t="s">
        <v>748</v>
      </c>
      <c r="H261" s="15" t="s">
        <v>371</v>
      </c>
      <c r="I261" s="15" t="s">
        <v>372</v>
      </c>
      <c r="J261" s="15" t="s">
        <v>516</v>
      </c>
      <c r="K261" s="15" t="s">
        <v>511</v>
      </c>
      <c r="L261" s="15" t="s">
        <v>267</v>
      </c>
      <c r="M261" s="15">
        <v>3470</v>
      </c>
      <c r="N261" s="15" t="s">
        <v>381</v>
      </c>
      <c r="O261" s="15">
        <v>0</v>
      </c>
      <c r="P261" s="16" t="s">
        <v>512</v>
      </c>
    </row>
    <row r="262" spans="3:16" ht="36.75" thickBot="1" x14ac:dyDescent="0.3">
      <c r="C262" s="5" t="s">
        <v>64</v>
      </c>
      <c r="D262" s="14">
        <v>255</v>
      </c>
      <c r="E262" s="15" t="s">
        <v>425</v>
      </c>
      <c r="F262" s="15" t="s">
        <v>778</v>
      </c>
      <c r="G262" s="15" t="s">
        <v>748</v>
      </c>
      <c r="H262" s="15" t="s">
        <v>371</v>
      </c>
      <c r="I262" s="15" t="s">
        <v>372</v>
      </c>
      <c r="J262" s="15" t="s">
        <v>516</v>
      </c>
      <c r="K262" s="15" t="s">
        <v>511</v>
      </c>
      <c r="L262" s="15" t="s">
        <v>267</v>
      </c>
      <c r="M262" s="15">
        <v>341076.37</v>
      </c>
      <c r="N262" s="15" t="s">
        <v>381</v>
      </c>
      <c r="O262" s="15">
        <v>0</v>
      </c>
      <c r="P262" s="16" t="s">
        <v>512</v>
      </c>
    </row>
    <row r="263" spans="3:16" ht="36.75" thickBot="1" x14ac:dyDescent="0.3">
      <c r="C263" s="5" t="s">
        <v>64</v>
      </c>
      <c r="D263" s="14">
        <v>256</v>
      </c>
      <c r="E263" s="15" t="s">
        <v>425</v>
      </c>
      <c r="F263" s="15" t="s">
        <v>779</v>
      </c>
      <c r="G263" s="15" t="s">
        <v>748</v>
      </c>
      <c r="H263" s="15" t="s">
        <v>371</v>
      </c>
      <c r="I263" s="15" t="s">
        <v>372</v>
      </c>
      <c r="J263" s="15" t="s">
        <v>516</v>
      </c>
      <c r="K263" s="15" t="s">
        <v>511</v>
      </c>
      <c r="L263" s="15" t="s">
        <v>267</v>
      </c>
      <c r="M263" s="15">
        <v>286250.77</v>
      </c>
      <c r="N263" s="15" t="s">
        <v>381</v>
      </c>
      <c r="O263" s="15">
        <v>0</v>
      </c>
      <c r="P263" s="16" t="s">
        <v>512</v>
      </c>
    </row>
    <row r="264" spans="3:16" ht="36.75" thickBot="1" x14ac:dyDescent="0.3">
      <c r="C264" s="5" t="s">
        <v>64</v>
      </c>
      <c r="D264" s="14">
        <v>257</v>
      </c>
      <c r="E264" s="15" t="s">
        <v>425</v>
      </c>
      <c r="F264" s="15" t="s">
        <v>780</v>
      </c>
      <c r="G264" s="15" t="s">
        <v>781</v>
      </c>
      <c r="H264" s="15" t="s">
        <v>402</v>
      </c>
      <c r="I264" s="15" t="s">
        <v>399</v>
      </c>
      <c r="J264" s="15" t="s">
        <v>782</v>
      </c>
      <c r="K264" s="15" t="s">
        <v>511</v>
      </c>
      <c r="L264" s="15" t="s">
        <v>267</v>
      </c>
      <c r="M264" s="15">
        <v>598557.48</v>
      </c>
      <c r="N264" s="15" t="s">
        <v>381</v>
      </c>
      <c r="O264" s="15">
        <v>0</v>
      </c>
      <c r="P264" s="16" t="s">
        <v>512</v>
      </c>
    </row>
    <row r="265" spans="3:16" ht="36.75" thickBot="1" x14ac:dyDescent="0.3">
      <c r="C265" s="5" t="s">
        <v>64</v>
      </c>
      <c r="D265" s="14">
        <v>258</v>
      </c>
      <c r="E265" s="15" t="s">
        <v>425</v>
      </c>
      <c r="F265" s="15" t="s">
        <v>783</v>
      </c>
      <c r="G265" s="15" t="s">
        <v>784</v>
      </c>
      <c r="H265" s="15" t="s">
        <v>785</v>
      </c>
      <c r="I265" s="15" t="s">
        <v>372</v>
      </c>
      <c r="J265" s="15" t="s">
        <v>516</v>
      </c>
      <c r="K265" s="15" t="s">
        <v>511</v>
      </c>
      <c r="L265" s="15" t="s">
        <v>267</v>
      </c>
      <c r="M265" s="15">
        <v>218756.96</v>
      </c>
      <c r="N265" s="15" t="s">
        <v>381</v>
      </c>
      <c r="O265" s="15">
        <v>0</v>
      </c>
      <c r="P265" s="16" t="s">
        <v>512</v>
      </c>
    </row>
    <row r="266" spans="3:16" ht="36.75" thickBot="1" x14ac:dyDescent="0.3">
      <c r="C266" s="5" t="s">
        <v>64</v>
      </c>
      <c r="D266" s="14">
        <v>259</v>
      </c>
      <c r="E266" s="15" t="s">
        <v>425</v>
      </c>
      <c r="F266" s="15" t="s">
        <v>786</v>
      </c>
      <c r="G266" s="15" t="s">
        <v>787</v>
      </c>
      <c r="H266" s="15" t="s">
        <v>788</v>
      </c>
      <c r="I266" s="15" t="s">
        <v>372</v>
      </c>
      <c r="J266" s="15" t="s">
        <v>516</v>
      </c>
      <c r="K266" s="15" t="s">
        <v>511</v>
      </c>
      <c r="L266" s="15" t="s">
        <v>267</v>
      </c>
      <c r="M266" s="15">
        <v>22206.5</v>
      </c>
      <c r="N266" s="15" t="s">
        <v>381</v>
      </c>
      <c r="O266" s="15">
        <v>0</v>
      </c>
      <c r="P266" s="16" t="s">
        <v>512</v>
      </c>
    </row>
    <row r="267" spans="3:16" ht="36.75" thickBot="1" x14ac:dyDescent="0.3">
      <c r="C267" s="5" t="s">
        <v>64</v>
      </c>
      <c r="D267" s="14">
        <v>260</v>
      </c>
      <c r="E267" s="15" t="s">
        <v>425</v>
      </c>
      <c r="F267" s="15" t="s">
        <v>789</v>
      </c>
      <c r="G267" s="15" t="s">
        <v>787</v>
      </c>
      <c r="H267" s="15" t="s">
        <v>788</v>
      </c>
      <c r="I267" s="15" t="s">
        <v>372</v>
      </c>
      <c r="J267" s="15" t="s">
        <v>516</v>
      </c>
      <c r="K267" s="15" t="s">
        <v>511</v>
      </c>
      <c r="L267" s="15" t="s">
        <v>267</v>
      </c>
      <c r="M267" s="15">
        <v>298725</v>
      </c>
      <c r="N267" s="15" t="s">
        <v>381</v>
      </c>
      <c r="O267" s="15">
        <v>0</v>
      </c>
      <c r="P267" s="16" t="s">
        <v>512</v>
      </c>
    </row>
    <row r="268" spans="3:16" ht="36.75" thickBot="1" x14ac:dyDescent="0.3">
      <c r="C268" s="5" t="s">
        <v>64</v>
      </c>
      <c r="D268" s="14">
        <v>261</v>
      </c>
      <c r="E268" s="15" t="s">
        <v>425</v>
      </c>
      <c r="F268" s="15" t="s">
        <v>790</v>
      </c>
      <c r="G268" s="15" t="s">
        <v>791</v>
      </c>
      <c r="H268" s="15" t="s">
        <v>452</v>
      </c>
      <c r="I268" s="15" t="s">
        <v>372</v>
      </c>
      <c r="J268" s="15" t="s">
        <v>516</v>
      </c>
      <c r="K268" s="15" t="s">
        <v>511</v>
      </c>
      <c r="L268" s="15" t="s">
        <v>267</v>
      </c>
      <c r="M268" s="15">
        <v>86327.03</v>
      </c>
      <c r="N268" s="15" t="s">
        <v>381</v>
      </c>
      <c r="O268" s="15">
        <v>0</v>
      </c>
      <c r="P268" s="16" t="s">
        <v>512</v>
      </c>
    </row>
    <row r="269" spans="3:16" ht="36.75" thickBot="1" x14ac:dyDescent="0.3">
      <c r="C269" s="5" t="s">
        <v>64</v>
      </c>
      <c r="D269" s="14">
        <v>262</v>
      </c>
      <c r="E269" s="15" t="s">
        <v>425</v>
      </c>
      <c r="F269" s="15" t="s">
        <v>792</v>
      </c>
      <c r="G269" s="15" t="s">
        <v>791</v>
      </c>
      <c r="H269" s="15" t="s">
        <v>452</v>
      </c>
      <c r="I269" s="15" t="s">
        <v>372</v>
      </c>
      <c r="J269" s="15" t="s">
        <v>516</v>
      </c>
      <c r="K269" s="15" t="s">
        <v>511</v>
      </c>
      <c r="L269" s="15" t="s">
        <v>267</v>
      </c>
      <c r="M269" s="15">
        <v>60355.3</v>
      </c>
      <c r="N269" s="15" t="s">
        <v>381</v>
      </c>
      <c r="O269" s="15">
        <v>0</v>
      </c>
      <c r="P269" s="16" t="s">
        <v>512</v>
      </c>
    </row>
    <row r="270" spans="3:16" ht="36.75" thickBot="1" x14ac:dyDescent="0.3">
      <c r="C270" s="5" t="s">
        <v>64</v>
      </c>
      <c r="D270" s="14">
        <v>263</v>
      </c>
      <c r="E270" s="15" t="s">
        <v>425</v>
      </c>
      <c r="F270" s="15" t="s">
        <v>793</v>
      </c>
      <c r="G270" s="15" t="s">
        <v>794</v>
      </c>
      <c r="H270" s="15" t="s">
        <v>412</v>
      </c>
      <c r="I270" s="15" t="s">
        <v>399</v>
      </c>
      <c r="J270" s="15" t="s">
        <v>782</v>
      </c>
      <c r="K270" s="15" t="s">
        <v>511</v>
      </c>
      <c r="L270" s="15" t="s">
        <v>267</v>
      </c>
      <c r="M270" s="15">
        <v>8000</v>
      </c>
      <c r="N270" s="15" t="s">
        <v>381</v>
      </c>
      <c r="O270" s="15">
        <v>0</v>
      </c>
      <c r="P270" s="16" t="s">
        <v>512</v>
      </c>
    </row>
    <row r="271" spans="3:16" ht="36.75" thickBot="1" x14ac:dyDescent="0.3">
      <c r="C271" s="5" t="s">
        <v>64</v>
      </c>
      <c r="D271" s="14">
        <v>264</v>
      </c>
      <c r="E271" s="15" t="s">
        <v>425</v>
      </c>
      <c r="F271" s="15" t="s">
        <v>795</v>
      </c>
      <c r="G271" s="15" t="s">
        <v>796</v>
      </c>
      <c r="H271" s="15" t="s">
        <v>797</v>
      </c>
      <c r="I271" s="15" t="s">
        <v>372</v>
      </c>
      <c r="J271" s="15" t="s">
        <v>516</v>
      </c>
      <c r="K271" s="15" t="s">
        <v>511</v>
      </c>
      <c r="L271" s="15" t="s">
        <v>267</v>
      </c>
      <c r="M271" s="15">
        <v>704880</v>
      </c>
      <c r="N271" s="15" t="s">
        <v>381</v>
      </c>
      <c r="O271" s="15">
        <v>0</v>
      </c>
      <c r="P271" s="16" t="s">
        <v>512</v>
      </c>
    </row>
  </sheetData>
  <mergeCells count="3">
    <mergeCell ref="A1:P1"/>
    <mergeCell ref="D4:P4"/>
    <mergeCell ref="E5:P5"/>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L8"/>
  <sheetViews>
    <sheetView workbookViewId="0">
      <selection activeCell="A8" sqref="A8:XFD8"/>
    </sheetView>
  </sheetViews>
  <sheetFormatPr defaultRowHeight="15" x14ac:dyDescent="0.25"/>
  <cols>
    <col min="1" max="1" width="5.7109375" customWidth="1"/>
    <col min="2" max="2" width="25.7109375" customWidth="1"/>
    <col min="3" max="3" width="4" bestFit="1" customWidth="1"/>
    <col min="4" max="37" width="20.7109375" customWidth="1"/>
    <col min="38" max="38" width="24.7109375" bestFit="1" customWidth="1"/>
  </cols>
  <sheetData>
    <row r="1" spans="1:38" ht="14.45" customHeight="1" x14ac:dyDescent="0.25">
      <c r="A1" s="94" t="s">
        <v>76</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1"/>
    </row>
    <row r="2" spans="1:38" ht="14.45" customHeight="1" x14ac:dyDescent="0.25">
      <c r="AL2" s="1"/>
    </row>
    <row r="3" spans="1:38" ht="14.45" customHeight="1" x14ac:dyDescent="0.25">
      <c r="AL3" s="1"/>
    </row>
    <row r="4" spans="1:38" ht="14.45" customHeight="1" x14ac:dyDescent="0.25">
      <c r="D4" s="96" t="s">
        <v>1</v>
      </c>
      <c r="E4" s="96"/>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1"/>
    </row>
    <row r="5" spans="1:38" ht="14.45" customHeight="1" x14ac:dyDescent="0.25">
      <c r="D5" s="10" t="s">
        <v>10</v>
      </c>
      <c r="E5" s="97" t="s">
        <v>11</v>
      </c>
      <c r="F5" s="98"/>
      <c r="G5" s="97" t="s">
        <v>77</v>
      </c>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8"/>
    </row>
    <row r="6" spans="1:38" ht="57.6" customHeight="1" x14ac:dyDescent="0.25">
      <c r="D6" s="11"/>
      <c r="E6" s="2" t="s">
        <v>13</v>
      </c>
      <c r="F6" s="2" t="s">
        <v>14</v>
      </c>
      <c r="G6" s="2" t="s">
        <v>15</v>
      </c>
      <c r="H6" s="2" t="s">
        <v>78</v>
      </c>
      <c r="I6" s="2" t="s">
        <v>79</v>
      </c>
      <c r="J6" s="2" t="s">
        <v>20</v>
      </c>
      <c r="K6" s="2" t="s">
        <v>22</v>
      </c>
      <c r="L6" s="2" t="s">
        <v>26</v>
      </c>
      <c r="M6" s="2" t="s">
        <v>80</v>
      </c>
      <c r="N6" s="2" t="s">
        <v>23</v>
      </c>
      <c r="O6" s="2" t="s">
        <v>24</v>
      </c>
      <c r="P6" s="2" t="s">
        <v>81</v>
      </c>
      <c r="Q6" s="2" t="s">
        <v>82</v>
      </c>
      <c r="R6" s="2" t="s">
        <v>27</v>
      </c>
      <c r="S6" s="2" t="s">
        <v>28</v>
      </c>
      <c r="T6" s="2" t="s">
        <v>29</v>
      </c>
      <c r="U6" s="2" t="s">
        <v>83</v>
      </c>
      <c r="V6" s="2" t="s">
        <v>84</v>
      </c>
      <c r="W6" s="2" t="s">
        <v>85</v>
      </c>
      <c r="X6" s="2" t="s">
        <v>86</v>
      </c>
      <c r="Y6" s="2" t="s">
        <v>19</v>
      </c>
      <c r="Z6" s="2" t="s">
        <v>87</v>
      </c>
      <c r="AA6" s="2" t="s">
        <v>88</v>
      </c>
      <c r="AB6" s="2" t="s">
        <v>89</v>
      </c>
      <c r="AC6" s="2" t="s">
        <v>90</v>
      </c>
      <c r="AD6" s="2" t="s">
        <v>30</v>
      </c>
      <c r="AE6" s="2" t="s">
        <v>31</v>
      </c>
      <c r="AF6" s="2" t="s">
        <v>32</v>
      </c>
      <c r="AG6" s="2" t="s">
        <v>33</v>
      </c>
      <c r="AH6" s="2" t="s">
        <v>34</v>
      </c>
      <c r="AI6" s="2" t="s">
        <v>35</v>
      </c>
      <c r="AJ6" s="2" t="s">
        <v>91</v>
      </c>
      <c r="AK6" s="2" t="s">
        <v>92</v>
      </c>
    </row>
    <row r="7" spans="1:38" ht="15" customHeight="1" thickBot="1" x14ac:dyDescent="0.3">
      <c r="D7" s="3" t="s">
        <v>5</v>
      </c>
      <c r="E7" s="3" t="s">
        <v>6</v>
      </c>
      <c r="F7" s="3" t="s">
        <v>38</v>
      </c>
      <c r="G7" s="3" t="s">
        <v>39</v>
      </c>
      <c r="H7" s="3" t="s">
        <v>40</v>
      </c>
      <c r="I7" s="3" t="s">
        <v>42</v>
      </c>
      <c r="J7" s="3" t="s">
        <v>44</v>
      </c>
      <c r="K7" s="3" t="s">
        <v>46</v>
      </c>
      <c r="L7" s="3" t="s">
        <v>47</v>
      </c>
      <c r="M7" s="3" t="s">
        <v>48</v>
      </c>
      <c r="N7" s="3" t="s">
        <v>49</v>
      </c>
      <c r="O7" s="3" t="s">
        <v>50</v>
      </c>
      <c r="P7" s="3" t="s">
        <v>51</v>
      </c>
      <c r="Q7" s="3" t="s">
        <v>52</v>
      </c>
      <c r="R7" s="3" t="s">
        <v>53</v>
      </c>
      <c r="S7" s="3" t="s">
        <v>54</v>
      </c>
      <c r="T7" s="3" t="s">
        <v>55</v>
      </c>
      <c r="U7" s="3" t="s">
        <v>56</v>
      </c>
      <c r="V7" s="3" t="s">
        <v>57</v>
      </c>
      <c r="W7" s="3" t="s">
        <v>58</v>
      </c>
      <c r="X7" s="3" t="s">
        <v>60</v>
      </c>
      <c r="Y7" s="3" t="s">
        <v>93</v>
      </c>
      <c r="Z7" s="3" t="s">
        <v>61</v>
      </c>
      <c r="AA7" s="3" t="s">
        <v>94</v>
      </c>
      <c r="AB7" s="3" t="s">
        <v>95</v>
      </c>
      <c r="AC7" s="3" t="s">
        <v>8</v>
      </c>
      <c r="AD7" s="3" t="s">
        <v>96</v>
      </c>
      <c r="AE7" s="3" t="s">
        <v>97</v>
      </c>
      <c r="AF7" s="3" t="s">
        <v>98</v>
      </c>
      <c r="AG7" s="3" t="s">
        <v>99</v>
      </c>
      <c r="AH7" s="3" t="s">
        <v>100</v>
      </c>
      <c r="AI7" s="3" t="s">
        <v>101</v>
      </c>
      <c r="AJ7" s="3" t="s">
        <v>102</v>
      </c>
      <c r="AK7" s="3" t="s">
        <v>103</v>
      </c>
      <c r="AL7" s="1"/>
    </row>
    <row r="8" spans="1:38" ht="30" customHeight="1" thickBot="1" x14ac:dyDescent="0.3">
      <c r="A8" s="12" t="s">
        <v>62</v>
      </c>
      <c r="B8" s="13" t="s">
        <v>104</v>
      </c>
      <c r="C8" s="5" t="s">
        <v>64</v>
      </c>
      <c r="D8" s="14"/>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19"/>
    </row>
  </sheetData>
  <mergeCells count="4">
    <mergeCell ref="A1:AK1"/>
    <mergeCell ref="D4:AK4"/>
    <mergeCell ref="E5:F5"/>
    <mergeCell ref="G5:AK5"/>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V8"/>
  <sheetViews>
    <sheetView workbookViewId="0">
      <selection activeCell="A8" sqref="A8:XFD8"/>
    </sheetView>
  </sheetViews>
  <sheetFormatPr defaultRowHeight="15" x14ac:dyDescent="0.25"/>
  <cols>
    <col min="1" max="1" width="5.7109375" customWidth="1"/>
    <col min="2" max="2" width="25.7109375" customWidth="1"/>
    <col min="3" max="3" width="4" bestFit="1" customWidth="1"/>
    <col min="4" max="21" width="20.7109375" customWidth="1"/>
    <col min="22" max="22" width="23.140625" bestFit="1" customWidth="1"/>
  </cols>
  <sheetData>
    <row r="1" spans="1:22" ht="14.45" customHeight="1" x14ac:dyDescent="0.25">
      <c r="A1" s="94" t="s">
        <v>334</v>
      </c>
      <c r="B1" s="95"/>
      <c r="C1" s="95"/>
      <c r="D1" s="95"/>
      <c r="E1" s="95"/>
      <c r="F1" s="95"/>
      <c r="G1" s="95"/>
      <c r="H1" s="95"/>
      <c r="I1" s="95"/>
      <c r="J1" s="95"/>
      <c r="K1" s="95"/>
      <c r="L1" s="95"/>
      <c r="M1" s="95"/>
      <c r="N1" s="95"/>
      <c r="O1" s="95"/>
      <c r="P1" s="95"/>
      <c r="Q1" s="95"/>
      <c r="R1" s="95"/>
      <c r="S1" s="95"/>
      <c r="T1" s="95"/>
      <c r="U1" s="95"/>
      <c r="V1" s="1"/>
    </row>
    <row r="2" spans="1:22" ht="14.45" customHeight="1" x14ac:dyDescent="0.25">
      <c r="V2" s="1"/>
    </row>
    <row r="3" spans="1:22" ht="14.45" customHeight="1" x14ac:dyDescent="0.25">
      <c r="V3" s="1"/>
    </row>
    <row r="4" spans="1:22" ht="14.45" customHeight="1" x14ac:dyDescent="0.25">
      <c r="D4" s="96" t="s">
        <v>1</v>
      </c>
      <c r="E4" s="96"/>
      <c r="F4" s="96"/>
      <c r="G4" s="96"/>
      <c r="H4" s="96"/>
      <c r="I4" s="96"/>
      <c r="J4" s="96"/>
      <c r="K4" s="96"/>
      <c r="L4" s="96"/>
      <c r="M4" s="96"/>
      <c r="N4" s="96"/>
      <c r="O4" s="96"/>
      <c r="P4" s="96"/>
      <c r="Q4" s="96"/>
      <c r="R4" s="96"/>
      <c r="S4" s="96"/>
      <c r="T4" s="96"/>
      <c r="U4" s="96"/>
      <c r="V4" s="1"/>
    </row>
    <row r="5" spans="1:22" ht="14.45" customHeight="1" x14ac:dyDescent="0.25">
      <c r="D5" s="10" t="s">
        <v>10</v>
      </c>
      <c r="E5" s="97" t="s">
        <v>11</v>
      </c>
      <c r="F5" s="98"/>
      <c r="G5" s="97" t="s">
        <v>335</v>
      </c>
      <c r="H5" s="99"/>
      <c r="I5" s="99"/>
      <c r="J5" s="99"/>
      <c r="K5" s="99"/>
      <c r="L5" s="99"/>
      <c r="M5" s="99"/>
      <c r="N5" s="99"/>
      <c r="O5" s="99"/>
      <c r="P5" s="99"/>
      <c r="Q5" s="99"/>
      <c r="R5" s="99"/>
      <c r="S5" s="99"/>
      <c r="T5" s="99"/>
      <c r="U5" s="98"/>
    </row>
    <row r="6" spans="1:22" ht="43.15" customHeight="1" x14ac:dyDescent="0.25">
      <c r="D6" s="11"/>
      <c r="E6" s="2" t="s">
        <v>13</v>
      </c>
      <c r="F6" s="2" t="s">
        <v>14</v>
      </c>
      <c r="G6" s="2" t="s">
        <v>15</v>
      </c>
      <c r="H6" s="2" t="s">
        <v>16</v>
      </c>
      <c r="I6" s="2" t="s">
        <v>18</v>
      </c>
      <c r="J6" s="2" t="s">
        <v>19</v>
      </c>
      <c r="K6" s="2" t="s">
        <v>20</v>
      </c>
      <c r="L6" s="2" t="s">
        <v>26</v>
      </c>
      <c r="M6" s="2" t="s">
        <v>23</v>
      </c>
      <c r="N6" s="2" t="s">
        <v>24</v>
      </c>
      <c r="O6" s="2" t="s">
        <v>25</v>
      </c>
      <c r="P6" s="2" t="s">
        <v>30</v>
      </c>
      <c r="Q6" s="2" t="s">
        <v>31</v>
      </c>
      <c r="R6" s="2" t="s">
        <v>35</v>
      </c>
      <c r="S6" s="2" t="s">
        <v>336</v>
      </c>
      <c r="T6" s="2" t="s">
        <v>28</v>
      </c>
      <c r="U6" s="2" t="s">
        <v>33</v>
      </c>
    </row>
    <row r="7" spans="1:22" ht="15" customHeight="1" thickBot="1" x14ac:dyDescent="0.3">
      <c r="D7" s="3" t="s">
        <v>5</v>
      </c>
      <c r="E7" s="3" t="s">
        <v>6</v>
      </c>
      <c r="F7" s="3" t="s">
        <v>274</v>
      </c>
      <c r="G7" s="3" t="s">
        <v>38</v>
      </c>
      <c r="H7" s="3" t="s">
        <v>254</v>
      </c>
      <c r="I7" s="3" t="s">
        <v>39</v>
      </c>
      <c r="J7" s="3" t="s">
        <v>116</v>
      </c>
      <c r="K7" s="3" t="s">
        <v>40</v>
      </c>
      <c r="L7" s="3" t="s">
        <v>42</v>
      </c>
      <c r="M7" s="3" t="s">
        <v>44</v>
      </c>
      <c r="N7" s="3" t="s">
        <v>46</v>
      </c>
      <c r="O7" s="3" t="s">
        <v>47</v>
      </c>
      <c r="P7" s="3" t="s">
        <v>48</v>
      </c>
      <c r="Q7" s="3" t="s">
        <v>49</v>
      </c>
      <c r="R7" s="3" t="s">
        <v>337</v>
      </c>
      <c r="S7" s="3" t="s">
        <v>50</v>
      </c>
      <c r="T7" s="3" t="s">
        <v>51</v>
      </c>
      <c r="U7" s="3" t="s">
        <v>52</v>
      </c>
      <c r="V7" s="1"/>
    </row>
    <row r="8" spans="1:22" ht="30" customHeight="1" thickBot="1" x14ac:dyDescent="0.3">
      <c r="A8" s="12" t="s">
        <v>62</v>
      </c>
      <c r="B8" s="13" t="s">
        <v>338</v>
      </c>
      <c r="C8" s="5" t="s">
        <v>64</v>
      </c>
      <c r="D8" s="14"/>
      <c r="E8" s="15"/>
      <c r="F8" s="15"/>
      <c r="G8" s="15"/>
      <c r="H8" s="15"/>
      <c r="I8" s="15"/>
      <c r="J8" s="15"/>
      <c r="K8" s="15"/>
      <c r="L8" s="15"/>
      <c r="M8" s="15"/>
      <c r="N8" s="15"/>
      <c r="O8" s="15"/>
      <c r="P8" s="15"/>
      <c r="Q8" s="15"/>
      <c r="R8" s="15"/>
      <c r="S8" s="15"/>
      <c r="T8" s="15"/>
      <c r="U8" s="16"/>
      <c r="V8" s="57"/>
    </row>
  </sheetData>
  <mergeCells count="4">
    <mergeCell ref="A1:U1"/>
    <mergeCell ref="D4:U4"/>
    <mergeCell ref="E5:F5"/>
    <mergeCell ref="G5:U5"/>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D8"/>
  <sheetViews>
    <sheetView workbookViewId="0">
      <selection activeCell="B15" sqref="B15"/>
    </sheetView>
  </sheetViews>
  <sheetFormatPr defaultRowHeight="15" x14ac:dyDescent="0.25"/>
  <cols>
    <col min="1" max="1" width="5.7109375" customWidth="1"/>
    <col min="2" max="2" width="25.7109375" customWidth="1"/>
    <col min="3" max="3" width="4" bestFit="1" customWidth="1"/>
    <col min="4" max="29" width="20.7109375" customWidth="1"/>
    <col min="30" max="30" width="25.7109375" customWidth="1"/>
  </cols>
  <sheetData>
    <row r="1" spans="1:30" ht="14.45" customHeight="1" x14ac:dyDescent="0.25">
      <c r="A1" s="94" t="s">
        <v>9</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1"/>
    </row>
    <row r="2" spans="1:30" ht="14.45" customHeight="1" x14ac:dyDescent="0.25">
      <c r="AD2" s="1"/>
    </row>
    <row r="3" spans="1:30" ht="14.45" customHeight="1" x14ac:dyDescent="0.25">
      <c r="AD3" s="1"/>
    </row>
    <row r="4" spans="1:30" ht="14.45" customHeight="1" x14ac:dyDescent="0.25">
      <c r="D4" s="96" t="s">
        <v>1</v>
      </c>
      <c r="E4" s="96"/>
      <c r="F4" s="96"/>
      <c r="G4" s="96"/>
      <c r="H4" s="96"/>
      <c r="I4" s="96"/>
      <c r="J4" s="96"/>
      <c r="K4" s="96"/>
      <c r="L4" s="96"/>
      <c r="M4" s="96"/>
      <c r="N4" s="96"/>
      <c r="O4" s="96"/>
      <c r="P4" s="96"/>
      <c r="Q4" s="96"/>
      <c r="R4" s="96"/>
      <c r="S4" s="96"/>
      <c r="T4" s="96"/>
      <c r="U4" s="96"/>
      <c r="V4" s="96"/>
      <c r="W4" s="96"/>
      <c r="X4" s="96"/>
      <c r="Y4" s="96"/>
      <c r="Z4" s="96"/>
      <c r="AA4" s="96"/>
      <c r="AB4" s="96"/>
      <c r="AC4" s="96"/>
      <c r="AD4" s="1"/>
    </row>
    <row r="5" spans="1:30" ht="14.45" customHeight="1" x14ac:dyDescent="0.25">
      <c r="D5" s="10" t="s">
        <v>10</v>
      </c>
      <c r="E5" s="97" t="s">
        <v>11</v>
      </c>
      <c r="F5" s="98"/>
      <c r="G5" s="97" t="s">
        <v>12</v>
      </c>
      <c r="H5" s="99"/>
      <c r="I5" s="99"/>
      <c r="J5" s="99"/>
      <c r="K5" s="99"/>
      <c r="L5" s="99"/>
      <c r="M5" s="99"/>
      <c r="N5" s="99"/>
      <c r="O5" s="99"/>
      <c r="P5" s="99"/>
      <c r="Q5" s="99"/>
      <c r="R5" s="99"/>
      <c r="S5" s="99"/>
      <c r="T5" s="99"/>
      <c r="U5" s="99"/>
      <c r="V5" s="99"/>
      <c r="W5" s="99"/>
      <c r="X5" s="99"/>
      <c r="Y5" s="99"/>
      <c r="Z5" s="99"/>
      <c r="AA5" s="99"/>
      <c r="AB5" s="99"/>
      <c r="AC5" s="98"/>
    </row>
    <row r="6" spans="1:30" ht="57.6" customHeight="1" x14ac:dyDescent="0.25">
      <c r="D6" s="11"/>
      <c r="E6" s="2" t="s">
        <v>13</v>
      </c>
      <c r="F6" s="2" t="s">
        <v>14</v>
      </c>
      <c r="G6" s="2" t="s">
        <v>15</v>
      </c>
      <c r="H6" s="2" t="s">
        <v>16</v>
      </c>
      <c r="I6" s="2" t="s">
        <v>17</v>
      </c>
      <c r="J6" s="2" t="s">
        <v>18</v>
      </c>
      <c r="K6" s="2" t="s">
        <v>19</v>
      </c>
      <c r="L6" s="2" t="s">
        <v>20</v>
      </c>
      <c r="M6" s="2" t="s">
        <v>21</v>
      </c>
      <c r="N6" s="2" t="s">
        <v>22</v>
      </c>
      <c r="O6" s="2" t="s">
        <v>23</v>
      </c>
      <c r="P6" s="2" t="s">
        <v>24</v>
      </c>
      <c r="Q6" s="2" t="s">
        <v>25</v>
      </c>
      <c r="R6" s="2" t="s">
        <v>26</v>
      </c>
      <c r="S6" s="2" t="s">
        <v>27</v>
      </c>
      <c r="T6" s="2" t="s">
        <v>28</v>
      </c>
      <c r="U6" s="2" t="s">
        <v>29</v>
      </c>
      <c r="V6" s="2" t="s">
        <v>30</v>
      </c>
      <c r="W6" s="2" t="s">
        <v>31</v>
      </c>
      <c r="X6" s="2" t="s">
        <v>32</v>
      </c>
      <c r="Y6" s="2" t="s">
        <v>33</v>
      </c>
      <c r="Z6" s="2" t="s">
        <v>34</v>
      </c>
      <c r="AA6" s="2" t="s">
        <v>35</v>
      </c>
      <c r="AB6" s="2" t="s">
        <v>36</v>
      </c>
      <c r="AC6" s="2" t="s">
        <v>37</v>
      </c>
    </row>
    <row r="7" spans="1:30" ht="15" customHeight="1" thickBot="1" x14ac:dyDescent="0.3">
      <c r="D7" s="3" t="s">
        <v>5</v>
      </c>
      <c r="E7" s="3" t="s">
        <v>6</v>
      </c>
      <c r="F7" s="3" t="s">
        <v>38</v>
      </c>
      <c r="G7" s="3" t="s">
        <v>39</v>
      </c>
      <c r="H7" s="3" t="s">
        <v>40</v>
      </c>
      <c r="I7" s="3" t="s">
        <v>41</v>
      </c>
      <c r="J7" s="3" t="s">
        <v>42</v>
      </c>
      <c r="K7" s="3" t="s">
        <v>43</v>
      </c>
      <c r="L7" s="3" t="s">
        <v>44</v>
      </c>
      <c r="M7" s="3" t="s">
        <v>45</v>
      </c>
      <c r="N7" s="3" t="s">
        <v>46</v>
      </c>
      <c r="O7" s="3" t="s">
        <v>47</v>
      </c>
      <c r="P7" s="3" t="s">
        <v>48</v>
      </c>
      <c r="Q7" s="3" t="s">
        <v>49</v>
      </c>
      <c r="R7" s="3" t="s">
        <v>50</v>
      </c>
      <c r="S7" s="3" t="s">
        <v>51</v>
      </c>
      <c r="T7" s="3" t="s">
        <v>52</v>
      </c>
      <c r="U7" s="3" t="s">
        <v>53</v>
      </c>
      <c r="V7" s="3" t="s">
        <v>54</v>
      </c>
      <c r="W7" s="3" t="s">
        <v>55</v>
      </c>
      <c r="X7" s="3" t="s">
        <v>56</v>
      </c>
      <c r="Y7" s="3" t="s">
        <v>57</v>
      </c>
      <c r="Z7" s="3" t="s">
        <v>58</v>
      </c>
      <c r="AA7" s="3" t="s">
        <v>59</v>
      </c>
      <c r="AB7" s="3" t="s">
        <v>60</v>
      </c>
      <c r="AC7" s="3" t="s">
        <v>61</v>
      </c>
      <c r="AD7" s="1"/>
    </row>
    <row r="8" spans="1:30" ht="30" customHeight="1" thickBot="1" x14ac:dyDescent="0.3">
      <c r="A8" s="12" t="s">
        <v>62</v>
      </c>
      <c r="B8" s="13" t="s">
        <v>63</v>
      </c>
      <c r="C8" s="5" t="s">
        <v>64</v>
      </c>
      <c r="D8" s="14"/>
      <c r="E8" s="15"/>
      <c r="F8" s="15"/>
      <c r="G8" s="15"/>
      <c r="H8" s="15"/>
      <c r="I8" s="15"/>
      <c r="J8" s="15"/>
      <c r="K8" s="15"/>
      <c r="L8" s="15"/>
      <c r="M8" s="15"/>
      <c r="N8" s="15"/>
      <c r="O8" s="15"/>
      <c r="P8" s="15"/>
      <c r="Q8" s="15"/>
      <c r="R8" s="15"/>
      <c r="S8" s="15"/>
      <c r="T8" s="15"/>
      <c r="U8" s="15"/>
      <c r="V8" s="15"/>
      <c r="W8" s="15"/>
      <c r="X8" s="15"/>
      <c r="Y8" s="15"/>
      <c r="Z8" s="15"/>
      <c r="AA8" s="15"/>
      <c r="AB8" s="15"/>
      <c r="AC8" s="16"/>
      <c r="AD8" s="17"/>
    </row>
  </sheetData>
  <mergeCells count="4">
    <mergeCell ref="A1:AC1"/>
    <mergeCell ref="D4:AC4"/>
    <mergeCell ref="E5:F5"/>
    <mergeCell ref="G5:AC5"/>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V8"/>
  <sheetViews>
    <sheetView workbookViewId="0">
      <selection activeCell="A8" sqref="A8:XFD8"/>
    </sheetView>
  </sheetViews>
  <sheetFormatPr defaultRowHeight="15" x14ac:dyDescent="0.25"/>
  <cols>
    <col min="1" max="1" width="5.7109375" customWidth="1"/>
    <col min="2" max="2" width="25.42578125" bestFit="1" customWidth="1"/>
    <col min="3" max="3" width="4" bestFit="1" customWidth="1"/>
    <col min="4" max="21" width="20.7109375" customWidth="1"/>
    <col min="22" max="22" width="25.7109375" customWidth="1"/>
  </cols>
  <sheetData>
    <row r="1" spans="1:22" ht="14.45" customHeight="1" x14ac:dyDescent="0.25">
      <c r="A1" s="94" t="s">
        <v>319</v>
      </c>
      <c r="B1" s="95"/>
      <c r="C1" s="95"/>
      <c r="D1" s="95"/>
      <c r="E1" s="95"/>
      <c r="F1" s="95"/>
      <c r="G1" s="95"/>
      <c r="H1" s="95"/>
      <c r="I1" s="95"/>
      <c r="J1" s="95"/>
      <c r="K1" s="95"/>
      <c r="L1" s="95"/>
      <c r="M1" s="95"/>
      <c r="N1" s="95"/>
      <c r="O1" s="95"/>
      <c r="P1" s="95"/>
      <c r="Q1" s="95"/>
      <c r="R1" s="95"/>
      <c r="S1" s="95"/>
      <c r="T1" s="95"/>
      <c r="U1" s="95"/>
      <c r="V1" s="1"/>
    </row>
    <row r="2" spans="1:22" ht="14.45" customHeight="1" x14ac:dyDescent="0.25">
      <c r="V2" s="1"/>
    </row>
    <row r="3" spans="1:22" ht="14.45" customHeight="1" x14ac:dyDescent="0.25">
      <c r="V3" s="1"/>
    </row>
    <row r="4" spans="1:22" ht="14.45" customHeight="1" x14ac:dyDescent="0.25">
      <c r="D4" s="96" t="s">
        <v>1</v>
      </c>
      <c r="E4" s="96"/>
      <c r="F4" s="96"/>
      <c r="G4" s="96"/>
      <c r="H4" s="96"/>
      <c r="I4" s="96"/>
      <c r="J4" s="96"/>
      <c r="K4" s="96"/>
      <c r="L4" s="96"/>
      <c r="M4" s="96"/>
      <c r="N4" s="96"/>
      <c r="O4" s="96"/>
      <c r="P4" s="96"/>
      <c r="Q4" s="96"/>
      <c r="R4" s="96"/>
      <c r="S4" s="96"/>
      <c r="T4" s="96"/>
      <c r="U4" s="96"/>
      <c r="V4" s="1"/>
    </row>
    <row r="5" spans="1:22" ht="28.9" customHeight="1" x14ac:dyDescent="0.25">
      <c r="D5" s="10" t="s">
        <v>10</v>
      </c>
      <c r="E5" s="2" t="s">
        <v>11</v>
      </c>
      <c r="F5" s="97" t="s">
        <v>320</v>
      </c>
      <c r="G5" s="99"/>
      <c r="H5" s="99"/>
      <c r="I5" s="99"/>
      <c r="J5" s="99"/>
      <c r="K5" s="99"/>
      <c r="L5" s="99"/>
      <c r="M5" s="99"/>
      <c r="N5" s="99"/>
      <c r="O5" s="99"/>
      <c r="P5" s="99"/>
      <c r="Q5" s="99"/>
      <c r="R5" s="99"/>
      <c r="S5" s="99"/>
      <c r="T5" s="99"/>
      <c r="U5" s="98"/>
    </row>
    <row r="6" spans="1:22" ht="43.15" customHeight="1" x14ac:dyDescent="0.25">
      <c r="D6" s="11"/>
      <c r="E6" s="2" t="s">
        <v>14</v>
      </c>
      <c r="F6" s="2" t="s">
        <v>15</v>
      </c>
      <c r="G6" s="2" t="s">
        <v>67</v>
      </c>
      <c r="H6" s="2" t="s">
        <v>321</v>
      </c>
      <c r="I6" s="2" t="s">
        <v>322</v>
      </c>
      <c r="J6" s="2" t="s">
        <v>323</v>
      </c>
      <c r="K6" s="2" t="s">
        <v>17</v>
      </c>
      <c r="L6" s="2" t="s">
        <v>18</v>
      </c>
      <c r="M6" s="2" t="s">
        <v>19</v>
      </c>
      <c r="N6" s="2" t="s">
        <v>70</v>
      </c>
      <c r="O6" s="2" t="s">
        <v>324</v>
      </c>
      <c r="P6" s="2" t="s">
        <v>71</v>
      </c>
      <c r="Q6" s="2" t="s">
        <v>72</v>
      </c>
      <c r="R6" s="2" t="s">
        <v>325</v>
      </c>
      <c r="S6" s="2" t="s">
        <v>326</v>
      </c>
      <c r="T6" s="2" t="s">
        <v>327</v>
      </c>
      <c r="U6" s="2" t="s">
        <v>328</v>
      </c>
    </row>
    <row r="7" spans="1:22" ht="15" customHeight="1" thickBot="1" x14ac:dyDescent="0.3">
      <c r="D7" s="3" t="s">
        <v>5</v>
      </c>
      <c r="E7" s="3" t="s">
        <v>6</v>
      </c>
      <c r="F7" s="3" t="s">
        <v>38</v>
      </c>
      <c r="G7" s="3" t="s">
        <v>39</v>
      </c>
      <c r="H7" s="3" t="s">
        <v>40</v>
      </c>
      <c r="I7" s="3" t="s">
        <v>329</v>
      </c>
      <c r="J7" s="3" t="s">
        <v>330</v>
      </c>
      <c r="K7" s="3" t="s">
        <v>45</v>
      </c>
      <c r="L7" s="3" t="s">
        <v>46</v>
      </c>
      <c r="M7" s="3" t="s">
        <v>331</v>
      </c>
      <c r="N7" s="3" t="s">
        <v>47</v>
      </c>
      <c r="O7" s="3" t="s">
        <v>332</v>
      </c>
      <c r="P7" s="3" t="s">
        <v>48</v>
      </c>
      <c r="Q7" s="3" t="s">
        <v>49</v>
      </c>
      <c r="R7" s="3" t="s">
        <v>50</v>
      </c>
      <c r="S7" s="3" t="s">
        <v>51</v>
      </c>
      <c r="T7" s="3" t="s">
        <v>52</v>
      </c>
      <c r="U7" s="3" t="s">
        <v>53</v>
      </c>
      <c r="V7" s="1"/>
    </row>
    <row r="8" spans="1:22" ht="30" customHeight="1" thickBot="1" x14ac:dyDescent="0.3">
      <c r="A8" s="12" t="s">
        <v>62</v>
      </c>
      <c r="B8" s="13" t="s">
        <v>333</v>
      </c>
      <c r="C8" s="5" t="s">
        <v>64</v>
      </c>
      <c r="D8" s="14"/>
      <c r="E8" s="15"/>
      <c r="F8" s="15"/>
      <c r="G8" s="15"/>
      <c r="H8" s="15"/>
      <c r="I8" s="15"/>
      <c r="J8" s="15"/>
      <c r="K8" s="15"/>
      <c r="L8" s="15"/>
      <c r="M8" s="15"/>
      <c r="N8" s="15"/>
      <c r="O8" s="15"/>
      <c r="P8" s="15"/>
      <c r="Q8" s="15"/>
      <c r="R8" s="15"/>
      <c r="S8" s="15"/>
      <c r="T8" s="15"/>
      <c r="U8" s="16"/>
      <c r="V8" s="56"/>
    </row>
  </sheetData>
  <mergeCells count="3">
    <mergeCell ref="A1:U1"/>
    <mergeCell ref="D4:U4"/>
    <mergeCell ref="F5:U5"/>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Q8"/>
  <sheetViews>
    <sheetView workbookViewId="0">
      <selection activeCell="E16" sqref="E16"/>
    </sheetView>
  </sheetViews>
  <sheetFormatPr defaultRowHeight="15" x14ac:dyDescent="0.25"/>
  <cols>
    <col min="1" max="1" width="5.7109375" customWidth="1"/>
    <col min="2" max="2" width="27.28515625" bestFit="1" customWidth="1"/>
    <col min="3" max="3" width="4" bestFit="1" customWidth="1"/>
    <col min="4" max="16" width="20.7109375" customWidth="1"/>
    <col min="17" max="17" width="25.7109375" customWidth="1"/>
  </cols>
  <sheetData>
    <row r="1" spans="1:17" ht="14.45" customHeight="1" x14ac:dyDescent="0.25">
      <c r="A1" s="94" t="s">
        <v>65</v>
      </c>
      <c r="B1" s="95"/>
      <c r="C1" s="95"/>
      <c r="D1" s="95"/>
      <c r="E1" s="95"/>
      <c r="F1" s="95"/>
      <c r="G1" s="95"/>
      <c r="H1" s="95"/>
      <c r="I1" s="95"/>
      <c r="J1" s="95"/>
      <c r="K1" s="95"/>
      <c r="L1" s="95"/>
      <c r="M1" s="95"/>
      <c r="N1" s="95"/>
      <c r="O1" s="95"/>
      <c r="P1" s="95"/>
      <c r="Q1" s="1"/>
    </row>
    <row r="2" spans="1:17" ht="14.45" customHeight="1" x14ac:dyDescent="0.25">
      <c r="Q2" s="1"/>
    </row>
    <row r="3" spans="1:17" ht="14.45" customHeight="1" x14ac:dyDescent="0.25">
      <c r="Q3" s="1"/>
    </row>
    <row r="4" spans="1:17" ht="14.45" customHeight="1" x14ac:dyDescent="0.25">
      <c r="D4" s="96" t="s">
        <v>1</v>
      </c>
      <c r="E4" s="96"/>
      <c r="F4" s="96"/>
      <c r="G4" s="96"/>
      <c r="H4" s="96"/>
      <c r="I4" s="96"/>
      <c r="J4" s="96"/>
      <c r="K4" s="96"/>
      <c r="L4" s="96"/>
      <c r="M4" s="96"/>
      <c r="N4" s="96"/>
      <c r="O4" s="96"/>
      <c r="P4" s="96"/>
      <c r="Q4" s="1"/>
    </row>
    <row r="5" spans="1:17" ht="28.9" customHeight="1" x14ac:dyDescent="0.25">
      <c r="D5" s="10" t="s">
        <v>10</v>
      </c>
      <c r="E5" s="2" t="s">
        <v>11</v>
      </c>
      <c r="F5" s="97" t="s">
        <v>66</v>
      </c>
      <c r="G5" s="99"/>
      <c r="H5" s="99"/>
      <c r="I5" s="99"/>
      <c r="J5" s="99"/>
      <c r="K5" s="99"/>
      <c r="L5" s="99"/>
      <c r="M5" s="99"/>
      <c r="N5" s="99"/>
      <c r="O5" s="99"/>
      <c r="P5" s="98"/>
    </row>
    <row r="6" spans="1:17" ht="28.9" customHeight="1" x14ac:dyDescent="0.25">
      <c r="D6" s="11"/>
      <c r="E6" s="2" t="s">
        <v>14</v>
      </c>
      <c r="F6" s="2" t="s">
        <v>15</v>
      </c>
      <c r="G6" s="2" t="s">
        <v>67</v>
      </c>
      <c r="H6" s="2" t="s">
        <v>68</v>
      </c>
      <c r="I6" s="2" t="s">
        <v>69</v>
      </c>
      <c r="J6" s="2" t="s">
        <v>18</v>
      </c>
      <c r="K6" s="2" t="s">
        <v>19</v>
      </c>
      <c r="L6" s="2" t="s">
        <v>70</v>
      </c>
      <c r="M6" s="2" t="s">
        <v>71</v>
      </c>
      <c r="N6" s="2" t="s">
        <v>72</v>
      </c>
      <c r="O6" s="2" t="s">
        <v>73</v>
      </c>
      <c r="P6" s="2" t="s">
        <v>74</v>
      </c>
    </row>
    <row r="7" spans="1:17" ht="15" customHeight="1" thickBot="1" x14ac:dyDescent="0.3">
      <c r="D7" s="3" t="s">
        <v>5</v>
      </c>
      <c r="E7" s="3" t="s">
        <v>6</v>
      </c>
      <c r="F7" s="3" t="s">
        <v>38</v>
      </c>
      <c r="G7" s="3" t="s">
        <v>39</v>
      </c>
      <c r="H7" s="3" t="s">
        <v>40</v>
      </c>
      <c r="I7" s="3" t="s">
        <v>41</v>
      </c>
      <c r="J7" s="3" t="s">
        <v>42</v>
      </c>
      <c r="K7" s="3" t="s">
        <v>43</v>
      </c>
      <c r="L7" s="3" t="s">
        <v>44</v>
      </c>
      <c r="M7" s="3" t="s">
        <v>46</v>
      </c>
      <c r="N7" s="3" t="s">
        <v>47</v>
      </c>
      <c r="O7" s="3" t="s">
        <v>48</v>
      </c>
      <c r="P7" s="3" t="s">
        <v>49</v>
      </c>
      <c r="Q7" s="1"/>
    </row>
    <row r="8" spans="1:17" ht="30" customHeight="1" thickBot="1" x14ac:dyDescent="0.3">
      <c r="A8" s="12" t="s">
        <v>62</v>
      </c>
      <c r="B8" s="13" t="s">
        <v>75</v>
      </c>
      <c r="C8" s="5" t="s">
        <v>64</v>
      </c>
      <c r="D8" s="14"/>
      <c r="E8" s="15"/>
      <c r="F8" s="15"/>
      <c r="G8" s="15"/>
      <c r="H8" s="15"/>
      <c r="I8" s="15"/>
      <c r="J8" s="15"/>
      <c r="K8" s="15"/>
      <c r="L8" s="15"/>
      <c r="M8" s="15"/>
      <c r="N8" s="15"/>
      <c r="O8" s="15"/>
      <c r="P8" s="16"/>
      <c r="Q8" s="18"/>
    </row>
  </sheetData>
  <mergeCells count="3">
    <mergeCell ref="A1:P1"/>
    <mergeCell ref="D4:P4"/>
    <mergeCell ref="F5:P5"/>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S8"/>
  <sheetViews>
    <sheetView workbookViewId="0">
      <selection activeCell="A8" sqref="A8:XFD8"/>
    </sheetView>
  </sheetViews>
  <sheetFormatPr defaultRowHeight="15" x14ac:dyDescent="0.25"/>
  <cols>
    <col min="1" max="1" width="5.7109375" customWidth="1"/>
    <col min="2" max="2" width="25.7109375" customWidth="1"/>
    <col min="3" max="3" width="4" bestFit="1" customWidth="1"/>
    <col min="4" max="18" width="20.7109375" customWidth="1"/>
    <col min="19" max="19" width="25.7109375" customWidth="1"/>
  </cols>
  <sheetData>
    <row r="1" spans="1:19" ht="14.45" customHeight="1" x14ac:dyDescent="0.25">
      <c r="A1" s="94" t="s">
        <v>256</v>
      </c>
      <c r="B1" s="95"/>
      <c r="C1" s="95"/>
      <c r="D1" s="95"/>
      <c r="E1" s="95"/>
      <c r="F1" s="95"/>
      <c r="G1" s="95"/>
      <c r="H1" s="95"/>
      <c r="I1" s="95"/>
      <c r="J1" s="95"/>
      <c r="K1" s="95"/>
      <c r="L1" s="95"/>
      <c r="M1" s="95"/>
      <c r="N1" s="95"/>
      <c r="O1" s="95"/>
      <c r="P1" s="95"/>
      <c r="Q1" s="95"/>
      <c r="R1" s="95"/>
      <c r="S1" s="1"/>
    </row>
    <row r="2" spans="1:19" ht="14.45" customHeight="1" x14ac:dyDescent="0.25">
      <c r="S2" s="1"/>
    </row>
    <row r="3" spans="1:19" ht="14.45" customHeight="1" x14ac:dyDescent="0.25">
      <c r="S3" s="1"/>
    </row>
    <row r="4" spans="1:19" ht="14.45" customHeight="1" x14ac:dyDescent="0.25">
      <c r="D4" s="96" t="s">
        <v>1</v>
      </c>
      <c r="E4" s="96"/>
      <c r="F4" s="96"/>
      <c r="G4" s="96"/>
      <c r="H4" s="96"/>
      <c r="I4" s="96"/>
      <c r="J4" s="96"/>
      <c r="K4" s="96"/>
      <c r="L4" s="96"/>
      <c r="M4" s="96"/>
      <c r="N4" s="96"/>
      <c r="O4" s="96"/>
      <c r="P4" s="96"/>
      <c r="Q4" s="96"/>
      <c r="R4" s="96"/>
      <c r="S4" s="1"/>
    </row>
    <row r="5" spans="1:19" ht="14.45" customHeight="1" x14ac:dyDescent="0.25">
      <c r="D5" s="10" t="s">
        <v>10</v>
      </c>
      <c r="E5" s="97" t="s">
        <v>11</v>
      </c>
      <c r="F5" s="98"/>
      <c r="G5" s="97" t="s">
        <v>257</v>
      </c>
      <c r="H5" s="99"/>
      <c r="I5" s="99"/>
      <c r="J5" s="99"/>
      <c r="K5" s="99"/>
      <c r="L5" s="99"/>
      <c r="M5" s="99"/>
      <c r="N5" s="99"/>
      <c r="O5" s="99"/>
      <c r="P5" s="99"/>
      <c r="Q5" s="99"/>
      <c r="R5" s="98"/>
    </row>
    <row r="6" spans="1:19" ht="57.6" customHeight="1" x14ac:dyDescent="0.25">
      <c r="D6" s="11"/>
      <c r="E6" s="2" t="s">
        <v>13</v>
      </c>
      <c r="F6" s="2" t="s">
        <v>14</v>
      </c>
      <c r="G6" s="2" t="s">
        <v>258</v>
      </c>
      <c r="H6" s="2" t="s">
        <v>259</v>
      </c>
      <c r="I6" s="2" t="s">
        <v>18</v>
      </c>
      <c r="J6" s="2" t="s">
        <v>19</v>
      </c>
      <c r="K6" s="2" t="s">
        <v>260</v>
      </c>
      <c r="L6" s="2" t="s">
        <v>261</v>
      </c>
      <c r="M6" s="2" t="s">
        <v>262</v>
      </c>
      <c r="N6" s="2" t="s">
        <v>26</v>
      </c>
      <c r="O6" s="2" t="s">
        <v>263</v>
      </c>
      <c r="P6" s="2" t="s">
        <v>264</v>
      </c>
      <c r="Q6" s="2" t="s">
        <v>36</v>
      </c>
      <c r="R6" s="2" t="s">
        <v>92</v>
      </c>
    </row>
    <row r="7" spans="1:19" ht="15" customHeight="1" thickBot="1" x14ac:dyDescent="0.3">
      <c r="D7" s="3" t="s">
        <v>5</v>
      </c>
      <c r="E7" s="3" t="s">
        <v>6</v>
      </c>
      <c r="F7" s="3" t="s">
        <v>38</v>
      </c>
      <c r="G7" s="3" t="s">
        <v>39</v>
      </c>
      <c r="H7" s="3" t="s">
        <v>40</v>
      </c>
      <c r="I7" s="3" t="s">
        <v>42</v>
      </c>
      <c r="J7" s="3" t="s">
        <v>43</v>
      </c>
      <c r="K7" s="3" t="s">
        <v>44</v>
      </c>
      <c r="L7" s="3" t="s">
        <v>46</v>
      </c>
      <c r="M7" s="3" t="s">
        <v>47</v>
      </c>
      <c r="N7" s="3" t="s">
        <v>48</v>
      </c>
      <c r="O7" s="3" t="s">
        <v>49</v>
      </c>
      <c r="P7" s="3" t="s">
        <v>50</v>
      </c>
      <c r="Q7" s="3" t="s">
        <v>51</v>
      </c>
      <c r="R7" s="3" t="s">
        <v>52</v>
      </c>
      <c r="S7" s="1"/>
    </row>
    <row r="8" spans="1:19" ht="30" customHeight="1" thickBot="1" x14ac:dyDescent="0.3">
      <c r="A8" s="12" t="s">
        <v>62</v>
      </c>
      <c r="B8" s="13" t="s">
        <v>265</v>
      </c>
      <c r="C8" s="5" t="s">
        <v>64</v>
      </c>
      <c r="D8" s="14"/>
      <c r="E8" s="15"/>
      <c r="F8" s="15"/>
      <c r="G8" s="15"/>
      <c r="H8" s="15"/>
      <c r="I8" s="15"/>
      <c r="J8" s="15"/>
      <c r="K8" s="15"/>
      <c r="L8" s="15"/>
      <c r="M8" s="15"/>
      <c r="N8" s="15"/>
      <c r="O8" s="15"/>
      <c r="P8" s="15"/>
      <c r="Q8" s="15"/>
      <c r="R8" s="16"/>
      <c r="S8" s="48"/>
    </row>
  </sheetData>
  <mergeCells count="4">
    <mergeCell ref="A1:R1"/>
    <mergeCell ref="D4:R4"/>
    <mergeCell ref="E5:F5"/>
    <mergeCell ref="G5:R5"/>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M17"/>
  <sheetViews>
    <sheetView topLeftCell="F1" workbookViewId="0">
      <selection activeCell="M8" sqref="M8"/>
    </sheetView>
  </sheetViews>
  <sheetFormatPr defaultRowHeight="15" x14ac:dyDescent="0.25"/>
  <cols>
    <col min="1" max="1" width="5.7109375" customWidth="1"/>
    <col min="2" max="2" width="20.28515625" bestFit="1" customWidth="1"/>
    <col min="3" max="3" width="4" bestFit="1" customWidth="1"/>
    <col min="4" max="11" width="20.7109375" customWidth="1"/>
    <col min="12" max="13" width="25.7109375" customWidth="1"/>
  </cols>
  <sheetData>
    <row r="1" spans="1:13" ht="14.45" customHeight="1" x14ac:dyDescent="0.25">
      <c r="A1" s="94" t="s">
        <v>266</v>
      </c>
      <c r="B1" s="95"/>
      <c r="C1" s="95"/>
      <c r="D1" s="95"/>
      <c r="E1" s="95"/>
      <c r="F1" s="95"/>
      <c r="G1" s="95"/>
      <c r="H1" s="95"/>
      <c r="I1" s="95"/>
      <c r="J1" s="95"/>
      <c r="K1" s="95"/>
      <c r="L1" s="1"/>
      <c r="M1" s="1"/>
    </row>
    <row r="2" spans="1:13" ht="14.45" customHeight="1" x14ac:dyDescent="0.25">
      <c r="L2" s="1"/>
      <c r="M2" s="1"/>
    </row>
    <row r="3" spans="1:13" ht="14.45" customHeight="1" x14ac:dyDescent="0.25">
      <c r="L3" s="1"/>
      <c r="M3" s="1"/>
    </row>
    <row r="4" spans="1:13" ht="14.45" customHeight="1" x14ac:dyDescent="0.25">
      <c r="D4" s="96" t="s">
        <v>1</v>
      </c>
      <c r="E4" s="96"/>
      <c r="F4" s="96"/>
      <c r="G4" s="96"/>
      <c r="H4" s="96"/>
      <c r="I4" s="96"/>
      <c r="J4" s="96"/>
      <c r="K4" s="96"/>
      <c r="L4" s="1"/>
      <c r="M4" s="1"/>
    </row>
    <row r="5" spans="1:13" ht="14.45" customHeight="1" x14ac:dyDescent="0.25">
      <c r="D5" s="97" t="s">
        <v>267</v>
      </c>
      <c r="E5" s="99"/>
      <c r="F5" s="99"/>
      <c r="G5" s="99"/>
      <c r="H5" s="99"/>
      <c r="I5" s="99"/>
      <c r="J5" s="99"/>
      <c r="K5" s="98"/>
    </row>
    <row r="6" spans="1:13" ht="28.9" customHeight="1" x14ac:dyDescent="0.25">
      <c r="D6" s="2" t="s">
        <v>268</v>
      </c>
      <c r="E6" s="2" t="s">
        <v>18</v>
      </c>
      <c r="F6" s="2" t="s">
        <v>19</v>
      </c>
      <c r="G6" s="2" t="s">
        <v>269</v>
      </c>
      <c r="H6" s="2" t="s">
        <v>270</v>
      </c>
      <c r="I6" s="2" t="s">
        <v>271</v>
      </c>
      <c r="J6" s="2" t="s">
        <v>272</v>
      </c>
      <c r="K6" s="2" t="s">
        <v>273</v>
      </c>
    </row>
    <row r="7" spans="1:13" ht="15" customHeight="1" thickBot="1" x14ac:dyDescent="0.3">
      <c r="D7" s="3" t="s">
        <v>5</v>
      </c>
      <c r="E7" s="3" t="s">
        <v>6</v>
      </c>
      <c r="F7" s="3" t="s">
        <v>274</v>
      </c>
      <c r="G7" s="3" t="s">
        <v>38</v>
      </c>
      <c r="H7" s="3" t="s">
        <v>39</v>
      </c>
      <c r="I7" s="3" t="s">
        <v>40</v>
      </c>
      <c r="J7" s="3" t="s">
        <v>42</v>
      </c>
      <c r="K7" s="3" t="s">
        <v>44</v>
      </c>
      <c r="L7" s="1"/>
      <c r="M7" s="1"/>
    </row>
    <row r="8" spans="1:13" ht="30" customHeight="1" thickBot="1" x14ac:dyDescent="0.3">
      <c r="A8" s="12" t="s">
        <v>62</v>
      </c>
      <c r="B8" s="13" t="s">
        <v>275</v>
      </c>
      <c r="C8" s="5" t="s">
        <v>64</v>
      </c>
      <c r="D8" s="14" t="s">
        <v>798</v>
      </c>
      <c r="E8" s="15" t="s">
        <v>799</v>
      </c>
      <c r="F8" s="15" t="s">
        <v>372</v>
      </c>
      <c r="G8" s="15" t="s">
        <v>800</v>
      </c>
      <c r="H8" s="15" t="s">
        <v>511</v>
      </c>
      <c r="I8" s="15" t="s">
        <v>801</v>
      </c>
      <c r="J8" s="15" t="s">
        <v>802</v>
      </c>
      <c r="K8" s="16">
        <v>1398018660</v>
      </c>
      <c r="L8" s="49"/>
      <c r="M8" s="21"/>
    </row>
    <row r="9" spans="1:13" ht="24.75" thickBot="1" x14ac:dyDescent="0.3">
      <c r="C9" s="5" t="s">
        <v>64</v>
      </c>
      <c r="D9" s="14" t="s">
        <v>803</v>
      </c>
      <c r="E9" s="15" t="s">
        <v>804</v>
      </c>
      <c r="F9" s="15" t="s">
        <v>372</v>
      </c>
      <c r="G9" s="15" t="s">
        <v>800</v>
      </c>
      <c r="H9" s="15" t="s">
        <v>511</v>
      </c>
      <c r="I9" s="15" t="s">
        <v>801</v>
      </c>
      <c r="J9" s="15" t="s">
        <v>802</v>
      </c>
      <c r="K9" s="16">
        <v>630550000</v>
      </c>
    </row>
    <row r="10" spans="1:13" ht="24.75" thickBot="1" x14ac:dyDescent="0.3">
      <c r="C10" s="5" t="s">
        <v>64</v>
      </c>
      <c r="D10" s="14" t="s">
        <v>805</v>
      </c>
      <c r="E10" s="15" t="s">
        <v>806</v>
      </c>
      <c r="F10" s="15" t="s">
        <v>372</v>
      </c>
      <c r="G10" s="15" t="s">
        <v>800</v>
      </c>
      <c r="H10" s="15" t="s">
        <v>511</v>
      </c>
      <c r="I10" s="15" t="s">
        <v>801</v>
      </c>
      <c r="J10" s="15" t="s">
        <v>802</v>
      </c>
      <c r="K10" s="16">
        <v>628590997.25</v>
      </c>
    </row>
    <row r="11" spans="1:13" ht="24.75" thickBot="1" x14ac:dyDescent="0.3">
      <c r="C11" s="5" t="s">
        <v>64</v>
      </c>
      <c r="D11" s="14" t="s">
        <v>807</v>
      </c>
      <c r="E11" s="15" t="s">
        <v>808</v>
      </c>
      <c r="F11" s="15" t="s">
        <v>372</v>
      </c>
      <c r="G11" s="15" t="s">
        <v>800</v>
      </c>
      <c r="H11" s="15" t="s">
        <v>511</v>
      </c>
      <c r="I11" s="15" t="s">
        <v>801</v>
      </c>
      <c r="J11" s="15" t="s">
        <v>802</v>
      </c>
      <c r="K11" s="16">
        <v>613000000</v>
      </c>
    </row>
    <row r="12" spans="1:13" ht="24.75" thickBot="1" x14ac:dyDescent="0.3">
      <c r="C12" s="5" t="s">
        <v>64</v>
      </c>
      <c r="D12" s="14" t="s">
        <v>809</v>
      </c>
      <c r="E12" s="15" t="s">
        <v>810</v>
      </c>
      <c r="F12" s="15" t="s">
        <v>372</v>
      </c>
      <c r="G12" s="15" t="s">
        <v>800</v>
      </c>
      <c r="H12" s="15" t="s">
        <v>511</v>
      </c>
      <c r="I12" s="15" t="s">
        <v>801</v>
      </c>
      <c r="J12" s="15" t="s">
        <v>802</v>
      </c>
      <c r="K12" s="16">
        <v>600000000</v>
      </c>
    </row>
    <row r="13" spans="1:13" ht="24.75" thickBot="1" x14ac:dyDescent="0.3">
      <c r="C13" s="5" t="s">
        <v>64</v>
      </c>
      <c r="D13" s="14" t="s">
        <v>811</v>
      </c>
      <c r="E13" s="15" t="s">
        <v>812</v>
      </c>
      <c r="F13" s="15" t="s">
        <v>372</v>
      </c>
      <c r="G13" s="15" t="s">
        <v>800</v>
      </c>
      <c r="H13" s="15" t="s">
        <v>511</v>
      </c>
      <c r="I13" s="15" t="s">
        <v>801</v>
      </c>
      <c r="J13" s="15" t="s">
        <v>802</v>
      </c>
      <c r="K13" s="16">
        <v>425500001.96000004</v>
      </c>
    </row>
    <row r="14" spans="1:13" ht="24.75" thickBot="1" x14ac:dyDescent="0.3">
      <c r="C14" s="5" t="s">
        <v>64</v>
      </c>
      <c r="D14" s="14" t="s">
        <v>813</v>
      </c>
      <c r="E14" s="15" t="s">
        <v>814</v>
      </c>
      <c r="F14" s="15" t="s">
        <v>372</v>
      </c>
      <c r="G14" s="15" t="s">
        <v>800</v>
      </c>
      <c r="H14" s="15" t="s">
        <v>511</v>
      </c>
      <c r="I14" s="15" t="s">
        <v>801</v>
      </c>
      <c r="J14" s="15" t="s">
        <v>802</v>
      </c>
      <c r="K14" s="16">
        <v>419605349.25999999</v>
      </c>
    </row>
    <row r="15" spans="1:13" ht="24.75" thickBot="1" x14ac:dyDescent="0.3">
      <c r="C15" s="5" t="s">
        <v>64</v>
      </c>
      <c r="D15" s="14" t="s">
        <v>815</v>
      </c>
      <c r="E15" s="15" t="s">
        <v>816</v>
      </c>
      <c r="F15" s="15" t="s">
        <v>372</v>
      </c>
      <c r="G15" s="15" t="s">
        <v>800</v>
      </c>
      <c r="H15" s="15" t="s">
        <v>511</v>
      </c>
      <c r="I15" s="15" t="s">
        <v>801</v>
      </c>
      <c r="J15" s="15" t="s">
        <v>802</v>
      </c>
      <c r="K15" s="16">
        <v>379649951.52999997</v>
      </c>
    </row>
    <row r="16" spans="1:13" ht="24.75" thickBot="1" x14ac:dyDescent="0.3">
      <c r="C16" s="5" t="s">
        <v>64</v>
      </c>
      <c r="D16" s="14" t="s">
        <v>817</v>
      </c>
      <c r="E16" s="15" t="s">
        <v>818</v>
      </c>
      <c r="F16" s="15" t="s">
        <v>372</v>
      </c>
      <c r="G16" s="15" t="s">
        <v>800</v>
      </c>
      <c r="H16" s="15" t="s">
        <v>511</v>
      </c>
      <c r="I16" s="15" t="s">
        <v>801</v>
      </c>
      <c r="J16" s="15" t="s">
        <v>802</v>
      </c>
      <c r="K16" s="16">
        <v>368500000</v>
      </c>
    </row>
    <row r="17" spans="3:11" ht="24.75" thickBot="1" x14ac:dyDescent="0.3">
      <c r="C17" s="5" t="s">
        <v>64</v>
      </c>
      <c r="D17" s="14" t="s">
        <v>819</v>
      </c>
      <c r="E17" s="15" t="s">
        <v>820</v>
      </c>
      <c r="F17" s="15" t="s">
        <v>372</v>
      </c>
      <c r="G17" s="15" t="s">
        <v>821</v>
      </c>
      <c r="H17" s="15" t="s">
        <v>511</v>
      </c>
      <c r="I17" s="15" t="s">
        <v>801</v>
      </c>
      <c r="J17" s="15" t="s">
        <v>802</v>
      </c>
      <c r="K17" s="16">
        <v>199539110.19999999</v>
      </c>
    </row>
  </sheetData>
  <mergeCells count="3">
    <mergeCell ref="A1:K1"/>
    <mergeCell ref="D4:K4"/>
    <mergeCell ref="D5:K5"/>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F17"/>
  <sheetViews>
    <sheetView workbookViewId="0">
      <selection activeCell="D11" sqref="D11"/>
    </sheetView>
  </sheetViews>
  <sheetFormatPr defaultRowHeight="15" x14ac:dyDescent="0.25"/>
  <cols>
    <col min="1" max="1" width="5.7109375" customWidth="1"/>
    <col min="2" max="2" width="29.7109375" customWidth="1"/>
    <col min="3" max="3" width="5" bestFit="1" customWidth="1"/>
    <col min="4" max="4" width="20.7109375" customWidth="1"/>
    <col min="5" max="6" width="25.7109375" customWidth="1"/>
  </cols>
  <sheetData>
    <row r="1" spans="1:6" ht="14.45" customHeight="1" x14ac:dyDescent="0.25">
      <c r="A1" s="94" t="s">
        <v>283</v>
      </c>
      <c r="B1" s="95"/>
      <c r="C1" s="95"/>
      <c r="D1" s="95"/>
      <c r="E1" s="1"/>
      <c r="F1" s="1"/>
    </row>
    <row r="2" spans="1:6" ht="14.45" customHeight="1" x14ac:dyDescent="0.25">
      <c r="E2" s="1"/>
      <c r="F2" s="1"/>
    </row>
    <row r="3" spans="1:6" ht="14.45" customHeight="1" x14ac:dyDescent="0.25">
      <c r="E3" s="1"/>
      <c r="F3" s="1"/>
    </row>
    <row r="4" spans="1:6" ht="14.45" customHeight="1" x14ac:dyDescent="0.25">
      <c r="D4" s="51" t="s">
        <v>1</v>
      </c>
    </row>
    <row r="5" spans="1:6" ht="14.45" customHeight="1" x14ac:dyDescent="0.25">
      <c r="D5" s="2" t="s">
        <v>284</v>
      </c>
    </row>
    <row r="6" spans="1:6" ht="15" customHeight="1" thickBot="1" x14ac:dyDescent="0.3">
      <c r="D6" s="3" t="s">
        <v>5</v>
      </c>
      <c r="E6" s="1"/>
      <c r="F6" s="1"/>
    </row>
    <row r="7" spans="1:6" ht="14.45" customHeight="1" x14ac:dyDescent="0.25">
      <c r="B7" s="13" t="s">
        <v>285</v>
      </c>
      <c r="C7" s="5" t="s">
        <v>5</v>
      </c>
      <c r="D7" s="52" t="s">
        <v>822</v>
      </c>
      <c r="E7" s="21"/>
      <c r="F7" s="34"/>
    </row>
    <row r="8" spans="1:6" ht="14.45" customHeight="1" x14ac:dyDescent="0.25">
      <c r="B8" s="13" t="s">
        <v>286</v>
      </c>
      <c r="C8" s="5" t="s">
        <v>6</v>
      </c>
      <c r="D8" s="53" t="s">
        <v>823</v>
      </c>
      <c r="E8" s="21"/>
      <c r="F8" s="34"/>
    </row>
    <row r="9" spans="1:6" ht="14.45" customHeight="1" x14ac:dyDescent="0.25">
      <c r="B9" s="13" t="s">
        <v>270</v>
      </c>
      <c r="C9" s="5" t="s">
        <v>38</v>
      </c>
      <c r="D9" s="53" t="s">
        <v>511</v>
      </c>
      <c r="E9" s="21"/>
      <c r="F9" s="34"/>
    </row>
    <row r="10" spans="1:6" ht="14.45" customHeight="1" x14ac:dyDescent="0.25">
      <c r="B10" s="13" t="s">
        <v>287</v>
      </c>
      <c r="C10" s="5" t="s">
        <v>254</v>
      </c>
      <c r="D10" s="53" t="s">
        <v>511</v>
      </c>
      <c r="E10" s="21"/>
      <c r="F10" s="1"/>
    </row>
    <row r="11" spans="1:6" ht="28.9" customHeight="1" x14ac:dyDescent="0.25">
      <c r="B11" s="13" t="s">
        <v>288</v>
      </c>
      <c r="C11" s="5" t="s">
        <v>39</v>
      </c>
      <c r="D11" s="53" t="s">
        <v>824</v>
      </c>
      <c r="E11" s="21"/>
      <c r="F11" s="34"/>
    </row>
    <row r="12" spans="1:6" ht="14.45" customHeight="1" x14ac:dyDescent="0.25">
      <c r="B12" s="13" t="s">
        <v>289</v>
      </c>
      <c r="C12" s="5" t="s">
        <v>40</v>
      </c>
      <c r="D12" s="53" t="s">
        <v>398</v>
      </c>
      <c r="E12" s="21"/>
      <c r="F12" s="34"/>
    </row>
    <row r="13" spans="1:6" ht="14.45" customHeight="1" x14ac:dyDescent="0.25">
      <c r="B13" s="13" t="s">
        <v>290</v>
      </c>
      <c r="C13" s="5" t="s">
        <v>42</v>
      </c>
      <c r="D13" s="53" t="s">
        <v>825</v>
      </c>
      <c r="E13" s="21"/>
      <c r="F13" s="34"/>
    </row>
    <row r="14" spans="1:6" ht="14.45" customHeight="1" x14ac:dyDescent="0.25">
      <c r="B14" s="13" t="s">
        <v>291</v>
      </c>
      <c r="C14" s="5" t="s">
        <v>44</v>
      </c>
      <c r="D14" s="53" t="s">
        <v>826</v>
      </c>
      <c r="E14" s="21"/>
      <c r="F14" s="1"/>
    </row>
    <row r="15" spans="1:6" ht="14.45" customHeight="1" x14ac:dyDescent="0.25">
      <c r="B15" s="13" t="s">
        <v>292</v>
      </c>
      <c r="C15" s="5" t="s">
        <v>46</v>
      </c>
      <c r="D15" s="54" t="s">
        <v>827</v>
      </c>
      <c r="E15" s="21"/>
      <c r="F15" s="1"/>
    </row>
    <row r="16" spans="1:6" ht="14.45" customHeight="1" x14ac:dyDescent="0.25">
      <c r="B16" s="13" t="s">
        <v>293</v>
      </c>
      <c r="C16" s="5" t="s">
        <v>294</v>
      </c>
      <c r="D16" s="53" t="s">
        <v>828</v>
      </c>
      <c r="E16" s="21"/>
      <c r="F16" s="34"/>
    </row>
    <row r="17" spans="2:6" ht="15" customHeight="1" thickBot="1" x14ac:dyDescent="0.3">
      <c r="B17" s="13" t="s">
        <v>295</v>
      </c>
      <c r="C17" s="5" t="s">
        <v>48</v>
      </c>
      <c r="D17" s="55" t="s">
        <v>377</v>
      </c>
      <c r="E17" s="21"/>
      <c r="F17" s="1"/>
    </row>
  </sheetData>
  <mergeCells count="1">
    <mergeCell ref="A1:D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76c42d233f396c620dfe843c8ada89d5">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ee5843f5cb2ee2b6912e5b34715a9ac2"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175EA6-2438-4337-AD61-1D4CB6D1EC90}">
  <ds:schemaRefs>
    <ds:schemaRef ds:uri="http://schemas.microsoft.com/sharepoint/v3/contenttype/forms"/>
  </ds:schemaRefs>
</ds:datastoreItem>
</file>

<file path=customXml/itemProps2.xml><?xml version="1.0" encoding="utf-8"?>
<ds:datastoreItem xmlns:ds="http://schemas.openxmlformats.org/officeDocument/2006/customXml" ds:itemID="{9346B47A-55AD-4EEC-B87D-1AB73CD6292A}"/>
</file>

<file path=customXml/itemProps3.xml><?xml version="1.0" encoding="utf-8"?>
<ds:datastoreItem xmlns:ds="http://schemas.openxmlformats.org/officeDocument/2006/customXml" ds:itemID="{940E36D8-1034-4566-A34C-2EB00AEEEC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TOC</vt:lpstr>
      <vt:lpstr>T 01.00.a</vt:lpstr>
      <vt:lpstr>T 01.00.b</vt:lpstr>
      <vt:lpstr>T 02.00.b</vt:lpstr>
      <vt:lpstr>T 02.00.a</vt:lpstr>
      <vt:lpstr>T 03.01</vt:lpstr>
      <vt:lpstr>T 03.02</vt:lpstr>
      <vt:lpstr>T 03.03</vt:lpstr>
      <vt:lpstr>T 04.00</vt:lpstr>
      <vt:lpstr>T 05.01</vt:lpstr>
      <vt:lpstr>T 06.01</vt:lpstr>
      <vt:lpstr>T 07.00</vt:lpstr>
      <vt:lpstr>T 08.00</vt:lpstr>
      <vt:lpstr>T 09.00</vt:lpstr>
      <vt:lpstr>T 12.00</vt:lpstr>
      <vt:lpstr>T 99.00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Carmo, Marco</dc:creator>
  <cp:lastModifiedBy>Pedro Nuno Capelão Pinto Mendes</cp:lastModifiedBy>
  <dcterms:created xsi:type="dcterms:W3CDTF">2022-12-13T15:23:56Z</dcterms:created>
  <dcterms:modified xsi:type="dcterms:W3CDTF">2023-06-19T10:46:57Z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2023-03-31T16:10:08Z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4f68bd7b-c8b5-44e6-8c65-cd7c59c598f8</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ies>
</file>