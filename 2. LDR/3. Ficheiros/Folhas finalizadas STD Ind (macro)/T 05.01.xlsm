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3" r:id="rId1"/>
    <sheet name="T 05.01" sheetId="2" r:id="rId2"/>
    <sheet name="Depositos" sheetId="1" r:id="rId3"/>
  </sheets>
  <definedNames>
    <definedName name="_xlnm._FilterDatabase" localSheetId="2" hidden="1">Depositos!$A$1:$R$82</definedName>
    <definedName name="_xlnm._FilterDatabase" localSheetId="1" hidden="1">'T 05.01'!$A$7:$V$7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" l="1"/>
  <c r="H8" i="2" s="1"/>
  <c r="I8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8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2" i="2"/>
  <c r="T8" i="2"/>
  <c r="S9" i="2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E91" i="2"/>
  <c r="C92" i="2" s="1"/>
  <c r="E92" i="2"/>
  <c r="C93" i="2" s="1"/>
  <c r="E93" i="2"/>
  <c r="E94" i="2"/>
  <c r="G94" i="2" s="1"/>
  <c r="E95" i="2"/>
  <c r="G95" i="2" s="1"/>
  <c r="E96" i="2"/>
  <c r="C97" i="2" s="1"/>
  <c r="E97" i="2"/>
  <c r="C98" i="2" s="1"/>
  <c r="E98" i="2"/>
  <c r="C99" i="2" s="1"/>
  <c r="E99" i="2"/>
  <c r="C100" i="2" s="1"/>
  <c r="E100" i="2"/>
  <c r="C101" i="2" s="1"/>
  <c r="E101" i="2"/>
  <c r="E102" i="2"/>
  <c r="G102" i="2" s="1"/>
  <c r="E103" i="2"/>
  <c r="G103" i="2" s="1"/>
  <c r="E104" i="2"/>
  <c r="C105" i="2" s="1"/>
  <c r="E105" i="2"/>
  <c r="C106" i="2" s="1"/>
  <c r="E106" i="2"/>
  <c r="C107" i="2" s="1"/>
  <c r="E107" i="2"/>
  <c r="C108" i="2" s="1"/>
  <c r="E108" i="2"/>
  <c r="C109" i="2" s="1"/>
  <c r="E109" i="2"/>
  <c r="E110" i="2"/>
  <c r="G110" i="2" s="1"/>
  <c r="E111" i="2"/>
  <c r="G111" i="2" s="1"/>
  <c r="E112" i="2"/>
  <c r="C113" i="2" s="1"/>
  <c r="E113" i="2"/>
  <c r="C114" i="2" s="1"/>
  <c r="E114" i="2"/>
  <c r="C115" i="2" s="1"/>
  <c r="E115" i="2"/>
  <c r="C116" i="2" s="1"/>
  <c r="E116" i="2"/>
  <c r="C117" i="2" s="1"/>
  <c r="E117" i="2"/>
  <c r="E118" i="2"/>
  <c r="G118" i="2" s="1"/>
  <c r="E119" i="2"/>
  <c r="G119" i="2" s="1"/>
  <c r="E120" i="2"/>
  <c r="C121" i="2" s="1"/>
  <c r="E121" i="2"/>
  <c r="C122" i="2" s="1"/>
  <c r="E122" i="2"/>
  <c r="C123" i="2" s="1"/>
  <c r="E123" i="2"/>
  <c r="C124" i="2" s="1"/>
  <c r="E124" i="2"/>
  <c r="C125" i="2" s="1"/>
  <c r="E125" i="2"/>
  <c r="E126" i="2"/>
  <c r="G126" i="2" s="1"/>
  <c r="E127" i="2"/>
  <c r="G127" i="2" s="1"/>
  <c r="E128" i="2"/>
  <c r="C129" i="2" s="1"/>
  <c r="E129" i="2"/>
  <c r="C130" i="2" s="1"/>
  <c r="E130" i="2"/>
  <c r="C131" i="2" s="1"/>
  <c r="E131" i="2"/>
  <c r="C132" i="2" s="1"/>
  <c r="E132" i="2"/>
  <c r="C133" i="2" s="1"/>
  <c r="E133" i="2"/>
  <c r="E134" i="2"/>
  <c r="G134" i="2" s="1"/>
  <c r="E135" i="2"/>
  <c r="G135" i="2" s="1"/>
  <c r="E136" i="2"/>
  <c r="C137" i="2" s="1"/>
  <c r="E137" i="2"/>
  <c r="C138" i="2" s="1"/>
  <c r="E138" i="2"/>
  <c r="C139" i="2" s="1"/>
  <c r="E139" i="2"/>
  <c r="C140" i="2" s="1"/>
  <c r="E140" i="2"/>
  <c r="C141" i="2" s="1"/>
  <c r="E141" i="2"/>
  <c r="E142" i="2"/>
  <c r="G142" i="2" s="1"/>
  <c r="E143" i="2"/>
  <c r="G143" i="2" s="1"/>
  <c r="E144" i="2"/>
  <c r="C145" i="2" s="1"/>
  <c r="E145" i="2"/>
  <c r="C146" i="2" s="1"/>
  <c r="E146" i="2"/>
  <c r="C147" i="2" s="1"/>
  <c r="E147" i="2"/>
  <c r="C148" i="2" s="1"/>
  <c r="E148" i="2"/>
  <c r="C149" i="2" s="1"/>
  <c r="E149" i="2"/>
  <c r="E150" i="2"/>
  <c r="G150" i="2" s="1"/>
  <c r="E151" i="2"/>
  <c r="G151" i="2" s="1"/>
  <c r="E152" i="2"/>
  <c r="C153" i="2" s="1"/>
  <c r="E153" i="2"/>
  <c r="C154" i="2" s="1"/>
  <c r="E154" i="2"/>
  <c r="C155" i="2" s="1"/>
  <c r="E155" i="2"/>
  <c r="C156" i="2" s="1"/>
  <c r="E156" i="2"/>
  <c r="C157" i="2" s="1"/>
  <c r="E157" i="2"/>
  <c r="E158" i="2"/>
  <c r="G158" i="2" s="1"/>
  <c r="E159" i="2"/>
  <c r="G159" i="2" s="1"/>
  <c r="E160" i="2"/>
  <c r="C161" i="2" s="1"/>
  <c r="E161" i="2"/>
  <c r="C162" i="2" s="1"/>
  <c r="E162" i="2"/>
  <c r="C163" i="2" s="1"/>
  <c r="E163" i="2"/>
  <c r="C164" i="2" s="1"/>
  <c r="E164" i="2"/>
  <c r="C165" i="2" s="1"/>
  <c r="E165" i="2"/>
  <c r="E166" i="2"/>
  <c r="G166" i="2" s="1"/>
  <c r="E167" i="2"/>
  <c r="G167" i="2" s="1"/>
  <c r="E168" i="2"/>
  <c r="E90" i="2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R2" i="1"/>
  <c r="R3" i="1"/>
  <c r="R55" i="1"/>
  <c r="R25" i="1"/>
  <c r="R38" i="1"/>
  <c r="R56" i="1"/>
  <c r="R4" i="1"/>
  <c r="R5" i="1"/>
  <c r="R6" i="1"/>
  <c r="R26" i="1"/>
  <c r="R39" i="1"/>
  <c r="R27" i="1"/>
  <c r="R40" i="1"/>
  <c r="R28" i="1"/>
  <c r="R41" i="1"/>
  <c r="R57" i="1"/>
  <c r="R7" i="1"/>
  <c r="R58" i="1"/>
  <c r="R76" i="1"/>
  <c r="R8" i="1"/>
  <c r="R9" i="1"/>
  <c r="R59" i="1"/>
  <c r="R29" i="1"/>
  <c r="R60" i="1"/>
  <c r="R42" i="1"/>
  <c r="R10" i="1"/>
  <c r="R61" i="1"/>
  <c r="R43" i="1"/>
  <c r="R62" i="1"/>
  <c r="R30" i="1"/>
  <c r="R44" i="1"/>
  <c r="R11" i="1"/>
  <c r="R63" i="1"/>
  <c r="R12" i="1"/>
  <c r="R13" i="1"/>
  <c r="R31" i="1"/>
  <c r="R45" i="1"/>
  <c r="R14" i="1"/>
  <c r="R64" i="1"/>
  <c r="R65" i="1"/>
  <c r="R32" i="1"/>
  <c r="R46" i="1"/>
  <c r="R77" i="1"/>
  <c r="R15" i="1"/>
  <c r="R16" i="1"/>
  <c r="R66" i="1"/>
  <c r="R67" i="1"/>
  <c r="R33" i="1"/>
  <c r="R47" i="1"/>
  <c r="R78" i="1"/>
  <c r="R17" i="1"/>
  <c r="R18" i="1"/>
  <c r="R68" i="1"/>
  <c r="R69" i="1"/>
  <c r="R34" i="1"/>
  <c r="R48" i="1"/>
  <c r="R19" i="1"/>
  <c r="R20" i="1"/>
  <c r="R70" i="1"/>
  <c r="R73" i="1"/>
  <c r="R35" i="1"/>
  <c r="R49" i="1"/>
  <c r="R53" i="1"/>
  <c r="R79" i="1"/>
  <c r="R80" i="1"/>
  <c r="R81" i="1"/>
  <c r="R21" i="1"/>
  <c r="R22" i="1"/>
  <c r="R23" i="1"/>
  <c r="R82" i="1"/>
  <c r="R74" i="1"/>
  <c r="R75" i="1"/>
  <c r="R71" i="1"/>
  <c r="R36" i="1"/>
  <c r="R50" i="1"/>
  <c r="R51" i="1"/>
  <c r="R54" i="1"/>
  <c r="R24" i="1"/>
  <c r="R72" i="1"/>
  <c r="R37" i="1"/>
  <c r="R52" i="1"/>
  <c r="T57" i="2" l="1"/>
  <c r="T25" i="2"/>
  <c r="T18" i="2"/>
  <c r="C127" i="2"/>
  <c r="G156" i="2"/>
  <c r="C135" i="2"/>
  <c r="G148" i="2"/>
  <c r="G140" i="2"/>
  <c r="C119" i="2"/>
  <c r="G132" i="2"/>
  <c r="C111" i="2"/>
  <c r="G124" i="2"/>
  <c r="C167" i="2"/>
  <c r="C103" i="2"/>
  <c r="G116" i="2"/>
  <c r="C159" i="2"/>
  <c r="C95" i="2"/>
  <c r="G108" i="2"/>
  <c r="C151" i="2"/>
  <c r="G164" i="2"/>
  <c r="G100" i="2"/>
  <c r="C143" i="2"/>
  <c r="D10" i="2"/>
  <c r="D11" i="2" s="1"/>
  <c r="D12" i="2" s="1"/>
  <c r="T145" i="2"/>
  <c r="T113" i="2"/>
  <c r="T81" i="2"/>
  <c r="T49" i="2"/>
  <c r="T17" i="2"/>
  <c r="T138" i="2"/>
  <c r="T106" i="2"/>
  <c r="T74" i="2"/>
  <c r="T42" i="2"/>
  <c r="T10" i="2"/>
  <c r="T146" i="2"/>
  <c r="T50" i="2"/>
  <c r="T137" i="2"/>
  <c r="T105" i="2"/>
  <c r="T73" i="2"/>
  <c r="T41" i="2"/>
  <c r="T9" i="2"/>
  <c r="T114" i="2"/>
  <c r="T162" i="2"/>
  <c r="T98" i="2"/>
  <c r="T34" i="2"/>
  <c r="T161" i="2"/>
  <c r="T129" i="2"/>
  <c r="T97" i="2"/>
  <c r="T65" i="2"/>
  <c r="T33" i="2"/>
  <c r="T153" i="2"/>
  <c r="T121" i="2"/>
  <c r="T89" i="2"/>
  <c r="T82" i="2"/>
  <c r="T130" i="2"/>
  <c r="T66" i="2"/>
  <c r="T154" i="2"/>
  <c r="T122" i="2"/>
  <c r="T90" i="2"/>
  <c r="T58" i="2"/>
  <c r="T26" i="2"/>
  <c r="H10" i="2"/>
  <c r="I10" i="2" s="1"/>
  <c r="C91" i="2"/>
  <c r="G90" i="2"/>
  <c r="C158" i="2"/>
  <c r="G157" i="2"/>
  <c r="C142" i="2"/>
  <c r="G141" i="2"/>
  <c r="C126" i="2"/>
  <c r="G125" i="2"/>
  <c r="C110" i="2"/>
  <c r="G109" i="2"/>
  <c r="C94" i="2"/>
  <c r="G93" i="2"/>
  <c r="C166" i="2"/>
  <c r="G165" i="2"/>
  <c r="C150" i="2"/>
  <c r="G149" i="2"/>
  <c r="C134" i="2"/>
  <c r="G133" i="2"/>
  <c r="C118" i="2"/>
  <c r="G117" i="2"/>
  <c r="C102" i="2"/>
  <c r="G101" i="2"/>
  <c r="D13" i="2"/>
  <c r="H11" i="2"/>
  <c r="I11" i="2" s="1"/>
  <c r="T163" i="2"/>
  <c r="T155" i="2"/>
  <c r="T147" i="2"/>
  <c r="T139" i="2"/>
  <c r="T131" i="2"/>
  <c r="T123" i="2"/>
  <c r="T115" i="2"/>
  <c r="T107" i="2"/>
  <c r="T99" i="2"/>
  <c r="T91" i="2"/>
  <c r="T83" i="2"/>
  <c r="T75" i="2"/>
  <c r="T67" i="2"/>
  <c r="T59" i="2"/>
  <c r="T51" i="2"/>
  <c r="T43" i="2"/>
  <c r="T35" i="2"/>
  <c r="T27" i="2"/>
  <c r="T19" i="2"/>
  <c r="T11" i="2"/>
  <c r="C168" i="2"/>
  <c r="C160" i="2"/>
  <c r="C152" i="2"/>
  <c r="C144" i="2"/>
  <c r="C136" i="2"/>
  <c r="C128" i="2"/>
  <c r="C120" i="2"/>
  <c r="C112" i="2"/>
  <c r="C104" i="2"/>
  <c r="C96" i="2"/>
  <c r="G163" i="2"/>
  <c r="G155" i="2"/>
  <c r="G147" i="2"/>
  <c r="G139" i="2"/>
  <c r="G131" i="2"/>
  <c r="G123" i="2"/>
  <c r="G115" i="2"/>
  <c r="G107" i="2"/>
  <c r="G99" i="2"/>
  <c r="G91" i="2"/>
  <c r="H9" i="2"/>
  <c r="I9" i="2" s="1"/>
  <c r="T168" i="2"/>
  <c r="T160" i="2"/>
  <c r="T152" i="2"/>
  <c r="T144" i="2"/>
  <c r="T136" i="2"/>
  <c r="T128" i="2"/>
  <c r="T120" i="2"/>
  <c r="T112" i="2"/>
  <c r="T104" i="2"/>
  <c r="T96" i="2"/>
  <c r="T88" i="2"/>
  <c r="T80" i="2"/>
  <c r="T72" i="2"/>
  <c r="T64" i="2"/>
  <c r="T56" i="2"/>
  <c r="T48" i="2"/>
  <c r="T40" i="2"/>
  <c r="T32" i="2"/>
  <c r="T24" i="2"/>
  <c r="T16" i="2"/>
  <c r="G162" i="2"/>
  <c r="G154" i="2"/>
  <c r="G146" i="2"/>
  <c r="G138" i="2"/>
  <c r="G130" i="2"/>
  <c r="G122" i="2"/>
  <c r="G114" i="2"/>
  <c r="G106" i="2"/>
  <c r="G98" i="2"/>
  <c r="T167" i="2"/>
  <c r="T159" i="2"/>
  <c r="T151" i="2"/>
  <c r="T143" i="2"/>
  <c r="T135" i="2"/>
  <c r="T127" i="2"/>
  <c r="T119" i="2"/>
  <c r="T111" i="2"/>
  <c r="T103" i="2"/>
  <c r="T95" i="2"/>
  <c r="T87" i="2"/>
  <c r="T79" i="2"/>
  <c r="T71" i="2"/>
  <c r="T63" i="2"/>
  <c r="T55" i="2"/>
  <c r="T47" i="2"/>
  <c r="T39" i="2"/>
  <c r="T31" i="2"/>
  <c r="T23" i="2"/>
  <c r="T15" i="2"/>
  <c r="G161" i="2"/>
  <c r="G153" i="2"/>
  <c r="G145" i="2"/>
  <c r="G137" i="2"/>
  <c r="G129" i="2"/>
  <c r="G121" i="2"/>
  <c r="G113" i="2"/>
  <c r="G105" i="2"/>
  <c r="G97" i="2"/>
  <c r="T166" i="2"/>
  <c r="T158" i="2"/>
  <c r="T150" i="2"/>
  <c r="T142" i="2"/>
  <c r="T134" i="2"/>
  <c r="T126" i="2"/>
  <c r="T118" i="2"/>
  <c r="T110" i="2"/>
  <c r="T102" i="2"/>
  <c r="T94" i="2"/>
  <c r="T86" i="2"/>
  <c r="T78" i="2"/>
  <c r="T70" i="2"/>
  <c r="T62" i="2"/>
  <c r="T54" i="2"/>
  <c r="T46" i="2"/>
  <c r="T38" i="2"/>
  <c r="T30" i="2"/>
  <c r="T22" i="2"/>
  <c r="T14" i="2"/>
  <c r="G168" i="2"/>
  <c r="G160" i="2"/>
  <c r="G152" i="2"/>
  <c r="G144" i="2"/>
  <c r="G136" i="2"/>
  <c r="G128" i="2"/>
  <c r="G120" i="2"/>
  <c r="G112" i="2"/>
  <c r="G104" i="2"/>
  <c r="G96" i="2"/>
  <c r="T165" i="2"/>
  <c r="T157" i="2"/>
  <c r="T149" i="2"/>
  <c r="T141" i="2"/>
  <c r="T133" i="2"/>
  <c r="T125" i="2"/>
  <c r="T117" i="2"/>
  <c r="T109" i="2"/>
  <c r="T101" i="2"/>
  <c r="T93" i="2"/>
  <c r="T85" i="2"/>
  <c r="T77" i="2"/>
  <c r="T69" i="2"/>
  <c r="T61" i="2"/>
  <c r="T53" i="2"/>
  <c r="T45" i="2"/>
  <c r="T37" i="2"/>
  <c r="T29" i="2"/>
  <c r="T21" i="2"/>
  <c r="T13" i="2"/>
  <c r="T164" i="2"/>
  <c r="T156" i="2"/>
  <c r="T148" i="2"/>
  <c r="T140" i="2"/>
  <c r="T132" i="2"/>
  <c r="T124" i="2"/>
  <c r="T116" i="2"/>
  <c r="T108" i="2"/>
  <c r="T100" i="2"/>
  <c r="T92" i="2"/>
  <c r="T84" i="2"/>
  <c r="T76" i="2"/>
  <c r="T68" i="2"/>
  <c r="T60" i="2"/>
  <c r="T52" i="2"/>
  <c r="T44" i="2"/>
  <c r="T36" i="2"/>
  <c r="T28" i="2"/>
  <c r="T20" i="2"/>
  <c r="T12" i="2"/>
  <c r="D14" i="2" l="1"/>
  <c r="H12" i="2"/>
  <c r="I12" i="2" s="1"/>
  <c r="D15" i="2" l="1"/>
  <c r="H13" i="2"/>
  <c r="I13" i="2" s="1"/>
  <c r="D16" i="2" l="1"/>
  <c r="H14" i="2"/>
  <c r="I14" i="2" s="1"/>
  <c r="D17" i="2" l="1"/>
  <c r="H15" i="2"/>
  <c r="I15" i="2" s="1"/>
  <c r="D18" i="2" l="1"/>
  <c r="H16" i="2"/>
  <c r="I16" i="2" s="1"/>
  <c r="D19" i="2" l="1"/>
  <c r="H17" i="2"/>
  <c r="I17" i="2" s="1"/>
  <c r="D20" i="2" l="1"/>
  <c r="H18" i="2"/>
  <c r="I18" i="2" s="1"/>
  <c r="D21" i="2" l="1"/>
  <c r="H19" i="2"/>
  <c r="I19" i="2" s="1"/>
  <c r="D22" i="2" l="1"/>
  <c r="H20" i="2"/>
  <c r="I20" i="2" s="1"/>
  <c r="D23" i="2" l="1"/>
  <c r="H21" i="2"/>
  <c r="I21" i="2" s="1"/>
  <c r="D24" i="2" l="1"/>
  <c r="H22" i="2"/>
  <c r="I22" i="2" s="1"/>
  <c r="D25" i="2" l="1"/>
  <c r="H23" i="2"/>
  <c r="I23" i="2" s="1"/>
  <c r="D26" i="2" l="1"/>
  <c r="H24" i="2"/>
  <c r="I24" i="2" s="1"/>
  <c r="D27" i="2" l="1"/>
  <c r="H25" i="2"/>
  <c r="I25" i="2" s="1"/>
  <c r="D28" i="2" l="1"/>
  <c r="H26" i="2"/>
  <c r="I26" i="2" s="1"/>
  <c r="D29" i="2" l="1"/>
  <c r="H27" i="2"/>
  <c r="I27" i="2" s="1"/>
  <c r="D30" i="2" l="1"/>
  <c r="H28" i="2"/>
  <c r="I28" i="2" s="1"/>
  <c r="D31" i="2" l="1"/>
  <c r="H29" i="2"/>
  <c r="I29" i="2" s="1"/>
  <c r="D32" i="2" l="1"/>
  <c r="H30" i="2"/>
  <c r="I30" i="2" s="1"/>
  <c r="D33" i="2" l="1"/>
  <c r="H31" i="2"/>
  <c r="I31" i="2" s="1"/>
  <c r="D34" i="2" l="1"/>
  <c r="H32" i="2"/>
  <c r="I32" i="2" s="1"/>
  <c r="D35" i="2" l="1"/>
  <c r="H33" i="2"/>
  <c r="I33" i="2" s="1"/>
  <c r="D36" i="2" l="1"/>
  <c r="H34" i="2"/>
  <c r="I34" i="2" s="1"/>
  <c r="D37" i="2" l="1"/>
  <c r="H35" i="2"/>
  <c r="I35" i="2" s="1"/>
  <c r="D38" i="2" l="1"/>
  <c r="H36" i="2"/>
  <c r="I36" i="2" s="1"/>
  <c r="D39" i="2" l="1"/>
  <c r="H37" i="2"/>
  <c r="I37" i="2" s="1"/>
  <c r="D40" i="2" l="1"/>
  <c r="H38" i="2"/>
  <c r="I38" i="2" s="1"/>
  <c r="D41" i="2" l="1"/>
  <c r="H39" i="2"/>
  <c r="I39" i="2" s="1"/>
  <c r="D42" i="2" l="1"/>
  <c r="H40" i="2"/>
  <c r="I40" i="2" s="1"/>
  <c r="D43" i="2" l="1"/>
  <c r="H41" i="2"/>
  <c r="I41" i="2" s="1"/>
  <c r="D44" i="2" l="1"/>
  <c r="H42" i="2"/>
  <c r="I42" i="2" s="1"/>
  <c r="D45" i="2" l="1"/>
  <c r="H43" i="2"/>
  <c r="I43" i="2" s="1"/>
  <c r="D46" i="2" l="1"/>
  <c r="H44" i="2"/>
  <c r="I44" i="2" s="1"/>
  <c r="D47" i="2" l="1"/>
  <c r="H45" i="2"/>
  <c r="I45" i="2" s="1"/>
  <c r="D48" i="2" l="1"/>
  <c r="H46" i="2"/>
  <c r="I46" i="2" s="1"/>
  <c r="D49" i="2" l="1"/>
  <c r="H47" i="2"/>
  <c r="I47" i="2" s="1"/>
  <c r="D50" i="2" l="1"/>
  <c r="H48" i="2"/>
  <c r="I48" i="2" s="1"/>
  <c r="D51" i="2" l="1"/>
  <c r="H49" i="2"/>
  <c r="I49" i="2" s="1"/>
  <c r="D52" i="2" l="1"/>
  <c r="H50" i="2"/>
  <c r="I50" i="2" s="1"/>
  <c r="D53" i="2" l="1"/>
  <c r="H51" i="2"/>
  <c r="I51" i="2" s="1"/>
  <c r="D54" i="2" l="1"/>
  <c r="H52" i="2"/>
  <c r="I52" i="2" s="1"/>
  <c r="D55" i="2" l="1"/>
  <c r="H53" i="2"/>
  <c r="I53" i="2" s="1"/>
  <c r="D56" i="2" l="1"/>
  <c r="H54" i="2"/>
  <c r="I54" i="2" s="1"/>
  <c r="D57" i="2" l="1"/>
  <c r="H55" i="2"/>
  <c r="I55" i="2" s="1"/>
  <c r="D58" i="2" l="1"/>
  <c r="H56" i="2"/>
  <c r="I56" i="2" s="1"/>
  <c r="D59" i="2" l="1"/>
  <c r="H57" i="2"/>
  <c r="I57" i="2" s="1"/>
  <c r="D60" i="2" l="1"/>
  <c r="H58" i="2"/>
  <c r="I58" i="2" s="1"/>
  <c r="D61" i="2" l="1"/>
  <c r="H59" i="2"/>
  <c r="I59" i="2" s="1"/>
  <c r="D62" i="2" l="1"/>
  <c r="H60" i="2"/>
  <c r="I60" i="2" s="1"/>
  <c r="D63" i="2" l="1"/>
  <c r="H61" i="2"/>
  <c r="I61" i="2" s="1"/>
  <c r="D64" i="2" l="1"/>
  <c r="H62" i="2"/>
  <c r="I62" i="2" s="1"/>
  <c r="D65" i="2" l="1"/>
  <c r="H63" i="2"/>
  <c r="I63" i="2" s="1"/>
  <c r="D66" i="2" l="1"/>
  <c r="H64" i="2"/>
  <c r="I64" i="2" s="1"/>
  <c r="D67" i="2" l="1"/>
  <c r="H65" i="2"/>
  <c r="I65" i="2" s="1"/>
  <c r="D68" i="2" l="1"/>
  <c r="H66" i="2"/>
  <c r="I66" i="2" s="1"/>
  <c r="D69" i="2" l="1"/>
  <c r="H67" i="2"/>
  <c r="I67" i="2" s="1"/>
  <c r="D70" i="2" l="1"/>
  <c r="H68" i="2"/>
  <c r="I68" i="2" s="1"/>
  <c r="D71" i="2" l="1"/>
  <c r="H69" i="2"/>
  <c r="I69" i="2" s="1"/>
  <c r="D72" i="2" l="1"/>
  <c r="H70" i="2"/>
  <c r="I70" i="2" s="1"/>
  <c r="D73" i="2" l="1"/>
  <c r="H71" i="2"/>
  <c r="I71" i="2" s="1"/>
  <c r="D74" i="2" l="1"/>
  <c r="H72" i="2"/>
  <c r="I72" i="2" s="1"/>
  <c r="D75" i="2" l="1"/>
  <c r="H73" i="2"/>
  <c r="I73" i="2" s="1"/>
  <c r="D76" i="2" l="1"/>
  <c r="H74" i="2"/>
  <c r="I74" i="2" s="1"/>
  <c r="D77" i="2" l="1"/>
  <c r="H75" i="2"/>
  <c r="I75" i="2" s="1"/>
  <c r="D78" i="2" l="1"/>
  <c r="H76" i="2"/>
  <c r="I76" i="2" s="1"/>
  <c r="D79" i="2" l="1"/>
  <c r="H77" i="2"/>
  <c r="I77" i="2" s="1"/>
  <c r="D80" i="2" l="1"/>
  <c r="H78" i="2"/>
  <c r="I78" i="2" s="1"/>
  <c r="D81" i="2" l="1"/>
  <c r="H79" i="2"/>
  <c r="I79" i="2" s="1"/>
  <c r="D82" i="2" l="1"/>
  <c r="H80" i="2"/>
  <c r="I80" i="2" s="1"/>
  <c r="D83" i="2" l="1"/>
  <c r="H81" i="2"/>
  <c r="I81" i="2" s="1"/>
  <c r="D84" i="2" l="1"/>
  <c r="H82" i="2"/>
  <c r="I82" i="2" s="1"/>
  <c r="D85" i="2" l="1"/>
  <c r="H83" i="2"/>
  <c r="I83" i="2" s="1"/>
  <c r="D86" i="2" l="1"/>
  <c r="H84" i="2"/>
  <c r="I84" i="2" s="1"/>
  <c r="D87" i="2" l="1"/>
  <c r="H85" i="2"/>
  <c r="I85" i="2" s="1"/>
  <c r="D88" i="2" l="1"/>
  <c r="H86" i="2"/>
  <c r="I86" i="2" s="1"/>
  <c r="D89" i="2" l="1"/>
  <c r="H87" i="2"/>
  <c r="I87" i="2" s="1"/>
  <c r="D90" i="2" l="1"/>
  <c r="H88" i="2"/>
  <c r="I88" i="2" s="1"/>
  <c r="D91" i="2" l="1"/>
  <c r="H89" i="2"/>
  <c r="I89" i="2" s="1"/>
  <c r="D92" i="2" l="1"/>
  <c r="H90" i="2"/>
  <c r="I90" i="2" s="1"/>
  <c r="D93" i="2" l="1"/>
  <c r="H91" i="2"/>
  <c r="I91" i="2" s="1"/>
  <c r="D94" i="2" l="1"/>
  <c r="H92" i="2"/>
  <c r="I92" i="2" s="1"/>
  <c r="D95" i="2" l="1"/>
  <c r="H93" i="2"/>
  <c r="I93" i="2" s="1"/>
  <c r="D96" i="2" l="1"/>
  <c r="H94" i="2"/>
  <c r="I94" i="2" s="1"/>
  <c r="D97" i="2" l="1"/>
  <c r="H95" i="2"/>
  <c r="I95" i="2" s="1"/>
  <c r="D98" i="2" l="1"/>
  <c r="H96" i="2"/>
  <c r="I96" i="2" s="1"/>
  <c r="D99" i="2" l="1"/>
  <c r="H97" i="2"/>
  <c r="I97" i="2" s="1"/>
  <c r="D100" i="2" l="1"/>
  <c r="H98" i="2"/>
  <c r="I98" i="2" s="1"/>
  <c r="D101" i="2" l="1"/>
  <c r="H99" i="2"/>
  <c r="I99" i="2" s="1"/>
  <c r="D102" i="2" l="1"/>
  <c r="H100" i="2"/>
  <c r="I100" i="2" s="1"/>
  <c r="D103" i="2" l="1"/>
  <c r="H101" i="2"/>
  <c r="I101" i="2" s="1"/>
  <c r="D104" i="2" l="1"/>
  <c r="H102" i="2"/>
  <c r="I102" i="2" s="1"/>
  <c r="D105" i="2" l="1"/>
  <c r="H103" i="2"/>
  <c r="I103" i="2" s="1"/>
  <c r="D106" i="2" l="1"/>
  <c r="H104" i="2"/>
  <c r="I104" i="2" s="1"/>
  <c r="D107" i="2" l="1"/>
  <c r="H105" i="2"/>
  <c r="I105" i="2" s="1"/>
  <c r="D108" i="2" l="1"/>
  <c r="H106" i="2"/>
  <c r="I106" i="2" s="1"/>
  <c r="D109" i="2" l="1"/>
  <c r="H107" i="2"/>
  <c r="I107" i="2" s="1"/>
  <c r="D110" i="2" l="1"/>
  <c r="H108" i="2"/>
  <c r="I108" i="2" s="1"/>
  <c r="D111" i="2" l="1"/>
  <c r="H109" i="2"/>
  <c r="I109" i="2" s="1"/>
  <c r="D112" i="2" l="1"/>
  <c r="H110" i="2"/>
  <c r="I110" i="2" s="1"/>
  <c r="D113" i="2" l="1"/>
  <c r="H111" i="2"/>
  <c r="I111" i="2" s="1"/>
  <c r="D114" i="2" l="1"/>
  <c r="H112" i="2"/>
  <c r="I112" i="2" s="1"/>
  <c r="D115" i="2" l="1"/>
  <c r="H113" i="2"/>
  <c r="I113" i="2" s="1"/>
  <c r="D116" i="2" l="1"/>
  <c r="H114" i="2"/>
  <c r="I114" i="2" s="1"/>
  <c r="D117" i="2" l="1"/>
  <c r="H115" i="2"/>
  <c r="I115" i="2" s="1"/>
  <c r="D118" i="2" l="1"/>
  <c r="H116" i="2"/>
  <c r="I116" i="2" s="1"/>
  <c r="D119" i="2" l="1"/>
  <c r="H117" i="2"/>
  <c r="I117" i="2" s="1"/>
  <c r="D120" i="2" l="1"/>
  <c r="H118" i="2"/>
  <c r="I118" i="2" s="1"/>
  <c r="D121" i="2" l="1"/>
  <c r="H119" i="2"/>
  <c r="I119" i="2" s="1"/>
  <c r="D122" i="2" l="1"/>
  <c r="H120" i="2"/>
  <c r="I120" i="2" s="1"/>
  <c r="D123" i="2" l="1"/>
  <c r="H121" i="2"/>
  <c r="I121" i="2" s="1"/>
  <c r="D124" i="2" l="1"/>
  <c r="H122" i="2"/>
  <c r="I122" i="2" s="1"/>
  <c r="D125" i="2" l="1"/>
  <c r="H123" i="2"/>
  <c r="I123" i="2" s="1"/>
  <c r="D126" i="2" l="1"/>
  <c r="H124" i="2"/>
  <c r="I124" i="2" s="1"/>
  <c r="D127" i="2" l="1"/>
  <c r="H125" i="2"/>
  <c r="I125" i="2" s="1"/>
  <c r="D128" i="2" l="1"/>
  <c r="H126" i="2"/>
  <c r="I126" i="2" s="1"/>
  <c r="D129" i="2" l="1"/>
  <c r="H127" i="2"/>
  <c r="I127" i="2" s="1"/>
  <c r="D130" i="2" l="1"/>
  <c r="H128" i="2"/>
  <c r="I128" i="2" s="1"/>
  <c r="D131" i="2" l="1"/>
  <c r="H129" i="2"/>
  <c r="I129" i="2" s="1"/>
  <c r="D132" i="2" l="1"/>
  <c r="H130" i="2"/>
  <c r="I130" i="2" s="1"/>
  <c r="D133" i="2" l="1"/>
  <c r="H131" i="2"/>
  <c r="I131" i="2" s="1"/>
  <c r="D134" i="2" l="1"/>
  <c r="H132" i="2"/>
  <c r="I132" i="2" s="1"/>
  <c r="D135" i="2" l="1"/>
  <c r="H133" i="2"/>
  <c r="I133" i="2" s="1"/>
  <c r="D136" i="2" l="1"/>
  <c r="H134" i="2"/>
  <c r="I134" i="2" s="1"/>
  <c r="D137" i="2" l="1"/>
  <c r="H135" i="2"/>
  <c r="I135" i="2" s="1"/>
  <c r="D138" i="2" l="1"/>
  <c r="H136" i="2"/>
  <c r="I136" i="2" s="1"/>
  <c r="D139" i="2" l="1"/>
  <c r="H137" i="2"/>
  <c r="I137" i="2" s="1"/>
  <c r="D140" i="2" l="1"/>
  <c r="H138" i="2"/>
  <c r="I138" i="2" s="1"/>
  <c r="D141" i="2" l="1"/>
  <c r="H139" i="2"/>
  <c r="I139" i="2" s="1"/>
  <c r="D142" i="2" l="1"/>
  <c r="H140" i="2"/>
  <c r="I140" i="2" s="1"/>
  <c r="D143" i="2" l="1"/>
  <c r="H141" i="2"/>
  <c r="I141" i="2" s="1"/>
  <c r="D144" i="2" l="1"/>
  <c r="H142" i="2"/>
  <c r="I142" i="2" s="1"/>
  <c r="D145" i="2" l="1"/>
  <c r="H143" i="2"/>
  <c r="I143" i="2" s="1"/>
  <c r="D146" i="2" l="1"/>
  <c r="H144" i="2"/>
  <c r="I144" i="2" s="1"/>
  <c r="D147" i="2" l="1"/>
  <c r="H145" i="2"/>
  <c r="I145" i="2" s="1"/>
  <c r="D148" i="2" l="1"/>
  <c r="H146" i="2"/>
  <c r="I146" i="2" s="1"/>
  <c r="D149" i="2" l="1"/>
  <c r="H147" i="2"/>
  <c r="I147" i="2" s="1"/>
  <c r="D150" i="2" l="1"/>
  <c r="H148" i="2"/>
  <c r="I148" i="2" s="1"/>
  <c r="D151" i="2" l="1"/>
  <c r="H149" i="2"/>
  <c r="I149" i="2" s="1"/>
  <c r="D152" i="2" l="1"/>
  <c r="H150" i="2"/>
  <c r="I150" i="2" s="1"/>
  <c r="D153" i="2" l="1"/>
  <c r="H151" i="2"/>
  <c r="I151" i="2" s="1"/>
  <c r="D154" i="2" l="1"/>
  <c r="H152" i="2"/>
  <c r="I152" i="2" s="1"/>
  <c r="D155" i="2" l="1"/>
  <c r="H153" i="2"/>
  <c r="I153" i="2" s="1"/>
  <c r="D156" i="2" l="1"/>
  <c r="H154" i="2"/>
  <c r="I154" i="2" s="1"/>
  <c r="D157" i="2" l="1"/>
  <c r="H155" i="2"/>
  <c r="I155" i="2" s="1"/>
  <c r="D158" i="2" l="1"/>
  <c r="H156" i="2"/>
  <c r="I156" i="2" s="1"/>
  <c r="D159" i="2" l="1"/>
  <c r="H157" i="2"/>
  <c r="I157" i="2" s="1"/>
  <c r="D160" i="2" l="1"/>
  <c r="H158" i="2"/>
  <c r="I158" i="2" s="1"/>
  <c r="D161" i="2" l="1"/>
  <c r="H159" i="2"/>
  <c r="I159" i="2" s="1"/>
  <c r="D162" i="2" l="1"/>
  <c r="H160" i="2"/>
  <c r="I160" i="2" s="1"/>
  <c r="D163" i="2" l="1"/>
  <c r="H161" i="2"/>
  <c r="I161" i="2" s="1"/>
  <c r="D164" i="2" l="1"/>
  <c r="H162" i="2"/>
  <c r="I162" i="2" s="1"/>
  <c r="D165" i="2" l="1"/>
  <c r="H163" i="2"/>
  <c r="I163" i="2" s="1"/>
  <c r="D166" i="2" l="1"/>
  <c r="H164" i="2"/>
  <c r="I164" i="2" s="1"/>
  <c r="D167" i="2" l="1"/>
  <c r="H165" i="2"/>
  <c r="I165" i="2" s="1"/>
  <c r="D168" i="2" l="1"/>
  <c r="H166" i="2"/>
  <c r="I166" i="2" s="1"/>
  <c r="H167" i="2" l="1"/>
  <c r="I167" i="2" s="1"/>
  <c r="H168" i="2" l="1"/>
  <c r="I168" i="2" s="1"/>
</calcChain>
</file>

<file path=xl/comments1.xml><?xml version="1.0" encoding="utf-8"?>
<comments xmlns="http://schemas.openxmlformats.org/spreadsheetml/2006/main">
  <authors>
    <author>Flávia Daniela Costa Pinho</author>
  </authors>
  <commentList>
    <comment ref="O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Algumas taxas de juro apresentam valores estranhos</t>
        </r>
      </text>
    </comment>
  </commentList>
</comments>
</file>

<file path=xl/sharedStrings.xml><?xml version="1.0" encoding="utf-8"?>
<sst xmlns="http://schemas.openxmlformats.org/spreadsheetml/2006/main" count="1277" uniqueCount="102">
  <si>
    <t>SUM_of_msaldo_final</t>
  </si>
  <si>
    <t>SUM_of_msaldo_final juros</t>
  </si>
  <si>
    <t>SUM_of_msaldo_final s128</t>
  </si>
  <si>
    <t>SUM_of_msaldo_final_juros s128</t>
  </si>
  <si>
    <t>contraparte_i_desc</t>
  </si>
  <si>
    <t>flag_pme</t>
  </si>
  <si>
    <t>AVG_of_tx_contrato_pas</t>
  </si>
  <si>
    <t>AVG_of_tx_contrato_pas juros</t>
  </si>
  <si>
    <t>AVG_of_tx_contrato_pas s128</t>
  </si>
  <si>
    <t>AVG_of_tx_contrato_pas juro s128</t>
  </si>
  <si>
    <t>ref_date</t>
  </si>
  <si>
    <t>csector_inst</t>
  </si>
  <si>
    <t>SUM_of_mcoberto_eu</t>
  </si>
  <si>
    <t>SUM_of_mcoberto_me</t>
  </si>
  <si>
    <t>SUM_of_mcoberto_eur s128</t>
  </si>
  <si>
    <t>SUM_of_mcoberto_me s128</t>
  </si>
  <si>
    <t>outras empresas nao financeiras</t>
  </si>
  <si>
    <t>0</t>
  </si>
  <si>
    <t>1</t>
  </si>
  <si>
    <t>outras instituicoes financeiras</t>
  </si>
  <si>
    <t>particulares</t>
  </si>
  <si>
    <t>instituicoes de credito</t>
  </si>
  <si>
    <t>setor publico</t>
  </si>
  <si>
    <t>S128</t>
  </si>
  <si>
    <t>T 05.01 - All deposits (excluding intra-group)</t>
  </si>
  <si>
    <t>Number</t>
  </si>
  <si>
    <t>Reconciliation with aggregated data</t>
  </si>
  <si>
    <t>All deposits (excluding intra-group)</t>
  </si>
  <si>
    <t>Line</t>
  </si>
  <si>
    <t>Column</t>
  </si>
  <si>
    <t>Insolvency ranking</t>
  </si>
  <si>
    <t>Contract identifier</t>
  </si>
  <si>
    <t>Counterparty identifier (preferably LEI)</t>
  </si>
  <si>
    <t>Type of identifier</t>
  </si>
  <si>
    <t>Governing law</t>
  </si>
  <si>
    <t>Currency</t>
  </si>
  <si>
    <t>Outstanding principal amount</t>
  </si>
  <si>
    <t>Accrued interest</t>
  </si>
  <si>
    <t>Current interest rate (%)</t>
  </si>
  <si>
    <t>Secured/ unsecured</t>
  </si>
  <si>
    <t>Amount of pledge, lien or collateral</t>
  </si>
  <si>
    <t>Issuance date for term deposits</t>
  </si>
  <si>
    <t>Earliest redemption date</t>
  </si>
  <si>
    <t>Funding amount provided by any group entity</t>
  </si>
  <si>
    <t>0010</t>
  </si>
  <si>
    <t>0020</t>
  </si>
  <si>
    <t>0025</t>
  </si>
  <si>
    <t>0030</t>
  </si>
  <si>
    <t>0035</t>
  </si>
  <si>
    <t>0040</t>
  </si>
  <si>
    <t>0045</t>
  </si>
  <si>
    <t>0050</t>
  </si>
  <si>
    <t>0060</t>
  </si>
  <si>
    <t>0070</t>
  </si>
  <si>
    <t>0080</t>
  </si>
  <si>
    <t>0090</t>
  </si>
  <si>
    <t>0100</t>
  </si>
  <si>
    <t>0110</t>
  </si>
  <si>
    <t>0120</t>
  </si>
  <si>
    <t>0130</t>
  </si>
  <si>
    <t>0140</t>
  </si>
  <si>
    <t xml:space="preserve"> ID of deposit(or)</t>
  </si>
  <si>
    <t>c001x   - Households</t>
  </si>
  <si>
    <t>c002x   - Micro &amp; SME</t>
  </si>
  <si>
    <t>c003x   - Corporates</t>
  </si>
  <si>
    <t>c005x   - Other financial corporations</t>
  </si>
  <si>
    <t>c006x   - Insurance firms &amp; pension funds</t>
  </si>
  <si>
    <t>c008x   - Government, central banks &amp; supranationals</t>
  </si>
  <si>
    <t>r0110 - Covered deposits (BRRD art. 44/2/a)</t>
  </si>
  <si>
    <t>c004x   - Institutions</t>
  </si>
  <si>
    <t>Unsecured</t>
  </si>
  <si>
    <t>Type of identifier, other than LEI or MFI code</t>
  </si>
  <si>
    <t>Portugal</t>
  </si>
  <si>
    <t>3- Carregar no button</t>
  </si>
  <si>
    <t>4- Se a macro der erro, verificar que a sheet "Depositos" não tem filtros e recomeçar do inicio</t>
  </si>
  <si>
    <t>Instruções</t>
  </si>
  <si>
    <t>DOLAR AUSTRALIANO</t>
  </si>
  <si>
    <t>DOLAR CANADIANO</t>
  </si>
  <si>
    <t>YUAN REN-MIN-BI</t>
  </si>
  <si>
    <t>COROA DINAMARQUESA</t>
  </si>
  <si>
    <t>IENE JAPONES</t>
  </si>
  <si>
    <t>PESO MEXICANO</t>
  </si>
  <si>
    <t>COROA NORUEGUESA</t>
  </si>
  <si>
    <t>RAND SUL AFRICANO</t>
  </si>
  <si>
    <t>COROA SUECA</t>
  </si>
  <si>
    <t>FRANCO SUICO</t>
  </si>
  <si>
    <t>LIBRA INGLESA</t>
  </si>
  <si>
    <t>DOLAR AMERICANO</t>
  </si>
  <si>
    <t>EURO</t>
  </si>
  <si>
    <t>NOVO ZLOTY POLONIA</t>
  </si>
  <si>
    <t>Tipo de cliente</t>
  </si>
  <si>
    <t>Montante coberto</t>
  </si>
  <si>
    <t>Montante não coberto</t>
  </si>
  <si>
    <t>Juros</t>
  </si>
  <si>
    <t>Valores a zero</t>
  </si>
  <si>
    <t>tayd91c0_gelem30</t>
  </si>
  <si>
    <t>Amount meeting the conditions for MREL eligibility</t>
  </si>
  <si>
    <t>0115</t>
  </si>
  <si>
    <t>1- Apagar a informação que consta na folha "Depositos"</t>
  </si>
  <si>
    <t>2- Copiar a informação da tabela T05.01 extraída do projeto SAS e copiar para a folha "Depositos"</t>
  </si>
  <si>
    <t>2022-12-31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</si>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</sst>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0"/>
    <numFmt numFmtId="165" formatCode="dd\-mm\-yyyy;@"/>
    <numFmt numFmtId="166" formatCode="0.00000"/>
    <numFmt numFmtId="167" formatCode="0.00000000"/>
  </numFmts>
  <fonts count="10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14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14"/>
      <name val="Calibri"/>
      <family val="2"/>
      <scheme val="minor"/>
    </font>
    <font>
      <b/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164" fontId="0" fillId="0" borderId="0" xfId="0" applyNumberFormat="1"/>
    <xf numFmtId="0" fontId="5" fillId="0" borderId="8" xfId="1" applyNumberFormat="1" applyFont="1" applyBorder="1" applyAlignment="1">
      <alignment horizontal="center" vertical="center" wrapText="1"/>
    </xf>
    <xf numFmtId="0" fontId="0" fillId="0" borderId="0" xfId="1" applyNumberFormat="1" applyFont="1"/>
    <xf numFmtId="165" fontId="5" fillId="0" borderId="8" xfId="1" applyNumberFormat="1" applyFont="1" applyBorder="1" applyAlignment="1">
      <alignment horizontal="center" vertical="center" wrapText="1"/>
    </xf>
    <xf numFmtId="0" fontId="0" fillId="2" borderId="7" xfId="1" quotePrefix="1" applyNumberFormat="1" applyFont="1" applyFill="1" applyBorder="1" applyAlignment="1">
      <alignment horizontal="left" vertical="center"/>
    </xf>
    <xf numFmtId="0" fontId="0" fillId="0" borderId="0" xfId="0" applyNumberFormat="1" applyAlignment="1">
      <alignment wrapText="1"/>
    </xf>
    <xf numFmtId="0" fontId="0" fillId="0" borderId="0" xfId="0" applyNumberFormat="1"/>
    <xf numFmtId="0" fontId="0" fillId="2" borderId="2" xfId="1" applyNumberFormat="1" applyFont="1" applyFill="1" applyBorder="1" applyAlignment="1">
      <alignment horizontal="left" vertical="top" wrapText="1"/>
    </xf>
    <xf numFmtId="0" fontId="0" fillId="2" borderId="6" xfId="1" applyNumberFormat="1" applyFont="1" applyFill="1" applyBorder="1" applyAlignment="1">
      <alignment horizontal="left" vertical="top" wrapText="1"/>
    </xf>
    <xf numFmtId="0" fontId="0" fillId="2" borderId="7" xfId="1" applyNumberFormat="1" applyFont="1" applyFill="1" applyBorder="1" applyAlignment="1">
      <alignment horizontal="left" vertical="top" wrapText="1"/>
    </xf>
    <xf numFmtId="0" fontId="0" fillId="2" borderId="7" xfId="1" quotePrefix="1" applyNumberFormat="1" applyFont="1" applyFill="1" applyBorder="1" applyAlignment="1">
      <alignment horizontal="left" vertical="top" wrapText="1"/>
    </xf>
    <xf numFmtId="0" fontId="3" fillId="2" borderId="3" xfId="1" applyNumberFormat="1" applyFont="1" applyFill="1" applyBorder="1" applyAlignment="1">
      <alignment horizontal="center" vertical="center" textRotation="90"/>
    </xf>
    <xf numFmtId="0" fontId="0" fillId="2" borderId="4" xfId="1" applyNumberFormat="1" applyFont="1" applyFill="1" applyBorder="1" applyAlignment="1">
      <alignment horizontal="left" vertical="center" wrapText="1"/>
    </xf>
    <xf numFmtId="0" fontId="6" fillId="0" borderId="0" xfId="0" applyNumberFormat="1" applyFont="1" applyAlignment="1">
      <alignment horizontal="left" vertical="top" wrapText="1"/>
    </xf>
    <xf numFmtId="0" fontId="5" fillId="0" borderId="8" xfId="1" quotePrefix="1" applyNumberFormat="1" applyFont="1" applyBorder="1" applyAlignment="1">
      <alignment horizontal="center" vertical="center" wrapText="1"/>
    </xf>
    <xf numFmtId="0" fontId="2" fillId="0" borderId="0" xfId="0" applyFont="1"/>
    <xf numFmtId="0" fontId="7" fillId="0" borderId="0" xfId="0" applyFont="1"/>
    <xf numFmtId="0" fontId="5" fillId="0" borderId="9" xfId="1" applyNumberFormat="1" applyFont="1" applyBorder="1" applyAlignment="1">
      <alignment horizontal="center" vertical="center" wrapText="1"/>
    </xf>
    <xf numFmtId="4" fontId="5" fillId="0" borderId="8" xfId="1" applyNumberFormat="1" applyFont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10" fontId="0" fillId="0" borderId="0" xfId="1" applyNumberFormat="1" applyFont="1"/>
    <xf numFmtId="10" fontId="0" fillId="2" borderId="7" xfId="1" applyNumberFormat="1" applyFont="1" applyFill="1" applyBorder="1" applyAlignment="1">
      <alignment horizontal="left" vertical="top" wrapText="1"/>
    </xf>
    <xf numFmtId="10" fontId="0" fillId="3" borderId="7" xfId="1" quotePrefix="1" applyNumberFormat="1" applyFont="1" applyFill="1" applyBorder="1" applyAlignment="1">
      <alignment horizontal="left" vertical="top" wrapText="1"/>
    </xf>
    <xf numFmtId="0" fontId="1" fillId="2" borderId="7" xfId="2" applyFill="1" applyBorder="1" applyAlignment="1">
      <alignment horizontal="left" vertical="top" wrapText="1"/>
    </xf>
    <xf numFmtId="0" fontId="1" fillId="2" borderId="7" xfId="2" quotePrefix="1" applyFill="1" applyBorder="1" applyAlignment="1">
      <alignment horizontal="left" vertical="top" wrapText="1"/>
    </xf>
    <xf numFmtId="0" fontId="3" fillId="2" borderId="1" xfId="1" applyNumberFormat="1" applyFont="1" applyFill="1" applyBorder="1" applyAlignment="1">
      <alignment horizontal="left" vertical="center"/>
    </xf>
    <xf numFmtId="0" fontId="3" fillId="2" borderId="0" xfId="1" applyNumberFormat="1" applyFont="1" applyFill="1" applyBorder="1" applyAlignment="1">
      <alignment horizontal="left" vertical="center"/>
    </xf>
    <xf numFmtId="0" fontId="3" fillId="2" borderId="2" xfId="1" applyNumberFormat="1" applyFont="1" applyFill="1" applyBorder="1" applyAlignment="1">
      <alignment horizontal="center" vertical="center"/>
    </xf>
    <xf numFmtId="0" fontId="0" fillId="2" borderId="3" xfId="1" applyNumberFormat="1" applyFont="1" applyFill="1" applyBorder="1" applyAlignment="1">
      <alignment horizontal="left" vertical="top" wrapText="1"/>
    </xf>
    <xf numFmtId="0" fontId="0" fillId="2" borderId="4" xfId="1" applyNumberFormat="1" applyFont="1" applyFill="1" applyBorder="1" applyAlignment="1">
      <alignment horizontal="left" vertical="top" wrapText="1"/>
    </xf>
    <xf numFmtId="0" fontId="0" fillId="2" borderId="5" xfId="1" applyNumberFormat="1" applyFont="1" applyFill="1" applyBorder="1" applyAlignment="1">
      <alignment horizontal="left" vertical="top" wrapText="1"/>
    </xf>
    <xf numFmtId="0" fontId="4" fillId="0" borderId="1" xfId="0" applyNumberFormat="1" applyFont="1" applyBorder="1" applyAlignment="1">
      <alignment horizontal="left" wrapText="1"/>
    </xf>
    <xf numFmtId="4" fontId="0" fillId="0" borderId="0" xfId="0" applyNumberFormat="1"/>
  </cellXfs>
  <cellStyles count="3">
    <cellStyle name="Normal" xfId="0" builtinId="0"/>
    <cellStyle name="Normal 2" xfId="2"/>
    <cellStyle name="Percent" xfId="1" builtinId="5"/>
  </cellStyles>
  <dxfs count="2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161925</xdr:rowOff>
    </xdr:from>
    <xdr:to>
      <xdr:col>3</xdr:col>
      <xdr:colOff>342900</xdr:colOff>
      <xdr:row>9</xdr:row>
      <xdr:rowOff>38100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05.01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6"/>
  <sheetViews>
    <sheetView showGridLines="0" workbookViewId="0">
      <selection activeCell="M17" sqref="M17"/>
    </sheetView>
  </sheetViews>
  <sheetFormatPr defaultRowHeight="14.25" x14ac:dyDescent="0.45"/>
  <sheetData>
    <row r="2" spans="2:2" x14ac:dyDescent="0.45">
      <c r="B2" s="17" t="s">
        <v>75</v>
      </c>
    </row>
    <row r="3" spans="2:2" x14ac:dyDescent="0.45">
      <c r="B3" t="s">
        <v>98</v>
      </c>
    </row>
    <row r="4" spans="2:2" x14ac:dyDescent="0.45">
      <c r="B4" t="s">
        <v>99</v>
      </c>
    </row>
    <row r="5" spans="2:2" x14ac:dyDescent="0.45">
      <c r="B5" t="s">
        <v>73</v>
      </c>
    </row>
    <row r="6" spans="2:2" x14ac:dyDescent="0.45">
      <c r="B6" s="16" t="s">
        <v>74</v>
      </c>
    </row>
  </sheetData>
  <pageMargins left="0.7" right="0.7" top="0.75" bottom="0.75" header="0.3" footer="0.3"/>
  <pageSetup paperSize="9" orientation="portrait" r:id="rId1"/>
  <headerFooter>
    <oddHeader>&amp;L&amp;"Calibri"&amp;10&amp;K000000Confidential&amp;1#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68"/>
  <sheetViews>
    <sheetView showGridLines="0" tabSelected="1" zoomScale="55" zoomScaleNormal="5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14" sqref="E14"/>
    </sheetView>
  </sheetViews>
  <sheetFormatPr defaultColWidth="9.1328125" defaultRowHeight="33.75" customHeight="1" x14ac:dyDescent="0.45"/>
  <cols>
    <col min="1" max="1" width="5.59765625" style="3" customWidth="1"/>
    <col min="2" max="2" width="25.59765625" style="3" customWidth="1"/>
    <col min="3" max="3" width="3.9296875" style="3" bestFit="1" customWidth="1"/>
    <col min="4" max="4" width="20.59765625" style="3" customWidth="1"/>
    <col min="5" max="5" width="24.59765625" style="3" customWidth="1"/>
    <col min="6" max="6" width="35.1328125" style="3" customWidth="1"/>
    <col min="7" max="14" width="20.59765625" style="3" customWidth="1"/>
    <col min="15" max="15" width="20.59765625" style="22" customWidth="1"/>
    <col min="16" max="21" width="20.59765625" style="3" customWidth="1"/>
    <col min="22" max="22" width="23.1328125" style="6" bestFit="1" customWidth="1"/>
    <col min="23" max="16384" width="9.1328125" style="7"/>
  </cols>
  <sheetData>
    <row r="1" spans="1:22" ht="14.25" customHeight="1" x14ac:dyDescent="0.45">
      <c r="A1" s="27" t="s">
        <v>24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</row>
    <row r="2" spans="1:22" ht="14.25" customHeight="1" x14ac:dyDescent="0.45"/>
    <row r="3" spans="1:22" ht="14.25" customHeight="1" x14ac:dyDescent="0.45"/>
    <row r="4" spans="1:22" ht="14.25" customHeight="1" x14ac:dyDescent="0.45"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ht="14.25" customHeight="1" x14ac:dyDescent="0.45">
      <c r="D5" s="8" t="s">
        <v>25</v>
      </c>
      <c r="E5" s="30" t="s">
        <v>26</v>
      </c>
      <c r="F5" s="31"/>
      <c r="G5" s="30" t="s">
        <v>27</v>
      </c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1"/>
      <c r="V5" s="33"/>
    </row>
    <row r="6" spans="1:22" ht="33.75" customHeight="1" x14ac:dyDescent="0.45">
      <c r="D6" s="9"/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  <c r="J6" s="10" t="s">
        <v>33</v>
      </c>
      <c r="K6" s="10" t="s">
        <v>34</v>
      </c>
      <c r="L6" s="10" t="s">
        <v>35</v>
      </c>
      <c r="M6" s="10" t="s">
        <v>36</v>
      </c>
      <c r="N6" s="10" t="s">
        <v>37</v>
      </c>
      <c r="O6" s="23" t="s">
        <v>38</v>
      </c>
      <c r="P6" s="10" t="s">
        <v>39</v>
      </c>
      <c r="Q6" s="10" t="s">
        <v>40</v>
      </c>
      <c r="R6" s="25" t="s">
        <v>96</v>
      </c>
      <c r="S6" s="10" t="s">
        <v>41</v>
      </c>
      <c r="T6" s="10" t="s">
        <v>42</v>
      </c>
      <c r="U6" s="10" t="s">
        <v>43</v>
      </c>
      <c r="V6" s="33"/>
    </row>
    <row r="7" spans="1:22" ht="33.75" customHeight="1" thickBot="1" x14ac:dyDescent="0.5">
      <c r="D7" s="11" t="s">
        <v>44</v>
      </c>
      <c r="E7" s="11" t="s">
        <v>45</v>
      </c>
      <c r="F7" s="11" t="s">
        <v>46</v>
      </c>
      <c r="G7" s="11" t="s">
        <v>47</v>
      </c>
      <c r="H7" s="11" t="s">
        <v>48</v>
      </c>
      <c r="I7" s="11" t="s">
        <v>49</v>
      </c>
      <c r="J7" s="11" t="s">
        <v>50</v>
      </c>
      <c r="K7" s="11" t="s">
        <v>51</v>
      </c>
      <c r="L7" s="11" t="s">
        <v>52</v>
      </c>
      <c r="M7" s="11" t="s">
        <v>53</v>
      </c>
      <c r="N7" s="11" t="s">
        <v>54</v>
      </c>
      <c r="O7" s="24" t="s">
        <v>55</v>
      </c>
      <c r="P7" s="11" t="s">
        <v>56</v>
      </c>
      <c r="Q7" s="11" t="s">
        <v>57</v>
      </c>
      <c r="R7" s="26" t="s">
        <v>97</v>
      </c>
      <c r="S7" s="11" t="s">
        <v>58</v>
      </c>
      <c r="T7" s="11" t="s">
        <v>59</v>
      </c>
      <c r="U7" s="11" t="s">
        <v>60</v>
      </c>
    </row>
    <row r="8" spans="1:22" ht="33.75" customHeight="1" thickBot="1" x14ac:dyDescent="0.5">
      <c r="A8" s="12"/>
      <c r="B8" s="13" t="s">
        <v>61</v>
      </c>
      <c r="C8" s="5" t="e">
        <f>+IF(#REF!="","",999)</f>
        <v>#REF!</v>
      </c>
      <c r="D8" s="2">
        <v>1</v>
      </c>
      <c r="E8" s="2" t="s">
        <v>68</v>
      </c>
      <c r="F8" s="2" t="s">
        <v>62</v>
      </c>
      <c r="G8" s="2" t="str">
        <f t="shared" ref="G8:G71" si="0">IF(E8="r0110 - Covered deposits (BRRD art. 44/2/a)","Rank 14 - Ranking in insolvency (master scale)",IF(E8="r0310 - Deposits, not covered but preferential (BRRD art. 108)","Rank 13 - Ranking in insolvency (master scale)","Rank 12 - Ranking in insolvency (master scale)"))</f>
        <v>Rank 14 - Ranking in insolvency (master scale)</v>
      </c>
      <c r="H8" s="2" t="str">
        <f>IF(D9&lt;10,"PTXSTJOM"&amp;"000"&amp;D9,IF(AND(D9&gt;=10,D9&lt;=100),"PTXSTJOM"&amp;"00"&amp;D9,IF(D9&gt;=100,"PTXSTJOM"&amp;"0"&amp;D9)))</f>
        <v>PTXSTJOM0002</v>
      </c>
      <c r="I8" s="2" t="str">
        <f t="shared" ref="I8:I71" si="1">+RIGHT(H8,5)</f>
        <v>M0002</v>
      </c>
      <c r="J8" s="2" t="s">
        <v>71</v>
      </c>
      <c r="K8" s="2" t="s">
        <v>72</v>
      </c>
      <c r="L8" s="2" t="s">
        <v>76</v>
      </c>
      <c r="M8" s="19">
        <v>2081319.1858830601</v>
      </c>
      <c r="N8" s="2">
        <v>0</v>
      </c>
      <c r="O8" s="2">
        <v>0</v>
      </c>
      <c r="P8" s="2" t="s">
        <v>70</v>
      </c>
      <c r="Q8" s="2">
        <v>0</v>
      </c>
      <c r="R8" s="2"/>
      <c r="S8" s="15" t="s">
        <v>100</v>
      </c>
      <c r="T8" s="4">
        <f t="shared" ref="T8:T71" si="2">+WORKDAY(S8,1,"1/1/2021")</f>
        <v>44928</v>
      </c>
      <c r="U8" s="18">
        <v>0</v>
      </c>
      <c r="V8" s="14"/>
    </row>
    <row r="9" spans="1:22" ht="33.75" customHeight="1" thickBot="1" x14ac:dyDescent="0.5">
      <c r="C9" s="5">
        <f t="shared" ref="C9:C72" si="3">+IF(E8="","",999)</f>
        <v>999</v>
      </c>
      <c r="D9" s="2">
        <f>IF(E8="","",D8+1)</f>
        <v>2</v>
      </c>
      <c r="E9" s="2" t="s">
        <v>68</v>
      </c>
      <c r="F9" s="2" t="s">
        <v>62</v>
      </c>
      <c r="G9" s="2" t="str">
        <f t="shared" si="0"/>
        <v>Rank 14 - Ranking in insolvency (master scale)</v>
      </c>
      <c r="H9" s="2" t="str">
        <f>IF(D10&lt;10,"PTXSTJOM"&amp;"000"&amp;D10,IF(AND(D10&gt;=10,D10&lt;=100),"PTXSTJOM"&amp;"00"&amp;D10,IF(D10&gt;=100,"PTXSTJOM"&amp;"0"&amp;D10)))</f>
        <v>PTXSTJOM0003</v>
      </c>
      <c r="I9" s="2" t="str">
        <f t="shared" si="1"/>
        <v>M0003</v>
      </c>
      <c r="J9" s="2" t="s">
        <v>71</v>
      </c>
      <c r="K9" s="2" t="s">
        <v>72</v>
      </c>
      <c r="L9" s="2" t="s">
        <v>76</v>
      </c>
      <c r="M9" s="19">
        <v>11081.29</v>
      </c>
      <c r="N9" s="2">
        <v>0</v>
      </c>
      <c r="O9" s="2">
        <v>0</v>
      </c>
      <c r="P9" s="2" t="s">
        <v>70</v>
      </c>
      <c r="Q9" s="2">
        <v>0</v>
      </c>
      <c r="R9" s="2"/>
      <c r="S9" s="15" t="str">
        <f t="shared" ref="S9:S72" si="4">+S8</f>
        <v>2022-12-31</v>
      </c>
      <c r="T9" s="4">
        <f t="shared" si="2"/>
        <v>44928</v>
      </c>
      <c r="U9" s="18">
        <v>0</v>
      </c>
    </row>
    <row r="10" spans="1:22" ht="33.75" customHeight="1" thickBot="1" x14ac:dyDescent="0.5">
      <c r="C10" s="5">
        <f t="shared" si="3"/>
        <v>999</v>
      </c>
      <c r="D10" s="2">
        <f>IF(E9="","",D9+1)</f>
        <v>3</v>
      </c>
      <c r="E10" s="2" t="s">
        <v>68</v>
      </c>
      <c r="F10" s="2" t="s">
        <v>62</v>
      </c>
      <c r="G10" s="2" t="str">
        <f t="shared" si="0"/>
        <v>Rank 14 - Ranking in insolvency (master scale)</v>
      </c>
      <c r="H10" s="2" t="str">
        <f>IF(D11&lt;10,"PTXSTJOM"&amp;"000"&amp;D11,IF(AND(D11&gt;=10,D11&lt;=100),"PTXSTJOM"&amp;"00"&amp;D11,IF(D11&gt;=100,"PTXSTJOM"&amp;"0"&amp;D11)))</f>
        <v>PTXSTJOM0004</v>
      </c>
      <c r="I10" s="2" t="str">
        <f t="shared" si="1"/>
        <v>M0004</v>
      </c>
      <c r="J10" s="2" t="s">
        <v>71</v>
      </c>
      <c r="K10" s="2" t="s">
        <v>72</v>
      </c>
      <c r="L10" s="2" t="s">
        <v>77</v>
      </c>
      <c r="M10" s="19">
        <v>409594.68826262001</v>
      </c>
      <c r="N10" s="2">
        <v>0</v>
      </c>
      <c r="O10" s="2">
        <v>0</v>
      </c>
      <c r="P10" s="2" t="s">
        <v>70</v>
      </c>
      <c r="Q10" s="2">
        <v>0</v>
      </c>
      <c r="R10" s="2"/>
      <c r="S10" s="15" t="str">
        <f t="shared" si="4"/>
        <v>2022-12-31</v>
      </c>
      <c r="T10" s="4">
        <f t="shared" si="2"/>
        <v>44928</v>
      </c>
      <c r="U10" s="18">
        <v>0</v>
      </c>
    </row>
    <row r="11" spans="1:22" ht="33.75" customHeight="1" thickBot="1" x14ac:dyDescent="0.5">
      <c r="C11" s="5">
        <f t="shared" si="3"/>
        <v>999</v>
      </c>
      <c r="D11" s="2">
        <f>IF(E10="","",D10+1)</f>
        <v>4</v>
      </c>
      <c r="E11" s="2" t="s">
        <v>68</v>
      </c>
      <c r="F11" s="2" t="s">
        <v>62</v>
      </c>
      <c r="G11" s="2" t="str">
        <f t="shared" si="0"/>
        <v>Rank 14 - Ranking in insolvency (master scale)</v>
      </c>
      <c r="H11" s="2" t="str">
        <f>IF(D12&lt;10,"PTXSTJOM"&amp;"000"&amp;D12,IF(AND(D12&gt;=10,D12&lt;=100),"PTXSTJOM"&amp;"00"&amp;D12,IF(D12&gt;=100,"PTXSTJOM"&amp;"0"&amp;D12)))</f>
        <v>PTXSTJOM0005</v>
      </c>
      <c r="I11" s="2" t="str">
        <f t="shared" si="1"/>
        <v>M0005</v>
      </c>
      <c r="J11" s="2" t="s">
        <v>71</v>
      </c>
      <c r="K11" s="2" t="s">
        <v>72</v>
      </c>
      <c r="L11" s="2" t="s">
        <v>77</v>
      </c>
      <c r="M11" s="19">
        <v>26387909.922211301</v>
      </c>
      <c r="N11" s="2">
        <v>0</v>
      </c>
      <c r="O11" s="2">
        <v>0</v>
      </c>
      <c r="P11" s="2" t="s">
        <v>70</v>
      </c>
      <c r="Q11" s="2">
        <v>0</v>
      </c>
      <c r="R11" s="2"/>
      <c r="S11" s="15" t="str">
        <f t="shared" si="4"/>
        <v>2022-12-31</v>
      </c>
      <c r="T11" s="4">
        <f t="shared" si="2"/>
        <v>44928</v>
      </c>
      <c r="U11" s="18">
        <v>0</v>
      </c>
    </row>
    <row r="12" spans="1:22" ht="33.75" customHeight="1" thickBot="1" x14ac:dyDescent="0.5">
      <c r="C12" s="5">
        <f t="shared" si="3"/>
        <v>999</v>
      </c>
      <c r="D12" s="2">
        <f>IF(E11="","",D11+1)</f>
        <v>5</v>
      </c>
      <c r="E12" s="2" t="s">
        <v>68</v>
      </c>
      <c r="F12" s="2" t="s">
        <v>62</v>
      </c>
      <c r="G12" s="2" t="str">
        <f t="shared" si="0"/>
        <v>Rank 14 - Ranking in insolvency (master scale)</v>
      </c>
      <c r="H12" s="2" t="str">
        <f>IF(D13&lt;10,"PTXSTJOM"&amp;"000"&amp;D13,IF(AND(D13&gt;=10,D13&lt;=100),"PTXSTJOM"&amp;"00"&amp;D13,IF(D13&gt;=100,"PTXSTJOM"&amp;"0"&amp;D13)))</f>
        <v>PTXSTJOM0006</v>
      </c>
      <c r="I12" s="2" t="str">
        <f t="shared" si="1"/>
        <v>M0006</v>
      </c>
      <c r="J12" s="2" t="s">
        <v>71</v>
      </c>
      <c r="K12" s="2" t="s">
        <v>72</v>
      </c>
      <c r="L12" s="2" t="s">
        <v>79</v>
      </c>
      <c r="M12" s="19">
        <v>43258.823308179999</v>
      </c>
      <c r="N12" s="2">
        <v>0</v>
      </c>
      <c r="O12" s="2">
        <v>0</v>
      </c>
      <c r="P12" s="2" t="s">
        <v>70</v>
      </c>
      <c r="Q12" s="2">
        <v>0</v>
      </c>
      <c r="R12" s="2"/>
      <c r="S12" s="15" t="str">
        <f t="shared" si="4"/>
        <v>2022-12-31</v>
      </c>
      <c r="T12" s="4">
        <f t="shared" si="2"/>
        <v>44928</v>
      </c>
      <c r="U12" s="18">
        <v>0</v>
      </c>
    </row>
    <row r="13" spans="1:22" ht="33.75" customHeight="1" thickBot="1" x14ac:dyDescent="0.5">
      <c r="C13" s="5">
        <f t="shared" si="3"/>
        <v>999</v>
      </c>
      <c r="D13" s="2">
        <f>IF(E12="","",D12+1)</f>
        <v>6</v>
      </c>
      <c r="E13" s="2" t="s">
        <v>68</v>
      </c>
      <c r="F13" s="2" t="s">
        <v>62</v>
      </c>
      <c r="G13" s="2" t="str">
        <f t="shared" si="0"/>
        <v>Rank 14 - Ranking in insolvency (master scale)</v>
      </c>
      <c r="H13" s="2" t="str">
        <f>IF(D14&lt;10,"PTXSTJOM"&amp;"000"&amp;D14,IF(AND(D14&gt;=10,D14&lt;=100),"PTXSTJOM"&amp;"00"&amp;D14,IF(D14&gt;=100,"PTXSTJOM"&amp;"0"&amp;D14)))</f>
        <v>PTXSTJOM0007</v>
      </c>
      <c r="I13" s="2" t="str">
        <f t="shared" si="1"/>
        <v>M0007</v>
      </c>
      <c r="J13" s="2" t="s">
        <v>71</v>
      </c>
      <c r="K13" s="2" t="s">
        <v>72</v>
      </c>
      <c r="L13" s="2" t="s">
        <v>80</v>
      </c>
      <c r="M13" s="19">
        <v>0.01</v>
      </c>
      <c r="N13" s="2">
        <v>0</v>
      </c>
      <c r="O13" s="2">
        <v>0</v>
      </c>
      <c r="P13" s="2" t="s">
        <v>70</v>
      </c>
      <c r="Q13" s="2">
        <v>0</v>
      </c>
      <c r="R13" s="2"/>
      <c r="S13" s="15" t="str">
        <f t="shared" si="4"/>
        <v>2022-12-31</v>
      </c>
      <c r="T13" s="4">
        <f t="shared" si="2"/>
        <v>44928</v>
      </c>
      <c r="U13" s="18">
        <v>0</v>
      </c>
    </row>
    <row r="14" spans="1:22" ht="33.75" customHeight="1" thickBot="1" x14ac:dyDescent="0.5">
      <c r="C14" s="5">
        <f t="shared" si="3"/>
        <v>999</v>
      </c>
      <c r="D14" s="2">
        <f>IF(E13="","",D13+1)</f>
        <v>7</v>
      </c>
      <c r="E14" s="2" t="s">
        <v>68</v>
      </c>
      <c r="F14" s="2" t="s">
        <v>62</v>
      </c>
      <c r="G14" s="2" t="str">
        <f t="shared" si="0"/>
        <v>Rank 14 - Ranking in insolvency (master scale)</v>
      </c>
      <c r="H14" s="2" t="str">
        <f>IF(D15&lt;10,"PTXSTJOM"&amp;"000"&amp;D15,IF(AND(D15&gt;=10,D15&lt;=100),"PTXSTJOM"&amp;"00"&amp;D15,IF(D15&gt;=100,"PTXSTJOM"&amp;"0"&amp;D15)))</f>
        <v>PTXSTJOM0008</v>
      </c>
      <c r="I14" s="2" t="str">
        <f t="shared" si="1"/>
        <v>M0008</v>
      </c>
      <c r="J14" s="2" t="s">
        <v>71</v>
      </c>
      <c r="K14" s="2" t="s">
        <v>72</v>
      </c>
      <c r="L14" s="2" t="s">
        <v>80</v>
      </c>
      <c r="M14" s="19">
        <v>12116.910846700001</v>
      </c>
      <c r="N14" s="2">
        <v>0</v>
      </c>
      <c r="O14" s="2">
        <v>0</v>
      </c>
      <c r="P14" s="2" t="s">
        <v>70</v>
      </c>
      <c r="Q14" s="2">
        <v>0</v>
      </c>
      <c r="R14" s="2"/>
      <c r="S14" s="15" t="str">
        <f t="shared" si="4"/>
        <v>2022-12-31</v>
      </c>
      <c r="T14" s="4">
        <f t="shared" si="2"/>
        <v>44928</v>
      </c>
      <c r="U14" s="18">
        <v>0</v>
      </c>
    </row>
    <row r="15" spans="1:22" ht="33.75" customHeight="1" thickBot="1" x14ac:dyDescent="0.5">
      <c r="C15" s="5">
        <f t="shared" si="3"/>
        <v>999</v>
      </c>
      <c r="D15" s="2">
        <f>IF(E14="","",D14+1)</f>
        <v>8</v>
      </c>
      <c r="E15" s="2" t="s">
        <v>68</v>
      </c>
      <c r="F15" s="2" t="s">
        <v>62</v>
      </c>
      <c r="G15" s="2" t="str">
        <f t="shared" si="0"/>
        <v>Rank 14 - Ranking in insolvency (master scale)</v>
      </c>
      <c r="H15" s="2" t="str">
        <f>IF(D16&lt;10,"PTXSTJOM"&amp;"000"&amp;D16,IF(AND(D16&gt;=10,D16&lt;=100),"PTXSTJOM"&amp;"00"&amp;D16,IF(D16&gt;=100,"PTXSTJOM"&amp;"0"&amp;D16)))</f>
        <v>PTXSTJOM0009</v>
      </c>
      <c r="I15" s="2" t="str">
        <f t="shared" si="1"/>
        <v>M0009</v>
      </c>
      <c r="J15" s="2" t="s">
        <v>71</v>
      </c>
      <c r="K15" s="2" t="s">
        <v>72</v>
      </c>
      <c r="L15" s="2" t="s">
        <v>81</v>
      </c>
      <c r="M15" s="19">
        <v>0</v>
      </c>
      <c r="N15" s="2">
        <v>0</v>
      </c>
      <c r="O15" s="2">
        <v>0</v>
      </c>
      <c r="P15" s="2" t="s">
        <v>70</v>
      </c>
      <c r="Q15" s="2">
        <v>0</v>
      </c>
      <c r="R15" s="2"/>
      <c r="S15" s="15" t="str">
        <f t="shared" si="4"/>
        <v>2022-12-31</v>
      </c>
      <c r="T15" s="4">
        <f t="shared" si="2"/>
        <v>44928</v>
      </c>
      <c r="U15" s="18">
        <v>0</v>
      </c>
    </row>
    <row r="16" spans="1:22" ht="33.75" customHeight="1" thickBot="1" x14ac:dyDescent="0.5">
      <c r="C16" s="5">
        <f t="shared" si="3"/>
        <v>999</v>
      </c>
      <c r="D16" s="2">
        <f>IF(E15="","",D15+1)</f>
        <v>9</v>
      </c>
      <c r="E16" s="2" t="s">
        <v>68</v>
      </c>
      <c r="F16" s="2" t="s">
        <v>62</v>
      </c>
      <c r="G16" s="2" t="str">
        <f t="shared" si="0"/>
        <v>Rank 14 - Ranking in insolvency (master scale)</v>
      </c>
      <c r="H16" s="2" t="str">
        <f>IF(D17&lt;10,"PTXSTJOM"&amp;"000"&amp;D17,IF(AND(D17&gt;=10,D17&lt;=100),"PTXSTJOM"&amp;"00"&amp;D17,IF(D17&gt;=100,"PTXSTJOM"&amp;"0"&amp;D17)))</f>
        <v>PTXSTJOM0010</v>
      </c>
      <c r="I16" s="2" t="str">
        <f t="shared" si="1"/>
        <v>M0010</v>
      </c>
      <c r="J16" s="2" t="s">
        <v>71</v>
      </c>
      <c r="K16" s="2" t="s">
        <v>72</v>
      </c>
      <c r="L16" s="2" t="s">
        <v>82</v>
      </c>
      <c r="M16" s="19">
        <v>1138634.7982846301</v>
      </c>
      <c r="N16" s="2">
        <v>0</v>
      </c>
      <c r="O16" s="2">
        <v>0</v>
      </c>
      <c r="P16" s="2" t="s">
        <v>70</v>
      </c>
      <c r="Q16" s="2">
        <v>0</v>
      </c>
      <c r="R16" s="2"/>
      <c r="S16" s="15" t="str">
        <f t="shared" si="4"/>
        <v>2022-12-31</v>
      </c>
      <c r="T16" s="4">
        <f t="shared" si="2"/>
        <v>44928</v>
      </c>
      <c r="U16" s="18">
        <v>0</v>
      </c>
    </row>
    <row r="17" spans="3:21" ht="33.75" customHeight="1" thickBot="1" x14ac:dyDescent="0.5">
      <c r="C17" s="5">
        <f t="shared" si="3"/>
        <v>999</v>
      </c>
      <c r="D17" s="2">
        <f>IF(E16="","",D16+1)</f>
        <v>10</v>
      </c>
      <c r="E17" s="2" t="s">
        <v>68</v>
      </c>
      <c r="F17" s="2" t="s">
        <v>62</v>
      </c>
      <c r="G17" s="2" t="str">
        <f t="shared" si="0"/>
        <v>Rank 14 - Ranking in insolvency (master scale)</v>
      </c>
      <c r="H17" s="2" t="str">
        <f>IF(D18&lt;10,"PTXSTJOM"&amp;"000"&amp;D18,IF(AND(D18&gt;=10,D18&lt;=100),"PTXSTJOM"&amp;"00"&amp;D18,IF(D18&gt;=100,"PTXSTJOM"&amp;"0"&amp;D18)))</f>
        <v>PTXSTJOM0011</v>
      </c>
      <c r="I17" s="2" t="str">
        <f t="shared" si="1"/>
        <v>M0011</v>
      </c>
      <c r="J17" s="2" t="s">
        <v>71</v>
      </c>
      <c r="K17" s="2" t="s">
        <v>72</v>
      </c>
      <c r="L17" s="2" t="s">
        <v>83</v>
      </c>
      <c r="M17" s="19">
        <v>14986.65</v>
      </c>
      <c r="N17" s="2">
        <v>0</v>
      </c>
      <c r="O17" s="2">
        <v>0</v>
      </c>
      <c r="P17" s="2" t="s">
        <v>70</v>
      </c>
      <c r="Q17" s="2">
        <v>0</v>
      </c>
      <c r="R17" s="2"/>
      <c r="S17" s="15" t="str">
        <f t="shared" si="4"/>
        <v>2022-12-31</v>
      </c>
      <c r="T17" s="4">
        <f t="shared" si="2"/>
        <v>44928</v>
      </c>
      <c r="U17" s="18">
        <v>0</v>
      </c>
    </row>
    <row r="18" spans="3:21" ht="33.75" customHeight="1" thickBot="1" x14ac:dyDescent="0.5">
      <c r="C18" s="5">
        <f t="shared" si="3"/>
        <v>999</v>
      </c>
      <c r="D18" s="2">
        <f>IF(E17="","",D17+1)</f>
        <v>11</v>
      </c>
      <c r="E18" s="2" t="s">
        <v>68</v>
      </c>
      <c r="F18" s="2" t="s">
        <v>62</v>
      </c>
      <c r="G18" s="2" t="str">
        <f t="shared" si="0"/>
        <v>Rank 14 - Ranking in insolvency (master scale)</v>
      </c>
      <c r="H18" s="2" t="str">
        <f>IF(D19&lt;10,"PTXSTJOM"&amp;"000"&amp;D19,IF(AND(D19&gt;=10,D19&lt;=100),"PTXSTJOM"&amp;"00"&amp;D19,IF(D19&gt;=100,"PTXSTJOM"&amp;"0"&amp;D19)))</f>
        <v>PTXSTJOM0012</v>
      </c>
      <c r="I18" s="2" t="str">
        <f t="shared" si="1"/>
        <v>M0012</v>
      </c>
      <c r="J18" s="2" t="s">
        <v>71</v>
      </c>
      <c r="K18" s="2" t="s">
        <v>72</v>
      </c>
      <c r="L18" s="2" t="s">
        <v>83</v>
      </c>
      <c r="M18" s="19">
        <v>40203.098566770001</v>
      </c>
      <c r="N18" s="2">
        <v>0</v>
      </c>
      <c r="O18" s="2">
        <v>0</v>
      </c>
      <c r="P18" s="2" t="s">
        <v>70</v>
      </c>
      <c r="Q18" s="2">
        <v>0</v>
      </c>
      <c r="R18" s="2"/>
      <c r="S18" s="15" t="str">
        <f t="shared" si="4"/>
        <v>2022-12-31</v>
      </c>
      <c r="T18" s="4">
        <f t="shared" si="2"/>
        <v>44928</v>
      </c>
      <c r="U18" s="18">
        <v>0</v>
      </c>
    </row>
    <row r="19" spans="3:21" ht="33.75" customHeight="1" thickBot="1" x14ac:dyDescent="0.5">
      <c r="C19" s="5">
        <f t="shared" si="3"/>
        <v>999</v>
      </c>
      <c r="D19" s="2">
        <f>IF(E18="","",D18+1)</f>
        <v>12</v>
      </c>
      <c r="E19" s="2" t="s">
        <v>68</v>
      </c>
      <c r="F19" s="2" t="s">
        <v>62</v>
      </c>
      <c r="G19" s="2" t="str">
        <f t="shared" si="0"/>
        <v>Rank 14 - Ranking in insolvency (master scale)</v>
      </c>
      <c r="H19" s="2" t="str">
        <f>IF(D20&lt;10,"PTXSTJOM"&amp;"000"&amp;D20,IF(AND(D20&gt;=10,D20&lt;=100),"PTXSTJOM"&amp;"00"&amp;D20,IF(D20&gt;=100,"PTXSTJOM"&amp;"0"&amp;D20)))</f>
        <v>PTXSTJOM0013</v>
      </c>
      <c r="I19" s="2" t="str">
        <f t="shared" si="1"/>
        <v>M0013</v>
      </c>
      <c r="J19" s="2" t="s">
        <v>71</v>
      </c>
      <c r="K19" s="2" t="s">
        <v>72</v>
      </c>
      <c r="L19" s="2" t="s">
        <v>84</v>
      </c>
      <c r="M19" s="19">
        <v>367447.07526736002</v>
      </c>
      <c r="N19" s="2">
        <v>0</v>
      </c>
      <c r="O19" s="2">
        <v>0</v>
      </c>
      <c r="P19" s="2" t="s">
        <v>70</v>
      </c>
      <c r="Q19" s="2">
        <v>0</v>
      </c>
      <c r="R19" s="2"/>
      <c r="S19" s="15" t="str">
        <f t="shared" si="4"/>
        <v>2022-12-31</v>
      </c>
      <c r="T19" s="4">
        <f t="shared" si="2"/>
        <v>44928</v>
      </c>
      <c r="U19" s="18">
        <v>0</v>
      </c>
    </row>
    <row r="20" spans="3:21" ht="33.75" customHeight="1" thickBot="1" x14ac:dyDescent="0.5">
      <c r="C20" s="5">
        <f t="shared" si="3"/>
        <v>999</v>
      </c>
      <c r="D20" s="2">
        <f>IF(E19="","",D19+1)</f>
        <v>13</v>
      </c>
      <c r="E20" s="2" t="s">
        <v>68</v>
      </c>
      <c r="F20" s="2" t="s">
        <v>62</v>
      </c>
      <c r="G20" s="2" t="str">
        <f t="shared" si="0"/>
        <v>Rank 14 - Ranking in insolvency (master scale)</v>
      </c>
      <c r="H20" s="2" t="str">
        <f>IF(D21&lt;10,"PTXSTJOM"&amp;"000"&amp;D21,IF(AND(D21&gt;=10,D21&lt;=100),"PTXSTJOM"&amp;"00"&amp;D21,IF(D21&gt;=100,"PTXSTJOM"&amp;"0"&amp;D21)))</f>
        <v>PTXSTJOM0014</v>
      </c>
      <c r="I20" s="2" t="str">
        <f t="shared" si="1"/>
        <v>M0014</v>
      </c>
      <c r="J20" s="2" t="s">
        <v>71</v>
      </c>
      <c r="K20" s="2" t="s">
        <v>72</v>
      </c>
      <c r="L20" s="2" t="s">
        <v>85</v>
      </c>
      <c r="M20" s="19">
        <v>54542.063808669998</v>
      </c>
      <c r="N20" s="2">
        <v>0</v>
      </c>
      <c r="O20" s="2">
        <v>0</v>
      </c>
      <c r="P20" s="2" t="s">
        <v>70</v>
      </c>
      <c r="Q20" s="2">
        <v>0</v>
      </c>
      <c r="R20" s="2"/>
      <c r="S20" s="15" t="str">
        <f t="shared" si="4"/>
        <v>2022-12-31</v>
      </c>
      <c r="T20" s="4">
        <f t="shared" si="2"/>
        <v>44928</v>
      </c>
      <c r="U20" s="18">
        <v>0</v>
      </c>
    </row>
    <row r="21" spans="3:21" ht="33.75" customHeight="1" thickBot="1" x14ac:dyDescent="0.5">
      <c r="C21" s="5">
        <f t="shared" si="3"/>
        <v>999</v>
      </c>
      <c r="D21" s="2">
        <f>IF(E20="","",D20+1)</f>
        <v>14</v>
      </c>
      <c r="E21" s="2" t="s">
        <v>68</v>
      </c>
      <c r="F21" s="2" t="s">
        <v>62</v>
      </c>
      <c r="G21" s="2" t="str">
        <f t="shared" si="0"/>
        <v>Rank 14 - Ranking in insolvency (master scale)</v>
      </c>
      <c r="H21" s="2" t="str">
        <f>IF(D22&lt;10,"PTXSTJOM"&amp;"000"&amp;D22,IF(AND(D22&gt;=10,D22&lt;=100),"PTXSTJOM"&amp;"00"&amp;D22,IF(D22&gt;=100,"PTXSTJOM"&amp;"0"&amp;D22)))</f>
        <v>PTXSTJOM0015</v>
      </c>
      <c r="I21" s="2" t="str">
        <f t="shared" si="1"/>
        <v>M0015</v>
      </c>
      <c r="J21" s="2" t="s">
        <v>71</v>
      </c>
      <c r="K21" s="2" t="s">
        <v>72</v>
      </c>
      <c r="L21" s="2" t="s">
        <v>85</v>
      </c>
      <c r="M21" s="19">
        <v>1817605.4596395099</v>
      </c>
      <c r="N21" s="2">
        <v>0</v>
      </c>
      <c r="O21" s="2">
        <v>0</v>
      </c>
      <c r="P21" s="2" t="s">
        <v>70</v>
      </c>
      <c r="Q21" s="2">
        <v>0</v>
      </c>
      <c r="R21" s="2"/>
      <c r="S21" s="15" t="str">
        <f t="shared" si="4"/>
        <v>2022-12-31</v>
      </c>
      <c r="T21" s="4">
        <f t="shared" si="2"/>
        <v>44928</v>
      </c>
      <c r="U21" s="18">
        <v>0</v>
      </c>
    </row>
    <row r="22" spans="3:21" ht="33.75" customHeight="1" thickBot="1" x14ac:dyDescent="0.5">
      <c r="C22" s="5">
        <f t="shared" si="3"/>
        <v>999</v>
      </c>
      <c r="D22" s="2">
        <f>IF(E21="","",D21+1)</f>
        <v>15</v>
      </c>
      <c r="E22" s="2" t="s">
        <v>68</v>
      </c>
      <c r="F22" s="2" t="s">
        <v>62</v>
      </c>
      <c r="G22" s="2" t="str">
        <f t="shared" si="0"/>
        <v>Rank 14 - Ranking in insolvency (master scale)</v>
      </c>
      <c r="H22" s="2" t="str">
        <f>IF(D23&lt;10,"PTXSTJOM"&amp;"000"&amp;D23,IF(AND(D23&gt;=10,D23&lt;=100),"PTXSTJOM"&amp;"00"&amp;D23,IF(D23&gt;=100,"PTXSTJOM"&amp;"0"&amp;D23)))</f>
        <v>PTXSTJOM0016</v>
      </c>
      <c r="I22" s="2" t="str">
        <f t="shared" si="1"/>
        <v>M0016</v>
      </c>
      <c r="J22" s="2" t="s">
        <v>71</v>
      </c>
      <c r="K22" s="2" t="s">
        <v>72</v>
      </c>
      <c r="L22" s="2" t="s">
        <v>86</v>
      </c>
      <c r="M22" s="19">
        <v>446826.26914680999</v>
      </c>
      <c r="N22" s="2">
        <v>0</v>
      </c>
      <c r="O22" s="2">
        <v>0</v>
      </c>
      <c r="P22" s="2" t="s">
        <v>70</v>
      </c>
      <c r="Q22" s="2">
        <v>0</v>
      </c>
      <c r="R22" s="2"/>
      <c r="S22" s="15" t="str">
        <f t="shared" si="4"/>
        <v>2022-12-31</v>
      </c>
      <c r="T22" s="4">
        <f t="shared" si="2"/>
        <v>44928</v>
      </c>
      <c r="U22" s="18">
        <v>0</v>
      </c>
    </row>
    <row r="23" spans="3:21" ht="33.75" customHeight="1" thickBot="1" x14ac:dyDescent="0.5">
      <c r="C23" s="5">
        <f t="shared" si="3"/>
        <v>999</v>
      </c>
      <c r="D23" s="2">
        <f>IF(E22="","",D22+1)</f>
        <v>16</v>
      </c>
      <c r="E23" s="2" t="s">
        <v>68</v>
      </c>
      <c r="F23" s="2" t="s">
        <v>62</v>
      </c>
      <c r="G23" s="2" t="str">
        <f t="shared" si="0"/>
        <v>Rank 14 - Ranking in insolvency (master scale)</v>
      </c>
      <c r="H23" s="2" t="str">
        <f>IF(D24&lt;10,"PTXSTJOM"&amp;"000"&amp;D24,IF(AND(D24&gt;=10,D24&lt;=100),"PTXSTJOM"&amp;"00"&amp;D24,IF(D24&gt;=100,"PTXSTJOM"&amp;"0"&amp;D24)))</f>
        <v>PTXSTJOM0017</v>
      </c>
      <c r="I23" s="2" t="str">
        <f t="shared" si="1"/>
        <v>M0017</v>
      </c>
      <c r="J23" s="2" t="s">
        <v>71</v>
      </c>
      <c r="K23" s="2" t="s">
        <v>72</v>
      </c>
      <c r="L23" s="2" t="s">
        <v>86</v>
      </c>
      <c r="M23" s="19">
        <v>31444378.300610099</v>
      </c>
      <c r="N23" s="2">
        <v>0</v>
      </c>
      <c r="O23" s="2">
        <v>0</v>
      </c>
      <c r="P23" s="2" t="s">
        <v>70</v>
      </c>
      <c r="Q23" s="2">
        <v>0</v>
      </c>
      <c r="R23" s="2"/>
      <c r="S23" s="15" t="str">
        <f t="shared" si="4"/>
        <v>2022-12-31</v>
      </c>
      <c r="T23" s="4">
        <f t="shared" si="2"/>
        <v>44928</v>
      </c>
      <c r="U23" s="18">
        <v>0</v>
      </c>
    </row>
    <row r="24" spans="3:21" ht="33.75" customHeight="1" thickBot="1" x14ac:dyDescent="0.5">
      <c r="C24" s="5">
        <f t="shared" si="3"/>
        <v>999</v>
      </c>
      <c r="D24" s="2">
        <f>IF(E23="","",D23+1)</f>
        <v>17</v>
      </c>
      <c r="E24" s="2" t="s">
        <v>68</v>
      </c>
      <c r="F24" s="2" t="s">
        <v>62</v>
      </c>
      <c r="G24" s="2" t="str">
        <f t="shared" si="0"/>
        <v>Rank 14 - Ranking in insolvency (master scale)</v>
      </c>
      <c r="H24" s="2" t="str">
        <f>IF(D25&lt;10,"PTXSTJOM"&amp;"000"&amp;D25,IF(AND(D25&gt;=10,D25&lt;=100),"PTXSTJOM"&amp;"00"&amp;D25,IF(D25&gt;=100,"PTXSTJOM"&amp;"0"&amp;D25)))</f>
        <v>PTXSTJOM0018</v>
      </c>
      <c r="I24" s="2" t="str">
        <f t="shared" si="1"/>
        <v>M0018</v>
      </c>
      <c r="J24" s="2" t="s">
        <v>71</v>
      </c>
      <c r="K24" s="2" t="s">
        <v>72</v>
      </c>
      <c r="L24" s="2" t="s">
        <v>87</v>
      </c>
      <c r="M24" s="19">
        <v>330646495.61525595</v>
      </c>
      <c r="N24" s="2">
        <v>0</v>
      </c>
      <c r="O24" s="2">
        <v>0</v>
      </c>
      <c r="P24" s="2" t="s">
        <v>70</v>
      </c>
      <c r="Q24" s="2">
        <v>0</v>
      </c>
      <c r="R24" s="2"/>
      <c r="S24" s="15" t="str">
        <f t="shared" si="4"/>
        <v>2022-12-31</v>
      </c>
      <c r="T24" s="4">
        <f t="shared" si="2"/>
        <v>44928</v>
      </c>
      <c r="U24" s="18">
        <v>0</v>
      </c>
    </row>
    <row r="25" spans="3:21" ht="33.75" customHeight="1" thickBot="1" x14ac:dyDescent="0.5">
      <c r="C25" s="5">
        <f t="shared" si="3"/>
        <v>999</v>
      </c>
      <c r="D25" s="2">
        <f>IF(E24="","",D24+1)</f>
        <v>18</v>
      </c>
      <c r="E25" s="2" t="s">
        <v>68</v>
      </c>
      <c r="F25" s="2" t="s">
        <v>62</v>
      </c>
      <c r="G25" s="2" t="str">
        <f t="shared" si="0"/>
        <v>Rank 14 - Ranking in insolvency (master scale)</v>
      </c>
      <c r="H25" s="2" t="str">
        <f>IF(D26&lt;10,"PTXSTJOM"&amp;"000"&amp;D26,IF(AND(D26&gt;=10,D26&lt;=100),"PTXSTJOM"&amp;"00"&amp;D26,IF(D26&gt;=100,"PTXSTJOM"&amp;"0"&amp;D26)))</f>
        <v>PTXSTJOM0019</v>
      </c>
      <c r="I25" s="2" t="str">
        <f t="shared" si="1"/>
        <v>M0019</v>
      </c>
      <c r="J25" s="2" t="s">
        <v>71</v>
      </c>
      <c r="K25" s="2" t="s">
        <v>72</v>
      </c>
      <c r="L25" s="2" t="s">
        <v>87</v>
      </c>
      <c r="M25" s="19">
        <v>4592813.1359526599</v>
      </c>
      <c r="N25" s="2">
        <v>0</v>
      </c>
      <c r="O25" s="2">
        <v>0</v>
      </c>
      <c r="P25" s="2" t="s">
        <v>70</v>
      </c>
      <c r="Q25" s="2">
        <v>0</v>
      </c>
      <c r="R25" s="2"/>
      <c r="S25" s="15" t="str">
        <f t="shared" si="4"/>
        <v>2022-12-31</v>
      </c>
      <c r="T25" s="4">
        <f t="shared" si="2"/>
        <v>44928</v>
      </c>
      <c r="U25" s="18">
        <v>0</v>
      </c>
    </row>
    <row r="26" spans="3:21" ht="33.75" customHeight="1" thickBot="1" x14ac:dyDescent="0.5">
      <c r="C26" s="5">
        <f t="shared" si="3"/>
        <v>999</v>
      </c>
      <c r="D26" s="2">
        <f>IF(E25="","",D25+1)</f>
        <v>19</v>
      </c>
      <c r="E26" s="2" t="s">
        <v>68</v>
      </c>
      <c r="F26" s="2" t="s">
        <v>62</v>
      </c>
      <c r="G26" s="2" t="str">
        <f t="shared" si="0"/>
        <v>Rank 14 - Ranking in insolvency (master scale)</v>
      </c>
      <c r="H26" s="2" t="str">
        <f>IF(D27&lt;10,"PTXSTJOM"&amp;"000"&amp;D27,IF(AND(D27&gt;=10,D27&lt;=100),"PTXSTJOM"&amp;"00"&amp;D27,IF(D27&gt;=100,"PTXSTJOM"&amp;"0"&amp;D27)))</f>
        <v>PTXSTJOM0020</v>
      </c>
      <c r="I26" s="2" t="str">
        <f t="shared" si="1"/>
        <v>M0020</v>
      </c>
      <c r="J26" s="2" t="s">
        <v>71</v>
      </c>
      <c r="K26" s="2" t="s">
        <v>72</v>
      </c>
      <c r="L26" s="2" t="s">
        <v>88</v>
      </c>
      <c r="M26" s="19">
        <v>900356220.3917191</v>
      </c>
      <c r="N26" s="2">
        <v>0</v>
      </c>
      <c r="O26" s="2">
        <v>0</v>
      </c>
      <c r="P26" s="2" t="s">
        <v>70</v>
      </c>
      <c r="Q26" s="2">
        <v>0</v>
      </c>
      <c r="R26" s="2"/>
      <c r="S26" s="15" t="str">
        <f t="shared" si="4"/>
        <v>2022-12-31</v>
      </c>
      <c r="T26" s="4">
        <f t="shared" si="2"/>
        <v>44928</v>
      </c>
      <c r="U26" s="18">
        <v>0</v>
      </c>
    </row>
    <row r="27" spans="3:21" ht="33.75" customHeight="1" thickBot="1" x14ac:dyDescent="0.5">
      <c r="C27" s="5">
        <f t="shared" si="3"/>
        <v>999</v>
      </c>
      <c r="D27" s="2">
        <f>IF(E26="","",D26+1)</f>
        <v>20</v>
      </c>
      <c r="E27" s="2" t="s">
        <v>68</v>
      </c>
      <c r="F27" s="2" t="s">
        <v>62</v>
      </c>
      <c r="G27" s="2" t="str">
        <f t="shared" si="0"/>
        <v>Rank 14 - Ranking in insolvency (master scale)</v>
      </c>
      <c r="H27" s="2" t="str">
        <f>IF(D28&lt;10,"PTXSTJOM"&amp;"000"&amp;D28,IF(AND(D28&gt;=10,D28&lt;=100),"PTXSTJOM"&amp;"00"&amp;D28,IF(D28&gt;=100,"PTXSTJOM"&amp;"0"&amp;D28)))</f>
        <v>PTXSTJOM0021</v>
      </c>
      <c r="I27" s="2" t="str">
        <f t="shared" si="1"/>
        <v>M0021</v>
      </c>
      <c r="J27" s="2" t="s">
        <v>71</v>
      </c>
      <c r="K27" s="2" t="s">
        <v>72</v>
      </c>
      <c r="L27" s="2" t="s">
        <v>88</v>
      </c>
      <c r="M27" s="19">
        <v>18386423758.823101</v>
      </c>
      <c r="N27" s="2">
        <v>0</v>
      </c>
      <c r="O27" s="2">
        <v>0</v>
      </c>
      <c r="P27" s="2" t="s">
        <v>70</v>
      </c>
      <c r="Q27" s="2">
        <v>0</v>
      </c>
      <c r="R27" s="2"/>
      <c r="S27" s="15" t="str">
        <f t="shared" si="4"/>
        <v>2022-12-31</v>
      </c>
      <c r="T27" s="4">
        <f t="shared" si="2"/>
        <v>44928</v>
      </c>
      <c r="U27" s="18">
        <v>0</v>
      </c>
    </row>
    <row r="28" spans="3:21" ht="33.75" customHeight="1" thickBot="1" x14ac:dyDescent="0.5">
      <c r="C28" s="5">
        <f t="shared" si="3"/>
        <v>999</v>
      </c>
      <c r="D28" s="2">
        <f>IF(E27="","",D27+1)</f>
        <v>21</v>
      </c>
      <c r="E28" s="2" t="s">
        <v>68</v>
      </c>
      <c r="F28" s="2" t="s">
        <v>62</v>
      </c>
      <c r="G28" s="2" t="str">
        <f t="shared" si="0"/>
        <v>Rank 14 - Ranking in insolvency (master scale)</v>
      </c>
      <c r="H28" s="2" t="str">
        <f>IF(D29&lt;10,"PTXSTJOM"&amp;"000"&amp;D29,IF(AND(D29&gt;=10,D29&lt;=100),"PTXSTJOM"&amp;"00"&amp;D29,IF(D29&gt;=100,"PTXSTJOM"&amp;"0"&amp;D29)))</f>
        <v>PTXSTJOM0022</v>
      </c>
      <c r="I28" s="2" t="str">
        <f t="shared" si="1"/>
        <v>M0022</v>
      </c>
      <c r="J28" s="2" t="s">
        <v>71</v>
      </c>
      <c r="K28" s="2" t="s">
        <v>72</v>
      </c>
      <c r="L28" s="2" t="s">
        <v>88</v>
      </c>
      <c r="M28" s="19">
        <v>0</v>
      </c>
      <c r="N28" s="2">
        <v>0</v>
      </c>
      <c r="O28" s="2">
        <v>0</v>
      </c>
      <c r="P28" s="2" t="s">
        <v>70</v>
      </c>
      <c r="Q28" s="2">
        <v>0</v>
      </c>
      <c r="R28" s="2"/>
      <c r="S28" s="15" t="str">
        <f t="shared" si="4"/>
        <v>2022-12-31</v>
      </c>
      <c r="T28" s="4">
        <f t="shared" si="2"/>
        <v>44928</v>
      </c>
      <c r="U28" s="18">
        <v>0</v>
      </c>
    </row>
    <row r="29" spans="3:21" ht="33.75" customHeight="1" thickBot="1" x14ac:dyDescent="0.5">
      <c r="C29" s="5">
        <f t="shared" si="3"/>
        <v>999</v>
      </c>
      <c r="D29" s="2">
        <f>IF(E28="","",D28+1)</f>
        <v>22</v>
      </c>
      <c r="E29" s="2" t="s">
        <v>68</v>
      </c>
      <c r="F29" s="2" t="s">
        <v>62</v>
      </c>
      <c r="G29" s="2" t="str">
        <f t="shared" si="0"/>
        <v>Rank 14 - Ranking in insolvency (master scale)</v>
      </c>
      <c r="H29" s="2" t="str">
        <f>IF(D30&lt;10,"PTXSTJOM"&amp;"000"&amp;D30,IF(AND(D30&gt;=10,D30&lt;=100),"PTXSTJOM"&amp;"00"&amp;D30,IF(D30&gt;=100,"PTXSTJOM"&amp;"0"&amp;D30)))</f>
        <v>PTXSTJOM0023</v>
      </c>
      <c r="I29" s="2" t="str">
        <f t="shared" si="1"/>
        <v>M0023</v>
      </c>
      <c r="J29" s="2" t="s">
        <v>71</v>
      </c>
      <c r="K29" s="2" t="s">
        <v>72</v>
      </c>
      <c r="L29" s="2" t="s">
        <v>89</v>
      </c>
      <c r="M29" s="19">
        <v>0</v>
      </c>
      <c r="N29" s="2">
        <v>0</v>
      </c>
      <c r="O29" s="2">
        <v>0</v>
      </c>
      <c r="P29" s="2" t="s">
        <v>70</v>
      </c>
      <c r="Q29" s="2">
        <v>0</v>
      </c>
      <c r="R29" s="2"/>
      <c r="S29" s="15" t="str">
        <f t="shared" si="4"/>
        <v>2022-12-31</v>
      </c>
      <c r="T29" s="4">
        <f t="shared" si="2"/>
        <v>44928</v>
      </c>
      <c r="U29" s="18">
        <v>0</v>
      </c>
    </row>
    <row r="30" spans="3:21" ht="33.75" customHeight="1" thickBot="1" x14ac:dyDescent="0.5">
      <c r="C30" s="5">
        <f t="shared" si="3"/>
        <v>999</v>
      </c>
      <c r="D30" s="2">
        <f>IF(E29="","",D29+1)</f>
        <v>23</v>
      </c>
      <c r="E30" s="2" t="s">
        <v>68</v>
      </c>
      <c r="F30" s="2" t="s">
        <v>63</v>
      </c>
      <c r="G30" s="2" t="str">
        <f t="shared" si="0"/>
        <v>Rank 14 - Ranking in insolvency (master scale)</v>
      </c>
      <c r="H30" s="2" t="str">
        <f>IF(D31&lt;10,"PTXSTJOM"&amp;"000"&amp;D31,IF(AND(D31&gt;=10,D31&lt;=100),"PTXSTJOM"&amp;"00"&amp;D31,IF(D31&gt;=100,"PTXSTJOM"&amp;"0"&amp;D31)))</f>
        <v>PTXSTJOM0024</v>
      </c>
      <c r="I30" s="2" t="str">
        <f t="shared" si="1"/>
        <v>M0024</v>
      </c>
      <c r="J30" s="2" t="s">
        <v>71</v>
      </c>
      <c r="K30" s="2" t="s">
        <v>72</v>
      </c>
      <c r="L30" s="2" t="s">
        <v>76</v>
      </c>
      <c r="M30" s="19">
        <v>4925.16</v>
      </c>
      <c r="N30" s="2">
        <v>0</v>
      </c>
      <c r="O30" s="2">
        <v>0</v>
      </c>
      <c r="P30" s="2" t="s">
        <v>70</v>
      </c>
      <c r="Q30" s="2">
        <v>0</v>
      </c>
      <c r="R30" s="2"/>
      <c r="S30" s="15" t="str">
        <f t="shared" si="4"/>
        <v>2022-12-31</v>
      </c>
      <c r="T30" s="4">
        <f t="shared" si="2"/>
        <v>44928</v>
      </c>
      <c r="U30" s="18">
        <v>0</v>
      </c>
    </row>
    <row r="31" spans="3:21" ht="33.75" customHeight="1" thickBot="1" x14ac:dyDescent="0.5">
      <c r="C31" s="5">
        <f t="shared" si="3"/>
        <v>999</v>
      </c>
      <c r="D31" s="2">
        <f>IF(E30="","",D30+1)</f>
        <v>24</v>
      </c>
      <c r="E31" s="2" t="s">
        <v>68</v>
      </c>
      <c r="F31" s="2" t="s">
        <v>63</v>
      </c>
      <c r="G31" s="2" t="str">
        <f t="shared" si="0"/>
        <v>Rank 14 - Ranking in insolvency (master scale)</v>
      </c>
      <c r="H31" s="2" t="str">
        <f>IF(D32&lt;10,"PTXSTJOM"&amp;"000"&amp;D32,IF(AND(D32&gt;=10,D32&lt;=100),"PTXSTJOM"&amp;"00"&amp;D32,IF(D32&gt;=100,"PTXSTJOM"&amp;"0"&amp;D32)))</f>
        <v>PTXSTJOM0025</v>
      </c>
      <c r="I31" s="2" t="str">
        <f t="shared" si="1"/>
        <v>M0025</v>
      </c>
      <c r="J31" s="2" t="s">
        <v>71</v>
      </c>
      <c r="K31" s="2" t="s">
        <v>72</v>
      </c>
      <c r="L31" s="2" t="s">
        <v>77</v>
      </c>
      <c r="M31" s="19">
        <v>163249.12100682</v>
      </c>
      <c r="N31" s="2">
        <v>0</v>
      </c>
      <c r="O31" s="2">
        <v>0</v>
      </c>
      <c r="P31" s="2" t="s">
        <v>70</v>
      </c>
      <c r="Q31" s="2">
        <v>0</v>
      </c>
      <c r="R31" s="2"/>
      <c r="S31" s="15" t="str">
        <f t="shared" si="4"/>
        <v>2022-12-31</v>
      </c>
      <c r="T31" s="4">
        <f t="shared" si="2"/>
        <v>44928</v>
      </c>
      <c r="U31" s="18">
        <v>0</v>
      </c>
    </row>
    <row r="32" spans="3:21" ht="33.75" customHeight="1" thickBot="1" x14ac:dyDescent="0.5">
      <c r="C32" s="5">
        <f t="shared" si="3"/>
        <v>999</v>
      </c>
      <c r="D32" s="2">
        <f>IF(E31="","",D31+1)</f>
        <v>25</v>
      </c>
      <c r="E32" s="2" t="s">
        <v>68</v>
      </c>
      <c r="F32" s="2" t="s">
        <v>63</v>
      </c>
      <c r="G32" s="2" t="str">
        <f t="shared" si="0"/>
        <v>Rank 14 - Ranking in insolvency (master scale)</v>
      </c>
      <c r="H32" s="2" t="str">
        <f>IF(D33&lt;10,"PTXSTJOM"&amp;"000"&amp;D33,IF(AND(D33&gt;=10,D33&lt;=100),"PTXSTJOM"&amp;"00"&amp;D33,IF(D33&gt;=100,"PTXSTJOM"&amp;"0"&amp;D33)))</f>
        <v>PTXSTJOM0026</v>
      </c>
      <c r="I32" s="2" t="str">
        <f t="shared" si="1"/>
        <v>M0026</v>
      </c>
      <c r="J32" s="2" t="s">
        <v>71</v>
      </c>
      <c r="K32" s="2" t="s">
        <v>72</v>
      </c>
      <c r="L32" s="2" t="s">
        <v>78</v>
      </c>
      <c r="M32" s="19">
        <v>0</v>
      </c>
      <c r="N32" s="2">
        <v>0</v>
      </c>
      <c r="O32" s="2">
        <v>0</v>
      </c>
      <c r="P32" s="2" t="s">
        <v>70</v>
      </c>
      <c r="Q32" s="2">
        <v>0</v>
      </c>
      <c r="R32" s="2"/>
      <c r="S32" s="15" t="str">
        <f t="shared" si="4"/>
        <v>2022-12-31</v>
      </c>
      <c r="T32" s="4">
        <f t="shared" si="2"/>
        <v>44928</v>
      </c>
      <c r="U32" s="18">
        <v>0</v>
      </c>
    </row>
    <row r="33" spans="3:21" ht="33.75" customHeight="1" thickBot="1" x14ac:dyDescent="0.5">
      <c r="C33" s="5">
        <f t="shared" si="3"/>
        <v>999</v>
      </c>
      <c r="D33" s="2">
        <f>IF(E32="","",D32+1)</f>
        <v>26</v>
      </c>
      <c r="E33" s="2" t="s">
        <v>68</v>
      </c>
      <c r="F33" s="2" t="s">
        <v>63</v>
      </c>
      <c r="G33" s="2" t="str">
        <f t="shared" si="0"/>
        <v>Rank 14 - Ranking in insolvency (master scale)</v>
      </c>
      <c r="H33" s="2" t="str">
        <f>IF(D34&lt;10,"PTXSTJOM"&amp;"000"&amp;D34,IF(AND(D34&gt;=10,D34&lt;=100),"PTXSTJOM"&amp;"00"&amp;D34,IF(D34&gt;=100,"PTXSTJOM"&amp;"0"&amp;D34)))</f>
        <v>PTXSTJOM0027</v>
      </c>
      <c r="I33" s="2" t="str">
        <f t="shared" si="1"/>
        <v>M0027</v>
      </c>
      <c r="J33" s="2" t="s">
        <v>71</v>
      </c>
      <c r="K33" s="2" t="s">
        <v>72</v>
      </c>
      <c r="L33" s="2" t="s">
        <v>79</v>
      </c>
      <c r="M33" s="19">
        <v>0</v>
      </c>
      <c r="N33" s="2">
        <v>0</v>
      </c>
      <c r="O33" s="2">
        <v>0</v>
      </c>
      <c r="P33" s="2" t="s">
        <v>70</v>
      </c>
      <c r="Q33" s="2">
        <v>0</v>
      </c>
      <c r="R33" s="2"/>
      <c r="S33" s="15" t="str">
        <f t="shared" si="4"/>
        <v>2022-12-31</v>
      </c>
      <c r="T33" s="4">
        <f t="shared" si="2"/>
        <v>44928</v>
      </c>
      <c r="U33" s="18">
        <v>0</v>
      </c>
    </row>
    <row r="34" spans="3:21" ht="33.75" customHeight="1" thickBot="1" x14ac:dyDescent="0.5">
      <c r="C34" s="5">
        <f t="shared" si="3"/>
        <v>999</v>
      </c>
      <c r="D34" s="2">
        <f>IF(E33="","",D33+1)</f>
        <v>27</v>
      </c>
      <c r="E34" s="2" t="s">
        <v>68</v>
      </c>
      <c r="F34" s="2" t="s">
        <v>63</v>
      </c>
      <c r="G34" s="2" t="str">
        <f t="shared" si="0"/>
        <v>Rank 14 - Ranking in insolvency (master scale)</v>
      </c>
      <c r="H34" s="2" t="str">
        <f>IF(D35&lt;10,"PTXSTJOM"&amp;"000"&amp;D35,IF(AND(D35&gt;=10,D35&lt;=100),"PTXSTJOM"&amp;"00"&amp;D35,IF(D35&gt;=100,"PTXSTJOM"&amp;"0"&amp;D35)))</f>
        <v>PTXSTJOM0028</v>
      </c>
      <c r="I34" s="2" t="str">
        <f t="shared" si="1"/>
        <v>M0028</v>
      </c>
      <c r="J34" s="2" t="s">
        <v>71</v>
      </c>
      <c r="K34" s="2" t="s">
        <v>72</v>
      </c>
      <c r="L34" s="2" t="s">
        <v>80</v>
      </c>
      <c r="M34" s="19">
        <v>4.1100000000000003</v>
      </c>
      <c r="N34" s="2">
        <v>0</v>
      </c>
      <c r="O34" s="2">
        <v>0</v>
      </c>
      <c r="P34" s="2" t="s">
        <v>70</v>
      </c>
      <c r="Q34" s="2">
        <v>0</v>
      </c>
      <c r="R34" s="2"/>
      <c r="S34" s="15" t="str">
        <f t="shared" si="4"/>
        <v>2022-12-31</v>
      </c>
      <c r="T34" s="4">
        <f t="shared" si="2"/>
        <v>44928</v>
      </c>
      <c r="U34" s="18">
        <v>0</v>
      </c>
    </row>
    <row r="35" spans="3:21" ht="33.75" customHeight="1" thickBot="1" x14ac:dyDescent="0.5">
      <c r="C35" s="5">
        <f t="shared" si="3"/>
        <v>999</v>
      </c>
      <c r="D35" s="2">
        <f>IF(E34="","",D34+1)</f>
        <v>28</v>
      </c>
      <c r="E35" s="2" t="s">
        <v>68</v>
      </c>
      <c r="F35" s="2" t="s">
        <v>63</v>
      </c>
      <c r="G35" s="2" t="str">
        <f t="shared" si="0"/>
        <v>Rank 14 - Ranking in insolvency (master scale)</v>
      </c>
      <c r="H35" s="2" t="str">
        <f>IF(D36&lt;10,"PTXSTJOM"&amp;"000"&amp;D36,IF(AND(D36&gt;=10,D36&lt;=100),"PTXSTJOM"&amp;"00"&amp;D36,IF(D36&gt;=100,"PTXSTJOM"&amp;"0"&amp;D36)))</f>
        <v>PTXSTJOM0029</v>
      </c>
      <c r="I35" s="2" t="str">
        <f t="shared" si="1"/>
        <v>M0029</v>
      </c>
      <c r="J35" s="2" t="s">
        <v>71</v>
      </c>
      <c r="K35" s="2" t="s">
        <v>72</v>
      </c>
      <c r="L35" s="2" t="s">
        <v>82</v>
      </c>
      <c r="M35" s="19">
        <v>0</v>
      </c>
      <c r="N35" s="2">
        <v>0</v>
      </c>
      <c r="O35" s="2">
        <v>0</v>
      </c>
      <c r="P35" s="2" t="s">
        <v>70</v>
      </c>
      <c r="Q35" s="2">
        <v>0</v>
      </c>
      <c r="R35" s="2"/>
      <c r="S35" s="15" t="str">
        <f t="shared" si="4"/>
        <v>2022-12-31</v>
      </c>
      <c r="T35" s="4">
        <f t="shared" si="2"/>
        <v>44928</v>
      </c>
      <c r="U35" s="18">
        <v>0</v>
      </c>
    </row>
    <row r="36" spans="3:21" ht="33.75" customHeight="1" thickBot="1" x14ac:dyDescent="0.5">
      <c r="C36" s="5">
        <f t="shared" si="3"/>
        <v>999</v>
      </c>
      <c r="D36" s="2">
        <f>IF(E35="","",D35+1)</f>
        <v>29</v>
      </c>
      <c r="E36" s="2" t="s">
        <v>68</v>
      </c>
      <c r="F36" s="2" t="s">
        <v>63</v>
      </c>
      <c r="G36" s="2" t="str">
        <f t="shared" si="0"/>
        <v>Rank 14 - Ranking in insolvency (master scale)</v>
      </c>
      <c r="H36" s="2" t="str">
        <f>IF(D37&lt;10,"PTXSTJOM"&amp;"000"&amp;D37,IF(AND(D37&gt;=10,D37&lt;=100),"PTXSTJOM"&amp;"00"&amp;D37,IF(D37&gt;=100,"PTXSTJOM"&amp;"0"&amp;D37)))</f>
        <v>PTXSTJOM0030</v>
      </c>
      <c r="I36" s="2" t="str">
        <f t="shared" si="1"/>
        <v>M0030</v>
      </c>
      <c r="J36" s="2" t="s">
        <v>71</v>
      </c>
      <c r="K36" s="2" t="s">
        <v>72</v>
      </c>
      <c r="L36" s="2" t="s">
        <v>83</v>
      </c>
      <c r="M36" s="19">
        <v>502.63</v>
      </c>
      <c r="N36" s="2">
        <v>0</v>
      </c>
      <c r="O36" s="2">
        <v>0</v>
      </c>
      <c r="P36" s="2" t="s">
        <v>70</v>
      </c>
      <c r="Q36" s="2">
        <v>0</v>
      </c>
      <c r="R36" s="2"/>
      <c r="S36" s="15" t="str">
        <f t="shared" si="4"/>
        <v>2022-12-31</v>
      </c>
      <c r="T36" s="4">
        <f t="shared" si="2"/>
        <v>44928</v>
      </c>
      <c r="U36" s="18">
        <v>0</v>
      </c>
    </row>
    <row r="37" spans="3:21" ht="33.75" customHeight="1" thickBot="1" x14ac:dyDescent="0.5">
      <c r="C37" s="5">
        <f t="shared" si="3"/>
        <v>999</v>
      </c>
      <c r="D37" s="2">
        <f>IF(E36="","",D36+1)</f>
        <v>30</v>
      </c>
      <c r="E37" s="2" t="s">
        <v>68</v>
      </c>
      <c r="F37" s="2" t="s">
        <v>63</v>
      </c>
      <c r="G37" s="2" t="str">
        <f t="shared" si="0"/>
        <v>Rank 14 - Ranking in insolvency (master scale)</v>
      </c>
      <c r="H37" s="2" t="str">
        <f>IF(D38&lt;10,"PTXSTJOM"&amp;"000"&amp;D38,IF(AND(D38&gt;=10,D38&lt;=100),"PTXSTJOM"&amp;"00"&amp;D38,IF(D38&gt;=100,"PTXSTJOM"&amp;"0"&amp;D38)))</f>
        <v>PTXSTJOM0031</v>
      </c>
      <c r="I37" s="2" t="str">
        <f t="shared" si="1"/>
        <v>M0031</v>
      </c>
      <c r="J37" s="2" t="s">
        <v>71</v>
      </c>
      <c r="K37" s="2" t="s">
        <v>72</v>
      </c>
      <c r="L37" s="2" t="s">
        <v>84</v>
      </c>
      <c r="M37" s="19">
        <v>26223.68</v>
      </c>
      <c r="N37" s="2">
        <v>0</v>
      </c>
      <c r="O37" s="2">
        <v>0</v>
      </c>
      <c r="P37" s="2" t="s">
        <v>70</v>
      </c>
      <c r="Q37" s="2">
        <v>0</v>
      </c>
      <c r="R37" s="2"/>
      <c r="S37" s="15" t="str">
        <f t="shared" si="4"/>
        <v>2022-12-31</v>
      </c>
      <c r="T37" s="4">
        <f t="shared" si="2"/>
        <v>44928</v>
      </c>
      <c r="U37" s="18">
        <v>0</v>
      </c>
    </row>
    <row r="38" spans="3:21" ht="33.75" customHeight="1" thickBot="1" x14ac:dyDescent="0.5">
      <c r="C38" s="5">
        <f t="shared" si="3"/>
        <v>999</v>
      </c>
      <c r="D38" s="2">
        <f>IF(E37="","",D37+1)</f>
        <v>31</v>
      </c>
      <c r="E38" s="2" t="s">
        <v>68</v>
      </c>
      <c r="F38" s="2" t="s">
        <v>63</v>
      </c>
      <c r="G38" s="2" t="str">
        <f t="shared" si="0"/>
        <v>Rank 14 - Ranking in insolvency (master scale)</v>
      </c>
      <c r="H38" s="2" t="str">
        <f>IF(D39&lt;10,"PTXSTJOM"&amp;"000"&amp;D39,IF(AND(D39&gt;=10,D39&lt;=100),"PTXSTJOM"&amp;"00"&amp;D39,IF(D39&gt;=100,"PTXSTJOM"&amp;"0"&amp;D39)))</f>
        <v>PTXSTJOM0032</v>
      </c>
      <c r="I38" s="2" t="str">
        <f t="shared" si="1"/>
        <v>M0032</v>
      </c>
      <c r="J38" s="2" t="s">
        <v>71</v>
      </c>
      <c r="K38" s="2" t="s">
        <v>72</v>
      </c>
      <c r="L38" s="2" t="s">
        <v>85</v>
      </c>
      <c r="M38" s="19">
        <v>186068.92900149</v>
      </c>
      <c r="N38" s="2">
        <v>0</v>
      </c>
      <c r="O38" s="2">
        <v>0</v>
      </c>
      <c r="P38" s="2" t="s">
        <v>70</v>
      </c>
      <c r="Q38" s="2">
        <v>0</v>
      </c>
      <c r="R38" s="2"/>
      <c r="S38" s="15" t="str">
        <f t="shared" si="4"/>
        <v>2022-12-31</v>
      </c>
      <c r="T38" s="4">
        <f t="shared" si="2"/>
        <v>44928</v>
      </c>
      <c r="U38" s="18">
        <v>0</v>
      </c>
    </row>
    <row r="39" spans="3:21" ht="33.75" customHeight="1" thickBot="1" x14ac:dyDescent="0.5">
      <c r="C39" s="5">
        <f t="shared" si="3"/>
        <v>999</v>
      </c>
      <c r="D39" s="2">
        <f>IF(E38="","",D38+1)</f>
        <v>32</v>
      </c>
      <c r="E39" s="2" t="s">
        <v>68</v>
      </c>
      <c r="F39" s="2" t="s">
        <v>63</v>
      </c>
      <c r="G39" s="2" t="str">
        <f t="shared" si="0"/>
        <v>Rank 14 - Ranking in insolvency (master scale)</v>
      </c>
      <c r="H39" s="2" t="str">
        <f>IF(D40&lt;10,"PTXSTJOM"&amp;"000"&amp;D40,IF(AND(D40&gt;=10,D40&lt;=100),"PTXSTJOM"&amp;"00"&amp;D40,IF(D40&gt;=100,"PTXSTJOM"&amp;"0"&amp;D40)))</f>
        <v>PTXSTJOM0033</v>
      </c>
      <c r="I39" s="2" t="str">
        <f t="shared" si="1"/>
        <v>M0033</v>
      </c>
      <c r="J39" s="2" t="s">
        <v>71</v>
      </c>
      <c r="K39" s="2" t="s">
        <v>72</v>
      </c>
      <c r="L39" s="2" t="s">
        <v>86</v>
      </c>
      <c r="M39" s="19">
        <v>664860.46940367005</v>
      </c>
      <c r="N39" s="2">
        <v>0</v>
      </c>
      <c r="O39" s="2">
        <v>0</v>
      </c>
      <c r="P39" s="2" t="s">
        <v>70</v>
      </c>
      <c r="Q39" s="2">
        <v>0</v>
      </c>
      <c r="R39" s="2"/>
      <c r="S39" s="15" t="str">
        <f t="shared" si="4"/>
        <v>2022-12-31</v>
      </c>
      <c r="T39" s="4">
        <f t="shared" si="2"/>
        <v>44928</v>
      </c>
      <c r="U39" s="18">
        <v>0</v>
      </c>
    </row>
    <row r="40" spans="3:21" ht="33.75" customHeight="1" thickBot="1" x14ac:dyDescent="0.5">
      <c r="C40" s="5">
        <f t="shared" si="3"/>
        <v>999</v>
      </c>
      <c r="D40" s="2">
        <f>IF(E39="","",D39+1)</f>
        <v>33</v>
      </c>
      <c r="E40" s="2" t="s">
        <v>68</v>
      </c>
      <c r="F40" s="2" t="s">
        <v>63</v>
      </c>
      <c r="G40" s="2" t="str">
        <f t="shared" si="0"/>
        <v>Rank 14 - Ranking in insolvency (master scale)</v>
      </c>
      <c r="H40" s="2" t="str">
        <f>IF(D41&lt;10,"PTXSTJOM"&amp;"000"&amp;D41,IF(AND(D41&gt;=10,D41&lt;=100),"PTXSTJOM"&amp;"00"&amp;D41,IF(D41&gt;=100,"PTXSTJOM"&amp;"0"&amp;D41)))</f>
        <v>PTXSTJOM0034</v>
      </c>
      <c r="I40" s="2" t="str">
        <f t="shared" si="1"/>
        <v>M0034</v>
      </c>
      <c r="J40" s="2" t="s">
        <v>71</v>
      </c>
      <c r="K40" s="2" t="s">
        <v>72</v>
      </c>
      <c r="L40" s="2" t="s">
        <v>87</v>
      </c>
      <c r="M40" s="19">
        <v>5693555.35860766</v>
      </c>
      <c r="N40" s="2">
        <v>0</v>
      </c>
      <c r="O40" s="2">
        <v>0</v>
      </c>
      <c r="P40" s="2" t="s">
        <v>70</v>
      </c>
      <c r="Q40" s="2">
        <v>0</v>
      </c>
      <c r="R40" s="2"/>
      <c r="S40" s="15" t="str">
        <f t="shared" si="4"/>
        <v>2022-12-31</v>
      </c>
      <c r="T40" s="4">
        <f t="shared" si="2"/>
        <v>44928</v>
      </c>
      <c r="U40" s="18">
        <v>0</v>
      </c>
    </row>
    <row r="41" spans="3:21" ht="33.75" customHeight="1" thickBot="1" x14ac:dyDescent="0.5">
      <c r="C41" s="5">
        <f t="shared" si="3"/>
        <v>999</v>
      </c>
      <c r="D41" s="2">
        <f>IF(E40="","",D40+1)</f>
        <v>34</v>
      </c>
      <c r="E41" s="2" t="s">
        <v>68</v>
      </c>
      <c r="F41" s="2" t="s">
        <v>63</v>
      </c>
      <c r="G41" s="2" t="str">
        <f t="shared" si="0"/>
        <v>Rank 14 - Ranking in insolvency (master scale)</v>
      </c>
      <c r="H41" s="2" t="str">
        <f>IF(D42&lt;10,"PTXSTJOM"&amp;"000"&amp;D42,IF(AND(D42&gt;=10,D42&lt;=100),"PTXSTJOM"&amp;"00"&amp;D42,IF(D42&gt;=100,"PTXSTJOM"&amp;"0"&amp;D42)))</f>
        <v>PTXSTJOM0035</v>
      </c>
      <c r="I41" s="2" t="str">
        <f t="shared" si="1"/>
        <v>M0035</v>
      </c>
      <c r="J41" s="2" t="s">
        <v>71</v>
      </c>
      <c r="K41" s="2" t="s">
        <v>72</v>
      </c>
      <c r="L41" s="2" t="s">
        <v>88</v>
      </c>
      <c r="M41" s="19">
        <v>2401074776.6454902</v>
      </c>
      <c r="N41" s="2">
        <v>0</v>
      </c>
      <c r="O41" s="2">
        <v>0</v>
      </c>
      <c r="P41" s="2" t="s">
        <v>70</v>
      </c>
      <c r="Q41" s="2">
        <v>0</v>
      </c>
      <c r="R41" s="2"/>
      <c r="S41" s="15" t="str">
        <f t="shared" si="4"/>
        <v>2022-12-31</v>
      </c>
      <c r="T41" s="4">
        <f t="shared" si="2"/>
        <v>44928</v>
      </c>
      <c r="U41" s="18">
        <v>0</v>
      </c>
    </row>
    <row r="42" spans="3:21" ht="33.75" customHeight="1" thickBot="1" x14ac:dyDescent="0.5">
      <c r="C42" s="5">
        <f t="shared" si="3"/>
        <v>999</v>
      </c>
      <c r="D42" s="2">
        <f>IF(E41="","",D41+1)</f>
        <v>35</v>
      </c>
      <c r="E42" s="2" t="s">
        <v>68</v>
      </c>
      <c r="F42" s="2" t="s">
        <v>63</v>
      </c>
      <c r="G42" s="2" t="str">
        <f t="shared" si="0"/>
        <v>Rank 14 - Ranking in insolvency (master scale)</v>
      </c>
      <c r="H42" s="2" t="str">
        <f>IF(D43&lt;10,"PTXSTJOM"&amp;"000"&amp;D43,IF(AND(D43&gt;=10,D43&lt;=100),"PTXSTJOM"&amp;"00"&amp;D43,IF(D43&gt;=100,"PTXSTJOM"&amp;"0"&amp;D43)))</f>
        <v>PTXSTJOM0036</v>
      </c>
      <c r="I42" s="2" t="str">
        <f t="shared" si="1"/>
        <v>M0036</v>
      </c>
      <c r="J42" s="2" t="s">
        <v>71</v>
      </c>
      <c r="K42" s="2" t="s">
        <v>72</v>
      </c>
      <c r="L42" s="2" t="s">
        <v>89</v>
      </c>
      <c r="M42" s="19">
        <v>58745.88</v>
      </c>
      <c r="N42" s="2">
        <v>0</v>
      </c>
      <c r="O42" s="2">
        <v>0</v>
      </c>
      <c r="P42" s="2" t="s">
        <v>70</v>
      </c>
      <c r="Q42" s="2">
        <v>0</v>
      </c>
      <c r="R42" s="2"/>
      <c r="S42" s="15" t="str">
        <f t="shared" si="4"/>
        <v>2022-12-31</v>
      </c>
      <c r="T42" s="4">
        <f t="shared" si="2"/>
        <v>44928</v>
      </c>
      <c r="U42" s="18">
        <v>0</v>
      </c>
    </row>
    <row r="43" spans="3:21" ht="33.75" customHeight="1" thickBot="1" x14ac:dyDescent="0.5">
      <c r="C43" s="5">
        <f t="shared" si="3"/>
        <v>999</v>
      </c>
      <c r="D43" s="2">
        <f>IF(E42="","",D42+1)</f>
        <v>36</v>
      </c>
      <c r="E43" s="2" t="s">
        <v>68</v>
      </c>
      <c r="F43" s="2" t="s">
        <v>64</v>
      </c>
      <c r="G43" s="2" t="str">
        <f t="shared" si="0"/>
        <v>Rank 14 - Ranking in insolvency (master scale)</v>
      </c>
      <c r="H43" s="2" t="str">
        <f>IF(D44&lt;10,"PTXSTJOM"&amp;"000"&amp;D44,IF(AND(D44&gt;=10,D44&lt;=100),"PTXSTJOM"&amp;"00"&amp;D44,IF(D44&gt;=100,"PTXSTJOM"&amp;"0"&amp;D44)))</f>
        <v>PTXSTJOM0037</v>
      </c>
      <c r="I43" s="2" t="str">
        <f t="shared" si="1"/>
        <v>M0037</v>
      </c>
      <c r="J43" s="2" t="s">
        <v>71</v>
      </c>
      <c r="K43" s="2" t="s">
        <v>72</v>
      </c>
      <c r="L43" s="2" t="s">
        <v>76</v>
      </c>
      <c r="M43" s="19">
        <v>0</v>
      </c>
      <c r="N43" s="2">
        <v>0</v>
      </c>
      <c r="O43" s="2">
        <v>0</v>
      </c>
      <c r="P43" s="2" t="s">
        <v>70</v>
      </c>
      <c r="Q43" s="2">
        <v>0</v>
      </c>
      <c r="R43" s="2"/>
      <c r="S43" s="15" t="str">
        <f t="shared" si="4"/>
        <v>2022-12-31</v>
      </c>
      <c r="T43" s="4">
        <f t="shared" si="2"/>
        <v>44928</v>
      </c>
      <c r="U43" s="18">
        <v>0</v>
      </c>
    </row>
    <row r="44" spans="3:21" ht="33.75" customHeight="1" thickBot="1" x14ac:dyDescent="0.5">
      <c r="C44" s="5">
        <f t="shared" si="3"/>
        <v>999</v>
      </c>
      <c r="D44" s="2">
        <f>IF(E43="","",D43+1)</f>
        <v>37</v>
      </c>
      <c r="E44" s="2" t="s">
        <v>68</v>
      </c>
      <c r="F44" s="2" t="s">
        <v>64</v>
      </c>
      <c r="G44" s="2" t="str">
        <f t="shared" si="0"/>
        <v>Rank 14 - Ranking in insolvency (master scale)</v>
      </c>
      <c r="H44" s="2" t="str">
        <f>IF(D45&lt;10,"PTXSTJOM"&amp;"000"&amp;D45,IF(AND(D45&gt;=10,D45&lt;=100),"PTXSTJOM"&amp;"00"&amp;D45,IF(D45&gt;=100,"PTXSTJOM"&amp;"0"&amp;D45)))</f>
        <v>PTXSTJOM0038</v>
      </c>
      <c r="I44" s="2" t="str">
        <f t="shared" si="1"/>
        <v>M0038</v>
      </c>
      <c r="J44" s="2" t="s">
        <v>71</v>
      </c>
      <c r="K44" s="2" t="s">
        <v>72</v>
      </c>
      <c r="L44" s="2" t="s">
        <v>77</v>
      </c>
      <c r="M44" s="19">
        <v>33337.21394935</v>
      </c>
      <c r="N44" s="2">
        <v>0</v>
      </c>
      <c r="O44" s="2">
        <v>0</v>
      </c>
      <c r="P44" s="2" t="s">
        <v>70</v>
      </c>
      <c r="Q44" s="2">
        <v>0</v>
      </c>
      <c r="R44" s="2"/>
      <c r="S44" s="15" t="str">
        <f t="shared" si="4"/>
        <v>2022-12-31</v>
      </c>
      <c r="T44" s="4">
        <f t="shared" si="2"/>
        <v>44928</v>
      </c>
      <c r="U44" s="18">
        <v>0</v>
      </c>
    </row>
    <row r="45" spans="3:21" ht="33.75" customHeight="1" thickBot="1" x14ac:dyDescent="0.5">
      <c r="C45" s="5">
        <f t="shared" si="3"/>
        <v>999</v>
      </c>
      <c r="D45" s="2">
        <f>IF(E44="","",D44+1)</f>
        <v>38</v>
      </c>
      <c r="E45" s="2" t="s">
        <v>68</v>
      </c>
      <c r="F45" s="2" t="s">
        <v>64</v>
      </c>
      <c r="G45" s="2" t="str">
        <f t="shared" si="0"/>
        <v>Rank 14 - Ranking in insolvency (master scale)</v>
      </c>
      <c r="H45" s="2" t="str">
        <f>IF(D46&lt;10,"PTXSTJOM"&amp;"000"&amp;D46,IF(AND(D46&gt;=10,D46&lt;=100),"PTXSTJOM"&amp;"00"&amp;D46,IF(D46&gt;=100,"PTXSTJOM"&amp;"0"&amp;D46)))</f>
        <v>PTXSTJOM0039</v>
      </c>
      <c r="I45" s="2" t="str">
        <f t="shared" si="1"/>
        <v>M0039</v>
      </c>
      <c r="J45" s="2" t="s">
        <v>71</v>
      </c>
      <c r="K45" s="2" t="s">
        <v>72</v>
      </c>
      <c r="L45" s="2" t="s">
        <v>78</v>
      </c>
      <c r="M45" s="19">
        <v>0</v>
      </c>
      <c r="N45" s="2">
        <v>0</v>
      </c>
      <c r="O45" s="2">
        <v>0</v>
      </c>
      <c r="P45" s="2" t="s">
        <v>70</v>
      </c>
      <c r="Q45" s="2">
        <v>0</v>
      </c>
      <c r="R45" s="2"/>
      <c r="S45" s="15" t="str">
        <f t="shared" si="4"/>
        <v>2022-12-31</v>
      </c>
      <c r="T45" s="4">
        <f t="shared" si="2"/>
        <v>44928</v>
      </c>
      <c r="U45" s="18">
        <v>0</v>
      </c>
    </row>
    <row r="46" spans="3:21" ht="33.75" customHeight="1" thickBot="1" x14ac:dyDescent="0.5">
      <c r="C46" s="5">
        <f t="shared" si="3"/>
        <v>999</v>
      </c>
      <c r="D46" s="2">
        <f>IF(E45="","",D45+1)</f>
        <v>39</v>
      </c>
      <c r="E46" s="2" t="s">
        <v>68</v>
      </c>
      <c r="F46" s="2" t="s">
        <v>64</v>
      </c>
      <c r="G46" s="2" t="str">
        <f t="shared" si="0"/>
        <v>Rank 14 - Ranking in insolvency (master scale)</v>
      </c>
      <c r="H46" s="2" t="str">
        <f>IF(D47&lt;10,"PTXSTJOM"&amp;"000"&amp;D47,IF(AND(D47&gt;=10,D47&lt;=100),"PTXSTJOM"&amp;"00"&amp;D47,IF(D47&gt;=100,"PTXSTJOM"&amp;"0"&amp;D47)))</f>
        <v>PTXSTJOM0040</v>
      </c>
      <c r="I46" s="2" t="str">
        <f t="shared" si="1"/>
        <v>M0040</v>
      </c>
      <c r="J46" s="2" t="s">
        <v>71</v>
      </c>
      <c r="K46" s="2" t="s">
        <v>72</v>
      </c>
      <c r="L46" s="2" t="s">
        <v>79</v>
      </c>
      <c r="M46" s="19">
        <v>0</v>
      </c>
      <c r="N46" s="2">
        <v>0</v>
      </c>
      <c r="O46" s="2">
        <v>0</v>
      </c>
      <c r="P46" s="2" t="s">
        <v>70</v>
      </c>
      <c r="Q46" s="2">
        <v>0</v>
      </c>
      <c r="R46" s="2"/>
      <c r="S46" s="15" t="str">
        <f t="shared" si="4"/>
        <v>2022-12-31</v>
      </c>
      <c r="T46" s="4">
        <f t="shared" si="2"/>
        <v>44928</v>
      </c>
      <c r="U46" s="18">
        <v>0</v>
      </c>
    </row>
    <row r="47" spans="3:21" ht="33.75" customHeight="1" thickBot="1" x14ac:dyDescent="0.5">
      <c r="C47" s="5">
        <f t="shared" si="3"/>
        <v>999</v>
      </c>
      <c r="D47" s="2">
        <f>IF(E46="","",D46+1)</f>
        <v>40</v>
      </c>
      <c r="E47" s="2" t="s">
        <v>68</v>
      </c>
      <c r="F47" s="2" t="s">
        <v>64</v>
      </c>
      <c r="G47" s="2" t="str">
        <f t="shared" si="0"/>
        <v>Rank 14 - Ranking in insolvency (master scale)</v>
      </c>
      <c r="H47" s="2" t="str">
        <f>IF(D48&lt;10,"PTXSTJOM"&amp;"000"&amp;D48,IF(AND(D48&gt;=10,D48&lt;=100),"PTXSTJOM"&amp;"00"&amp;D48,IF(D48&gt;=100,"PTXSTJOM"&amp;"0"&amp;D48)))</f>
        <v>PTXSTJOM0041</v>
      </c>
      <c r="I47" s="2" t="str">
        <f t="shared" si="1"/>
        <v>M0041</v>
      </c>
      <c r="J47" s="2" t="s">
        <v>71</v>
      </c>
      <c r="K47" s="2" t="s">
        <v>72</v>
      </c>
      <c r="L47" s="2" t="s">
        <v>80</v>
      </c>
      <c r="M47" s="19">
        <v>0</v>
      </c>
      <c r="N47" s="2">
        <v>0</v>
      </c>
      <c r="O47" s="2">
        <v>0</v>
      </c>
      <c r="P47" s="2" t="s">
        <v>70</v>
      </c>
      <c r="Q47" s="2">
        <v>0</v>
      </c>
      <c r="R47" s="2"/>
      <c r="S47" s="15" t="str">
        <f t="shared" si="4"/>
        <v>2022-12-31</v>
      </c>
      <c r="T47" s="4">
        <f t="shared" si="2"/>
        <v>44928</v>
      </c>
      <c r="U47" s="18">
        <v>0</v>
      </c>
    </row>
    <row r="48" spans="3:21" ht="33.75" customHeight="1" thickBot="1" x14ac:dyDescent="0.5">
      <c r="C48" s="5">
        <f t="shared" si="3"/>
        <v>999</v>
      </c>
      <c r="D48" s="2">
        <f>IF(E47="","",D47+1)</f>
        <v>41</v>
      </c>
      <c r="E48" s="2" t="s">
        <v>68</v>
      </c>
      <c r="F48" s="2" t="s">
        <v>64</v>
      </c>
      <c r="G48" s="2" t="str">
        <f t="shared" si="0"/>
        <v>Rank 14 - Ranking in insolvency (master scale)</v>
      </c>
      <c r="H48" s="2" t="str">
        <f>IF(D49&lt;10,"PTXSTJOM"&amp;"000"&amp;D49,IF(AND(D49&gt;=10,D49&lt;=100),"PTXSTJOM"&amp;"00"&amp;D49,IF(D49&gt;=100,"PTXSTJOM"&amp;"0"&amp;D49)))</f>
        <v>PTXSTJOM0042</v>
      </c>
      <c r="I48" s="2" t="str">
        <f t="shared" si="1"/>
        <v>M0042</v>
      </c>
      <c r="J48" s="2" t="s">
        <v>71</v>
      </c>
      <c r="K48" s="2" t="s">
        <v>72</v>
      </c>
      <c r="L48" s="2" t="s">
        <v>81</v>
      </c>
      <c r="M48" s="19">
        <v>0</v>
      </c>
      <c r="N48" s="2">
        <v>0</v>
      </c>
      <c r="O48" s="2">
        <v>0</v>
      </c>
      <c r="P48" s="2" t="s">
        <v>70</v>
      </c>
      <c r="Q48" s="2">
        <v>0</v>
      </c>
      <c r="R48" s="2"/>
      <c r="S48" s="15" t="str">
        <f t="shared" si="4"/>
        <v>2022-12-31</v>
      </c>
      <c r="T48" s="4">
        <f t="shared" si="2"/>
        <v>44928</v>
      </c>
      <c r="U48" s="18">
        <v>0</v>
      </c>
    </row>
    <row r="49" spans="3:21" ht="33.75" customHeight="1" thickBot="1" x14ac:dyDescent="0.5">
      <c r="C49" s="5">
        <f t="shared" si="3"/>
        <v>999</v>
      </c>
      <c r="D49" s="2">
        <f>IF(E48="","",D48+1)</f>
        <v>42</v>
      </c>
      <c r="E49" s="2" t="s">
        <v>68</v>
      </c>
      <c r="F49" s="2" t="s">
        <v>64</v>
      </c>
      <c r="G49" s="2" t="str">
        <f t="shared" si="0"/>
        <v>Rank 14 - Ranking in insolvency (master scale)</v>
      </c>
      <c r="H49" s="2" t="str">
        <f>IF(D50&lt;10,"PTXSTJOM"&amp;"000"&amp;D50,IF(AND(D50&gt;=10,D50&lt;=100),"PTXSTJOM"&amp;"00"&amp;D50,IF(D50&gt;=100,"PTXSTJOM"&amp;"0"&amp;D50)))</f>
        <v>PTXSTJOM0043</v>
      </c>
      <c r="I49" s="2" t="str">
        <f t="shared" si="1"/>
        <v>M0043</v>
      </c>
      <c r="J49" s="2" t="s">
        <v>71</v>
      </c>
      <c r="K49" s="2" t="s">
        <v>72</v>
      </c>
      <c r="L49" s="2" t="s">
        <v>82</v>
      </c>
      <c r="M49" s="19">
        <v>0</v>
      </c>
      <c r="N49" s="2">
        <v>0</v>
      </c>
      <c r="O49" s="2">
        <v>0</v>
      </c>
      <c r="P49" s="2" t="s">
        <v>70</v>
      </c>
      <c r="Q49" s="2">
        <v>0</v>
      </c>
      <c r="R49" s="2"/>
      <c r="S49" s="15" t="str">
        <f t="shared" si="4"/>
        <v>2022-12-31</v>
      </c>
      <c r="T49" s="4">
        <f t="shared" si="2"/>
        <v>44928</v>
      </c>
      <c r="U49" s="18">
        <v>0</v>
      </c>
    </row>
    <row r="50" spans="3:21" ht="33.75" customHeight="1" thickBot="1" x14ac:dyDescent="0.5">
      <c r="C50" s="5">
        <f t="shared" si="3"/>
        <v>999</v>
      </c>
      <c r="D50" s="2">
        <f>IF(E49="","",D49+1)</f>
        <v>43</v>
      </c>
      <c r="E50" s="2" t="s">
        <v>68</v>
      </c>
      <c r="F50" s="2" t="s">
        <v>64</v>
      </c>
      <c r="G50" s="2" t="str">
        <f t="shared" si="0"/>
        <v>Rank 14 - Ranking in insolvency (master scale)</v>
      </c>
      <c r="H50" s="2" t="str">
        <f>IF(D51&lt;10,"PTXSTJOM"&amp;"000"&amp;D51,IF(AND(D51&gt;=10,D51&lt;=100),"PTXSTJOM"&amp;"00"&amp;D51,IF(D51&gt;=100,"PTXSTJOM"&amp;"0"&amp;D51)))</f>
        <v>PTXSTJOM0044</v>
      </c>
      <c r="I50" s="2" t="str">
        <f t="shared" si="1"/>
        <v>M0044</v>
      </c>
      <c r="J50" s="2" t="s">
        <v>71</v>
      </c>
      <c r="K50" s="2" t="s">
        <v>72</v>
      </c>
      <c r="L50" s="2" t="s">
        <v>83</v>
      </c>
      <c r="M50" s="19">
        <v>0</v>
      </c>
      <c r="N50" s="2">
        <v>0</v>
      </c>
      <c r="O50" s="2">
        <v>0</v>
      </c>
      <c r="P50" s="2" t="s">
        <v>70</v>
      </c>
      <c r="Q50" s="2">
        <v>0</v>
      </c>
      <c r="R50" s="2"/>
      <c r="S50" s="15" t="str">
        <f t="shared" si="4"/>
        <v>2022-12-31</v>
      </c>
      <c r="T50" s="4">
        <f t="shared" si="2"/>
        <v>44928</v>
      </c>
      <c r="U50" s="18">
        <v>0</v>
      </c>
    </row>
    <row r="51" spans="3:21" ht="33.75" customHeight="1" thickBot="1" x14ac:dyDescent="0.5">
      <c r="C51" s="5">
        <f t="shared" si="3"/>
        <v>999</v>
      </c>
      <c r="D51" s="2">
        <f>IF(E50="","",D50+1)</f>
        <v>44</v>
      </c>
      <c r="E51" s="2" t="s">
        <v>68</v>
      </c>
      <c r="F51" s="2" t="s">
        <v>64</v>
      </c>
      <c r="G51" s="2" t="str">
        <f t="shared" si="0"/>
        <v>Rank 14 - Ranking in insolvency (master scale)</v>
      </c>
      <c r="H51" s="2" t="str">
        <f>IF(D52&lt;10,"PTXSTJOM"&amp;"000"&amp;D52,IF(AND(D52&gt;=10,D52&lt;=100),"PTXSTJOM"&amp;"00"&amp;D52,IF(D52&gt;=100,"PTXSTJOM"&amp;"0"&amp;D52)))</f>
        <v>PTXSTJOM0045</v>
      </c>
      <c r="I51" s="2" t="str">
        <f t="shared" si="1"/>
        <v>M0045</v>
      </c>
      <c r="J51" s="2" t="s">
        <v>71</v>
      </c>
      <c r="K51" s="2" t="s">
        <v>72</v>
      </c>
      <c r="L51" s="2" t="s">
        <v>84</v>
      </c>
      <c r="M51" s="19">
        <v>28226.331386940001</v>
      </c>
      <c r="N51" s="2">
        <v>0</v>
      </c>
      <c r="O51" s="2">
        <v>0</v>
      </c>
      <c r="P51" s="2" t="s">
        <v>70</v>
      </c>
      <c r="Q51" s="2">
        <v>0</v>
      </c>
      <c r="R51" s="2"/>
      <c r="S51" s="15" t="str">
        <f t="shared" si="4"/>
        <v>2022-12-31</v>
      </c>
      <c r="T51" s="4">
        <f t="shared" si="2"/>
        <v>44928</v>
      </c>
      <c r="U51" s="18">
        <v>0</v>
      </c>
    </row>
    <row r="52" spans="3:21" ht="33.75" customHeight="1" thickBot="1" x14ac:dyDescent="0.5">
      <c r="C52" s="5">
        <f t="shared" si="3"/>
        <v>999</v>
      </c>
      <c r="D52" s="2">
        <f>IF(E51="","",D51+1)</f>
        <v>45</v>
      </c>
      <c r="E52" s="2" t="s">
        <v>68</v>
      </c>
      <c r="F52" s="2" t="s">
        <v>64</v>
      </c>
      <c r="G52" s="2" t="str">
        <f t="shared" si="0"/>
        <v>Rank 14 - Ranking in insolvency (master scale)</v>
      </c>
      <c r="H52" s="2" t="str">
        <f>IF(D53&lt;10,"PTXSTJOM"&amp;"000"&amp;D53,IF(AND(D53&gt;=10,D53&lt;=100),"PTXSTJOM"&amp;"00"&amp;D53,IF(D53&gt;=100,"PTXSTJOM"&amp;"0"&amp;D53)))</f>
        <v>PTXSTJOM0046</v>
      </c>
      <c r="I52" s="2" t="str">
        <f t="shared" si="1"/>
        <v>M0046</v>
      </c>
      <c r="J52" s="2" t="s">
        <v>71</v>
      </c>
      <c r="K52" s="2" t="s">
        <v>72</v>
      </c>
      <c r="L52" s="2" t="s">
        <v>85</v>
      </c>
      <c r="M52" s="19">
        <v>210.35</v>
      </c>
      <c r="N52" s="2">
        <v>0</v>
      </c>
      <c r="O52" s="2">
        <v>0</v>
      </c>
      <c r="P52" s="2" t="s">
        <v>70</v>
      </c>
      <c r="Q52" s="2">
        <v>0</v>
      </c>
      <c r="R52" s="2"/>
      <c r="S52" s="15" t="str">
        <f t="shared" si="4"/>
        <v>2022-12-31</v>
      </c>
      <c r="T52" s="4">
        <f t="shared" si="2"/>
        <v>44928</v>
      </c>
      <c r="U52" s="18">
        <v>0</v>
      </c>
    </row>
    <row r="53" spans="3:21" ht="33.75" customHeight="1" thickBot="1" x14ac:dyDescent="0.5">
      <c r="C53" s="5">
        <f t="shared" si="3"/>
        <v>999</v>
      </c>
      <c r="D53" s="2">
        <f>IF(E52="","",D52+1)</f>
        <v>46</v>
      </c>
      <c r="E53" s="2" t="s">
        <v>68</v>
      </c>
      <c r="F53" s="2" t="s">
        <v>64</v>
      </c>
      <c r="G53" s="2" t="str">
        <f t="shared" si="0"/>
        <v>Rank 14 - Ranking in insolvency (master scale)</v>
      </c>
      <c r="H53" s="2" t="str">
        <f>IF(D54&lt;10,"PTXSTJOM"&amp;"000"&amp;D54,IF(AND(D54&gt;=10,D54&lt;=100),"PTXSTJOM"&amp;"00"&amp;D54,IF(D54&gt;=100,"PTXSTJOM"&amp;"0"&amp;D54)))</f>
        <v>PTXSTJOM0047</v>
      </c>
      <c r="I53" s="2" t="str">
        <f t="shared" si="1"/>
        <v>M0047</v>
      </c>
      <c r="J53" s="2" t="s">
        <v>71</v>
      </c>
      <c r="K53" s="2" t="s">
        <v>72</v>
      </c>
      <c r="L53" s="2" t="s">
        <v>86</v>
      </c>
      <c r="M53" s="19">
        <v>247303.65395010999</v>
      </c>
      <c r="N53" s="2">
        <v>0</v>
      </c>
      <c r="O53" s="2">
        <v>0</v>
      </c>
      <c r="P53" s="2" t="s">
        <v>70</v>
      </c>
      <c r="Q53" s="2">
        <v>0</v>
      </c>
      <c r="R53" s="2"/>
      <c r="S53" s="15" t="str">
        <f t="shared" si="4"/>
        <v>2022-12-31</v>
      </c>
      <c r="T53" s="4">
        <f t="shared" si="2"/>
        <v>44928</v>
      </c>
      <c r="U53" s="18">
        <v>0</v>
      </c>
    </row>
    <row r="54" spans="3:21" ht="33.75" customHeight="1" thickBot="1" x14ac:dyDescent="0.5">
      <c r="C54" s="5">
        <f t="shared" si="3"/>
        <v>999</v>
      </c>
      <c r="D54" s="2">
        <f>IF(E53="","",D53+1)</f>
        <v>47</v>
      </c>
      <c r="E54" s="2" t="s">
        <v>68</v>
      </c>
      <c r="F54" s="2" t="s">
        <v>64</v>
      </c>
      <c r="G54" s="2" t="str">
        <f t="shared" si="0"/>
        <v>Rank 14 - Ranking in insolvency (master scale)</v>
      </c>
      <c r="H54" s="2" t="str">
        <f>IF(D55&lt;10,"PTXSTJOM"&amp;"000"&amp;D55,IF(AND(D55&gt;=10,D55&lt;=100),"PTXSTJOM"&amp;"00"&amp;D55,IF(D55&gt;=100,"PTXSTJOM"&amp;"0"&amp;D55)))</f>
        <v>PTXSTJOM0048</v>
      </c>
      <c r="I54" s="2" t="str">
        <f t="shared" si="1"/>
        <v>M0048</v>
      </c>
      <c r="J54" s="2" t="s">
        <v>71</v>
      </c>
      <c r="K54" s="2" t="s">
        <v>72</v>
      </c>
      <c r="L54" s="2" t="s">
        <v>87</v>
      </c>
      <c r="M54" s="19">
        <v>1896712.01886641</v>
      </c>
      <c r="N54" s="2">
        <v>0</v>
      </c>
      <c r="O54" s="2">
        <v>0</v>
      </c>
      <c r="P54" s="2" t="s">
        <v>70</v>
      </c>
      <c r="Q54" s="2">
        <v>0</v>
      </c>
      <c r="R54" s="2"/>
      <c r="S54" s="15" t="str">
        <f t="shared" si="4"/>
        <v>2022-12-31</v>
      </c>
      <c r="T54" s="4">
        <f t="shared" si="2"/>
        <v>44928</v>
      </c>
      <c r="U54" s="18">
        <v>0</v>
      </c>
    </row>
    <row r="55" spans="3:21" ht="33.75" customHeight="1" thickBot="1" x14ac:dyDescent="0.5">
      <c r="C55" s="5">
        <f t="shared" si="3"/>
        <v>999</v>
      </c>
      <c r="D55" s="2">
        <f>IF(E54="","",D54+1)</f>
        <v>48</v>
      </c>
      <c r="E55" s="2" t="s">
        <v>68</v>
      </c>
      <c r="F55" s="2" t="s">
        <v>64</v>
      </c>
      <c r="G55" s="2" t="str">
        <f t="shared" si="0"/>
        <v>Rank 14 - Ranking in insolvency (master scale)</v>
      </c>
      <c r="H55" s="2" t="str">
        <f>IF(D56&lt;10,"PTXSTJOM"&amp;"000"&amp;D56,IF(AND(D56&gt;=10,D56&lt;=100),"PTXSTJOM"&amp;"00"&amp;D56,IF(D56&gt;=100,"PTXSTJOM"&amp;"0"&amp;D56)))</f>
        <v>PTXSTJOM0049</v>
      </c>
      <c r="I55" s="2" t="str">
        <f t="shared" si="1"/>
        <v>M0049</v>
      </c>
      <c r="J55" s="2" t="s">
        <v>71</v>
      </c>
      <c r="K55" s="2" t="s">
        <v>72</v>
      </c>
      <c r="L55" s="2" t="s">
        <v>88</v>
      </c>
      <c r="M55" s="19">
        <v>341791543.26393098</v>
      </c>
      <c r="N55" s="2">
        <v>0</v>
      </c>
      <c r="O55" s="2">
        <v>0</v>
      </c>
      <c r="P55" s="2" t="s">
        <v>70</v>
      </c>
      <c r="Q55" s="2">
        <v>0</v>
      </c>
      <c r="R55" s="2"/>
      <c r="S55" s="15" t="str">
        <f t="shared" si="4"/>
        <v>2022-12-31</v>
      </c>
      <c r="T55" s="4">
        <f t="shared" si="2"/>
        <v>44928</v>
      </c>
      <c r="U55" s="18">
        <v>0</v>
      </c>
    </row>
    <row r="56" spans="3:21" ht="33.75" customHeight="1" thickBot="1" x14ac:dyDescent="0.5">
      <c r="C56" s="5">
        <f t="shared" si="3"/>
        <v>999</v>
      </c>
      <c r="D56" s="2">
        <f>IF(E55="","",D55+1)</f>
        <v>49</v>
      </c>
      <c r="E56" s="2" t="s">
        <v>68</v>
      </c>
      <c r="F56" s="2" t="s">
        <v>64</v>
      </c>
      <c r="G56" s="2" t="str">
        <f t="shared" si="0"/>
        <v>Rank 14 - Ranking in insolvency (master scale)</v>
      </c>
      <c r="H56" s="2" t="str">
        <f>IF(D57&lt;10,"PTXSTJOM"&amp;"000"&amp;D57,IF(AND(D57&gt;=10,D57&lt;=100),"PTXSTJOM"&amp;"00"&amp;D57,IF(D57&gt;=100,"PTXSTJOM"&amp;"0"&amp;D57)))</f>
        <v>PTXSTJOM0050</v>
      </c>
      <c r="I56" s="2" t="str">
        <f t="shared" si="1"/>
        <v>M0050</v>
      </c>
      <c r="J56" s="2" t="s">
        <v>71</v>
      </c>
      <c r="K56" s="2" t="s">
        <v>72</v>
      </c>
      <c r="L56" s="2" t="s">
        <v>88</v>
      </c>
      <c r="M56" s="19">
        <v>0</v>
      </c>
      <c r="N56" s="2">
        <v>0</v>
      </c>
      <c r="O56" s="2">
        <v>0</v>
      </c>
      <c r="P56" s="2" t="s">
        <v>70</v>
      </c>
      <c r="Q56" s="2">
        <v>0</v>
      </c>
      <c r="R56" s="2"/>
      <c r="S56" s="15" t="str">
        <f t="shared" si="4"/>
        <v>2022-12-31</v>
      </c>
      <c r="T56" s="4">
        <f t="shared" si="2"/>
        <v>44928</v>
      </c>
      <c r="U56" s="18">
        <v>0</v>
      </c>
    </row>
    <row r="57" spans="3:21" ht="33.75" customHeight="1" thickBot="1" x14ac:dyDescent="0.5">
      <c r="C57" s="5">
        <f t="shared" si="3"/>
        <v>999</v>
      </c>
      <c r="D57" s="2">
        <f>IF(E56="","",D56+1)</f>
        <v>50</v>
      </c>
      <c r="E57" s="2" t="s">
        <v>68</v>
      </c>
      <c r="F57" s="2" t="s">
        <v>64</v>
      </c>
      <c r="G57" s="2" t="str">
        <f t="shared" si="0"/>
        <v>Rank 14 - Ranking in insolvency (master scale)</v>
      </c>
      <c r="H57" s="2" t="str">
        <f>IF(D58&lt;10,"PTXSTJOM"&amp;"000"&amp;D58,IF(AND(D58&gt;=10,D58&lt;=100),"PTXSTJOM"&amp;"00"&amp;D58,IF(D58&gt;=100,"PTXSTJOM"&amp;"0"&amp;D58)))</f>
        <v>PTXSTJOM0051</v>
      </c>
      <c r="I57" s="2" t="str">
        <f t="shared" si="1"/>
        <v>M0051</v>
      </c>
      <c r="J57" s="2" t="s">
        <v>71</v>
      </c>
      <c r="K57" s="2" t="s">
        <v>72</v>
      </c>
      <c r="L57" s="2" t="s">
        <v>89</v>
      </c>
      <c r="M57" s="19">
        <v>11072.85</v>
      </c>
      <c r="N57" s="2">
        <v>0</v>
      </c>
      <c r="O57" s="2">
        <v>0</v>
      </c>
      <c r="P57" s="2" t="s">
        <v>70</v>
      </c>
      <c r="Q57" s="2">
        <v>0</v>
      </c>
      <c r="R57" s="2"/>
      <c r="S57" s="15" t="str">
        <f t="shared" si="4"/>
        <v>2022-12-31</v>
      </c>
      <c r="T57" s="4">
        <f t="shared" si="2"/>
        <v>44928</v>
      </c>
      <c r="U57" s="18">
        <v>0</v>
      </c>
    </row>
    <row r="58" spans="3:21" ht="33.75" customHeight="1" thickBot="1" x14ac:dyDescent="0.5">
      <c r="C58" s="5">
        <f t="shared" si="3"/>
        <v>999</v>
      </c>
      <c r="D58" s="2">
        <f>IF(E57="","",D57+1)</f>
        <v>51</v>
      </c>
      <c r="E58" s="2" t="s">
        <v>68</v>
      </c>
      <c r="F58" s="2" t="s">
        <v>69</v>
      </c>
      <c r="G58" s="2" t="str">
        <f t="shared" si="0"/>
        <v>Rank 14 - Ranking in insolvency (master scale)</v>
      </c>
      <c r="H58" s="2" t="str">
        <f>IF(D59&lt;10,"PTXSTJOM"&amp;"000"&amp;D59,IF(AND(D59&gt;=10,D59&lt;=100),"PTXSTJOM"&amp;"00"&amp;D59,IF(D59&gt;=100,"PTXSTJOM"&amp;"0"&amp;D59)))</f>
        <v>PTXSTJOM0052</v>
      </c>
      <c r="I58" s="2" t="str">
        <f t="shared" si="1"/>
        <v>M0052</v>
      </c>
      <c r="J58" s="2" t="s">
        <v>71</v>
      </c>
      <c r="K58" s="2" t="s">
        <v>72</v>
      </c>
      <c r="L58" s="2" t="s">
        <v>87</v>
      </c>
      <c r="M58" s="19">
        <v>0</v>
      </c>
      <c r="N58" s="2">
        <v>0</v>
      </c>
      <c r="O58" s="2">
        <v>0</v>
      </c>
      <c r="P58" s="2" t="s">
        <v>70</v>
      </c>
      <c r="Q58" s="2">
        <v>0</v>
      </c>
      <c r="R58" s="2"/>
      <c r="S58" s="15" t="str">
        <f t="shared" si="4"/>
        <v>2022-12-31</v>
      </c>
      <c r="T58" s="4">
        <f t="shared" si="2"/>
        <v>44928</v>
      </c>
      <c r="U58" s="18">
        <v>0</v>
      </c>
    </row>
    <row r="59" spans="3:21" ht="33.75" customHeight="1" thickBot="1" x14ac:dyDescent="0.5">
      <c r="C59" s="5">
        <f t="shared" si="3"/>
        <v>999</v>
      </c>
      <c r="D59" s="2">
        <f>IF(E58="","",D58+1)</f>
        <v>52</v>
      </c>
      <c r="E59" s="2" t="s">
        <v>68</v>
      </c>
      <c r="F59" s="2" t="s">
        <v>69</v>
      </c>
      <c r="G59" s="2" t="str">
        <f t="shared" si="0"/>
        <v>Rank 14 - Ranking in insolvency (master scale)</v>
      </c>
      <c r="H59" s="2" t="str">
        <f>IF(D60&lt;10,"PTXSTJOM"&amp;"000"&amp;D60,IF(AND(D60&gt;=10,D60&lt;=100),"PTXSTJOM"&amp;"00"&amp;D60,IF(D60&gt;=100,"PTXSTJOM"&amp;"0"&amp;D60)))</f>
        <v>PTXSTJOM0053</v>
      </c>
      <c r="I59" s="2" t="str">
        <f t="shared" si="1"/>
        <v>M0053</v>
      </c>
      <c r="J59" s="2" t="s">
        <v>71</v>
      </c>
      <c r="K59" s="2" t="s">
        <v>72</v>
      </c>
      <c r="L59" s="2" t="s">
        <v>88</v>
      </c>
      <c r="M59" s="19">
        <v>0</v>
      </c>
      <c r="N59" s="2">
        <v>0</v>
      </c>
      <c r="O59" s="2">
        <v>0</v>
      </c>
      <c r="P59" s="2" t="s">
        <v>70</v>
      </c>
      <c r="Q59" s="2">
        <v>0</v>
      </c>
      <c r="R59" s="2"/>
      <c r="S59" s="15" t="str">
        <f t="shared" si="4"/>
        <v>2022-12-31</v>
      </c>
      <c r="T59" s="4">
        <f t="shared" si="2"/>
        <v>44928</v>
      </c>
      <c r="U59" s="18">
        <v>0</v>
      </c>
    </row>
    <row r="60" spans="3:21" ht="33.75" customHeight="1" thickBot="1" x14ac:dyDescent="0.5">
      <c r="C60" s="5">
        <f t="shared" si="3"/>
        <v>999</v>
      </c>
      <c r="D60" s="2">
        <f>IF(E59="","",D59+1)</f>
        <v>53</v>
      </c>
      <c r="E60" s="2" t="s">
        <v>68</v>
      </c>
      <c r="F60" s="2" t="s">
        <v>65</v>
      </c>
      <c r="G60" s="2" t="str">
        <f t="shared" si="0"/>
        <v>Rank 14 - Ranking in insolvency (master scale)</v>
      </c>
      <c r="H60" s="2" t="str">
        <f>IF(D61&lt;10,"PTXSTJOM"&amp;"000"&amp;D61,IF(AND(D61&gt;=10,D61&lt;=100),"PTXSTJOM"&amp;"00"&amp;D61,IF(D61&gt;=100,"PTXSTJOM"&amp;"0"&amp;D61)))</f>
        <v>PTXSTJOM0054</v>
      </c>
      <c r="I60" s="2" t="str">
        <f t="shared" si="1"/>
        <v>M0054</v>
      </c>
      <c r="J60" s="2" t="s">
        <v>71</v>
      </c>
      <c r="K60" s="2" t="s">
        <v>72</v>
      </c>
      <c r="L60" s="2" t="s">
        <v>76</v>
      </c>
      <c r="M60" s="19">
        <v>0</v>
      </c>
      <c r="N60" s="2">
        <v>0</v>
      </c>
      <c r="O60" s="2">
        <v>0</v>
      </c>
      <c r="P60" s="2" t="s">
        <v>70</v>
      </c>
      <c r="Q60" s="2">
        <v>0</v>
      </c>
      <c r="R60" s="2"/>
      <c r="S60" s="15" t="str">
        <f t="shared" si="4"/>
        <v>2022-12-31</v>
      </c>
      <c r="T60" s="4">
        <f t="shared" si="2"/>
        <v>44928</v>
      </c>
      <c r="U60" s="18">
        <v>0</v>
      </c>
    </row>
    <row r="61" spans="3:21" ht="33.75" customHeight="1" thickBot="1" x14ac:dyDescent="0.5">
      <c r="C61" s="5">
        <f t="shared" si="3"/>
        <v>999</v>
      </c>
      <c r="D61" s="2">
        <f>IF(E60="","",D60+1)</f>
        <v>54</v>
      </c>
      <c r="E61" s="2" t="s">
        <v>68</v>
      </c>
      <c r="F61" s="2" t="s">
        <v>65</v>
      </c>
      <c r="G61" s="2" t="str">
        <f t="shared" si="0"/>
        <v>Rank 14 - Ranking in insolvency (master scale)</v>
      </c>
      <c r="H61" s="2" t="str">
        <f>IF(D62&lt;10,"PTXSTJOM"&amp;"000"&amp;D62,IF(AND(D62&gt;=10,D62&lt;=100),"PTXSTJOM"&amp;"00"&amp;D62,IF(D62&gt;=100,"PTXSTJOM"&amp;"0"&amp;D62)))</f>
        <v>PTXSTJOM0055</v>
      </c>
      <c r="I61" s="2" t="str">
        <f t="shared" si="1"/>
        <v>M0055</v>
      </c>
      <c r="J61" s="2" t="s">
        <v>71</v>
      </c>
      <c r="K61" s="2" t="s">
        <v>72</v>
      </c>
      <c r="L61" s="2" t="s">
        <v>76</v>
      </c>
      <c r="M61" s="19">
        <v>0</v>
      </c>
      <c r="N61" s="2">
        <v>0</v>
      </c>
      <c r="O61" s="2">
        <v>0</v>
      </c>
      <c r="P61" s="2" t="s">
        <v>70</v>
      </c>
      <c r="Q61" s="2">
        <v>0</v>
      </c>
      <c r="R61" s="2"/>
      <c r="S61" s="15" t="str">
        <f t="shared" si="4"/>
        <v>2022-12-31</v>
      </c>
      <c r="T61" s="4">
        <f t="shared" si="2"/>
        <v>44928</v>
      </c>
      <c r="U61" s="18">
        <v>0</v>
      </c>
    </row>
    <row r="62" spans="3:21" ht="33.75" customHeight="1" thickBot="1" x14ac:dyDescent="0.5">
      <c r="C62" s="5">
        <f t="shared" si="3"/>
        <v>999</v>
      </c>
      <c r="D62" s="2">
        <f>IF(E61="","",D61+1)</f>
        <v>55</v>
      </c>
      <c r="E62" s="2" t="s">
        <v>68</v>
      </c>
      <c r="F62" s="2" t="s">
        <v>65</v>
      </c>
      <c r="G62" s="2" t="str">
        <f t="shared" si="0"/>
        <v>Rank 14 - Ranking in insolvency (master scale)</v>
      </c>
      <c r="H62" s="2" t="str">
        <f>IF(D63&lt;10,"PTXSTJOM"&amp;"000"&amp;D63,IF(AND(D63&gt;=10,D63&lt;=100),"PTXSTJOM"&amp;"00"&amp;D63,IF(D63&gt;=100,"PTXSTJOM"&amp;"0"&amp;D63)))</f>
        <v>PTXSTJOM0056</v>
      </c>
      <c r="I62" s="2" t="str">
        <f t="shared" si="1"/>
        <v>M0056</v>
      </c>
      <c r="J62" s="2" t="s">
        <v>71</v>
      </c>
      <c r="K62" s="2" t="s">
        <v>72</v>
      </c>
      <c r="L62" s="2" t="s">
        <v>79</v>
      </c>
      <c r="M62" s="19">
        <v>0</v>
      </c>
      <c r="N62" s="2">
        <v>0</v>
      </c>
      <c r="O62" s="2">
        <v>0</v>
      </c>
      <c r="P62" s="2" t="s">
        <v>70</v>
      </c>
      <c r="Q62" s="2">
        <v>0</v>
      </c>
      <c r="R62" s="2"/>
      <c r="S62" s="15" t="str">
        <f t="shared" si="4"/>
        <v>2022-12-31</v>
      </c>
      <c r="T62" s="4">
        <f t="shared" si="2"/>
        <v>44928</v>
      </c>
      <c r="U62" s="18">
        <v>0</v>
      </c>
    </row>
    <row r="63" spans="3:21" ht="33.75" customHeight="1" thickBot="1" x14ac:dyDescent="0.5">
      <c r="C63" s="5">
        <f t="shared" si="3"/>
        <v>999</v>
      </c>
      <c r="D63" s="2">
        <f>IF(E62="","",D62+1)</f>
        <v>56</v>
      </c>
      <c r="E63" s="2" t="s">
        <v>68</v>
      </c>
      <c r="F63" s="2" t="s">
        <v>65</v>
      </c>
      <c r="G63" s="2" t="str">
        <f t="shared" si="0"/>
        <v>Rank 14 - Ranking in insolvency (master scale)</v>
      </c>
      <c r="H63" s="2" t="str">
        <f>IF(D64&lt;10,"PTXSTJOM"&amp;"000"&amp;D64,IF(AND(D64&gt;=10,D64&lt;=100),"PTXSTJOM"&amp;"00"&amp;D64,IF(D64&gt;=100,"PTXSTJOM"&amp;"0"&amp;D64)))</f>
        <v>PTXSTJOM0057</v>
      </c>
      <c r="I63" s="2" t="str">
        <f t="shared" si="1"/>
        <v>M0057</v>
      </c>
      <c r="J63" s="2" t="s">
        <v>71</v>
      </c>
      <c r="K63" s="2" t="s">
        <v>72</v>
      </c>
      <c r="L63" s="2" t="s">
        <v>79</v>
      </c>
      <c r="M63" s="19">
        <v>0</v>
      </c>
      <c r="N63" s="2">
        <v>0</v>
      </c>
      <c r="O63" s="2">
        <v>0</v>
      </c>
      <c r="P63" s="2" t="s">
        <v>70</v>
      </c>
      <c r="Q63" s="2">
        <v>0</v>
      </c>
      <c r="R63" s="2"/>
      <c r="S63" s="15" t="str">
        <f t="shared" si="4"/>
        <v>2022-12-31</v>
      </c>
      <c r="T63" s="4">
        <f t="shared" si="2"/>
        <v>44928</v>
      </c>
      <c r="U63" s="18">
        <v>0</v>
      </c>
    </row>
    <row r="64" spans="3:21" ht="33.75" customHeight="1" thickBot="1" x14ac:dyDescent="0.5">
      <c r="C64" s="5">
        <f t="shared" si="3"/>
        <v>999</v>
      </c>
      <c r="D64" s="2">
        <f>IF(E63="","",D63+1)</f>
        <v>57</v>
      </c>
      <c r="E64" s="2" t="s">
        <v>68</v>
      </c>
      <c r="F64" s="2" t="s">
        <v>65</v>
      </c>
      <c r="G64" s="2" t="str">
        <f t="shared" si="0"/>
        <v>Rank 14 - Ranking in insolvency (master scale)</v>
      </c>
      <c r="H64" s="2" t="str">
        <f>IF(D65&lt;10,"PTXSTJOM"&amp;"000"&amp;D65,IF(AND(D65&gt;=10,D65&lt;=100),"PTXSTJOM"&amp;"00"&amp;D65,IF(D65&gt;=100,"PTXSTJOM"&amp;"0"&amp;D65)))</f>
        <v>PTXSTJOM0058</v>
      </c>
      <c r="I64" s="2" t="str">
        <f t="shared" si="1"/>
        <v>M0058</v>
      </c>
      <c r="J64" s="2" t="s">
        <v>71</v>
      </c>
      <c r="K64" s="2" t="s">
        <v>72</v>
      </c>
      <c r="L64" s="2" t="s">
        <v>80</v>
      </c>
      <c r="M64" s="19">
        <v>0</v>
      </c>
      <c r="N64" s="2">
        <v>0</v>
      </c>
      <c r="O64" s="2">
        <v>0</v>
      </c>
      <c r="P64" s="2" t="s">
        <v>70</v>
      </c>
      <c r="Q64" s="2">
        <v>0</v>
      </c>
      <c r="R64" s="2"/>
      <c r="S64" s="15" t="str">
        <f t="shared" si="4"/>
        <v>2022-12-31</v>
      </c>
      <c r="T64" s="4">
        <f t="shared" si="2"/>
        <v>44928</v>
      </c>
      <c r="U64" s="18">
        <v>0</v>
      </c>
    </row>
    <row r="65" spans="3:21" ht="33.75" customHeight="1" thickBot="1" x14ac:dyDescent="0.5">
      <c r="C65" s="5">
        <f t="shared" si="3"/>
        <v>999</v>
      </c>
      <c r="D65" s="2">
        <f>IF(E64="","",D64+1)</f>
        <v>58</v>
      </c>
      <c r="E65" s="2" t="s">
        <v>68</v>
      </c>
      <c r="F65" s="2" t="s">
        <v>65</v>
      </c>
      <c r="G65" s="2" t="str">
        <f t="shared" si="0"/>
        <v>Rank 14 - Ranking in insolvency (master scale)</v>
      </c>
      <c r="H65" s="2" t="str">
        <f>IF(D66&lt;10,"PTXSTJOM"&amp;"000"&amp;D66,IF(AND(D66&gt;=10,D66&lt;=100),"PTXSTJOM"&amp;"00"&amp;D66,IF(D66&gt;=100,"PTXSTJOM"&amp;"0"&amp;D66)))</f>
        <v>PTXSTJOM0059</v>
      </c>
      <c r="I65" s="2" t="str">
        <f t="shared" si="1"/>
        <v>M0059</v>
      </c>
      <c r="J65" s="2" t="s">
        <v>71</v>
      </c>
      <c r="K65" s="2" t="s">
        <v>72</v>
      </c>
      <c r="L65" s="2" t="s">
        <v>80</v>
      </c>
      <c r="M65" s="19">
        <v>0</v>
      </c>
      <c r="N65" s="2">
        <v>0</v>
      </c>
      <c r="O65" s="2">
        <v>0</v>
      </c>
      <c r="P65" s="2" t="s">
        <v>70</v>
      </c>
      <c r="Q65" s="2">
        <v>0</v>
      </c>
      <c r="R65" s="2"/>
      <c r="S65" s="15" t="str">
        <f t="shared" si="4"/>
        <v>2022-12-31</v>
      </c>
      <c r="T65" s="4">
        <f t="shared" si="2"/>
        <v>44928</v>
      </c>
      <c r="U65" s="18">
        <v>0</v>
      </c>
    </row>
    <row r="66" spans="3:21" ht="33.75" customHeight="1" thickBot="1" x14ac:dyDescent="0.5">
      <c r="C66" s="5">
        <f t="shared" si="3"/>
        <v>999</v>
      </c>
      <c r="D66" s="2">
        <f>IF(E65="","",D65+1)</f>
        <v>59</v>
      </c>
      <c r="E66" s="2" t="s">
        <v>68</v>
      </c>
      <c r="F66" s="2" t="s">
        <v>65</v>
      </c>
      <c r="G66" s="2" t="str">
        <f t="shared" si="0"/>
        <v>Rank 14 - Ranking in insolvency (master scale)</v>
      </c>
      <c r="H66" s="2" t="str">
        <f>IF(D67&lt;10,"PTXSTJOM"&amp;"000"&amp;D67,IF(AND(D67&gt;=10,D67&lt;=100),"PTXSTJOM"&amp;"00"&amp;D67,IF(D67&gt;=100,"PTXSTJOM"&amp;"0"&amp;D67)))</f>
        <v>PTXSTJOM0060</v>
      </c>
      <c r="I66" s="2" t="str">
        <f t="shared" si="1"/>
        <v>M0060</v>
      </c>
      <c r="J66" s="2" t="s">
        <v>71</v>
      </c>
      <c r="K66" s="2" t="s">
        <v>72</v>
      </c>
      <c r="L66" s="2" t="s">
        <v>81</v>
      </c>
      <c r="M66" s="19">
        <v>0</v>
      </c>
      <c r="N66" s="2">
        <v>0</v>
      </c>
      <c r="O66" s="2">
        <v>0</v>
      </c>
      <c r="P66" s="2" t="s">
        <v>70</v>
      </c>
      <c r="Q66" s="2">
        <v>0</v>
      </c>
      <c r="R66" s="2"/>
      <c r="S66" s="15" t="str">
        <f t="shared" si="4"/>
        <v>2022-12-31</v>
      </c>
      <c r="T66" s="4">
        <f t="shared" si="2"/>
        <v>44928</v>
      </c>
      <c r="U66" s="18">
        <v>0</v>
      </c>
    </row>
    <row r="67" spans="3:21" ht="33.75" customHeight="1" thickBot="1" x14ac:dyDescent="0.5">
      <c r="C67" s="5">
        <f t="shared" si="3"/>
        <v>999</v>
      </c>
      <c r="D67" s="2">
        <f>IF(E66="","",D66+1)</f>
        <v>60</v>
      </c>
      <c r="E67" s="2" t="s">
        <v>68</v>
      </c>
      <c r="F67" s="2" t="s">
        <v>65</v>
      </c>
      <c r="G67" s="2" t="str">
        <f t="shared" si="0"/>
        <v>Rank 14 - Ranking in insolvency (master scale)</v>
      </c>
      <c r="H67" s="2" t="str">
        <f>IF(D68&lt;10,"PTXSTJOM"&amp;"000"&amp;D68,IF(AND(D68&gt;=10,D68&lt;=100),"PTXSTJOM"&amp;"00"&amp;D68,IF(D68&gt;=100,"PTXSTJOM"&amp;"0"&amp;D68)))</f>
        <v>PTXSTJOM0061</v>
      </c>
      <c r="I67" s="2" t="str">
        <f t="shared" si="1"/>
        <v>M0061</v>
      </c>
      <c r="J67" s="2" t="s">
        <v>71</v>
      </c>
      <c r="K67" s="2" t="s">
        <v>72</v>
      </c>
      <c r="L67" s="2" t="s">
        <v>82</v>
      </c>
      <c r="M67" s="19">
        <v>0</v>
      </c>
      <c r="N67" s="2">
        <v>0</v>
      </c>
      <c r="O67" s="2">
        <v>0</v>
      </c>
      <c r="P67" s="2" t="s">
        <v>70</v>
      </c>
      <c r="Q67" s="2">
        <v>0</v>
      </c>
      <c r="R67" s="2"/>
      <c r="S67" s="15" t="str">
        <f t="shared" si="4"/>
        <v>2022-12-31</v>
      </c>
      <c r="T67" s="4">
        <f t="shared" si="2"/>
        <v>44928</v>
      </c>
      <c r="U67" s="18">
        <v>0</v>
      </c>
    </row>
    <row r="68" spans="3:21" ht="33.75" customHeight="1" thickBot="1" x14ac:dyDescent="0.5">
      <c r="C68" s="5">
        <f t="shared" si="3"/>
        <v>999</v>
      </c>
      <c r="D68" s="2">
        <f>IF(E67="","",D67+1)</f>
        <v>61</v>
      </c>
      <c r="E68" s="2" t="s">
        <v>68</v>
      </c>
      <c r="F68" s="2" t="s">
        <v>65</v>
      </c>
      <c r="G68" s="2" t="str">
        <f t="shared" si="0"/>
        <v>Rank 14 - Ranking in insolvency (master scale)</v>
      </c>
      <c r="H68" s="2" t="str">
        <f>IF(D69&lt;10,"PTXSTJOM"&amp;"000"&amp;D69,IF(AND(D69&gt;=10,D69&lt;=100),"PTXSTJOM"&amp;"00"&amp;D69,IF(D69&gt;=100,"PTXSTJOM"&amp;"0"&amp;D69)))</f>
        <v>PTXSTJOM0062</v>
      </c>
      <c r="I68" s="2" t="str">
        <f t="shared" si="1"/>
        <v>M0062</v>
      </c>
      <c r="J68" s="2" t="s">
        <v>71</v>
      </c>
      <c r="K68" s="2" t="s">
        <v>72</v>
      </c>
      <c r="L68" s="2" t="s">
        <v>82</v>
      </c>
      <c r="M68" s="19">
        <v>0</v>
      </c>
      <c r="N68" s="2">
        <v>0</v>
      </c>
      <c r="O68" s="2">
        <v>0</v>
      </c>
      <c r="P68" s="2" t="s">
        <v>70</v>
      </c>
      <c r="Q68" s="2">
        <v>0</v>
      </c>
      <c r="R68" s="2"/>
      <c r="S68" s="15" t="str">
        <f t="shared" si="4"/>
        <v>2022-12-31</v>
      </c>
      <c r="T68" s="4">
        <f t="shared" si="2"/>
        <v>44928</v>
      </c>
      <c r="U68" s="18">
        <v>0</v>
      </c>
    </row>
    <row r="69" spans="3:21" ht="33.75" customHeight="1" thickBot="1" x14ac:dyDescent="0.5">
      <c r="C69" s="5">
        <f t="shared" si="3"/>
        <v>999</v>
      </c>
      <c r="D69" s="2">
        <f>IF(E68="","",D68+1)</f>
        <v>62</v>
      </c>
      <c r="E69" s="2" t="s">
        <v>68</v>
      </c>
      <c r="F69" s="2" t="s">
        <v>65</v>
      </c>
      <c r="G69" s="2" t="str">
        <f t="shared" si="0"/>
        <v>Rank 14 - Ranking in insolvency (master scale)</v>
      </c>
      <c r="H69" s="2" t="str">
        <f>IF(D70&lt;10,"PTXSTJOM"&amp;"000"&amp;D70,IF(AND(D70&gt;=10,D70&lt;=100),"PTXSTJOM"&amp;"00"&amp;D70,IF(D70&gt;=100,"PTXSTJOM"&amp;"0"&amp;D70)))</f>
        <v>PTXSTJOM0063</v>
      </c>
      <c r="I69" s="2" t="str">
        <f t="shared" si="1"/>
        <v>M0063</v>
      </c>
      <c r="J69" s="2" t="s">
        <v>71</v>
      </c>
      <c r="K69" s="2" t="s">
        <v>72</v>
      </c>
      <c r="L69" s="2" t="s">
        <v>84</v>
      </c>
      <c r="M69" s="19">
        <v>0</v>
      </c>
      <c r="N69" s="2">
        <v>0</v>
      </c>
      <c r="O69" s="2">
        <v>0</v>
      </c>
      <c r="P69" s="2" t="s">
        <v>70</v>
      </c>
      <c r="Q69" s="2">
        <v>0</v>
      </c>
      <c r="R69" s="2"/>
      <c r="S69" s="15" t="str">
        <f t="shared" si="4"/>
        <v>2022-12-31</v>
      </c>
      <c r="T69" s="4">
        <f t="shared" si="2"/>
        <v>44928</v>
      </c>
      <c r="U69" s="18">
        <v>0</v>
      </c>
    </row>
    <row r="70" spans="3:21" ht="33.75" customHeight="1" thickBot="1" x14ac:dyDescent="0.5">
      <c r="C70" s="5">
        <f t="shared" si="3"/>
        <v>999</v>
      </c>
      <c r="D70" s="2">
        <f>IF(E69="","",D69+1)</f>
        <v>63</v>
      </c>
      <c r="E70" s="2" t="s">
        <v>68</v>
      </c>
      <c r="F70" s="2" t="s">
        <v>65</v>
      </c>
      <c r="G70" s="2" t="str">
        <f t="shared" si="0"/>
        <v>Rank 14 - Ranking in insolvency (master scale)</v>
      </c>
      <c r="H70" s="2" t="str">
        <f>IF(D71&lt;10,"PTXSTJOM"&amp;"000"&amp;D71,IF(AND(D71&gt;=10,D71&lt;=100),"PTXSTJOM"&amp;"00"&amp;D71,IF(D71&gt;=100,"PTXSTJOM"&amp;"0"&amp;D71)))</f>
        <v>PTXSTJOM0064</v>
      </c>
      <c r="I70" s="2" t="str">
        <f t="shared" si="1"/>
        <v>M0064</v>
      </c>
      <c r="J70" s="2" t="s">
        <v>71</v>
      </c>
      <c r="K70" s="2" t="s">
        <v>72</v>
      </c>
      <c r="L70" s="2" t="s">
        <v>84</v>
      </c>
      <c r="M70" s="19">
        <v>0</v>
      </c>
      <c r="N70" s="2">
        <v>0</v>
      </c>
      <c r="O70" s="2">
        <v>0</v>
      </c>
      <c r="P70" s="2" t="s">
        <v>70</v>
      </c>
      <c r="Q70" s="2">
        <v>0</v>
      </c>
      <c r="R70" s="2"/>
      <c r="S70" s="15" t="str">
        <f t="shared" si="4"/>
        <v>2022-12-31</v>
      </c>
      <c r="T70" s="4">
        <f t="shared" si="2"/>
        <v>44928</v>
      </c>
      <c r="U70" s="18">
        <v>0</v>
      </c>
    </row>
    <row r="71" spans="3:21" ht="33.75" customHeight="1" thickBot="1" x14ac:dyDescent="0.5">
      <c r="C71" s="5">
        <f t="shared" si="3"/>
        <v>999</v>
      </c>
      <c r="D71" s="2">
        <f>IF(E70="","",D70+1)</f>
        <v>64</v>
      </c>
      <c r="E71" s="2" t="s">
        <v>68</v>
      </c>
      <c r="F71" s="2" t="s">
        <v>65</v>
      </c>
      <c r="G71" s="2" t="str">
        <f t="shared" si="0"/>
        <v>Rank 14 - Ranking in insolvency (master scale)</v>
      </c>
      <c r="H71" s="2" t="str">
        <f>IF(D72&lt;10,"PTXSTJOM"&amp;"000"&amp;D72,IF(AND(D72&gt;=10,D72&lt;=100),"PTXSTJOM"&amp;"00"&amp;D72,IF(D72&gt;=100,"PTXSTJOM"&amp;"0"&amp;D72)))</f>
        <v>PTXSTJOM0065</v>
      </c>
      <c r="I71" s="2" t="str">
        <f t="shared" si="1"/>
        <v>M0065</v>
      </c>
      <c r="J71" s="2" t="s">
        <v>71</v>
      </c>
      <c r="K71" s="2" t="s">
        <v>72</v>
      </c>
      <c r="L71" s="2" t="s">
        <v>85</v>
      </c>
      <c r="M71" s="19">
        <v>0</v>
      </c>
      <c r="N71" s="2">
        <v>0</v>
      </c>
      <c r="O71" s="2">
        <v>0</v>
      </c>
      <c r="P71" s="2" t="s">
        <v>70</v>
      </c>
      <c r="Q71" s="2">
        <v>0</v>
      </c>
      <c r="R71" s="2"/>
      <c r="S71" s="15" t="str">
        <f t="shared" si="4"/>
        <v>2022-12-31</v>
      </c>
      <c r="T71" s="4">
        <f t="shared" si="2"/>
        <v>44928</v>
      </c>
      <c r="U71" s="18">
        <v>0</v>
      </c>
    </row>
    <row r="72" spans="3:21" ht="33.75" customHeight="1" thickBot="1" x14ac:dyDescent="0.5">
      <c r="C72" s="5">
        <f t="shared" si="3"/>
        <v>999</v>
      </c>
      <c r="D72" s="2">
        <f>IF(E71="","",D71+1)</f>
        <v>65</v>
      </c>
      <c r="E72" s="2" t="s">
        <v>68</v>
      </c>
      <c r="F72" s="2" t="s">
        <v>65</v>
      </c>
      <c r="G72" s="2" t="str">
        <f t="shared" ref="G72:G135" si="5">IF(E72="r0110 - Covered deposits (BRRD art. 44/2/a)","Rank 14 - Ranking in insolvency (master scale)",IF(E72="r0310 - Deposits, not covered but preferential (BRRD art. 108)","Rank 13 - Ranking in insolvency (master scale)","Rank 12 - Ranking in insolvency (master scale)"))</f>
        <v>Rank 14 - Ranking in insolvency (master scale)</v>
      </c>
      <c r="H72" s="2" t="str">
        <f>IF(D73&lt;10,"PTXSTJOM"&amp;"000"&amp;D73,IF(AND(D73&gt;=10,D73&lt;=100),"PTXSTJOM"&amp;"00"&amp;D73,IF(D73&gt;=100,"PTXSTJOM"&amp;"0"&amp;D73)))</f>
        <v>PTXSTJOM0066</v>
      </c>
      <c r="I72" s="2" t="str">
        <f t="shared" ref="I72:I135" si="6">+RIGHT(H72,5)</f>
        <v>M0066</v>
      </c>
      <c r="J72" s="2" t="s">
        <v>71</v>
      </c>
      <c r="K72" s="2" t="s">
        <v>72</v>
      </c>
      <c r="L72" s="2" t="s">
        <v>85</v>
      </c>
      <c r="M72" s="19">
        <v>0</v>
      </c>
      <c r="N72" s="2">
        <v>0</v>
      </c>
      <c r="O72" s="2">
        <v>0</v>
      </c>
      <c r="P72" s="2" t="s">
        <v>70</v>
      </c>
      <c r="Q72" s="2">
        <v>0</v>
      </c>
      <c r="R72" s="2"/>
      <c r="S72" s="15" t="str">
        <f t="shared" si="4"/>
        <v>2022-12-31</v>
      </c>
      <c r="T72" s="4">
        <f t="shared" ref="T72:T135" si="7">+WORKDAY(S72,1,"1/1/2021")</f>
        <v>44928</v>
      </c>
      <c r="U72" s="18">
        <v>0</v>
      </c>
    </row>
    <row r="73" spans="3:21" ht="33.75" customHeight="1" thickBot="1" x14ac:dyDescent="0.5">
      <c r="C73" s="5">
        <f t="shared" ref="C73:C136" si="8">+IF(E72="","",999)</f>
        <v>999</v>
      </c>
      <c r="D73" s="2">
        <f>IF(E72="","",D72+1)</f>
        <v>66</v>
      </c>
      <c r="E73" s="2" t="s">
        <v>68</v>
      </c>
      <c r="F73" s="2" t="s">
        <v>65</v>
      </c>
      <c r="G73" s="2" t="str">
        <f t="shared" si="5"/>
        <v>Rank 14 - Ranking in insolvency (master scale)</v>
      </c>
      <c r="H73" s="2" t="str">
        <f>IF(D74&lt;10,"PTXSTJOM"&amp;"000"&amp;D74,IF(AND(D74&gt;=10,D74&lt;=100),"PTXSTJOM"&amp;"00"&amp;D74,IF(D74&gt;=100,"PTXSTJOM"&amp;"0"&amp;D74)))</f>
        <v>PTXSTJOM0067</v>
      </c>
      <c r="I73" s="2" t="str">
        <f t="shared" si="6"/>
        <v>M0067</v>
      </c>
      <c r="J73" s="2" t="s">
        <v>71</v>
      </c>
      <c r="K73" s="2" t="s">
        <v>72</v>
      </c>
      <c r="L73" s="2" t="s">
        <v>86</v>
      </c>
      <c r="M73" s="19">
        <v>0</v>
      </c>
      <c r="N73" s="2">
        <v>0</v>
      </c>
      <c r="O73" s="2">
        <v>0</v>
      </c>
      <c r="P73" s="2" t="s">
        <v>70</v>
      </c>
      <c r="Q73" s="2">
        <v>0</v>
      </c>
      <c r="R73" s="2"/>
      <c r="S73" s="15" t="str">
        <f t="shared" ref="S73:S136" si="9">+S72</f>
        <v>2022-12-31</v>
      </c>
      <c r="T73" s="4">
        <f t="shared" si="7"/>
        <v>44928</v>
      </c>
      <c r="U73" s="18">
        <v>0</v>
      </c>
    </row>
    <row r="74" spans="3:21" ht="33.75" customHeight="1" thickBot="1" x14ac:dyDescent="0.5">
      <c r="C74" s="5">
        <f t="shared" si="8"/>
        <v>999</v>
      </c>
      <c r="D74" s="2">
        <f>IF(E73="","",D73+1)</f>
        <v>67</v>
      </c>
      <c r="E74" s="2" t="s">
        <v>68</v>
      </c>
      <c r="F74" s="2" t="s">
        <v>65</v>
      </c>
      <c r="G74" s="2" t="str">
        <f t="shared" si="5"/>
        <v>Rank 14 - Ranking in insolvency (master scale)</v>
      </c>
      <c r="H74" s="2" t="str">
        <f>IF(D75&lt;10,"PTXSTJOM"&amp;"000"&amp;D75,IF(AND(D75&gt;=10,D75&lt;=100),"PTXSTJOM"&amp;"00"&amp;D75,IF(D75&gt;=100,"PTXSTJOM"&amp;"0"&amp;D75)))</f>
        <v>PTXSTJOM0068</v>
      </c>
      <c r="I74" s="2" t="str">
        <f t="shared" si="6"/>
        <v>M0068</v>
      </c>
      <c r="J74" s="2" t="s">
        <v>71</v>
      </c>
      <c r="K74" s="2" t="s">
        <v>72</v>
      </c>
      <c r="L74" s="2" t="s">
        <v>86</v>
      </c>
      <c r="M74" s="19">
        <v>0</v>
      </c>
      <c r="N74" s="2">
        <v>0</v>
      </c>
      <c r="O74" s="2">
        <v>0</v>
      </c>
      <c r="P74" s="2" t="s">
        <v>70</v>
      </c>
      <c r="Q74" s="2">
        <v>0</v>
      </c>
      <c r="R74" s="2"/>
      <c r="S74" s="15" t="str">
        <f t="shared" si="9"/>
        <v>2022-12-31</v>
      </c>
      <c r="T74" s="4">
        <f t="shared" si="7"/>
        <v>44928</v>
      </c>
      <c r="U74" s="18">
        <v>0</v>
      </c>
    </row>
    <row r="75" spans="3:21" ht="33.75" customHeight="1" thickBot="1" x14ac:dyDescent="0.5">
      <c r="C75" s="5">
        <f t="shared" si="8"/>
        <v>999</v>
      </c>
      <c r="D75" s="2">
        <f>IF(E74="","",D74+1)</f>
        <v>68</v>
      </c>
      <c r="E75" s="2" t="s">
        <v>68</v>
      </c>
      <c r="F75" s="2" t="s">
        <v>65</v>
      </c>
      <c r="G75" s="2" t="str">
        <f t="shared" si="5"/>
        <v>Rank 14 - Ranking in insolvency (master scale)</v>
      </c>
      <c r="H75" s="2" t="str">
        <f>IF(D76&lt;10,"PTXSTJOM"&amp;"000"&amp;D76,IF(AND(D76&gt;=10,D76&lt;=100),"PTXSTJOM"&amp;"00"&amp;D76,IF(D76&gt;=100,"PTXSTJOM"&amp;"0"&amp;D76)))</f>
        <v>PTXSTJOM0069</v>
      </c>
      <c r="I75" s="2" t="str">
        <f t="shared" si="6"/>
        <v>M0069</v>
      </c>
      <c r="J75" s="2" t="s">
        <v>71</v>
      </c>
      <c r="K75" s="2" t="s">
        <v>72</v>
      </c>
      <c r="L75" s="2" t="s">
        <v>87</v>
      </c>
      <c r="M75" s="19">
        <v>0</v>
      </c>
      <c r="N75" s="2">
        <v>0</v>
      </c>
      <c r="O75" s="2">
        <v>0</v>
      </c>
      <c r="P75" s="2" t="s">
        <v>70</v>
      </c>
      <c r="Q75" s="2">
        <v>0</v>
      </c>
      <c r="R75" s="2"/>
      <c r="S75" s="15" t="str">
        <f t="shared" si="9"/>
        <v>2022-12-31</v>
      </c>
      <c r="T75" s="4">
        <f t="shared" si="7"/>
        <v>44928</v>
      </c>
      <c r="U75" s="18">
        <v>0</v>
      </c>
    </row>
    <row r="76" spans="3:21" ht="33.75" customHeight="1" thickBot="1" x14ac:dyDescent="0.5">
      <c r="C76" s="5">
        <f t="shared" si="8"/>
        <v>999</v>
      </c>
      <c r="D76" s="2">
        <f>IF(E75="","",D75+1)</f>
        <v>69</v>
      </c>
      <c r="E76" s="2" t="s">
        <v>68</v>
      </c>
      <c r="F76" s="2" t="s">
        <v>65</v>
      </c>
      <c r="G76" s="2" t="str">
        <f t="shared" si="5"/>
        <v>Rank 14 - Ranking in insolvency (master scale)</v>
      </c>
      <c r="H76" s="2" t="str">
        <f>IF(D77&lt;10,"PTXSTJOM"&amp;"000"&amp;D77,IF(AND(D77&gt;=10,D77&lt;=100),"PTXSTJOM"&amp;"00"&amp;D77,IF(D77&gt;=100,"PTXSTJOM"&amp;"0"&amp;D77)))</f>
        <v>PTXSTJOM0070</v>
      </c>
      <c r="I76" s="2" t="str">
        <f t="shared" si="6"/>
        <v>M0070</v>
      </c>
      <c r="J76" s="2" t="s">
        <v>71</v>
      </c>
      <c r="K76" s="2" t="s">
        <v>72</v>
      </c>
      <c r="L76" s="2" t="s">
        <v>88</v>
      </c>
      <c r="M76" s="19">
        <v>0</v>
      </c>
      <c r="N76" s="2">
        <v>0</v>
      </c>
      <c r="O76" s="2">
        <v>0</v>
      </c>
      <c r="P76" s="2" t="s">
        <v>70</v>
      </c>
      <c r="Q76" s="2">
        <v>0</v>
      </c>
      <c r="R76" s="2"/>
      <c r="S76" s="15" t="str">
        <f t="shared" si="9"/>
        <v>2022-12-31</v>
      </c>
      <c r="T76" s="4">
        <f t="shared" si="7"/>
        <v>44928</v>
      </c>
      <c r="U76" s="18">
        <v>0</v>
      </c>
    </row>
    <row r="77" spans="3:21" ht="33.75" customHeight="1" thickBot="1" x14ac:dyDescent="0.5">
      <c r="C77" s="5">
        <f t="shared" si="8"/>
        <v>999</v>
      </c>
      <c r="D77" s="2">
        <f>IF(E76="","",D76+1)</f>
        <v>70</v>
      </c>
      <c r="E77" s="2" t="s">
        <v>68</v>
      </c>
      <c r="F77" s="2" t="s">
        <v>65</v>
      </c>
      <c r="G77" s="2" t="str">
        <f t="shared" si="5"/>
        <v>Rank 14 - Ranking in insolvency (master scale)</v>
      </c>
      <c r="H77" s="2" t="str">
        <f>IF(D78&lt;10,"PTXSTJOM"&amp;"000"&amp;D78,IF(AND(D78&gt;=10,D78&lt;=100),"PTXSTJOM"&amp;"00"&amp;D78,IF(D78&gt;=100,"PTXSTJOM"&amp;"0"&amp;D78)))</f>
        <v>PTXSTJOM0071</v>
      </c>
      <c r="I77" s="2" t="str">
        <f t="shared" si="6"/>
        <v>M0071</v>
      </c>
      <c r="J77" s="2" t="s">
        <v>71</v>
      </c>
      <c r="K77" s="2" t="s">
        <v>72</v>
      </c>
      <c r="L77" s="2" t="s">
        <v>89</v>
      </c>
      <c r="M77" s="19">
        <v>0</v>
      </c>
      <c r="N77" s="2">
        <v>0</v>
      </c>
      <c r="O77" s="2">
        <v>0</v>
      </c>
      <c r="P77" s="2" t="s">
        <v>70</v>
      </c>
      <c r="Q77" s="2">
        <v>0</v>
      </c>
      <c r="R77" s="2"/>
      <c r="S77" s="15" t="str">
        <f t="shared" si="9"/>
        <v>2022-12-31</v>
      </c>
      <c r="T77" s="4">
        <f t="shared" si="7"/>
        <v>44928</v>
      </c>
      <c r="U77" s="18">
        <v>0</v>
      </c>
    </row>
    <row r="78" spans="3:21" ht="33.75" customHeight="1" thickBot="1" x14ac:dyDescent="0.5">
      <c r="C78" s="5">
        <f t="shared" si="8"/>
        <v>999</v>
      </c>
      <c r="D78" s="2">
        <f>IF(E77="","",D77+1)</f>
        <v>71</v>
      </c>
      <c r="E78" s="2" t="s">
        <v>68</v>
      </c>
      <c r="F78" s="2" t="s">
        <v>66</v>
      </c>
      <c r="G78" s="2" t="str">
        <f t="shared" si="5"/>
        <v>Rank 14 - Ranking in insolvency (master scale)</v>
      </c>
      <c r="H78" s="2" t="str">
        <f>IF(D79&lt;10,"PTXSTJOM"&amp;"000"&amp;D79,IF(AND(D79&gt;=10,D79&lt;=100),"PTXSTJOM"&amp;"00"&amp;D79,IF(D79&gt;=100,"PTXSTJOM"&amp;"0"&amp;D79)))</f>
        <v>PTXSTJOM0072</v>
      </c>
      <c r="I78" s="2" t="str">
        <f t="shared" si="6"/>
        <v>M0072</v>
      </c>
      <c r="J78" s="2" t="s">
        <v>71</v>
      </c>
      <c r="K78" s="2" t="s">
        <v>72</v>
      </c>
      <c r="L78" s="2" t="s">
        <v>87</v>
      </c>
      <c r="M78" s="19">
        <v>0</v>
      </c>
      <c r="N78" s="2">
        <v>0</v>
      </c>
      <c r="O78" s="2">
        <v>0</v>
      </c>
      <c r="P78" s="2" t="s">
        <v>70</v>
      </c>
      <c r="Q78" s="2">
        <v>0</v>
      </c>
      <c r="R78" s="2"/>
      <c r="S78" s="15" t="str">
        <f t="shared" si="9"/>
        <v>2022-12-31</v>
      </c>
      <c r="T78" s="4">
        <f t="shared" si="7"/>
        <v>44928</v>
      </c>
      <c r="U78" s="18">
        <v>0</v>
      </c>
    </row>
    <row r="79" spans="3:21" ht="33.75" customHeight="1" thickBot="1" x14ac:dyDescent="0.5">
      <c r="C79" s="5">
        <f t="shared" si="8"/>
        <v>999</v>
      </c>
      <c r="D79" s="2">
        <f>IF(E78="","",D78+1)</f>
        <v>72</v>
      </c>
      <c r="E79" s="2" t="s">
        <v>68</v>
      </c>
      <c r="F79" s="2" t="s">
        <v>66</v>
      </c>
      <c r="G79" s="2" t="str">
        <f t="shared" si="5"/>
        <v>Rank 14 - Ranking in insolvency (master scale)</v>
      </c>
      <c r="H79" s="2" t="str">
        <f>IF(D80&lt;10,"PTXSTJOM"&amp;"000"&amp;D80,IF(AND(D80&gt;=10,D80&lt;=100),"PTXSTJOM"&amp;"00"&amp;D80,IF(D80&gt;=100,"PTXSTJOM"&amp;"0"&amp;D80)))</f>
        <v>PTXSTJOM0073</v>
      </c>
      <c r="I79" s="2" t="str">
        <f t="shared" si="6"/>
        <v>M0073</v>
      </c>
      <c r="J79" s="2" t="s">
        <v>71</v>
      </c>
      <c r="K79" s="2" t="s">
        <v>72</v>
      </c>
      <c r="L79" s="2" t="s">
        <v>88</v>
      </c>
      <c r="M79" s="19">
        <v>0</v>
      </c>
      <c r="N79" s="2">
        <v>0</v>
      </c>
      <c r="O79" s="2">
        <v>0</v>
      </c>
      <c r="P79" s="2" t="s">
        <v>70</v>
      </c>
      <c r="Q79" s="2">
        <v>0</v>
      </c>
      <c r="R79" s="2"/>
      <c r="S79" s="15" t="str">
        <f t="shared" si="9"/>
        <v>2022-12-31</v>
      </c>
      <c r="T79" s="4">
        <f t="shared" si="7"/>
        <v>44928</v>
      </c>
      <c r="U79" s="18">
        <v>0</v>
      </c>
    </row>
    <row r="80" spans="3:21" ht="33.75" customHeight="1" thickBot="1" x14ac:dyDescent="0.5">
      <c r="C80" s="5">
        <f t="shared" si="8"/>
        <v>999</v>
      </c>
      <c r="D80" s="2">
        <f>IF(E79="","",D79+1)</f>
        <v>73</v>
      </c>
      <c r="E80" s="2" t="s">
        <v>68</v>
      </c>
      <c r="F80" s="2" t="s">
        <v>66</v>
      </c>
      <c r="G80" s="2" t="str">
        <f t="shared" si="5"/>
        <v>Rank 14 - Ranking in insolvency (master scale)</v>
      </c>
      <c r="H80" s="2" t="str">
        <f>IF(D81&lt;10,"PTXSTJOM"&amp;"000"&amp;D81,IF(AND(D81&gt;=10,D81&lt;=100),"PTXSTJOM"&amp;"00"&amp;D81,IF(D81&gt;=100,"PTXSTJOM"&amp;"0"&amp;D81)))</f>
        <v>PTXSTJOM0074</v>
      </c>
      <c r="I80" s="2" t="str">
        <f t="shared" si="6"/>
        <v>M0074</v>
      </c>
      <c r="J80" s="2" t="s">
        <v>71</v>
      </c>
      <c r="K80" s="2" t="s">
        <v>72</v>
      </c>
      <c r="L80" s="2" t="s">
        <v>88</v>
      </c>
      <c r="M80" s="19">
        <v>0</v>
      </c>
      <c r="N80" s="2">
        <v>0</v>
      </c>
      <c r="O80" s="2">
        <v>0</v>
      </c>
      <c r="P80" s="2" t="s">
        <v>70</v>
      </c>
      <c r="Q80" s="2">
        <v>0</v>
      </c>
      <c r="R80" s="2"/>
      <c r="S80" s="15" t="str">
        <f t="shared" si="9"/>
        <v>2022-12-31</v>
      </c>
      <c r="T80" s="4">
        <f t="shared" si="7"/>
        <v>44928</v>
      </c>
      <c r="U80" s="18">
        <v>0</v>
      </c>
    </row>
    <row r="81" spans="3:21" ht="33.75" customHeight="1" thickBot="1" x14ac:dyDescent="0.5">
      <c r="C81" s="5">
        <f t="shared" si="8"/>
        <v>999</v>
      </c>
      <c r="D81" s="2">
        <f>IF(E80="","",D80+1)</f>
        <v>74</v>
      </c>
      <c r="E81" s="2" t="s">
        <v>68</v>
      </c>
      <c r="F81" s="2" t="s">
        <v>67</v>
      </c>
      <c r="G81" s="2" t="str">
        <f t="shared" si="5"/>
        <v>Rank 14 - Ranking in insolvency (master scale)</v>
      </c>
      <c r="H81" s="2" t="str">
        <f>IF(D82&lt;10,"PTXSTJOM"&amp;"000"&amp;D82,IF(AND(D82&gt;=10,D82&lt;=100),"PTXSTJOM"&amp;"00"&amp;D82,IF(D82&gt;=100,"PTXSTJOM"&amp;"0"&amp;D82)))</f>
        <v>PTXSTJOM0075</v>
      </c>
      <c r="I81" s="2" t="str">
        <f t="shared" si="6"/>
        <v>M0075</v>
      </c>
      <c r="J81" s="2" t="s">
        <v>71</v>
      </c>
      <c r="K81" s="2" t="s">
        <v>72</v>
      </c>
      <c r="L81" s="2" t="s">
        <v>80</v>
      </c>
      <c r="M81" s="19">
        <v>0</v>
      </c>
      <c r="N81" s="2">
        <v>0</v>
      </c>
      <c r="O81" s="2">
        <v>0</v>
      </c>
      <c r="P81" s="2" t="s">
        <v>70</v>
      </c>
      <c r="Q81" s="2">
        <v>0</v>
      </c>
      <c r="R81" s="2"/>
      <c r="S81" s="15" t="str">
        <f t="shared" si="9"/>
        <v>2022-12-31</v>
      </c>
      <c r="T81" s="4">
        <f t="shared" si="7"/>
        <v>44928</v>
      </c>
      <c r="U81" s="18">
        <v>0</v>
      </c>
    </row>
    <row r="82" spans="3:21" ht="33.75" customHeight="1" thickBot="1" x14ac:dyDescent="0.5">
      <c r="C82" s="5">
        <f t="shared" si="8"/>
        <v>999</v>
      </c>
      <c r="D82" s="2">
        <f>IF(E81="","",D81+1)</f>
        <v>75</v>
      </c>
      <c r="E82" s="2" t="s">
        <v>68</v>
      </c>
      <c r="F82" s="2" t="s">
        <v>67</v>
      </c>
      <c r="G82" s="2" t="str">
        <f t="shared" si="5"/>
        <v>Rank 14 - Ranking in insolvency (master scale)</v>
      </c>
      <c r="H82" s="2" t="str">
        <f>IF(D83&lt;10,"PTXSTJOM"&amp;"000"&amp;D83,IF(AND(D83&gt;=10,D83&lt;=100),"PTXSTJOM"&amp;"00"&amp;D83,IF(D83&gt;=100,"PTXSTJOM"&amp;"0"&amp;D83)))</f>
        <v>PTXSTJOM0076</v>
      </c>
      <c r="I82" s="2" t="str">
        <f t="shared" si="6"/>
        <v>M0076</v>
      </c>
      <c r="J82" s="2" t="s">
        <v>71</v>
      </c>
      <c r="K82" s="2" t="s">
        <v>72</v>
      </c>
      <c r="L82" s="2" t="s">
        <v>85</v>
      </c>
      <c r="M82" s="19">
        <v>0</v>
      </c>
      <c r="N82" s="2">
        <v>0</v>
      </c>
      <c r="O82" s="2">
        <v>0</v>
      </c>
      <c r="P82" s="2" t="s">
        <v>70</v>
      </c>
      <c r="Q82" s="2">
        <v>0</v>
      </c>
      <c r="R82" s="2"/>
      <c r="S82" s="15" t="str">
        <f t="shared" si="9"/>
        <v>2022-12-31</v>
      </c>
      <c r="T82" s="4">
        <f t="shared" si="7"/>
        <v>44928</v>
      </c>
      <c r="U82" s="18">
        <v>0</v>
      </c>
    </row>
    <row r="83" spans="3:21" ht="33.75" customHeight="1" thickBot="1" x14ac:dyDescent="0.5">
      <c r="C83" s="5">
        <f t="shared" si="8"/>
        <v>999</v>
      </c>
      <c r="D83" s="2">
        <f>IF(E82="","",D82+1)</f>
        <v>76</v>
      </c>
      <c r="E83" s="2" t="s">
        <v>68</v>
      </c>
      <c r="F83" s="2" t="s">
        <v>67</v>
      </c>
      <c r="G83" s="2" t="str">
        <f t="shared" si="5"/>
        <v>Rank 14 - Ranking in insolvency (master scale)</v>
      </c>
      <c r="H83" s="2" t="str">
        <f>IF(D84&lt;10,"PTXSTJOM"&amp;"000"&amp;D84,IF(AND(D84&gt;=10,D84&lt;=100),"PTXSTJOM"&amp;"00"&amp;D84,IF(D84&gt;=100,"PTXSTJOM"&amp;"0"&amp;D84)))</f>
        <v>PTXSTJOM0077</v>
      </c>
      <c r="I83" s="2" t="str">
        <f t="shared" si="6"/>
        <v>M0077</v>
      </c>
      <c r="J83" s="2" t="s">
        <v>71</v>
      </c>
      <c r="K83" s="2" t="s">
        <v>72</v>
      </c>
      <c r="L83" s="2" t="s">
        <v>86</v>
      </c>
      <c r="M83" s="19">
        <v>0</v>
      </c>
      <c r="N83" s="2">
        <v>0</v>
      </c>
      <c r="O83" s="2">
        <v>0</v>
      </c>
      <c r="P83" s="2" t="s">
        <v>70</v>
      </c>
      <c r="Q83" s="2">
        <v>0</v>
      </c>
      <c r="R83" s="2"/>
      <c r="S83" s="15" t="str">
        <f t="shared" si="9"/>
        <v>2022-12-31</v>
      </c>
      <c r="T83" s="4">
        <f t="shared" si="7"/>
        <v>44928</v>
      </c>
      <c r="U83" s="18">
        <v>0</v>
      </c>
    </row>
    <row r="84" spans="3:21" ht="33.75" customHeight="1" thickBot="1" x14ac:dyDescent="0.5">
      <c r="C84" s="5">
        <f t="shared" si="8"/>
        <v>999</v>
      </c>
      <c r="D84" s="2">
        <f>IF(E83="","",D83+1)</f>
        <v>77</v>
      </c>
      <c r="E84" s="2" t="s">
        <v>68</v>
      </c>
      <c r="F84" s="2" t="s">
        <v>67</v>
      </c>
      <c r="G84" s="2" t="str">
        <f t="shared" si="5"/>
        <v>Rank 14 - Ranking in insolvency (master scale)</v>
      </c>
      <c r="H84" s="2" t="str">
        <f>IF(D85&lt;10,"PTXSTJOM"&amp;"000"&amp;D85,IF(AND(D85&gt;=10,D85&lt;=100),"PTXSTJOM"&amp;"00"&amp;D85,IF(D85&gt;=100,"PTXSTJOM"&amp;"0"&amp;D85)))</f>
        <v>PTXSTJOM0078</v>
      </c>
      <c r="I84" s="2" t="str">
        <f t="shared" si="6"/>
        <v>M0078</v>
      </c>
      <c r="J84" s="2" t="s">
        <v>71</v>
      </c>
      <c r="K84" s="2" t="s">
        <v>72</v>
      </c>
      <c r="L84" s="2" t="s">
        <v>87</v>
      </c>
      <c r="M84" s="19">
        <v>0</v>
      </c>
      <c r="N84" s="2">
        <v>0</v>
      </c>
      <c r="O84" s="2">
        <v>0</v>
      </c>
      <c r="P84" s="2" t="s">
        <v>70</v>
      </c>
      <c r="Q84" s="2">
        <v>0</v>
      </c>
      <c r="R84" s="2"/>
      <c r="S84" s="15" t="str">
        <f t="shared" si="9"/>
        <v>2022-12-31</v>
      </c>
      <c r="T84" s="4">
        <f t="shared" si="7"/>
        <v>44928</v>
      </c>
      <c r="U84" s="18">
        <v>0</v>
      </c>
    </row>
    <row r="85" spans="3:21" ht="33.75" customHeight="1" thickBot="1" x14ac:dyDescent="0.5">
      <c r="C85" s="5">
        <f t="shared" si="8"/>
        <v>999</v>
      </c>
      <c r="D85" s="2">
        <f>IF(E84="","",D84+1)</f>
        <v>78</v>
      </c>
      <c r="E85" s="2" t="s">
        <v>68</v>
      </c>
      <c r="F85" s="2" t="s">
        <v>67</v>
      </c>
      <c r="G85" s="2" t="str">
        <f t="shared" si="5"/>
        <v>Rank 14 - Ranking in insolvency (master scale)</v>
      </c>
      <c r="H85" s="2" t="str">
        <f>IF(D86&lt;10,"PTXSTJOM"&amp;"000"&amp;D86,IF(AND(D86&gt;=10,D86&lt;=100),"PTXSTJOM"&amp;"00"&amp;D86,IF(D86&gt;=100,"PTXSTJOM"&amp;"0"&amp;D86)))</f>
        <v>PTXSTJOM0079</v>
      </c>
      <c r="I85" s="2" t="str">
        <f t="shared" si="6"/>
        <v>M0079</v>
      </c>
      <c r="J85" s="2" t="s">
        <v>71</v>
      </c>
      <c r="K85" s="2" t="s">
        <v>72</v>
      </c>
      <c r="L85" s="2" t="s">
        <v>88</v>
      </c>
      <c r="M85" s="19">
        <v>0</v>
      </c>
      <c r="N85" s="2">
        <v>0</v>
      </c>
      <c r="O85" s="2">
        <v>0</v>
      </c>
      <c r="P85" s="2" t="s">
        <v>70</v>
      </c>
      <c r="Q85" s="2">
        <v>0</v>
      </c>
      <c r="R85" s="2"/>
      <c r="S85" s="15" t="str">
        <f t="shared" si="9"/>
        <v>2022-12-31</v>
      </c>
      <c r="T85" s="4">
        <f t="shared" si="7"/>
        <v>44928</v>
      </c>
      <c r="U85" s="18">
        <v>0</v>
      </c>
    </row>
    <row r="86" spans="3:21" ht="33.75" customHeight="1" thickBot="1" x14ac:dyDescent="0.5">
      <c r="C86" s="5">
        <f t="shared" si="8"/>
        <v>999</v>
      </c>
      <c r="D86" s="2">
        <f>IF(E85="","",D85+1)</f>
        <v>79</v>
      </c>
      <c r="E86" s="2" t="s">
        <v>68</v>
      </c>
      <c r="F86" s="2" t="s">
        <v>67</v>
      </c>
      <c r="G86" s="2" t="str">
        <f t="shared" si="5"/>
        <v>Rank 14 - Ranking in insolvency (master scale)</v>
      </c>
      <c r="H86" s="2" t="str">
        <f>IF(D87&lt;10,"PTXSTJOM"&amp;"000"&amp;D87,IF(AND(D87&gt;=10,D87&lt;=100),"PTXSTJOM"&amp;"00"&amp;D87,IF(D87&gt;=100,"PTXSTJOM"&amp;"0"&amp;D87)))</f>
        <v>PTXSTJOM0080</v>
      </c>
      <c r="I86" s="2" t="str">
        <f t="shared" si="6"/>
        <v>M0080</v>
      </c>
      <c r="J86" s="2" t="s">
        <v>71</v>
      </c>
      <c r="K86" s="2" t="s">
        <v>72</v>
      </c>
      <c r="L86" s="2" t="s">
        <v>88</v>
      </c>
      <c r="M86" s="19">
        <v>0</v>
      </c>
      <c r="N86" s="2">
        <v>0</v>
      </c>
      <c r="O86" s="2">
        <v>0</v>
      </c>
      <c r="P86" s="2" t="s">
        <v>70</v>
      </c>
      <c r="Q86" s="2">
        <v>0</v>
      </c>
      <c r="R86" s="2"/>
      <c r="S86" s="15" t="str">
        <f t="shared" si="9"/>
        <v>2022-12-31</v>
      </c>
      <c r="T86" s="4">
        <f t="shared" si="7"/>
        <v>44928</v>
      </c>
      <c r="U86" s="18">
        <v>0</v>
      </c>
    </row>
    <row r="87" spans="3:21" ht="33.75" customHeight="1" thickBot="1" x14ac:dyDescent="0.5">
      <c r="C87" s="5">
        <f t="shared" si="8"/>
        <v>999</v>
      </c>
      <c r="D87" s="2">
        <f>IF(E86="","",D86+1)</f>
        <v>80</v>
      </c>
      <c r="E87" s="2" t="s">
        <v>68</v>
      </c>
      <c r="F87" s="2" t="s">
        <v>67</v>
      </c>
      <c r="G87" s="2" t="str">
        <f t="shared" si="5"/>
        <v>Rank 14 - Ranking in insolvency (master scale)</v>
      </c>
      <c r="H87" s="2" t="str">
        <f>IF(D88&lt;10,"PTXSTJOM"&amp;"000"&amp;D88,IF(AND(D88&gt;=10,D88&lt;=100),"PTXSTJOM"&amp;"00"&amp;D88,IF(D88&gt;=100,"PTXSTJOM"&amp;"0"&amp;D88)))</f>
        <v>PTXSTJOM0081</v>
      </c>
      <c r="I87" s="2" t="str">
        <f t="shared" si="6"/>
        <v>M0081</v>
      </c>
      <c r="J87" s="2" t="s">
        <v>71</v>
      </c>
      <c r="K87" s="2" t="s">
        <v>72</v>
      </c>
      <c r="L87" s="2" t="s">
        <v>88</v>
      </c>
      <c r="M87" s="19">
        <v>0</v>
      </c>
      <c r="N87" s="2">
        <v>0</v>
      </c>
      <c r="O87" s="2">
        <v>0</v>
      </c>
      <c r="P87" s="2" t="s">
        <v>70</v>
      </c>
      <c r="Q87" s="2">
        <v>0</v>
      </c>
      <c r="R87" s="2"/>
      <c r="S87" s="15" t="str">
        <f t="shared" si="9"/>
        <v>2022-12-31</v>
      </c>
      <c r="T87" s="4">
        <f t="shared" si="7"/>
        <v>44928</v>
      </c>
      <c r="U87" s="18">
        <v>0</v>
      </c>
    </row>
    <row r="88" spans="3:21" ht="33.75" customHeight="1" thickBot="1" x14ac:dyDescent="0.5">
      <c r="C88" s="5">
        <f t="shared" si="8"/>
        <v>999</v>
      </c>
      <c r="D88" s="2">
        <f>IF(E87="","",D87+1)</f>
        <v>81</v>
      </c>
      <c r="E88" s="2" t="s">
        <v>68</v>
      </c>
      <c r="F88" s="2" t="s">
        <v>101</v>
      </c>
      <c r="G88" s="2" t="str">
        <f t="shared" si="5"/>
        <v>Rank 14 - Ranking in insolvency (master scale)</v>
      </c>
      <c r="H88" s="2" t="str">
        <f>IF(D89&lt;10,"PTXSTJOM"&amp;"000"&amp;D89,IF(AND(D89&gt;=10,D89&lt;=100),"PTXSTJOM"&amp;"00"&amp;D89,IF(D89&gt;=100,"PTXSTJOM"&amp;"0"&amp;D89)))</f>
        <v>PTXSTJOM0082</v>
      </c>
      <c r="I88" s="2" t="str">
        <f t="shared" si="6"/>
        <v>M0082</v>
      </c>
      <c r="J88" s="2" t="s">
        <v>71</v>
      </c>
      <c r="K88" s="2" t="s">
        <v>72</v>
      </c>
      <c r="L88" s="2"/>
      <c r="M88" s="19">
        <v>0</v>
      </c>
      <c r="N88" s="2">
        <v>-0.03</v>
      </c>
      <c r="O88" s="2"/>
      <c r="P88" s="2" t="s">
        <v>70</v>
      </c>
      <c r="Q88" s="2">
        <v>0</v>
      </c>
      <c r="R88" s="2"/>
      <c r="S88" s="15" t="str">
        <f t="shared" si="9"/>
        <v>2022-12-31</v>
      </c>
      <c r="T88" s="4">
        <f t="shared" si="7"/>
        <v>44928</v>
      </c>
      <c r="U88" s="18">
        <v>0</v>
      </c>
    </row>
    <row r="89" spans="3:21" ht="33.75" customHeight="1" thickBot="1" x14ac:dyDescent="0.5">
      <c r="C89" s="5">
        <f t="shared" si="8"/>
        <v>999</v>
      </c>
      <c r="D89" s="2">
        <f>IF(E88="","",D88+1)</f>
        <v>82</v>
      </c>
      <c r="E89" s="2" t="s">
        <v>68</v>
      </c>
      <c r="F89" s="2" t="s">
        <v>62</v>
      </c>
      <c r="G89" s="2" t="str">
        <f t="shared" si="5"/>
        <v>Rank 14 - Ranking in insolvency (master scale)</v>
      </c>
      <c r="H89" s="2" t="str">
        <f>IF(D90&lt;10,"PTXSTJOM"&amp;"000"&amp;D90,IF(AND(D90&gt;=10,D90&lt;=100),"PTXSTJOM"&amp;"00"&amp;D90,IF(D90&gt;=100,"PTXSTJOM"&amp;"0"&amp;D90)))</f>
        <v>PTXSTJOM0083</v>
      </c>
      <c r="I89" s="2" t="str">
        <f t="shared" si="6"/>
        <v>M0083</v>
      </c>
      <c r="J89" s="2" t="s">
        <v>71</v>
      </c>
      <c r="K89" s="2" t="s">
        <v>72</v>
      </c>
      <c r="L89" s="2" t="s">
        <v>76</v>
      </c>
      <c r="M89" s="19">
        <v>5075298.8603659403</v>
      </c>
      <c r="N89" s="2">
        <v>11853.520673999999</v>
      </c>
      <c r="O89" s="2">
        <v>0.14255000000000001</v>
      </c>
      <c r="P89" s="2" t="s">
        <v>70</v>
      </c>
      <c r="Q89" s="2">
        <v>0</v>
      </c>
      <c r="R89" s="2"/>
      <c r="S89" s="15" t="str">
        <f t="shared" si="9"/>
        <v>2022-12-31</v>
      </c>
      <c r="T89" s="4">
        <f t="shared" si="7"/>
        <v>44928</v>
      </c>
      <c r="U89" s="18">
        <v>0</v>
      </c>
    </row>
    <row r="90" spans="3:21" ht="33.75" customHeight="1" thickBot="1" x14ac:dyDescent="0.5">
      <c r="C90" s="5">
        <f t="shared" si="8"/>
        <v>999</v>
      </c>
      <c r="D90" s="2">
        <f>IF(E89="","",D89+1)</f>
        <v>83</v>
      </c>
      <c r="E90" s="2" t="str">
        <f>IF(OR(F90="c001x   - Households",F90="c002x   - Micro &amp; SME"),"r0310 - Deposits, not covered but preferential (BRRD art. 108)","r0320 - Deposits, not covered and not preferential")</f>
        <v>r0310 - Deposits, not covered but preferential (BRRD art. 108)</v>
      </c>
      <c r="F90" s="2" t="s">
        <v>62</v>
      </c>
      <c r="G90" s="2" t="str">
        <f t="shared" si="5"/>
        <v>Rank 13 - Ranking in insolvency (master scale)</v>
      </c>
      <c r="H90" s="2" t="str">
        <f>IF(D91&lt;10,"PTXSTJOM"&amp;"000"&amp;D91,IF(AND(D91&gt;=10,D91&lt;=100),"PTXSTJOM"&amp;"00"&amp;D91,IF(D91&gt;=100,"PTXSTJOM"&amp;"0"&amp;D91)))</f>
        <v>PTXSTJOM0084</v>
      </c>
      <c r="I90" s="2" t="str">
        <f t="shared" si="6"/>
        <v>M0084</v>
      </c>
      <c r="J90" s="2" t="s">
        <v>71</v>
      </c>
      <c r="K90" s="2" t="s">
        <v>72</v>
      </c>
      <c r="L90" s="2" t="s">
        <v>76</v>
      </c>
      <c r="M90" s="19">
        <v>1.0210000000370201E-3</v>
      </c>
      <c r="N90" s="2">
        <v>0</v>
      </c>
      <c r="O90" s="2"/>
      <c r="P90" s="2" t="s">
        <v>70</v>
      </c>
      <c r="Q90" s="2">
        <v>0</v>
      </c>
      <c r="R90" s="2"/>
      <c r="S90" s="15" t="str">
        <f t="shared" si="9"/>
        <v>2022-12-31</v>
      </c>
      <c r="T90" s="4">
        <f t="shared" si="7"/>
        <v>44928</v>
      </c>
      <c r="U90" s="18">
        <v>0</v>
      </c>
    </row>
    <row r="91" spans="3:21" ht="33.75" customHeight="1" thickBot="1" x14ac:dyDescent="0.5">
      <c r="C91" s="5">
        <f t="shared" si="8"/>
        <v>999</v>
      </c>
      <c r="D91" s="2">
        <f>IF(E90="","",D90+1)</f>
        <v>84</v>
      </c>
      <c r="E91" s="2" t="str">
        <f t="shared" ref="E91:E154" si="10">IF(OR(F91="c001x   - Households",F91="c002x   - Micro &amp; SME"),"r0310 - Deposits, not covered but preferential (BRRD art. 108)","r0320 - Deposits, not covered and not preferential")</f>
        <v>r0310 - Deposits, not covered but preferential (BRRD art. 108)</v>
      </c>
      <c r="F91" s="2" t="s">
        <v>62</v>
      </c>
      <c r="G91" s="2" t="str">
        <f t="shared" si="5"/>
        <v>Rank 13 - Ranking in insolvency (master scale)</v>
      </c>
      <c r="H91" s="2" t="str">
        <f>IF(D92&lt;10,"PTXSTJOM"&amp;"000"&amp;D92,IF(AND(D92&gt;=10,D92&lt;=100),"PTXSTJOM"&amp;"00"&amp;D92,IF(D92&gt;=100,"PTXSTJOM"&amp;"0"&amp;D92)))</f>
        <v>PTXSTJOM0085</v>
      </c>
      <c r="I91" s="2" t="str">
        <f t="shared" si="6"/>
        <v>M0085</v>
      </c>
      <c r="J91" s="2" t="s">
        <v>71</v>
      </c>
      <c r="K91" s="2" t="s">
        <v>72</v>
      </c>
      <c r="L91" s="2" t="s">
        <v>77</v>
      </c>
      <c r="M91" s="19">
        <v>12862.680157380004</v>
      </c>
      <c r="N91" s="2">
        <v>131.14265900000001</v>
      </c>
      <c r="O91" s="2">
        <v>0.41665999999999997</v>
      </c>
      <c r="P91" s="2" t="s">
        <v>70</v>
      </c>
      <c r="Q91" s="2">
        <v>0</v>
      </c>
      <c r="R91" s="2"/>
      <c r="S91" s="15" t="str">
        <f t="shared" si="9"/>
        <v>2022-12-31</v>
      </c>
      <c r="T91" s="4">
        <f t="shared" si="7"/>
        <v>44928</v>
      </c>
      <c r="U91" s="18">
        <v>0</v>
      </c>
    </row>
    <row r="92" spans="3:21" ht="33.75" customHeight="1" thickBot="1" x14ac:dyDescent="0.5">
      <c r="C92" s="5">
        <f t="shared" si="8"/>
        <v>999</v>
      </c>
      <c r="D92" s="2">
        <f>IF(E91="","",D91+1)</f>
        <v>85</v>
      </c>
      <c r="E92" s="2" t="str">
        <f t="shared" si="10"/>
        <v>r0310 - Deposits, not covered but preferential (BRRD art. 108)</v>
      </c>
      <c r="F92" s="2" t="s">
        <v>62</v>
      </c>
      <c r="G92" s="2" t="str">
        <f t="shared" si="5"/>
        <v>Rank 13 - Ranking in insolvency (master scale)</v>
      </c>
      <c r="H92" s="2" t="str">
        <f>IF(D93&lt;10,"PTXSTJOM"&amp;"000"&amp;D93,IF(AND(D93&gt;=10,D93&lt;=100),"PTXSTJOM"&amp;"00"&amp;D93,IF(D93&gt;=100,"PTXSTJOM"&amp;"0"&amp;D93)))</f>
        <v>PTXSTJOM0086</v>
      </c>
      <c r="I92" s="2" t="str">
        <f t="shared" si="6"/>
        <v>M0086</v>
      </c>
      <c r="J92" s="2" t="s">
        <v>71</v>
      </c>
      <c r="K92" s="2" t="s">
        <v>72</v>
      </c>
      <c r="L92" s="2" t="s">
        <v>77</v>
      </c>
      <c r="M92" s="19">
        <v>24001115.957203697</v>
      </c>
      <c r="N92" s="2">
        <v>135202.45151700001</v>
      </c>
      <c r="O92" s="2">
        <v>0.42909000000000003</v>
      </c>
      <c r="P92" s="2" t="s">
        <v>70</v>
      </c>
      <c r="Q92" s="2">
        <v>0</v>
      </c>
      <c r="R92" s="2"/>
      <c r="S92" s="15" t="str">
        <f t="shared" si="9"/>
        <v>2022-12-31</v>
      </c>
      <c r="T92" s="4">
        <f t="shared" si="7"/>
        <v>44928</v>
      </c>
      <c r="U92" s="18">
        <v>0</v>
      </c>
    </row>
    <row r="93" spans="3:21" ht="33.75" customHeight="1" thickBot="1" x14ac:dyDescent="0.5">
      <c r="C93" s="5">
        <f t="shared" si="8"/>
        <v>999</v>
      </c>
      <c r="D93" s="2">
        <f>IF(E92="","",D92+1)</f>
        <v>86</v>
      </c>
      <c r="E93" s="2" t="str">
        <f t="shared" si="10"/>
        <v>r0310 - Deposits, not covered but preferential (BRRD art. 108)</v>
      </c>
      <c r="F93" s="2" t="s">
        <v>62</v>
      </c>
      <c r="G93" s="2" t="str">
        <f t="shared" si="5"/>
        <v>Rank 13 - Ranking in insolvency (master scale)</v>
      </c>
      <c r="H93" s="2" t="str">
        <f>IF(D94&lt;10,"PTXSTJOM"&amp;"000"&amp;D94,IF(AND(D94&gt;=10,D94&lt;=100),"PTXSTJOM"&amp;"00"&amp;D94,IF(D94&gt;=100,"PTXSTJOM"&amp;"0"&amp;D94)))</f>
        <v>PTXSTJOM0087</v>
      </c>
      <c r="I93" s="2" t="str">
        <f t="shared" si="6"/>
        <v>M0087</v>
      </c>
      <c r="J93" s="2" t="s">
        <v>71</v>
      </c>
      <c r="K93" s="2" t="s">
        <v>72</v>
      </c>
      <c r="L93" s="2" t="s">
        <v>79</v>
      </c>
      <c r="M93" s="19">
        <v>942253.58172082005</v>
      </c>
      <c r="N93" s="2">
        <v>25.791702999999998</v>
      </c>
      <c r="O93" s="2">
        <v>0.05</v>
      </c>
      <c r="P93" s="2" t="s">
        <v>70</v>
      </c>
      <c r="Q93" s="2">
        <v>0</v>
      </c>
      <c r="R93" s="2"/>
      <c r="S93" s="15" t="str">
        <f t="shared" si="9"/>
        <v>2022-12-31</v>
      </c>
      <c r="T93" s="4">
        <f t="shared" si="7"/>
        <v>44928</v>
      </c>
      <c r="U93" s="18">
        <v>0</v>
      </c>
    </row>
    <row r="94" spans="3:21" ht="33.75" customHeight="1" thickBot="1" x14ac:dyDescent="0.5">
      <c r="C94" s="5">
        <f t="shared" si="8"/>
        <v>999</v>
      </c>
      <c r="D94" s="2">
        <f>IF(E93="","",D93+1)</f>
        <v>87</v>
      </c>
      <c r="E94" s="2" t="str">
        <f t="shared" si="10"/>
        <v>r0310 - Deposits, not covered but preferential (BRRD art. 108)</v>
      </c>
      <c r="F94" s="2" t="s">
        <v>62</v>
      </c>
      <c r="G94" s="2" t="str">
        <f t="shared" si="5"/>
        <v>Rank 13 - Ranking in insolvency (master scale)</v>
      </c>
      <c r="H94" s="2" t="str">
        <f>IF(D95&lt;10,"PTXSTJOM"&amp;"000"&amp;D95,IF(AND(D95&gt;=10,D95&lt;=100),"PTXSTJOM"&amp;"00"&amp;D95,IF(D95&gt;=100,"PTXSTJOM"&amp;"0"&amp;D95)))</f>
        <v>PTXSTJOM0088</v>
      </c>
      <c r="I94" s="2" t="str">
        <f t="shared" si="6"/>
        <v>M0088</v>
      </c>
      <c r="J94" s="2" t="s">
        <v>71</v>
      </c>
      <c r="K94" s="2" t="s">
        <v>72</v>
      </c>
      <c r="L94" s="2" t="s">
        <v>80</v>
      </c>
      <c r="M94" s="19">
        <v>2.3699999999999936E-4</v>
      </c>
      <c r="N94" s="2">
        <v>0</v>
      </c>
      <c r="O94" s="2"/>
      <c r="P94" s="2" t="s">
        <v>70</v>
      </c>
      <c r="Q94" s="2">
        <v>0</v>
      </c>
      <c r="R94" s="2"/>
      <c r="S94" s="15" t="str">
        <f t="shared" si="9"/>
        <v>2022-12-31</v>
      </c>
      <c r="T94" s="4">
        <f t="shared" si="7"/>
        <v>44928</v>
      </c>
      <c r="U94" s="18">
        <v>0</v>
      </c>
    </row>
    <row r="95" spans="3:21" ht="33.75" customHeight="1" thickBot="1" x14ac:dyDescent="0.5">
      <c r="C95" s="5">
        <f t="shared" si="8"/>
        <v>999</v>
      </c>
      <c r="D95" s="2">
        <f>IF(E94="","",D94+1)</f>
        <v>88</v>
      </c>
      <c r="E95" s="2" t="str">
        <f t="shared" si="10"/>
        <v>r0310 - Deposits, not covered but preferential (BRRD art. 108)</v>
      </c>
      <c r="F95" s="2" t="s">
        <v>62</v>
      </c>
      <c r="G95" s="2" t="str">
        <f t="shared" si="5"/>
        <v>Rank 13 - Ranking in insolvency (master scale)</v>
      </c>
      <c r="H95" s="2" t="str">
        <f>IF(D96&lt;10,"PTXSTJOM"&amp;"000"&amp;D96,IF(AND(D96&gt;=10,D96&lt;=100),"PTXSTJOM"&amp;"00"&amp;D96,IF(D96&gt;=100,"PTXSTJOM"&amp;"0"&amp;D96)))</f>
        <v>PTXSTJOM0089</v>
      </c>
      <c r="I95" s="2" t="str">
        <f t="shared" si="6"/>
        <v>M0089</v>
      </c>
      <c r="J95" s="2" t="s">
        <v>71</v>
      </c>
      <c r="K95" s="2" t="s">
        <v>72</v>
      </c>
      <c r="L95" s="2" t="s">
        <v>80</v>
      </c>
      <c r="M95" s="19">
        <v>592569.72571830009</v>
      </c>
      <c r="N95" s="2">
        <v>0.51898200000000005</v>
      </c>
      <c r="O95" s="2">
        <v>0.05</v>
      </c>
      <c r="P95" s="2" t="s">
        <v>70</v>
      </c>
      <c r="Q95" s="2">
        <v>0</v>
      </c>
      <c r="R95" s="2"/>
      <c r="S95" s="15" t="str">
        <f t="shared" si="9"/>
        <v>2022-12-31</v>
      </c>
      <c r="T95" s="4">
        <f t="shared" si="7"/>
        <v>44928</v>
      </c>
      <c r="U95" s="18">
        <v>0</v>
      </c>
    </row>
    <row r="96" spans="3:21" ht="33.75" customHeight="1" thickBot="1" x14ac:dyDescent="0.5">
      <c r="C96" s="5">
        <f t="shared" si="8"/>
        <v>999</v>
      </c>
      <c r="D96" s="2">
        <f>IF(E95="","",D95+1)</f>
        <v>89</v>
      </c>
      <c r="E96" s="2" t="str">
        <f t="shared" si="10"/>
        <v>r0310 - Deposits, not covered but preferential (BRRD art. 108)</v>
      </c>
      <c r="F96" s="2" t="s">
        <v>62</v>
      </c>
      <c r="G96" s="2" t="str">
        <f t="shared" si="5"/>
        <v>Rank 13 - Ranking in insolvency (master scale)</v>
      </c>
      <c r="H96" s="2" t="str">
        <f>IF(D97&lt;10,"PTXSTJOM"&amp;"000"&amp;D97,IF(AND(D97&gt;=10,D97&lt;=100),"PTXSTJOM"&amp;"00"&amp;D97,IF(D97&gt;=100,"PTXSTJOM"&amp;"0"&amp;D97)))</f>
        <v>PTXSTJOM0090</v>
      </c>
      <c r="I96" s="2" t="str">
        <f t="shared" si="6"/>
        <v>M0090</v>
      </c>
      <c r="J96" s="2" t="s">
        <v>71</v>
      </c>
      <c r="K96" s="2" t="s">
        <v>72</v>
      </c>
      <c r="L96" s="2" t="s">
        <v>81</v>
      </c>
      <c r="M96" s="19">
        <v>4.84E-4</v>
      </c>
      <c r="N96" s="2">
        <v>0</v>
      </c>
      <c r="O96" s="2"/>
      <c r="P96" s="2" t="s">
        <v>70</v>
      </c>
      <c r="Q96" s="2">
        <v>0</v>
      </c>
      <c r="R96" s="2"/>
      <c r="S96" s="15" t="str">
        <f t="shared" si="9"/>
        <v>2022-12-31</v>
      </c>
      <c r="T96" s="4">
        <f t="shared" si="7"/>
        <v>44928</v>
      </c>
      <c r="U96" s="18">
        <v>0</v>
      </c>
    </row>
    <row r="97" spans="3:21" ht="33.75" customHeight="1" thickBot="1" x14ac:dyDescent="0.5">
      <c r="C97" s="5">
        <f t="shared" si="8"/>
        <v>999</v>
      </c>
      <c r="D97" s="2">
        <f>IF(E96="","",D96+1)</f>
        <v>90</v>
      </c>
      <c r="E97" s="2" t="str">
        <f t="shared" si="10"/>
        <v>r0310 - Deposits, not covered but preferential (BRRD art. 108)</v>
      </c>
      <c r="F97" s="2" t="s">
        <v>62</v>
      </c>
      <c r="G97" s="2" t="str">
        <f t="shared" si="5"/>
        <v>Rank 13 - Ranking in insolvency (master scale)</v>
      </c>
      <c r="H97" s="2" t="str">
        <f>IF(D98&lt;10,"PTXSTJOM"&amp;"000"&amp;D98,IF(AND(D98&gt;=10,D98&lt;=100),"PTXSTJOM"&amp;"00"&amp;D98,IF(D98&gt;=100,"PTXSTJOM"&amp;"0"&amp;D98)))</f>
        <v>PTXSTJOM0091</v>
      </c>
      <c r="I97" s="2" t="str">
        <f t="shared" si="6"/>
        <v>M0091</v>
      </c>
      <c r="J97" s="2" t="s">
        <v>71</v>
      </c>
      <c r="K97" s="2" t="s">
        <v>72</v>
      </c>
      <c r="L97" s="2" t="s">
        <v>82</v>
      </c>
      <c r="M97" s="19">
        <v>3981693.5311423698</v>
      </c>
      <c r="N97" s="2">
        <v>16169.010253</v>
      </c>
      <c r="O97" s="2">
        <v>0.10521</v>
      </c>
      <c r="P97" s="2" t="s">
        <v>70</v>
      </c>
      <c r="Q97" s="2">
        <v>0</v>
      </c>
      <c r="R97" s="2"/>
      <c r="S97" s="15" t="str">
        <f t="shared" si="9"/>
        <v>2022-12-31</v>
      </c>
      <c r="T97" s="4">
        <f t="shared" si="7"/>
        <v>44928</v>
      </c>
      <c r="U97" s="18">
        <v>0</v>
      </c>
    </row>
    <row r="98" spans="3:21" ht="33.75" customHeight="1" thickBot="1" x14ac:dyDescent="0.5">
      <c r="C98" s="5">
        <f t="shared" si="8"/>
        <v>999</v>
      </c>
      <c r="D98" s="2">
        <f>IF(E97="","",D97+1)</f>
        <v>91</v>
      </c>
      <c r="E98" s="2" t="str">
        <f t="shared" si="10"/>
        <v>r0310 - Deposits, not covered but preferential (BRRD art. 108)</v>
      </c>
      <c r="F98" s="2" t="s">
        <v>62</v>
      </c>
      <c r="G98" s="2" t="str">
        <f t="shared" si="5"/>
        <v>Rank 13 - Ranking in insolvency (master scale)</v>
      </c>
      <c r="H98" s="2" t="str">
        <f>IF(D99&lt;10,"PTXSTJOM"&amp;"000"&amp;D99,IF(AND(D99&gt;=10,D99&lt;=100),"PTXSTJOM"&amp;"00"&amp;D99,IF(D99&gt;=100,"PTXSTJOM"&amp;"0"&amp;D99)))</f>
        <v>PTXSTJOM0092</v>
      </c>
      <c r="I98" s="2" t="str">
        <f t="shared" si="6"/>
        <v>M0092</v>
      </c>
      <c r="J98" s="2" t="s">
        <v>71</v>
      </c>
      <c r="K98" s="2" t="s">
        <v>72</v>
      </c>
      <c r="L98" s="2" t="s">
        <v>83</v>
      </c>
      <c r="M98" s="19">
        <v>-1.8609999988257186E-3</v>
      </c>
      <c r="N98" s="2">
        <v>0.333175</v>
      </c>
      <c r="O98" s="2"/>
      <c r="P98" s="2" t="s">
        <v>70</v>
      </c>
      <c r="Q98" s="2">
        <v>0</v>
      </c>
      <c r="R98" s="2"/>
      <c r="S98" s="15" t="str">
        <f t="shared" si="9"/>
        <v>2022-12-31</v>
      </c>
      <c r="T98" s="4">
        <f t="shared" si="7"/>
        <v>44928</v>
      </c>
      <c r="U98" s="18">
        <v>0</v>
      </c>
    </row>
    <row r="99" spans="3:21" ht="33.75" customHeight="1" thickBot="1" x14ac:dyDescent="0.5">
      <c r="C99" s="5">
        <f t="shared" si="8"/>
        <v>999</v>
      </c>
      <c r="D99" s="2">
        <f>IF(E98="","",D98+1)</f>
        <v>92</v>
      </c>
      <c r="E99" s="2" t="str">
        <f t="shared" si="10"/>
        <v>r0310 - Deposits, not covered but preferential (BRRD art. 108)</v>
      </c>
      <c r="F99" s="2" t="s">
        <v>62</v>
      </c>
      <c r="G99" s="2" t="str">
        <f t="shared" si="5"/>
        <v>Rank 13 - Ranking in insolvency (master scale)</v>
      </c>
      <c r="H99" s="2" t="str">
        <f>IF(D100&lt;10,"PTXSTJOM"&amp;"000"&amp;D100,IF(AND(D100&gt;=10,D100&lt;=100),"PTXSTJOM"&amp;"00"&amp;D100,IF(D100&gt;=100,"PTXSTJOM"&amp;"0"&amp;D100)))</f>
        <v>PTXSTJOM0093</v>
      </c>
      <c r="I99" s="2" t="str">
        <f t="shared" si="6"/>
        <v>M0093</v>
      </c>
      <c r="J99" s="2" t="s">
        <v>71</v>
      </c>
      <c r="K99" s="2" t="s">
        <v>72</v>
      </c>
      <c r="L99" s="2" t="s">
        <v>83</v>
      </c>
      <c r="M99" s="19">
        <v>281904.28156623</v>
      </c>
      <c r="N99" s="2">
        <v>2984.3308320000001</v>
      </c>
      <c r="O99" s="2">
        <v>2.2374999999999998</v>
      </c>
      <c r="P99" s="2" t="s">
        <v>70</v>
      </c>
      <c r="Q99" s="2">
        <v>0</v>
      </c>
      <c r="R99" s="2"/>
      <c r="S99" s="15" t="str">
        <f t="shared" si="9"/>
        <v>2022-12-31</v>
      </c>
      <c r="T99" s="4">
        <f t="shared" si="7"/>
        <v>44928</v>
      </c>
      <c r="U99" s="18">
        <v>0</v>
      </c>
    </row>
    <row r="100" spans="3:21" ht="33.75" customHeight="1" thickBot="1" x14ac:dyDescent="0.5">
      <c r="C100" s="5">
        <f t="shared" si="8"/>
        <v>999</v>
      </c>
      <c r="D100" s="2">
        <f>IF(E99="","",D99+1)</f>
        <v>93</v>
      </c>
      <c r="E100" s="2" t="str">
        <f t="shared" si="10"/>
        <v>r0310 - Deposits, not covered but preferential (BRRD art. 108)</v>
      </c>
      <c r="F100" s="2" t="s">
        <v>62</v>
      </c>
      <c r="G100" s="2" t="str">
        <f t="shared" si="5"/>
        <v>Rank 13 - Ranking in insolvency (master scale)</v>
      </c>
      <c r="H100" s="2" t="str">
        <f>IF(D101&lt;10,"PTXSTJOM"&amp;"000"&amp;D101,IF(AND(D101&gt;=10,D101&lt;=100),"PTXSTJOM"&amp;"00"&amp;D101,IF(D101&gt;=100,"PTXSTJOM"&amp;"0"&amp;D101)))</f>
        <v>PTXSTJOM0094</v>
      </c>
      <c r="I100" s="2" t="str">
        <f t="shared" si="6"/>
        <v>M0094</v>
      </c>
      <c r="J100" s="2" t="s">
        <v>71</v>
      </c>
      <c r="K100" s="2" t="s">
        <v>72</v>
      </c>
      <c r="L100" s="2" t="s">
        <v>84</v>
      </c>
      <c r="M100" s="19">
        <v>154318.97249163996</v>
      </c>
      <c r="N100" s="2">
        <v>14.247695</v>
      </c>
      <c r="O100" s="2">
        <v>0.05</v>
      </c>
      <c r="P100" s="2" t="s">
        <v>70</v>
      </c>
      <c r="Q100" s="2">
        <v>0</v>
      </c>
      <c r="R100" s="2"/>
      <c r="S100" s="15" t="str">
        <f t="shared" si="9"/>
        <v>2022-12-31</v>
      </c>
      <c r="T100" s="4">
        <f t="shared" si="7"/>
        <v>44928</v>
      </c>
      <c r="U100" s="18">
        <v>0</v>
      </c>
    </row>
    <row r="101" spans="3:21" ht="33.75" customHeight="1" thickBot="1" x14ac:dyDescent="0.5">
      <c r="C101" s="5">
        <f t="shared" si="8"/>
        <v>999</v>
      </c>
      <c r="D101" s="2">
        <f>IF(E100="","",D100+1)</f>
        <v>94</v>
      </c>
      <c r="E101" s="2" t="str">
        <f t="shared" si="10"/>
        <v>r0310 - Deposits, not covered but preferential (BRRD art. 108)</v>
      </c>
      <c r="F101" s="2" t="s">
        <v>62</v>
      </c>
      <c r="G101" s="2" t="str">
        <f t="shared" si="5"/>
        <v>Rank 13 - Ranking in insolvency (master scale)</v>
      </c>
      <c r="H101" s="2" t="str">
        <f>IF(D102&lt;10,"PTXSTJOM"&amp;"000"&amp;D102,IF(AND(D102&gt;=10,D102&lt;=100),"PTXSTJOM"&amp;"00"&amp;D102,IF(D102&gt;=100,"PTXSTJOM"&amp;"0"&amp;D102)))</f>
        <v>PTXSTJOM0095</v>
      </c>
      <c r="I101" s="2" t="str">
        <f t="shared" si="6"/>
        <v>M0095</v>
      </c>
      <c r="J101" s="2" t="s">
        <v>71</v>
      </c>
      <c r="K101" s="2" t="s">
        <v>72</v>
      </c>
      <c r="L101" s="2" t="s">
        <v>85</v>
      </c>
      <c r="M101" s="19">
        <v>53055.295793329999</v>
      </c>
      <c r="N101" s="2">
        <v>0</v>
      </c>
      <c r="O101" s="2"/>
      <c r="P101" s="2" t="s">
        <v>70</v>
      </c>
      <c r="Q101" s="2">
        <v>0</v>
      </c>
      <c r="R101" s="2"/>
      <c r="S101" s="15" t="str">
        <f t="shared" si="9"/>
        <v>2022-12-31</v>
      </c>
      <c r="T101" s="4">
        <f t="shared" si="7"/>
        <v>44928</v>
      </c>
      <c r="U101" s="18">
        <v>0</v>
      </c>
    </row>
    <row r="102" spans="3:21" ht="33.75" customHeight="1" thickBot="1" x14ac:dyDescent="0.5">
      <c r="C102" s="5">
        <f t="shared" si="8"/>
        <v>999</v>
      </c>
      <c r="D102" s="2">
        <f>IF(E101="","",D101+1)</f>
        <v>95</v>
      </c>
      <c r="E102" s="2" t="str">
        <f t="shared" si="10"/>
        <v>r0310 - Deposits, not covered but preferential (BRRD art. 108)</v>
      </c>
      <c r="F102" s="2" t="s">
        <v>62</v>
      </c>
      <c r="G102" s="2" t="str">
        <f t="shared" si="5"/>
        <v>Rank 13 - Ranking in insolvency (master scale)</v>
      </c>
      <c r="H102" s="2" t="str">
        <f>IF(D103&lt;10,"PTXSTJOM"&amp;"000"&amp;D103,IF(AND(D103&gt;=10,D103&lt;=100),"PTXSTJOM"&amp;"00"&amp;D103,IF(D103&gt;=100,"PTXSTJOM"&amp;"0"&amp;D103)))</f>
        <v>PTXSTJOM0096</v>
      </c>
      <c r="I102" s="2" t="str">
        <f t="shared" si="6"/>
        <v>M0096</v>
      </c>
      <c r="J102" s="2" t="s">
        <v>71</v>
      </c>
      <c r="K102" s="2" t="s">
        <v>72</v>
      </c>
      <c r="L102" s="2" t="s">
        <v>85</v>
      </c>
      <c r="M102" s="19">
        <v>5228855.6147884894</v>
      </c>
      <c r="N102" s="2">
        <v>142.89631499999999</v>
      </c>
      <c r="O102" s="2">
        <v>0.05</v>
      </c>
      <c r="P102" s="2" t="s">
        <v>70</v>
      </c>
      <c r="Q102" s="2">
        <v>0</v>
      </c>
      <c r="R102" s="2"/>
      <c r="S102" s="15" t="str">
        <f t="shared" si="9"/>
        <v>2022-12-31</v>
      </c>
      <c r="T102" s="4">
        <f t="shared" si="7"/>
        <v>44928</v>
      </c>
      <c r="U102" s="18">
        <v>0</v>
      </c>
    </row>
    <row r="103" spans="3:21" ht="33.75" customHeight="1" thickBot="1" x14ac:dyDescent="0.5">
      <c r="C103" s="5">
        <f t="shared" si="8"/>
        <v>999</v>
      </c>
      <c r="D103" s="2">
        <f>IF(E102="","",D102+1)</f>
        <v>96</v>
      </c>
      <c r="E103" s="2" t="str">
        <f t="shared" si="10"/>
        <v>r0310 - Deposits, not covered but preferential (BRRD art. 108)</v>
      </c>
      <c r="F103" s="2" t="s">
        <v>62</v>
      </c>
      <c r="G103" s="2" t="str">
        <f t="shared" si="5"/>
        <v>Rank 13 - Ranking in insolvency (master scale)</v>
      </c>
      <c r="H103" s="2" t="str">
        <f>IF(D104&lt;10,"PTXSTJOM"&amp;"000"&amp;D104,IF(AND(D104&gt;=10,D104&lt;=100),"PTXSTJOM"&amp;"00"&amp;D104,IF(D104&gt;=100,"PTXSTJOM"&amp;"0"&amp;D104)))</f>
        <v>PTXSTJOM0097</v>
      </c>
      <c r="I103" s="2" t="str">
        <f t="shared" si="6"/>
        <v>M0097</v>
      </c>
      <c r="J103" s="2" t="s">
        <v>71</v>
      </c>
      <c r="K103" s="2" t="s">
        <v>72</v>
      </c>
      <c r="L103" s="2" t="s">
        <v>86</v>
      </c>
      <c r="M103" s="19">
        <v>1743180.4619401901</v>
      </c>
      <c r="N103" s="2">
        <v>248.971171</v>
      </c>
      <c r="O103" s="2">
        <v>0.05</v>
      </c>
      <c r="P103" s="2" t="s">
        <v>70</v>
      </c>
      <c r="Q103" s="2">
        <v>0</v>
      </c>
      <c r="R103" s="2"/>
      <c r="S103" s="15" t="str">
        <f t="shared" si="9"/>
        <v>2022-12-31</v>
      </c>
      <c r="T103" s="4">
        <f t="shared" si="7"/>
        <v>44928</v>
      </c>
      <c r="U103" s="18">
        <v>0</v>
      </c>
    </row>
    <row r="104" spans="3:21" ht="33.75" customHeight="1" thickBot="1" x14ac:dyDescent="0.5">
      <c r="C104" s="5">
        <f t="shared" si="8"/>
        <v>999</v>
      </c>
      <c r="D104" s="2">
        <f>IF(E103="","",D103+1)</f>
        <v>97</v>
      </c>
      <c r="E104" s="2" t="str">
        <f t="shared" si="10"/>
        <v>r0310 - Deposits, not covered but preferential (BRRD art. 108)</v>
      </c>
      <c r="F104" s="2" t="s">
        <v>62</v>
      </c>
      <c r="G104" s="2" t="str">
        <f t="shared" si="5"/>
        <v>Rank 13 - Ranking in insolvency (master scale)</v>
      </c>
      <c r="H104" s="2" t="str">
        <f>IF(D105&lt;10,"PTXSTJOM"&amp;"000"&amp;D105,IF(AND(D105&gt;=10,D105&lt;=100),"PTXSTJOM"&amp;"00"&amp;D105,IF(D105&gt;=100,"PTXSTJOM"&amp;"0"&amp;D105)))</f>
        <v>PTXSTJOM0098</v>
      </c>
      <c r="I104" s="2" t="str">
        <f t="shared" si="6"/>
        <v>M0098</v>
      </c>
      <c r="J104" s="2" t="s">
        <v>71</v>
      </c>
      <c r="K104" s="2" t="s">
        <v>72</v>
      </c>
      <c r="L104" s="2" t="s">
        <v>86</v>
      </c>
      <c r="M104" s="19">
        <v>54390704.355381906</v>
      </c>
      <c r="N104" s="2">
        <v>151691.29469000001</v>
      </c>
      <c r="O104" s="2">
        <v>0.32834999999999998</v>
      </c>
      <c r="P104" s="2" t="s">
        <v>70</v>
      </c>
      <c r="Q104" s="2">
        <v>0</v>
      </c>
      <c r="R104" s="2"/>
      <c r="S104" s="15" t="str">
        <f t="shared" si="9"/>
        <v>2022-12-31</v>
      </c>
      <c r="T104" s="4">
        <f t="shared" si="7"/>
        <v>44928</v>
      </c>
      <c r="U104" s="18">
        <v>0</v>
      </c>
    </row>
    <row r="105" spans="3:21" ht="33.75" customHeight="1" thickBot="1" x14ac:dyDescent="0.5">
      <c r="C105" s="5">
        <f t="shared" si="8"/>
        <v>999</v>
      </c>
      <c r="D105" s="2">
        <f>IF(E104="","",D104+1)</f>
        <v>98</v>
      </c>
      <c r="E105" s="2" t="str">
        <f t="shared" si="10"/>
        <v>r0310 - Deposits, not covered but preferential (BRRD art. 108)</v>
      </c>
      <c r="F105" s="2" t="s">
        <v>62</v>
      </c>
      <c r="G105" s="2" t="str">
        <f t="shared" si="5"/>
        <v>Rank 13 - Ranking in insolvency (master scale)</v>
      </c>
      <c r="H105" s="2" t="str">
        <f>IF(D106&lt;10,"PTXSTJOM"&amp;"000"&amp;D106,IF(AND(D106&gt;=10,D106&lt;=100),"PTXSTJOM"&amp;"00"&amp;D106,IF(D106&gt;=100,"PTXSTJOM"&amp;"0"&amp;D106)))</f>
        <v>PTXSTJOM0099</v>
      </c>
      <c r="I105" s="2" t="str">
        <f t="shared" si="6"/>
        <v>M0099</v>
      </c>
      <c r="J105" s="2" t="s">
        <v>71</v>
      </c>
      <c r="K105" s="2" t="s">
        <v>72</v>
      </c>
      <c r="L105" s="2" t="s">
        <v>87</v>
      </c>
      <c r="M105" s="19">
        <v>480807154.33049607</v>
      </c>
      <c r="N105" s="2">
        <v>1747801.4064199999</v>
      </c>
      <c r="O105" s="2">
        <v>0.34171000000000001</v>
      </c>
      <c r="P105" s="2" t="s">
        <v>70</v>
      </c>
      <c r="Q105" s="2">
        <v>0</v>
      </c>
      <c r="R105" s="2"/>
      <c r="S105" s="15" t="str">
        <f t="shared" si="9"/>
        <v>2022-12-31</v>
      </c>
      <c r="T105" s="4">
        <f t="shared" si="7"/>
        <v>44928</v>
      </c>
      <c r="U105" s="18">
        <v>0</v>
      </c>
    </row>
    <row r="106" spans="3:21" ht="33.75" customHeight="1" thickBot="1" x14ac:dyDescent="0.5">
      <c r="C106" s="5">
        <f t="shared" si="8"/>
        <v>999</v>
      </c>
      <c r="D106" s="2">
        <f>IF(E105="","",D105+1)</f>
        <v>99</v>
      </c>
      <c r="E106" s="2" t="str">
        <f t="shared" si="10"/>
        <v>r0310 - Deposits, not covered but preferential (BRRD art. 108)</v>
      </c>
      <c r="F106" s="2" t="s">
        <v>62</v>
      </c>
      <c r="G106" s="2" t="str">
        <f t="shared" si="5"/>
        <v>Rank 13 - Ranking in insolvency (master scale)</v>
      </c>
      <c r="H106" s="2" t="str">
        <f>IF(D107&lt;10,"PTXSTJOM"&amp;"000"&amp;D107,IF(AND(D107&gt;=10,D107&lt;=100),"PTXSTJOM"&amp;"00"&amp;D107,IF(D107&gt;=100,"PTXSTJOM"&amp;"0"&amp;D107)))</f>
        <v>PTXSTJOM00100</v>
      </c>
      <c r="I106" s="2" t="str">
        <f t="shared" si="6"/>
        <v>00100</v>
      </c>
      <c r="J106" s="2" t="s">
        <v>71</v>
      </c>
      <c r="K106" s="2" t="s">
        <v>72</v>
      </c>
      <c r="L106" s="2" t="s">
        <v>87</v>
      </c>
      <c r="M106" s="19">
        <v>7027059.6467613401</v>
      </c>
      <c r="N106" s="2">
        <v>9838.3649010000008</v>
      </c>
      <c r="O106" s="2">
        <v>0.16879</v>
      </c>
      <c r="P106" s="2" t="s">
        <v>70</v>
      </c>
      <c r="Q106" s="2">
        <v>0</v>
      </c>
      <c r="R106" s="2"/>
      <c r="S106" s="15" t="str">
        <f t="shared" si="9"/>
        <v>2022-12-31</v>
      </c>
      <c r="T106" s="4">
        <f t="shared" si="7"/>
        <v>44928</v>
      </c>
      <c r="U106" s="18">
        <v>0</v>
      </c>
    </row>
    <row r="107" spans="3:21" ht="33.75" customHeight="1" thickBot="1" x14ac:dyDescent="0.5">
      <c r="C107" s="5">
        <f t="shared" si="8"/>
        <v>999</v>
      </c>
      <c r="D107" s="2">
        <f>IF(E106="","",D106+1)</f>
        <v>100</v>
      </c>
      <c r="E107" s="2" t="str">
        <f t="shared" si="10"/>
        <v>r0310 - Deposits, not covered but preferential (BRRD art. 108)</v>
      </c>
      <c r="F107" s="2" t="s">
        <v>62</v>
      </c>
      <c r="G107" s="2" t="str">
        <f t="shared" si="5"/>
        <v>Rank 13 - Ranking in insolvency (master scale)</v>
      </c>
      <c r="H107" s="2" t="str">
        <f>IF(D108&lt;10,"PTXSTJOM"&amp;"000"&amp;D108,IF(AND(D108&gt;=10,D108&lt;=100),"PTXSTJOM"&amp;"00"&amp;D108,IF(D108&gt;=100,"PTXSTJOM"&amp;"0"&amp;D108)))</f>
        <v>PTXSTJOM0101</v>
      </c>
      <c r="I107" s="2" t="str">
        <f t="shared" si="6"/>
        <v>M0101</v>
      </c>
      <c r="J107" s="2" t="s">
        <v>71</v>
      </c>
      <c r="K107" s="2" t="s">
        <v>72</v>
      </c>
      <c r="L107" s="2" t="s">
        <v>88</v>
      </c>
      <c r="M107" s="19">
        <v>552022239.85823083</v>
      </c>
      <c r="N107" s="2">
        <v>81155.56</v>
      </c>
      <c r="O107" s="2">
        <v>1.184E-2</v>
      </c>
      <c r="P107" s="2" t="s">
        <v>70</v>
      </c>
      <c r="Q107" s="2">
        <v>0</v>
      </c>
      <c r="R107" s="2"/>
      <c r="S107" s="15" t="str">
        <f t="shared" si="9"/>
        <v>2022-12-31</v>
      </c>
      <c r="T107" s="4">
        <f t="shared" si="7"/>
        <v>44928</v>
      </c>
      <c r="U107" s="18">
        <v>0</v>
      </c>
    </row>
    <row r="108" spans="3:21" ht="33.75" customHeight="1" thickBot="1" x14ac:dyDescent="0.5">
      <c r="C108" s="5">
        <f t="shared" si="8"/>
        <v>999</v>
      </c>
      <c r="D108" s="2">
        <f>IF(E107="","",D107+1)</f>
        <v>101</v>
      </c>
      <c r="E108" s="2" t="str">
        <f t="shared" si="10"/>
        <v>r0310 - Deposits, not covered but preferential (BRRD art. 108)</v>
      </c>
      <c r="F108" s="2" t="s">
        <v>62</v>
      </c>
      <c r="G108" s="2" t="str">
        <f t="shared" si="5"/>
        <v>Rank 13 - Ranking in insolvency (master scale)</v>
      </c>
      <c r="H108" s="2" t="str">
        <f>IF(D109&lt;10,"PTXSTJOM"&amp;"000"&amp;D109,IF(AND(D109&gt;=10,D109&lt;=100),"PTXSTJOM"&amp;"00"&amp;D109,IF(D109&gt;=100,"PTXSTJOM"&amp;"0"&amp;D109)))</f>
        <v>PTXSTJOM0102</v>
      </c>
      <c r="I108" s="2" t="str">
        <f t="shared" si="6"/>
        <v>M0102</v>
      </c>
      <c r="J108" s="2" t="s">
        <v>71</v>
      </c>
      <c r="K108" s="2" t="s">
        <v>72</v>
      </c>
      <c r="L108" s="2" t="s">
        <v>88</v>
      </c>
      <c r="M108" s="19">
        <v>4570272397.7863998</v>
      </c>
      <c r="N108" s="2">
        <v>1969191.3200020001</v>
      </c>
      <c r="O108" s="2">
        <v>1.6619999999999999E-2</v>
      </c>
      <c r="P108" s="2" t="s">
        <v>70</v>
      </c>
      <c r="Q108" s="2">
        <v>0</v>
      </c>
      <c r="R108" s="2"/>
      <c r="S108" s="15" t="str">
        <f t="shared" si="9"/>
        <v>2022-12-31</v>
      </c>
      <c r="T108" s="4">
        <f t="shared" si="7"/>
        <v>44928</v>
      </c>
      <c r="U108" s="18">
        <v>0</v>
      </c>
    </row>
    <row r="109" spans="3:21" ht="33.75" customHeight="1" thickBot="1" x14ac:dyDescent="0.5">
      <c r="C109" s="5">
        <f t="shared" si="8"/>
        <v>999</v>
      </c>
      <c r="D109" s="2">
        <f>IF(E108="","",D108+1)</f>
        <v>102</v>
      </c>
      <c r="E109" s="2" t="str">
        <f t="shared" si="10"/>
        <v>r0310 - Deposits, not covered but preferential (BRRD art. 108)</v>
      </c>
      <c r="F109" s="2" t="s">
        <v>62</v>
      </c>
      <c r="G109" s="2" t="str">
        <f t="shared" si="5"/>
        <v>Rank 13 - Ranking in insolvency (master scale)</v>
      </c>
      <c r="H109" s="2" t="str">
        <f>IF(D110&lt;10,"PTXSTJOM"&amp;"000"&amp;D110,IF(AND(D110&gt;=10,D110&lt;=100),"PTXSTJOM"&amp;"00"&amp;D110,IF(D110&gt;=100,"PTXSTJOM"&amp;"0"&amp;D110)))</f>
        <v>PTXSTJOM0103</v>
      </c>
      <c r="I109" s="2" t="str">
        <f t="shared" si="6"/>
        <v>M0103</v>
      </c>
      <c r="J109" s="2" t="s">
        <v>71</v>
      </c>
      <c r="K109" s="2" t="s">
        <v>72</v>
      </c>
      <c r="L109" s="2" t="s">
        <v>88</v>
      </c>
      <c r="M109" s="19">
        <v>-483471.89</v>
      </c>
      <c r="N109" s="2">
        <v>-328394.21000000002</v>
      </c>
      <c r="O109" s="2"/>
      <c r="P109" s="2" t="s">
        <v>70</v>
      </c>
      <c r="Q109" s="2">
        <v>0</v>
      </c>
      <c r="R109" s="2"/>
      <c r="S109" s="15" t="str">
        <f t="shared" si="9"/>
        <v>2022-12-31</v>
      </c>
      <c r="T109" s="4">
        <f t="shared" si="7"/>
        <v>44928</v>
      </c>
      <c r="U109" s="18">
        <v>0</v>
      </c>
    </row>
    <row r="110" spans="3:21" ht="33.75" customHeight="1" thickBot="1" x14ac:dyDescent="0.5">
      <c r="C110" s="5">
        <f t="shared" si="8"/>
        <v>999</v>
      </c>
      <c r="D110" s="2">
        <f>IF(E109="","",D109+1)</f>
        <v>103</v>
      </c>
      <c r="E110" s="2" t="str">
        <f t="shared" si="10"/>
        <v>r0310 - Deposits, not covered but preferential (BRRD art. 108)</v>
      </c>
      <c r="F110" s="2" t="s">
        <v>62</v>
      </c>
      <c r="G110" s="2" t="str">
        <f t="shared" si="5"/>
        <v>Rank 13 - Ranking in insolvency (master scale)</v>
      </c>
      <c r="H110" s="2" t="str">
        <f>IF(D111&lt;10,"PTXSTJOM"&amp;"000"&amp;D111,IF(AND(D111&gt;=10,D111&lt;=100),"PTXSTJOM"&amp;"00"&amp;D111,IF(D111&gt;=100,"PTXSTJOM"&amp;"0"&amp;D111)))</f>
        <v>PTXSTJOM0104</v>
      </c>
      <c r="I110" s="2" t="str">
        <f t="shared" si="6"/>
        <v>M0104</v>
      </c>
      <c r="J110" s="2" t="s">
        <v>71</v>
      </c>
      <c r="K110" s="2" t="s">
        <v>72</v>
      </c>
      <c r="L110" s="2" t="s">
        <v>89</v>
      </c>
      <c r="M110" s="19">
        <v>1547021.7142360001</v>
      </c>
      <c r="N110" s="2">
        <v>0</v>
      </c>
      <c r="O110" s="2"/>
      <c r="P110" s="2" t="s">
        <v>70</v>
      </c>
      <c r="Q110" s="2">
        <v>0</v>
      </c>
      <c r="R110" s="2"/>
      <c r="S110" s="15" t="str">
        <f t="shared" si="9"/>
        <v>2022-12-31</v>
      </c>
      <c r="T110" s="4">
        <f t="shared" si="7"/>
        <v>44928</v>
      </c>
      <c r="U110" s="18">
        <v>0</v>
      </c>
    </row>
    <row r="111" spans="3:21" ht="33.75" customHeight="1" thickBot="1" x14ac:dyDescent="0.5">
      <c r="C111" s="5">
        <f t="shared" si="8"/>
        <v>999</v>
      </c>
      <c r="D111" s="2">
        <f>IF(E110="","",D110+1)</f>
        <v>104</v>
      </c>
      <c r="E111" s="2" t="str">
        <f t="shared" si="10"/>
        <v>r0310 - Deposits, not covered but preferential (BRRD art. 108)</v>
      </c>
      <c r="F111" s="2" t="s">
        <v>63</v>
      </c>
      <c r="G111" s="2" t="str">
        <f t="shared" si="5"/>
        <v>Rank 13 - Ranking in insolvency (master scale)</v>
      </c>
      <c r="H111" s="2" t="str">
        <f>IF(D112&lt;10,"PTXSTJOM"&amp;"000"&amp;D112,IF(AND(D112&gt;=10,D112&lt;=100),"PTXSTJOM"&amp;"00"&amp;D112,IF(D112&gt;=100,"PTXSTJOM"&amp;"0"&amp;D112)))</f>
        <v>PTXSTJOM0105</v>
      </c>
      <c r="I111" s="2" t="str">
        <f t="shared" si="6"/>
        <v>M0105</v>
      </c>
      <c r="J111" s="2" t="s">
        <v>71</v>
      </c>
      <c r="K111" s="2" t="s">
        <v>72</v>
      </c>
      <c r="L111" s="2" t="s">
        <v>76</v>
      </c>
      <c r="M111" s="19">
        <v>4.0859999999156571E-3</v>
      </c>
      <c r="N111" s="2">
        <v>0</v>
      </c>
      <c r="O111" s="2"/>
      <c r="P111" s="2" t="s">
        <v>70</v>
      </c>
      <c r="Q111" s="2">
        <v>0</v>
      </c>
      <c r="R111" s="2"/>
      <c r="S111" s="15" t="str">
        <f t="shared" si="9"/>
        <v>2022-12-31</v>
      </c>
      <c r="T111" s="4">
        <f t="shared" si="7"/>
        <v>44928</v>
      </c>
      <c r="U111" s="18">
        <v>0</v>
      </c>
    </row>
    <row r="112" spans="3:21" ht="33.75" customHeight="1" thickBot="1" x14ac:dyDescent="0.5">
      <c r="C112" s="5">
        <f t="shared" si="8"/>
        <v>999</v>
      </c>
      <c r="D112" s="2">
        <f>IF(E111="","",D111+1)</f>
        <v>105</v>
      </c>
      <c r="E112" s="2" t="str">
        <f t="shared" si="10"/>
        <v>r0310 - Deposits, not covered but preferential (BRRD art. 108)</v>
      </c>
      <c r="F112" s="2" t="s">
        <v>63</v>
      </c>
      <c r="G112" s="2" t="str">
        <f t="shared" si="5"/>
        <v>Rank 13 - Ranking in insolvency (master scale)</v>
      </c>
      <c r="H112" s="2" t="str">
        <f>IF(D113&lt;10,"PTXSTJOM"&amp;"000"&amp;D113,IF(AND(D113&gt;=10,D113&lt;=100),"PTXSTJOM"&amp;"00"&amp;D113,IF(D113&gt;=100,"PTXSTJOM"&amp;"0"&amp;D113)))</f>
        <v>PTXSTJOM0106</v>
      </c>
      <c r="I112" s="2" t="str">
        <f t="shared" si="6"/>
        <v>M0106</v>
      </c>
      <c r="J112" s="2" t="s">
        <v>71</v>
      </c>
      <c r="K112" s="2" t="s">
        <v>72</v>
      </c>
      <c r="L112" s="2" t="s">
        <v>77</v>
      </c>
      <c r="M112" s="19">
        <v>157610.89284217998</v>
      </c>
      <c r="N112" s="2">
        <v>17.915512</v>
      </c>
      <c r="O112" s="2">
        <v>0.05</v>
      </c>
      <c r="P112" s="2" t="s">
        <v>70</v>
      </c>
      <c r="Q112" s="2">
        <v>0</v>
      </c>
      <c r="R112" s="2"/>
      <c r="S112" s="15" t="str">
        <f t="shared" si="9"/>
        <v>2022-12-31</v>
      </c>
      <c r="T112" s="4">
        <f t="shared" si="7"/>
        <v>44928</v>
      </c>
      <c r="U112" s="18">
        <v>0</v>
      </c>
    </row>
    <row r="113" spans="3:21" ht="33.75" customHeight="1" thickBot="1" x14ac:dyDescent="0.5">
      <c r="C113" s="5">
        <f t="shared" si="8"/>
        <v>999</v>
      </c>
      <c r="D113" s="2">
        <f>IF(E112="","",D112+1)</f>
        <v>106</v>
      </c>
      <c r="E113" s="2" t="str">
        <f t="shared" si="10"/>
        <v>r0310 - Deposits, not covered but preferential (BRRD art. 108)</v>
      </c>
      <c r="F113" s="2" t="s">
        <v>63</v>
      </c>
      <c r="G113" s="2" t="str">
        <f t="shared" si="5"/>
        <v>Rank 13 - Ranking in insolvency (master scale)</v>
      </c>
      <c r="H113" s="2" t="str">
        <f>IF(D114&lt;10,"PTXSTJOM"&amp;"000"&amp;D114,IF(AND(D114&gt;=10,D114&lt;=100),"PTXSTJOM"&amp;"00"&amp;D114,IF(D114&gt;=100,"PTXSTJOM"&amp;"0"&amp;D114)))</f>
        <v>PTXSTJOM0107</v>
      </c>
      <c r="I113" s="2" t="str">
        <f t="shared" si="6"/>
        <v>M0107</v>
      </c>
      <c r="J113" s="2" t="s">
        <v>71</v>
      </c>
      <c r="K113" s="2" t="s">
        <v>72</v>
      </c>
      <c r="L113" s="2" t="s">
        <v>78</v>
      </c>
      <c r="M113" s="19">
        <v>387.00633299999998</v>
      </c>
      <c r="N113" s="2">
        <v>0</v>
      </c>
      <c r="O113" s="2"/>
      <c r="P113" s="2" t="s">
        <v>70</v>
      </c>
      <c r="Q113" s="2">
        <v>0</v>
      </c>
      <c r="R113" s="2"/>
      <c r="S113" s="15" t="str">
        <f t="shared" si="9"/>
        <v>2022-12-31</v>
      </c>
      <c r="T113" s="4">
        <f t="shared" si="7"/>
        <v>44928</v>
      </c>
      <c r="U113" s="18">
        <v>0</v>
      </c>
    </row>
    <row r="114" spans="3:21" ht="33.75" customHeight="1" thickBot="1" x14ac:dyDescent="0.5">
      <c r="C114" s="5">
        <f t="shared" si="8"/>
        <v>999</v>
      </c>
      <c r="D114" s="2">
        <f>IF(E113="","",D113+1)</f>
        <v>107</v>
      </c>
      <c r="E114" s="2" t="str">
        <f t="shared" si="10"/>
        <v>r0310 - Deposits, not covered but preferential (BRRD art. 108)</v>
      </c>
      <c r="F114" s="2" t="s">
        <v>63</v>
      </c>
      <c r="G114" s="2" t="str">
        <f t="shared" si="5"/>
        <v>Rank 13 - Ranking in insolvency (master scale)</v>
      </c>
      <c r="H114" s="2" t="str">
        <f>IF(D115&lt;10,"PTXSTJOM"&amp;"000"&amp;D115,IF(AND(D115&gt;=10,D115&lt;=100),"PTXSTJOM"&amp;"00"&amp;D115,IF(D115&gt;=100,"PTXSTJOM"&amp;"0"&amp;D115)))</f>
        <v>PTXSTJOM0108</v>
      </c>
      <c r="I114" s="2" t="str">
        <f t="shared" si="6"/>
        <v>M0108</v>
      </c>
      <c r="J114" s="2" t="s">
        <v>71</v>
      </c>
      <c r="K114" s="2" t="s">
        <v>72</v>
      </c>
      <c r="L114" s="2" t="s">
        <v>79</v>
      </c>
      <c r="M114" s="19">
        <v>2.6900000000000001E-3</v>
      </c>
      <c r="N114" s="2">
        <v>0</v>
      </c>
      <c r="O114" s="2"/>
      <c r="P114" s="2" t="s">
        <v>70</v>
      </c>
      <c r="Q114" s="2">
        <v>0</v>
      </c>
      <c r="R114" s="2"/>
      <c r="S114" s="15" t="str">
        <f t="shared" si="9"/>
        <v>2022-12-31</v>
      </c>
      <c r="T114" s="4">
        <f t="shared" si="7"/>
        <v>44928</v>
      </c>
      <c r="U114" s="18">
        <v>0</v>
      </c>
    </row>
    <row r="115" spans="3:21" ht="33.75" customHeight="1" thickBot="1" x14ac:dyDescent="0.5">
      <c r="C115" s="5">
        <f t="shared" si="8"/>
        <v>999</v>
      </c>
      <c r="D115" s="2">
        <f>IF(E114="","",D114+1)</f>
        <v>108</v>
      </c>
      <c r="E115" s="2" t="str">
        <f t="shared" si="10"/>
        <v>r0310 - Deposits, not covered but preferential (BRRD art. 108)</v>
      </c>
      <c r="F115" s="2" t="s">
        <v>63</v>
      </c>
      <c r="G115" s="2" t="str">
        <f t="shared" si="5"/>
        <v>Rank 13 - Ranking in insolvency (master scale)</v>
      </c>
      <c r="H115" s="2" t="str">
        <f>IF(D116&lt;10,"PTXSTJOM"&amp;"000"&amp;D116,IF(AND(D116&gt;=10,D116&lt;=100),"PTXSTJOM"&amp;"00"&amp;D116,IF(D116&gt;=100,"PTXSTJOM"&amp;"0"&amp;D116)))</f>
        <v>PTXSTJOM0109</v>
      </c>
      <c r="I115" s="2" t="str">
        <f t="shared" si="6"/>
        <v>M0109</v>
      </c>
      <c r="J115" s="2" t="s">
        <v>71</v>
      </c>
      <c r="K115" s="2" t="s">
        <v>72</v>
      </c>
      <c r="L115" s="2" t="s">
        <v>80</v>
      </c>
      <c r="M115" s="19">
        <v>-7.299999999998974E-4</v>
      </c>
      <c r="N115" s="2">
        <v>0</v>
      </c>
      <c r="O115" s="2"/>
      <c r="P115" s="2" t="s">
        <v>70</v>
      </c>
      <c r="Q115" s="2">
        <v>0</v>
      </c>
      <c r="R115" s="2"/>
      <c r="S115" s="15" t="str">
        <f t="shared" si="9"/>
        <v>2022-12-31</v>
      </c>
      <c r="T115" s="4">
        <f t="shared" si="7"/>
        <v>44928</v>
      </c>
      <c r="U115" s="18">
        <v>0</v>
      </c>
    </row>
    <row r="116" spans="3:21" ht="33.75" customHeight="1" thickBot="1" x14ac:dyDescent="0.5">
      <c r="C116" s="5">
        <f t="shared" si="8"/>
        <v>999</v>
      </c>
      <c r="D116" s="2">
        <f>IF(E115="","",D115+1)</f>
        <v>109</v>
      </c>
      <c r="E116" s="2" t="str">
        <f t="shared" si="10"/>
        <v>r0310 - Deposits, not covered but preferential (BRRD art. 108)</v>
      </c>
      <c r="F116" s="2" t="s">
        <v>63</v>
      </c>
      <c r="G116" s="2" t="str">
        <f t="shared" si="5"/>
        <v>Rank 13 - Ranking in insolvency (master scale)</v>
      </c>
      <c r="H116" s="2" t="str">
        <f>IF(D117&lt;10,"PTXSTJOM"&amp;"000"&amp;D117,IF(AND(D117&gt;=10,D117&lt;=100),"PTXSTJOM"&amp;"00"&amp;D117,IF(D117&gt;=100,"PTXSTJOM"&amp;"0"&amp;D117)))</f>
        <v>PTXSTJOM0110</v>
      </c>
      <c r="I116" s="2" t="str">
        <f t="shared" si="6"/>
        <v>M0110</v>
      </c>
      <c r="J116" s="2" t="s">
        <v>71</v>
      </c>
      <c r="K116" s="2" t="s">
        <v>72</v>
      </c>
      <c r="L116" s="2" t="s">
        <v>82</v>
      </c>
      <c r="M116" s="19">
        <v>4.7549999999999997E-3</v>
      </c>
      <c r="N116" s="2">
        <v>0</v>
      </c>
      <c r="O116" s="2"/>
      <c r="P116" s="2" t="s">
        <v>70</v>
      </c>
      <c r="Q116" s="2">
        <v>0</v>
      </c>
      <c r="R116" s="2"/>
      <c r="S116" s="15" t="str">
        <f t="shared" si="9"/>
        <v>2022-12-31</v>
      </c>
      <c r="T116" s="4">
        <f t="shared" si="7"/>
        <v>44928</v>
      </c>
      <c r="U116" s="18">
        <v>0</v>
      </c>
    </row>
    <row r="117" spans="3:21" ht="33.75" customHeight="1" thickBot="1" x14ac:dyDescent="0.5">
      <c r="C117" s="5">
        <f t="shared" si="8"/>
        <v>999</v>
      </c>
      <c r="D117" s="2">
        <f>IF(E116="","",D116+1)</f>
        <v>110</v>
      </c>
      <c r="E117" s="2" t="str">
        <f t="shared" si="10"/>
        <v>r0310 - Deposits, not covered but preferential (BRRD art. 108)</v>
      </c>
      <c r="F117" s="2" t="s">
        <v>63</v>
      </c>
      <c r="G117" s="2" t="str">
        <f t="shared" si="5"/>
        <v>Rank 13 - Ranking in insolvency (master scale)</v>
      </c>
      <c r="H117" s="2" t="str">
        <f>IF(D118&lt;10,"PTXSTJOM"&amp;"000"&amp;D118,IF(AND(D118&gt;=10,D118&lt;=100),"PTXSTJOM"&amp;"00"&amp;D118,IF(D118&gt;=100,"PTXSTJOM"&amp;"0"&amp;D118)))</f>
        <v>PTXSTJOM0111</v>
      </c>
      <c r="I117" s="2" t="str">
        <f t="shared" si="6"/>
        <v>M0111</v>
      </c>
      <c r="J117" s="2" t="s">
        <v>71</v>
      </c>
      <c r="K117" s="2" t="s">
        <v>72</v>
      </c>
      <c r="L117" s="2" t="s">
        <v>83</v>
      </c>
      <c r="M117" s="19">
        <v>-4.3820000000209802E-3</v>
      </c>
      <c r="N117" s="2">
        <v>0</v>
      </c>
      <c r="O117" s="2"/>
      <c r="P117" s="2" t="s">
        <v>70</v>
      </c>
      <c r="Q117" s="2">
        <v>0</v>
      </c>
      <c r="R117" s="2"/>
      <c r="S117" s="15" t="str">
        <f t="shared" si="9"/>
        <v>2022-12-31</v>
      </c>
      <c r="T117" s="4">
        <f t="shared" si="7"/>
        <v>44928</v>
      </c>
      <c r="U117" s="18">
        <v>0</v>
      </c>
    </row>
    <row r="118" spans="3:21" ht="33.75" customHeight="1" thickBot="1" x14ac:dyDescent="0.5">
      <c r="C118" s="5">
        <f t="shared" si="8"/>
        <v>999</v>
      </c>
      <c r="D118" s="2">
        <f>IF(E117="","",D117+1)</f>
        <v>111</v>
      </c>
      <c r="E118" s="2" t="str">
        <f t="shared" si="10"/>
        <v>r0310 - Deposits, not covered but preferential (BRRD art. 108)</v>
      </c>
      <c r="F118" s="2" t="s">
        <v>63</v>
      </c>
      <c r="G118" s="2" t="str">
        <f t="shared" si="5"/>
        <v>Rank 13 - Ranking in insolvency (master scale)</v>
      </c>
      <c r="H118" s="2" t="str">
        <f>IF(D119&lt;10,"PTXSTJOM"&amp;"000"&amp;D119,IF(AND(D119&gt;=10,D119&lt;=100),"PTXSTJOM"&amp;"00"&amp;D119,IF(D119&gt;=100,"PTXSTJOM"&amp;"0"&amp;D119)))</f>
        <v>PTXSTJOM0112</v>
      </c>
      <c r="I118" s="2" t="str">
        <f t="shared" si="6"/>
        <v>M0112</v>
      </c>
      <c r="J118" s="2" t="s">
        <v>71</v>
      </c>
      <c r="K118" s="2" t="s">
        <v>72</v>
      </c>
      <c r="L118" s="2" t="s">
        <v>84</v>
      </c>
      <c r="M118" s="19">
        <v>6.8129999999655411E-3</v>
      </c>
      <c r="N118" s="2">
        <v>0</v>
      </c>
      <c r="O118" s="2"/>
      <c r="P118" s="2" t="s">
        <v>70</v>
      </c>
      <c r="Q118" s="2">
        <v>0</v>
      </c>
      <c r="R118" s="2"/>
      <c r="S118" s="15" t="str">
        <f t="shared" si="9"/>
        <v>2022-12-31</v>
      </c>
      <c r="T118" s="4">
        <f t="shared" si="7"/>
        <v>44928</v>
      </c>
      <c r="U118" s="18">
        <v>0</v>
      </c>
    </row>
    <row r="119" spans="3:21" ht="33.75" customHeight="1" thickBot="1" x14ac:dyDescent="0.5">
      <c r="C119" s="5">
        <f t="shared" si="8"/>
        <v>999</v>
      </c>
      <c r="D119" s="2">
        <f>IF(E118="","",D118+1)</f>
        <v>112</v>
      </c>
      <c r="E119" s="2" t="str">
        <f t="shared" si="10"/>
        <v>r0310 - Deposits, not covered but preferential (BRRD art. 108)</v>
      </c>
      <c r="F119" s="2" t="s">
        <v>63</v>
      </c>
      <c r="G119" s="2" t="str">
        <f t="shared" si="5"/>
        <v>Rank 13 - Ranking in insolvency (master scale)</v>
      </c>
      <c r="H119" s="2" t="str">
        <f>IF(D120&lt;10,"PTXSTJOM"&amp;"000"&amp;D120,IF(AND(D120&gt;=10,D120&lt;=100),"PTXSTJOM"&amp;"00"&amp;D120,IF(D120&gt;=100,"PTXSTJOM"&amp;"0"&amp;D120)))</f>
        <v>PTXSTJOM0113</v>
      </c>
      <c r="I119" s="2" t="str">
        <f t="shared" si="6"/>
        <v>M0113</v>
      </c>
      <c r="J119" s="2" t="s">
        <v>71</v>
      </c>
      <c r="K119" s="2" t="s">
        <v>72</v>
      </c>
      <c r="L119" s="2" t="s">
        <v>85</v>
      </c>
      <c r="M119" s="19">
        <v>106667.90454950999</v>
      </c>
      <c r="N119" s="2">
        <v>50.299584000000003</v>
      </c>
      <c r="O119" s="2">
        <v>0.05</v>
      </c>
      <c r="P119" s="2" t="s">
        <v>70</v>
      </c>
      <c r="Q119" s="2">
        <v>0</v>
      </c>
      <c r="R119" s="2"/>
      <c r="S119" s="15" t="str">
        <f t="shared" si="9"/>
        <v>2022-12-31</v>
      </c>
      <c r="T119" s="4">
        <f t="shared" si="7"/>
        <v>44928</v>
      </c>
      <c r="U119" s="18">
        <v>0</v>
      </c>
    </row>
    <row r="120" spans="3:21" ht="33.75" customHeight="1" thickBot="1" x14ac:dyDescent="0.5">
      <c r="C120" s="5">
        <f t="shared" si="8"/>
        <v>999</v>
      </c>
      <c r="D120" s="2">
        <f>IF(E119="","",D119+1)</f>
        <v>113</v>
      </c>
      <c r="E120" s="2" t="str">
        <f t="shared" si="10"/>
        <v>r0310 - Deposits, not covered but preferential (BRRD art. 108)</v>
      </c>
      <c r="F120" s="2" t="s">
        <v>63</v>
      </c>
      <c r="G120" s="2" t="str">
        <f t="shared" si="5"/>
        <v>Rank 13 - Ranking in insolvency (master scale)</v>
      </c>
      <c r="H120" s="2" t="str">
        <f>IF(D121&lt;10,"PTXSTJOM"&amp;"000"&amp;D121,IF(AND(D121&gt;=10,D121&lt;=100),"PTXSTJOM"&amp;"00"&amp;D121,IF(D121&gt;=100,"PTXSTJOM"&amp;"0"&amp;D121)))</f>
        <v>PTXSTJOM0114</v>
      </c>
      <c r="I120" s="2" t="str">
        <f t="shared" si="6"/>
        <v>M0114</v>
      </c>
      <c r="J120" s="2" t="s">
        <v>71</v>
      </c>
      <c r="K120" s="2" t="s">
        <v>72</v>
      </c>
      <c r="L120" s="2" t="s">
        <v>86</v>
      </c>
      <c r="M120" s="19">
        <v>4502209.58122133</v>
      </c>
      <c r="N120" s="2">
        <v>157.453237</v>
      </c>
      <c r="O120" s="2">
        <v>0.05</v>
      </c>
      <c r="P120" s="2" t="s">
        <v>70</v>
      </c>
      <c r="Q120" s="2">
        <v>0</v>
      </c>
      <c r="R120" s="2"/>
      <c r="S120" s="15" t="str">
        <f t="shared" si="9"/>
        <v>2022-12-31</v>
      </c>
      <c r="T120" s="4">
        <f t="shared" si="7"/>
        <v>44928</v>
      </c>
      <c r="U120" s="18">
        <v>0</v>
      </c>
    </row>
    <row r="121" spans="3:21" ht="33.75" customHeight="1" thickBot="1" x14ac:dyDescent="0.5">
      <c r="C121" s="5">
        <f t="shared" si="8"/>
        <v>999</v>
      </c>
      <c r="D121" s="2">
        <f>IF(E120="","",D120+1)</f>
        <v>114</v>
      </c>
      <c r="E121" s="2" t="str">
        <f t="shared" si="10"/>
        <v>r0310 - Deposits, not covered but preferential (BRRD art. 108)</v>
      </c>
      <c r="F121" s="2" t="s">
        <v>63</v>
      </c>
      <c r="G121" s="2" t="str">
        <f t="shared" si="5"/>
        <v>Rank 13 - Ranking in insolvency (master scale)</v>
      </c>
      <c r="H121" s="2" t="str">
        <f>IF(D122&lt;10,"PTXSTJOM"&amp;"000"&amp;D122,IF(AND(D122&gt;=10,D122&lt;=100),"PTXSTJOM"&amp;"00"&amp;D122,IF(D122&gt;=100,"PTXSTJOM"&amp;"0"&amp;D122)))</f>
        <v>PTXSTJOM0115</v>
      </c>
      <c r="I121" s="2" t="str">
        <f t="shared" si="6"/>
        <v>M0115</v>
      </c>
      <c r="J121" s="2" t="s">
        <v>71</v>
      </c>
      <c r="K121" s="2" t="s">
        <v>72</v>
      </c>
      <c r="L121" s="2" t="s">
        <v>87</v>
      </c>
      <c r="M121" s="19">
        <v>140146637.23474634</v>
      </c>
      <c r="N121" s="2">
        <v>309027.47984300001</v>
      </c>
      <c r="O121" s="2">
        <v>0.63012999999999997</v>
      </c>
      <c r="P121" s="2" t="s">
        <v>70</v>
      </c>
      <c r="Q121" s="2">
        <v>0</v>
      </c>
      <c r="R121" s="2"/>
      <c r="S121" s="15" t="str">
        <f t="shared" si="9"/>
        <v>2022-12-31</v>
      </c>
      <c r="T121" s="4">
        <f t="shared" si="7"/>
        <v>44928</v>
      </c>
      <c r="U121" s="18">
        <v>0</v>
      </c>
    </row>
    <row r="122" spans="3:21" ht="33.75" customHeight="1" thickBot="1" x14ac:dyDescent="0.5">
      <c r="C122" s="5">
        <f t="shared" si="8"/>
        <v>999</v>
      </c>
      <c r="D122" s="2">
        <f>IF(E121="","",D121+1)</f>
        <v>115</v>
      </c>
      <c r="E122" s="2" t="str">
        <f t="shared" si="10"/>
        <v>r0310 - Deposits, not covered but preferential (BRRD art. 108)</v>
      </c>
      <c r="F122" s="2" t="s">
        <v>63</v>
      </c>
      <c r="G122" s="2" t="str">
        <f t="shared" si="5"/>
        <v>Rank 13 - Ranking in insolvency (master scale)</v>
      </c>
      <c r="H122" s="2" t="str">
        <f>IF(D123&lt;10,"PTXSTJOM"&amp;"000"&amp;D123,IF(AND(D123&gt;=10,D123&lt;=100),"PTXSTJOM"&amp;"00"&amp;D123,IF(D123&gt;=100,"PTXSTJOM"&amp;"0"&amp;D123)))</f>
        <v>PTXSTJOM0116</v>
      </c>
      <c r="I122" s="2" t="str">
        <f t="shared" si="6"/>
        <v>M0116</v>
      </c>
      <c r="J122" s="2" t="s">
        <v>71</v>
      </c>
      <c r="K122" s="2" t="s">
        <v>72</v>
      </c>
      <c r="L122" s="2" t="s">
        <v>88</v>
      </c>
      <c r="M122" s="19">
        <v>4818201139.8752995</v>
      </c>
      <c r="N122" s="2">
        <v>87730.17</v>
      </c>
      <c r="O122" s="2">
        <v>2.1399999999999999E-2</v>
      </c>
      <c r="P122" s="2" t="s">
        <v>70</v>
      </c>
      <c r="Q122" s="2">
        <v>0</v>
      </c>
      <c r="R122" s="2"/>
      <c r="S122" s="15" t="str">
        <f t="shared" si="9"/>
        <v>2022-12-31</v>
      </c>
      <c r="T122" s="4">
        <f t="shared" si="7"/>
        <v>44928</v>
      </c>
      <c r="U122" s="18">
        <v>0</v>
      </c>
    </row>
    <row r="123" spans="3:21" ht="33.75" customHeight="1" thickBot="1" x14ac:dyDescent="0.5">
      <c r="C123" s="5">
        <f t="shared" si="8"/>
        <v>999</v>
      </c>
      <c r="D123" s="2">
        <f>IF(E122="","",D122+1)</f>
        <v>116</v>
      </c>
      <c r="E123" s="2" t="str">
        <f t="shared" si="10"/>
        <v>r0310 - Deposits, not covered but preferential (BRRD art. 108)</v>
      </c>
      <c r="F123" s="2" t="s">
        <v>63</v>
      </c>
      <c r="G123" s="2" t="str">
        <f t="shared" si="5"/>
        <v>Rank 13 - Ranking in insolvency (master scale)</v>
      </c>
      <c r="H123" s="2" t="str">
        <f>IF(D124&lt;10,"PTXSTJOM"&amp;"000"&amp;D124,IF(AND(D124&gt;=10,D124&lt;=100),"PTXSTJOM"&amp;"00"&amp;D124,IF(D124&gt;=100,"PTXSTJOM"&amp;"0"&amp;D124)))</f>
        <v>PTXSTJOM0117</v>
      </c>
      <c r="I123" s="2" t="str">
        <f t="shared" si="6"/>
        <v>M0117</v>
      </c>
      <c r="J123" s="2" t="s">
        <v>71</v>
      </c>
      <c r="K123" s="2" t="s">
        <v>72</v>
      </c>
      <c r="L123" s="2" t="s">
        <v>89</v>
      </c>
      <c r="M123" s="19">
        <v>141127.284843</v>
      </c>
      <c r="N123" s="2">
        <v>0</v>
      </c>
      <c r="O123" s="2"/>
      <c r="P123" s="2" t="s">
        <v>70</v>
      </c>
      <c r="Q123" s="2">
        <v>0</v>
      </c>
      <c r="R123" s="2"/>
      <c r="S123" s="15" t="str">
        <f t="shared" si="9"/>
        <v>2022-12-31</v>
      </c>
      <c r="T123" s="4">
        <f t="shared" si="7"/>
        <v>44928</v>
      </c>
      <c r="U123" s="18">
        <v>0</v>
      </c>
    </row>
    <row r="124" spans="3:21" ht="33.75" customHeight="1" thickBot="1" x14ac:dyDescent="0.5">
      <c r="C124" s="5">
        <f t="shared" si="8"/>
        <v>999</v>
      </c>
      <c r="D124" s="2">
        <f>IF(E123="","",D123+1)</f>
        <v>117</v>
      </c>
      <c r="E124" s="2" t="str">
        <f t="shared" si="10"/>
        <v>r0320 - Deposits, not covered and not preferential</v>
      </c>
      <c r="F124" s="2" t="s">
        <v>64</v>
      </c>
      <c r="G124" s="2" t="str">
        <f t="shared" si="5"/>
        <v>Rank 12 - Ranking in insolvency (master scale)</v>
      </c>
      <c r="H124" s="2" t="str">
        <f>IF(D125&lt;10,"PTXSTJOM"&amp;"000"&amp;D125,IF(AND(D125&gt;=10,D125&lt;=100),"PTXSTJOM"&amp;"00"&amp;D125,IF(D125&gt;=100,"PTXSTJOM"&amp;"0"&amp;D125)))</f>
        <v>PTXSTJOM0118</v>
      </c>
      <c r="I124" s="2" t="str">
        <f t="shared" si="6"/>
        <v>M0118</v>
      </c>
      <c r="J124" s="2" t="s">
        <v>71</v>
      </c>
      <c r="K124" s="2" t="s">
        <v>72</v>
      </c>
      <c r="L124" s="2" t="s">
        <v>76</v>
      </c>
      <c r="M124" s="19">
        <v>438219.87510399998</v>
      </c>
      <c r="N124" s="2">
        <v>0</v>
      </c>
      <c r="O124" s="2"/>
      <c r="P124" s="2" t="s">
        <v>70</v>
      </c>
      <c r="Q124" s="2">
        <v>0</v>
      </c>
      <c r="R124" s="2"/>
      <c r="S124" s="15" t="str">
        <f t="shared" si="9"/>
        <v>2022-12-31</v>
      </c>
      <c r="T124" s="4">
        <f t="shared" si="7"/>
        <v>44928</v>
      </c>
      <c r="U124" s="18">
        <v>0</v>
      </c>
    </row>
    <row r="125" spans="3:21" ht="33.75" customHeight="1" thickBot="1" x14ac:dyDescent="0.5">
      <c r="C125" s="5">
        <f t="shared" si="8"/>
        <v>999</v>
      </c>
      <c r="D125" s="2">
        <f>IF(E124="","",D124+1)</f>
        <v>118</v>
      </c>
      <c r="E125" s="2" t="str">
        <f t="shared" si="10"/>
        <v>r0320 - Deposits, not covered and not preferential</v>
      </c>
      <c r="F125" s="2" t="s">
        <v>64</v>
      </c>
      <c r="G125" s="2" t="str">
        <f t="shared" si="5"/>
        <v>Rank 12 - Ranking in insolvency (master scale)</v>
      </c>
      <c r="H125" s="2" t="str">
        <f>IF(D126&lt;10,"PTXSTJOM"&amp;"000"&amp;D126,IF(AND(D126&gt;=10,D126&lt;=100),"PTXSTJOM"&amp;"00"&amp;D126,IF(D126&gt;=100,"PTXSTJOM"&amp;"0"&amp;D126)))</f>
        <v>PTXSTJOM0119</v>
      </c>
      <c r="I125" s="2" t="str">
        <f t="shared" si="6"/>
        <v>M0119</v>
      </c>
      <c r="J125" s="2" t="s">
        <v>71</v>
      </c>
      <c r="K125" s="2" t="s">
        <v>72</v>
      </c>
      <c r="L125" s="2" t="s">
        <v>77</v>
      </c>
      <c r="M125" s="19">
        <v>4940937.52289165</v>
      </c>
      <c r="N125" s="2">
        <v>2031.391967</v>
      </c>
      <c r="O125" s="2">
        <v>2</v>
      </c>
      <c r="P125" s="2" t="s">
        <v>70</v>
      </c>
      <c r="Q125" s="2">
        <v>0</v>
      </c>
      <c r="R125" s="2"/>
      <c r="S125" s="15" t="str">
        <f t="shared" si="9"/>
        <v>2022-12-31</v>
      </c>
      <c r="T125" s="4">
        <f t="shared" si="7"/>
        <v>44928</v>
      </c>
      <c r="U125" s="18">
        <v>0</v>
      </c>
    </row>
    <row r="126" spans="3:21" ht="33.75" customHeight="1" thickBot="1" x14ac:dyDescent="0.5">
      <c r="C126" s="5">
        <f t="shared" si="8"/>
        <v>999</v>
      </c>
      <c r="D126" s="2">
        <f>IF(E125="","",D125+1)</f>
        <v>119</v>
      </c>
      <c r="E126" s="2" t="str">
        <f t="shared" si="10"/>
        <v>r0320 - Deposits, not covered and not preferential</v>
      </c>
      <c r="F126" s="2" t="s">
        <v>64</v>
      </c>
      <c r="G126" s="2" t="str">
        <f t="shared" si="5"/>
        <v>Rank 12 - Ranking in insolvency (master scale)</v>
      </c>
      <c r="H126" s="2" t="str">
        <f>IF(D127&lt;10,"PTXSTJOM"&amp;"000"&amp;D127,IF(AND(D127&gt;=10,D127&lt;=100),"PTXSTJOM"&amp;"00"&amp;D127,IF(D127&gt;=100,"PTXSTJOM"&amp;"0"&amp;D127)))</f>
        <v>PTXSTJOM0120</v>
      </c>
      <c r="I126" s="2" t="str">
        <f t="shared" si="6"/>
        <v>M0120</v>
      </c>
      <c r="J126" s="2" t="s">
        <v>71</v>
      </c>
      <c r="K126" s="2" t="s">
        <v>72</v>
      </c>
      <c r="L126" s="2" t="s">
        <v>78</v>
      </c>
      <c r="M126" s="19">
        <v>202754.885706</v>
      </c>
      <c r="N126" s="2">
        <v>0</v>
      </c>
      <c r="O126" s="2"/>
      <c r="P126" s="2" t="s">
        <v>70</v>
      </c>
      <c r="Q126" s="2">
        <v>0</v>
      </c>
      <c r="R126" s="2"/>
      <c r="S126" s="15" t="str">
        <f t="shared" si="9"/>
        <v>2022-12-31</v>
      </c>
      <c r="T126" s="4">
        <f t="shared" si="7"/>
        <v>44928</v>
      </c>
      <c r="U126" s="18">
        <v>0</v>
      </c>
    </row>
    <row r="127" spans="3:21" ht="33.75" customHeight="1" thickBot="1" x14ac:dyDescent="0.5">
      <c r="C127" s="5">
        <f t="shared" si="8"/>
        <v>999</v>
      </c>
      <c r="D127" s="2">
        <f>IF(E126="","",D126+1)</f>
        <v>120</v>
      </c>
      <c r="E127" s="2" t="str">
        <f t="shared" si="10"/>
        <v>r0320 - Deposits, not covered and not preferential</v>
      </c>
      <c r="F127" s="2" t="s">
        <v>64</v>
      </c>
      <c r="G127" s="2" t="str">
        <f t="shared" si="5"/>
        <v>Rank 12 - Ranking in insolvency (master scale)</v>
      </c>
      <c r="H127" s="2" t="str">
        <f>IF(D128&lt;10,"PTXSTJOM"&amp;"000"&amp;D128,IF(AND(D128&gt;=10,D128&lt;=100),"PTXSTJOM"&amp;"00"&amp;D128,IF(D128&gt;=100,"PTXSTJOM"&amp;"0"&amp;D128)))</f>
        <v>PTXSTJOM0121</v>
      </c>
      <c r="I127" s="2" t="str">
        <f t="shared" si="6"/>
        <v>M0121</v>
      </c>
      <c r="J127" s="2" t="s">
        <v>71</v>
      </c>
      <c r="K127" s="2" t="s">
        <v>72</v>
      </c>
      <c r="L127" s="2" t="s">
        <v>79</v>
      </c>
      <c r="M127" s="19">
        <v>34.904860999999997</v>
      </c>
      <c r="N127" s="2">
        <v>0.10623299999999999</v>
      </c>
      <c r="O127" s="2">
        <v>1.54698</v>
      </c>
      <c r="P127" s="2" t="s">
        <v>70</v>
      </c>
      <c r="Q127" s="2">
        <v>0</v>
      </c>
      <c r="R127" s="2"/>
      <c r="S127" s="15" t="str">
        <f t="shared" si="9"/>
        <v>2022-12-31</v>
      </c>
      <c r="T127" s="4">
        <f t="shared" si="7"/>
        <v>44928</v>
      </c>
      <c r="U127" s="18">
        <v>0</v>
      </c>
    </row>
    <row r="128" spans="3:21" ht="33.75" customHeight="1" thickBot="1" x14ac:dyDescent="0.5">
      <c r="C128" s="5">
        <f t="shared" si="8"/>
        <v>999</v>
      </c>
      <c r="D128" s="2">
        <f>IF(E127="","",D127+1)</f>
        <v>121</v>
      </c>
      <c r="E128" s="2" t="str">
        <f t="shared" si="10"/>
        <v>r0320 - Deposits, not covered and not preferential</v>
      </c>
      <c r="F128" s="2" t="s">
        <v>64</v>
      </c>
      <c r="G128" s="2" t="str">
        <f t="shared" si="5"/>
        <v>Rank 12 - Ranking in insolvency (master scale)</v>
      </c>
      <c r="H128" s="2" t="str">
        <f>IF(D129&lt;10,"PTXSTJOM"&amp;"000"&amp;D129,IF(AND(D129&gt;=10,D129&lt;=100),"PTXSTJOM"&amp;"00"&amp;D129,IF(D129&gt;=100,"PTXSTJOM"&amp;"0"&amp;D129)))</f>
        <v>PTXSTJOM0122</v>
      </c>
      <c r="I128" s="2" t="str">
        <f t="shared" si="6"/>
        <v>M0122</v>
      </c>
      <c r="J128" s="2" t="s">
        <v>71</v>
      </c>
      <c r="K128" s="2" t="s">
        <v>72</v>
      </c>
      <c r="L128" s="2" t="s">
        <v>80</v>
      </c>
      <c r="M128" s="19">
        <v>13716.704038</v>
      </c>
      <c r="N128" s="2">
        <v>0</v>
      </c>
      <c r="O128" s="2"/>
      <c r="P128" s="2" t="s">
        <v>70</v>
      </c>
      <c r="Q128" s="2">
        <v>0</v>
      </c>
      <c r="R128" s="2"/>
      <c r="S128" s="15" t="str">
        <f t="shared" si="9"/>
        <v>2022-12-31</v>
      </c>
      <c r="T128" s="4">
        <f t="shared" si="7"/>
        <v>44928</v>
      </c>
      <c r="U128" s="18">
        <v>0</v>
      </c>
    </row>
    <row r="129" spans="3:21" ht="33.75" customHeight="1" thickBot="1" x14ac:dyDescent="0.5">
      <c r="C129" s="5">
        <f t="shared" si="8"/>
        <v>999</v>
      </c>
      <c r="D129" s="2">
        <f>IF(E128="","",D128+1)</f>
        <v>122</v>
      </c>
      <c r="E129" s="2" t="str">
        <f t="shared" si="10"/>
        <v>r0320 - Deposits, not covered and not preferential</v>
      </c>
      <c r="F129" s="2" t="s">
        <v>64</v>
      </c>
      <c r="G129" s="2" t="str">
        <f t="shared" si="5"/>
        <v>Rank 12 - Ranking in insolvency (master scale)</v>
      </c>
      <c r="H129" s="2" t="str">
        <f>IF(D130&lt;10,"PTXSTJOM"&amp;"000"&amp;D130,IF(AND(D130&gt;=10,D130&lt;=100),"PTXSTJOM"&amp;"00"&amp;D130,IF(D130&gt;=100,"PTXSTJOM"&amp;"0"&amp;D130)))</f>
        <v>PTXSTJOM0123</v>
      </c>
      <c r="I129" s="2" t="str">
        <f t="shared" si="6"/>
        <v>M0123</v>
      </c>
      <c r="J129" s="2" t="s">
        <v>71</v>
      </c>
      <c r="K129" s="2" t="s">
        <v>72</v>
      </c>
      <c r="L129" s="2" t="s">
        <v>81</v>
      </c>
      <c r="M129" s="19">
        <v>4.84E-4</v>
      </c>
      <c r="N129" s="2">
        <v>0</v>
      </c>
      <c r="O129" s="2"/>
      <c r="P129" s="2" t="s">
        <v>70</v>
      </c>
      <c r="Q129" s="2">
        <v>0</v>
      </c>
      <c r="R129" s="2"/>
      <c r="S129" s="15" t="str">
        <f t="shared" si="9"/>
        <v>2022-12-31</v>
      </c>
      <c r="T129" s="4">
        <f t="shared" si="7"/>
        <v>44928</v>
      </c>
      <c r="U129" s="18">
        <v>0</v>
      </c>
    </row>
    <row r="130" spans="3:21" ht="33.75" customHeight="1" thickBot="1" x14ac:dyDescent="0.5">
      <c r="C130" s="5">
        <f t="shared" si="8"/>
        <v>999</v>
      </c>
      <c r="D130" s="2">
        <f>IF(E129="","",D129+1)</f>
        <v>123</v>
      </c>
      <c r="E130" s="2" t="str">
        <f t="shared" si="10"/>
        <v>r0320 - Deposits, not covered and not preferential</v>
      </c>
      <c r="F130" s="2" t="s">
        <v>64</v>
      </c>
      <c r="G130" s="2" t="str">
        <f t="shared" si="5"/>
        <v>Rank 12 - Ranking in insolvency (master scale)</v>
      </c>
      <c r="H130" s="2" t="str">
        <f>IF(D131&lt;10,"PTXSTJOM"&amp;"000"&amp;D131,IF(AND(D131&gt;=10,D131&lt;=100),"PTXSTJOM"&amp;"00"&amp;D131,IF(D131&gt;=100,"PTXSTJOM"&amp;"0"&amp;D131)))</f>
        <v>PTXSTJOM0124</v>
      </c>
      <c r="I130" s="2" t="str">
        <f t="shared" si="6"/>
        <v>M0124</v>
      </c>
      <c r="J130" s="2" t="s">
        <v>71</v>
      </c>
      <c r="K130" s="2" t="s">
        <v>72</v>
      </c>
      <c r="L130" s="2" t="s">
        <v>82</v>
      </c>
      <c r="M130" s="19">
        <v>6236549.4578550002</v>
      </c>
      <c r="N130" s="2">
        <v>3876.0467199999998</v>
      </c>
      <c r="O130" s="2">
        <v>1.2499899999999999</v>
      </c>
      <c r="P130" s="2" t="s">
        <v>70</v>
      </c>
      <c r="Q130" s="2">
        <v>0</v>
      </c>
      <c r="R130" s="2"/>
      <c r="S130" s="15" t="str">
        <f t="shared" si="9"/>
        <v>2022-12-31</v>
      </c>
      <c r="T130" s="4">
        <f t="shared" si="7"/>
        <v>44928</v>
      </c>
      <c r="U130" s="18">
        <v>0</v>
      </c>
    </row>
    <row r="131" spans="3:21" ht="33.75" customHeight="1" thickBot="1" x14ac:dyDescent="0.5">
      <c r="C131" s="5">
        <f t="shared" si="8"/>
        <v>999</v>
      </c>
      <c r="D131" s="2">
        <f>IF(E130="","",D130+1)</f>
        <v>124</v>
      </c>
      <c r="E131" s="2" t="str">
        <f t="shared" si="10"/>
        <v>r0320 - Deposits, not covered and not preferential</v>
      </c>
      <c r="F131" s="2" t="s">
        <v>64</v>
      </c>
      <c r="G131" s="2" t="str">
        <f t="shared" si="5"/>
        <v>Rank 12 - Ranking in insolvency (master scale)</v>
      </c>
      <c r="H131" s="2" t="str">
        <f>IF(D132&lt;10,"PTXSTJOM"&amp;"000"&amp;D132,IF(AND(D132&gt;=10,D132&lt;=100),"PTXSTJOM"&amp;"00"&amp;D132,IF(D132&gt;=100,"PTXSTJOM"&amp;"0"&amp;D132)))</f>
        <v>PTXSTJOM0125</v>
      </c>
      <c r="I131" s="2" t="str">
        <f t="shared" si="6"/>
        <v>M0125</v>
      </c>
      <c r="J131" s="2" t="s">
        <v>71</v>
      </c>
      <c r="K131" s="2" t="s">
        <v>72</v>
      </c>
      <c r="L131" s="2" t="s">
        <v>83</v>
      </c>
      <c r="M131" s="19">
        <v>5.53E-4</v>
      </c>
      <c r="N131" s="2">
        <v>0</v>
      </c>
      <c r="O131" s="2"/>
      <c r="P131" s="2" t="s">
        <v>70</v>
      </c>
      <c r="Q131" s="2">
        <v>0</v>
      </c>
      <c r="R131" s="2"/>
      <c r="S131" s="15" t="str">
        <f t="shared" si="9"/>
        <v>2022-12-31</v>
      </c>
      <c r="T131" s="4">
        <f t="shared" si="7"/>
        <v>44928</v>
      </c>
      <c r="U131" s="18">
        <v>0</v>
      </c>
    </row>
    <row r="132" spans="3:21" ht="33.75" customHeight="1" thickBot="1" x14ac:dyDescent="0.5">
      <c r="C132" s="5">
        <f t="shared" si="8"/>
        <v>999</v>
      </c>
      <c r="D132" s="2">
        <f>IF(E131="","",D131+1)</f>
        <v>125</v>
      </c>
      <c r="E132" s="2" t="str">
        <f t="shared" si="10"/>
        <v>r0320 - Deposits, not covered and not preferential</v>
      </c>
      <c r="F132" s="2" t="s">
        <v>64</v>
      </c>
      <c r="G132" s="2" t="str">
        <f t="shared" si="5"/>
        <v>Rank 12 - Ranking in insolvency (master scale)</v>
      </c>
      <c r="H132" s="2" t="str">
        <f>IF(D133&lt;10,"PTXSTJOM"&amp;"000"&amp;D133,IF(AND(D133&gt;=10,D133&lt;=100),"PTXSTJOM"&amp;"00"&amp;D133,IF(D133&gt;=100,"PTXSTJOM"&amp;"0"&amp;D133)))</f>
        <v>PTXSTJOM0126</v>
      </c>
      <c r="I132" s="2" t="str">
        <f t="shared" si="6"/>
        <v>M0126</v>
      </c>
      <c r="J132" s="2" t="s">
        <v>71</v>
      </c>
      <c r="K132" s="2" t="s">
        <v>72</v>
      </c>
      <c r="L132" s="2" t="s">
        <v>84</v>
      </c>
      <c r="M132" s="19">
        <v>1819469.5820430599</v>
      </c>
      <c r="N132" s="2">
        <v>0</v>
      </c>
      <c r="O132" s="2"/>
      <c r="P132" s="2" t="s">
        <v>70</v>
      </c>
      <c r="Q132" s="2">
        <v>0</v>
      </c>
      <c r="R132" s="2"/>
      <c r="S132" s="15" t="str">
        <f t="shared" si="9"/>
        <v>2022-12-31</v>
      </c>
      <c r="T132" s="4">
        <f t="shared" si="7"/>
        <v>44928</v>
      </c>
      <c r="U132" s="18">
        <v>0</v>
      </c>
    </row>
    <row r="133" spans="3:21" ht="33.75" customHeight="1" thickBot="1" x14ac:dyDescent="0.5">
      <c r="C133" s="5">
        <f t="shared" si="8"/>
        <v>999</v>
      </c>
      <c r="D133" s="2">
        <f>IF(E132="","",D132+1)</f>
        <v>126</v>
      </c>
      <c r="E133" s="2" t="str">
        <f t="shared" si="10"/>
        <v>r0320 - Deposits, not covered and not preferential</v>
      </c>
      <c r="F133" s="2" t="s">
        <v>64</v>
      </c>
      <c r="G133" s="2" t="str">
        <f t="shared" si="5"/>
        <v>Rank 12 - Ranking in insolvency (master scale)</v>
      </c>
      <c r="H133" s="2" t="str">
        <f>IF(D134&lt;10,"PTXSTJOM"&amp;"000"&amp;D134,IF(AND(D134&gt;=10,D134&lt;=100),"PTXSTJOM"&amp;"00"&amp;D134,IF(D134&gt;=100,"PTXSTJOM"&amp;"0"&amp;D134)))</f>
        <v>PTXSTJOM0127</v>
      </c>
      <c r="I133" s="2" t="str">
        <f t="shared" si="6"/>
        <v>M0127</v>
      </c>
      <c r="J133" s="2" t="s">
        <v>71</v>
      </c>
      <c r="K133" s="2" t="s">
        <v>72</v>
      </c>
      <c r="L133" s="2" t="s">
        <v>85</v>
      </c>
      <c r="M133" s="19">
        <v>1608766.1301459998</v>
      </c>
      <c r="N133" s="2">
        <v>0</v>
      </c>
      <c r="O133" s="2"/>
      <c r="P133" s="2" t="s">
        <v>70</v>
      </c>
      <c r="Q133" s="2">
        <v>0</v>
      </c>
      <c r="R133" s="2"/>
      <c r="S133" s="15" t="str">
        <f t="shared" si="9"/>
        <v>2022-12-31</v>
      </c>
      <c r="T133" s="4">
        <f t="shared" si="7"/>
        <v>44928</v>
      </c>
      <c r="U133" s="18">
        <v>0</v>
      </c>
    </row>
    <row r="134" spans="3:21" ht="33.75" customHeight="1" thickBot="1" x14ac:dyDescent="0.5">
      <c r="C134" s="5">
        <f t="shared" si="8"/>
        <v>999</v>
      </c>
      <c r="D134" s="2">
        <f>IF(E133="","",D133+1)</f>
        <v>127</v>
      </c>
      <c r="E134" s="2" t="str">
        <f t="shared" si="10"/>
        <v>r0320 - Deposits, not covered and not preferential</v>
      </c>
      <c r="F134" s="2" t="s">
        <v>64</v>
      </c>
      <c r="G134" s="2" t="str">
        <f t="shared" si="5"/>
        <v>Rank 12 - Ranking in insolvency (master scale)</v>
      </c>
      <c r="H134" s="2" t="str">
        <f>IF(D135&lt;10,"PTXSTJOM"&amp;"000"&amp;D135,IF(AND(D135&gt;=10,D135&lt;=100),"PTXSTJOM"&amp;"00"&amp;D135,IF(D135&gt;=100,"PTXSTJOM"&amp;"0"&amp;D135)))</f>
        <v>PTXSTJOM0128</v>
      </c>
      <c r="I134" s="2" t="str">
        <f t="shared" si="6"/>
        <v>M0128</v>
      </c>
      <c r="J134" s="2" t="s">
        <v>71</v>
      </c>
      <c r="K134" s="2" t="s">
        <v>72</v>
      </c>
      <c r="L134" s="2" t="s">
        <v>86</v>
      </c>
      <c r="M134" s="19">
        <v>15982948.83497289</v>
      </c>
      <c r="N134" s="2">
        <v>2035.1098730000001</v>
      </c>
      <c r="O134" s="2">
        <v>1.9</v>
      </c>
      <c r="P134" s="2" t="s">
        <v>70</v>
      </c>
      <c r="Q134" s="2">
        <v>0</v>
      </c>
      <c r="R134" s="2"/>
      <c r="S134" s="15" t="str">
        <f t="shared" si="9"/>
        <v>2022-12-31</v>
      </c>
      <c r="T134" s="4">
        <f t="shared" si="7"/>
        <v>44928</v>
      </c>
      <c r="U134" s="18">
        <v>0</v>
      </c>
    </row>
    <row r="135" spans="3:21" ht="33.75" customHeight="1" thickBot="1" x14ac:dyDescent="0.5">
      <c r="C135" s="5">
        <f t="shared" si="8"/>
        <v>999</v>
      </c>
      <c r="D135" s="2">
        <f>IF(E134="","",D134+1)</f>
        <v>128</v>
      </c>
      <c r="E135" s="2" t="str">
        <f t="shared" si="10"/>
        <v>r0320 - Deposits, not covered and not preferential</v>
      </c>
      <c r="F135" s="2" t="s">
        <v>64</v>
      </c>
      <c r="G135" s="2" t="str">
        <f t="shared" si="5"/>
        <v>Rank 12 - Ranking in insolvency (master scale)</v>
      </c>
      <c r="H135" s="2" t="str">
        <f>IF(D136&lt;10,"PTXSTJOM"&amp;"000"&amp;D136,IF(AND(D136&gt;=10,D136&lt;=100),"PTXSTJOM"&amp;"00"&amp;D136,IF(D136&gt;=100,"PTXSTJOM"&amp;"0"&amp;D136)))</f>
        <v>PTXSTJOM0129</v>
      </c>
      <c r="I135" s="2" t="str">
        <f t="shared" si="6"/>
        <v>M0129</v>
      </c>
      <c r="J135" s="2" t="s">
        <v>71</v>
      </c>
      <c r="K135" s="2" t="s">
        <v>72</v>
      </c>
      <c r="L135" s="2" t="s">
        <v>87</v>
      </c>
      <c r="M135" s="19">
        <v>80822809.254354596</v>
      </c>
      <c r="N135" s="2">
        <v>62559.309956999998</v>
      </c>
      <c r="O135" s="2">
        <v>0.52385000000000004</v>
      </c>
      <c r="P135" s="2" t="s">
        <v>70</v>
      </c>
      <c r="Q135" s="2">
        <v>0</v>
      </c>
      <c r="R135" s="2"/>
      <c r="S135" s="15" t="str">
        <f t="shared" si="9"/>
        <v>2022-12-31</v>
      </c>
      <c r="T135" s="4">
        <f t="shared" si="7"/>
        <v>44928</v>
      </c>
      <c r="U135" s="18">
        <v>0</v>
      </c>
    </row>
    <row r="136" spans="3:21" ht="33.75" customHeight="1" thickBot="1" x14ac:dyDescent="0.5">
      <c r="C136" s="5">
        <f t="shared" si="8"/>
        <v>999</v>
      </c>
      <c r="D136" s="2">
        <f>IF(E135="","",D135+1)</f>
        <v>129</v>
      </c>
      <c r="E136" s="2" t="str">
        <f t="shared" si="10"/>
        <v>r0320 - Deposits, not covered and not preferential</v>
      </c>
      <c r="F136" s="2" t="s">
        <v>64</v>
      </c>
      <c r="G136" s="2" t="str">
        <f t="shared" ref="G136:G168" si="11">IF(E136="r0110 - Covered deposits (BRRD art. 44/2/a)","Rank 14 - Ranking in insolvency (master scale)",IF(E136="r0310 - Deposits, not covered but preferential (BRRD art. 108)","Rank 13 - Ranking in insolvency (master scale)","Rank 12 - Ranking in insolvency (master scale)"))</f>
        <v>Rank 12 - Ranking in insolvency (master scale)</v>
      </c>
      <c r="H136" s="2" t="str">
        <f>IF(D137&lt;10,"PTXSTJOM"&amp;"000"&amp;D137,IF(AND(D137&gt;=10,D137&lt;=100),"PTXSTJOM"&amp;"00"&amp;D137,IF(D137&gt;=100,"PTXSTJOM"&amp;"0"&amp;D137)))</f>
        <v>PTXSTJOM0130</v>
      </c>
      <c r="I136" s="2" t="str">
        <f t="shared" ref="I136:I168" si="12">+RIGHT(H136,5)</f>
        <v>M0130</v>
      </c>
      <c r="J136" s="2" t="s">
        <v>71</v>
      </c>
      <c r="K136" s="2" t="s">
        <v>72</v>
      </c>
      <c r="L136" s="2" t="s">
        <v>88</v>
      </c>
      <c r="M136" s="19">
        <v>3263250023.6761093</v>
      </c>
      <c r="N136" s="2">
        <v>52462.48</v>
      </c>
      <c r="O136" s="2">
        <v>2.912E-2</v>
      </c>
      <c r="P136" s="2" t="s">
        <v>70</v>
      </c>
      <c r="Q136" s="2">
        <v>0</v>
      </c>
      <c r="R136" s="2"/>
      <c r="S136" s="15" t="str">
        <f t="shared" si="9"/>
        <v>2022-12-31</v>
      </c>
      <c r="T136" s="4">
        <f t="shared" ref="T136:T168" si="13">+WORKDAY(S136,1,"1/1/2021")</f>
        <v>44928</v>
      </c>
      <c r="U136" s="18">
        <v>0</v>
      </c>
    </row>
    <row r="137" spans="3:21" ht="33.75" customHeight="1" thickBot="1" x14ac:dyDescent="0.5">
      <c r="C137" s="5">
        <f t="shared" ref="C137:C168" si="14">+IF(E136="","",999)</f>
        <v>999</v>
      </c>
      <c r="D137" s="2">
        <f>IF(E136="","",D136+1)</f>
        <v>130</v>
      </c>
      <c r="E137" s="2" t="str">
        <f t="shared" si="10"/>
        <v>r0320 - Deposits, not covered and not preferential</v>
      </c>
      <c r="F137" s="2" t="s">
        <v>64</v>
      </c>
      <c r="G137" s="2" t="str">
        <f t="shared" si="11"/>
        <v>Rank 12 - Ranking in insolvency (master scale)</v>
      </c>
      <c r="H137" s="2" t="str">
        <f>IF(D138&lt;10,"PTXSTJOM"&amp;"000"&amp;D138,IF(AND(D138&gt;=10,D138&lt;=100),"PTXSTJOM"&amp;"00"&amp;D138,IF(D138&gt;=100,"PTXSTJOM"&amp;"0"&amp;D138)))</f>
        <v>PTXSTJOM0131</v>
      </c>
      <c r="I137" s="2" t="str">
        <f t="shared" si="12"/>
        <v>M0131</v>
      </c>
      <c r="J137" s="2" t="s">
        <v>71</v>
      </c>
      <c r="K137" s="2" t="s">
        <v>72</v>
      </c>
      <c r="L137" s="2" t="s">
        <v>88</v>
      </c>
      <c r="M137" s="19">
        <v>35.520000000000003</v>
      </c>
      <c r="N137" s="2">
        <v>0.05</v>
      </c>
      <c r="O137" s="2"/>
      <c r="P137" s="2" t="s">
        <v>70</v>
      </c>
      <c r="Q137" s="2">
        <v>0</v>
      </c>
      <c r="R137" s="2"/>
      <c r="S137" s="15" t="str">
        <f t="shared" ref="S137:S168" si="15">+S136</f>
        <v>2022-12-31</v>
      </c>
      <c r="T137" s="4">
        <f t="shared" si="13"/>
        <v>44928</v>
      </c>
      <c r="U137" s="18">
        <v>0</v>
      </c>
    </row>
    <row r="138" spans="3:21" ht="33.75" customHeight="1" thickBot="1" x14ac:dyDescent="0.5">
      <c r="C138" s="5">
        <f t="shared" si="14"/>
        <v>999</v>
      </c>
      <c r="D138" s="2">
        <f>IF(E137="","",D137+1)</f>
        <v>131</v>
      </c>
      <c r="E138" s="2" t="str">
        <f t="shared" si="10"/>
        <v>r0320 - Deposits, not covered and not preferential</v>
      </c>
      <c r="F138" s="2" t="s">
        <v>64</v>
      </c>
      <c r="G138" s="2" t="str">
        <f t="shared" si="11"/>
        <v>Rank 12 - Ranking in insolvency (master scale)</v>
      </c>
      <c r="H138" s="2" t="str">
        <f>IF(D139&lt;10,"PTXSTJOM"&amp;"000"&amp;D139,IF(AND(D139&gt;=10,D139&lt;=100),"PTXSTJOM"&amp;"00"&amp;D139,IF(D139&gt;=100,"PTXSTJOM"&amp;"0"&amp;D139)))</f>
        <v>PTXSTJOM0132</v>
      </c>
      <c r="I138" s="2" t="str">
        <f t="shared" si="12"/>
        <v>M0132</v>
      </c>
      <c r="J138" s="2" t="s">
        <v>71</v>
      </c>
      <c r="K138" s="2" t="s">
        <v>72</v>
      </c>
      <c r="L138" s="2" t="s">
        <v>89</v>
      </c>
      <c r="M138" s="19">
        <v>755177.27390899998</v>
      </c>
      <c r="N138" s="2">
        <v>8.2186810000000001</v>
      </c>
      <c r="O138" s="2">
        <v>2.1166700000000001</v>
      </c>
      <c r="P138" s="2" t="s">
        <v>70</v>
      </c>
      <c r="Q138" s="2">
        <v>0</v>
      </c>
      <c r="R138" s="2"/>
      <c r="S138" s="15" t="str">
        <f t="shared" si="15"/>
        <v>2022-12-31</v>
      </c>
      <c r="T138" s="4">
        <f t="shared" si="13"/>
        <v>44928</v>
      </c>
      <c r="U138" s="18">
        <v>0</v>
      </c>
    </row>
    <row r="139" spans="3:21" ht="33.75" customHeight="1" thickBot="1" x14ac:dyDescent="0.5">
      <c r="C139" s="5">
        <f t="shared" si="14"/>
        <v>999</v>
      </c>
      <c r="D139" s="2">
        <f>IF(E138="","",D138+1)</f>
        <v>132</v>
      </c>
      <c r="E139" s="2" t="str">
        <f t="shared" si="10"/>
        <v>r0320 - Deposits, not covered and not preferential</v>
      </c>
      <c r="F139" s="2" t="s">
        <v>69</v>
      </c>
      <c r="G139" s="2" t="str">
        <f t="shared" si="11"/>
        <v>Rank 12 - Ranking in insolvency (master scale)</v>
      </c>
      <c r="H139" s="2" t="str">
        <f>IF(D140&lt;10,"PTXSTJOM"&amp;"000"&amp;D140,IF(AND(D140&gt;=10,D140&lt;=100),"PTXSTJOM"&amp;"00"&amp;D140,IF(D140&gt;=100,"PTXSTJOM"&amp;"0"&amp;D140)))</f>
        <v>PTXSTJOM0133</v>
      </c>
      <c r="I139" s="2" t="str">
        <f t="shared" si="12"/>
        <v>M0133</v>
      </c>
      <c r="J139" s="2" t="s">
        <v>71</v>
      </c>
      <c r="K139" s="2" t="s">
        <v>72</v>
      </c>
      <c r="L139" s="2" t="s">
        <v>87</v>
      </c>
      <c r="M139" s="19">
        <v>1875117.1948249999</v>
      </c>
      <c r="N139" s="2">
        <v>4271.1044439999996</v>
      </c>
      <c r="O139" s="2">
        <v>2.0499999999999998</v>
      </c>
      <c r="P139" s="2" t="s">
        <v>70</v>
      </c>
      <c r="Q139" s="2">
        <v>0</v>
      </c>
      <c r="R139" s="2"/>
      <c r="S139" s="15" t="str">
        <f t="shared" si="15"/>
        <v>2022-12-31</v>
      </c>
      <c r="T139" s="4">
        <f t="shared" si="13"/>
        <v>44928</v>
      </c>
      <c r="U139" s="18">
        <v>0</v>
      </c>
    </row>
    <row r="140" spans="3:21" ht="33.75" customHeight="1" thickBot="1" x14ac:dyDescent="0.5">
      <c r="C140" s="5">
        <f t="shared" si="14"/>
        <v>999</v>
      </c>
      <c r="D140" s="2">
        <f>IF(E139="","",D139+1)</f>
        <v>133</v>
      </c>
      <c r="E140" s="2" t="str">
        <f t="shared" si="10"/>
        <v>r0320 - Deposits, not covered and not preferential</v>
      </c>
      <c r="F140" s="2" t="s">
        <v>69</v>
      </c>
      <c r="G140" s="2" t="str">
        <f t="shared" si="11"/>
        <v>Rank 12 - Ranking in insolvency (master scale)</v>
      </c>
      <c r="H140" s="2" t="str">
        <f>IF(D141&lt;10,"PTXSTJOM"&amp;"000"&amp;D141,IF(AND(D141&gt;=10,D141&lt;=100),"PTXSTJOM"&amp;"00"&amp;D141,IF(D141&gt;=100,"PTXSTJOM"&amp;"0"&amp;D141)))</f>
        <v>PTXSTJOM0134</v>
      </c>
      <c r="I140" s="2" t="str">
        <f t="shared" si="12"/>
        <v>M0134</v>
      </c>
      <c r="J140" s="2" t="s">
        <v>71</v>
      </c>
      <c r="K140" s="2" t="s">
        <v>72</v>
      </c>
      <c r="L140" s="2" t="s">
        <v>88</v>
      </c>
      <c r="M140" s="19">
        <v>2295470.09</v>
      </c>
      <c r="N140" s="2">
        <v>98.06</v>
      </c>
      <c r="O140" s="2">
        <v>0.01</v>
      </c>
      <c r="P140" s="2" t="s">
        <v>70</v>
      </c>
      <c r="Q140" s="2">
        <v>0</v>
      </c>
      <c r="R140" s="2"/>
      <c r="S140" s="15" t="str">
        <f t="shared" si="15"/>
        <v>2022-12-31</v>
      </c>
      <c r="T140" s="4">
        <f t="shared" si="13"/>
        <v>44928</v>
      </c>
      <c r="U140" s="18">
        <v>0</v>
      </c>
    </row>
    <row r="141" spans="3:21" ht="33.75" customHeight="1" thickBot="1" x14ac:dyDescent="0.5">
      <c r="C141" s="5">
        <f t="shared" si="14"/>
        <v>999</v>
      </c>
      <c r="D141" s="2">
        <f>IF(E140="","",D140+1)</f>
        <v>134</v>
      </c>
      <c r="E141" s="2" t="str">
        <f t="shared" si="10"/>
        <v>r0320 - Deposits, not covered and not preferential</v>
      </c>
      <c r="F141" s="2" t="s">
        <v>65</v>
      </c>
      <c r="G141" s="2" t="str">
        <f t="shared" si="11"/>
        <v>Rank 12 - Ranking in insolvency (master scale)</v>
      </c>
      <c r="H141" s="2" t="str">
        <f>IF(D142&lt;10,"PTXSTJOM"&amp;"000"&amp;D142,IF(AND(D142&gt;=10,D142&lt;=100),"PTXSTJOM"&amp;"00"&amp;D142,IF(D142&gt;=100,"PTXSTJOM"&amp;"0"&amp;D142)))</f>
        <v>PTXSTJOM0135</v>
      </c>
      <c r="I141" s="2" t="str">
        <f t="shared" si="12"/>
        <v>M0135</v>
      </c>
      <c r="J141" s="2" t="s">
        <v>71</v>
      </c>
      <c r="K141" s="2" t="s">
        <v>72</v>
      </c>
      <c r="L141" s="2" t="s">
        <v>76</v>
      </c>
      <c r="M141" s="19">
        <v>983591.84349799994</v>
      </c>
      <c r="N141" s="2">
        <v>0</v>
      </c>
      <c r="O141" s="2"/>
      <c r="P141" s="2" t="s">
        <v>70</v>
      </c>
      <c r="Q141" s="2">
        <v>0</v>
      </c>
      <c r="R141" s="2"/>
      <c r="S141" s="15" t="str">
        <f t="shared" si="15"/>
        <v>2022-12-31</v>
      </c>
      <c r="T141" s="4">
        <f t="shared" si="13"/>
        <v>44928</v>
      </c>
      <c r="U141" s="18">
        <v>0</v>
      </c>
    </row>
    <row r="142" spans="3:21" ht="33.75" customHeight="1" thickBot="1" x14ac:dyDescent="0.5">
      <c r="C142" s="5">
        <f t="shared" si="14"/>
        <v>999</v>
      </c>
      <c r="D142" s="2">
        <f>IF(E141="","",D141+1)</f>
        <v>135</v>
      </c>
      <c r="E142" s="2" t="str">
        <f t="shared" si="10"/>
        <v>r0320 - Deposits, not covered and not preferential</v>
      </c>
      <c r="F142" s="2" t="s">
        <v>65</v>
      </c>
      <c r="G142" s="2" t="str">
        <f t="shared" si="11"/>
        <v>Rank 12 - Ranking in insolvency (master scale)</v>
      </c>
      <c r="H142" s="2" t="str">
        <f>IF(D143&lt;10,"PTXSTJOM"&amp;"000"&amp;D143,IF(AND(D143&gt;=10,D143&lt;=100),"PTXSTJOM"&amp;"00"&amp;D143,IF(D143&gt;=100,"PTXSTJOM"&amp;"0"&amp;D143)))</f>
        <v>PTXSTJOM0136</v>
      </c>
      <c r="I142" s="2" t="str">
        <f t="shared" si="12"/>
        <v>M0136</v>
      </c>
      <c r="J142" s="2" t="s">
        <v>71</v>
      </c>
      <c r="K142" s="2" t="s">
        <v>72</v>
      </c>
      <c r="L142" s="2" t="s">
        <v>76</v>
      </c>
      <c r="M142" s="19">
        <v>133192.06652600001</v>
      </c>
      <c r="N142" s="2">
        <v>0</v>
      </c>
      <c r="O142" s="2"/>
      <c r="P142" s="2" t="s">
        <v>70</v>
      </c>
      <c r="Q142" s="2">
        <v>0</v>
      </c>
      <c r="R142" s="2"/>
      <c r="S142" s="15" t="str">
        <f t="shared" si="15"/>
        <v>2022-12-31</v>
      </c>
      <c r="T142" s="4">
        <f t="shared" si="13"/>
        <v>44928</v>
      </c>
      <c r="U142" s="18">
        <v>0</v>
      </c>
    </row>
    <row r="143" spans="3:21" ht="33.75" customHeight="1" thickBot="1" x14ac:dyDescent="0.5">
      <c r="C143" s="5">
        <f t="shared" si="14"/>
        <v>999</v>
      </c>
      <c r="D143" s="2">
        <f>IF(E142="","",D142+1)</f>
        <v>136</v>
      </c>
      <c r="E143" s="2" t="str">
        <f t="shared" si="10"/>
        <v>r0320 - Deposits, not covered and not preferential</v>
      </c>
      <c r="F143" s="2" t="s">
        <v>65</v>
      </c>
      <c r="G143" s="2" t="str">
        <f t="shared" si="11"/>
        <v>Rank 12 - Ranking in insolvency (master scale)</v>
      </c>
      <c r="H143" s="2" t="str">
        <f>IF(D144&lt;10,"PTXSTJOM"&amp;"000"&amp;D144,IF(AND(D144&gt;=10,D144&lt;=100),"PTXSTJOM"&amp;"00"&amp;D144,IF(D144&gt;=100,"PTXSTJOM"&amp;"0"&amp;D144)))</f>
        <v>PTXSTJOM0137</v>
      </c>
      <c r="I143" s="2" t="str">
        <f t="shared" si="12"/>
        <v>M0137</v>
      </c>
      <c r="J143" s="2" t="s">
        <v>71</v>
      </c>
      <c r="K143" s="2" t="s">
        <v>72</v>
      </c>
      <c r="L143" s="2" t="s">
        <v>79</v>
      </c>
      <c r="M143" s="19">
        <v>6.7239999999999999E-3</v>
      </c>
      <c r="N143" s="2">
        <v>0</v>
      </c>
      <c r="O143" s="2"/>
      <c r="P143" s="2" t="s">
        <v>70</v>
      </c>
      <c r="Q143" s="2">
        <v>0</v>
      </c>
      <c r="R143" s="2"/>
      <c r="S143" s="15" t="str">
        <f t="shared" si="15"/>
        <v>2022-12-31</v>
      </c>
      <c r="T143" s="4">
        <f t="shared" si="13"/>
        <v>44928</v>
      </c>
      <c r="U143" s="18">
        <v>0</v>
      </c>
    </row>
    <row r="144" spans="3:21" ht="33.75" customHeight="1" thickBot="1" x14ac:dyDescent="0.5">
      <c r="C144" s="5">
        <f t="shared" si="14"/>
        <v>999</v>
      </c>
      <c r="D144" s="2">
        <f>IF(E143="","",D143+1)</f>
        <v>137</v>
      </c>
      <c r="E144" s="2" t="str">
        <f t="shared" si="10"/>
        <v>r0320 - Deposits, not covered and not preferential</v>
      </c>
      <c r="F144" s="2" t="s">
        <v>65</v>
      </c>
      <c r="G144" s="2" t="str">
        <f t="shared" si="11"/>
        <v>Rank 12 - Ranking in insolvency (master scale)</v>
      </c>
      <c r="H144" s="2" t="str">
        <f>IF(D145&lt;10,"PTXSTJOM"&amp;"000"&amp;D145,IF(AND(D145&gt;=10,D145&lt;=100),"PTXSTJOM"&amp;"00"&amp;D145,IF(D145&gt;=100,"PTXSTJOM"&amp;"0"&amp;D145)))</f>
        <v>PTXSTJOM0138</v>
      </c>
      <c r="I144" s="2" t="str">
        <f t="shared" si="12"/>
        <v>M0138</v>
      </c>
      <c r="J144" s="2" t="s">
        <v>71</v>
      </c>
      <c r="K144" s="2" t="s">
        <v>72</v>
      </c>
      <c r="L144" s="2" t="s">
        <v>79</v>
      </c>
      <c r="M144" s="19">
        <v>37654.989578000001</v>
      </c>
      <c r="N144" s="2">
        <v>0</v>
      </c>
      <c r="O144" s="2"/>
      <c r="P144" s="2" t="s">
        <v>70</v>
      </c>
      <c r="Q144" s="2">
        <v>0</v>
      </c>
      <c r="R144" s="2"/>
      <c r="S144" s="15" t="str">
        <f t="shared" si="15"/>
        <v>2022-12-31</v>
      </c>
      <c r="T144" s="4">
        <f t="shared" si="13"/>
        <v>44928</v>
      </c>
      <c r="U144" s="18">
        <v>0</v>
      </c>
    </row>
    <row r="145" spans="3:21" ht="33.75" customHeight="1" thickBot="1" x14ac:dyDescent="0.5">
      <c r="C145" s="5">
        <f t="shared" si="14"/>
        <v>999</v>
      </c>
      <c r="D145" s="2">
        <f>IF(E144="","",D144+1)</f>
        <v>138</v>
      </c>
      <c r="E145" s="2" t="str">
        <f t="shared" si="10"/>
        <v>r0320 - Deposits, not covered and not preferential</v>
      </c>
      <c r="F145" s="2" t="s">
        <v>65</v>
      </c>
      <c r="G145" s="2" t="str">
        <f t="shared" si="11"/>
        <v>Rank 12 - Ranking in insolvency (master scale)</v>
      </c>
      <c r="H145" s="2" t="str">
        <f>IF(D146&lt;10,"PTXSTJOM"&amp;"000"&amp;D146,IF(AND(D146&gt;=10,D146&lt;=100),"PTXSTJOM"&amp;"00"&amp;D146,IF(D146&gt;=100,"PTXSTJOM"&amp;"0"&amp;D146)))</f>
        <v>PTXSTJOM0139</v>
      </c>
      <c r="I145" s="2" t="str">
        <f t="shared" si="12"/>
        <v>M0139</v>
      </c>
      <c r="J145" s="2" t="s">
        <v>71</v>
      </c>
      <c r="K145" s="2" t="s">
        <v>72</v>
      </c>
      <c r="L145" s="2" t="s">
        <v>80</v>
      </c>
      <c r="M145" s="19">
        <v>133230.25735900001</v>
      </c>
      <c r="N145" s="2">
        <v>0</v>
      </c>
      <c r="O145" s="2"/>
      <c r="P145" s="2" t="s">
        <v>70</v>
      </c>
      <c r="Q145" s="2">
        <v>0</v>
      </c>
      <c r="R145" s="2"/>
      <c r="S145" s="15" t="str">
        <f t="shared" si="15"/>
        <v>2022-12-31</v>
      </c>
      <c r="T145" s="4">
        <f t="shared" si="13"/>
        <v>44928</v>
      </c>
      <c r="U145" s="18">
        <v>0</v>
      </c>
    </row>
    <row r="146" spans="3:21" ht="33.75" customHeight="1" thickBot="1" x14ac:dyDescent="0.5">
      <c r="C146" s="5">
        <f t="shared" si="14"/>
        <v>999</v>
      </c>
      <c r="D146" s="2">
        <f>IF(E145="","",D145+1)</f>
        <v>139</v>
      </c>
      <c r="E146" s="2" t="str">
        <f t="shared" si="10"/>
        <v>r0320 - Deposits, not covered and not preferential</v>
      </c>
      <c r="F146" s="2" t="s">
        <v>65</v>
      </c>
      <c r="G146" s="2" t="str">
        <f t="shared" si="11"/>
        <v>Rank 12 - Ranking in insolvency (master scale)</v>
      </c>
      <c r="H146" s="2" t="str">
        <f>IF(D147&lt;10,"PTXSTJOM"&amp;"000"&amp;D147,IF(AND(D147&gt;=10,D147&lt;=100),"PTXSTJOM"&amp;"00"&amp;D147,IF(D147&gt;=100,"PTXSTJOM"&amp;"0"&amp;D147)))</f>
        <v>PTXSTJOM0140</v>
      </c>
      <c r="I146" s="2" t="str">
        <f t="shared" si="12"/>
        <v>M0140</v>
      </c>
      <c r="J146" s="2" t="s">
        <v>71</v>
      </c>
      <c r="K146" s="2" t="s">
        <v>72</v>
      </c>
      <c r="L146" s="2" t="s">
        <v>80</v>
      </c>
      <c r="M146" s="19">
        <v>7865551.4076490002</v>
      </c>
      <c r="N146" s="2">
        <v>0</v>
      </c>
      <c r="O146" s="2"/>
      <c r="P146" s="2" t="s">
        <v>70</v>
      </c>
      <c r="Q146" s="2">
        <v>0</v>
      </c>
      <c r="R146" s="2"/>
      <c r="S146" s="15" t="str">
        <f t="shared" si="15"/>
        <v>2022-12-31</v>
      </c>
      <c r="T146" s="4">
        <f t="shared" si="13"/>
        <v>44928</v>
      </c>
      <c r="U146" s="18">
        <v>0</v>
      </c>
    </row>
    <row r="147" spans="3:21" ht="33.75" customHeight="1" thickBot="1" x14ac:dyDescent="0.5">
      <c r="C147" s="5">
        <f t="shared" si="14"/>
        <v>999</v>
      </c>
      <c r="D147" s="2">
        <f>IF(E146="","",D146+1)</f>
        <v>140</v>
      </c>
      <c r="E147" s="2" t="str">
        <f t="shared" si="10"/>
        <v>r0320 - Deposits, not covered and not preferential</v>
      </c>
      <c r="F147" s="2" t="s">
        <v>65</v>
      </c>
      <c r="G147" s="2" t="str">
        <f t="shared" si="11"/>
        <v>Rank 12 - Ranking in insolvency (master scale)</v>
      </c>
      <c r="H147" s="2" t="str">
        <f>IF(D148&lt;10,"PTXSTJOM"&amp;"000"&amp;D148,IF(AND(D148&gt;=10,D148&lt;=100),"PTXSTJOM"&amp;"00"&amp;D148,IF(D148&gt;=100,"PTXSTJOM"&amp;"0"&amp;D148)))</f>
        <v>PTXSTJOM0141</v>
      </c>
      <c r="I147" s="2" t="str">
        <f t="shared" si="12"/>
        <v>M0141</v>
      </c>
      <c r="J147" s="2" t="s">
        <v>71</v>
      </c>
      <c r="K147" s="2" t="s">
        <v>72</v>
      </c>
      <c r="L147" s="2" t="s">
        <v>81</v>
      </c>
      <c r="M147" s="19">
        <v>5897.2282210000003</v>
      </c>
      <c r="N147" s="2">
        <v>0</v>
      </c>
      <c r="O147" s="2"/>
      <c r="P147" s="2" t="s">
        <v>70</v>
      </c>
      <c r="Q147" s="2">
        <v>0</v>
      </c>
      <c r="R147" s="2"/>
      <c r="S147" s="15" t="str">
        <f t="shared" si="15"/>
        <v>2022-12-31</v>
      </c>
      <c r="T147" s="4">
        <f t="shared" si="13"/>
        <v>44928</v>
      </c>
      <c r="U147" s="18">
        <v>0</v>
      </c>
    </row>
    <row r="148" spans="3:21" ht="33.75" customHeight="1" thickBot="1" x14ac:dyDescent="0.5">
      <c r="C148" s="5">
        <f t="shared" si="14"/>
        <v>999</v>
      </c>
      <c r="D148" s="2">
        <f>IF(E147="","",D147+1)</f>
        <v>141</v>
      </c>
      <c r="E148" s="2" t="str">
        <f t="shared" si="10"/>
        <v>r0320 - Deposits, not covered and not preferential</v>
      </c>
      <c r="F148" s="2" t="s">
        <v>65</v>
      </c>
      <c r="G148" s="2" t="str">
        <f t="shared" si="11"/>
        <v>Rank 12 - Ranking in insolvency (master scale)</v>
      </c>
      <c r="H148" s="2" t="str">
        <f>IF(D149&lt;10,"PTXSTJOM"&amp;"000"&amp;D149,IF(AND(D149&gt;=10,D149&lt;=100),"PTXSTJOM"&amp;"00"&amp;D149,IF(D149&gt;=100,"PTXSTJOM"&amp;"0"&amp;D149)))</f>
        <v>PTXSTJOM0142</v>
      </c>
      <c r="I148" s="2" t="str">
        <f t="shared" si="12"/>
        <v>M0142</v>
      </c>
      <c r="J148" s="2" t="s">
        <v>71</v>
      </c>
      <c r="K148" s="2" t="s">
        <v>72</v>
      </c>
      <c r="L148" s="2" t="s">
        <v>82</v>
      </c>
      <c r="M148" s="19">
        <v>6377.227073</v>
      </c>
      <c r="N148" s="2">
        <v>11.766439999999999</v>
      </c>
      <c r="O148" s="2">
        <v>1.28349</v>
      </c>
      <c r="P148" s="2" t="s">
        <v>70</v>
      </c>
      <c r="Q148" s="2">
        <v>0</v>
      </c>
      <c r="R148" s="2"/>
      <c r="S148" s="15" t="str">
        <f t="shared" si="15"/>
        <v>2022-12-31</v>
      </c>
      <c r="T148" s="4">
        <f t="shared" si="13"/>
        <v>44928</v>
      </c>
      <c r="U148" s="18">
        <v>0</v>
      </c>
    </row>
    <row r="149" spans="3:21" ht="33.75" customHeight="1" thickBot="1" x14ac:dyDescent="0.5">
      <c r="C149" s="5">
        <f t="shared" si="14"/>
        <v>999</v>
      </c>
      <c r="D149" s="2">
        <f>IF(E148="","",D148+1)</f>
        <v>142</v>
      </c>
      <c r="E149" s="2" t="str">
        <f t="shared" si="10"/>
        <v>r0320 - Deposits, not covered and not preferential</v>
      </c>
      <c r="F149" s="2" t="s">
        <v>65</v>
      </c>
      <c r="G149" s="2" t="str">
        <f t="shared" si="11"/>
        <v>Rank 12 - Ranking in insolvency (master scale)</v>
      </c>
      <c r="H149" s="2" t="str">
        <f>IF(D150&lt;10,"PTXSTJOM"&amp;"000"&amp;D150,IF(AND(D150&gt;=10,D150&lt;=100),"PTXSTJOM"&amp;"00"&amp;D150,IF(D150&gt;=100,"PTXSTJOM"&amp;"0"&amp;D150)))</f>
        <v>PTXSTJOM0143</v>
      </c>
      <c r="I149" s="2" t="str">
        <f t="shared" si="12"/>
        <v>M0143</v>
      </c>
      <c r="J149" s="2" t="s">
        <v>71</v>
      </c>
      <c r="K149" s="2" t="s">
        <v>72</v>
      </c>
      <c r="L149" s="2" t="s">
        <v>82</v>
      </c>
      <c r="M149" s="19">
        <v>53002.298883000003</v>
      </c>
      <c r="N149" s="2">
        <v>0</v>
      </c>
      <c r="O149" s="2"/>
      <c r="P149" s="2" t="s">
        <v>70</v>
      </c>
      <c r="Q149" s="2">
        <v>0</v>
      </c>
      <c r="R149" s="2"/>
      <c r="S149" s="15" t="str">
        <f t="shared" si="15"/>
        <v>2022-12-31</v>
      </c>
      <c r="T149" s="4">
        <f t="shared" si="13"/>
        <v>44928</v>
      </c>
      <c r="U149" s="18">
        <v>0</v>
      </c>
    </row>
    <row r="150" spans="3:21" ht="33.75" customHeight="1" thickBot="1" x14ac:dyDescent="0.5">
      <c r="C150" s="5">
        <f t="shared" si="14"/>
        <v>999</v>
      </c>
      <c r="D150" s="2">
        <f>IF(E149="","",D149+1)</f>
        <v>143</v>
      </c>
      <c r="E150" s="2" t="str">
        <f t="shared" si="10"/>
        <v>r0320 - Deposits, not covered and not preferential</v>
      </c>
      <c r="F150" s="2" t="s">
        <v>65</v>
      </c>
      <c r="G150" s="2" t="str">
        <f t="shared" si="11"/>
        <v>Rank 12 - Ranking in insolvency (master scale)</v>
      </c>
      <c r="H150" s="2" t="str">
        <f>IF(D151&lt;10,"PTXSTJOM"&amp;"000"&amp;D151,IF(AND(D151&gt;=10,D151&lt;=100),"PTXSTJOM"&amp;"00"&amp;D151,IF(D151&gt;=100,"PTXSTJOM"&amp;"0"&amp;D151)))</f>
        <v>PTXSTJOM0144</v>
      </c>
      <c r="I150" s="2" t="str">
        <f t="shared" si="12"/>
        <v>M0144</v>
      </c>
      <c r="J150" s="2" t="s">
        <v>71</v>
      </c>
      <c r="K150" s="2" t="s">
        <v>72</v>
      </c>
      <c r="L150" s="2" t="s">
        <v>84</v>
      </c>
      <c r="M150" s="19">
        <v>15441.909583000001</v>
      </c>
      <c r="N150" s="2">
        <v>0</v>
      </c>
      <c r="O150" s="2"/>
      <c r="P150" s="2" t="s">
        <v>70</v>
      </c>
      <c r="Q150" s="2">
        <v>0</v>
      </c>
      <c r="R150" s="2"/>
      <c r="S150" s="15" t="str">
        <f t="shared" si="15"/>
        <v>2022-12-31</v>
      </c>
      <c r="T150" s="4">
        <f t="shared" si="13"/>
        <v>44928</v>
      </c>
      <c r="U150" s="18">
        <v>0</v>
      </c>
    </row>
    <row r="151" spans="3:21" ht="33.75" customHeight="1" thickBot="1" x14ac:dyDescent="0.5">
      <c r="C151" s="5">
        <f t="shared" si="14"/>
        <v>999</v>
      </c>
      <c r="D151" s="2">
        <f>IF(E150="","",D150+1)</f>
        <v>144</v>
      </c>
      <c r="E151" s="2" t="str">
        <f t="shared" si="10"/>
        <v>r0320 - Deposits, not covered and not preferential</v>
      </c>
      <c r="F151" s="2" t="s">
        <v>65</v>
      </c>
      <c r="G151" s="2" t="str">
        <f t="shared" si="11"/>
        <v>Rank 12 - Ranking in insolvency (master scale)</v>
      </c>
      <c r="H151" s="2" t="str">
        <f>IF(D152&lt;10,"PTXSTJOM"&amp;"000"&amp;D152,IF(AND(D152&gt;=10,D152&lt;=100),"PTXSTJOM"&amp;"00"&amp;D152,IF(D152&gt;=100,"PTXSTJOM"&amp;"0"&amp;D152)))</f>
        <v>PTXSTJOM0145</v>
      </c>
      <c r="I151" s="2" t="str">
        <f t="shared" si="12"/>
        <v>M0145</v>
      </c>
      <c r="J151" s="2" t="s">
        <v>71</v>
      </c>
      <c r="K151" s="2" t="s">
        <v>72</v>
      </c>
      <c r="L151" s="2" t="s">
        <v>84</v>
      </c>
      <c r="M151" s="19">
        <v>33358.612815</v>
      </c>
      <c r="N151" s="2">
        <v>3.3591690000000001</v>
      </c>
      <c r="O151" s="2">
        <v>1.3169900000000001</v>
      </c>
      <c r="P151" s="2" t="s">
        <v>70</v>
      </c>
      <c r="Q151" s="2">
        <v>0</v>
      </c>
      <c r="R151" s="2"/>
      <c r="S151" s="15" t="str">
        <f t="shared" si="15"/>
        <v>2022-12-31</v>
      </c>
      <c r="T151" s="4">
        <f t="shared" si="13"/>
        <v>44928</v>
      </c>
      <c r="U151" s="18">
        <v>0</v>
      </c>
    </row>
    <row r="152" spans="3:21" ht="33.75" customHeight="1" thickBot="1" x14ac:dyDescent="0.5">
      <c r="C152" s="5">
        <f t="shared" si="14"/>
        <v>999</v>
      </c>
      <c r="D152" s="2">
        <f>IF(E151="","",D151+1)</f>
        <v>145</v>
      </c>
      <c r="E152" s="2" t="str">
        <f t="shared" si="10"/>
        <v>r0320 - Deposits, not covered and not preferential</v>
      </c>
      <c r="F152" s="2" t="s">
        <v>65</v>
      </c>
      <c r="G152" s="2" t="str">
        <f t="shared" si="11"/>
        <v>Rank 12 - Ranking in insolvency (master scale)</v>
      </c>
      <c r="H152" s="2" t="str">
        <f>IF(D153&lt;10,"PTXSTJOM"&amp;"000"&amp;D153,IF(AND(D153&gt;=10,D153&lt;=100),"PTXSTJOM"&amp;"00"&amp;D153,IF(D153&gt;=100,"PTXSTJOM"&amp;"0"&amp;D153)))</f>
        <v>PTXSTJOM0146</v>
      </c>
      <c r="I152" s="2" t="str">
        <f t="shared" si="12"/>
        <v>M0146</v>
      </c>
      <c r="J152" s="2" t="s">
        <v>71</v>
      </c>
      <c r="K152" s="2" t="s">
        <v>72</v>
      </c>
      <c r="L152" s="2" t="s">
        <v>85</v>
      </c>
      <c r="M152" s="19">
        <v>33746.623336999997</v>
      </c>
      <c r="N152" s="2">
        <v>0</v>
      </c>
      <c r="O152" s="2"/>
      <c r="P152" s="2" t="s">
        <v>70</v>
      </c>
      <c r="Q152" s="2">
        <v>0</v>
      </c>
      <c r="R152" s="2"/>
      <c r="S152" s="15" t="str">
        <f t="shared" si="15"/>
        <v>2022-12-31</v>
      </c>
      <c r="T152" s="4">
        <f t="shared" si="13"/>
        <v>44928</v>
      </c>
      <c r="U152" s="18">
        <v>0</v>
      </c>
    </row>
    <row r="153" spans="3:21" ht="33.75" customHeight="1" thickBot="1" x14ac:dyDescent="0.5">
      <c r="C153" s="5">
        <f t="shared" si="14"/>
        <v>999</v>
      </c>
      <c r="D153" s="2">
        <f>IF(E152="","",D152+1)</f>
        <v>146</v>
      </c>
      <c r="E153" s="2" t="str">
        <f t="shared" si="10"/>
        <v>r0320 - Deposits, not covered and not preferential</v>
      </c>
      <c r="F153" s="2" t="s">
        <v>65</v>
      </c>
      <c r="G153" s="2" t="str">
        <f t="shared" si="11"/>
        <v>Rank 12 - Ranking in insolvency (master scale)</v>
      </c>
      <c r="H153" s="2" t="str">
        <f>IF(D154&lt;10,"PTXSTJOM"&amp;"000"&amp;D154,IF(AND(D154&gt;=10,D154&lt;=100),"PTXSTJOM"&amp;"00"&amp;D154,IF(D154&gt;=100,"PTXSTJOM"&amp;"0"&amp;D154)))</f>
        <v>PTXSTJOM0147</v>
      </c>
      <c r="I153" s="2" t="str">
        <f t="shared" si="12"/>
        <v>M0147</v>
      </c>
      <c r="J153" s="2" t="s">
        <v>71</v>
      </c>
      <c r="K153" s="2" t="s">
        <v>72</v>
      </c>
      <c r="L153" s="2" t="s">
        <v>85</v>
      </c>
      <c r="M153" s="19">
        <v>1047646.014015</v>
      </c>
      <c r="N153" s="2">
        <v>177.31288699999999</v>
      </c>
      <c r="O153" s="2">
        <v>0.48648999999999998</v>
      </c>
      <c r="P153" s="2" t="s">
        <v>70</v>
      </c>
      <c r="Q153" s="2">
        <v>0</v>
      </c>
      <c r="R153" s="2"/>
      <c r="S153" s="15" t="str">
        <f t="shared" si="15"/>
        <v>2022-12-31</v>
      </c>
      <c r="T153" s="4">
        <f t="shared" si="13"/>
        <v>44928</v>
      </c>
      <c r="U153" s="18">
        <v>0</v>
      </c>
    </row>
    <row r="154" spans="3:21" ht="33.75" customHeight="1" thickBot="1" x14ac:dyDescent="0.5">
      <c r="C154" s="5">
        <f t="shared" si="14"/>
        <v>999</v>
      </c>
      <c r="D154" s="2">
        <f>IF(E153="","",D153+1)</f>
        <v>147</v>
      </c>
      <c r="E154" s="2" t="str">
        <f t="shared" si="10"/>
        <v>r0320 - Deposits, not covered and not preferential</v>
      </c>
      <c r="F154" s="2" t="s">
        <v>65</v>
      </c>
      <c r="G154" s="2" t="str">
        <f t="shared" si="11"/>
        <v>Rank 12 - Ranking in insolvency (master scale)</v>
      </c>
      <c r="H154" s="2" t="str">
        <f>IF(D155&lt;10,"PTXSTJOM"&amp;"000"&amp;D155,IF(AND(D155&gt;=10,D155&lt;=100),"PTXSTJOM"&amp;"00"&amp;D155,IF(D155&gt;=100,"PTXSTJOM"&amp;"0"&amp;D155)))</f>
        <v>PTXSTJOM0148</v>
      </c>
      <c r="I154" s="2" t="str">
        <f t="shared" si="12"/>
        <v>M0148</v>
      </c>
      <c r="J154" s="2" t="s">
        <v>71</v>
      </c>
      <c r="K154" s="2" t="s">
        <v>72</v>
      </c>
      <c r="L154" s="2" t="s">
        <v>86</v>
      </c>
      <c r="M154" s="19">
        <v>822211.79799999995</v>
      </c>
      <c r="N154" s="2">
        <v>70.682015000000007</v>
      </c>
      <c r="O154" s="2">
        <v>2.5000000000000001E-2</v>
      </c>
      <c r="P154" s="2" t="s">
        <v>70</v>
      </c>
      <c r="Q154" s="2">
        <v>0</v>
      </c>
      <c r="R154" s="2"/>
      <c r="S154" s="15" t="str">
        <f t="shared" si="15"/>
        <v>2022-12-31</v>
      </c>
      <c r="T154" s="4">
        <f t="shared" si="13"/>
        <v>44928</v>
      </c>
      <c r="U154" s="18">
        <v>0</v>
      </c>
    </row>
    <row r="155" spans="3:21" ht="33.75" customHeight="1" thickBot="1" x14ac:dyDescent="0.5">
      <c r="C155" s="5">
        <f t="shared" si="14"/>
        <v>999</v>
      </c>
      <c r="D155" s="2">
        <f>IF(E154="","",D154+1)</f>
        <v>148</v>
      </c>
      <c r="E155" s="2" t="str">
        <f t="shared" ref="E155:E168" si="16">IF(OR(F155="c001x   - Households",F155="c002x   - Micro &amp; SME"),"r0310 - Deposits, not covered but preferential (BRRD art. 108)","r0320 - Deposits, not covered and not preferential")</f>
        <v>r0320 - Deposits, not covered and not preferential</v>
      </c>
      <c r="F155" s="2" t="s">
        <v>65</v>
      </c>
      <c r="G155" s="2" t="str">
        <f t="shared" si="11"/>
        <v>Rank 12 - Ranking in insolvency (master scale)</v>
      </c>
      <c r="H155" s="2" t="str">
        <f>IF(D156&lt;10,"PTXSTJOM"&amp;"000"&amp;D156,IF(AND(D156&gt;=10,D156&lt;=100),"PTXSTJOM"&amp;"00"&amp;D156,IF(D156&gt;=100,"PTXSTJOM"&amp;"0"&amp;D156)))</f>
        <v>PTXSTJOM0149</v>
      </c>
      <c r="I155" s="2" t="str">
        <f t="shared" si="12"/>
        <v>M0149</v>
      </c>
      <c r="J155" s="2" t="s">
        <v>71</v>
      </c>
      <c r="K155" s="2" t="s">
        <v>72</v>
      </c>
      <c r="L155" s="2" t="s">
        <v>86</v>
      </c>
      <c r="M155" s="19">
        <v>3806427.7225939999</v>
      </c>
      <c r="N155" s="2">
        <v>209.46410700000001</v>
      </c>
      <c r="O155" s="2">
        <v>2.13483</v>
      </c>
      <c r="P155" s="2" t="s">
        <v>70</v>
      </c>
      <c r="Q155" s="2">
        <v>0</v>
      </c>
      <c r="R155" s="2"/>
      <c r="S155" s="15" t="str">
        <f t="shared" si="15"/>
        <v>2022-12-31</v>
      </c>
      <c r="T155" s="4">
        <f t="shared" si="13"/>
        <v>44928</v>
      </c>
      <c r="U155" s="18">
        <v>0</v>
      </c>
    </row>
    <row r="156" spans="3:21" ht="33.75" customHeight="1" thickBot="1" x14ac:dyDescent="0.5">
      <c r="C156" s="5">
        <f t="shared" si="14"/>
        <v>999</v>
      </c>
      <c r="D156" s="2">
        <f>IF(E155="","",D155+1)</f>
        <v>149</v>
      </c>
      <c r="E156" s="2" t="str">
        <f t="shared" si="16"/>
        <v>r0320 - Deposits, not covered and not preferential</v>
      </c>
      <c r="F156" s="2" t="s">
        <v>65</v>
      </c>
      <c r="G156" s="2" t="str">
        <f t="shared" si="11"/>
        <v>Rank 12 - Ranking in insolvency (master scale)</v>
      </c>
      <c r="H156" s="2" t="str">
        <f>IF(D157&lt;10,"PTXSTJOM"&amp;"000"&amp;D157,IF(AND(D157&gt;=10,D157&lt;=100),"PTXSTJOM"&amp;"00"&amp;D157,IF(D157&gt;=100,"PTXSTJOM"&amp;"0"&amp;D157)))</f>
        <v>PTXSTJOM0150</v>
      </c>
      <c r="I156" s="2" t="str">
        <f t="shared" si="12"/>
        <v>M0150</v>
      </c>
      <c r="J156" s="2" t="s">
        <v>71</v>
      </c>
      <c r="K156" s="2" t="s">
        <v>72</v>
      </c>
      <c r="L156" s="2" t="s">
        <v>87</v>
      </c>
      <c r="M156" s="19">
        <v>1451427.6392270001</v>
      </c>
      <c r="N156" s="2">
        <v>88.308644000000001</v>
      </c>
      <c r="O156" s="2">
        <v>0</v>
      </c>
      <c r="P156" s="2" t="s">
        <v>70</v>
      </c>
      <c r="Q156" s="2">
        <v>0</v>
      </c>
      <c r="R156" s="2"/>
      <c r="S156" s="15" t="str">
        <f t="shared" si="15"/>
        <v>2022-12-31</v>
      </c>
      <c r="T156" s="4">
        <f t="shared" si="13"/>
        <v>44928</v>
      </c>
      <c r="U156" s="18">
        <v>0</v>
      </c>
    </row>
    <row r="157" spans="3:21" ht="33.75" customHeight="1" thickBot="1" x14ac:dyDescent="0.5">
      <c r="C157" s="5">
        <f t="shared" si="14"/>
        <v>999</v>
      </c>
      <c r="D157" s="2">
        <f>IF(E156="","",D156+1)</f>
        <v>150</v>
      </c>
      <c r="E157" s="2" t="str">
        <f t="shared" si="16"/>
        <v>r0320 - Deposits, not covered and not preferential</v>
      </c>
      <c r="F157" s="2" t="s">
        <v>65</v>
      </c>
      <c r="G157" s="2" t="str">
        <f t="shared" si="11"/>
        <v>Rank 12 - Ranking in insolvency (master scale)</v>
      </c>
      <c r="H157" s="2" t="str">
        <f>IF(D158&lt;10,"PTXSTJOM"&amp;"000"&amp;D158,IF(AND(D158&gt;=10,D158&lt;=100),"PTXSTJOM"&amp;"00"&amp;D158,IF(D158&gt;=100,"PTXSTJOM"&amp;"0"&amp;D158)))</f>
        <v>PTXSTJOM0151</v>
      </c>
      <c r="I157" s="2" t="str">
        <f t="shared" si="12"/>
        <v>M0151</v>
      </c>
      <c r="J157" s="2" t="s">
        <v>71</v>
      </c>
      <c r="K157" s="2" t="s">
        <v>72</v>
      </c>
      <c r="L157" s="2" t="s">
        <v>88</v>
      </c>
      <c r="M157" s="19">
        <v>-0.26</v>
      </c>
      <c r="N157" s="2">
        <v>-0.01</v>
      </c>
      <c r="O157" s="2"/>
      <c r="P157" s="2" t="s">
        <v>70</v>
      </c>
      <c r="Q157" s="2">
        <v>0</v>
      </c>
      <c r="R157" s="2"/>
      <c r="S157" s="15" t="str">
        <f t="shared" si="15"/>
        <v>2022-12-31</v>
      </c>
      <c r="T157" s="4">
        <f t="shared" si="13"/>
        <v>44928</v>
      </c>
      <c r="U157" s="18">
        <v>0</v>
      </c>
    </row>
    <row r="158" spans="3:21" ht="33.75" customHeight="1" thickBot="1" x14ac:dyDescent="0.5">
      <c r="C158" s="5">
        <f t="shared" si="14"/>
        <v>999</v>
      </c>
      <c r="D158" s="2">
        <f>IF(E157="","",D157+1)</f>
        <v>151</v>
      </c>
      <c r="E158" s="2" t="str">
        <f t="shared" si="16"/>
        <v>r0320 - Deposits, not covered and not preferential</v>
      </c>
      <c r="F158" s="2" t="s">
        <v>65</v>
      </c>
      <c r="G158" s="2" t="str">
        <f t="shared" si="11"/>
        <v>Rank 12 - Ranking in insolvency (master scale)</v>
      </c>
      <c r="H158" s="2" t="str">
        <f>IF(D159&lt;10,"PTXSTJOM"&amp;"000"&amp;D159,IF(AND(D159&gt;=10,D159&lt;=100),"PTXSTJOM"&amp;"00"&amp;D159,IF(D159&gt;=100,"PTXSTJOM"&amp;"0"&amp;D159)))</f>
        <v>PTXSTJOM0152</v>
      </c>
      <c r="I158" s="2" t="str">
        <f t="shared" si="12"/>
        <v>M0152</v>
      </c>
      <c r="J158" s="2" t="s">
        <v>71</v>
      </c>
      <c r="K158" s="2" t="s">
        <v>72</v>
      </c>
      <c r="L158" s="2" t="s">
        <v>89</v>
      </c>
      <c r="M158" s="19">
        <v>978.32208200000002</v>
      </c>
      <c r="N158" s="2">
        <v>0</v>
      </c>
      <c r="O158" s="2"/>
      <c r="P158" s="2" t="s">
        <v>70</v>
      </c>
      <c r="Q158" s="2">
        <v>0</v>
      </c>
      <c r="R158" s="2"/>
      <c r="S158" s="15" t="str">
        <f t="shared" si="15"/>
        <v>2022-12-31</v>
      </c>
      <c r="T158" s="4">
        <f t="shared" si="13"/>
        <v>44928</v>
      </c>
      <c r="U158" s="18">
        <v>0</v>
      </c>
    </row>
    <row r="159" spans="3:21" ht="33.75" customHeight="1" thickBot="1" x14ac:dyDescent="0.5">
      <c r="C159" s="5">
        <f t="shared" si="14"/>
        <v>999</v>
      </c>
      <c r="D159" s="2">
        <f>IF(E158="","",D158+1)</f>
        <v>152</v>
      </c>
      <c r="E159" s="2" t="str">
        <f t="shared" si="16"/>
        <v>r0320 - Deposits, not covered and not preferential</v>
      </c>
      <c r="F159" s="2" t="s">
        <v>66</v>
      </c>
      <c r="G159" s="2" t="str">
        <f t="shared" si="11"/>
        <v>Rank 12 - Ranking in insolvency (master scale)</v>
      </c>
      <c r="H159" s="2" t="str">
        <f>IF(D160&lt;10,"PTXSTJOM"&amp;"000"&amp;D160,IF(AND(D160&gt;=10,D160&lt;=100),"PTXSTJOM"&amp;"00"&amp;D160,IF(D160&gt;=100,"PTXSTJOM"&amp;"0"&amp;D160)))</f>
        <v>PTXSTJOM0153</v>
      </c>
      <c r="I159" s="2" t="str">
        <f t="shared" si="12"/>
        <v>M0153</v>
      </c>
      <c r="J159" s="2" t="s">
        <v>71</v>
      </c>
      <c r="K159" s="2" t="s">
        <v>72</v>
      </c>
      <c r="L159" s="2" t="s">
        <v>87</v>
      </c>
      <c r="M159" s="19">
        <v>66501120.288767993</v>
      </c>
      <c r="N159" s="2">
        <v>117741.561973</v>
      </c>
      <c r="O159" s="2">
        <v>3.7999900000000002</v>
      </c>
      <c r="P159" s="2" t="s">
        <v>70</v>
      </c>
      <c r="Q159" s="2">
        <v>0</v>
      </c>
      <c r="R159" s="2"/>
      <c r="S159" s="15" t="str">
        <f t="shared" si="15"/>
        <v>2022-12-31</v>
      </c>
      <c r="T159" s="4">
        <f t="shared" si="13"/>
        <v>44928</v>
      </c>
      <c r="U159" s="18">
        <v>0</v>
      </c>
    </row>
    <row r="160" spans="3:21" ht="33.75" customHeight="1" thickBot="1" x14ac:dyDescent="0.5">
      <c r="C160" s="5">
        <f t="shared" si="14"/>
        <v>999</v>
      </c>
      <c r="D160" s="2">
        <f>IF(E159="","",D159+1)</f>
        <v>153</v>
      </c>
      <c r="E160" s="2" t="str">
        <f t="shared" si="16"/>
        <v>r0320 - Deposits, not covered and not preferential</v>
      </c>
      <c r="F160" s="2" t="s">
        <v>66</v>
      </c>
      <c r="G160" s="2" t="str">
        <f t="shared" si="11"/>
        <v>Rank 12 - Ranking in insolvency (master scale)</v>
      </c>
      <c r="H160" s="2" t="str">
        <f>IF(D161&lt;10,"PTXSTJOM"&amp;"000"&amp;D161,IF(AND(D161&gt;=10,D161&lt;=100),"PTXSTJOM"&amp;"00"&amp;D161,IF(D161&gt;=100,"PTXSTJOM"&amp;"0"&amp;D161)))</f>
        <v>PTXSTJOM0154</v>
      </c>
      <c r="I160" s="2" t="str">
        <f t="shared" si="12"/>
        <v>M0154</v>
      </c>
      <c r="J160" s="2" t="s">
        <v>71</v>
      </c>
      <c r="K160" s="2" t="s">
        <v>72</v>
      </c>
      <c r="L160" s="2" t="s">
        <v>88</v>
      </c>
      <c r="M160" s="19">
        <v>364915067.90000004</v>
      </c>
      <c r="N160" s="2">
        <v>993.75</v>
      </c>
      <c r="O160" s="2">
        <v>0.14587</v>
      </c>
      <c r="P160" s="2" t="s">
        <v>70</v>
      </c>
      <c r="Q160" s="2">
        <v>0</v>
      </c>
      <c r="R160" s="2"/>
      <c r="S160" s="15" t="str">
        <f t="shared" si="15"/>
        <v>2022-12-31</v>
      </c>
      <c r="T160" s="4">
        <f t="shared" si="13"/>
        <v>44928</v>
      </c>
      <c r="U160" s="18">
        <v>0</v>
      </c>
    </row>
    <row r="161" spans="3:21" ht="33.75" customHeight="1" thickBot="1" x14ac:dyDescent="0.5">
      <c r="C161" s="5">
        <f t="shared" si="14"/>
        <v>999</v>
      </c>
      <c r="D161" s="2">
        <f>IF(E160="","",D160+1)</f>
        <v>154</v>
      </c>
      <c r="E161" s="2" t="str">
        <f t="shared" si="16"/>
        <v>r0320 - Deposits, not covered and not preferential</v>
      </c>
      <c r="F161" s="2" t="s">
        <v>66</v>
      </c>
      <c r="G161" s="2" t="str">
        <f t="shared" si="11"/>
        <v>Rank 12 - Ranking in insolvency (master scale)</v>
      </c>
      <c r="H161" s="2" t="str">
        <f>IF(D162&lt;10,"PTXSTJOM"&amp;"000"&amp;D162,IF(AND(D162&gt;=10,D162&lt;=100),"PTXSTJOM"&amp;"00"&amp;D162,IF(D162&gt;=100,"PTXSTJOM"&amp;"0"&amp;D162)))</f>
        <v>PTXSTJOM0155</v>
      </c>
      <c r="I161" s="2" t="str">
        <f t="shared" si="12"/>
        <v>M0155</v>
      </c>
      <c r="J161" s="2" t="s">
        <v>71</v>
      </c>
      <c r="K161" s="2" t="s">
        <v>72</v>
      </c>
      <c r="L161" s="2" t="s">
        <v>88</v>
      </c>
      <c r="M161" s="19">
        <v>298244328.21000004</v>
      </c>
      <c r="N161" s="2">
        <v>139295.57</v>
      </c>
      <c r="O161" s="2">
        <v>0.52168999999999999</v>
      </c>
      <c r="P161" s="2" t="s">
        <v>70</v>
      </c>
      <c r="Q161" s="2">
        <v>0</v>
      </c>
      <c r="R161" s="2"/>
      <c r="S161" s="15" t="str">
        <f t="shared" si="15"/>
        <v>2022-12-31</v>
      </c>
      <c r="T161" s="4">
        <f t="shared" si="13"/>
        <v>44928</v>
      </c>
      <c r="U161" s="18">
        <v>0</v>
      </c>
    </row>
    <row r="162" spans="3:21" ht="33.75" customHeight="1" thickBot="1" x14ac:dyDescent="0.5">
      <c r="C162" s="5">
        <f t="shared" si="14"/>
        <v>999</v>
      </c>
      <c r="D162" s="2">
        <f>IF(E161="","",D161+1)</f>
        <v>155</v>
      </c>
      <c r="E162" s="2" t="str">
        <f t="shared" si="16"/>
        <v>r0320 - Deposits, not covered and not preferential</v>
      </c>
      <c r="F162" s="2" t="s">
        <v>67</v>
      </c>
      <c r="G162" s="2" t="str">
        <f t="shared" si="11"/>
        <v>Rank 12 - Ranking in insolvency (master scale)</v>
      </c>
      <c r="H162" s="2" t="str">
        <f>IF(D163&lt;10,"PTXSTJOM"&amp;"000"&amp;D163,IF(AND(D163&gt;=10,D163&lt;=100),"PTXSTJOM"&amp;"00"&amp;D163,IF(D163&gt;=100,"PTXSTJOM"&amp;"0"&amp;D163)))</f>
        <v>PTXSTJOM0156</v>
      </c>
      <c r="I162" s="2" t="str">
        <f t="shared" si="12"/>
        <v>M0156</v>
      </c>
      <c r="J162" s="2" t="s">
        <v>71</v>
      </c>
      <c r="K162" s="2" t="s">
        <v>72</v>
      </c>
      <c r="L162" s="2" t="s">
        <v>80</v>
      </c>
      <c r="M162" s="19">
        <v>2945673.730982</v>
      </c>
      <c r="N162" s="2">
        <v>0</v>
      </c>
      <c r="O162" s="2"/>
      <c r="P162" s="2" t="s">
        <v>70</v>
      </c>
      <c r="Q162" s="2">
        <v>0</v>
      </c>
      <c r="R162" s="2"/>
      <c r="S162" s="15" t="str">
        <f t="shared" si="15"/>
        <v>2022-12-31</v>
      </c>
      <c r="T162" s="4">
        <f t="shared" si="13"/>
        <v>44928</v>
      </c>
      <c r="U162" s="18">
        <v>0</v>
      </c>
    </row>
    <row r="163" spans="3:21" ht="33.75" customHeight="1" thickBot="1" x14ac:dyDescent="0.5">
      <c r="C163" s="5">
        <f t="shared" si="14"/>
        <v>999</v>
      </c>
      <c r="D163" s="2">
        <f>IF(E162="","",D162+1)</f>
        <v>156</v>
      </c>
      <c r="E163" s="2" t="str">
        <f t="shared" si="16"/>
        <v>r0320 - Deposits, not covered and not preferential</v>
      </c>
      <c r="F163" s="2" t="s">
        <v>67</v>
      </c>
      <c r="G163" s="2" t="str">
        <f t="shared" si="11"/>
        <v>Rank 12 - Ranking in insolvency (master scale)</v>
      </c>
      <c r="H163" s="2" t="str">
        <f>IF(D164&lt;10,"PTXSTJOM"&amp;"000"&amp;D164,IF(AND(D164&gt;=10,D164&lt;=100),"PTXSTJOM"&amp;"00"&amp;D164,IF(D164&gt;=100,"PTXSTJOM"&amp;"0"&amp;D164)))</f>
        <v>PTXSTJOM0157</v>
      </c>
      <c r="I163" s="2" t="str">
        <f t="shared" si="12"/>
        <v>M0157</v>
      </c>
      <c r="J163" s="2" t="s">
        <v>71</v>
      </c>
      <c r="K163" s="2" t="s">
        <v>72</v>
      </c>
      <c r="L163" s="2" t="s">
        <v>85</v>
      </c>
      <c r="M163" s="19">
        <v>1982657.1341520001</v>
      </c>
      <c r="N163" s="2">
        <v>740.92617099999995</v>
      </c>
      <c r="O163" s="2">
        <v>0.26700000000000002</v>
      </c>
      <c r="P163" s="2" t="s">
        <v>70</v>
      </c>
      <c r="Q163" s="2">
        <v>0</v>
      </c>
      <c r="R163" s="2"/>
      <c r="S163" s="15" t="str">
        <f t="shared" si="15"/>
        <v>2022-12-31</v>
      </c>
      <c r="T163" s="4">
        <f t="shared" si="13"/>
        <v>44928</v>
      </c>
      <c r="U163" s="18">
        <v>0</v>
      </c>
    </row>
    <row r="164" spans="3:21" ht="33.75" customHeight="1" thickBot="1" x14ac:dyDescent="0.5">
      <c r="C164" s="5">
        <f t="shared" si="14"/>
        <v>999</v>
      </c>
      <c r="D164" s="2">
        <f>IF(E163="","",D163+1)</f>
        <v>157</v>
      </c>
      <c r="E164" s="2" t="str">
        <f t="shared" si="16"/>
        <v>r0320 - Deposits, not covered and not preferential</v>
      </c>
      <c r="F164" s="2" t="s">
        <v>67</v>
      </c>
      <c r="G164" s="2" t="str">
        <f t="shared" si="11"/>
        <v>Rank 12 - Ranking in insolvency (master scale)</v>
      </c>
      <c r="H164" s="2" t="str">
        <f>IF(D165&lt;10,"PTXSTJOM"&amp;"000"&amp;D165,IF(AND(D165&gt;=10,D165&lt;=100),"PTXSTJOM"&amp;"00"&amp;D165,IF(D165&gt;=100,"PTXSTJOM"&amp;"0"&amp;D165)))</f>
        <v>PTXSTJOM0158</v>
      </c>
      <c r="I164" s="2" t="str">
        <f t="shared" si="12"/>
        <v>M0158</v>
      </c>
      <c r="J164" s="2" t="s">
        <v>71</v>
      </c>
      <c r="K164" s="2" t="s">
        <v>72</v>
      </c>
      <c r="L164" s="2" t="s">
        <v>86</v>
      </c>
      <c r="M164" s="19">
        <v>3705975.8492780002</v>
      </c>
      <c r="N164" s="2">
        <v>15887.172606</v>
      </c>
      <c r="O164" s="2">
        <v>0</v>
      </c>
      <c r="P164" s="2" t="s">
        <v>70</v>
      </c>
      <c r="Q164" s="2">
        <v>0</v>
      </c>
      <c r="R164" s="2"/>
      <c r="S164" s="15" t="str">
        <f t="shared" si="15"/>
        <v>2022-12-31</v>
      </c>
      <c r="T164" s="4">
        <f t="shared" si="13"/>
        <v>44928</v>
      </c>
      <c r="U164" s="18">
        <v>0</v>
      </c>
    </row>
    <row r="165" spans="3:21" ht="33.75" customHeight="1" thickBot="1" x14ac:dyDescent="0.5">
      <c r="C165" s="5">
        <f t="shared" si="14"/>
        <v>999</v>
      </c>
      <c r="D165" s="2">
        <f>IF(E164="","",D164+1)</f>
        <v>158</v>
      </c>
      <c r="E165" s="2" t="str">
        <f t="shared" si="16"/>
        <v>r0320 - Deposits, not covered and not preferential</v>
      </c>
      <c r="F165" s="2" t="s">
        <v>67</v>
      </c>
      <c r="G165" s="2" t="str">
        <f t="shared" si="11"/>
        <v>Rank 12 - Ranking in insolvency (master scale)</v>
      </c>
      <c r="H165" s="2" t="str">
        <f>IF(D166&lt;10,"PTXSTJOM"&amp;"000"&amp;D166,IF(AND(D166&gt;=10,D166&lt;=100),"PTXSTJOM"&amp;"00"&amp;D166,IF(D166&gt;=100,"PTXSTJOM"&amp;"0"&amp;D166)))</f>
        <v>PTXSTJOM0159</v>
      </c>
      <c r="I165" s="2" t="str">
        <f t="shared" si="12"/>
        <v>M0159</v>
      </c>
      <c r="J165" s="2" t="s">
        <v>71</v>
      </c>
      <c r="K165" s="2" t="s">
        <v>72</v>
      </c>
      <c r="L165" s="2" t="s">
        <v>87</v>
      </c>
      <c r="M165" s="19">
        <v>30464537.886743002</v>
      </c>
      <c r="N165" s="2">
        <v>182393.47459200001</v>
      </c>
      <c r="O165" s="2">
        <v>0</v>
      </c>
      <c r="P165" s="2" t="s">
        <v>70</v>
      </c>
      <c r="Q165" s="2">
        <v>0</v>
      </c>
      <c r="R165" s="2"/>
      <c r="S165" s="15" t="str">
        <f t="shared" si="15"/>
        <v>2022-12-31</v>
      </c>
      <c r="T165" s="4">
        <f t="shared" si="13"/>
        <v>44928</v>
      </c>
      <c r="U165" s="18">
        <v>0</v>
      </c>
    </row>
    <row r="166" spans="3:21" ht="33.75" customHeight="1" thickBot="1" x14ac:dyDescent="0.5">
      <c r="C166" s="5">
        <f t="shared" si="14"/>
        <v>999</v>
      </c>
      <c r="D166" s="2">
        <f>IF(E165="","",D165+1)</f>
        <v>159</v>
      </c>
      <c r="E166" s="2" t="str">
        <f t="shared" si="16"/>
        <v>r0320 - Deposits, not covered and not preferential</v>
      </c>
      <c r="F166" s="2" t="s">
        <v>67</v>
      </c>
      <c r="G166" s="2" t="str">
        <f t="shared" si="11"/>
        <v>Rank 12 - Ranking in insolvency (master scale)</v>
      </c>
      <c r="H166" s="2" t="str">
        <f>IF(D167&lt;10,"PTXSTJOM"&amp;"000"&amp;D167,IF(AND(D167&gt;=10,D167&lt;=100),"PTXSTJOM"&amp;"00"&amp;D167,IF(D167&gt;=100,"PTXSTJOM"&amp;"0"&amp;D167)))</f>
        <v>PTXSTJOM0160</v>
      </c>
      <c r="I166" s="2" t="str">
        <f t="shared" si="12"/>
        <v>M0160</v>
      </c>
      <c r="J166" s="2" t="s">
        <v>71</v>
      </c>
      <c r="K166" s="2" t="s">
        <v>72</v>
      </c>
      <c r="L166" s="2" t="s">
        <v>88</v>
      </c>
      <c r="M166" s="19">
        <v>546460596.63</v>
      </c>
      <c r="N166" s="2">
        <v>333831.84000000003</v>
      </c>
      <c r="O166" s="2">
        <v>2.4510000000000001E-2</v>
      </c>
      <c r="P166" s="2" t="s">
        <v>70</v>
      </c>
      <c r="Q166" s="2">
        <v>0</v>
      </c>
      <c r="R166" s="2"/>
      <c r="S166" s="15" t="str">
        <f t="shared" si="15"/>
        <v>2022-12-31</v>
      </c>
      <c r="T166" s="4">
        <f t="shared" si="13"/>
        <v>44928</v>
      </c>
      <c r="U166" s="18">
        <v>0</v>
      </c>
    </row>
    <row r="167" spans="3:21" ht="33.75" customHeight="1" thickBot="1" x14ac:dyDescent="0.5">
      <c r="C167" s="5">
        <f t="shared" si="14"/>
        <v>999</v>
      </c>
      <c r="D167" s="2">
        <f>IF(E166="","",D166+1)</f>
        <v>160</v>
      </c>
      <c r="E167" s="2" t="str">
        <f t="shared" si="16"/>
        <v>r0320 - Deposits, not covered and not preferential</v>
      </c>
      <c r="F167" s="2" t="s">
        <v>67</v>
      </c>
      <c r="G167" s="2" t="str">
        <f t="shared" si="11"/>
        <v>Rank 12 - Ranking in insolvency (master scale)</v>
      </c>
      <c r="H167" s="2" t="str">
        <f>IF(D168&lt;10,"PTXSTJOM"&amp;"000"&amp;D168,IF(AND(D168&gt;=10,D168&lt;=100),"PTXSTJOM"&amp;"00"&amp;D168,IF(D168&gt;=100,"PTXSTJOM"&amp;"0"&amp;D168)))</f>
        <v>PTXSTJOM0161</v>
      </c>
      <c r="I167" s="2" t="str">
        <f t="shared" si="12"/>
        <v>M0161</v>
      </c>
      <c r="J167" s="2" t="s">
        <v>71</v>
      </c>
      <c r="K167" s="2" t="s">
        <v>72</v>
      </c>
      <c r="L167" s="2" t="s">
        <v>88</v>
      </c>
      <c r="M167" s="19">
        <v>575409273.20000005</v>
      </c>
      <c r="N167" s="2">
        <v>8005.2</v>
      </c>
      <c r="O167" s="2">
        <v>0.11794</v>
      </c>
      <c r="P167" s="2" t="s">
        <v>70</v>
      </c>
      <c r="Q167" s="2">
        <v>0</v>
      </c>
      <c r="R167" s="2"/>
      <c r="S167" s="15" t="str">
        <f t="shared" si="15"/>
        <v>2022-12-31</v>
      </c>
      <c r="T167" s="4">
        <f t="shared" si="13"/>
        <v>44928</v>
      </c>
      <c r="U167" s="18">
        <v>0</v>
      </c>
    </row>
    <row r="168" spans="3:21" ht="33.75" customHeight="1" thickBot="1" x14ac:dyDescent="0.5">
      <c r="C168" s="5">
        <f t="shared" si="14"/>
        <v>999</v>
      </c>
      <c r="D168" s="2">
        <f>IF(E167="","",D167+1)</f>
        <v>161</v>
      </c>
      <c r="E168" s="2" t="str">
        <f t="shared" si="16"/>
        <v>r0320 - Deposits, not covered and not preferential</v>
      </c>
      <c r="F168" s="2" t="s">
        <v>67</v>
      </c>
      <c r="G168" s="2" t="str">
        <f t="shared" si="11"/>
        <v>Rank 12 - Ranking in insolvency (master scale)</v>
      </c>
      <c r="H168" s="2" t="e">
        <f>IF(#REF!&lt;10,"PTXSTJOM"&amp;"000"&amp;#REF!,IF(AND(#REF!&gt;=10,#REF!&lt;=100),"PTXSTJOM"&amp;"00"&amp;#REF!,IF(#REF!&gt;=100,"PTXSTJOM"&amp;"0"&amp;#REF!)))</f>
        <v>#REF!</v>
      </c>
      <c r="I168" s="2" t="e">
        <f t="shared" si="12"/>
        <v>#REF!</v>
      </c>
      <c r="J168" s="2" t="s">
        <v>71</v>
      </c>
      <c r="K168" s="2" t="s">
        <v>72</v>
      </c>
      <c r="L168" s="2" t="s">
        <v>88</v>
      </c>
      <c r="M168" s="19">
        <v>1299.3699999999999</v>
      </c>
      <c r="N168" s="2">
        <v>0</v>
      </c>
      <c r="O168" s="2"/>
      <c r="P168" s="2" t="s">
        <v>70</v>
      </c>
      <c r="Q168" s="2">
        <v>0</v>
      </c>
      <c r="R168" s="2"/>
      <c r="S168" s="15" t="str">
        <f t="shared" si="15"/>
        <v>2022-12-31</v>
      </c>
      <c r="T168" s="4">
        <f t="shared" si="13"/>
        <v>44928</v>
      </c>
      <c r="U168" s="18">
        <v>0</v>
      </c>
    </row>
  </sheetData>
  <mergeCells count="5">
    <mergeCell ref="A1:U1"/>
    <mergeCell ref="D4:U4"/>
    <mergeCell ref="E5:F5"/>
    <mergeCell ref="G5:U5"/>
    <mergeCell ref="V5:V6"/>
  </mergeCells>
  <conditionalFormatting sqref="D8:U168">
    <cfRule type="expression" dxfId="1" priority="15">
      <formula>LEN(TRIM(D8))=0</formula>
    </cfRule>
  </conditionalFormatting>
  <conditionalFormatting sqref="D8:T168">
    <cfRule type="expression" dxfId="0" priority="1">
      <formula>LEN(TRIM(D8))=0</formula>
    </cfRule>
  </conditionalFormatting>
  <pageMargins left="0.7" right="0.7" top="0.75" bottom="0.75" header="0.3" footer="0.3"/>
  <pageSetup paperSize="9" orientation="portrait" r:id="rId1"/>
  <headerFooter>
    <oddHeader>&amp;L&amp;"Calibri"&amp;10&amp;K000000Confidential&amp;1#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4"/>
  <sheetViews>
    <sheetView showGridLines="0" workbookViewId="0">
      <pane ySplit="1" topLeftCell="A50" activePane="bottomLeft" state="frozen"/>
      <selection pane="bottomLeft" activeCell="A2" sqref="A2:A82"/>
    </sheetView>
  </sheetViews>
  <sheetFormatPr defaultRowHeight="14.25" x14ac:dyDescent="0.45"/>
  <cols>
    <col min="1" max="1" width="23" bestFit="1" customWidth="1"/>
    <col min="2" max="2" width="20.59765625" style="34" bestFit="1" customWidth="1"/>
    <col min="3" max="3" width="25.73046875" style="34" bestFit="1" customWidth="1"/>
    <col min="4" max="4" width="25" bestFit="1" customWidth="1"/>
    <col min="5" max="5" width="30.73046875" bestFit="1" customWidth="1"/>
    <col min="6" max="6" width="30.1328125" bestFit="1" customWidth="1"/>
    <col min="7" max="7" width="9.265625" bestFit="1" customWidth="1"/>
    <col min="8" max="8" width="23.265625" bestFit="1" customWidth="1"/>
    <col min="9" max="9" width="28.265625" bestFit="1" customWidth="1"/>
    <col min="10" max="10" width="27.73046875" bestFit="1" customWidth="1"/>
    <col min="11" max="11" width="31.86328125" bestFit="1" customWidth="1"/>
    <col min="12" max="12" width="10.3984375" bestFit="1" customWidth="1"/>
    <col min="13" max="13" width="11.59765625" bestFit="1" customWidth="1"/>
    <col min="14" max="14" width="21" bestFit="1" customWidth="1"/>
    <col min="15" max="15" width="21.73046875" bestFit="1" customWidth="1"/>
    <col min="16" max="16" width="26.265625" bestFit="1" customWidth="1"/>
    <col min="17" max="17" width="26.1328125" bestFit="1" customWidth="1"/>
  </cols>
  <sheetData>
    <row r="1" spans="1:22" x14ac:dyDescent="0.45">
      <c r="A1" t="s">
        <v>95</v>
      </c>
      <c r="B1" s="34" t="s">
        <v>0</v>
      </c>
      <c r="C1" s="34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</row>
    <row r="2" spans="1:22" x14ac:dyDescent="0.45">
      <c r="C2" s="34">
        <v>-0.03</v>
      </c>
      <c r="H2" s="20"/>
      <c r="I2" s="20"/>
      <c r="L2" t="s">
        <v>100</v>
      </c>
      <c r="N2" s="21"/>
      <c r="O2" s="21"/>
      <c r="R2" t="str">
        <f>+IF(AND(M2="S128",F2="outras instituicoes financeiras"),"c006x   - Insurance firms &amp; pension funds",IF(F2="particulares","c001x   - Households",IF(AND(F2="outras empresas nao financeiras",G2="1"),"c002x   - Micro &amp; SME",IF(AND(F2="outras empresas nao financeiras",OR(G2="0",G2="")),"c003x   - Corporates",IF(F2="instituicoes de credito","c004x   - Institutions",IF(F2="outras instituicoes financeiras","c005x   - Other financial corporations",IF(F2="setor publico","c008x   - Government, central banks &amp; supranationals","")))))))</f>
        <v/>
      </c>
      <c r="S2" s="21">
        <f t="shared" ref="S2:S33" si="0">SUM(N2:Q2)</f>
        <v>0</v>
      </c>
      <c r="T2">
        <f t="shared" ref="T2:T33" si="1">IF(D2="",B2-S2,(B2+D2)-S2)</f>
        <v>0</v>
      </c>
      <c r="U2">
        <f t="shared" ref="U2:U33" si="2">IF(E2="",C2,C2+E2)</f>
        <v>-0.03</v>
      </c>
      <c r="V2">
        <v>0</v>
      </c>
    </row>
    <row r="3" spans="1:22" x14ac:dyDescent="0.45">
      <c r="A3" t="s">
        <v>76</v>
      </c>
      <c r="B3" s="34">
        <v>7156618.0462490004</v>
      </c>
      <c r="C3" s="34">
        <v>11853.520673999999</v>
      </c>
      <c r="F3" t="s">
        <v>20</v>
      </c>
      <c r="G3" t="s">
        <v>17</v>
      </c>
      <c r="H3" s="20">
        <v>6.4729999999999996E-2</v>
      </c>
      <c r="I3">
        <v>0.14255000000000001</v>
      </c>
      <c r="L3" t="s">
        <v>100</v>
      </c>
      <c r="N3" s="21">
        <v>0</v>
      </c>
      <c r="O3" s="21">
        <v>2081319.1858830601</v>
      </c>
      <c r="R3" t="str">
        <f>+IF(AND(M3="S128",F3="outras instituicoes financeiras"),"c006x   - Insurance firms &amp; pension funds",IF(F3="particulares","c001x   - Households",IF(AND(F3="outras empresas nao financeiras",G3="1"),"c002x   - Micro &amp; SME",IF(AND(F3="outras empresas nao financeiras",OR(G3="0",G3="")),"c003x   - Corporates",IF(F3="instituicoes de credito","c004x   - Institutions",IF(F3="outras instituicoes financeiras","c005x   - Other financial corporations",IF(F3="setor publico","c008x   - Government, central banks &amp; supranationals","")))))))</f>
        <v>c001x   - Households</v>
      </c>
      <c r="S3" s="21">
        <f t="shared" si="0"/>
        <v>2081319.1858830601</v>
      </c>
      <c r="T3">
        <f t="shared" si="1"/>
        <v>5075298.8603659403</v>
      </c>
      <c r="U3">
        <f t="shared" si="2"/>
        <v>11853.520673999999</v>
      </c>
      <c r="V3">
        <v>0</v>
      </c>
    </row>
    <row r="4" spans="1:22" x14ac:dyDescent="0.45">
      <c r="A4" t="s">
        <v>76</v>
      </c>
      <c r="B4" s="34">
        <v>11081.291021000001</v>
      </c>
      <c r="F4" t="s">
        <v>20</v>
      </c>
      <c r="G4" t="s">
        <v>18</v>
      </c>
      <c r="H4" s="20">
        <v>0</v>
      </c>
      <c r="I4" s="20"/>
      <c r="L4" t="s">
        <v>100</v>
      </c>
      <c r="N4">
        <v>0</v>
      </c>
      <c r="O4">
        <v>11081.29</v>
      </c>
      <c r="R4" t="str">
        <f>+IF(AND(M4="S128",F4="outras instituicoes financeiras"),"c006x   - Insurance firms &amp; pension funds",IF(F4="particulares","c001x   - Households",IF(AND(F4="outras empresas nao financeiras",G4="1"),"c002x   - Micro &amp; SME",IF(AND(F4="outras empresas nao financeiras",OR(G4="0",G4="")),"c003x   - Corporates",IF(F4="instituicoes de credito","c004x   - Institutions",IF(F4="outras instituicoes financeiras","c005x   - Other financial corporations",IF(F4="setor publico","c008x   - Government, central banks &amp; supranationals","")))))))</f>
        <v>c001x   - Households</v>
      </c>
      <c r="S4" s="21">
        <f t="shared" si="0"/>
        <v>11081.29</v>
      </c>
      <c r="T4">
        <f t="shared" si="1"/>
        <v>1.0210000000370201E-3</v>
      </c>
      <c r="U4">
        <f t="shared" si="2"/>
        <v>0</v>
      </c>
      <c r="V4">
        <v>0</v>
      </c>
    </row>
    <row r="5" spans="1:22" x14ac:dyDescent="0.45">
      <c r="A5" t="s">
        <v>77</v>
      </c>
      <c r="B5" s="34">
        <v>422457.36842000001</v>
      </c>
      <c r="C5" s="34">
        <v>131.14265900000001</v>
      </c>
      <c r="F5" t="s">
        <v>20</v>
      </c>
      <c r="G5" t="s">
        <v>18</v>
      </c>
      <c r="H5" s="20">
        <v>6.5790000000000001E-2</v>
      </c>
      <c r="I5" s="20">
        <v>0.41665999999999997</v>
      </c>
      <c r="L5" t="s">
        <v>100</v>
      </c>
      <c r="N5">
        <v>0</v>
      </c>
      <c r="O5">
        <v>409594.68826262001</v>
      </c>
      <c r="R5" t="str">
        <f>+IF(AND(M5="S128",F5="outras instituicoes financeiras"),"c006x   - Insurance firms &amp; pension funds",IF(F5="particulares","c001x   - Households",IF(AND(F5="outras empresas nao financeiras",G5="1"),"c002x   - Micro &amp; SME",IF(AND(F5="outras empresas nao financeiras",OR(G5="0",G5="")),"c003x   - Corporates",IF(F5="instituicoes de credito","c004x   - Institutions",IF(F5="outras instituicoes financeiras","c005x   - Other financial corporations",IF(F5="setor publico","c008x   - Government, central banks &amp; supranationals","")))))))</f>
        <v>c001x   - Households</v>
      </c>
      <c r="S5" s="21">
        <f t="shared" si="0"/>
        <v>409594.68826262001</v>
      </c>
      <c r="T5">
        <f t="shared" si="1"/>
        <v>12862.680157380004</v>
      </c>
      <c r="U5">
        <f t="shared" si="2"/>
        <v>131.14265900000001</v>
      </c>
      <c r="V5">
        <v>0</v>
      </c>
    </row>
    <row r="6" spans="1:22" x14ac:dyDescent="0.45">
      <c r="A6" t="s">
        <v>77</v>
      </c>
      <c r="B6" s="34">
        <v>50389025.879414998</v>
      </c>
      <c r="C6" s="34">
        <v>135202.45151700001</v>
      </c>
      <c r="F6" t="s">
        <v>20</v>
      </c>
      <c r="G6" t="s">
        <v>17</v>
      </c>
      <c r="H6" s="20">
        <v>0.13593</v>
      </c>
      <c r="I6">
        <v>0.42909000000000003</v>
      </c>
      <c r="L6" t="s">
        <v>100</v>
      </c>
      <c r="N6" s="21">
        <v>0</v>
      </c>
      <c r="O6" s="21">
        <v>26387909.922211301</v>
      </c>
      <c r="R6" t="str">
        <f>+IF(AND(M6="S128",F6="outras instituicoes financeiras"),"c006x   - Insurance firms &amp; pension funds",IF(F6="particulares","c001x   - Households",IF(AND(F6="outras empresas nao financeiras",G6="1"),"c002x   - Micro &amp; SME",IF(AND(F6="outras empresas nao financeiras",OR(G6="0",G6="")),"c003x   - Corporates",IF(F6="instituicoes de credito","c004x   - Institutions",IF(F6="outras instituicoes financeiras","c005x   - Other financial corporations",IF(F6="setor publico","c008x   - Government, central banks &amp; supranationals","")))))))</f>
        <v>c001x   - Households</v>
      </c>
      <c r="S6" s="21">
        <f t="shared" si="0"/>
        <v>26387909.922211301</v>
      </c>
      <c r="T6">
        <f t="shared" si="1"/>
        <v>24001115.957203697</v>
      </c>
      <c r="U6">
        <f t="shared" si="2"/>
        <v>135202.45151700001</v>
      </c>
      <c r="V6">
        <v>0</v>
      </c>
    </row>
    <row r="7" spans="1:22" x14ac:dyDescent="0.45">
      <c r="A7" t="s">
        <v>79</v>
      </c>
      <c r="B7" s="34">
        <v>985512.40502900002</v>
      </c>
      <c r="C7" s="34">
        <v>25.791702999999998</v>
      </c>
      <c r="F7" t="s">
        <v>20</v>
      </c>
      <c r="G7" t="s">
        <v>17</v>
      </c>
      <c r="H7" s="20">
        <v>2.5000000000000001E-2</v>
      </c>
      <c r="I7">
        <v>0.05</v>
      </c>
      <c r="L7" t="s">
        <v>100</v>
      </c>
      <c r="N7">
        <v>0</v>
      </c>
      <c r="O7">
        <v>43258.823308179999</v>
      </c>
      <c r="R7" t="str">
        <f>+IF(AND(M7="S128",F7="outras instituicoes financeiras"),"c006x   - Insurance firms &amp; pension funds",IF(F7="particulares","c001x   - Households",IF(AND(F7="outras empresas nao financeiras",G7="1"),"c002x   - Micro &amp; SME",IF(AND(F7="outras empresas nao financeiras",OR(G7="0",G7="")),"c003x   - Corporates",IF(F7="instituicoes de credito","c004x   - Institutions",IF(F7="outras instituicoes financeiras","c005x   - Other financial corporations",IF(F7="setor publico","c008x   - Government, central banks &amp; supranationals","")))))))</f>
        <v>c001x   - Households</v>
      </c>
      <c r="S7" s="21">
        <f t="shared" si="0"/>
        <v>43258.823308179999</v>
      </c>
      <c r="T7">
        <f t="shared" si="1"/>
        <v>942253.58172082005</v>
      </c>
      <c r="U7">
        <f t="shared" si="2"/>
        <v>25.791702999999998</v>
      </c>
      <c r="V7">
        <v>0</v>
      </c>
    </row>
    <row r="8" spans="1:22" x14ac:dyDescent="0.45">
      <c r="A8" t="s">
        <v>80</v>
      </c>
      <c r="B8" s="34">
        <v>1.0237E-2</v>
      </c>
      <c r="F8" t="s">
        <v>20</v>
      </c>
      <c r="G8" t="s">
        <v>18</v>
      </c>
      <c r="H8" s="20">
        <v>0</v>
      </c>
      <c r="I8" s="20"/>
      <c r="L8" t="s">
        <v>100</v>
      </c>
      <c r="N8">
        <v>0</v>
      </c>
      <c r="O8">
        <v>0.01</v>
      </c>
      <c r="R8" t="str">
        <f>+IF(AND(M8="S128",F8="outras instituicoes financeiras"),"c006x   - Insurance firms &amp; pension funds",IF(F8="particulares","c001x   - Households",IF(AND(F8="outras empresas nao financeiras",G8="1"),"c002x   - Micro &amp; SME",IF(AND(F8="outras empresas nao financeiras",OR(G8="0",G8="")),"c003x   - Corporates",IF(F8="instituicoes de credito","c004x   - Institutions",IF(F8="outras instituicoes financeiras","c005x   - Other financial corporations",IF(F8="setor publico","c008x   - Government, central banks &amp; supranationals","")))))))</f>
        <v>c001x   - Households</v>
      </c>
      <c r="S8" s="21">
        <f t="shared" si="0"/>
        <v>0.01</v>
      </c>
      <c r="T8">
        <f t="shared" si="1"/>
        <v>2.3699999999999936E-4</v>
      </c>
      <c r="U8">
        <f t="shared" si="2"/>
        <v>0</v>
      </c>
      <c r="V8">
        <v>0</v>
      </c>
    </row>
    <row r="9" spans="1:22" x14ac:dyDescent="0.45">
      <c r="A9" t="s">
        <v>80</v>
      </c>
      <c r="B9" s="34">
        <v>604686.63656500005</v>
      </c>
      <c r="C9" s="34">
        <v>0.51898200000000005</v>
      </c>
      <c r="F9" t="s">
        <v>20</v>
      </c>
      <c r="G9" t="s">
        <v>17</v>
      </c>
      <c r="H9" s="20">
        <v>0.01</v>
      </c>
      <c r="I9">
        <v>0.05</v>
      </c>
      <c r="L9" t="s">
        <v>100</v>
      </c>
      <c r="N9">
        <v>0</v>
      </c>
      <c r="O9">
        <v>12116.910846700001</v>
      </c>
      <c r="R9" t="str">
        <f>+IF(AND(M9="S128",F9="outras instituicoes financeiras"),"c006x   - Insurance firms &amp; pension funds",IF(F9="particulares","c001x   - Households",IF(AND(F9="outras empresas nao financeiras",G9="1"),"c002x   - Micro &amp; SME",IF(AND(F9="outras empresas nao financeiras",OR(G9="0",G9="")),"c003x   - Corporates",IF(F9="instituicoes de credito","c004x   - Institutions",IF(F9="outras instituicoes financeiras","c005x   - Other financial corporations",IF(F9="setor publico","c008x   - Government, central banks &amp; supranationals","")))))))</f>
        <v>c001x   - Households</v>
      </c>
      <c r="S9" s="21">
        <f t="shared" si="0"/>
        <v>12116.910846700001</v>
      </c>
      <c r="T9">
        <f t="shared" si="1"/>
        <v>592569.72571830009</v>
      </c>
      <c r="U9">
        <f t="shared" si="2"/>
        <v>0.51898200000000005</v>
      </c>
      <c r="V9">
        <v>0</v>
      </c>
    </row>
    <row r="10" spans="1:22" x14ac:dyDescent="0.45">
      <c r="A10" t="s">
        <v>81</v>
      </c>
      <c r="B10" s="34">
        <v>4.84E-4</v>
      </c>
      <c r="F10" t="s">
        <v>20</v>
      </c>
      <c r="G10" t="s">
        <v>17</v>
      </c>
      <c r="H10" s="20"/>
      <c r="L10" t="s">
        <v>100</v>
      </c>
      <c r="N10" s="21">
        <v>0</v>
      </c>
      <c r="O10" s="21">
        <v>0</v>
      </c>
      <c r="R10" t="str">
        <f>+IF(AND(M10="S128",F10="outras instituicoes financeiras"),"c006x   - Insurance firms &amp; pension funds",IF(F10="particulares","c001x   - Households",IF(AND(F10="outras empresas nao financeiras",G10="1"),"c002x   - Micro &amp; SME",IF(AND(F10="outras empresas nao financeiras",OR(G10="0",G10="")),"c003x   - Corporates",IF(F10="instituicoes de credito","c004x   - Institutions",IF(F10="outras instituicoes financeiras","c005x   - Other financial corporations",IF(F10="setor publico","c008x   - Government, central banks &amp; supranationals","")))))))</f>
        <v>c001x   - Households</v>
      </c>
      <c r="S10" s="21">
        <f t="shared" si="0"/>
        <v>0</v>
      </c>
      <c r="T10">
        <f t="shared" si="1"/>
        <v>4.84E-4</v>
      </c>
      <c r="U10">
        <f t="shared" si="2"/>
        <v>0</v>
      </c>
      <c r="V10">
        <v>0</v>
      </c>
    </row>
    <row r="11" spans="1:22" x14ac:dyDescent="0.45">
      <c r="A11" t="s">
        <v>82</v>
      </c>
      <c r="B11" s="34">
        <v>5120328.3294270001</v>
      </c>
      <c r="C11" s="34">
        <v>16169.010253</v>
      </c>
      <c r="D11" s="1"/>
      <c r="E11" s="1"/>
      <c r="F11" t="s">
        <v>20</v>
      </c>
      <c r="G11" t="s">
        <v>17</v>
      </c>
      <c r="H11" s="20">
        <v>5.9389999999999998E-2</v>
      </c>
      <c r="I11" s="20">
        <v>0.10521</v>
      </c>
      <c r="J11" s="20"/>
      <c r="K11" s="20"/>
      <c r="L11" t="s">
        <v>100</v>
      </c>
      <c r="N11">
        <v>0</v>
      </c>
      <c r="O11">
        <v>1138634.7982846301</v>
      </c>
      <c r="R11" t="str">
        <f>+IF(AND(M11="S128",F11="outras instituicoes financeiras"),"c006x   - Insurance firms &amp; pension funds",IF(F11="particulares","c001x   - Households",IF(AND(F11="outras empresas nao financeiras",G11="1"),"c002x   - Micro &amp; SME",IF(AND(F11="outras empresas nao financeiras",OR(G11="0",G11="")),"c003x   - Corporates",IF(F11="instituicoes de credito","c004x   - Institutions",IF(F11="outras instituicoes financeiras","c005x   - Other financial corporations",IF(F11="setor publico","c008x   - Government, central banks &amp; supranationals","")))))))</f>
        <v>c001x   - Households</v>
      </c>
      <c r="S11" s="21">
        <f t="shared" si="0"/>
        <v>1138634.7982846301</v>
      </c>
      <c r="T11">
        <f t="shared" si="1"/>
        <v>3981693.5311423698</v>
      </c>
      <c r="U11">
        <f t="shared" si="2"/>
        <v>16169.010253</v>
      </c>
      <c r="V11">
        <v>0</v>
      </c>
    </row>
    <row r="12" spans="1:22" x14ac:dyDescent="0.45">
      <c r="A12" t="s">
        <v>83</v>
      </c>
      <c r="B12" s="34">
        <v>14986.648139000001</v>
      </c>
      <c r="C12" s="34">
        <v>0.333175</v>
      </c>
      <c r="F12" t="s">
        <v>20</v>
      </c>
      <c r="G12" t="s">
        <v>18</v>
      </c>
      <c r="H12" s="20">
        <v>0.05</v>
      </c>
      <c r="I12" s="20"/>
      <c r="L12" t="s">
        <v>100</v>
      </c>
      <c r="N12" s="21">
        <v>0</v>
      </c>
      <c r="O12" s="21">
        <v>14986.65</v>
      </c>
      <c r="R12" t="str">
        <f>+IF(AND(M12="S128",F12="outras instituicoes financeiras"),"c006x   - Insurance firms &amp; pension funds",IF(F12="particulares","c001x   - Households",IF(AND(F12="outras empresas nao financeiras",G12="1"),"c002x   - Micro &amp; SME",IF(AND(F12="outras empresas nao financeiras",OR(G12="0",G12="")),"c003x   - Corporates",IF(F12="instituicoes de credito","c004x   - Institutions",IF(F12="outras instituicoes financeiras","c005x   - Other financial corporations",IF(F12="setor publico","c008x   - Government, central banks &amp; supranationals","")))))))</f>
        <v>c001x   - Households</v>
      </c>
      <c r="S12" s="21">
        <f t="shared" si="0"/>
        <v>14986.65</v>
      </c>
      <c r="T12">
        <f t="shared" si="1"/>
        <v>-1.8609999988257186E-3</v>
      </c>
      <c r="U12">
        <f t="shared" si="2"/>
        <v>0.333175</v>
      </c>
      <c r="V12">
        <v>0</v>
      </c>
    </row>
    <row r="13" spans="1:22" x14ac:dyDescent="0.45">
      <c r="A13" t="s">
        <v>83</v>
      </c>
      <c r="B13" s="34">
        <v>322107.38013300003</v>
      </c>
      <c r="C13" s="34">
        <v>2984.3308320000001</v>
      </c>
      <c r="F13" t="s">
        <v>20</v>
      </c>
      <c r="G13" t="s">
        <v>17</v>
      </c>
      <c r="H13" s="20">
        <v>0.50832999999999995</v>
      </c>
      <c r="I13" s="20">
        <v>2.2374999999999998</v>
      </c>
      <c r="L13" t="s">
        <v>100</v>
      </c>
      <c r="N13" s="21">
        <v>0</v>
      </c>
      <c r="O13" s="21">
        <v>40203.098566770001</v>
      </c>
      <c r="R13" t="str">
        <f>+IF(AND(M13="S128",F13="outras instituicoes financeiras"),"c006x   - Insurance firms &amp; pension funds",IF(F13="particulares","c001x   - Households",IF(AND(F13="outras empresas nao financeiras",G13="1"),"c002x   - Micro &amp; SME",IF(AND(F13="outras empresas nao financeiras",OR(G13="0",G13="")),"c003x   - Corporates",IF(F13="instituicoes de credito","c004x   - Institutions",IF(F13="outras instituicoes financeiras","c005x   - Other financial corporations",IF(F13="setor publico","c008x   - Government, central banks &amp; supranationals","")))))))</f>
        <v>c001x   - Households</v>
      </c>
      <c r="S13" s="21">
        <f t="shared" si="0"/>
        <v>40203.098566770001</v>
      </c>
      <c r="T13">
        <f t="shared" si="1"/>
        <v>281904.28156623</v>
      </c>
      <c r="U13">
        <f t="shared" si="2"/>
        <v>2984.3308320000001</v>
      </c>
      <c r="V13">
        <v>0</v>
      </c>
    </row>
    <row r="14" spans="1:22" x14ac:dyDescent="0.45">
      <c r="A14" t="s">
        <v>84</v>
      </c>
      <c r="B14" s="34">
        <v>521766.04775899998</v>
      </c>
      <c r="C14" s="34">
        <v>14.247695</v>
      </c>
      <c r="F14" t="s">
        <v>20</v>
      </c>
      <c r="G14" t="s">
        <v>17</v>
      </c>
      <c r="H14" s="20">
        <v>1.822E-2</v>
      </c>
      <c r="I14">
        <v>0.05</v>
      </c>
      <c r="L14" t="s">
        <v>100</v>
      </c>
      <c r="N14" s="21">
        <v>0</v>
      </c>
      <c r="O14" s="21">
        <v>367447.07526736002</v>
      </c>
      <c r="R14" t="str">
        <f>+IF(AND(M14="S128",F14="outras instituicoes financeiras"),"c006x   - Insurance firms &amp; pension funds",IF(F14="particulares","c001x   - Households",IF(AND(F14="outras empresas nao financeiras",G14="1"),"c002x   - Micro &amp; SME",IF(AND(F14="outras empresas nao financeiras",OR(G14="0",G14="")),"c003x   - Corporates",IF(F14="instituicoes de credito","c004x   - Institutions",IF(F14="outras instituicoes financeiras","c005x   - Other financial corporations",IF(F14="setor publico","c008x   - Government, central banks &amp; supranationals","")))))))</f>
        <v>c001x   - Households</v>
      </c>
      <c r="S14" s="21">
        <f t="shared" si="0"/>
        <v>367447.07526736002</v>
      </c>
      <c r="T14">
        <f t="shared" si="1"/>
        <v>154318.97249163996</v>
      </c>
      <c r="U14">
        <f t="shared" si="2"/>
        <v>14.247695</v>
      </c>
      <c r="V14">
        <v>0</v>
      </c>
    </row>
    <row r="15" spans="1:22" x14ac:dyDescent="0.45">
      <c r="A15" t="s">
        <v>85</v>
      </c>
      <c r="B15" s="34">
        <v>107597.359602</v>
      </c>
      <c r="F15" t="s">
        <v>20</v>
      </c>
      <c r="G15" t="s">
        <v>18</v>
      </c>
      <c r="H15" s="20">
        <v>0</v>
      </c>
      <c r="I15" s="20"/>
      <c r="L15" t="s">
        <v>100</v>
      </c>
      <c r="N15" s="21">
        <v>0</v>
      </c>
      <c r="O15" s="21">
        <v>54542.063808669998</v>
      </c>
      <c r="R15" t="str">
        <f>+IF(AND(M15="S128",F15="outras instituicoes financeiras"),"c006x   - Insurance firms &amp; pension funds",IF(F15="particulares","c001x   - Households",IF(AND(F15="outras empresas nao financeiras",G15="1"),"c002x   - Micro &amp; SME",IF(AND(F15="outras empresas nao financeiras",OR(G15="0",G15="")),"c003x   - Corporates",IF(F15="instituicoes de credito","c004x   - Institutions",IF(F15="outras instituicoes financeiras","c005x   - Other financial corporations",IF(F15="setor publico","c008x   - Government, central banks &amp; supranationals","")))))))</f>
        <v>c001x   - Households</v>
      </c>
      <c r="S15" s="21">
        <f t="shared" si="0"/>
        <v>54542.063808669998</v>
      </c>
      <c r="T15">
        <f t="shared" si="1"/>
        <v>53055.295793329999</v>
      </c>
      <c r="U15">
        <f t="shared" si="2"/>
        <v>0</v>
      </c>
      <c r="V15">
        <v>0</v>
      </c>
    </row>
    <row r="16" spans="1:22" x14ac:dyDescent="0.45">
      <c r="A16" t="s">
        <v>85</v>
      </c>
      <c r="B16" s="34">
        <v>7046461.0744279996</v>
      </c>
      <c r="C16" s="34">
        <v>142.89631499999999</v>
      </c>
      <c r="F16" t="s">
        <v>20</v>
      </c>
      <c r="G16" t="s">
        <v>17</v>
      </c>
      <c r="H16" s="20">
        <v>8.1600000000000006E-3</v>
      </c>
      <c r="I16">
        <v>0.05</v>
      </c>
      <c r="L16" t="s">
        <v>100</v>
      </c>
      <c r="N16" s="21">
        <v>0</v>
      </c>
      <c r="O16" s="21">
        <v>1817605.4596395099</v>
      </c>
      <c r="R16" t="str">
        <f>+IF(AND(M16="S128",F16="outras instituicoes financeiras"),"c006x   - Insurance firms &amp; pension funds",IF(F16="particulares","c001x   - Households",IF(AND(F16="outras empresas nao financeiras",G16="1"),"c002x   - Micro &amp; SME",IF(AND(F16="outras empresas nao financeiras",OR(G16="0",G16="")),"c003x   - Corporates",IF(F16="instituicoes de credito","c004x   - Institutions",IF(F16="outras instituicoes financeiras","c005x   - Other financial corporations",IF(F16="setor publico","c008x   - Government, central banks &amp; supranationals","")))))))</f>
        <v>c001x   - Households</v>
      </c>
      <c r="S16" s="21">
        <f t="shared" si="0"/>
        <v>1817605.4596395099</v>
      </c>
      <c r="T16">
        <f t="shared" si="1"/>
        <v>5228855.6147884894</v>
      </c>
      <c r="U16">
        <f t="shared" si="2"/>
        <v>142.89631499999999</v>
      </c>
      <c r="V16">
        <v>0</v>
      </c>
    </row>
    <row r="17" spans="1:22" x14ac:dyDescent="0.45">
      <c r="A17" t="s">
        <v>86</v>
      </c>
      <c r="B17" s="34">
        <v>2190006.7310870001</v>
      </c>
      <c r="C17" s="34">
        <v>248.971171</v>
      </c>
      <c r="F17" t="s">
        <v>20</v>
      </c>
      <c r="G17" t="s">
        <v>18</v>
      </c>
      <c r="H17">
        <v>5.0499999999999998E-3</v>
      </c>
      <c r="I17">
        <v>0.05</v>
      </c>
      <c r="L17" t="s">
        <v>100</v>
      </c>
      <c r="N17">
        <v>0</v>
      </c>
      <c r="O17">
        <v>446826.26914680999</v>
      </c>
      <c r="R17" t="str">
        <f>+IF(AND(M17="S128",F17="outras instituicoes financeiras"),"c006x   - Insurance firms &amp; pension funds",IF(F17="particulares","c001x   - Households",IF(AND(F17="outras empresas nao financeiras",G17="1"),"c002x   - Micro &amp; SME",IF(AND(F17="outras empresas nao financeiras",OR(G17="0",G17="")),"c003x   - Corporates",IF(F17="instituicoes de credito","c004x   - Institutions",IF(F17="outras instituicoes financeiras","c005x   - Other financial corporations",IF(F17="setor publico","c008x   - Government, central banks &amp; supranationals","")))))))</f>
        <v>c001x   - Households</v>
      </c>
      <c r="S17" s="21">
        <f t="shared" si="0"/>
        <v>446826.26914680999</v>
      </c>
      <c r="T17">
        <f t="shared" si="1"/>
        <v>1743180.4619401901</v>
      </c>
      <c r="U17">
        <f t="shared" si="2"/>
        <v>248.971171</v>
      </c>
      <c r="V17">
        <v>0</v>
      </c>
    </row>
    <row r="18" spans="1:22" x14ac:dyDescent="0.45">
      <c r="A18" t="s">
        <v>86</v>
      </c>
      <c r="B18" s="34">
        <v>85835082.655992001</v>
      </c>
      <c r="C18" s="34">
        <v>151691.29469000001</v>
      </c>
      <c r="F18" t="s">
        <v>20</v>
      </c>
      <c r="G18" t="s">
        <v>17</v>
      </c>
      <c r="H18" s="20">
        <v>8.7010000000000004E-2</v>
      </c>
      <c r="I18">
        <v>0.32834999999999998</v>
      </c>
      <c r="L18" t="s">
        <v>100</v>
      </c>
      <c r="N18" s="21">
        <v>0</v>
      </c>
      <c r="O18" s="21">
        <v>31444378.300610099</v>
      </c>
      <c r="R18" t="str">
        <f>+IF(AND(M18="S128",F18="outras instituicoes financeiras"),"c006x   - Insurance firms &amp; pension funds",IF(F18="particulares","c001x   - Households",IF(AND(F18="outras empresas nao financeiras",G18="1"),"c002x   - Micro &amp; SME",IF(AND(F18="outras empresas nao financeiras",OR(G18="0",G18="")),"c003x   - Corporates",IF(F18="instituicoes de credito","c004x   - Institutions",IF(F18="outras instituicoes financeiras","c005x   - Other financial corporations",IF(F18="setor publico","c008x   - Government, central banks &amp; supranationals","")))))))</f>
        <v>c001x   - Households</v>
      </c>
      <c r="S18" s="21">
        <f t="shared" si="0"/>
        <v>31444378.300610099</v>
      </c>
      <c r="T18">
        <f t="shared" si="1"/>
        <v>54390704.355381906</v>
      </c>
      <c r="U18">
        <f t="shared" si="2"/>
        <v>151691.29469000001</v>
      </c>
      <c r="V18">
        <v>0</v>
      </c>
    </row>
    <row r="19" spans="1:22" x14ac:dyDescent="0.45">
      <c r="A19" t="s">
        <v>87</v>
      </c>
      <c r="B19" s="34">
        <v>811453649.94575202</v>
      </c>
      <c r="C19" s="34">
        <v>1747801.4064199999</v>
      </c>
      <c r="F19" t="s">
        <v>20</v>
      </c>
      <c r="G19" t="s">
        <v>17</v>
      </c>
      <c r="H19" s="20">
        <v>6.9309999999999997E-2</v>
      </c>
      <c r="I19">
        <v>0.34171000000000001</v>
      </c>
      <c r="L19" t="s">
        <v>100</v>
      </c>
      <c r="N19">
        <v>4527.46</v>
      </c>
      <c r="O19">
        <v>330641968.15525597</v>
      </c>
      <c r="R19" t="str">
        <f>+IF(AND(M19="S128",F19="outras instituicoes financeiras"),"c006x   - Insurance firms &amp; pension funds",IF(F19="particulares","c001x   - Households",IF(AND(F19="outras empresas nao financeiras",G19="1"),"c002x   - Micro &amp; SME",IF(AND(F19="outras empresas nao financeiras",OR(G19="0",G19="")),"c003x   - Corporates",IF(F19="instituicoes de credito","c004x   - Institutions",IF(F19="outras instituicoes financeiras","c005x   - Other financial corporations",IF(F19="setor publico","c008x   - Government, central banks &amp; supranationals","")))))))</f>
        <v>c001x   - Households</v>
      </c>
      <c r="S19" s="21">
        <f t="shared" si="0"/>
        <v>330646495.61525595</v>
      </c>
      <c r="T19">
        <f t="shared" si="1"/>
        <v>480807154.33049607</v>
      </c>
      <c r="U19">
        <f t="shared" si="2"/>
        <v>1747801.4064199999</v>
      </c>
      <c r="V19">
        <v>0</v>
      </c>
    </row>
    <row r="20" spans="1:22" x14ac:dyDescent="0.45">
      <c r="A20" t="s">
        <v>87</v>
      </c>
      <c r="B20" s="34">
        <v>11619872.782714</v>
      </c>
      <c r="C20" s="34">
        <v>9838.3649010000008</v>
      </c>
      <c r="F20" t="s">
        <v>20</v>
      </c>
      <c r="G20" t="s">
        <v>18</v>
      </c>
      <c r="H20" s="20">
        <v>5.2429999999999997E-2</v>
      </c>
      <c r="I20">
        <v>0.16879</v>
      </c>
      <c r="L20" t="s">
        <v>100</v>
      </c>
      <c r="N20">
        <v>0</v>
      </c>
      <c r="O20">
        <v>4592813.1359526599</v>
      </c>
      <c r="R20" t="str">
        <f>+IF(AND(M20="S128",F20="outras instituicoes financeiras"),"c006x   - Insurance firms &amp; pension funds",IF(F20="particulares","c001x   - Households",IF(AND(F20="outras empresas nao financeiras",G20="1"),"c002x   - Micro &amp; SME",IF(AND(F20="outras empresas nao financeiras",OR(G20="0",G20="")),"c003x   - Corporates",IF(F20="instituicoes de credito","c004x   - Institutions",IF(F20="outras instituicoes financeiras","c005x   - Other financial corporations",IF(F20="setor publico","c008x   - Government, central banks &amp; supranationals","")))))))</f>
        <v>c001x   - Households</v>
      </c>
      <c r="S20" s="21">
        <f t="shared" si="0"/>
        <v>4592813.1359526599</v>
      </c>
      <c r="T20">
        <f t="shared" si="1"/>
        <v>7027059.6467613401</v>
      </c>
      <c r="U20">
        <f t="shared" si="2"/>
        <v>9838.3649010000008</v>
      </c>
      <c r="V20">
        <v>0</v>
      </c>
    </row>
    <row r="21" spans="1:22" x14ac:dyDescent="0.45">
      <c r="A21" t="s">
        <v>88</v>
      </c>
      <c r="B21" s="34">
        <v>1452325416.92995</v>
      </c>
      <c r="C21" s="34">
        <v>81155.56</v>
      </c>
      <c r="D21">
        <v>53043.32</v>
      </c>
      <c r="F21" t="s">
        <v>20</v>
      </c>
      <c r="G21" t="s">
        <v>18</v>
      </c>
      <c r="H21" s="20">
        <v>2.1800000000000001E-3</v>
      </c>
      <c r="I21" s="20">
        <v>1.184E-2</v>
      </c>
      <c r="J21">
        <v>0</v>
      </c>
      <c r="L21" t="s">
        <v>100</v>
      </c>
      <c r="M21" t="s">
        <v>23</v>
      </c>
      <c r="N21" s="21">
        <v>900303177.07171905</v>
      </c>
      <c r="O21" s="21">
        <v>0</v>
      </c>
      <c r="P21">
        <v>53043.32</v>
      </c>
      <c r="Q21">
        <v>0</v>
      </c>
      <c r="R21" t="str">
        <f>+IF(AND(M21="S128",F21="outras instituicoes financeiras"),"c006x   - Insurance firms &amp; pension funds",IF(F21="particulares","c001x   - Households",IF(AND(F21="outras empresas nao financeiras",G21="1"),"c002x   - Micro &amp; SME",IF(AND(F21="outras empresas nao financeiras",OR(G21="0",G21="")),"c003x   - Corporates",IF(F21="instituicoes de credito","c004x   - Institutions",IF(F21="outras instituicoes financeiras","c005x   - Other financial corporations",IF(F21="setor publico","c008x   - Government, central banks &amp; supranationals","")))))))</f>
        <v>c001x   - Households</v>
      </c>
      <c r="S21" s="21">
        <f t="shared" si="0"/>
        <v>900356220.3917191</v>
      </c>
      <c r="T21">
        <f t="shared" si="1"/>
        <v>552022239.85823083</v>
      </c>
      <c r="U21">
        <f t="shared" si="2"/>
        <v>81155.56</v>
      </c>
      <c r="V21">
        <v>0</v>
      </c>
    </row>
    <row r="22" spans="1:22" x14ac:dyDescent="0.45">
      <c r="A22" t="s">
        <v>88</v>
      </c>
      <c r="B22" s="34">
        <v>22942416243.4795</v>
      </c>
      <c r="C22" s="34">
        <v>1969067.5800020001</v>
      </c>
      <c r="D22">
        <v>14279913.130000001</v>
      </c>
      <c r="E22">
        <v>123.74</v>
      </c>
      <c r="F22" t="s">
        <v>20</v>
      </c>
      <c r="G22" t="s">
        <v>17</v>
      </c>
      <c r="H22" s="20">
        <v>2.7399999999999998E-3</v>
      </c>
      <c r="I22" s="20">
        <v>1.6619999999999999E-2</v>
      </c>
      <c r="J22">
        <v>8.3300000000000006E-3</v>
      </c>
      <c r="K22">
        <v>0.01</v>
      </c>
      <c r="L22" t="s">
        <v>100</v>
      </c>
      <c r="M22" t="s">
        <v>23</v>
      </c>
      <c r="N22" s="21">
        <v>18386323758.823101</v>
      </c>
      <c r="O22" s="21">
        <v>0</v>
      </c>
      <c r="P22">
        <v>100000.00000001</v>
      </c>
      <c r="Q22">
        <v>0</v>
      </c>
      <c r="R22" t="str">
        <f>+IF(AND(M22="S128",F22="outras instituicoes financeiras"),"c006x   - Insurance firms &amp; pension funds",IF(F22="particulares","c001x   - Households",IF(AND(F22="outras empresas nao financeiras",G22="1"),"c002x   - Micro &amp; SME",IF(AND(F22="outras empresas nao financeiras",OR(G22="0",G22="")),"c003x   - Corporates",IF(F22="instituicoes de credito","c004x   - Institutions",IF(F22="outras instituicoes financeiras","c005x   - Other financial corporations",IF(F22="setor publico","c008x   - Government, central banks &amp; supranationals","")))))))</f>
        <v>c001x   - Households</v>
      </c>
      <c r="S22" s="21">
        <f t="shared" si="0"/>
        <v>18386423758.823101</v>
      </c>
      <c r="T22">
        <f t="shared" si="1"/>
        <v>4570272397.7863998</v>
      </c>
      <c r="U22">
        <f t="shared" si="2"/>
        <v>1969191.3200020001</v>
      </c>
      <c r="V22">
        <v>0</v>
      </c>
    </row>
    <row r="23" spans="1:22" x14ac:dyDescent="0.45">
      <c r="A23" t="s">
        <v>88</v>
      </c>
      <c r="B23" s="34">
        <v>-483471.89</v>
      </c>
      <c r="C23" s="34">
        <v>-328394.21000000002</v>
      </c>
      <c r="F23" t="s">
        <v>20</v>
      </c>
      <c r="H23">
        <v>0</v>
      </c>
      <c r="L23" t="s">
        <v>100</v>
      </c>
      <c r="N23" s="21"/>
      <c r="O23" s="21"/>
      <c r="R23" t="str">
        <f>+IF(AND(M23="S128",F23="outras instituicoes financeiras"),"c006x   - Insurance firms &amp; pension funds",IF(F23="particulares","c001x   - Households",IF(AND(F23="outras empresas nao financeiras",G23="1"),"c002x   - Micro &amp; SME",IF(AND(F23="outras empresas nao financeiras",OR(G23="0",G23="")),"c003x   - Corporates",IF(F23="instituicoes de credito","c004x   - Institutions",IF(F23="outras instituicoes financeiras","c005x   - Other financial corporations",IF(F23="setor publico","c008x   - Government, central banks &amp; supranationals","")))))))</f>
        <v>c001x   - Households</v>
      </c>
      <c r="S23" s="21">
        <f t="shared" si="0"/>
        <v>0</v>
      </c>
      <c r="T23">
        <f t="shared" si="1"/>
        <v>-483471.89</v>
      </c>
      <c r="U23">
        <f t="shared" si="2"/>
        <v>-328394.21000000002</v>
      </c>
      <c r="V23">
        <v>0</v>
      </c>
    </row>
    <row r="24" spans="1:22" x14ac:dyDescent="0.45">
      <c r="A24" t="s">
        <v>89</v>
      </c>
      <c r="B24" s="34">
        <v>1547021.7142360001</v>
      </c>
      <c r="F24" t="s">
        <v>20</v>
      </c>
      <c r="G24" t="s">
        <v>17</v>
      </c>
      <c r="H24" s="20">
        <v>0</v>
      </c>
      <c r="L24" t="s">
        <v>100</v>
      </c>
      <c r="N24" s="21">
        <v>0</v>
      </c>
      <c r="O24" s="21">
        <v>0</v>
      </c>
      <c r="R24" t="str">
        <f>+IF(AND(M24="S128",F24="outras instituicoes financeiras"),"c006x   - Insurance firms &amp; pension funds",IF(F24="particulares","c001x   - Households",IF(AND(F24="outras empresas nao financeiras",G24="1"),"c002x   - Micro &amp; SME",IF(AND(F24="outras empresas nao financeiras",OR(G24="0",G24="")),"c003x   - Corporates",IF(F24="instituicoes de credito","c004x   - Institutions",IF(F24="outras instituicoes financeiras","c005x   - Other financial corporations",IF(F24="setor publico","c008x   - Government, central banks &amp; supranationals","")))))))</f>
        <v>c001x   - Households</v>
      </c>
      <c r="S24" s="21">
        <f t="shared" si="0"/>
        <v>0</v>
      </c>
      <c r="T24">
        <f t="shared" si="1"/>
        <v>1547021.7142360001</v>
      </c>
      <c r="U24">
        <f t="shared" si="2"/>
        <v>0</v>
      </c>
      <c r="V24">
        <v>0</v>
      </c>
    </row>
    <row r="25" spans="1:22" x14ac:dyDescent="0.45">
      <c r="A25" t="s">
        <v>76</v>
      </c>
      <c r="B25" s="34">
        <v>4925.1640859999998</v>
      </c>
      <c r="F25" t="s">
        <v>16</v>
      </c>
      <c r="G25" t="s">
        <v>18</v>
      </c>
      <c r="H25" s="20">
        <v>0</v>
      </c>
      <c r="L25" t="s">
        <v>100</v>
      </c>
      <c r="N25" s="21">
        <v>0</v>
      </c>
      <c r="O25" s="21">
        <v>4925.16</v>
      </c>
      <c r="R25" t="str">
        <f>+IF(AND(M25="S128",F25="outras instituicoes financeiras"),"c006x   - Insurance firms &amp; pension funds",IF(F25="particulares","c001x   - Households",IF(AND(F25="outras empresas nao financeiras",G25="1"),"c002x   - Micro &amp; SME",IF(AND(F25="outras empresas nao financeiras",OR(G25="0",G25="")),"c003x   - Corporates",IF(F25="instituicoes de credito","c004x   - Institutions",IF(F25="outras instituicoes financeiras","c005x   - Other financial corporations",IF(F25="setor publico","c008x   - Government, central banks &amp; supranationals","")))))))</f>
        <v>c002x   - Micro &amp; SME</v>
      </c>
      <c r="S25" s="21">
        <f t="shared" si="0"/>
        <v>4925.16</v>
      </c>
      <c r="T25">
        <f t="shared" si="1"/>
        <v>4.0859999999156571E-3</v>
      </c>
      <c r="U25">
        <f t="shared" si="2"/>
        <v>0</v>
      </c>
      <c r="V25">
        <v>0</v>
      </c>
    </row>
    <row r="26" spans="1:22" x14ac:dyDescent="0.45">
      <c r="A26" t="s">
        <v>77</v>
      </c>
      <c r="B26" s="34">
        <v>320860.01384899998</v>
      </c>
      <c r="C26" s="34">
        <v>17.915512</v>
      </c>
      <c r="F26" t="s">
        <v>16</v>
      </c>
      <c r="G26" t="s">
        <v>18</v>
      </c>
      <c r="H26">
        <v>3.8500000000000001E-3</v>
      </c>
      <c r="I26">
        <v>0.05</v>
      </c>
      <c r="L26" t="s">
        <v>100</v>
      </c>
      <c r="N26">
        <v>0</v>
      </c>
      <c r="O26">
        <v>163249.12100682</v>
      </c>
      <c r="R26" t="str">
        <f>+IF(AND(M26="S128",F26="outras instituicoes financeiras"),"c006x   - Insurance firms &amp; pension funds",IF(F26="particulares","c001x   - Households",IF(AND(F26="outras empresas nao financeiras",G26="1"),"c002x   - Micro &amp; SME",IF(AND(F26="outras empresas nao financeiras",OR(G26="0",G26="")),"c003x   - Corporates",IF(F26="instituicoes de credito","c004x   - Institutions",IF(F26="outras instituicoes financeiras","c005x   - Other financial corporations",IF(F26="setor publico","c008x   - Government, central banks &amp; supranationals","")))))))</f>
        <v>c002x   - Micro &amp; SME</v>
      </c>
      <c r="S26" s="21">
        <f t="shared" si="0"/>
        <v>163249.12100682</v>
      </c>
      <c r="T26">
        <f t="shared" si="1"/>
        <v>157610.89284217998</v>
      </c>
      <c r="U26">
        <f t="shared" si="2"/>
        <v>17.915512</v>
      </c>
      <c r="V26">
        <v>0</v>
      </c>
    </row>
    <row r="27" spans="1:22" x14ac:dyDescent="0.45">
      <c r="A27" t="s">
        <v>78</v>
      </c>
      <c r="B27" s="34">
        <v>387.00633299999998</v>
      </c>
      <c r="F27" t="s">
        <v>16</v>
      </c>
      <c r="G27" t="s">
        <v>18</v>
      </c>
      <c r="H27" s="20">
        <v>0</v>
      </c>
      <c r="L27" t="s">
        <v>100</v>
      </c>
      <c r="N27">
        <v>0</v>
      </c>
      <c r="O27">
        <v>0</v>
      </c>
      <c r="R27" t="str">
        <f>+IF(AND(M27="S128",F27="outras instituicoes financeiras"),"c006x   - Insurance firms &amp; pension funds",IF(F27="particulares","c001x   - Households",IF(AND(F27="outras empresas nao financeiras",G27="1"),"c002x   - Micro &amp; SME",IF(AND(F27="outras empresas nao financeiras",OR(G27="0",G27="")),"c003x   - Corporates",IF(F27="instituicoes de credito","c004x   - Institutions",IF(F27="outras instituicoes financeiras","c005x   - Other financial corporations",IF(F27="setor publico","c008x   - Government, central banks &amp; supranationals","")))))))</f>
        <v>c002x   - Micro &amp; SME</v>
      </c>
      <c r="S27" s="21">
        <f t="shared" si="0"/>
        <v>0</v>
      </c>
      <c r="T27">
        <f t="shared" si="1"/>
        <v>387.00633299999998</v>
      </c>
      <c r="U27">
        <f t="shared" si="2"/>
        <v>0</v>
      </c>
      <c r="V27">
        <v>0</v>
      </c>
    </row>
    <row r="28" spans="1:22" x14ac:dyDescent="0.45">
      <c r="A28" t="s">
        <v>79</v>
      </c>
      <c r="B28" s="34">
        <v>2.6900000000000001E-3</v>
      </c>
      <c r="F28" t="s">
        <v>16</v>
      </c>
      <c r="G28" t="s">
        <v>18</v>
      </c>
      <c r="L28" t="s">
        <v>100</v>
      </c>
      <c r="N28" s="21">
        <v>0</v>
      </c>
      <c r="O28" s="21">
        <v>0</v>
      </c>
      <c r="R28" t="str">
        <f>+IF(AND(M28="S128",F28="outras instituicoes financeiras"),"c006x   - Insurance firms &amp; pension funds",IF(F28="particulares","c001x   - Households",IF(AND(F28="outras empresas nao financeiras",G28="1"),"c002x   - Micro &amp; SME",IF(AND(F28="outras empresas nao financeiras",OR(G28="0",G28="")),"c003x   - Corporates",IF(F28="instituicoes de credito","c004x   - Institutions",IF(F28="outras instituicoes financeiras","c005x   - Other financial corporations",IF(F28="setor publico","c008x   - Government, central banks &amp; supranationals","")))))))</f>
        <v>c002x   - Micro &amp; SME</v>
      </c>
      <c r="S28" s="21">
        <f t="shared" si="0"/>
        <v>0</v>
      </c>
      <c r="T28">
        <f t="shared" si="1"/>
        <v>2.6900000000000001E-3</v>
      </c>
      <c r="U28">
        <f t="shared" si="2"/>
        <v>0</v>
      </c>
      <c r="V28">
        <v>0</v>
      </c>
    </row>
    <row r="29" spans="1:22" x14ac:dyDescent="0.45">
      <c r="A29" t="s">
        <v>80</v>
      </c>
      <c r="B29" s="34">
        <v>4.1092700000000004</v>
      </c>
      <c r="F29" t="s">
        <v>16</v>
      </c>
      <c r="G29" t="s">
        <v>18</v>
      </c>
      <c r="H29" s="20">
        <v>0</v>
      </c>
      <c r="L29" t="s">
        <v>100</v>
      </c>
      <c r="N29">
        <v>0</v>
      </c>
      <c r="O29">
        <v>4.1100000000000003</v>
      </c>
      <c r="R29" t="str">
        <f>+IF(AND(M29="S128",F29="outras instituicoes financeiras"),"c006x   - Insurance firms &amp; pension funds",IF(F29="particulares","c001x   - Households",IF(AND(F29="outras empresas nao financeiras",G29="1"),"c002x   - Micro &amp; SME",IF(AND(F29="outras empresas nao financeiras",OR(G29="0",G29="")),"c003x   - Corporates",IF(F29="instituicoes de credito","c004x   - Institutions",IF(F29="outras instituicoes financeiras","c005x   - Other financial corporations",IF(F29="setor publico","c008x   - Government, central banks &amp; supranationals","")))))))</f>
        <v>c002x   - Micro &amp; SME</v>
      </c>
      <c r="S29" s="21">
        <f t="shared" si="0"/>
        <v>4.1100000000000003</v>
      </c>
      <c r="T29">
        <f t="shared" si="1"/>
        <v>-7.299999999998974E-4</v>
      </c>
      <c r="U29">
        <f t="shared" si="2"/>
        <v>0</v>
      </c>
      <c r="V29">
        <v>0</v>
      </c>
    </row>
    <row r="30" spans="1:22" x14ac:dyDescent="0.45">
      <c r="A30" t="s">
        <v>82</v>
      </c>
      <c r="B30" s="34">
        <v>4.7549999999999997E-3</v>
      </c>
      <c r="F30" t="s">
        <v>16</v>
      </c>
      <c r="G30" t="s">
        <v>18</v>
      </c>
      <c r="H30" s="20"/>
      <c r="I30" s="20"/>
      <c r="L30" t="s">
        <v>100</v>
      </c>
      <c r="N30" s="21">
        <v>0</v>
      </c>
      <c r="O30" s="21">
        <v>0</v>
      </c>
      <c r="R30" t="str">
        <f>+IF(AND(M30="S128",F30="outras instituicoes financeiras"),"c006x   - Insurance firms &amp; pension funds",IF(F30="particulares","c001x   - Households",IF(AND(F30="outras empresas nao financeiras",G30="1"),"c002x   - Micro &amp; SME",IF(AND(F30="outras empresas nao financeiras",OR(G30="0",G30="")),"c003x   - Corporates",IF(F30="instituicoes de credito","c004x   - Institutions",IF(F30="outras instituicoes financeiras","c005x   - Other financial corporations",IF(F30="setor publico","c008x   - Government, central banks &amp; supranationals","")))))))</f>
        <v>c002x   - Micro &amp; SME</v>
      </c>
      <c r="S30" s="21">
        <f t="shared" si="0"/>
        <v>0</v>
      </c>
      <c r="T30">
        <f t="shared" si="1"/>
        <v>4.7549999999999997E-3</v>
      </c>
      <c r="U30">
        <f t="shared" si="2"/>
        <v>0</v>
      </c>
      <c r="V30">
        <v>0</v>
      </c>
    </row>
    <row r="31" spans="1:22" x14ac:dyDescent="0.45">
      <c r="A31" t="s">
        <v>83</v>
      </c>
      <c r="B31" s="34">
        <v>502.62561799999997</v>
      </c>
      <c r="F31" t="s">
        <v>16</v>
      </c>
      <c r="G31" t="s">
        <v>18</v>
      </c>
      <c r="H31" s="20">
        <v>0</v>
      </c>
      <c r="I31" s="20"/>
      <c r="L31" t="s">
        <v>100</v>
      </c>
      <c r="N31">
        <v>0</v>
      </c>
      <c r="O31">
        <v>502.63</v>
      </c>
      <c r="R31" t="str">
        <f>+IF(AND(M31="S128",F31="outras instituicoes financeiras"),"c006x   - Insurance firms &amp; pension funds",IF(F31="particulares","c001x   - Households",IF(AND(F31="outras empresas nao financeiras",G31="1"),"c002x   - Micro &amp; SME",IF(AND(F31="outras empresas nao financeiras",OR(G31="0",G31="")),"c003x   - Corporates",IF(F31="instituicoes de credito","c004x   - Institutions",IF(F31="outras instituicoes financeiras","c005x   - Other financial corporations",IF(F31="setor publico","c008x   - Government, central banks &amp; supranationals","")))))))</f>
        <v>c002x   - Micro &amp; SME</v>
      </c>
      <c r="S31" s="21">
        <f t="shared" si="0"/>
        <v>502.63</v>
      </c>
      <c r="T31">
        <f t="shared" si="1"/>
        <v>-4.3820000000209802E-3</v>
      </c>
      <c r="U31">
        <f t="shared" si="2"/>
        <v>0</v>
      </c>
      <c r="V31">
        <v>0</v>
      </c>
    </row>
    <row r="32" spans="1:22" x14ac:dyDescent="0.45">
      <c r="A32" t="s">
        <v>84</v>
      </c>
      <c r="B32" s="34">
        <v>26223.686813</v>
      </c>
      <c r="F32" t="s">
        <v>16</v>
      </c>
      <c r="G32" t="s">
        <v>18</v>
      </c>
      <c r="H32" s="20">
        <v>0</v>
      </c>
      <c r="I32" s="20"/>
      <c r="L32" t="s">
        <v>100</v>
      </c>
      <c r="N32" s="21">
        <v>0</v>
      </c>
      <c r="O32" s="21">
        <v>26223.68</v>
      </c>
      <c r="R32" t="str">
        <f>+IF(AND(M32="S128",F32="outras instituicoes financeiras"),"c006x   - Insurance firms &amp; pension funds",IF(F32="particulares","c001x   - Households",IF(AND(F32="outras empresas nao financeiras",G32="1"),"c002x   - Micro &amp; SME",IF(AND(F32="outras empresas nao financeiras",OR(G32="0",G32="")),"c003x   - Corporates",IF(F32="instituicoes de credito","c004x   - Institutions",IF(F32="outras instituicoes financeiras","c005x   - Other financial corporations",IF(F32="setor publico","c008x   - Government, central banks &amp; supranationals","")))))))</f>
        <v>c002x   - Micro &amp; SME</v>
      </c>
      <c r="S32" s="21">
        <f t="shared" si="0"/>
        <v>26223.68</v>
      </c>
      <c r="T32">
        <f t="shared" si="1"/>
        <v>6.8129999999655411E-3</v>
      </c>
      <c r="U32">
        <f t="shared" si="2"/>
        <v>0</v>
      </c>
      <c r="V32">
        <v>0</v>
      </c>
    </row>
    <row r="33" spans="1:22" x14ac:dyDescent="0.45">
      <c r="A33" t="s">
        <v>85</v>
      </c>
      <c r="B33" s="34">
        <v>292736.83355099999</v>
      </c>
      <c r="C33" s="34">
        <v>50.299584000000003</v>
      </c>
      <c r="F33" t="s">
        <v>16</v>
      </c>
      <c r="G33" t="s">
        <v>18</v>
      </c>
      <c r="H33" s="20">
        <v>3.5699999999999998E-3</v>
      </c>
      <c r="I33">
        <v>0.05</v>
      </c>
      <c r="L33" t="s">
        <v>100</v>
      </c>
      <c r="N33" s="21">
        <v>0</v>
      </c>
      <c r="O33" s="21">
        <v>186068.92900149</v>
      </c>
      <c r="R33" t="str">
        <f>+IF(AND(M33="S128",F33="outras instituicoes financeiras"),"c006x   - Insurance firms &amp; pension funds",IF(F33="particulares","c001x   - Households",IF(AND(F33="outras empresas nao financeiras",G33="1"),"c002x   - Micro &amp; SME",IF(AND(F33="outras empresas nao financeiras",OR(G33="0",G33="")),"c003x   - Corporates",IF(F33="instituicoes de credito","c004x   - Institutions",IF(F33="outras instituicoes financeiras","c005x   - Other financial corporations",IF(F33="setor publico","c008x   - Government, central banks &amp; supranationals","")))))))</f>
        <v>c002x   - Micro &amp; SME</v>
      </c>
      <c r="S33" s="21">
        <f t="shared" si="0"/>
        <v>186068.92900149</v>
      </c>
      <c r="T33">
        <f t="shared" si="1"/>
        <v>106667.90454950999</v>
      </c>
      <c r="U33">
        <f t="shared" si="2"/>
        <v>50.299584000000003</v>
      </c>
      <c r="V33">
        <v>0</v>
      </c>
    </row>
    <row r="34" spans="1:22" x14ac:dyDescent="0.45">
      <c r="A34" t="s">
        <v>86</v>
      </c>
      <c r="B34" s="34">
        <v>5167070.0506250001</v>
      </c>
      <c r="C34" s="34">
        <v>157.453237</v>
      </c>
      <c r="F34" t="s">
        <v>16</v>
      </c>
      <c r="G34" t="s">
        <v>18</v>
      </c>
      <c r="H34" s="20">
        <v>4.6999999999999999E-4</v>
      </c>
      <c r="I34">
        <v>0.05</v>
      </c>
      <c r="L34" t="s">
        <v>100</v>
      </c>
      <c r="N34">
        <v>0</v>
      </c>
      <c r="O34">
        <v>664860.46940367005</v>
      </c>
      <c r="R34" t="str">
        <f>+IF(AND(M34="S128",F34="outras instituicoes financeiras"),"c006x   - Insurance firms &amp; pension funds",IF(F34="particulares","c001x   - Households",IF(AND(F34="outras empresas nao financeiras",G34="1"),"c002x   - Micro &amp; SME",IF(AND(F34="outras empresas nao financeiras",OR(G34="0",G34="")),"c003x   - Corporates",IF(F34="instituicoes de credito","c004x   - Institutions",IF(F34="outras instituicoes financeiras","c005x   - Other financial corporations",IF(F34="setor publico","c008x   - Government, central banks &amp; supranationals","")))))))</f>
        <v>c002x   - Micro &amp; SME</v>
      </c>
      <c r="S34" s="21">
        <f t="shared" ref="S34:S65" si="3">SUM(N34:Q34)</f>
        <v>664860.46940367005</v>
      </c>
      <c r="T34">
        <f t="shared" ref="T34:T65" si="4">IF(D34="",B34-S34,(B34+D34)-S34)</f>
        <v>4502209.58122133</v>
      </c>
      <c r="U34">
        <f t="shared" ref="U34:U65" si="5">IF(E34="",C34,C34+E34)</f>
        <v>157.453237</v>
      </c>
      <c r="V34">
        <v>0</v>
      </c>
    </row>
    <row r="35" spans="1:22" x14ac:dyDescent="0.45">
      <c r="A35" t="s">
        <v>87</v>
      </c>
      <c r="B35" s="34">
        <v>145840192.59335399</v>
      </c>
      <c r="C35" s="34">
        <v>309027.47984300001</v>
      </c>
      <c r="D35" s="1"/>
      <c r="E35" s="1"/>
      <c r="F35" t="s">
        <v>16</v>
      </c>
      <c r="G35" t="s">
        <v>18</v>
      </c>
      <c r="H35" s="20">
        <v>3.952E-2</v>
      </c>
      <c r="I35" s="20">
        <v>0.63012999999999997</v>
      </c>
      <c r="J35" s="20"/>
      <c r="K35" s="20"/>
      <c r="L35" t="s">
        <v>100</v>
      </c>
      <c r="N35" s="21">
        <v>0</v>
      </c>
      <c r="O35" s="21">
        <v>5693555.35860766</v>
      </c>
      <c r="P35" s="21"/>
      <c r="Q35" s="21"/>
      <c r="R35" t="str">
        <f>+IF(AND(M35="S128",F35="outras instituicoes financeiras"),"c006x   - Insurance firms &amp; pension funds",IF(F35="particulares","c001x   - Households",IF(AND(F35="outras empresas nao financeiras",G35="1"),"c002x   - Micro &amp; SME",IF(AND(F35="outras empresas nao financeiras",OR(G35="0",G35="")),"c003x   - Corporates",IF(F35="instituicoes de credito","c004x   - Institutions",IF(F35="outras instituicoes financeiras","c005x   - Other financial corporations",IF(F35="setor publico","c008x   - Government, central banks &amp; supranationals","")))))))</f>
        <v>c002x   - Micro &amp; SME</v>
      </c>
      <c r="S35" s="21">
        <f t="shared" si="3"/>
        <v>5693555.35860766</v>
      </c>
      <c r="T35">
        <f t="shared" si="4"/>
        <v>140146637.23474634</v>
      </c>
      <c r="U35">
        <f t="shared" si="5"/>
        <v>309027.47984300001</v>
      </c>
      <c r="V35">
        <v>0</v>
      </c>
    </row>
    <row r="36" spans="1:22" x14ac:dyDescent="0.45">
      <c r="A36" t="s">
        <v>88</v>
      </c>
      <c r="B36" s="34">
        <v>7219248826.2907896</v>
      </c>
      <c r="C36" s="34">
        <v>87729.4</v>
      </c>
      <c r="D36">
        <v>27090.23</v>
      </c>
      <c r="E36">
        <v>0.77</v>
      </c>
      <c r="F36" t="s">
        <v>16</v>
      </c>
      <c r="G36" t="s">
        <v>18</v>
      </c>
      <c r="H36" s="20">
        <v>1.1100000000000001E-3</v>
      </c>
      <c r="I36" s="20">
        <v>2.1399999999999999E-2</v>
      </c>
      <c r="J36">
        <v>6.6699999999999997E-3</v>
      </c>
      <c r="K36">
        <v>0.01</v>
      </c>
      <c r="L36" t="s">
        <v>100</v>
      </c>
      <c r="M36" t="s">
        <v>23</v>
      </c>
      <c r="N36">
        <v>2401047685.6454902</v>
      </c>
      <c r="O36">
        <v>0</v>
      </c>
      <c r="P36">
        <v>27091</v>
      </c>
      <c r="Q36">
        <v>0</v>
      </c>
      <c r="R36" t="str">
        <f>+IF(AND(M36="S128",F36="outras instituicoes financeiras"),"c006x   - Insurance firms &amp; pension funds",IF(F36="particulares","c001x   - Households",IF(AND(F36="outras empresas nao financeiras",G36="1"),"c002x   - Micro &amp; SME",IF(AND(F36="outras empresas nao financeiras",OR(G36="0",G36="")),"c003x   - Corporates",IF(F36="instituicoes de credito","c004x   - Institutions",IF(F36="outras instituicoes financeiras","c005x   - Other financial corporations",IF(F36="setor publico","c008x   - Government, central banks &amp; supranationals","")))))))</f>
        <v>c002x   - Micro &amp; SME</v>
      </c>
      <c r="S36" s="21">
        <f t="shared" si="3"/>
        <v>2401074776.6454902</v>
      </c>
      <c r="T36">
        <f t="shared" si="4"/>
        <v>4818201139.8752995</v>
      </c>
      <c r="U36">
        <f t="shared" si="5"/>
        <v>87730.17</v>
      </c>
      <c r="V36">
        <v>0</v>
      </c>
    </row>
    <row r="37" spans="1:22" x14ac:dyDescent="0.45">
      <c r="A37" t="s">
        <v>89</v>
      </c>
      <c r="B37" s="34">
        <v>199873.16484300001</v>
      </c>
      <c r="F37" t="s">
        <v>16</v>
      </c>
      <c r="G37" t="s">
        <v>18</v>
      </c>
      <c r="H37" s="20">
        <v>0</v>
      </c>
      <c r="I37" s="20"/>
      <c r="L37" t="s">
        <v>100</v>
      </c>
      <c r="N37">
        <v>0</v>
      </c>
      <c r="O37">
        <v>58745.88</v>
      </c>
      <c r="R37" t="str">
        <f>+IF(AND(M37="S128",F37="outras instituicoes financeiras"),"c006x   - Insurance firms &amp; pension funds",IF(F37="particulares","c001x   - Households",IF(AND(F37="outras empresas nao financeiras",G37="1"),"c002x   - Micro &amp; SME",IF(AND(F37="outras empresas nao financeiras",OR(G37="0",G37="")),"c003x   - Corporates",IF(F37="instituicoes de credito","c004x   - Institutions",IF(F37="outras instituicoes financeiras","c005x   - Other financial corporations",IF(F37="setor publico","c008x   - Government, central banks &amp; supranationals","")))))))</f>
        <v>c002x   - Micro &amp; SME</v>
      </c>
      <c r="S37" s="21">
        <f t="shared" si="3"/>
        <v>58745.88</v>
      </c>
      <c r="T37">
        <f t="shared" si="4"/>
        <v>141127.284843</v>
      </c>
      <c r="U37">
        <f t="shared" si="5"/>
        <v>0</v>
      </c>
      <c r="V37">
        <v>0</v>
      </c>
    </row>
    <row r="38" spans="1:22" x14ac:dyDescent="0.45">
      <c r="A38" t="s">
        <v>76</v>
      </c>
      <c r="B38" s="34">
        <v>438219.87510399998</v>
      </c>
      <c r="F38" t="s">
        <v>16</v>
      </c>
      <c r="G38" t="s">
        <v>17</v>
      </c>
      <c r="H38" s="20">
        <v>0</v>
      </c>
      <c r="I38" s="20"/>
      <c r="L38" t="s">
        <v>100</v>
      </c>
      <c r="N38" s="21">
        <v>0</v>
      </c>
      <c r="O38" s="21">
        <v>0</v>
      </c>
      <c r="R38" t="str">
        <f>+IF(AND(M38="S128",F38="outras instituicoes financeiras"),"c006x   - Insurance firms &amp; pension funds",IF(F38="particulares","c001x   - Households",IF(AND(F38="outras empresas nao financeiras",G38="1"),"c002x   - Micro &amp; SME",IF(AND(F38="outras empresas nao financeiras",OR(G38="0",G38="")),"c003x   - Corporates",IF(F38="instituicoes de credito","c004x   - Institutions",IF(F38="outras instituicoes financeiras","c005x   - Other financial corporations",IF(F38="setor publico","c008x   - Government, central banks &amp; supranationals","")))))))</f>
        <v>c003x   - Corporates</v>
      </c>
      <c r="S38" s="21">
        <f t="shared" si="3"/>
        <v>0</v>
      </c>
      <c r="T38">
        <f t="shared" si="4"/>
        <v>438219.87510399998</v>
      </c>
      <c r="U38">
        <f t="shared" si="5"/>
        <v>0</v>
      </c>
      <c r="V38">
        <v>0</v>
      </c>
    </row>
    <row r="39" spans="1:22" x14ac:dyDescent="0.45">
      <c r="A39" t="s">
        <v>77</v>
      </c>
      <c r="B39" s="34">
        <v>4974274.7368409997</v>
      </c>
      <c r="C39" s="34">
        <v>2031.391967</v>
      </c>
      <c r="D39" s="1"/>
      <c r="F39" t="s">
        <v>16</v>
      </c>
      <c r="G39" t="s">
        <v>17</v>
      </c>
      <c r="H39" s="20">
        <v>8.3330000000000001E-2</v>
      </c>
      <c r="I39">
        <v>2</v>
      </c>
      <c r="J39" s="20"/>
      <c r="L39" t="s">
        <v>100</v>
      </c>
      <c r="N39">
        <v>0</v>
      </c>
      <c r="O39">
        <v>33337.21394935</v>
      </c>
      <c r="R39" t="str">
        <f>+IF(AND(M39="S128",F39="outras instituicoes financeiras"),"c006x   - Insurance firms &amp; pension funds",IF(F39="particulares","c001x   - Households",IF(AND(F39="outras empresas nao financeiras",G39="1"),"c002x   - Micro &amp; SME",IF(AND(F39="outras empresas nao financeiras",OR(G39="0",G39="")),"c003x   - Corporates",IF(F39="instituicoes de credito","c004x   - Institutions",IF(F39="outras instituicoes financeiras","c005x   - Other financial corporations",IF(F39="setor publico","c008x   - Government, central banks &amp; supranationals","")))))))</f>
        <v>c003x   - Corporates</v>
      </c>
      <c r="S39" s="21">
        <f t="shared" si="3"/>
        <v>33337.21394935</v>
      </c>
      <c r="T39">
        <f t="shared" si="4"/>
        <v>4940937.52289165</v>
      </c>
      <c r="U39">
        <f t="shared" si="5"/>
        <v>2031.391967</v>
      </c>
      <c r="V39">
        <v>0</v>
      </c>
    </row>
    <row r="40" spans="1:22" x14ac:dyDescent="0.45">
      <c r="A40" t="s">
        <v>78</v>
      </c>
      <c r="B40" s="34">
        <v>202754.885706</v>
      </c>
      <c r="F40" t="s">
        <v>16</v>
      </c>
      <c r="G40" t="s">
        <v>17</v>
      </c>
      <c r="H40" s="20">
        <v>0</v>
      </c>
      <c r="I40" s="20"/>
      <c r="L40" t="s">
        <v>100</v>
      </c>
      <c r="N40" s="21">
        <v>0</v>
      </c>
      <c r="O40" s="21">
        <v>0</v>
      </c>
      <c r="R40" t="str">
        <f>+IF(AND(M40="S128",F40="outras instituicoes financeiras"),"c006x   - Insurance firms &amp; pension funds",IF(F40="particulares","c001x   - Households",IF(AND(F40="outras empresas nao financeiras",G40="1"),"c002x   - Micro &amp; SME",IF(AND(F40="outras empresas nao financeiras",OR(G40="0",G40="")),"c003x   - Corporates",IF(F40="instituicoes de credito","c004x   - Institutions",IF(F40="outras instituicoes financeiras","c005x   - Other financial corporations",IF(F40="setor publico","c008x   - Government, central banks &amp; supranationals","")))))))</f>
        <v>c003x   - Corporates</v>
      </c>
      <c r="S40" s="21">
        <f t="shared" si="3"/>
        <v>0</v>
      </c>
      <c r="T40">
        <f t="shared" si="4"/>
        <v>202754.885706</v>
      </c>
      <c r="U40">
        <f t="shared" si="5"/>
        <v>0</v>
      </c>
      <c r="V40">
        <v>0</v>
      </c>
    </row>
    <row r="41" spans="1:22" x14ac:dyDescent="0.45">
      <c r="A41" t="s">
        <v>79</v>
      </c>
      <c r="B41" s="34">
        <v>34.904860999999997</v>
      </c>
      <c r="C41" s="34">
        <v>0.10623299999999999</v>
      </c>
      <c r="F41" t="s">
        <v>16</v>
      </c>
      <c r="G41" t="s">
        <v>17</v>
      </c>
      <c r="H41" s="20">
        <v>1.54698</v>
      </c>
      <c r="I41" s="20">
        <v>1.54698</v>
      </c>
      <c r="L41" t="s">
        <v>100</v>
      </c>
      <c r="N41" s="21">
        <v>0</v>
      </c>
      <c r="O41" s="21">
        <v>0</v>
      </c>
      <c r="R41" t="str">
        <f>+IF(AND(M41="S128",F41="outras instituicoes financeiras"),"c006x   - Insurance firms &amp; pension funds",IF(F41="particulares","c001x   - Households",IF(AND(F41="outras empresas nao financeiras",G41="1"),"c002x   - Micro &amp; SME",IF(AND(F41="outras empresas nao financeiras",OR(G41="0",G41="")),"c003x   - Corporates",IF(F41="instituicoes de credito","c004x   - Institutions",IF(F41="outras instituicoes financeiras","c005x   - Other financial corporations",IF(F41="setor publico","c008x   - Government, central banks &amp; supranationals","")))))))</f>
        <v>c003x   - Corporates</v>
      </c>
      <c r="S41" s="21">
        <f t="shared" si="3"/>
        <v>0</v>
      </c>
      <c r="T41">
        <f t="shared" si="4"/>
        <v>34.904860999999997</v>
      </c>
      <c r="U41">
        <f t="shared" si="5"/>
        <v>0.10623299999999999</v>
      </c>
      <c r="V41">
        <v>0</v>
      </c>
    </row>
    <row r="42" spans="1:22" x14ac:dyDescent="0.45">
      <c r="A42" t="s">
        <v>80</v>
      </c>
      <c r="B42" s="34">
        <v>13716.704038</v>
      </c>
      <c r="F42" t="s">
        <v>16</v>
      </c>
      <c r="G42" t="s">
        <v>17</v>
      </c>
      <c r="H42" s="20">
        <v>0</v>
      </c>
      <c r="I42" s="20"/>
      <c r="L42" t="s">
        <v>100</v>
      </c>
      <c r="N42" s="21">
        <v>0</v>
      </c>
      <c r="O42" s="21">
        <v>0</v>
      </c>
      <c r="R42" t="str">
        <f>+IF(AND(M42="S128",F42="outras instituicoes financeiras"),"c006x   - Insurance firms &amp; pension funds",IF(F42="particulares","c001x   - Households",IF(AND(F42="outras empresas nao financeiras",G42="1"),"c002x   - Micro &amp; SME",IF(AND(F42="outras empresas nao financeiras",OR(G42="0",G42="")),"c003x   - Corporates",IF(F42="instituicoes de credito","c004x   - Institutions",IF(F42="outras instituicoes financeiras","c005x   - Other financial corporations",IF(F42="setor publico","c008x   - Government, central banks &amp; supranationals","")))))))</f>
        <v>c003x   - Corporates</v>
      </c>
      <c r="S42" s="21">
        <f t="shared" si="3"/>
        <v>0</v>
      </c>
      <c r="T42">
        <f t="shared" si="4"/>
        <v>13716.704038</v>
      </c>
      <c r="U42">
        <f t="shared" si="5"/>
        <v>0</v>
      </c>
      <c r="V42">
        <v>0</v>
      </c>
    </row>
    <row r="43" spans="1:22" x14ac:dyDescent="0.45">
      <c r="A43" t="s">
        <v>81</v>
      </c>
      <c r="B43" s="34">
        <v>4.84E-4</v>
      </c>
      <c r="F43" t="s">
        <v>16</v>
      </c>
      <c r="G43" t="s">
        <v>17</v>
      </c>
      <c r="H43" s="20"/>
      <c r="I43" s="20"/>
      <c r="L43" t="s">
        <v>100</v>
      </c>
      <c r="N43" s="21">
        <v>0</v>
      </c>
      <c r="O43" s="21">
        <v>0</v>
      </c>
      <c r="R43" t="str">
        <f>+IF(AND(M43="S128",F43="outras instituicoes financeiras"),"c006x   - Insurance firms &amp; pension funds",IF(F43="particulares","c001x   - Households",IF(AND(F43="outras empresas nao financeiras",G43="1"),"c002x   - Micro &amp; SME",IF(AND(F43="outras empresas nao financeiras",OR(G43="0",G43="")),"c003x   - Corporates",IF(F43="instituicoes de credito","c004x   - Institutions",IF(F43="outras instituicoes financeiras","c005x   - Other financial corporations",IF(F43="setor publico","c008x   - Government, central banks &amp; supranationals","")))))))</f>
        <v>c003x   - Corporates</v>
      </c>
      <c r="S43" s="21">
        <f t="shared" si="3"/>
        <v>0</v>
      </c>
      <c r="T43">
        <f t="shared" si="4"/>
        <v>4.84E-4</v>
      </c>
      <c r="U43">
        <f t="shared" si="5"/>
        <v>0</v>
      </c>
      <c r="V43">
        <v>0</v>
      </c>
    </row>
    <row r="44" spans="1:22" x14ac:dyDescent="0.45">
      <c r="A44" t="s">
        <v>82</v>
      </c>
      <c r="B44" s="34">
        <v>6236549.4578550002</v>
      </c>
      <c r="C44" s="34">
        <v>3876.0467199999998</v>
      </c>
      <c r="F44" t="s">
        <v>16</v>
      </c>
      <c r="G44" t="s">
        <v>17</v>
      </c>
      <c r="H44" s="20">
        <v>0.41665999999999997</v>
      </c>
      <c r="I44">
        <v>1.2499899999999999</v>
      </c>
      <c r="L44" t="s">
        <v>100</v>
      </c>
      <c r="N44" s="21">
        <v>0</v>
      </c>
      <c r="O44" s="21">
        <v>0</v>
      </c>
      <c r="R44" t="str">
        <f>+IF(AND(M44="S128",F44="outras instituicoes financeiras"),"c006x   - Insurance firms &amp; pension funds",IF(F44="particulares","c001x   - Households",IF(AND(F44="outras empresas nao financeiras",G44="1"),"c002x   - Micro &amp; SME",IF(AND(F44="outras empresas nao financeiras",OR(G44="0",G44="")),"c003x   - Corporates",IF(F44="instituicoes de credito","c004x   - Institutions",IF(F44="outras instituicoes financeiras","c005x   - Other financial corporations",IF(F44="setor publico","c008x   - Government, central banks &amp; supranationals","")))))))</f>
        <v>c003x   - Corporates</v>
      </c>
      <c r="S44" s="21">
        <f t="shared" si="3"/>
        <v>0</v>
      </c>
      <c r="T44">
        <f t="shared" si="4"/>
        <v>6236549.4578550002</v>
      </c>
      <c r="U44">
        <f t="shared" si="5"/>
        <v>3876.0467199999998</v>
      </c>
      <c r="V44">
        <v>0</v>
      </c>
    </row>
    <row r="45" spans="1:22" x14ac:dyDescent="0.45">
      <c r="A45" t="s">
        <v>83</v>
      </c>
      <c r="B45" s="34">
        <v>5.53E-4</v>
      </c>
      <c r="F45" t="s">
        <v>16</v>
      </c>
      <c r="G45" t="s">
        <v>17</v>
      </c>
      <c r="H45" s="20"/>
      <c r="I45" s="20"/>
      <c r="L45" t="s">
        <v>100</v>
      </c>
      <c r="N45" s="21">
        <v>0</v>
      </c>
      <c r="O45" s="21">
        <v>0</v>
      </c>
      <c r="R45" t="str">
        <f>+IF(AND(M45="S128",F45="outras instituicoes financeiras"),"c006x   - Insurance firms &amp; pension funds",IF(F45="particulares","c001x   - Households",IF(AND(F45="outras empresas nao financeiras",G45="1"),"c002x   - Micro &amp; SME",IF(AND(F45="outras empresas nao financeiras",OR(G45="0",G45="")),"c003x   - Corporates",IF(F45="instituicoes de credito","c004x   - Institutions",IF(F45="outras instituicoes financeiras","c005x   - Other financial corporations",IF(F45="setor publico","c008x   - Government, central banks &amp; supranationals","")))))))</f>
        <v>c003x   - Corporates</v>
      </c>
      <c r="S45" s="21">
        <f t="shared" si="3"/>
        <v>0</v>
      </c>
      <c r="T45">
        <f t="shared" si="4"/>
        <v>5.53E-4</v>
      </c>
      <c r="U45">
        <f t="shared" si="5"/>
        <v>0</v>
      </c>
      <c r="V45">
        <v>0</v>
      </c>
    </row>
    <row r="46" spans="1:22" x14ac:dyDescent="0.45">
      <c r="A46" t="s">
        <v>84</v>
      </c>
      <c r="B46" s="34">
        <v>1847695.91343</v>
      </c>
      <c r="F46" t="s">
        <v>16</v>
      </c>
      <c r="G46" t="s">
        <v>17</v>
      </c>
      <c r="H46">
        <v>0</v>
      </c>
      <c r="L46" t="s">
        <v>100</v>
      </c>
      <c r="N46" s="21">
        <v>0</v>
      </c>
      <c r="O46" s="21">
        <v>28226.331386940001</v>
      </c>
      <c r="R46" t="str">
        <f>+IF(AND(M46="S128",F46="outras instituicoes financeiras"),"c006x   - Insurance firms &amp; pension funds",IF(F46="particulares","c001x   - Households",IF(AND(F46="outras empresas nao financeiras",G46="1"),"c002x   - Micro &amp; SME",IF(AND(F46="outras empresas nao financeiras",OR(G46="0",G46="")),"c003x   - Corporates",IF(F46="instituicoes de credito","c004x   - Institutions",IF(F46="outras instituicoes financeiras","c005x   - Other financial corporations",IF(F46="setor publico","c008x   - Government, central banks &amp; supranationals","")))))))</f>
        <v>c003x   - Corporates</v>
      </c>
      <c r="S46" s="21">
        <f t="shared" si="3"/>
        <v>28226.331386940001</v>
      </c>
      <c r="T46">
        <f t="shared" si="4"/>
        <v>1819469.5820430599</v>
      </c>
      <c r="U46">
        <f t="shared" si="5"/>
        <v>0</v>
      </c>
      <c r="V46">
        <v>0</v>
      </c>
    </row>
    <row r="47" spans="1:22" x14ac:dyDescent="0.45">
      <c r="A47" t="s">
        <v>85</v>
      </c>
      <c r="B47" s="34">
        <v>1608976.4801459999</v>
      </c>
      <c r="F47" t="s">
        <v>16</v>
      </c>
      <c r="G47" t="s">
        <v>17</v>
      </c>
      <c r="H47" s="20">
        <v>0</v>
      </c>
      <c r="I47" s="20"/>
      <c r="L47" t="s">
        <v>100</v>
      </c>
      <c r="N47" s="21">
        <v>0</v>
      </c>
      <c r="O47" s="21">
        <v>210.35</v>
      </c>
      <c r="R47" t="str">
        <f>+IF(AND(M47="S128",F47="outras instituicoes financeiras"),"c006x   - Insurance firms &amp; pension funds",IF(F47="particulares","c001x   - Households",IF(AND(F47="outras empresas nao financeiras",G47="1"),"c002x   - Micro &amp; SME",IF(AND(F47="outras empresas nao financeiras",OR(G47="0",G47="")),"c003x   - Corporates",IF(F47="instituicoes de credito","c004x   - Institutions",IF(F47="outras instituicoes financeiras","c005x   - Other financial corporations",IF(F47="setor publico","c008x   - Government, central banks &amp; supranationals","")))))))</f>
        <v>c003x   - Corporates</v>
      </c>
      <c r="S47" s="21">
        <f t="shared" si="3"/>
        <v>210.35</v>
      </c>
      <c r="T47">
        <f t="shared" si="4"/>
        <v>1608766.1301459998</v>
      </c>
      <c r="U47">
        <f t="shared" si="5"/>
        <v>0</v>
      </c>
      <c r="V47">
        <v>0</v>
      </c>
    </row>
    <row r="48" spans="1:22" x14ac:dyDescent="0.45">
      <c r="A48" t="s">
        <v>86</v>
      </c>
      <c r="B48" s="34">
        <v>16230252.488923</v>
      </c>
      <c r="C48" s="34">
        <v>2035.1098730000001</v>
      </c>
      <c r="F48" t="s">
        <v>16</v>
      </c>
      <c r="G48" t="s">
        <v>17</v>
      </c>
      <c r="H48" s="20">
        <v>2.2089999999999999E-2</v>
      </c>
      <c r="I48" s="20">
        <v>1.9</v>
      </c>
      <c r="L48" t="s">
        <v>100</v>
      </c>
      <c r="N48">
        <v>0</v>
      </c>
      <c r="O48">
        <v>247303.65395010999</v>
      </c>
      <c r="R48" t="str">
        <f>+IF(AND(M48="S128",F48="outras instituicoes financeiras"),"c006x   - Insurance firms &amp; pension funds",IF(F48="particulares","c001x   - Households",IF(AND(F48="outras empresas nao financeiras",G48="1"),"c002x   - Micro &amp; SME",IF(AND(F48="outras empresas nao financeiras",OR(G48="0",G48="")),"c003x   - Corporates",IF(F48="instituicoes de credito","c004x   - Institutions",IF(F48="outras instituicoes financeiras","c005x   - Other financial corporations",IF(F48="setor publico","c008x   - Government, central banks &amp; supranationals","")))))))</f>
        <v>c003x   - Corporates</v>
      </c>
      <c r="S48" s="21">
        <f t="shared" si="3"/>
        <v>247303.65395010999</v>
      </c>
      <c r="T48">
        <f t="shared" si="4"/>
        <v>15982948.83497289</v>
      </c>
      <c r="U48">
        <f t="shared" si="5"/>
        <v>2035.1098730000001</v>
      </c>
      <c r="V48">
        <v>0</v>
      </c>
    </row>
    <row r="49" spans="1:22" x14ac:dyDescent="0.45">
      <c r="A49" t="s">
        <v>87</v>
      </c>
      <c r="B49" s="34">
        <v>82719521.273221001</v>
      </c>
      <c r="C49" s="34">
        <v>62559.309956999998</v>
      </c>
      <c r="F49" t="s">
        <v>16</v>
      </c>
      <c r="G49" t="s">
        <v>17</v>
      </c>
      <c r="H49" s="20">
        <v>2.3210000000000001E-2</v>
      </c>
      <c r="I49">
        <v>0.52385000000000004</v>
      </c>
      <c r="L49" t="s">
        <v>100</v>
      </c>
      <c r="N49">
        <v>0</v>
      </c>
      <c r="O49">
        <v>1896712.01886641</v>
      </c>
      <c r="R49" t="str">
        <f>+IF(AND(M49="S128",F49="outras instituicoes financeiras"),"c006x   - Insurance firms &amp; pension funds",IF(F49="particulares","c001x   - Households",IF(AND(F49="outras empresas nao financeiras",G49="1"),"c002x   - Micro &amp; SME",IF(AND(F49="outras empresas nao financeiras",OR(G49="0",G49="")),"c003x   - Corporates",IF(F49="instituicoes de credito","c004x   - Institutions",IF(F49="outras instituicoes financeiras","c005x   - Other financial corporations",IF(F49="setor publico","c008x   - Government, central banks &amp; supranationals","")))))))</f>
        <v>c003x   - Corporates</v>
      </c>
      <c r="S49" s="21">
        <f t="shared" si="3"/>
        <v>1896712.01886641</v>
      </c>
      <c r="T49">
        <f t="shared" si="4"/>
        <v>80822809.254354596</v>
      </c>
      <c r="U49">
        <f t="shared" si="5"/>
        <v>62559.309956999998</v>
      </c>
      <c r="V49">
        <v>0</v>
      </c>
    </row>
    <row r="50" spans="1:22" x14ac:dyDescent="0.45">
      <c r="A50" t="s">
        <v>88</v>
      </c>
      <c r="B50" s="34">
        <v>3605041566.9400401</v>
      </c>
      <c r="C50" s="34">
        <v>52462.48</v>
      </c>
      <c r="F50" t="s">
        <v>16</v>
      </c>
      <c r="G50" t="s">
        <v>17</v>
      </c>
      <c r="H50" s="20">
        <v>1.2099999999999999E-3</v>
      </c>
      <c r="I50">
        <v>2.912E-2</v>
      </c>
      <c r="L50" t="s">
        <v>100</v>
      </c>
      <c r="N50">
        <v>341791543.26393098</v>
      </c>
      <c r="O50">
        <v>0</v>
      </c>
      <c r="R50" t="str">
        <f>+IF(AND(M50="S128",F50="outras instituicoes financeiras"),"c006x   - Insurance firms &amp; pension funds",IF(F50="particulares","c001x   - Households",IF(AND(F50="outras empresas nao financeiras",G50="1"),"c002x   - Micro &amp; SME",IF(AND(F50="outras empresas nao financeiras",OR(G50="0",G50="")),"c003x   - Corporates",IF(F50="instituicoes de credito","c004x   - Institutions",IF(F50="outras instituicoes financeiras","c005x   - Other financial corporations",IF(F50="setor publico","c008x   - Government, central banks &amp; supranationals","")))))))</f>
        <v>c003x   - Corporates</v>
      </c>
      <c r="S50" s="21">
        <f t="shared" si="3"/>
        <v>341791543.26393098</v>
      </c>
      <c r="T50">
        <f t="shared" si="4"/>
        <v>3263250023.6761093</v>
      </c>
      <c r="U50">
        <f t="shared" si="5"/>
        <v>52462.48</v>
      </c>
      <c r="V50">
        <v>0</v>
      </c>
    </row>
    <row r="51" spans="1:22" x14ac:dyDescent="0.45">
      <c r="A51" t="s">
        <v>88</v>
      </c>
      <c r="B51" s="34">
        <v>35.520000000000003</v>
      </c>
      <c r="C51" s="34">
        <v>0.05</v>
      </c>
      <c r="F51" t="s">
        <v>16</v>
      </c>
      <c r="H51" s="20"/>
      <c r="L51" t="s">
        <v>100</v>
      </c>
      <c r="N51" s="21"/>
      <c r="O51" s="21"/>
      <c r="R51" t="str">
        <f>+IF(AND(M51="S128",F51="outras instituicoes financeiras"),"c006x   - Insurance firms &amp; pension funds",IF(F51="particulares","c001x   - Households",IF(AND(F51="outras empresas nao financeiras",G51="1"),"c002x   - Micro &amp; SME",IF(AND(F51="outras empresas nao financeiras",OR(G51="0",G51="")),"c003x   - Corporates",IF(F51="instituicoes de credito","c004x   - Institutions",IF(F51="outras instituicoes financeiras","c005x   - Other financial corporations",IF(F51="setor publico","c008x   - Government, central banks &amp; supranationals","")))))))</f>
        <v>c003x   - Corporates</v>
      </c>
      <c r="S51" s="21">
        <f t="shared" si="3"/>
        <v>0</v>
      </c>
      <c r="T51">
        <f t="shared" si="4"/>
        <v>35.520000000000003</v>
      </c>
      <c r="U51">
        <f t="shared" si="5"/>
        <v>0.05</v>
      </c>
      <c r="V51">
        <v>0</v>
      </c>
    </row>
    <row r="52" spans="1:22" x14ac:dyDescent="0.45">
      <c r="A52" t="s">
        <v>89</v>
      </c>
      <c r="B52" s="34">
        <v>766250.12390899996</v>
      </c>
      <c r="C52" s="34">
        <v>8.2186810000000001</v>
      </c>
      <c r="F52" t="s">
        <v>16</v>
      </c>
      <c r="G52" t="s">
        <v>17</v>
      </c>
      <c r="H52" s="20">
        <v>0.42666999999999999</v>
      </c>
      <c r="I52">
        <v>2.1166700000000001</v>
      </c>
      <c r="L52" t="s">
        <v>100</v>
      </c>
      <c r="N52">
        <v>0</v>
      </c>
      <c r="O52">
        <v>11072.85</v>
      </c>
      <c r="R52" t="str">
        <f>+IF(AND(M52="S128",F52="outras instituicoes financeiras"),"c006x   - Insurance firms &amp; pension funds",IF(F52="particulares","c001x   - Households",IF(AND(F52="outras empresas nao financeiras",G52="1"),"c002x   - Micro &amp; SME",IF(AND(F52="outras empresas nao financeiras",OR(G52="0",G52="")),"c003x   - Corporates",IF(F52="instituicoes de credito","c004x   - Institutions",IF(F52="outras instituicoes financeiras","c005x   - Other financial corporations",IF(F52="setor publico","c008x   - Government, central banks &amp; supranationals","")))))))</f>
        <v>c003x   - Corporates</v>
      </c>
      <c r="S52" s="21">
        <f t="shared" si="3"/>
        <v>11072.85</v>
      </c>
      <c r="T52">
        <f t="shared" si="4"/>
        <v>755177.27390899998</v>
      </c>
      <c r="U52">
        <f t="shared" si="5"/>
        <v>8.2186810000000001</v>
      </c>
      <c r="V52">
        <v>0</v>
      </c>
    </row>
    <row r="53" spans="1:22" x14ac:dyDescent="0.45">
      <c r="A53" t="s">
        <v>87</v>
      </c>
      <c r="B53" s="34">
        <v>1875117.1948249999</v>
      </c>
      <c r="C53" s="34">
        <v>4271.1044439999996</v>
      </c>
      <c r="F53" t="s">
        <v>21</v>
      </c>
      <c r="G53" t="s">
        <v>17</v>
      </c>
      <c r="H53" s="20">
        <v>2.0499999999999998</v>
      </c>
      <c r="I53" s="20">
        <v>2.0499999999999998</v>
      </c>
      <c r="L53" t="s">
        <v>100</v>
      </c>
      <c r="N53" s="21"/>
      <c r="O53" s="21"/>
      <c r="R53" t="str">
        <f>+IF(AND(M53="S128",F53="outras instituicoes financeiras"),"c006x   - Insurance firms &amp; pension funds",IF(F53="particulares","c001x   - Households",IF(AND(F53="outras empresas nao financeiras",G53="1"),"c002x   - Micro &amp; SME",IF(AND(F53="outras empresas nao financeiras",OR(G53="0",G53="")),"c003x   - Corporates",IF(F53="instituicoes de credito","c004x   - Institutions",IF(F53="outras instituicoes financeiras","c005x   - Other financial corporations",IF(F53="setor publico","c008x   - Government, central banks &amp; supranationals","")))))))</f>
        <v>c004x   - Institutions</v>
      </c>
      <c r="S53" s="21">
        <f t="shared" si="3"/>
        <v>0</v>
      </c>
      <c r="T53">
        <f t="shared" si="4"/>
        <v>1875117.1948249999</v>
      </c>
      <c r="U53">
        <f t="shared" si="5"/>
        <v>4271.1044439999996</v>
      </c>
      <c r="V53">
        <v>0</v>
      </c>
    </row>
    <row r="54" spans="1:22" x14ac:dyDescent="0.45">
      <c r="A54" t="s">
        <v>88</v>
      </c>
      <c r="B54" s="34">
        <v>2295470.09</v>
      </c>
      <c r="C54" s="34">
        <v>98.06</v>
      </c>
      <c r="F54" t="s">
        <v>21</v>
      </c>
      <c r="G54" t="s">
        <v>17</v>
      </c>
      <c r="H54" s="20">
        <v>5.0000000000000001E-3</v>
      </c>
      <c r="I54" s="20">
        <v>0.01</v>
      </c>
      <c r="L54" t="s">
        <v>100</v>
      </c>
      <c r="R54" t="str">
        <f>+IF(AND(M54="S128",F54="outras instituicoes financeiras"),"c006x   - Insurance firms &amp; pension funds",IF(F54="particulares","c001x   - Households",IF(AND(F54="outras empresas nao financeiras",G54="1"),"c002x   - Micro &amp; SME",IF(AND(F54="outras empresas nao financeiras",OR(G54="0",G54="")),"c003x   - Corporates",IF(F54="instituicoes de credito","c004x   - Institutions",IF(F54="outras instituicoes financeiras","c005x   - Other financial corporations",IF(F54="setor publico","c008x   - Government, central banks &amp; supranationals","")))))))</f>
        <v>c004x   - Institutions</v>
      </c>
      <c r="S54" s="21">
        <f t="shared" si="3"/>
        <v>0</v>
      </c>
      <c r="T54">
        <f t="shared" si="4"/>
        <v>2295470.09</v>
      </c>
      <c r="U54">
        <f t="shared" si="5"/>
        <v>98.06</v>
      </c>
      <c r="V54">
        <v>0</v>
      </c>
    </row>
    <row r="55" spans="1:22" x14ac:dyDescent="0.45">
      <c r="A55" t="s">
        <v>76</v>
      </c>
      <c r="B55" s="34">
        <v>983591.84349799994</v>
      </c>
      <c r="F55" t="s">
        <v>19</v>
      </c>
      <c r="G55" t="s">
        <v>17</v>
      </c>
      <c r="H55" s="20">
        <v>0</v>
      </c>
      <c r="L55" t="s">
        <v>100</v>
      </c>
      <c r="N55" s="21"/>
      <c r="O55" s="21"/>
      <c r="R55" t="str">
        <f>+IF(AND(M55="S128",F55="outras instituicoes financeiras"),"c006x   - Insurance firms &amp; pension funds",IF(F55="particulares","c001x   - Households",IF(AND(F55="outras empresas nao financeiras",G55="1"),"c002x   - Micro &amp; SME",IF(AND(F55="outras empresas nao financeiras",OR(G55="0",G55="")),"c003x   - Corporates",IF(F55="instituicoes de credito","c004x   - Institutions",IF(F55="outras instituicoes financeiras","c005x   - Other financial corporations",IF(F55="setor publico","c008x   - Government, central banks &amp; supranationals","")))))))</f>
        <v>c005x   - Other financial corporations</v>
      </c>
      <c r="S55" s="21">
        <f t="shared" si="3"/>
        <v>0</v>
      </c>
      <c r="T55">
        <f t="shared" si="4"/>
        <v>983591.84349799994</v>
      </c>
      <c r="U55">
        <f t="shared" si="5"/>
        <v>0</v>
      </c>
      <c r="V55">
        <v>0</v>
      </c>
    </row>
    <row r="56" spans="1:22" x14ac:dyDescent="0.45">
      <c r="A56" t="s">
        <v>76</v>
      </c>
      <c r="B56" s="34">
        <v>133192.06652600001</v>
      </c>
      <c r="F56" t="s">
        <v>19</v>
      </c>
      <c r="G56" t="s">
        <v>18</v>
      </c>
      <c r="H56" s="20">
        <v>0</v>
      </c>
      <c r="L56" t="s">
        <v>100</v>
      </c>
      <c r="R56" t="str">
        <f>+IF(AND(M56="S128",F56="outras instituicoes financeiras"),"c006x   - Insurance firms &amp; pension funds",IF(F56="particulares","c001x   - Households",IF(AND(F56="outras empresas nao financeiras",G56="1"),"c002x   - Micro &amp; SME",IF(AND(F56="outras empresas nao financeiras",OR(G56="0",G56="")),"c003x   - Corporates",IF(F56="instituicoes de credito","c004x   - Institutions",IF(F56="outras instituicoes financeiras","c005x   - Other financial corporations",IF(F56="setor publico","c008x   - Government, central banks &amp; supranationals","")))))))</f>
        <v>c005x   - Other financial corporations</v>
      </c>
      <c r="S56" s="21">
        <f t="shared" si="3"/>
        <v>0</v>
      </c>
      <c r="T56">
        <f t="shared" si="4"/>
        <v>133192.06652600001</v>
      </c>
      <c r="U56">
        <f t="shared" si="5"/>
        <v>0</v>
      </c>
      <c r="V56">
        <v>0</v>
      </c>
    </row>
    <row r="57" spans="1:22" x14ac:dyDescent="0.45">
      <c r="A57" t="s">
        <v>79</v>
      </c>
      <c r="B57" s="34">
        <v>6.7239999999999999E-3</v>
      </c>
      <c r="F57" t="s">
        <v>19</v>
      </c>
      <c r="G57" t="s">
        <v>17</v>
      </c>
      <c r="H57" s="20">
        <v>0</v>
      </c>
      <c r="L57" t="s">
        <v>100</v>
      </c>
      <c r="R57" t="str">
        <f>+IF(AND(M57="S128",F57="outras instituicoes financeiras"),"c006x   - Insurance firms &amp; pension funds",IF(F57="particulares","c001x   - Households",IF(AND(F57="outras empresas nao financeiras",G57="1"),"c002x   - Micro &amp; SME",IF(AND(F57="outras empresas nao financeiras",OR(G57="0",G57="")),"c003x   - Corporates",IF(F57="instituicoes de credito","c004x   - Institutions",IF(F57="outras instituicoes financeiras","c005x   - Other financial corporations",IF(F57="setor publico","c008x   - Government, central banks &amp; supranationals","")))))))</f>
        <v>c005x   - Other financial corporations</v>
      </c>
      <c r="S57" s="21">
        <f t="shared" si="3"/>
        <v>0</v>
      </c>
      <c r="T57">
        <f t="shared" si="4"/>
        <v>6.7239999999999999E-3</v>
      </c>
      <c r="U57">
        <f t="shared" si="5"/>
        <v>0</v>
      </c>
      <c r="V57">
        <v>0</v>
      </c>
    </row>
    <row r="58" spans="1:22" x14ac:dyDescent="0.45">
      <c r="A58" t="s">
        <v>79</v>
      </c>
      <c r="B58" s="34">
        <v>37654.989578000001</v>
      </c>
      <c r="D58" s="1"/>
      <c r="F58" t="s">
        <v>19</v>
      </c>
      <c r="G58" t="s">
        <v>18</v>
      </c>
      <c r="H58" s="20">
        <v>0</v>
      </c>
      <c r="I58" s="20"/>
      <c r="J58" s="20"/>
      <c r="L58" t="s">
        <v>100</v>
      </c>
      <c r="N58" s="21"/>
      <c r="O58" s="21"/>
      <c r="P58" s="21"/>
      <c r="Q58" s="21"/>
      <c r="R58" t="str">
        <f>+IF(AND(M58="S128",F58="outras instituicoes financeiras"),"c006x   - Insurance firms &amp; pension funds",IF(F58="particulares","c001x   - Households",IF(AND(F58="outras empresas nao financeiras",G58="1"),"c002x   - Micro &amp; SME",IF(AND(F58="outras empresas nao financeiras",OR(G58="0",G58="")),"c003x   - Corporates",IF(F58="instituicoes de credito","c004x   - Institutions",IF(F58="outras instituicoes financeiras","c005x   - Other financial corporations",IF(F58="setor publico","c008x   - Government, central banks &amp; supranationals","")))))))</f>
        <v>c005x   - Other financial corporations</v>
      </c>
      <c r="S58" s="21">
        <f t="shared" si="3"/>
        <v>0</v>
      </c>
      <c r="T58">
        <f t="shared" si="4"/>
        <v>37654.989578000001</v>
      </c>
      <c r="U58">
        <f t="shared" si="5"/>
        <v>0</v>
      </c>
      <c r="V58">
        <v>0</v>
      </c>
    </row>
    <row r="59" spans="1:22" x14ac:dyDescent="0.45">
      <c r="A59" t="s">
        <v>80</v>
      </c>
      <c r="B59" s="34">
        <v>133230.25735900001</v>
      </c>
      <c r="F59" t="s">
        <v>19</v>
      </c>
      <c r="G59" t="s">
        <v>18</v>
      </c>
      <c r="H59" s="20">
        <v>0</v>
      </c>
      <c r="L59" t="s">
        <v>100</v>
      </c>
      <c r="R59" t="str">
        <f>+IF(AND(M59="S128",F59="outras instituicoes financeiras"),"c006x   - Insurance firms &amp; pension funds",IF(F59="particulares","c001x   - Households",IF(AND(F59="outras empresas nao financeiras",G59="1"),"c002x   - Micro &amp; SME",IF(AND(F59="outras empresas nao financeiras",OR(G59="0",G59="")),"c003x   - Corporates",IF(F59="instituicoes de credito","c004x   - Institutions",IF(F59="outras instituicoes financeiras","c005x   - Other financial corporations",IF(F59="setor publico","c008x   - Government, central banks &amp; supranationals","")))))))</f>
        <v>c005x   - Other financial corporations</v>
      </c>
      <c r="S59" s="21">
        <f t="shared" si="3"/>
        <v>0</v>
      </c>
      <c r="T59">
        <f t="shared" si="4"/>
        <v>133230.25735900001</v>
      </c>
      <c r="U59">
        <f t="shared" si="5"/>
        <v>0</v>
      </c>
      <c r="V59">
        <v>0</v>
      </c>
    </row>
    <row r="60" spans="1:22" x14ac:dyDescent="0.45">
      <c r="A60" t="s">
        <v>80</v>
      </c>
      <c r="B60" s="34">
        <v>7865551.4076490002</v>
      </c>
      <c r="F60" t="s">
        <v>19</v>
      </c>
      <c r="G60" t="s">
        <v>17</v>
      </c>
      <c r="H60">
        <v>0</v>
      </c>
      <c r="L60" t="s">
        <v>100</v>
      </c>
      <c r="N60" s="21"/>
      <c r="O60" s="21"/>
      <c r="R60" t="str">
        <f>+IF(AND(M60="S128",F60="outras instituicoes financeiras"),"c006x   - Insurance firms &amp; pension funds",IF(F60="particulares","c001x   - Households",IF(AND(F60="outras empresas nao financeiras",G60="1"),"c002x   - Micro &amp; SME",IF(AND(F60="outras empresas nao financeiras",OR(G60="0",G60="")),"c003x   - Corporates",IF(F60="instituicoes de credito","c004x   - Institutions",IF(F60="outras instituicoes financeiras","c005x   - Other financial corporations",IF(F60="setor publico","c008x   - Government, central banks &amp; supranationals","")))))))</f>
        <v>c005x   - Other financial corporations</v>
      </c>
      <c r="S60" s="21">
        <f t="shared" si="3"/>
        <v>0</v>
      </c>
      <c r="T60">
        <f t="shared" si="4"/>
        <v>7865551.4076490002</v>
      </c>
      <c r="U60">
        <f t="shared" si="5"/>
        <v>0</v>
      </c>
      <c r="V60">
        <v>0</v>
      </c>
    </row>
    <row r="61" spans="1:22" x14ac:dyDescent="0.45">
      <c r="A61" t="s">
        <v>81</v>
      </c>
      <c r="B61" s="34">
        <v>5897.2282210000003</v>
      </c>
      <c r="F61" t="s">
        <v>19</v>
      </c>
      <c r="G61" t="s">
        <v>17</v>
      </c>
      <c r="H61" s="20">
        <v>0</v>
      </c>
      <c r="L61" t="s">
        <v>100</v>
      </c>
      <c r="N61" s="21"/>
      <c r="O61" s="21"/>
      <c r="R61" t="str">
        <f>+IF(AND(M61="S128",F61="outras instituicoes financeiras"),"c006x   - Insurance firms &amp; pension funds",IF(F61="particulares","c001x   - Households",IF(AND(F61="outras empresas nao financeiras",G61="1"),"c002x   - Micro &amp; SME",IF(AND(F61="outras empresas nao financeiras",OR(G61="0",G61="")),"c003x   - Corporates",IF(F61="instituicoes de credito","c004x   - Institutions",IF(F61="outras instituicoes financeiras","c005x   - Other financial corporations",IF(F61="setor publico","c008x   - Government, central banks &amp; supranationals","")))))))</f>
        <v>c005x   - Other financial corporations</v>
      </c>
      <c r="S61" s="21">
        <f t="shared" si="3"/>
        <v>0</v>
      </c>
      <c r="T61">
        <f t="shared" si="4"/>
        <v>5897.2282210000003</v>
      </c>
      <c r="U61">
        <f t="shared" si="5"/>
        <v>0</v>
      </c>
      <c r="V61">
        <v>0</v>
      </c>
    </row>
    <row r="62" spans="1:22" x14ac:dyDescent="0.45">
      <c r="A62" t="s">
        <v>82</v>
      </c>
      <c r="B62" s="34">
        <v>6377.227073</v>
      </c>
      <c r="C62" s="34">
        <v>11.766439999999999</v>
      </c>
      <c r="F62" t="s">
        <v>19</v>
      </c>
      <c r="G62" t="s">
        <v>17</v>
      </c>
      <c r="H62" s="20">
        <v>1.28349</v>
      </c>
      <c r="I62">
        <v>1.28349</v>
      </c>
      <c r="L62" t="s">
        <v>100</v>
      </c>
      <c r="N62" s="21"/>
      <c r="O62" s="21"/>
      <c r="R62" t="str">
        <f>+IF(AND(M62="S128",F62="outras instituicoes financeiras"),"c006x   - Insurance firms &amp; pension funds",IF(F62="particulares","c001x   - Households",IF(AND(F62="outras empresas nao financeiras",G62="1"),"c002x   - Micro &amp; SME",IF(AND(F62="outras empresas nao financeiras",OR(G62="0",G62="")),"c003x   - Corporates",IF(F62="instituicoes de credito","c004x   - Institutions",IF(F62="outras instituicoes financeiras","c005x   - Other financial corporations",IF(F62="setor publico","c008x   - Government, central banks &amp; supranationals","")))))))</f>
        <v>c005x   - Other financial corporations</v>
      </c>
      <c r="S62" s="21">
        <f t="shared" si="3"/>
        <v>0</v>
      </c>
      <c r="T62">
        <f t="shared" si="4"/>
        <v>6377.227073</v>
      </c>
      <c r="U62">
        <f t="shared" si="5"/>
        <v>11.766439999999999</v>
      </c>
      <c r="V62">
        <v>0</v>
      </c>
    </row>
    <row r="63" spans="1:22" x14ac:dyDescent="0.45">
      <c r="A63" t="s">
        <v>82</v>
      </c>
      <c r="B63" s="34">
        <v>53002.298883000003</v>
      </c>
      <c r="F63" t="s">
        <v>19</v>
      </c>
      <c r="G63" t="s">
        <v>18</v>
      </c>
      <c r="H63" s="20">
        <v>0</v>
      </c>
      <c r="I63" s="20"/>
      <c r="L63" t="s">
        <v>100</v>
      </c>
      <c r="N63" s="21"/>
      <c r="O63" s="21"/>
      <c r="R63" t="str">
        <f>+IF(AND(M63="S128",F63="outras instituicoes financeiras"),"c006x   - Insurance firms &amp; pension funds",IF(F63="particulares","c001x   - Households",IF(AND(F63="outras empresas nao financeiras",G63="1"),"c002x   - Micro &amp; SME",IF(AND(F63="outras empresas nao financeiras",OR(G63="0",G63="")),"c003x   - Corporates",IF(F63="instituicoes de credito","c004x   - Institutions",IF(F63="outras instituicoes financeiras","c005x   - Other financial corporations",IF(F63="setor publico","c008x   - Government, central banks &amp; supranationals","")))))))</f>
        <v>c005x   - Other financial corporations</v>
      </c>
      <c r="S63" s="21">
        <f t="shared" si="3"/>
        <v>0</v>
      </c>
      <c r="T63">
        <f t="shared" si="4"/>
        <v>53002.298883000003</v>
      </c>
      <c r="U63">
        <f t="shared" si="5"/>
        <v>0</v>
      </c>
      <c r="V63">
        <v>0</v>
      </c>
    </row>
    <row r="64" spans="1:22" x14ac:dyDescent="0.45">
      <c r="A64" t="s">
        <v>84</v>
      </c>
      <c r="B64" s="34">
        <v>15441.909583000001</v>
      </c>
      <c r="F64" t="s">
        <v>19</v>
      </c>
      <c r="G64" t="s">
        <v>18</v>
      </c>
      <c r="H64" s="20">
        <v>0</v>
      </c>
      <c r="L64" t="s">
        <v>100</v>
      </c>
      <c r="N64" s="21"/>
      <c r="O64" s="21"/>
      <c r="R64" t="str">
        <f>+IF(AND(M64="S128",F64="outras instituicoes financeiras"),"c006x   - Insurance firms &amp; pension funds",IF(F64="particulares","c001x   - Households",IF(AND(F64="outras empresas nao financeiras",G64="1"),"c002x   - Micro &amp; SME",IF(AND(F64="outras empresas nao financeiras",OR(G64="0",G64="")),"c003x   - Corporates",IF(F64="instituicoes de credito","c004x   - Institutions",IF(F64="outras instituicoes financeiras","c005x   - Other financial corporations",IF(F64="setor publico","c008x   - Government, central banks &amp; supranationals","")))))))</f>
        <v>c005x   - Other financial corporations</v>
      </c>
      <c r="S64" s="21">
        <f t="shared" si="3"/>
        <v>0</v>
      </c>
      <c r="T64">
        <f t="shared" si="4"/>
        <v>15441.909583000001</v>
      </c>
      <c r="U64">
        <f t="shared" si="5"/>
        <v>0</v>
      </c>
      <c r="V64">
        <v>0</v>
      </c>
    </row>
    <row r="65" spans="1:22" x14ac:dyDescent="0.45">
      <c r="A65" t="s">
        <v>84</v>
      </c>
      <c r="B65" s="34">
        <v>33358.612815</v>
      </c>
      <c r="C65" s="34">
        <v>3.3591690000000001</v>
      </c>
      <c r="F65" t="s">
        <v>19</v>
      </c>
      <c r="G65" t="s">
        <v>17</v>
      </c>
      <c r="H65" s="20">
        <v>0.87797000000000003</v>
      </c>
      <c r="I65">
        <v>1.3169900000000001</v>
      </c>
      <c r="L65" t="s">
        <v>100</v>
      </c>
      <c r="N65" s="21"/>
      <c r="O65" s="21"/>
      <c r="R65" t="str">
        <f>+IF(AND(M65="S128",F65="outras instituicoes financeiras"),"c006x   - Insurance firms &amp; pension funds",IF(F65="particulares","c001x   - Households",IF(AND(F65="outras empresas nao financeiras",G65="1"),"c002x   - Micro &amp; SME",IF(AND(F65="outras empresas nao financeiras",OR(G65="0",G65="")),"c003x   - Corporates",IF(F65="instituicoes de credito","c004x   - Institutions",IF(F65="outras instituicoes financeiras","c005x   - Other financial corporations",IF(F65="setor publico","c008x   - Government, central banks &amp; supranationals","")))))))</f>
        <v>c005x   - Other financial corporations</v>
      </c>
      <c r="S65" s="21">
        <f t="shared" si="3"/>
        <v>0</v>
      </c>
      <c r="T65">
        <f t="shared" si="4"/>
        <v>33358.612815</v>
      </c>
      <c r="U65">
        <f t="shared" si="5"/>
        <v>3.3591690000000001</v>
      </c>
      <c r="V65">
        <v>0</v>
      </c>
    </row>
    <row r="66" spans="1:22" x14ac:dyDescent="0.45">
      <c r="A66" t="s">
        <v>85</v>
      </c>
      <c r="B66" s="34">
        <v>33746.623336999997</v>
      </c>
      <c r="D66" s="1"/>
      <c r="E66" s="1"/>
      <c r="F66" t="s">
        <v>19</v>
      </c>
      <c r="G66" t="s">
        <v>18</v>
      </c>
      <c r="H66" s="20">
        <v>0</v>
      </c>
      <c r="I66" s="20"/>
      <c r="J66" s="20"/>
      <c r="K66" s="20"/>
      <c r="L66" t="s">
        <v>100</v>
      </c>
      <c r="R66" t="str">
        <f>+IF(AND(M66="S128",F66="outras instituicoes financeiras"),"c006x   - Insurance firms &amp; pension funds",IF(F66="particulares","c001x   - Households",IF(AND(F66="outras empresas nao financeiras",G66="1"),"c002x   - Micro &amp; SME",IF(AND(F66="outras empresas nao financeiras",OR(G66="0",G66="")),"c003x   - Corporates",IF(F66="instituicoes de credito","c004x   - Institutions",IF(F66="outras instituicoes financeiras","c005x   - Other financial corporations",IF(F66="setor publico","c008x   - Government, central banks &amp; supranationals","")))))))</f>
        <v>c005x   - Other financial corporations</v>
      </c>
      <c r="S66" s="21">
        <f t="shared" ref="S66:S82" si="6">SUM(N66:Q66)</f>
        <v>0</v>
      </c>
      <c r="T66">
        <f t="shared" ref="T66:T97" si="7">IF(D66="",B66-S66,(B66+D66)-S66)</f>
        <v>33746.623336999997</v>
      </c>
      <c r="U66">
        <f t="shared" ref="U66:U82" si="8">IF(E66="",C66,C66+E66)</f>
        <v>0</v>
      </c>
      <c r="V66">
        <v>0</v>
      </c>
    </row>
    <row r="67" spans="1:22" x14ac:dyDescent="0.45">
      <c r="A67" t="s">
        <v>85</v>
      </c>
      <c r="B67" s="34">
        <v>1047646.014015</v>
      </c>
      <c r="C67" s="34">
        <v>177.31288699999999</v>
      </c>
      <c r="F67" t="s">
        <v>19</v>
      </c>
      <c r="G67" t="s">
        <v>17</v>
      </c>
      <c r="H67" s="20">
        <v>0.32433000000000001</v>
      </c>
      <c r="I67" s="20">
        <v>0.48648999999999998</v>
      </c>
      <c r="L67" t="s">
        <v>100</v>
      </c>
      <c r="N67" s="21"/>
      <c r="O67" s="21"/>
      <c r="R67" t="str">
        <f>+IF(AND(M67="S128",F67="outras instituicoes financeiras"),"c006x   - Insurance firms &amp; pension funds",IF(F67="particulares","c001x   - Households",IF(AND(F67="outras empresas nao financeiras",G67="1"),"c002x   - Micro &amp; SME",IF(AND(F67="outras empresas nao financeiras",OR(G67="0",G67="")),"c003x   - Corporates",IF(F67="instituicoes de credito","c004x   - Institutions",IF(F67="outras instituicoes financeiras","c005x   - Other financial corporations",IF(F67="setor publico","c008x   - Government, central banks &amp; supranationals","")))))))</f>
        <v>c005x   - Other financial corporations</v>
      </c>
      <c r="S67" s="21">
        <f t="shared" si="6"/>
        <v>0</v>
      </c>
      <c r="T67">
        <f t="shared" si="7"/>
        <v>1047646.014015</v>
      </c>
      <c r="U67">
        <f t="shared" si="8"/>
        <v>177.31288699999999</v>
      </c>
      <c r="V67">
        <v>0</v>
      </c>
    </row>
    <row r="68" spans="1:22" x14ac:dyDescent="0.45">
      <c r="A68" t="s">
        <v>86</v>
      </c>
      <c r="B68" s="34">
        <v>822211.79799999995</v>
      </c>
      <c r="C68" s="34">
        <v>70.682015000000007</v>
      </c>
      <c r="F68" t="s">
        <v>19</v>
      </c>
      <c r="G68" t="s">
        <v>18</v>
      </c>
      <c r="H68" s="20">
        <v>6.2500000000000003E-3</v>
      </c>
      <c r="I68" s="20">
        <v>2.5000000000000001E-2</v>
      </c>
      <c r="L68" t="s">
        <v>100</v>
      </c>
      <c r="R68" t="str">
        <f>+IF(AND(M68="S128",F68="outras instituicoes financeiras"),"c006x   - Insurance firms &amp; pension funds",IF(F68="particulares","c001x   - Households",IF(AND(F68="outras empresas nao financeiras",G68="1"),"c002x   - Micro &amp; SME",IF(AND(F68="outras empresas nao financeiras",OR(G68="0",G68="")),"c003x   - Corporates",IF(F68="instituicoes de credito","c004x   - Institutions",IF(F68="outras instituicoes financeiras","c005x   - Other financial corporations",IF(F68="setor publico","c008x   - Government, central banks &amp; supranationals","")))))))</f>
        <v>c005x   - Other financial corporations</v>
      </c>
      <c r="S68" s="21">
        <f t="shared" si="6"/>
        <v>0</v>
      </c>
      <c r="T68">
        <f t="shared" si="7"/>
        <v>822211.79799999995</v>
      </c>
      <c r="U68">
        <f t="shared" si="8"/>
        <v>70.682015000000007</v>
      </c>
      <c r="V68">
        <v>0</v>
      </c>
    </row>
    <row r="69" spans="1:22" x14ac:dyDescent="0.45">
      <c r="A69" t="s">
        <v>86</v>
      </c>
      <c r="B69" s="34">
        <v>3806427.7225939999</v>
      </c>
      <c r="C69" s="34">
        <v>209.46410700000001</v>
      </c>
      <c r="F69" t="s">
        <v>19</v>
      </c>
      <c r="G69" t="s">
        <v>17</v>
      </c>
      <c r="H69" s="20">
        <v>0.47033999999999998</v>
      </c>
      <c r="I69" s="20">
        <v>2.13483</v>
      </c>
      <c r="L69" t="s">
        <v>100</v>
      </c>
      <c r="N69" s="21"/>
      <c r="O69" s="21"/>
      <c r="R69" t="str">
        <f>+IF(AND(M69="S128",F69="outras instituicoes financeiras"),"c006x   - Insurance firms &amp; pension funds",IF(F69="particulares","c001x   - Households",IF(AND(F69="outras empresas nao financeiras",G69="1"),"c002x   - Micro &amp; SME",IF(AND(F69="outras empresas nao financeiras",OR(G69="0",G69="")),"c003x   - Corporates",IF(F69="instituicoes de credito","c004x   - Institutions",IF(F69="outras instituicoes financeiras","c005x   - Other financial corporations",IF(F69="setor publico","c008x   - Government, central banks &amp; supranationals","")))))))</f>
        <v>c005x   - Other financial corporations</v>
      </c>
      <c r="S69" s="21">
        <f t="shared" si="6"/>
        <v>0</v>
      </c>
      <c r="T69">
        <f t="shared" si="7"/>
        <v>3806427.7225939999</v>
      </c>
      <c r="U69">
        <f t="shared" si="8"/>
        <v>209.46410700000001</v>
      </c>
      <c r="V69">
        <v>0</v>
      </c>
    </row>
    <row r="70" spans="1:22" x14ac:dyDescent="0.45">
      <c r="A70" t="s">
        <v>87</v>
      </c>
      <c r="B70" s="34">
        <v>1451427.6392270001</v>
      </c>
      <c r="C70" s="34">
        <v>88.308644000000001</v>
      </c>
      <c r="F70" t="s">
        <v>19</v>
      </c>
      <c r="G70" t="s">
        <v>18</v>
      </c>
      <c r="H70" s="20">
        <v>8.3330000000000001E-2</v>
      </c>
      <c r="I70" s="20">
        <v>0</v>
      </c>
      <c r="L70" t="s">
        <v>100</v>
      </c>
      <c r="N70" s="21"/>
      <c r="O70" s="21"/>
      <c r="R70" t="str">
        <f>+IF(AND(M70="S128",F70="outras instituicoes financeiras"),"c006x   - Insurance firms &amp; pension funds",IF(F70="particulares","c001x   - Households",IF(AND(F70="outras empresas nao financeiras",G70="1"),"c002x   - Micro &amp; SME",IF(AND(F70="outras empresas nao financeiras",OR(G70="0",G70="")),"c003x   - Corporates",IF(F70="instituicoes de credito","c004x   - Institutions",IF(F70="outras instituicoes financeiras","c005x   - Other financial corporations",IF(F70="setor publico","c008x   - Government, central banks &amp; supranationals","")))))))</f>
        <v>c005x   - Other financial corporations</v>
      </c>
      <c r="S70" s="21">
        <f t="shared" si="6"/>
        <v>0</v>
      </c>
      <c r="T70">
        <f t="shared" si="7"/>
        <v>1451427.6392270001</v>
      </c>
      <c r="U70">
        <f t="shared" si="8"/>
        <v>88.308644000000001</v>
      </c>
      <c r="V70">
        <v>0</v>
      </c>
    </row>
    <row r="71" spans="1:22" x14ac:dyDescent="0.45">
      <c r="A71" t="s">
        <v>88</v>
      </c>
      <c r="B71" s="34">
        <v>-0.26</v>
      </c>
      <c r="C71" s="34">
        <v>-0.01</v>
      </c>
      <c r="F71" t="s">
        <v>19</v>
      </c>
      <c r="H71" s="20"/>
      <c r="L71" t="s">
        <v>100</v>
      </c>
      <c r="R71" t="str">
        <f>+IF(AND(M71="S128",F71="outras instituicoes financeiras"),"c006x   - Insurance firms &amp; pension funds",IF(F71="particulares","c001x   - Households",IF(AND(F71="outras empresas nao financeiras",G71="1"),"c002x   - Micro &amp; SME",IF(AND(F71="outras empresas nao financeiras",OR(G71="0",G71="")),"c003x   - Corporates",IF(F71="instituicoes de credito","c004x   - Institutions",IF(F71="outras instituicoes financeiras","c005x   - Other financial corporations",IF(F71="setor publico","c008x   - Government, central banks &amp; supranationals","")))))))</f>
        <v>c005x   - Other financial corporations</v>
      </c>
      <c r="S71" s="21">
        <f t="shared" si="6"/>
        <v>0</v>
      </c>
      <c r="T71">
        <f t="shared" si="7"/>
        <v>-0.26</v>
      </c>
      <c r="U71">
        <f t="shared" si="8"/>
        <v>-0.01</v>
      </c>
      <c r="V71">
        <v>0</v>
      </c>
    </row>
    <row r="72" spans="1:22" x14ac:dyDescent="0.45">
      <c r="A72" t="s">
        <v>89</v>
      </c>
      <c r="B72" s="34">
        <v>978.32208200000002</v>
      </c>
      <c r="F72" t="s">
        <v>19</v>
      </c>
      <c r="G72" t="s">
        <v>17</v>
      </c>
      <c r="H72" s="20">
        <v>0</v>
      </c>
      <c r="I72" s="20"/>
      <c r="L72" t="s">
        <v>100</v>
      </c>
      <c r="N72" s="21"/>
      <c r="O72" s="21"/>
      <c r="R72" t="str">
        <f>+IF(AND(M72="S128",F72="outras instituicoes financeiras"),"c006x   - Insurance firms &amp; pension funds",IF(F72="particulares","c001x   - Households",IF(AND(F72="outras empresas nao financeiras",G72="1"),"c002x   - Micro &amp; SME",IF(AND(F72="outras empresas nao financeiras",OR(G72="0",G72="")),"c003x   - Corporates",IF(F72="instituicoes de credito","c004x   - Institutions",IF(F72="outras instituicoes financeiras","c005x   - Other financial corporations",IF(F72="setor publico","c008x   - Government, central banks &amp; supranationals","")))))))</f>
        <v>c005x   - Other financial corporations</v>
      </c>
      <c r="S72" s="21">
        <f t="shared" si="6"/>
        <v>0</v>
      </c>
      <c r="T72">
        <f t="shared" si="7"/>
        <v>978.32208200000002</v>
      </c>
      <c r="U72">
        <f t="shared" si="8"/>
        <v>0</v>
      </c>
      <c r="V72">
        <v>0</v>
      </c>
    </row>
    <row r="73" spans="1:22" x14ac:dyDescent="0.45">
      <c r="A73" t="s">
        <v>87</v>
      </c>
      <c r="B73" s="34">
        <v>66500829.233076997</v>
      </c>
      <c r="C73" s="34">
        <v>117741.561973</v>
      </c>
      <c r="D73" s="1">
        <v>291.05569100000002</v>
      </c>
      <c r="E73" s="1"/>
      <c r="F73" t="s">
        <v>19</v>
      </c>
      <c r="G73" t="s">
        <v>17</v>
      </c>
      <c r="H73" s="20">
        <v>0.83340000000000003</v>
      </c>
      <c r="I73" s="20">
        <v>3.7999900000000002</v>
      </c>
      <c r="J73" s="20">
        <v>0</v>
      </c>
      <c r="K73" s="20"/>
      <c r="L73" t="s">
        <v>100</v>
      </c>
      <c r="M73" t="s">
        <v>23</v>
      </c>
      <c r="N73" s="21"/>
      <c r="O73" s="21"/>
      <c r="P73" s="21"/>
      <c r="Q73" s="21"/>
      <c r="R73" t="str">
        <f>+IF(AND(M73="S128",F73="outras instituicoes financeiras"),"c006x   - Insurance firms &amp; pension funds",IF(F73="particulares","c001x   - Households",IF(AND(F73="outras empresas nao financeiras",G73="1"),"c002x   - Micro &amp; SME",IF(AND(F73="outras empresas nao financeiras",OR(G73="0",G73="")),"c003x   - Corporates",IF(F73="instituicoes de credito","c004x   - Institutions",IF(F73="outras instituicoes financeiras","c005x   - Other financial corporations",IF(F73="setor publico","c008x   - Government, central banks &amp; supranationals","")))))))</f>
        <v>c006x   - Insurance firms &amp; pension funds</v>
      </c>
      <c r="S73" s="21">
        <f t="shared" si="6"/>
        <v>0</v>
      </c>
      <c r="T73">
        <f t="shared" si="7"/>
        <v>66501120.288767993</v>
      </c>
      <c r="U73">
        <f t="shared" si="8"/>
        <v>117741.561973</v>
      </c>
      <c r="V73">
        <v>0</v>
      </c>
    </row>
    <row r="74" spans="1:22" x14ac:dyDescent="0.45">
      <c r="A74" t="s">
        <v>88</v>
      </c>
      <c r="B74" s="34">
        <v>347056693.17000002</v>
      </c>
      <c r="C74" s="34">
        <v>977.43</v>
      </c>
      <c r="D74">
        <v>17858374.73</v>
      </c>
      <c r="E74">
        <v>16.32</v>
      </c>
      <c r="F74" t="s">
        <v>19</v>
      </c>
      <c r="G74" t="s">
        <v>18</v>
      </c>
      <c r="H74" s="20">
        <v>1.9400000000000001E-3</v>
      </c>
      <c r="I74" s="20">
        <v>0.14587</v>
      </c>
      <c r="J74">
        <v>1.8000000000000001E-4</v>
      </c>
      <c r="K74">
        <v>0.01</v>
      </c>
      <c r="L74" t="s">
        <v>100</v>
      </c>
      <c r="M74" t="s">
        <v>23</v>
      </c>
      <c r="R74" t="str">
        <f>+IF(AND(M74="S128",F74="outras instituicoes financeiras"),"c006x   - Insurance firms &amp; pension funds",IF(F74="particulares","c001x   - Households",IF(AND(F74="outras empresas nao financeiras",G74="1"),"c002x   - Micro &amp; SME",IF(AND(F74="outras empresas nao financeiras",OR(G74="0",G74="")),"c003x   - Corporates",IF(F74="instituicoes de credito","c004x   - Institutions",IF(F74="outras instituicoes financeiras","c005x   - Other financial corporations",IF(F74="setor publico","c008x   - Government, central banks &amp; supranationals","")))))))</f>
        <v>c006x   - Insurance firms &amp; pension funds</v>
      </c>
      <c r="S74" s="21">
        <f t="shared" si="6"/>
        <v>0</v>
      </c>
      <c r="T74">
        <f t="shared" si="7"/>
        <v>364915067.90000004</v>
      </c>
      <c r="U74">
        <f t="shared" si="8"/>
        <v>993.75</v>
      </c>
      <c r="V74">
        <v>0</v>
      </c>
    </row>
    <row r="75" spans="1:22" x14ac:dyDescent="0.45">
      <c r="A75" t="s">
        <v>88</v>
      </c>
      <c r="B75" s="34">
        <v>261760798.83000001</v>
      </c>
      <c r="C75" s="34">
        <v>139284.88</v>
      </c>
      <c r="D75">
        <v>36483529.380000003</v>
      </c>
      <c r="E75">
        <v>10.69</v>
      </c>
      <c r="F75" t="s">
        <v>19</v>
      </c>
      <c r="G75" t="s">
        <v>17</v>
      </c>
      <c r="H75" s="20">
        <v>8.1049999999999997E-2</v>
      </c>
      <c r="I75">
        <v>0.52168999999999999</v>
      </c>
      <c r="J75">
        <v>1.0000000000000001E-5</v>
      </c>
      <c r="K75">
        <v>0.01</v>
      </c>
      <c r="L75" t="s">
        <v>100</v>
      </c>
      <c r="M75" t="s">
        <v>23</v>
      </c>
      <c r="N75" s="21"/>
      <c r="O75" s="21"/>
      <c r="R75" t="str">
        <f>+IF(AND(M75="S128",F75="outras instituicoes financeiras"),"c006x   - Insurance firms &amp; pension funds",IF(F75="particulares","c001x   - Households",IF(AND(F75="outras empresas nao financeiras",G75="1"),"c002x   - Micro &amp; SME",IF(AND(F75="outras empresas nao financeiras",OR(G75="0",G75="")),"c003x   - Corporates",IF(F75="instituicoes de credito","c004x   - Institutions",IF(F75="outras instituicoes financeiras","c005x   - Other financial corporations",IF(F75="setor publico","c008x   - Government, central banks &amp; supranationals","")))))))</f>
        <v>c006x   - Insurance firms &amp; pension funds</v>
      </c>
      <c r="S75" s="21">
        <f t="shared" si="6"/>
        <v>0</v>
      </c>
      <c r="T75">
        <f t="shared" si="7"/>
        <v>298244328.21000004</v>
      </c>
      <c r="U75">
        <f t="shared" si="8"/>
        <v>139295.57</v>
      </c>
      <c r="V75">
        <v>0</v>
      </c>
    </row>
    <row r="76" spans="1:22" x14ac:dyDescent="0.45">
      <c r="A76" t="s">
        <v>80</v>
      </c>
      <c r="B76" s="34">
        <v>2945673.730982</v>
      </c>
      <c r="F76" t="s">
        <v>22</v>
      </c>
      <c r="G76" t="s">
        <v>18</v>
      </c>
      <c r="H76" s="20">
        <v>0</v>
      </c>
      <c r="I76" s="20"/>
      <c r="L76" t="s">
        <v>100</v>
      </c>
      <c r="N76" s="21"/>
      <c r="O76" s="21"/>
      <c r="R76" t="str">
        <f>+IF(AND(M76="S128",F76="outras instituicoes financeiras"),"c006x   - Insurance firms &amp; pension funds",IF(F76="particulares","c001x   - Households",IF(AND(F76="outras empresas nao financeiras",G76="1"),"c002x   - Micro &amp; SME",IF(AND(F76="outras empresas nao financeiras",OR(G76="0",G76="")),"c003x   - Corporates",IF(F76="instituicoes de credito","c004x   - Institutions",IF(F76="outras instituicoes financeiras","c005x   - Other financial corporations",IF(F76="setor publico","c008x   - Government, central banks &amp; supranationals","")))))))</f>
        <v>c008x   - Government, central banks &amp; supranationals</v>
      </c>
      <c r="S76" s="21">
        <f t="shared" si="6"/>
        <v>0</v>
      </c>
      <c r="T76">
        <f t="shared" si="7"/>
        <v>2945673.730982</v>
      </c>
      <c r="U76">
        <f t="shared" si="8"/>
        <v>0</v>
      </c>
      <c r="V76">
        <v>0</v>
      </c>
    </row>
    <row r="77" spans="1:22" x14ac:dyDescent="0.45">
      <c r="A77" t="s">
        <v>85</v>
      </c>
      <c r="B77" s="34">
        <v>1982657.1341520001</v>
      </c>
      <c r="C77" s="34">
        <v>740.92617099999995</v>
      </c>
      <c r="F77" t="s">
        <v>22</v>
      </c>
      <c r="G77" t="s">
        <v>18</v>
      </c>
      <c r="H77" s="20">
        <v>0.26700000000000002</v>
      </c>
      <c r="I77" s="20">
        <v>0.26700000000000002</v>
      </c>
      <c r="L77" t="s">
        <v>100</v>
      </c>
      <c r="N77" s="21"/>
      <c r="O77" s="21"/>
      <c r="R77" t="str">
        <f>+IF(AND(M77="S128",F77="outras instituicoes financeiras"),"c006x   - Insurance firms &amp; pension funds",IF(F77="particulares","c001x   - Households",IF(AND(F77="outras empresas nao financeiras",G77="1"),"c002x   - Micro &amp; SME",IF(AND(F77="outras empresas nao financeiras",OR(G77="0",G77="")),"c003x   - Corporates",IF(F77="instituicoes de credito","c004x   - Institutions",IF(F77="outras instituicoes financeiras","c005x   - Other financial corporations",IF(F77="setor publico","c008x   - Government, central banks &amp; supranationals","")))))))</f>
        <v>c008x   - Government, central banks &amp; supranationals</v>
      </c>
      <c r="S77" s="21">
        <f t="shared" si="6"/>
        <v>0</v>
      </c>
      <c r="T77">
        <f t="shared" si="7"/>
        <v>1982657.1341520001</v>
      </c>
      <c r="U77">
        <f t="shared" si="8"/>
        <v>740.92617099999995</v>
      </c>
      <c r="V77">
        <v>0</v>
      </c>
    </row>
    <row r="78" spans="1:22" x14ac:dyDescent="0.45">
      <c r="A78" t="s">
        <v>86</v>
      </c>
      <c r="B78" s="34">
        <v>3705975.8492780002</v>
      </c>
      <c r="C78" s="34">
        <v>15887.172606</v>
      </c>
      <c r="F78" t="s">
        <v>22</v>
      </c>
      <c r="G78" t="s">
        <v>18</v>
      </c>
      <c r="H78">
        <v>0</v>
      </c>
      <c r="I78">
        <v>0</v>
      </c>
      <c r="L78" t="s">
        <v>100</v>
      </c>
      <c r="R78" t="str">
        <f>+IF(AND(M78="S128",F78="outras instituicoes financeiras"),"c006x   - Insurance firms &amp; pension funds",IF(F78="particulares","c001x   - Households",IF(AND(F78="outras empresas nao financeiras",G78="1"),"c002x   - Micro &amp; SME",IF(AND(F78="outras empresas nao financeiras",OR(G78="0",G78="")),"c003x   - Corporates",IF(F78="instituicoes de credito","c004x   - Institutions",IF(F78="outras instituicoes financeiras","c005x   - Other financial corporations",IF(F78="setor publico","c008x   - Government, central banks &amp; supranationals","")))))))</f>
        <v>c008x   - Government, central banks &amp; supranationals</v>
      </c>
      <c r="S78" s="21">
        <f t="shared" si="6"/>
        <v>0</v>
      </c>
      <c r="T78">
        <f t="shared" si="7"/>
        <v>3705975.8492780002</v>
      </c>
      <c r="U78">
        <f t="shared" si="8"/>
        <v>15887.172606</v>
      </c>
      <c r="V78">
        <v>0</v>
      </c>
    </row>
    <row r="79" spans="1:22" x14ac:dyDescent="0.45">
      <c r="A79" t="s">
        <v>87</v>
      </c>
      <c r="B79" s="34">
        <v>30464537.886743002</v>
      </c>
      <c r="C79" s="34">
        <v>182393.47459200001</v>
      </c>
      <c r="F79" t="s">
        <v>22</v>
      </c>
      <c r="G79" t="s">
        <v>18</v>
      </c>
      <c r="H79" s="20">
        <v>0</v>
      </c>
      <c r="I79" s="20">
        <v>0</v>
      </c>
      <c r="L79" t="s">
        <v>100</v>
      </c>
      <c r="N79" s="21"/>
      <c r="O79" s="21"/>
      <c r="R79" t="str">
        <f>+IF(AND(M79="S128",F79="outras instituicoes financeiras"),"c006x   - Insurance firms &amp; pension funds",IF(F79="particulares","c001x   - Households",IF(AND(F79="outras empresas nao financeiras",G79="1"),"c002x   - Micro &amp; SME",IF(AND(F79="outras empresas nao financeiras",OR(G79="0",G79="")),"c003x   - Corporates",IF(F79="instituicoes de credito","c004x   - Institutions",IF(F79="outras instituicoes financeiras","c005x   - Other financial corporations",IF(F79="setor publico","c008x   - Government, central banks &amp; supranationals","")))))))</f>
        <v>c008x   - Government, central banks &amp; supranationals</v>
      </c>
      <c r="S79" s="21">
        <f t="shared" si="6"/>
        <v>0</v>
      </c>
      <c r="T79">
        <f t="shared" si="7"/>
        <v>30464537.886743002</v>
      </c>
      <c r="U79">
        <f t="shared" si="8"/>
        <v>182393.47459200001</v>
      </c>
      <c r="V79">
        <v>0</v>
      </c>
    </row>
    <row r="80" spans="1:22" x14ac:dyDescent="0.45">
      <c r="A80" t="s">
        <v>88</v>
      </c>
      <c r="B80" s="34">
        <v>546460596.63</v>
      </c>
      <c r="C80" s="34">
        <v>333831.84000000003</v>
      </c>
      <c r="F80" t="s">
        <v>22</v>
      </c>
      <c r="G80" t="s">
        <v>18</v>
      </c>
      <c r="H80" s="20">
        <v>3.2399999999999998E-3</v>
      </c>
      <c r="I80">
        <v>2.4510000000000001E-2</v>
      </c>
      <c r="L80" t="s">
        <v>100</v>
      </c>
      <c r="R80" t="str">
        <f>+IF(AND(M80="S128",F80="outras instituicoes financeiras"),"c006x   - Insurance firms &amp; pension funds",IF(F80="particulares","c001x   - Households",IF(AND(F80="outras empresas nao financeiras",G80="1"),"c002x   - Micro &amp; SME",IF(AND(F80="outras empresas nao financeiras",OR(G80="0",G80="")),"c003x   - Corporates",IF(F80="instituicoes de credito","c004x   - Institutions",IF(F80="outras instituicoes financeiras","c005x   - Other financial corporations",IF(F80="setor publico","c008x   - Government, central banks &amp; supranationals","")))))))</f>
        <v>c008x   - Government, central banks &amp; supranationals</v>
      </c>
      <c r="S80" s="21">
        <f t="shared" si="6"/>
        <v>0</v>
      </c>
      <c r="T80">
        <f t="shared" si="7"/>
        <v>546460596.63</v>
      </c>
      <c r="U80">
        <f t="shared" si="8"/>
        <v>333831.84000000003</v>
      </c>
      <c r="V80">
        <v>0</v>
      </c>
    </row>
    <row r="81" spans="1:22" x14ac:dyDescent="0.45">
      <c r="A81" t="s">
        <v>88</v>
      </c>
      <c r="B81" s="34">
        <v>575409273.20000005</v>
      </c>
      <c r="C81" s="34">
        <v>8005.2</v>
      </c>
      <c r="F81" t="s">
        <v>22</v>
      </c>
      <c r="G81" t="s">
        <v>17</v>
      </c>
      <c r="H81" s="20">
        <v>3.9750000000000001E-2</v>
      </c>
      <c r="I81">
        <v>0.11794</v>
      </c>
      <c r="L81" t="s">
        <v>100</v>
      </c>
      <c r="R81" t="str">
        <f>+IF(AND(M81="S128",F81="outras instituicoes financeiras"),"c006x   - Insurance firms &amp; pension funds",IF(F81="particulares","c001x   - Households",IF(AND(F81="outras empresas nao financeiras",G81="1"),"c002x   - Micro &amp; SME",IF(AND(F81="outras empresas nao financeiras",OR(G81="0",G81="")),"c003x   - Corporates",IF(F81="instituicoes de credito","c004x   - Institutions",IF(F81="outras instituicoes financeiras","c005x   - Other financial corporations",IF(F81="setor publico","c008x   - Government, central banks &amp; supranationals","")))))))</f>
        <v>c008x   - Government, central banks &amp; supranationals</v>
      </c>
      <c r="S81" s="21">
        <f t="shared" si="6"/>
        <v>0</v>
      </c>
      <c r="T81">
        <f t="shared" si="7"/>
        <v>575409273.20000005</v>
      </c>
      <c r="U81">
        <f t="shared" si="8"/>
        <v>8005.2</v>
      </c>
      <c r="V81">
        <v>0</v>
      </c>
    </row>
    <row r="82" spans="1:22" x14ac:dyDescent="0.45">
      <c r="A82" t="s">
        <v>88</v>
      </c>
      <c r="B82" s="34">
        <v>1299.3699999999999</v>
      </c>
      <c r="F82" t="s">
        <v>22</v>
      </c>
      <c r="L82" t="s">
        <v>100</v>
      </c>
      <c r="R82" t="str">
        <f>+IF(AND(M82="S128",F82="outras instituicoes financeiras"),"c006x   - Insurance firms &amp; pension funds",IF(F82="particulares","c001x   - Households",IF(AND(F82="outras empresas nao financeiras",G82="1"),"c002x   - Micro &amp; SME",IF(AND(F82="outras empresas nao financeiras",OR(G82="0",G82="")),"c003x   - Corporates",IF(F82="instituicoes de credito","c004x   - Institutions",IF(F82="outras instituicoes financeiras","c005x   - Other financial corporations",IF(F82="setor publico","c008x   - Government, central banks &amp; supranationals","")))))))</f>
        <v>c008x   - Government, central banks &amp; supranationals</v>
      </c>
      <c r="S82" s="21">
        <f t="shared" si="6"/>
        <v>0</v>
      </c>
      <c r="T82">
        <f t="shared" si="7"/>
        <v>1299.3699999999999</v>
      </c>
      <c r="U82">
        <f t="shared" si="8"/>
        <v>0</v>
      </c>
      <c r="V82">
        <v>0</v>
      </c>
    </row>
    <row r="83" spans="1:22" x14ac:dyDescent="0.45">
      <c r="H83" s="20"/>
      <c r="I83" s="20"/>
      <c r="S83" s="21"/>
    </row>
    <row r="84" spans="1:22" x14ac:dyDescent="0.45">
      <c r="H84" s="20"/>
      <c r="I84" s="20"/>
      <c r="S84" s="21"/>
    </row>
  </sheetData>
  <autoFilter ref="A1:R82">
    <sortState ref="A2:R82">
      <sortCondition ref="R1:R92"/>
    </sortState>
  </autoFilter>
  <pageMargins left="0.7" right="0.7" top="0.75" bottom="0.75" header="0.3" footer="0.3"/>
  <pageSetup paperSize="9" orientation="portrait" r:id="rId1"/>
  <headerFooter>
    <oddHeader>&amp;L&amp;"Calibri"&amp;10&amp;K000000Confidential&amp;1#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3" ma:contentTypeDescription="Criar um novo documento." ma:contentTypeScope="" ma:versionID="76c42d233f396c620dfe843c8ada89d5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e5843f5cb2ee2b6912e5b34715a9ac2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E4EC380-1A9E-4947-BCEA-2E67BD70BDDC}"/>
</file>

<file path=customXml/itemProps2.xml><?xml version="1.0" encoding="utf-8"?>
<ds:datastoreItem xmlns:ds="http://schemas.openxmlformats.org/officeDocument/2006/customXml" ds:itemID="{49CFC98A-D7EB-4CC6-ABA2-56C4A6280110}"/>
</file>

<file path=customXml/itemProps3.xml><?xml version="1.0" encoding="utf-8"?>
<ds:datastoreItem xmlns:ds="http://schemas.openxmlformats.org/officeDocument/2006/customXml" ds:itemID="{844A0FA6-2A6A-4357-9A5A-587840F6B5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Instruções</vt:lpstr>
      <vt:lpstr>T 05.01</vt:lpstr>
      <vt:lpstr>Depositos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Flávia Daniela Costa Pinho</dc:creator>
  <cp:lastModifiedBy>Flávia Daniela Costa Pinho</cp:lastModifiedBy>
  <dcterms:created xsi:type="dcterms:W3CDTF">2021-09-06T10:48:39Z</dcterms:created>
  <dcterms:modified xsi:type="dcterms:W3CDTF">2023-03-27T16:59:48Z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3c41c091-3cbc-4dba-8b59-ce62f19500db_Enabled">
    <vt:lpwstr>true</vt:lpwstr>
  </property>
  <property fmtid="{D5CDD505-2E9C-101B-9397-08002B2CF9AE}" pid="5" name="MSIP_Label_3c41c091-3cbc-4dba-8b59-ce62f19500db_SetDate">
    <vt:lpwstr>2023-03-27T16:59:48Z</vt:lpwstr>
  </property>
  <property fmtid="{D5CDD505-2E9C-101B-9397-08002B2CF9AE}" pid="6" name="MSIP_Label_3c41c091-3cbc-4dba-8b59-ce62f19500db_Method">
    <vt:lpwstr>Privileged</vt:lpwstr>
  </property>
  <property fmtid="{D5CDD505-2E9C-101B-9397-08002B2CF9AE}" pid="7" name="MSIP_Label_3c41c091-3cbc-4dba-8b59-ce62f19500db_Name">
    <vt:lpwstr>Confidential_0_1</vt:lpwstr>
  </property>
  <property fmtid="{D5CDD505-2E9C-101B-9397-08002B2CF9AE}" pid="8" name="MSIP_Label_3c41c091-3cbc-4dba-8b59-ce62f19500db_SiteId">
    <vt:lpwstr>35595a02-4d6d-44ac-99e1-f9ab4cd872db</vt:lpwstr>
  </property>
  <property fmtid="{D5CDD505-2E9C-101B-9397-08002B2CF9AE}" pid="9" name="MSIP_Label_3c41c091-3cbc-4dba-8b59-ce62f19500db_ActionId">
    <vt:lpwstr>11e3984a-17ca-4322-997a-3713aa12c7ba</vt:lpwstr>
  </property>
  <property fmtid="{D5CDD505-2E9C-101B-9397-08002B2CF9AE}" pid="10" name="MSIP_Label_3c41c091-3cbc-4dba-8b59-ce62f19500db_ContentBits">
    <vt:lpwstr>1</vt:lpwstr>
  </property>
  <property fmtid="{D5CDD505-2E9C-101B-9397-08002B2CF9AE}" pid="11" name="ContentTypeId">
    <vt:lpwstr>0x0101000B6B9A5E792D2446B8986FAE34BEC557</vt:lpwstr>
  </property>
</Properties>
</file>